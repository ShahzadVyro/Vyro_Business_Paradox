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t-23" sheetId="1" r:id="rId4"/>
    <sheet state="visible" name="Nov-23" sheetId="2" r:id="rId5"/>
    <sheet state="visible" name="Dec-23" sheetId="3" r:id="rId6"/>
    <sheet state="visible" name="Jan-24" sheetId="4" r:id="rId7"/>
    <sheet state="visible" name="Feb-24" sheetId="5" r:id="rId8"/>
    <sheet state="visible" name="Mar-24" sheetId="6" r:id="rId9"/>
    <sheet state="visible" name="Apr-24" sheetId="7" r:id="rId10"/>
    <sheet state="visible" name="May-24" sheetId="8" r:id="rId11"/>
    <sheet state="visible" name="Jun-24" sheetId="9" r:id="rId12"/>
    <sheet state="visible" name="Jul-24" sheetId="10" r:id="rId13"/>
    <sheet state="visible" name="Aug-24" sheetId="11" r:id="rId14"/>
    <sheet state="visible" name="Sep 24" sheetId="12" r:id="rId15"/>
    <sheet state="visible" name="Oct 24" sheetId="13" r:id="rId16"/>
    <sheet state="visible" name="Nov 24" sheetId="14" r:id="rId17"/>
    <sheet state="visible" name="Dec 24" sheetId="15" r:id="rId18"/>
    <sheet state="visible" name="Jan 25" sheetId="16" r:id="rId19"/>
    <sheet state="visible" name="Amended Jan 2025" sheetId="17" r:id="rId20"/>
    <sheet state="visible" name="PR02A" sheetId="18" r:id="rId21"/>
    <sheet state="visible" name="Feb Refrence 25" sheetId="19" r:id="rId22"/>
    <sheet state="visible" name="Feb uploaded 25" sheetId="20" r:id="rId23"/>
    <sheet state="visible" name="March Refrence 25" sheetId="21" r:id="rId24"/>
    <sheet state="visible" name="To be uploaded March 2025" sheetId="22" r:id="rId25"/>
    <sheet state="visible" name="To be uploaded April 2025" sheetId="23" r:id="rId26"/>
    <sheet state="visible" name="April Refrence 25" sheetId="24" r:id="rId27"/>
    <sheet state="visible" name="May Refrence 25" sheetId="25" r:id="rId28"/>
    <sheet state="visible" name="To be uploaded May 2025" sheetId="26" r:id="rId29"/>
    <sheet state="visible" name="June Refrence 25" sheetId="27" r:id="rId30"/>
    <sheet state="visible" name="To be uploaded June 2025" sheetId="28" r:id="rId31"/>
    <sheet state="visible" name="July 2025 Reference AI" sheetId="29" r:id="rId32"/>
    <sheet state="visible" name="To be uploaded July 2025" sheetId="30" r:id="rId33"/>
    <sheet state="visible" name="August 2025 Reference AI" sheetId="31" r:id="rId34"/>
    <sheet state="visible" name="To be uploaded August 2025" sheetId="32" r:id="rId35"/>
    <sheet state="visible" name="September 2025 Reference AI" sheetId="33" r:id="rId36"/>
    <sheet state="visible" name="To be uploaded September 2025" sheetId="34" r:id="rId37"/>
    <sheet state="visible" name="October 2025 Reference AI" sheetId="35" r:id="rId38"/>
    <sheet state="visible" name="To be uploaded October 2025" sheetId="36" r:id="rId39"/>
    <sheet state="visible" name="Sheet36" sheetId="37" r:id="rId40"/>
    <sheet state="visible" name="Summary" sheetId="38" r:id="rId41"/>
    <sheet state="visible" name="employees data" sheetId="39" r:id="rId42"/>
    <sheet state="visible" name="Emp_Directory" sheetId="40" r:id="rId43"/>
  </sheets>
  <definedNames>
    <definedName hidden="1" localSheetId="19" name="_xlnm._FilterDatabase">'Feb uploaded 25'!$A$1:$N$192</definedName>
    <definedName hidden="1" localSheetId="21" name="_xlnm._FilterDatabase">'To be uploaded March 2025'!$A$1:$M$198</definedName>
    <definedName hidden="1" localSheetId="22" name="_xlnm._FilterDatabase">'To be uploaded April 2025'!$A$1:$M$217</definedName>
    <definedName hidden="1" localSheetId="25" name="_xlnm._FilterDatabase">'To be uploaded May 2025'!$A$1:$M$215</definedName>
    <definedName hidden="1" localSheetId="27" name="_xlnm._FilterDatabase">'To be uploaded June 2025'!$A$1:$M$215</definedName>
    <definedName hidden="1" localSheetId="29" name="_xlnm._FilterDatabase">'To be uploaded July 2025'!$A$1:$N$230</definedName>
    <definedName hidden="1" localSheetId="30" name="_xlnm._FilterDatabase">'August 2025 Reference AI'!$A$1:$Q$112</definedName>
    <definedName hidden="1" localSheetId="31" name="_xlnm._FilterDatabase">'To be uploaded August 2025'!$A$1:$N$232</definedName>
    <definedName hidden="1" localSheetId="32" name="_xlnm._FilterDatabase">'September 2025 Reference AI'!$A$1:$Q$93</definedName>
    <definedName hidden="1" localSheetId="33" name="_xlnm._FilterDatabase">'To be uploaded September 2025'!$A$1:$N$232</definedName>
    <definedName hidden="1" localSheetId="34" name="_xlnm._FilterDatabase">'October 2025 Reference AI'!$A$1:$R$82</definedName>
    <definedName hidden="1" localSheetId="35" name="_xlnm._FilterDatabase">'To be uploaded October 2025'!$A$1:$N$1017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8">
      <text>
        <t xml:space="preserve">reminder_sent</t>
      </text>
    </comment>
    <comment authorId="0" ref="L38">
      <text>
        <t xml:space="preserve">reminder_sent</t>
      </text>
    </comment>
    <comment authorId="0" ref="I59">
      <text>
        <t xml:space="preserve">reminder_sent</t>
      </text>
    </comment>
    <comment authorId="0" ref="L59">
      <text>
        <t xml:space="preserve">reminder_sent</t>
      </text>
    </comment>
    <comment authorId="0" ref="I63">
      <text>
        <t xml:space="preserve">reminder_sent</t>
      </text>
    </comment>
    <comment authorId="0" ref="I79">
      <text>
        <t xml:space="preserve">reminder_sent</t>
      </text>
    </comment>
    <comment authorId="0" ref="L79">
      <text>
        <t xml:space="preserve">reminder_sent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6">
      <text>
        <t xml:space="preserve">reminder_sent</t>
      </text>
    </comment>
    <comment authorId="0" ref="I58">
      <text>
        <t xml:space="preserve">reminder_sent</t>
      </text>
    </comment>
    <comment authorId="0" ref="I62">
      <text>
        <t xml:space="preserve">reminder_sent</t>
      </text>
    </comment>
    <comment authorId="0" ref="H65">
      <text>
        <t xml:space="preserve">reminder_sent</t>
      </text>
    </comment>
    <comment authorId="0" ref="I77">
      <text>
        <t xml:space="preserve">reminder_sent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reminder_sent</t>
      </text>
    </comment>
    <comment authorId="0" ref="D21">
      <text>
        <t xml:space="preserve">reminder_sent</t>
      </text>
    </comment>
    <comment authorId="0" ref="D22">
      <text>
        <t xml:space="preserve">reminder_sent</t>
      </text>
    </comment>
    <comment authorId="0" ref="D23">
      <text>
        <t xml:space="preserve">reminder_sent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reminder_sent</t>
      </text>
    </comment>
    <comment authorId="0" ref="D8">
      <text>
        <t xml:space="preserve">reminder_sent</t>
      </text>
    </comment>
    <comment authorId="0" ref="D17">
      <text>
        <t xml:space="preserve">reminder_sent</t>
      </text>
    </comment>
    <comment authorId="0" ref="D26">
      <text>
        <t xml:space="preserve">reminder_sent</t>
      </text>
    </comment>
    <comment authorId="0" ref="D38">
      <text>
        <t xml:space="preserve">reminder_sent</t>
      </text>
    </comment>
    <comment authorId="0" ref="D39">
      <text>
        <t xml:space="preserve">reminder_sent</t>
      </text>
    </comment>
    <comment authorId="0" ref="D40">
      <text>
        <t xml:space="preserve">reminder_sent</t>
      </text>
    </comment>
    <comment authorId="0" ref="D53">
      <text>
        <t xml:space="preserve">reminder_sent</t>
      </text>
    </comment>
    <comment authorId="0" ref="D56">
      <text>
        <t xml:space="preserve">reminder_sent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reminder_sent</t>
      </text>
    </comment>
    <comment authorId="0" ref="D22">
      <text>
        <t xml:space="preserve">reminder_sent</t>
      </text>
    </comment>
    <comment authorId="0" ref="D23">
      <text>
        <t xml:space="preserve">reminder_sent</t>
      </text>
    </comment>
    <comment authorId="0" ref="D24">
      <text>
        <t xml:space="preserve">reminder_sent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reminder_sent</t>
      </text>
    </comment>
    <comment authorId="0" ref="D8">
      <text>
        <t xml:space="preserve">reminder_sent</t>
      </text>
    </comment>
    <comment authorId="0" ref="D17">
      <text>
        <t xml:space="preserve">reminder_sent</t>
      </text>
    </comment>
    <comment authorId="0" ref="D26">
      <text>
        <t xml:space="preserve">reminder_sent</t>
      </text>
    </comment>
    <comment authorId="0" ref="D38">
      <text>
        <t xml:space="preserve">reminder_sent</t>
      </text>
    </comment>
    <comment authorId="0" ref="D39">
      <text>
        <t xml:space="preserve">reminder_sent</t>
      </text>
    </comment>
    <comment authorId="0" ref="D40">
      <text>
        <t xml:space="preserve">reminder_sent</t>
      </text>
    </comment>
    <comment authorId="0" ref="D53">
      <text>
        <t xml:space="preserve">reminder_sent</t>
      </text>
    </comment>
    <comment authorId="0" ref="D56">
      <text>
        <t xml:space="preserve">reminder_sent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reminder_sent</t>
      </text>
    </comment>
    <comment authorId="0" ref="D8">
      <text>
        <t xml:space="preserve">reminder_sent</t>
      </text>
    </comment>
    <comment authorId="0" ref="D17">
      <text>
        <t xml:space="preserve">reminder_sent</t>
      </text>
    </comment>
    <comment authorId="0" ref="D26">
      <text>
        <t xml:space="preserve">reminder_sent</t>
      </text>
    </comment>
    <comment authorId="0" ref="D38">
      <text>
        <t xml:space="preserve">reminder_sent</t>
      </text>
    </comment>
    <comment authorId="0" ref="D39">
      <text>
        <t xml:space="preserve">reminder_sent</t>
      </text>
    </comment>
    <comment authorId="0" ref="D40">
      <text>
        <t xml:space="preserve">reminder_sent</t>
      </text>
    </comment>
    <comment authorId="0" ref="D53">
      <text>
        <t xml:space="preserve">reminder_sent</t>
      </text>
    </comment>
    <comment authorId="0" ref="D56">
      <text>
        <t xml:space="preserve">reminder_sent</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reminder_sent</t>
      </text>
    </comment>
    <comment authorId="0" ref="D22">
      <text>
        <t xml:space="preserve">reminder_sent</t>
      </text>
    </comment>
    <comment authorId="0" ref="D23">
      <text>
        <t xml:space="preserve">reminder_sent</t>
      </text>
    </comment>
    <comment authorId="0" ref="D24">
      <text>
        <t xml:space="preserve">reminder_sent</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reminder_sent</t>
      </text>
    </comment>
    <comment authorId="0" ref="D20">
      <text>
        <t xml:space="preserve">reminder_sent</t>
      </text>
    </comment>
    <comment authorId="0" ref="D21">
      <text>
        <t xml:space="preserve">reminder_sent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reminder_sent</t>
      </text>
    </comment>
    <comment authorId="0" ref="D34">
      <text>
        <t xml:space="preserve">reminder_sent</t>
      </text>
    </comment>
    <comment authorId="0" ref="D37">
      <text>
        <t xml:space="preserve">reminder_sent</t>
      </text>
    </comment>
    <comment authorId="0" ref="D119">
      <text>
        <t xml:space="preserve">reminder_sent</t>
      </text>
    </comment>
    <comment authorId="0" ref="D124">
      <text>
        <t xml:space="preserve">reminder_sent</t>
      </text>
    </comment>
    <comment authorId="0" ref="D132">
      <text>
        <t xml:space="preserve">reminder_sent</t>
      </text>
    </comment>
    <comment authorId="0" ref="D134">
      <text>
        <t xml:space="preserve">reminder_sent</t>
      </text>
    </comment>
    <comment authorId="0" ref="D135">
      <text>
        <t xml:space="preserve">reminder_sent</t>
      </text>
    </comment>
    <comment authorId="0" ref="D136">
      <text>
        <t xml:space="preserve">reminder_sent</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reminder_sent</t>
      </text>
    </comment>
    <comment authorId="0" ref="D19">
      <text>
        <t xml:space="preserve">reminder_sent</t>
      </text>
    </comment>
    <comment authorId="0" ref="D20">
      <text>
        <t xml:space="preserve">reminder_sent</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reminder_sent</t>
      </text>
    </comment>
    <comment authorId="0" ref="D34">
      <text>
        <t xml:space="preserve">reminder_sent</t>
      </text>
    </comment>
    <comment authorId="0" ref="D37">
      <text>
        <t xml:space="preserve">reminder_sent</t>
      </text>
    </comment>
    <comment authorId="0" ref="D119">
      <text>
        <t xml:space="preserve">reminder_sent</t>
      </text>
    </comment>
    <comment authorId="0" ref="D124">
      <text>
        <t xml:space="preserve">reminder_sent</t>
      </text>
    </comment>
    <comment authorId="0" ref="D132">
      <text>
        <t xml:space="preserve">reminder_sent</t>
      </text>
    </comment>
    <comment authorId="0" ref="D134">
      <text>
        <t xml:space="preserve">reminder_sent</t>
      </text>
    </comment>
    <comment authorId="0" ref="D135">
      <text>
        <t xml:space="preserve">reminder_sent</t>
      </text>
    </comment>
    <comment authorId="0" ref="D136">
      <text>
        <t xml:space="preserve">reminder_sent</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reminder_sent</t>
      </text>
    </comment>
    <comment authorId="0" ref="D18">
      <text>
        <t xml:space="preserve">reminder_sent</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reminder_sent</t>
      </text>
    </comment>
    <comment authorId="0" ref="D11">
      <text>
        <t xml:space="preserve">reminder_sent</t>
      </text>
    </comment>
    <comment authorId="0" ref="D22">
      <text>
        <t xml:space="preserve">reminder_sent</t>
      </text>
    </comment>
    <comment authorId="0" ref="D31">
      <text>
        <t xml:space="preserve">reminder_sent</t>
      </text>
    </comment>
    <comment authorId="0" ref="D45">
      <text>
        <t xml:space="preserve">reminder_sent</t>
      </text>
    </comment>
    <comment authorId="0" ref="D46">
      <text>
        <t xml:space="preserve">reminder_sent</t>
      </text>
    </comment>
    <comment authorId="0" ref="D49">
      <text>
        <t xml:space="preserve">reminder_sent</t>
      </text>
    </comment>
    <comment authorId="0" ref="D62">
      <text>
        <t xml:space="preserve">reminder_sent</t>
      </text>
    </comment>
    <comment authorId="0" ref="D65">
      <text>
        <t xml:space="preserve">reminder_sent</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reminder_sent</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reminder_sent</t>
      </text>
    </comment>
    <comment authorId="0" ref="D11">
      <text>
        <t xml:space="preserve">reminder_sent</t>
      </text>
    </comment>
    <comment authorId="0" ref="D22">
      <text>
        <t xml:space="preserve">reminder_sent</t>
      </text>
    </comment>
    <comment authorId="0" ref="D31">
      <text>
        <t xml:space="preserve">reminder_sent</t>
      </text>
    </comment>
    <comment authorId="0" ref="D45">
      <text>
        <t xml:space="preserve">reminder_sent</t>
      </text>
    </comment>
    <comment authorId="0" ref="D46">
      <text>
        <t xml:space="preserve">reminder_sent</t>
      </text>
    </comment>
    <comment authorId="0" ref="D49">
      <text>
        <t xml:space="preserve">reminder_sent</t>
      </text>
    </comment>
    <comment authorId="0" ref="D62">
      <text>
        <t xml:space="preserve">reminder_sent</t>
      </text>
    </comment>
    <comment authorId="0" ref="D65">
      <text>
        <t xml:space="preserve">reminder_sent</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reminder_sent</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reminder_sent</t>
      </text>
    </comment>
    <comment authorId="0" ref="D11">
      <text>
        <t xml:space="preserve">reminder_sent</t>
      </text>
    </comment>
    <comment authorId="0" ref="D22">
      <text>
        <t xml:space="preserve">reminder_sent</t>
      </text>
    </comment>
    <comment authorId="0" ref="D31">
      <text>
        <t xml:space="preserve">reminder_sent</t>
      </text>
    </comment>
    <comment authorId="0" ref="D45">
      <text>
        <t xml:space="preserve">reminder_sent</t>
      </text>
    </comment>
    <comment authorId="0" ref="D46">
      <text>
        <t xml:space="preserve">reminder_sent</t>
      </text>
    </comment>
    <comment authorId="0" ref="D49">
      <text>
        <t xml:space="preserve">reminder_sent</t>
      </text>
    </comment>
    <comment authorId="0" ref="D62">
      <text>
        <t xml:space="preserve">reminder_sent</t>
      </text>
    </comment>
    <comment authorId="0" ref="D65">
      <text>
        <t xml:space="preserve">reminder_sent</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
      <text>
        <t xml:space="preserve">if we calculate using the formula we have in salaries sheet
</t>
      </text>
    </comment>
    <comment authorId="0" ref="D3">
      <text>
        <t xml:space="preserve">reminder_sent</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reminder_sent</t>
      </text>
    </comment>
    <comment authorId="0" ref="D11">
      <text>
        <t xml:space="preserve">reminder_sent</t>
      </text>
    </comment>
    <comment authorId="0" ref="D22">
      <text>
        <t xml:space="preserve">reminder_sent</t>
      </text>
    </comment>
    <comment authorId="0" ref="D31">
      <text>
        <t xml:space="preserve">reminder_sent</t>
      </text>
    </comment>
    <comment authorId="0" ref="D45">
      <text>
        <t xml:space="preserve">reminder_sent</t>
      </text>
    </comment>
    <comment authorId="0" ref="D46">
      <text>
        <t xml:space="preserve">reminder_sent</t>
      </text>
    </comment>
    <comment authorId="0" ref="D49">
      <text>
        <t xml:space="preserve">reminder_sent</t>
      </text>
    </comment>
    <comment authorId="0" ref="D62">
      <text>
        <t xml:space="preserve">reminder_sent</t>
      </text>
    </comment>
    <comment authorId="0" ref="D65">
      <text>
        <t xml:space="preserve">reminder_sent</t>
      </text>
    </comment>
  </commentList>
</comments>
</file>

<file path=xl/sharedStrings.xml><?xml version="1.0" encoding="utf-8"?>
<sst xmlns="http://schemas.openxmlformats.org/spreadsheetml/2006/main" count="21820" uniqueCount="1306">
  <si>
    <t>EMP_AREA_CODE</t>
  </si>
  <si>
    <t>EMP_REG_SERIAL_NO</t>
  </si>
  <si>
    <t>EMP_SUB_AREA_CODE</t>
  </si>
  <si>
    <t>Name</t>
  </si>
  <si>
    <t>EOBI_NO</t>
  </si>
  <si>
    <t>CNIC</t>
  </si>
  <si>
    <t>NIC</t>
  </si>
  <si>
    <t>DOB</t>
  </si>
  <si>
    <t>DOJ</t>
  </si>
  <si>
    <t>DOE</t>
  </si>
  <si>
    <t>NO_OF_DAYS_WORKED</t>
  </si>
  <si>
    <t>From_Date</t>
  </si>
  <si>
    <t>To_Date</t>
  </si>
  <si>
    <t>Payment</t>
  </si>
  <si>
    <t>Employer Contribution</t>
  </si>
  <si>
    <t>Total EOBI</t>
  </si>
  <si>
    <t>FAA</t>
  </si>
  <si>
    <t>FS</t>
  </si>
  <si>
    <t>Aamir Nawaz</t>
  </si>
  <si>
    <t>4700E637868</t>
  </si>
  <si>
    <t>14301-7981096-7</t>
  </si>
  <si>
    <t xml:space="preserve">Abdullah Bin Rashid </t>
  </si>
  <si>
    <t>4700A705194</t>
  </si>
  <si>
    <t>61101-3101618-7</t>
  </si>
  <si>
    <t>Abdullah Rasheed</t>
  </si>
  <si>
    <t>4700G688671</t>
  </si>
  <si>
    <t>37401-7271621-7</t>
  </si>
  <si>
    <t>Abeera Shah</t>
  </si>
  <si>
    <t>4700C706554</t>
  </si>
  <si>
    <t>61101-5688667-0</t>
  </si>
  <si>
    <t>Ahmad Hassan</t>
  </si>
  <si>
    <t>4600D315335</t>
  </si>
  <si>
    <t>37405-4246562-3</t>
  </si>
  <si>
    <t>Ali Aziz</t>
  </si>
  <si>
    <t>4700J723957</t>
  </si>
  <si>
    <t>81202-8426576-7</t>
  </si>
  <si>
    <t>Ali Nawaz Channa</t>
  </si>
  <si>
    <t>0800E397265</t>
  </si>
  <si>
    <t>42201-8465990-5</t>
  </si>
  <si>
    <t>Alina Mubarik</t>
  </si>
  <si>
    <t>4700C710820</t>
  </si>
  <si>
    <t>61101-5318332-4</t>
  </si>
  <si>
    <t>Amais Sheikh</t>
  </si>
  <si>
    <t>4700D606664</t>
  </si>
  <si>
    <t>37405-5578644-1</t>
  </si>
  <si>
    <t>Asim Latif</t>
  </si>
  <si>
    <t>4700A658224</t>
  </si>
  <si>
    <t>33302-5158556-5</t>
  </si>
  <si>
    <t>Atif Nawaz</t>
  </si>
  <si>
    <t>4700E740695</t>
  </si>
  <si>
    <t>38404-7428636-7</t>
  </si>
  <si>
    <t>Basit Afraz</t>
  </si>
  <si>
    <t>4700C703310</t>
  </si>
  <si>
    <t>37405-8019865-5</t>
  </si>
  <si>
    <t>Elaf Hassan</t>
  </si>
  <si>
    <t>4700I723958</t>
  </si>
  <si>
    <t>36302-4009333-7</t>
  </si>
  <si>
    <t>Faizan Khan</t>
  </si>
  <si>
    <t>4700C662124</t>
  </si>
  <si>
    <t>16204-0388636-3</t>
  </si>
  <si>
    <t>Hamza Ahmad</t>
  </si>
  <si>
    <t>4700I678608</t>
  </si>
  <si>
    <t>37405-6689341-9</t>
  </si>
  <si>
    <t>Hamza Ali Khan</t>
  </si>
  <si>
    <t>4700B690429</t>
  </si>
  <si>
    <t>37405-5700118-7</t>
  </si>
  <si>
    <t>Hira Farooq</t>
  </si>
  <si>
    <t>4700B703311</t>
  </si>
  <si>
    <t>61101-2625195-8</t>
  </si>
  <si>
    <t>Ibrahim Shah</t>
  </si>
  <si>
    <t>4700G658260</t>
  </si>
  <si>
    <t>35201-2147689-9</t>
  </si>
  <si>
    <t>Jalees Mukarram</t>
  </si>
  <si>
    <t>4700G638367</t>
  </si>
  <si>
    <t>31201-9892348-9</t>
  </si>
  <si>
    <t>Javeria Sadia</t>
  </si>
  <si>
    <t>0600F209061</t>
  </si>
  <si>
    <t>42101-5324187-2</t>
  </si>
  <si>
    <t>Khadija Umer</t>
  </si>
  <si>
    <t>4700A710848</t>
  </si>
  <si>
    <t>31202-4982058-2</t>
  </si>
  <si>
    <t>Laiba Imran</t>
  </si>
  <si>
    <t>4700H684977</t>
  </si>
  <si>
    <t>37405-8102020-8</t>
  </si>
  <si>
    <t>Mahnoor Farhan khokhar</t>
  </si>
  <si>
    <t>4700E720946</t>
  </si>
  <si>
    <t>61101-9447970-2</t>
  </si>
  <si>
    <t>Mohammad Ehtasham Balland</t>
  </si>
  <si>
    <t>4700D711914</t>
  </si>
  <si>
    <t>36302-5494206-1</t>
  </si>
  <si>
    <t>Muaaz Arshad</t>
  </si>
  <si>
    <t>4100C164358</t>
  </si>
  <si>
    <t>34101-0197233-1</t>
  </si>
  <si>
    <t>Muhaimin Khan</t>
  </si>
  <si>
    <t>4700E763936</t>
  </si>
  <si>
    <t>34101-6716758-6</t>
  </si>
  <si>
    <t>Muhammad Abdullah Salam</t>
  </si>
  <si>
    <t>4700G697010</t>
  </si>
  <si>
    <t>17301-7752570-9</t>
  </si>
  <si>
    <t>Muhammad Abubakar</t>
  </si>
  <si>
    <t>4700H723959</t>
  </si>
  <si>
    <t>35201-8046049-1</t>
  </si>
  <si>
    <t>Muhammad Adnan</t>
  </si>
  <si>
    <t>4700A638371</t>
  </si>
  <si>
    <t>54401-7578020-9</t>
  </si>
  <si>
    <t>Muhammad Arham</t>
  </si>
  <si>
    <t>4700J673932</t>
  </si>
  <si>
    <t>36103-7439746-1</t>
  </si>
  <si>
    <t>Muhammad Asadullah Shahid</t>
  </si>
  <si>
    <t>4700G581544</t>
  </si>
  <si>
    <t>36603-1234883-1</t>
  </si>
  <si>
    <t>Muhammad Hammad Maqsood</t>
  </si>
  <si>
    <t>4700A703312</t>
  </si>
  <si>
    <t>37405-2794891-9</t>
  </si>
  <si>
    <t>Muhammad Hamza</t>
  </si>
  <si>
    <t>4600F317513</t>
  </si>
  <si>
    <t>61101-4668132-7</t>
  </si>
  <si>
    <t>Muhammad Haris Gul</t>
  </si>
  <si>
    <t>4700I638373</t>
  </si>
  <si>
    <t>61101-3389194-7</t>
  </si>
  <si>
    <t>Muhammad Hassan Shakeel</t>
  </si>
  <si>
    <t>4700H690431</t>
  </si>
  <si>
    <t>35402-2593513-5</t>
  </si>
  <si>
    <t xml:space="preserve">Muhammad Ibrahim </t>
  </si>
  <si>
    <t>4700C720948</t>
  </si>
  <si>
    <t>31101-0776303-7</t>
  </si>
  <si>
    <t>Muhammad Mutahhar</t>
  </si>
  <si>
    <t>3300E326308</t>
  </si>
  <si>
    <t>42301-3092028-3</t>
  </si>
  <si>
    <t>Muhammad Saad Tariq</t>
  </si>
  <si>
    <t>4700D679730</t>
  </si>
  <si>
    <t>61101-0817777-7</t>
  </si>
  <si>
    <t>Muhammad Umair</t>
  </si>
  <si>
    <t>4700A700796</t>
  </si>
  <si>
    <t>42501-3911861-7</t>
  </si>
  <si>
    <t>Muhammad Wajahat</t>
  </si>
  <si>
    <t>4700A618216</t>
  </si>
  <si>
    <t>32203-2007547-1</t>
  </si>
  <si>
    <t>Muhammad Waleed Imran</t>
  </si>
  <si>
    <t>4700J724945</t>
  </si>
  <si>
    <t>35201-8352529-1</t>
  </si>
  <si>
    <t>Muhammad Zahab Ahmed</t>
  </si>
  <si>
    <t>3600G329844</t>
  </si>
  <si>
    <t>31102-2135283-9</t>
  </si>
  <si>
    <t>Muhammad Zaid</t>
  </si>
  <si>
    <t>4700B667971</t>
  </si>
  <si>
    <t>42000-5973098-1</t>
  </si>
  <si>
    <t>Naimal Imran</t>
  </si>
  <si>
    <t>4700J662127</t>
  </si>
  <si>
    <t>35202-0754928-4</t>
  </si>
  <si>
    <t>Namra Akram</t>
  </si>
  <si>
    <t>4700F444303</t>
  </si>
  <si>
    <t>61101-4919576-8</t>
  </si>
  <si>
    <t>Naveed Ahmed</t>
  </si>
  <si>
    <t>4700H679736</t>
  </si>
  <si>
    <t>42201-5462974-9</t>
  </si>
  <si>
    <t>Qazi Shayan</t>
  </si>
  <si>
    <t>4700A710864</t>
  </si>
  <si>
    <t>15402-0378555-7</t>
  </si>
  <si>
    <t>Rana Usair Sohail</t>
  </si>
  <si>
    <t>0800H514678</t>
  </si>
  <si>
    <t>35202-2606196-5</t>
  </si>
  <si>
    <t>Rashid Iqbal</t>
  </si>
  <si>
    <t>4700I703314</t>
  </si>
  <si>
    <t>37405-6880780-7</t>
  </si>
  <si>
    <t>Reyan Ahmad</t>
  </si>
  <si>
    <t>3100D850990</t>
  </si>
  <si>
    <t>36101-6729437-9</t>
  </si>
  <si>
    <t>Saad Aziz</t>
  </si>
  <si>
    <t>4700J700797</t>
  </si>
  <si>
    <t>37405-7429064-1</t>
  </si>
  <si>
    <t>Sameet Asadullah</t>
  </si>
  <si>
    <t>4700A667972</t>
  </si>
  <si>
    <t>33202-2965962-1</t>
  </si>
  <si>
    <t>Samman Mustafa</t>
  </si>
  <si>
    <t>4700A688994</t>
  </si>
  <si>
    <t>37405-5204915-8</t>
  </si>
  <si>
    <t>Sana Tahir</t>
  </si>
  <si>
    <t>4700D706561</t>
  </si>
  <si>
    <t>37103-2235902-2</t>
  </si>
  <si>
    <t>Shahnoor Ejaz</t>
  </si>
  <si>
    <t>4700F703333</t>
  </si>
  <si>
    <t>42501-6125083-4</t>
  </si>
  <si>
    <t>Shahzad Farooq</t>
  </si>
  <si>
    <t>4700G690432</t>
  </si>
  <si>
    <t>42501-8133748-7</t>
  </si>
  <si>
    <t>Shahzaib Chaudhary</t>
  </si>
  <si>
    <t>4700I720950</t>
  </si>
  <si>
    <t>33100-9292576-3</t>
  </si>
  <si>
    <t>Shaiq Habib</t>
  </si>
  <si>
    <t>0400C579124</t>
  </si>
  <si>
    <t>61101-1388832-7</t>
  </si>
  <si>
    <t>Shawal Fida</t>
  </si>
  <si>
    <t>4700I700798</t>
  </si>
  <si>
    <t>16202-0438523-4</t>
  </si>
  <si>
    <t>Sheikh Muhammad Saad</t>
  </si>
  <si>
    <t>3600D516452</t>
  </si>
  <si>
    <t>35202-2211437-9</t>
  </si>
  <si>
    <t>Sheraz Ahmad</t>
  </si>
  <si>
    <t>4700D645309</t>
  </si>
  <si>
    <t>32304-6599148-9</t>
  </si>
  <si>
    <t>Subhana Yasin</t>
  </si>
  <si>
    <t>4700E723960</t>
  </si>
  <si>
    <t>36502-1828819-0</t>
  </si>
  <si>
    <t>Syed Haider</t>
  </si>
  <si>
    <t>3100E941643</t>
  </si>
  <si>
    <t>33102-5032259-9</t>
  </si>
  <si>
    <t>Talha Arshad Malik</t>
  </si>
  <si>
    <t>3600F372686</t>
  </si>
  <si>
    <t>37405-6378563-1</t>
  </si>
  <si>
    <t>Talha Jibran</t>
  </si>
  <si>
    <t>4700G718997</t>
  </si>
  <si>
    <t>61101-8798575-7</t>
  </si>
  <si>
    <t>Tayyab Abbas</t>
  </si>
  <si>
    <t>4700A685051</t>
  </si>
  <si>
    <t>17301-2752063-7</t>
  </si>
  <si>
    <t xml:space="preserve">Umaira Jabeen </t>
  </si>
  <si>
    <t>3600J522091</t>
  </si>
  <si>
    <t>37104-5371430-8</t>
  </si>
  <si>
    <t>Umar Farooq</t>
  </si>
  <si>
    <t>4700D723961</t>
  </si>
  <si>
    <t>36501-4241566-9</t>
  </si>
  <si>
    <t>Waleed Sadiq</t>
  </si>
  <si>
    <t>4700C710870</t>
  </si>
  <si>
    <t>82101-6085499-3</t>
  </si>
  <si>
    <t>Zain Shahid</t>
  </si>
  <si>
    <t>4700H700799</t>
  </si>
  <si>
    <t>36401-6591078-1</t>
  </si>
  <si>
    <t>Zoha Munir</t>
  </si>
  <si>
    <t>0600G182381</t>
  </si>
  <si>
    <t>35202-9887337-8</t>
  </si>
  <si>
    <t xml:space="preserve">Ali Irfan </t>
  </si>
  <si>
    <t>3100J940197</t>
  </si>
  <si>
    <t>35202-7336402-9</t>
  </si>
  <si>
    <t>Altamash Shaban</t>
  </si>
  <si>
    <t>4700G469815</t>
  </si>
  <si>
    <t>37405-5322814-9</t>
  </si>
  <si>
    <t>Muhammad Nabeel Asif</t>
  </si>
  <si>
    <t>0800I431358</t>
  </si>
  <si>
    <t>42101-1217952-3</t>
  </si>
  <si>
    <t>Saad Ahmed</t>
  </si>
  <si>
    <t>0800E406072</t>
  </si>
  <si>
    <t>35202-3107480-5</t>
  </si>
  <si>
    <t>Sana Sajjad Chaudhary</t>
  </si>
  <si>
    <t>4700F740694</t>
  </si>
  <si>
    <t>37301-3885164-8</t>
  </si>
  <si>
    <t>Ahmed Hussain</t>
  </si>
  <si>
    <t>4800F063920</t>
  </si>
  <si>
    <t>38102-5707136-9</t>
  </si>
  <si>
    <t>Faiza Khan</t>
  </si>
  <si>
    <t>4700J710823</t>
  </si>
  <si>
    <t>61101-0776147-2</t>
  </si>
  <si>
    <t>Immar Karim</t>
  </si>
  <si>
    <t>4700E720920</t>
  </si>
  <si>
    <t>43203-1564655-3</t>
  </si>
  <si>
    <t>Muhammad Ali Kiyani</t>
  </si>
  <si>
    <t>4700I483207</t>
  </si>
  <si>
    <t>61101-7478749-3</t>
  </si>
  <si>
    <t>Shan Ahmad</t>
  </si>
  <si>
    <t>4700C748360</t>
  </si>
  <si>
    <t>35202-9717455-5</t>
  </si>
  <si>
    <t>Abdul Hameed</t>
  </si>
  <si>
    <t>4700J763957</t>
  </si>
  <si>
    <t>17301-6508006-1</t>
  </si>
  <si>
    <t>Anamil Mehtab</t>
  </si>
  <si>
    <t>4700A710822</t>
  </si>
  <si>
    <t>37103-6819266-4</t>
  </si>
  <si>
    <t>Humaira Amjad</t>
  </si>
  <si>
    <t>4700A764091</t>
  </si>
  <si>
    <t>36302-7205229-8</t>
  </si>
  <si>
    <t>Mirza Zain Ali Nasir</t>
  </si>
  <si>
    <t>4700I764093</t>
  </si>
  <si>
    <t>35201-1057763-3</t>
  </si>
  <si>
    <t>Nimra Zahid</t>
  </si>
  <si>
    <t>4700G537391</t>
  </si>
  <si>
    <t>42201-1439506-4</t>
  </si>
  <si>
    <t>Saif Ullah</t>
  </si>
  <si>
    <t>4700A764083</t>
  </si>
  <si>
    <t>61101-5764361-9</t>
  </si>
  <si>
    <t>Salman Khalid</t>
  </si>
  <si>
    <t>3300B264525</t>
  </si>
  <si>
    <t>34603-0435168-5</t>
  </si>
  <si>
    <t>Asad Ullah</t>
  </si>
  <si>
    <t>4700C748792</t>
  </si>
  <si>
    <t>34401-8557347-3</t>
  </si>
  <si>
    <t>Ayesha Syed</t>
  </si>
  <si>
    <t>4700E763960</t>
  </si>
  <si>
    <t>37405-5537896-0</t>
  </si>
  <si>
    <t>Ayesha Tahir</t>
  </si>
  <si>
    <t>4700A748794</t>
  </si>
  <si>
    <t>13101-5843018-0</t>
  </si>
  <si>
    <t>Farzam Habib Khan</t>
  </si>
  <si>
    <t>4700B748793</t>
  </si>
  <si>
    <t>12101-9669033-4</t>
  </si>
  <si>
    <t>Maria Aftab</t>
  </si>
  <si>
    <t>4700F748359</t>
  </si>
  <si>
    <t>35202-1471897-8</t>
  </si>
  <si>
    <t>Mueed Hassan</t>
  </si>
  <si>
    <t>4700E748790</t>
  </si>
  <si>
    <t>42201-4339208-7</t>
  </si>
  <si>
    <t>Musa Naqvi</t>
  </si>
  <si>
    <t>Sukaina Ali</t>
  </si>
  <si>
    <t>4700C688544</t>
  </si>
  <si>
    <t>37405-6240250-8</t>
  </si>
  <si>
    <t>Tauqeer Ahmed</t>
  </si>
  <si>
    <t>4700H764078</t>
  </si>
  <si>
    <t>35201-5043196-1</t>
  </si>
  <si>
    <t>Zeeshan Nasir</t>
  </si>
  <si>
    <t>4700J764092</t>
  </si>
  <si>
    <t>37405-3360545-9</t>
  </si>
  <si>
    <t>Abdul Rehan Najam</t>
  </si>
  <si>
    <t>4700H764086</t>
  </si>
  <si>
    <t>61101-8333683-7</t>
  </si>
  <si>
    <t>Abu Usama</t>
  </si>
  <si>
    <t>4700G764087</t>
  </si>
  <si>
    <t>36501-7651414-9</t>
  </si>
  <si>
    <t>Amish Tufail</t>
  </si>
  <si>
    <t>4700H764094</t>
  </si>
  <si>
    <t>13302-2902324-3</t>
  </si>
  <si>
    <t>Anas Hanif Attas</t>
  </si>
  <si>
    <t>4700B665806</t>
  </si>
  <si>
    <t>38403-3251146-3</t>
  </si>
  <si>
    <t>Arsal Sher Khan</t>
  </si>
  <si>
    <t>4700F764096</t>
  </si>
  <si>
    <t>35201-5498096-5</t>
  </si>
  <si>
    <t>Ayesha Shakeel</t>
  </si>
  <si>
    <t>4700H763959</t>
  </si>
  <si>
    <t>42301-1838144-6</t>
  </si>
  <si>
    <t>Ghassan Sarfraz</t>
  </si>
  <si>
    <t>3600I526143</t>
  </si>
  <si>
    <t>35202-4814639-9</t>
  </si>
  <si>
    <t>Lamees Zafar</t>
  </si>
  <si>
    <t>4700C763962</t>
  </si>
  <si>
    <t>36304-3814800-4</t>
  </si>
  <si>
    <t>Mohsin Ali Anjum</t>
  </si>
  <si>
    <t>4700A763964</t>
  </si>
  <si>
    <t>37402-3744622-3</t>
  </si>
  <si>
    <t>Muawiz Umer</t>
  </si>
  <si>
    <t>4700I763966</t>
  </si>
  <si>
    <t>31202-0967091-9</t>
  </si>
  <si>
    <t>Muhammad Anas Khan</t>
  </si>
  <si>
    <t>4700J764084</t>
  </si>
  <si>
    <t>31202-1004575-1</t>
  </si>
  <si>
    <t>Muhammad Osama Ehsaan</t>
  </si>
  <si>
    <t>4700B764082</t>
  </si>
  <si>
    <t>31203-9951845-1</t>
  </si>
  <si>
    <t>Muhammad Umair Nasar</t>
  </si>
  <si>
    <t>4700G764079</t>
  </si>
  <si>
    <t>35202-7433048-7</t>
  </si>
  <si>
    <t>Muhammad Waleed Abdullah</t>
  </si>
  <si>
    <t>4700I764077</t>
  </si>
  <si>
    <t>36601-1635702-5</t>
  </si>
  <si>
    <t>Muiz Hussain</t>
  </si>
  <si>
    <t>4600F352555</t>
  </si>
  <si>
    <t>42301-8666708-3</t>
  </si>
  <si>
    <t>Sabdezar Irfan</t>
  </si>
  <si>
    <t>3600G465789</t>
  </si>
  <si>
    <t>35201-1547140-8</t>
  </si>
  <si>
    <t>Saboor Ahmad</t>
  </si>
  <si>
    <t>4700D763937</t>
  </si>
  <si>
    <t>61101-8448365-1</t>
  </si>
  <si>
    <t>Abdul Moiez Akhtar</t>
  </si>
  <si>
    <t>4700I763958</t>
  </si>
  <si>
    <t>34201-8434498-9</t>
  </si>
  <si>
    <t>Alina Shoaib</t>
  </si>
  <si>
    <t>4700G764095</t>
  </si>
  <si>
    <t>37401-2006672-6</t>
  </si>
  <si>
    <t>Hafsa Hassan</t>
  </si>
  <si>
    <t>4700B764090</t>
  </si>
  <si>
    <t>37406-2194723-0</t>
  </si>
  <si>
    <t>Muhammad Bilal Tanveer</t>
  </si>
  <si>
    <t>4700D763961</t>
  </si>
  <si>
    <t>82203-3459651-7</t>
  </si>
  <si>
    <t>Muhammad Uzaimah Mushtaq</t>
  </si>
  <si>
    <t>4700J764076</t>
  </si>
  <si>
    <t>38201-8328241-1</t>
  </si>
  <si>
    <t>Shaheryar Ehsan I Haque</t>
  </si>
  <si>
    <t>4700C763938</t>
  </si>
  <si>
    <t>37405-6028477-3</t>
  </si>
  <si>
    <t>Employee Contribution</t>
  </si>
  <si>
    <t>Aiman Daud</t>
  </si>
  <si>
    <t>4700C764099</t>
  </si>
  <si>
    <t>37404-5596830-8</t>
  </si>
  <si>
    <t>Aun Ishfaq</t>
  </si>
  <si>
    <t>4700E764097</t>
  </si>
  <si>
    <t>90403-0143681-7</t>
  </si>
  <si>
    <t>Ayesha Nasir</t>
  </si>
  <si>
    <t>4700G764100</t>
  </si>
  <si>
    <t>37405-8603058-0</t>
  </si>
  <si>
    <t>Hamza Mughal</t>
  </si>
  <si>
    <t>4700F739740</t>
  </si>
  <si>
    <t>13501-9345271-1</t>
  </si>
  <si>
    <t>Luqman Ahmed</t>
  </si>
  <si>
    <t>4700D764098</t>
  </si>
  <si>
    <t>37102-2088988-7</t>
  </si>
  <si>
    <t>Muhammad Ayan Baig</t>
  </si>
  <si>
    <t>4700E764102</t>
  </si>
  <si>
    <t>36302-5170382-5</t>
  </si>
  <si>
    <t>Myda Abbas</t>
  </si>
  <si>
    <t>4700F764101</t>
  </si>
  <si>
    <t>37405-3363346-0</t>
  </si>
  <si>
    <t>Syed Maaz Ahmed</t>
  </si>
  <si>
    <t>0500A167653</t>
  </si>
  <si>
    <t>42101-8025278-5</t>
  </si>
  <si>
    <t>Umar Sheraz</t>
  </si>
  <si>
    <t>3600C583492</t>
  </si>
  <si>
    <t>38403-8907880-9</t>
  </si>
  <si>
    <t>Abdullah Salam</t>
  </si>
  <si>
    <t>Adil Ali</t>
  </si>
  <si>
    <t>4700H780618</t>
  </si>
  <si>
    <t>37405-7507683-3</t>
  </si>
  <si>
    <t>Annum Inam</t>
  </si>
  <si>
    <t>4700D780620</t>
  </si>
  <si>
    <t>61101-7960847-6</t>
  </si>
  <si>
    <t xml:space="preserve">Misbah Aziz </t>
  </si>
  <si>
    <t>36602-2764423-2</t>
  </si>
  <si>
    <t>Muhammad Shoaib</t>
  </si>
  <si>
    <t>82401-2146189-7</t>
  </si>
  <si>
    <t>37405-5832738-5</t>
  </si>
  <si>
    <t>Musa Chughtai</t>
  </si>
  <si>
    <t>37405-0493023-7</t>
  </si>
  <si>
    <t>Qazi Maaz Sajjad</t>
  </si>
  <si>
    <t>35102-2075551-3</t>
  </si>
  <si>
    <t>Syeda Fatima Shahid</t>
  </si>
  <si>
    <t>61101-4873618-6</t>
  </si>
  <si>
    <t>Ubaid Ullah</t>
  </si>
  <si>
    <t>36103-3565578-3</t>
  </si>
  <si>
    <t>Uzma Shaheen</t>
  </si>
  <si>
    <t>37104-4296305-6</t>
  </si>
  <si>
    <t>Muhammad Saqib Rasheed</t>
  </si>
  <si>
    <t>33201-7216483-1</t>
  </si>
  <si>
    <t>Shaharyar Haque</t>
  </si>
  <si>
    <t>Suleman Aamir</t>
  </si>
  <si>
    <t>37405-8086527-1</t>
  </si>
  <si>
    <t>Syed Hamza Ali Shah</t>
  </si>
  <si>
    <t>37406-0599193-7</t>
  </si>
  <si>
    <t>Abdul Moiez</t>
  </si>
  <si>
    <t>Abdullah Bin Rashid</t>
  </si>
  <si>
    <t>Muhammad Anas</t>
  </si>
  <si>
    <t>Muhammad Hassan</t>
  </si>
  <si>
    <t xml:space="preserve">Muhammad Uzaimah </t>
  </si>
  <si>
    <t>Muhammad Zahab Ahmad Khan</t>
  </si>
  <si>
    <t>Umaira Jabeen</t>
  </si>
  <si>
    <t>payroll</t>
  </si>
  <si>
    <t>Attas Anas</t>
  </si>
  <si>
    <t>Dur e kashaf</t>
  </si>
  <si>
    <t>Dur e kashaf (joiner data)</t>
  </si>
  <si>
    <t>61101-9306108-2</t>
  </si>
  <si>
    <t>Effa Ahmed</t>
  </si>
  <si>
    <t>Effa Ahmad (joiner data)</t>
  </si>
  <si>
    <t>61101-3525818-2</t>
  </si>
  <si>
    <t>Misbah Aziz</t>
  </si>
  <si>
    <t>Muhammad Abeel Khan</t>
  </si>
  <si>
    <t>Muhammad Abeel Khan ( new joiner)</t>
  </si>
  <si>
    <t>36302-2475816-5</t>
  </si>
  <si>
    <t>Muhammad Hamza (new joiner)</t>
  </si>
  <si>
    <t>37402-5036823-1</t>
  </si>
  <si>
    <t>Muhammad Hassam Khan</t>
  </si>
  <si>
    <t>16202-1272274-1</t>
  </si>
  <si>
    <t>Muhammad Uzaimah</t>
  </si>
  <si>
    <t>Syed Muhammad Wasi Abbas</t>
  </si>
  <si>
    <t>37405-8538265-5</t>
  </si>
  <si>
    <t>Syed Osama Salahuddin</t>
  </si>
  <si>
    <t>42101-4814470-5</t>
  </si>
  <si>
    <t>Muhammad Ubaid</t>
  </si>
  <si>
    <t>Zainab Malik</t>
  </si>
  <si>
    <t>37406-8789293-4</t>
  </si>
  <si>
    <t>Effa Ahmad</t>
  </si>
  <si>
    <t>Izza Shakeel</t>
  </si>
  <si>
    <t>37102-6519320-4</t>
  </si>
  <si>
    <t>Omar Sibghat</t>
  </si>
  <si>
    <t>Omar Sibghat (new joiner)</t>
  </si>
  <si>
    <t>61101-8740927-3</t>
  </si>
  <si>
    <t>Abdur Rehman Shahid</t>
  </si>
  <si>
    <t>Abdur Rehman Shahid (JOINER)</t>
  </si>
  <si>
    <t>42201-1345729-9</t>
  </si>
  <si>
    <t>Muhammad Adam Mujtaba</t>
  </si>
  <si>
    <t>37405-3477406-9</t>
  </si>
  <si>
    <t>Muhammad Ubaid Ullah</t>
  </si>
  <si>
    <t>Zorob Anjum Khokhar</t>
  </si>
  <si>
    <t>37405-2684175-3</t>
  </si>
  <si>
    <t>Asim Baig</t>
  </si>
  <si>
    <t>71402-7780159-3</t>
  </si>
  <si>
    <t>Kinza Touseef</t>
  </si>
  <si>
    <t>37405-7899297-6</t>
  </si>
  <si>
    <t>Laiba Khattak</t>
  </si>
  <si>
    <t>61101-8441737-0</t>
  </si>
  <si>
    <t>Muhammad Osama</t>
  </si>
  <si>
    <t>35201-5842784-3</t>
  </si>
  <si>
    <t>Muhammad Shahmir</t>
  </si>
  <si>
    <t>61101-1665792-5</t>
  </si>
  <si>
    <t>Muhammad Usman</t>
  </si>
  <si>
    <t>37405-1764059-5</t>
  </si>
  <si>
    <t>Wajahat Nawaz Khan</t>
  </si>
  <si>
    <t>13302-3407179-7</t>
  </si>
  <si>
    <t>Rabail Ishtiaq Khan</t>
  </si>
  <si>
    <t>35201-6737594-2</t>
  </si>
  <si>
    <t>Faisal Amin</t>
  </si>
  <si>
    <t>17301-4151031-9</t>
  </si>
  <si>
    <t>Suha Saeed Jokhio</t>
  </si>
  <si>
    <t>42000-8598019-8</t>
  </si>
  <si>
    <t>Mehreen Zehra Jafri</t>
  </si>
  <si>
    <t>61101-8815127-8</t>
  </si>
  <si>
    <t>Faique Ahmad Khan</t>
  </si>
  <si>
    <t>36302-8165823-1</t>
  </si>
  <si>
    <t>37405-7013478-7</t>
  </si>
  <si>
    <t>Muhammad Noman Akhtar</t>
  </si>
  <si>
    <t>37405-5009174-3</t>
  </si>
  <si>
    <t>Muhammad Arsalan</t>
  </si>
  <si>
    <t>33202-7088430-3</t>
  </si>
  <si>
    <t>4700H782458</t>
  </si>
  <si>
    <t>4700G782459</t>
  </si>
  <si>
    <t>4700D764632</t>
  </si>
  <si>
    <t>4700C782461</t>
  </si>
  <si>
    <t>4700A782463</t>
  </si>
  <si>
    <t>4700J782464</t>
  </si>
  <si>
    <t>4700I782465</t>
  </si>
  <si>
    <t>4700E707223</t>
  </si>
  <si>
    <t>4700I782473</t>
  </si>
  <si>
    <t>4700H782466</t>
  </si>
  <si>
    <t>4700G782467</t>
  </si>
  <si>
    <t>3600C541539</t>
  </si>
  <si>
    <t>4700E782469</t>
  </si>
  <si>
    <t>4700B782470</t>
  </si>
  <si>
    <t>4700J782472</t>
  </si>
  <si>
    <t>4700H782474</t>
  </si>
  <si>
    <t>4700A782471</t>
  </si>
  <si>
    <t>4700D782460</t>
  </si>
  <si>
    <t>4700F782468</t>
  </si>
  <si>
    <t>4700B782462</t>
  </si>
  <si>
    <t>4700I782457</t>
  </si>
  <si>
    <t>4700J521224</t>
  </si>
  <si>
    <t>3600J538880</t>
  </si>
  <si>
    <t>4700J783428</t>
  </si>
  <si>
    <t>4700I783429</t>
  </si>
  <si>
    <t>0400J630583</t>
  </si>
  <si>
    <t>4700G783455</t>
  </si>
  <si>
    <t>4700F783456</t>
  </si>
  <si>
    <t>3600H336523</t>
  </si>
  <si>
    <t>4700H783462</t>
  </si>
  <si>
    <t>0400F558604</t>
  </si>
  <si>
    <t>4700E783457</t>
  </si>
  <si>
    <t>4700D783458</t>
  </si>
  <si>
    <t>4700C783459</t>
  </si>
  <si>
    <t>4700J783460</t>
  </si>
  <si>
    <t>3300F308202</t>
  </si>
  <si>
    <t>Malik Muhammad Muneeb Mehmood Awan</t>
  </si>
  <si>
    <t>4700A784083</t>
  </si>
  <si>
    <t>42301-8626005-7</t>
  </si>
  <si>
    <t>Rija Zahid</t>
  </si>
  <si>
    <t>4700H784086</t>
  </si>
  <si>
    <t>35202-3728295-0</t>
  </si>
  <si>
    <t>Ali Hassan</t>
  </si>
  <si>
    <t>4700I658218</t>
  </si>
  <si>
    <t>34202-5366041-5</t>
  </si>
  <si>
    <t>Khayyam Zaheer</t>
  </si>
  <si>
    <t>4700I784116</t>
  </si>
  <si>
    <t>37407-0381902-5</t>
  </si>
  <si>
    <t>Osama Khan</t>
  </si>
  <si>
    <t>4700H613201</t>
  </si>
  <si>
    <t>13101-3514537-5</t>
  </si>
  <si>
    <t>Abdullah Kashif</t>
  </si>
  <si>
    <t>4700A784091</t>
  </si>
  <si>
    <t>34201-0214602-9</t>
  </si>
  <si>
    <t>Ali Haider Saeed</t>
  </si>
  <si>
    <t>0800E660846</t>
  </si>
  <si>
    <t>42501-6614539-9</t>
  </si>
  <si>
    <t>Azka Basit</t>
  </si>
  <si>
    <t>4700J784092</t>
  </si>
  <si>
    <t>37405-8191241-2</t>
  </si>
  <si>
    <t>Muhammad Umer Khan</t>
  </si>
  <si>
    <t>4700G784118</t>
  </si>
  <si>
    <t>42201-3251173-9</t>
  </si>
  <si>
    <t>Momina Khan</t>
  </si>
  <si>
    <t>4700J784123</t>
  </si>
  <si>
    <t>13101-9011845-4</t>
  </si>
  <si>
    <t>Maheen Waqar</t>
  </si>
  <si>
    <t>4700B784171</t>
  </si>
  <si>
    <t>17301-9671367-6</t>
  </si>
  <si>
    <t>Muhammad Abdullah MG</t>
  </si>
  <si>
    <t>4700C784170</t>
  </si>
  <si>
    <t>61101-8415956-9</t>
  </si>
  <si>
    <t>Muhammad Taha Mukhtar</t>
  </si>
  <si>
    <t>4700I784093</t>
  </si>
  <si>
    <t>34101-7415527-9</t>
  </si>
  <si>
    <t>Zahida Misher</t>
  </si>
  <si>
    <t>4700H784094</t>
  </si>
  <si>
    <t>42201-7429312-2</t>
  </si>
  <si>
    <t>Umm e Saleet Akhter</t>
  </si>
  <si>
    <t>4700J453942</t>
  </si>
  <si>
    <t>61101-6469145-4</t>
  </si>
  <si>
    <t>Hamza Nasir</t>
  </si>
  <si>
    <t>4700G784095</t>
  </si>
  <si>
    <t>37405-9807769-5</t>
  </si>
  <si>
    <t>Hajra Shakeel</t>
  </si>
  <si>
    <t>4700F784096</t>
  </si>
  <si>
    <t>61101-0780219-0</t>
  </si>
  <si>
    <t>Hashim Saleem</t>
  </si>
  <si>
    <t>4700E784097</t>
  </si>
  <si>
    <t>37405-6982134-1</t>
  </si>
  <si>
    <t>Seemab Latif</t>
  </si>
  <si>
    <t>4700F784127</t>
  </si>
  <si>
    <t>37405-8703265-4</t>
  </si>
  <si>
    <t>EMP_SUB_SERIAL_NO</t>
  </si>
  <si>
    <t>NAME</t>
  </si>
  <si>
    <t>Abdullah Rashid</t>
  </si>
  <si>
    <t>Ahmed Abu Bakar</t>
  </si>
  <si>
    <t>0400E397596</t>
  </si>
  <si>
    <t>42201-4079632-5</t>
  </si>
  <si>
    <t>Ahmed Hassan</t>
  </si>
  <si>
    <t>Ali Ayub Khan</t>
  </si>
  <si>
    <t>4700F545670</t>
  </si>
  <si>
    <t>37201-9867608-9</t>
  </si>
  <si>
    <t>Ali Aziz Janjua</t>
  </si>
  <si>
    <t>Ali Irfan</t>
  </si>
  <si>
    <t>Alina Shoaib Qureshi</t>
  </si>
  <si>
    <t>Ameer Hamza</t>
  </si>
  <si>
    <t>4700F764088</t>
  </si>
  <si>
    <t>35202-9239547-1</t>
  </si>
  <si>
    <t>Hafiz Muhammad Umar Farooq</t>
  </si>
  <si>
    <t>Hamza Hamid Khan</t>
  </si>
  <si>
    <t>4700H748797</t>
  </si>
  <si>
    <t>17301-1771123-5</t>
  </si>
  <si>
    <t>Mariam Babar Khan</t>
  </si>
  <si>
    <t>4700B763963</t>
  </si>
  <si>
    <t>33302-5119953-8</t>
  </si>
  <si>
    <t>Maryam Malik</t>
  </si>
  <si>
    <t>4700E673929</t>
  </si>
  <si>
    <t>42201-8972202-0</t>
  </si>
  <si>
    <t>Maryum Altaf</t>
  </si>
  <si>
    <t>4700I764085</t>
  </si>
  <si>
    <t>61101-5336156-2</t>
  </si>
  <si>
    <t>Momal Ijaz</t>
  </si>
  <si>
    <t>4700J710857</t>
  </si>
  <si>
    <t>17301-8360724-2</t>
  </si>
  <si>
    <t>not appearing in previous employees data</t>
  </si>
  <si>
    <t>Muhammad Abdullah</t>
  </si>
  <si>
    <t>4700B638370</t>
  </si>
  <si>
    <t>42201-9926805-7</t>
  </si>
  <si>
    <t>Muhammad Arsal Sher Khan</t>
  </si>
  <si>
    <t>Muhammad Danish Aslam</t>
  </si>
  <si>
    <t>4700E764089</t>
  </si>
  <si>
    <t>33100-9368094-5</t>
  </si>
  <si>
    <t>Muhammad Ibrahim</t>
  </si>
  <si>
    <t>Muhammad Shaiq Habib</t>
  </si>
  <si>
    <t>Muhammad Shariq</t>
  </si>
  <si>
    <t>4700B700795</t>
  </si>
  <si>
    <t>33100-1015182-5</t>
  </si>
  <si>
    <t>Muhammad Talal Haider</t>
  </si>
  <si>
    <t>4700I555834</t>
  </si>
  <si>
    <t>36601-1377237-1</t>
  </si>
  <si>
    <t>Muhammad Usman Hussnain</t>
  </si>
  <si>
    <t>3600B494652</t>
  </si>
  <si>
    <t>54401-4066985-5</t>
  </si>
  <si>
    <t>Muhammad Waris</t>
  </si>
  <si>
    <t>4700B511138</t>
  </si>
  <si>
    <t>32103-7421090-9</t>
  </si>
  <si>
    <t>Muhammad Zaid Abbasi</t>
  </si>
  <si>
    <t>4700D685024</t>
  </si>
  <si>
    <t>37405-7184575-5</t>
  </si>
  <si>
    <t>Mutahhar Bin Muzaffar</t>
  </si>
  <si>
    <t>Nabeel Ur Rehman</t>
  </si>
  <si>
    <t>0800C397306</t>
  </si>
  <si>
    <t>42101-5528376-5</t>
  </si>
  <si>
    <t>Qazi Muhammad Shayan</t>
  </si>
  <si>
    <t>Rana Muhammad Usair Sohail</t>
  </si>
  <si>
    <t>reported falsely twice</t>
  </si>
  <si>
    <t>Syed Hassan Ahmed Naqvi</t>
  </si>
  <si>
    <t>0600I106383</t>
  </si>
  <si>
    <t>42201-7415069-1</t>
  </si>
  <si>
    <t>Syed Muhammad Sharjeel</t>
  </si>
  <si>
    <t>3100G909178</t>
  </si>
  <si>
    <t>38403-5309129-3</t>
  </si>
  <si>
    <t>Ubadah Jafry</t>
  </si>
  <si>
    <t>4700E638490</t>
  </si>
  <si>
    <t>36302-5213272-3</t>
  </si>
  <si>
    <t>Zain Ul Abedien</t>
  </si>
  <si>
    <t>4700C638492</t>
  </si>
  <si>
    <t>42201-6980843-9</t>
  </si>
  <si>
    <t>Zeeshan Afzal</t>
  </si>
  <si>
    <t>4700A581532</t>
  </si>
  <si>
    <t>34402-7115223-7</t>
  </si>
  <si>
    <t>Zeeshan Ali</t>
  </si>
  <si>
    <t>4700H638502</t>
  </si>
  <si>
    <t>42401-8911321-9</t>
  </si>
  <si>
    <t>4700G782475</t>
  </si>
  <si>
    <t>3100B857805</t>
  </si>
  <si>
    <t xml:space="preserve">Abdul Nafae </t>
  </si>
  <si>
    <r>
      <rPr>
        <rFont val="Tahoma"/>
        <b/>
        <color theme="1"/>
        <sz val="6.0"/>
      </rPr>
      <t>4700I787449</t>
    </r>
    <r>
      <rPr>
        <rFont val="Tahoma"/>
        <b val="0"/>
        <color rgb="FF000000"/>
        <sz val="6.0"/>
      </rPr>
      <t> </t>
    </r>
  </si>
  <si>
    <t>35200-8514923-5</t>
  </si>
  <si>
    <t>Asad Ahsan</t>
  </si>
  <si>
    <r>
      <rPr>
        <rFont val="Tahoma"/>
        <b/>
        <color rgb="FF004400"/>
        <sz val="7.0"/>
      </rPr>
      <t>4700J787448</t>
    </r>
    <r>
      <rPr>
        <rFont val="Tahoma"/>
        <b val="0"/>
        <color rgb="FF004400"/>
        <sz val="7.0"/>
      </rPr>
      <t> </t>
    </r>
  </si>
  <si>
    <t>42301-5782862-9</t>
  </si>
  <si>
    <t>Asad Malik</t>
  </si>
  <si>
    <t>3100E823586</t>
  </si>
  <si>
    <t>31202-5275039-5</t>
  </si>
  <si>
    <t>Maha Manzoor</t>
  </si>
  <si>
    <r>
      <rPr>
        <rFont val="Tahoma"/>
        <b/>
        <color theme="1"/>
        <sz val="6.0"/>
      </rPr>
      <t>4700D662123</t>
    </r>
    <r>
      <rPr>
        <rFont val="Tahoma"/>
        <b val="0"/>
        <color rgb="FF000000"/>
        <sz val="6.0"/>
      </rPr>
      <t> </t>
    </r>
  </si>
  <si>
    <t>37405-9097995-4</t>
  </si>
  <si>
    <t>Maheen Shahid</t>
  </si>
  <si>
    <r>
      <rPr>
        <rFont val="Tahoma"/>
        <b/>
        <color rgb="FF004400"/>
        <sz val="7.0"/>
      </rPr>
      <t>4700E787451</t>
    </r>
    <r>
      <rPr>
        <rFont val="Tahoma"/>
        <b val="0"/>
        <color rgb="FF004400"/>
        <sz val="7.0"/>
      </rPr>
      <t> </t>
    </r>
  </si>
  <si>
    <t>61101-3565538-2</t>
  </si>
  <si>
    <t>Muhammad Usama</t>
  </si>
  <si>
    <t>4700G729867</t>
  </si>
  <si>
    <t>37405-7801373-9</t>
  </si>
  <si>
    <t>Muzzamil Muhammad</t>
  </si>
  <si>
    <r>
      <rPr>
        <rFont val="Tahoma"/>
        <b/>
        <color rgb="FF004400"/>
        <sz val="7.0"/>
      </rPr>
      <t>4700B787454</t>
    </r>
    <r>
      <rPr>
        <rFont val="Tahoma"/>
        <b val="0"/>
        <color rgb="FF004400"/>
        <sz val="7.0"/>
      </rPr>
      <t> </t>
    </r>
  </si>
  <si>
    <t>61101-5724775-7</t>
  </si>
  <si>
    <t>Noman Shahid</t>
  </si>
  <si>
    <r>
      <rPr>
        <rFont val="Tahoma"/>
        <b/>
        <color rgb="FF004400"/>
        <sz val="7.0"/>
      </rPr>
      <t>4700D787452</t>
    </r>
    <r>
      <rPr>
        <rFont val="Tahoma"/>
        <b val="0"/>
        <color rgb="FF004400"/>
        <sz val="7.0"/>
      </rPr>
      <t> </t>
    </r>
  </si>
  <si>
    <t>36601-8709082-3</t>
  </si>
  <si>
    <t>Saba Sohail</t>
  </si>
  <si>
    <r>
      <rPr>
        <rFont val="Tahoma"/>
        <b/>
        <color rgb="FF004400"/>
        <sz val="7.0"/>
      </rPr>
      <t>4700C787453</t>
    </r>
    <r>
      <rPr>
        <rFont val="Tahoma"/>
        <b val="0"/>
        <color rgb="FF004400"/>
        <sz val="7.0"/>
      </rPr>
      <t> </t>
    </r>
  </si>
  <si>
    <t>42201-4234340-0</t>
  </si>
  <si>
    <t>Sameer Sohail</t>
  </si>
  <si>
    <r>
      <rPr>
        <rFont val="Tahoma"/>
        <b/>
        <color rgb="FF004400"/>
        <sz val="7.0"/>
      </rPr>
      <t>4700F787450</t>
    </r>
    <r>
      <rPr>
        <rFont val="Tahoma"/>
        <b val="0"/>
        <color rgb="FF004400"/>
        <sz val="7.0"/>
      </rPr>
      <t> </t>
    </r>
  </si>
  <si>
    <t>37407-2803644-1</t>
  </si>
  <si>
    <t>Umair Khalid</t>
  </si>
  <si>
    <t>0600J204423</t>
  </si>
  <si>
    <t>61101-4301476-1</t>
  </si>
  <si>
    <t>30-Dec-99</t>
  </si>
  <si>
    <r>
      <rPr>
        <rFont val="Tahoma"/>
        <b/>
        <color rgb="FF004400"/>
        <sz val="7.0"/>
      </rPr>
      <t>4700J787448</t>
    </r>
    <r>
      <rPr>
        <rFont val="Tahoma"/>
        <b val="0"/>
        <color rgb="FF004400"/>
        <sz val="7.0"/>
      </rPr>
      <t> </t>
    </r>
  </si>
  <si>
    <r>
      <rPr>
        <rFont val="Tahoma"/>
        <b/>
        <color theme="1"/>
        <sz val="6.0"/>
      </rPr>
      <t>4700I787449</t>
    </r>
    <r>
      <rPr>
        <rFont val="Tahoma"/>
        <b val="0"/>
        <color rgb="FF000000"/>
        <sz val="6.0"/>
      </rPr>
      <t> </t>
    </r>
  </si>
  <si>
    <r>
      <rPr>
        <rFont val="Tahoma"/>
        <b/>
        <color rgb="FF004400"/>
        <sz val="7.0"/>
      </rPr>
      <t>4700F787450</t>
    </r>
    <r>
      <rPr>
        <rFont val="Tahoma"/>
        <b val="0"/>
        <color rgb="FF004400"/>
        <sz val="7.0"/>
      </rPr>
      <t> </t>
    </r>
  </si>
  <si>
    <r>
      <rPr>
        <rFont val="Tahoma"/>
        <b/>
        <color theme="1"/>
        <sz val="6.0"/>
      </rPr>
      <t>4700D662123</t>
    </r>
    <r>
      <rPr>
        <rFont val="Tahoma"/>
        <b val="0"/>
        <color rgb="FF000000"/>
        <sz val="6.0"/>
      </rPr>
      <t> </t>
    </r>
  </si>
  <si>
    <r>
      <rPr>
        <rFont val="Tahoma"/>
        <b/>
        <color rgb="FF004400"/>
        <sz val="7.0"/>
      </rPr>
      <t>4700E787451</t>
    </r>
    <r>
      <rPr>
        <rFont val="Tahoma"/>
        <b val="0"/>
        <color rgb="FF004400"/>
        <sz val="7.0"/>
      </rPr>
      <t> </t>
    </r>
  </si>
  <si>
    <r>
      <rPr>
        <rFont val="Tahoma"/>
        <b/>
        <color rgb="FF004400"/>
        <sz val="7.0"/>
      </rPr>
      <t>4700D787452</t>
    </r>
    <r>
      <rPr>
        <rFont val="Tahoma"/>
        <b val="0"/>
        <color rgb="FF004400"/>
        <sz val="7.0"/>
      </rPr>
      <t> </t>
    </r>
  </si>
  <si>
    <r>
      <rPr>
        <rFont val="Tahoma"/>
        <b/>
        <color rgb="FF004400"/>
        <sz val="7.0"/>
      </rPr>
      <t>4700C787453</t>
    </r>
    <r>
      <rPr>
        <rFont val="Tahoma"/>
        <b val="0"/>
        <color rgb="FF004400"/>
        <sz val="7.0"/>
      </rPr>
      <t> </t>
    </r>
  </si>
  <si>
    <r>
      <rPr>
        <rFont val="Tahoma"/>
        <b/>
        <color rgb="FF004400"/>
        <sz val="7.0"/>
      </rPr>
      <t>4700B787454</t>
    </r>
    <r>
      <rPr>
        <rFont val="Tahoma"/>
        <b val="0"/>
        <color rgb="FF004400"/>
        <sz val="7.0"/>
      </rPr>
      <t> </t>
    </r>
  </si>
  <si>
    <r>
      <rPr>
        <rFont val="Tahoma"/>
        <b/>
        <color theme="1"/>
        <sz val="6.0"/>
      </rPr>
      <t>4700I787449</t>
    </r>
    <r>
      <rPr>
        <rFont val="Tahoma"/>
        <b val="0"/>
        <color rgb="FF000000"/>
        <sz val="6.0"/>
      </rPr>
      <t> </t>
    </r>
  </si>
  <si>
    <t>Ahmad Abu Bakr</t>
  </si>
  <si>
    <t>4700F789169</t>
  </si>
  <si>
    <t>38404-5340283-9</t>
  </si>
  <si>
    <r>
      <rPr>
        <rFont val="Tahoma"/>
        <b/>
        <color rgb="FF004400"/>
        <sz val="7.0"/>
      </rPr>
      <t>4700J787448</t>
    </r>
    <r>
      <rPr>
        <rFont val="Tahoma"/>
        <b val="0"/>
        <color rgb="FF004400"/>
        <sz val="7.0"/>
      </rPr>
      <t> </t>
    </r>
  </si>
  <si>
    <r>
      <rPr>
        <rFont val="Tahoma"/>
        <b/>
        <color theme="1"/>
        <sz val="6.0"/>
      </rPr>
      <t>4700D662123</t>
    </r>
    <r>
      <rPr>
        <rFont val="Tahoma"/>
        <b val="0"/>
        <color rgb="FF000000"/>
        <sz val="6.0"/>
      </rPr>
      <t> </t>
    </r>
  </si>
  <si>
    <r>
      <rPr>
        <rFont val="Tahoma"/>
        <b/>
        <color rgb="FF004400"/>
        <sz val="7.0"/>
      </rPr>
      <t>4700E787451</t>
    </r>
    <r>
      <rPr>
        <rFont val="Tahoma"/>
        <b val="0"/>
        <color rgb="FF004400"/>
        <sz val="7.0"/>
      </rPr>
      <t> </t>
    </r>
  </si>
  <si>
    <r>
      <rPr>
        <rFont val="Tahoma"/>
        <b/>
        <color rgb="FF004400"/>
        <sz val="7.0"/>
      </rPr>
      <t>4700B787454</t>
    </r>
    <r>
      <rPr>
        <rFont val="Tahoma"/>
        <b val="0"/>
        <color rgb="FF004400"/>
        <sz val="7.0"/>
      </rPr>
      <t> </t>
    </r>
  </si>
  <si>
    <r>
      <rPr>
        <rFont val="Tahoma"/>
        <b/>
        <color rgb="FF004400"/>
        <sz val="7.0"/>
      </rPr>
      <t>4700D787452</t>
    </r>
    <r>
      <rPr>
        <rFont val="Tahoma"/>
        <b val="0"/>
        <color rgb="FF004400"/>
        <sz val="7.0"/>
      </rPr>
      <t> </t>
    </r>
  </si>
  <si>
    <r>
      <rPr>
        <rFont val="Tahoma"/>
        <b/>
        <color rgb="FF004400"/>
        <sz val="7.0"/>
      </rPr>
      <t>4700C787453</t>
    </r>
    <r>
      <rPr>
        <rFont val="Tahoma"/>
        <b val="0"/>
        <color rgb="FF004400"/>
        <sz val="7.0"/>
      </rPr>
      <t> </t>
    </r>
  </si>
  <si>
    <r>
      <rPr>
        <rFont val="Tahoma"/>
        <b/>
        <color rgb="FF004400"/>
        <sz val="7.0"/>
      </rPr>
      <t>4700F787450</t>
    </r>
    <r>
      <rPr>
        <rFont val="Tahoma"/>
        <b val="0"/>
        <color rgb="FF004400"/>
        <sz val="7.0"/>
      </rPr>
      <t> </t>
    </r>
  </si>
  <si>
    <t>0-Jan-00</t>
  </si>
  <si>
    <t>Manahil Ashfaq</t>
  </si>
  <si>
    <t>3600D574222</t>
  </si>
  <si>
    <t>37405-0487665-2</t>
  </si>
  <si>
    <t>Hamza Bin Hassan</t>
  </si>
  <si>
    <t>3600C522569</t>
  </si>
  <si>
    <t>35201-7498395-7</t>
  </si>
  <si>
    <t>Zaeem Ather</t>
  </si>
  <si>
    <t>4700B789121</t>
  </si>
  <si>
    <t>13101-9775801-9</t>
  </si>
  <si>
    <t>Muhammad Rizwan</t>
  </si>
  <si>
    <t>4700A789122</t>
  </si>
  <si>
    <t>61101-2530021-5</t>
  </si>
  <si>
    <t>Abdul Nafae</t>
  </si>
  <si>
    <t>4700I787449</t>
  </si>
  <si>
    <t>4700J787448</t>
  </si>
  <si>
    <t>4700D662123</t>
  </si>
  <si>
    <t>4700E787451</t>
  </si>
  <si>
    <t>4700B787454</t>
  </si>
  <si>
    <t>4700D787452</t>
  </si>
  <si>
    <t>4700C787453</t>
  </si>
  <si>
    <t>4700F787450</t>
  </si>
  <si>
    <t>``</t>
  </si>
  <si>
    <t xml:space="preserve"> </t>
  </si>
  <si>
    <t>Hamza Mehmood</t>
  </si>
  <si>
    <t>4700I790167</t>
  </si>
  <si>
    <t>37406-7401172-1</t>
  </si>
  <si>
    <t>Muhammad Usman Aslam Mian</t>
  </si>
  <si>
    <t>37405-6744647-7</t>
  </si>
  <si>
    <r>
      <rPr>
        <rFont val="Tahoma"/>
        <b/>
        <color theme="1"/>
        <sz val="6.0"/>
      </rPr>
      <t>4700I787449</t>
    </r>
    <r>
      <rPr>
        <rFont val="Tahoma"/>
        <b val="0"/>
        <color rgb="FF000000"/>
        <sz val="6.0"/>
      </rPr>
      <t> </t>
    </r>
  </si>
  <si>
    <r>
      <rPr>
        <rFont val="Tahoma"/>
        <b/>
        <color rgb="FF004400"/>
        <sz val="7.0"/>
      </rPr>
      <t>4700J787448</t>
    </r>
    <r>
      <rPr>
        <rFont val="Tahoma"/>
        <b val="0"/>
        <color rgb="FF004400"/>
        <sz val="7.0"/>
      </rPr>
      <t> </t>
    </r>
  </si>
  <si>
    <r>
      <rPr>
        <rFont val="Tahoma"/>
        <b/>
        <color theme="1"/>
        <sz val="6.0"/>
      </rPr>
      <t>4700D662123</t>
    </r>
    <r>
      <rPr>
        <rFont val="Tahoma"/>
        <b val="0"/>
        <color rgb="FF000000"/>
        <sz val="6.0"/>
      </rPr>
      <t> </t>
    </r>
  </si>
  <si>
    <r>
      <rPr>
        <rFont val="Tahoma"/>
        <b/>
        <color rgb="FF004400"/>
        <sz val="7.0"/>
      </rPr>
      <t>4700E787451</t>
    </r>
    <r>
      <rPr>
        <rFont val="Tahoma"/>
        <b val="0"/>
        <color rgb="FF004400"/>
        <sz val="7.0"/>
      </rPr>
      <t> </t>
    </r>
  </si>
  <si>
    <r>
      <rPr>
        <rFont val="Tahoma"/>
        <b/>
        <color rgb="FF004400"/>
        <sz val="7.0"/>
      </rPr>
      <t>4700B787454</t>
    </r>
    <r>
      <rPr>
        <rFont val="Tahoma"/>
        <b val="0"/>
        <color rgb="FF004400"/>
        <sz val="7.0"/>
      </rPr>
      <t> </t>
    </r>
  </si>
  <si>
    <r>
      <rPr>
        <rFont val="Tahoma"/>
        <b/>
        <color rgb="FF004400"/>
        <sz val="7.0"/>
      </rPr>
      <t>4700D787452</t>
    </r>
    <r>
      <rPr>
        <rFont val="Tahoma"/>
        <b val="0"/>
        <color rgb="FF004400"/>
        <sz val="7.0"/>
      </rPr>
      <t> </t>
    </r>
  </si>
  <si>
    <r>
      <rPr>
        <rFont val="Tahoma"/>
        <b/>
        <color rgb="FF004400"/>
        <sz val="7.0"/>
      </rPr>
      <t>4700C787453</t>
    </r>
    <r>
      <rPr>
        <rFont val="Tahoma"/>
        <b val="0"/>
        <color rgb="FF004400"/>
        <sz val="7.0"/>
      </rPr>
      <t> </t>
    </r>
  </si>
  <si>
    <r>
      <rPr>
        <rFont val="Tahoma"/>
        <b/>
        <color rgb="FF004400"/>
        <sz val="7.0"/>
      </rPr>
      <t>4700F787450</t>
    </r>
    <r>
      <rPr>
        <rFont val="Tahoma"/>
        <b val="0"/>
        <color rgb="FF004400"/>
        <sz val="7.0"/>
      </rPr>
      <t> </t>
    </r>
  </si>
  <si>
    <r>
      <rPr>
        <rFont val="Tahoma"/>
        <b/>
        <color theme="1"/>
        <sz val="6.0"/>
      </rPr>
      <t>4700I787449</t>
    </r>
    <r>
      <rPr>
        <rFont val="Tahoma"/>
        <b val="0"/>
        <color rgb="FF000000"/>
        <sz val="6.0"/>
      </rPr>
      <t> </t>
    </r>
  </si>
  <si>
    <r>
      <rPr>
        <rFont val="Tahoma"/>
        <b/>
        <color rgb="FF004400"/>
        <sz val="7.0"/>
      </rPr>
      <t>4700J787448</t>
    </r>
    <r>
      <rPr>
        <rFont val="Tahoma"/>
        <b val="0"/>
        <color rgb="FF004400"/>
        <sz val="7.0"/>
      </rPr>
      <t> </t>
    </r>
  </si>
  <si>
    <r>
      <rPr>
        <rFont val="Tahoma"/>
        <b/>
        <color theme="1"/>
        <sz val="6.0"/>
      </rPr>
      <t>4700D662123</t>
    </r>
    <r>
      <rPr>
        <rFont val="Tahoma"/>
        <b val="0"/>
        <color rgb="FF000000"/>
        <sz val="6.0"/>
      </rPr>
      <t> </t>
    </r>
  </si>
  <si>
    <r>
      <rPr>
        <rFont val="Tahoma"/>
        <b/>
        <color rgb="FF004400"/>
        <sz val="7.0"/>
      </rPr>
      <t>4700E787451</t>
    </r>
    <r>
      <rPr>
        <rFont val="Tahoma"/>
        <b val="0"/>
        <color rgb="FF004400"/>
        <sz val="7.0"/>
      </rPr>
      <t> </t>
    </r>
  </si>
  <si>
    <r>
      <rPr>
        <rFont val="Tahoma"/>
        <b/>
        <color rgb="FF004400"/>
        <sz val="7.0"/>
      </rPr>
      <t>4700B787454</t>
    </r>
    <r>
      <rPr>
        <rFont val="Tahoma"/>
        <b val="0"/>
        <color rgb="FF004400"/>
        <sz val="7.0"/>
      </rPr>
      <t> </t>
    </r>
  </si>
  <si>
    <r>
      <rPr>
        <rFont val="Tahoma"/>
        <b/>
        <color rgb="FF004400"/>
        <sz val="7.0"/>
      </rPr>
      <t>4700D787452</t>
    </r>
    <r>
      <rPr>
        <rFont val="Tahoma"/>
        <b val="0"/>
        <color rgb="FF004400"/>
        <sz val="7.0"/>
      </rPr>
      <t> </t>
    </r>
  </si>
  <si>
    <r>
      <rPr>
        <rFont val="Tahoma"/>
        <b/>
        <color rgb="FF004400"/>
        <sz val="7.0"/>
      </rPr>
      <t>4700C787453</t>
    </r>
    <r>
      <rPr>
        <rFont val="Tahoma"/>
        <b val="0"/>
        <color rgb="FF004400"/>
        <sz val="7.0"/>
      </rPr>
      <t> </t>
    </r>
  </si>
  <si>
    <r>
      <rPr>
        <rFont val="Tahoma"/>
        <b/>
        <color rgb="FF004400"/>
        <sz val="7.0"/>
      </rPr>
      <t>4700F787450</t>
    </r>
    <r>
      <rPr>
        <rFont val="Tahoma"/>
        <b val="0"/>
        <color rgb="FF004400"/>
        <sz val="7.0"/>
      </rPr>
      <t> </t>
    </r>
  </si>
  <si>
    <t>Abdul Ahad Qureshi</t>
  </si>
  <si>
    <t xml:space="preserve">4700J792443 </t>
  </si>
  <si>
    <t>61101-9758421-5</t>
  </si>
  <si>
    <t>Muhammad Obaid Ullah</t>
  </si>
  <si>
    <t xml:space="preserve">4700G792446 </t>
  </si>
  <si>
    <t>33103-0142346-7</t>
  </si>
  <si>
    <t>Abdullah Najam Qureshi</t>
  </si>
  <si>
    <t xml:space="preserve">4700D792449 </t>
  </si>
  <si>
    <t>37405-7481458-5</t>
  </si>
  <si>
    <t>Nida Rehman</t>
  </si>
  <si>
    <t xml:space="preserve">5100D255132 </t>
  </si>
  <si>
    <t>17301-8501267-2</t>
  </si>
  <si>
    <t>Javeria Ali</t>
  </si>
  <si>
    <t>4700F715021</t>
  </si>
  <si>
    <t>37405-2588095-8</t>
  </si>
  <si>
    <t>Areeb Afzal</t>
  </si>
  <si>
    <t xml:space="preserve">4700I792452 </t>
  </si>
  <si>
    <t>34402-1699095-3</t>
  </si>
  <si>
    <t>Muneeb Ur Rehman</t>
  </si>
  <si>
    <t>4700D792457</t>
  </si>
  <si>
    <t>31304-1678519-9</t>
  </si>
  <si>
    <t>Ghayas Ahmad</t>
  </si>
  <si>
    <t xml:space="preserve">4600I367468 </t>
  </si>
  <si>
    <t>61101-5790495-9</t>
  </si>
  <si>
    <t>Rashid Minhas</t>
  </si>
  <si>
    <t>4700A792468</t>
  </si>
  <si>
    <t>14101-8586879-3</t>
  </si>
  <si>
    <t>Zaurayz Kashan Shah</t>
  </si>
  <si>
    <t xml:space="preserve">4700E792472 </t>
  </si>
  <si>
    <t>17301-7071105-3</t>
  </si>
  <si>
    <t xml:space="preserve">4700I764085 </t>
  </si>
  <si>
    <t>Maryam Rafique</t>
  </si>
  <si>
    <t>Muhammad Abdullah Rafique</t>
  </si>
  <si>
    <t>0800A616590</t>
  </si>
  <si>
    <t>5100D255132</t>
  </si>
  <si>
    <t>4700E792472</t>
  </si>
  <si>
    <t>4700D792449</t>
  </si>
  <si>
    <t>4700J792443</t>
  </si>
  <si>
    <t>4700G792446</t>
  </si>
  <si>
    <t>4700I792452</t>
  </si>
  <si>
    <t>4600I367468</t>
  </si>
  <si>
    <r>
      <rPr>
        <rFont val="Tahoma"/>
        <b/>
        <color theme="1"/>
        <sz val="6.0"/>
      </rPr>
      <t>4700I787449</t>
    </r>
    <r>
      <rPr>
        <rFont val="Tahoma"/>
        <b val="0"/>
        <color rgb="FF000000"/>
        <sz val="6.0"/>
      </rPr>
      <t> </t>
    </r>
  </si>
  <si>
    <r>
      <rPr>
        <rFont val="Tahoma"/>
        <b/>
        <color rgb="FF004400"/>
        <sz val="7.0"/>
      </rPr>
      <t>4700J787448</t>
    </r>
    <r>
      <rPr>
        <rFont val="Tahoma"/>
        <b val="0"/>
        <color rgb="FF004400"/>
        <sz val="7.0"/>
      </rPr>
      <t> </t>
    </r>
  </si>
  <si>
    <t>3000E823586</t>
  </si>
  <si>
    <t>30202-5275039-5</t>
  </si>
  <si>
    <t>13001-5843018-0</t>
  </si>
  <si>
    <t>30202-4982058-2</t>
  </si>
  <si>
    <r>
      <rPr>
        <rFont val="Tahoma"/>
        <b/>
        <color theme="1"/>
        <sz val="6.0"/>
      </rPr>
      <t>4700D662123</t>
    </r>
    <r>
      <rPr>
        <rFont val="Tahoma"/>
        <b val="0"/>
        <color rgb="FF000000"/>
        <sz val="6.0"/>
      </rPr>
      <t> </t>
    </r>
  </si>
  <si>
    <r>
      <rPr>
        <rFont val="Tahoma"/>
        <b/>
        <color rgb="FF004400"/>
        <sz val="7.0"/>
      </rPr>
      <t>4700E787451</t>
    </r>
    <r>
      <rPr>
        <rFont val="Tahoma"/>
        <b val="0"/>
        <color rgb="FF004400"/>
        <sz val="7.0"/>
      </rPr>
      <t> </t>
    </r>
  </si>
  <si>
    <t>30202-1004575-1</t>
  </si>
  <si>
    <t>30203-9951845-1</t>
  </si>
  <si>
    <r>
      <rPr>
        <rFont val="Tahoma"/>
        <b/>
        <color rgb="FF004400"/>
        <sz val="7.0"/>
      </rPr>
      <t>4700B787454</t>
    </r>
    <r>
      <rPr>
        <rFont val="Tahoma"/>
        <b val="0"/>
        <color rgb="FF004400"/>
        <sz val="7.0"/>
      </rPr>
      <t> </t>
    </r>
  </si>
  <si>
    <r>
      <rPr>
        <rFont val="Tahoma"/>
        <b/>
        <color rgb="FF004400"/>
        <sz val="7.0"/>
      </rPr>
      <t>4700D787452</t>
    </r>
    <r>
      <rPr>
        <rFont val="Tahoma"/>
        <b val="0"/>
        <color rgb="FF004400"/>
        <sz val="7.0"/>
      </rPr>
      <t> </t>
    </r>
  </si>
  <si>
    <t>4700I703304</t>
  </si>
  <si>
    <r>
      <rPr>
        <rFont val="Tahoma"/>
        <b/>
        <color rgb="FF004400"/>
        <sz val="7.0"/>
      </rPr>
      <t>4700C787453</t>
    </r>
    <r>
      <rPr>
        <rFont val="Tahoma"/>
        <b val="0"/>
        <color rgb="FF004400"/>
        <sz val="7.0"/>
      </rPr>
      <t> </t>
    </r>
  </si>
  <si>
    <r>
      <rPr>
        <rFont val="Tahoma"/>
        <b/>
        <color rgb="FF004400"/>
        <sz val="7.0"/>
      </rPr>
      <t>4700F787450</t>
    </r>
    <r>
      <rPr>
        <rFont val="Tahoma"/>
        <b val="0"/>
        <color rgb="FF004400"/>
        <sz val="7.0"/>
      </rPr>
      <t> </t>
    </r>
  </si>
  <si>
    <t>42201-7429302-2</t>
  </si>
  <si>
    <t>13001-9775801-9</t>
  </si>
  <si>
    <t>33003-0142346-7</t>
  </si>
  <si>
    <t>30304-1678519-9</t>
  </si>
  <si>
    <t>Areeba Imran</t>
  </si>
  <si>
    <t xml:space="preserve">0600F192298 </t>
  </si>
  <si>
    <t>42301-6136338-8</t>
  </si>
  <si>
    <t>Fahad Shafique</t>
  </si>
  <si>
    <t>0600H105590</t>
  </si>
  <si>
    <t>42401-9373370-5</t>
  </si>
  <si>
    <t>Abdullah Akhtar</t>
  </si>
  <si>
    <t xml:space="preserve">4700J794283 </t>
  </si>
  <si>
    <t>35201-9548533-9</t>
  </si>
  <si>
    <t>Hafiza Aqsa Saleem</t>
  </si>
  <si>
    <t xml:space="preserve">4700I794284 </t>
  </si>
  <si>
    <t>54401-3043146-8</t>
  </si>
  <si>
    <t>Muhammad Haseeb Ghaffar</t>
  </si>
  <si>
    <t>4700F794287</t>
  </si>
  <si>
    <t>33303-6464805-3</t>
  </si>
  <si>
    <t>Palwasha Yunus</t>
  </si>
  <si>
    <t>4700I735484</t>
  </si>
  <si>
    <t>61101-1254207-6</t>
  </si>
  <si>
    <t>Muhammad Shayan</t>
  </si>
  <si>
    <t>0600A240965</t>
  </si>
  <si>
    <t>42101-7161842-5</t>
  </si>
  <si>
    <t>Sana Hasan</t>
  </si>
  <si>
    <t>4700J682884</t>
  </si>
  <si>
    <t>61101-4182431-8</t>
  </si>
  <si>
    <t>Muhammad Awais</t>
  </si>
  <si>
    <t>4700J608212</t>
  </si>
  <si>
    <t>13101-2262774-5</t>
  </si>
  <si>
    <t>Muhammad Bin Habib</t>
  </si>
  <si>
    <t>0600B241774</t>
  </si>
  <si>
    <t>42101-6881599-1</t>
  </si>
  <si>
    <t>Ahmad Raza Khokhar</t>
  </si>
  <si>
    <t>3300A316878</t>
  </si>
  <si>
    <t>35201-5977475-9</t>
  </si>
  <si>
    <t>Tooba Siddiqui</t>
  </si>
  <si>
    <t>0400C542096</t>
  </si>
  <si>
    <t>42101-4260498-8</t>
  </si>
  <si>
    <t>Syed Anas Kamal</t>
  </si>
  <si>
    <t xml:space="preserve">4700E794288 </t>
  </si>
  <si>
    <t>42201-4590019-5</t>
  </si>
  <si>
    <r>
      <rPr>
        <rFont val="Tahoma"/>
        <b/>
        <color theme="1"/>
        <sz val="6.0"/>
      </rPr>
      <t>4700I787449</t>
    </r>
    <r>
      <rPr>
        <rFont val="Tahoma"/>
        <b val="0"/>
        <color rgb="FF000000"/>
        <sz val="6.0"/>
      </rPr>
      <t> </t>
    </r>
  </si>
  <si>
    <r>
      <rPr>
        <rFont val="Tahoma"/>
        <b/>
        <color rgb="FF004400"/>
        <sz val="7.0"/>
      </rPr>
      <t>4700J787448</t>
    </r>
    <r>
      <rPr>
        <rFont val="Tahoma"/>
        <b val="0"/>
        <color rgb="FF004400"/>
        <sz val="7.0"/>
      </rPr>
      <t> </t>
    </r>
  </si>
  <si>
    <r>
      <rPr>
        <rFont val="Tahoma"/>
        <b/>
        <color theme="1"/>
        <sz val="6.0"/>
      </rPr>
      <t>4700D662123</t>
    </r>
    <r>
      <rPr>
        <rFont val="Tahoma"/>
        <b val="0"/>
        <color rgb="FF000000"/>
        <sz val="6.0"/>
      </rPr>
      <t> </t>
    </r>
  </si>
  <si>
    <r>
      <rPr>
        <rFont val="Tahoma"/>
        <b/>
        <color rgb="FF004400"/>
        <sz val="7.0"/>
      </rPr>
      <t>4700E787451</t>
    </r>
    <r>
      <rPr>
        <rFont val="Tahoma"/>
        <b val="0"/>
        <color rgb="FF004400"/>
        <sz val="7.0"/>
      </rPr>
      <t> </t>
    </r>
  </si>
  <si>
    <r>
      <rPr>
        <rFont val="Tahoma"/>
        <b/>
        <color rgb="FF004400"/>
        <sz val="7.0"/>
      </rPr>
      <t>4700B787454</t>
    </r>
    <r>
      <rPr>
        <rFont val="Tahoma"/>
        <b val="0"/>
        <color rgb="FF004400"/>
        <sz val="7.0"/>
      </rPr>
      <t> </t>
    </r>
  </si>
  <si>
    <r>
      <rPr>
        <rFont val="Tahoma"/>
        <b/>
        <color rgb="FF004400"/>
        <sz val="7.0"/>
      </rPr>
      <t>4700D787452</t>
    </r>
    <r>
      <rPr>
        <rFont val="Tahoma"/>
        <b val="0"/>
        <color rgb="FF004400"/>
        <sz val="7.0"/>
      </rPr>
      <t> </t>
    </r>
  </si>
  <si>
    <r>
      <rPr>
        <rFont val="Tahoma"/>
        <b/>
        <color rgb="FF004400"/>
        <sz val="7.0"/>
      </rPr>
      <t>4700C787453</t>
    </r>
    <r>
      <rPr>
        <rFont val="Tahoma"/>
        <b val="0"/>
        <color rgb="FF004400"/>
        <sz val="7.0"/>
      </rPr>
      <t> </t>
    </r>
  </si>
  <si>
    <r>
      <rPr>
        <rFont val="Tahoma"/>
        <b/>
        <color rgb="FF004400"/>
        <sz val="7.0"/>
      </rPr>
      <t>4700F787450</t>
    </r>
    <r>
      <rPr>
        <rFont val="Tahoma"/>
        <b val="0"/>
        <color rgb="FF004400"/>
        <sz val="7.0"/>
      </rPr>
      <t> </t>
    </r>
  </si>
  <si>
    <t>Muhammad Aqib Awan</t>
  </si>
  <si>
    <t>4700A619521</t>
  </si>
  <si>
    <t>13302-9437802-3</t>
  </si>
  <si>
    <t>Muhammad Salman Afzal</t>
  </si>
  <si>
    <t>4700B797378</t>
  </si>
  <si>
    <t>33100-1143058-5</t>
  </si>
  <si>
    <t>Muhammad Aqib Sher</t>
  </si>
  <si>
    <t>4700A797379</t>
  </si>
  <si>
    <t>38404-8888249-3</t>
  </si>
  <si>
    <t>Owais Asif</t>
  </si>
  <si>
    <t>4700E746528</t>
  </si>
  <si>
    <t>61101-1316783-5</t>
  </si>
  <si>
    <t>Malak Hasan Khan</t>
  </si>
  <si>
    <t>4700H797380</t>
  </si>
  <si>
    <t>15602-1856910-3</t>
  </si>
  <si>
    <t>Areeba Sohail</t>
  </si>
  <si>
    <t>4700G797381</t>
  </si>
  <si>
    <t>37405-5543241-0</t>
  </si>
  <si>
    <t>Nouman Sial</t>
  </si>
  <si>
    <t>0600I138178</t>
  </si>
  <si>
    <t>37405-8046887-1</t>
  </si>
  <si>
    <t>AS per PORTAL</t>
  </si>
  <si>
    <t>Diff</t>
  </si>
  <si>
    <t>Muhammad Aqib</t>
  </si>
  <si>
    <r>
      <rPr>
        <rFont val="Tahoma"/>
        <b/>
        <color rgb="FF004400"/>
        <sz val="7.0"/>
      </rPr>
      <t>4700J787448</t>
    </r>
    <r>
      <rPr>
        <rFont val="Tahoma"/>
        <b val="0"/>
        <color rgb="FF004400"/>
        <sz val="7.0"/>
      </rPr>
      <t> </t>
    </r>
  </si>
  <si>
    <t>Muhammad Asad</t>
  </si>
  <si>
    <r>
      <rPr>
        <rFont val="Tahoma"/>
        <b/>
        <color theme="1"/>
        <sz val="6.0"/>
      </rPr>
      <t>4700D662123</t>
    </r>
    <r>
      <rPr>
        <rFont val="Tahoma"/>
        <b val="0"/>
        <color rgb="FF000000"/>
        <sz val="6.0"/>
      </rPr>
      <t> </t>
    </r>
  </si>
  <si>
    <r>
      <rPr>
        <rFont val="Tahoma"/>
        <b/>
        <color rgb="FF004400"/>
        <sz val="7.0"/>
      </rPr>
      <t>4700E787451</t>
    </r>
    <r>
      <rPr>
        <rFont val="Tahoma"/>
        <b val="0"/>
        <color rgb="FF004400"/>
        <sz val="7.0"/>
      </rPr>
      <t> </t>
    </r>
  </si>
  <si>
    <r>
      <rPr>
        <rFont val="Tahoma"/>
        <b/>
        <color rgb="FF004400"/>
        <sz val="7.0"/>
      </rPr>
      <t>4700B787454</t>
    </r>
    <r>
      <rPr>
        <rFont val="Tahoma"/>
        <b val="0"/>
        <color rgb="FF004400"/>
        <sz val="7.0"/>
      </rPr>
      <t> </t>
    </r>
  </si>
  <si>
    <r>
      <rPr>
        <rFont val="Tahoma"/>
        <b/>
        <color rgb="FF004400"/>
        <sz val="7.0"/>
      </rPr>
      <t>4700D787452</t>
    </r>
    <r>
      <rPr>
        <rFont val="Tahoma"/>
        <b val="0"/>
        <color rgb="FF004400"/>
        <sz val="7.0"/>
      </rPr>
      <t> </t>
    </r>
  </si>
  <si>
    <r>
      <rPr>
        <rFont val="Tahoma"/>
        <b/>
        <color rgb="FF004400"/>
        <sz val="7.0"/>
      </rPr>
      <t>4700C787453</t>
    </r>
    <r>
      <rPr>
        <rFont val="Tahoma"/>
        <b val="0"/>
        <color rgb="FF004400"/>
        <sz val="7.0"/>
      </rPr>
      <t> </t>
    </r>
  </si>
  <si>
    <r>
      <rPr>
        <rFont val="Tahoma"/>
        <b/>
        <color rgb="FF004400"/>
        <sz val="7.0"/>
      </rPr>
      <t>4700F787450</t>
    </r>
    <r>
      <rPr>
        <rFont val="Tahoma"/>
        <b val="0"/>
        <color rgb="FF004400"/>
        <sz val="7.0"/>
      </rPr>
      <t> </t>
    </r>
  </si>
  <si>
    <t>Maryum Rafique</t>
  </si>
  <si>
    <t>Sahran Lalani</t>
  </si>
  <si>
    <t>0600F183621</t>
  </si>
  <si>
    <t>42201-2361860-9</t>
  </si>
  <si>
    <t>Ahmad AbuBakr</t>
  </si>
  <si>
    <r>
      <rPr>
        <rFont val="Tahoma"/>
        <b/>
        <color rgb="FF004400"/>
        <sz val="7.0"/>
      </rPr>
      <t>4700J787448</t>
    </r>
    <r>
      <rPr>
        <rFont val="Tahoma"/>
        <b val="0"/>
        <color rgb="FF004400"/>
        <sz val="7.0"/>
      </rPr>
      <t> </t>
    </r>
  </si>
  <si>
    <r>
      <rPr>
        <rFont val="Tahoma"/>
        <b/>
        <color theme="1"/>
        <sz val="6.0"/>
      </rPr>
      <t>4700D662123</t>
    </r>
    <r>
      <rPr>
        <rFont val="Tahoma"/>
        <b val="0"/>
        <color rgb="FF000000"/>
        <sz val="6.0"/>
      </rPr>
      <t> </t>
    </r>
  </si>
  <si>
    <r>
      <rPr>
        <rFont val="Tahoma"/>
        <b/>
        <color rgb="FF004400"/>
        <sz val="7.0"/>
      </rPr>
      <t>4700E787451</t>
    </r>
    <r>
      <rPr>
        <rFont val="Tahoma"/>
        <b val="0"/>
        <color rgb="FF004400"/>
        <sz val="7.0"/>
      </rPr>
      <t> </t>
    </r>
  </si>
  <si>
    <r>
      <rPr>
        <rFont val="Tahoma"/>
        <b/>
        <color rgb="FF004400"/>
        <sz val="7.0"/>
      </rPr>
      <t>4700B787454</t>
    </r>
    <r>
      <rPr>
        <rFont val="Tahoma"/>
        <b val="0"/>
        <color rgb="FF004400"/>
        <sz val="7.0"/>
      </rPr>
      <t> </t>
    </r>
  </si>
  <si>
    <r>
      <rPr>
        <rFont val="Tahoma"/>
        <b/>
        <color rgb="FF004400"/>
        <sz val="7.0"/>
      </rPr>
      <t>4700C787453</t>
    </r>
    <r>
      <rPr>
        <rFont val="Tahoma"/>
        <b val="0"/>
        <color rgb="FF004400"/>
        <sz val="7.0"/>
      </rPr>
      <t> </t>
    </r>
  </si>
  <si>
    <r>
      <rPr>
        <rFont val="Tahoma"/>
        <b/>
        <color rgb="FF004400"/>
        <sz val="7.0"/>
      </rPr>
      <t>4700F787450</t>
    </r>
    <r>
      <rPr>
        <rFont val="Tahoma"/>
        <b val="0"/>
        <color rgb="FF004400"/>
        <sz val="7.0"/>
      </rPr>
      <t> </t>
    </r>
  </si>
  <si>
    <t>Hamza Mumtaz</t>
  </si>
  <si>
    <t>4700E782401</t>
  </si>
  <si>
    <t>17201-9930252-5</t>
  </si>
  <si>
    <t>Zain Ali Rizvi</t>
  </si>
  <si>
    <t>4700I004346</t>
  </si>
  <si>
    <t>35202-5617047-5</t>
  </si>
  <si>
    <t>Aqsa Nazir Kayani</t>
  </si>
  <si>
    <t>4700H004347</t>
  </si>
  <si>
    <t>37405-7405830-2</t>
  </si>
  <si>
    <t>Haris Elahi</t>
  </si>
  <si>
    <t>6100H086830</t>
  </si>
  <si>
    <t>54400-3989260-3</t>
  </si>
  <si>
    <t/>
  </si>
  <si>
    <t>Empl_Contrbtion_Salaries_Sheet_Formula</t>
  </si>
  <si>
    <r>
      <rPr>
        <rFont val="Tahoma"/>
        <b/>
        <color rgb="FF004400"/>
        <sz val="7.0"/>
      </rPr>
      <t>4700J787448</t>
    </r>
    <r>
      <rPr>
        <rFont val="Tahoma"/>
        <b val="0"/>
        <color rgb="FF004400"/>
        <sz val="7.0"/>
      </rPr>
      <t> </t>
    </r>
  </si>
  <si>
    <r>
      <rPr>
        <rFont val="Tahoma"/>
        <b/>
        <color theme="1"/>
        <sz val="6.0"/>
      </rPr>
      <t>4700D662123</t>
    </r>
    <r>
      <rPr>
        <rFont val="Tahoma"/>
        <b val="0"/>
        <color rgb="FF000000"/>
        <sz val="6.0"/>
      </rPr>
      <t> </t>
    </r>
  </si>
  <si>
    <r>
      <rPr>
        <rFont val="Tahoma"/>
        <b/>
        <color rgb="FF004400"/>
        <sz val="7.0"/>
      </rPr>
      <t>4700E787451</t>
    </r>
    <r>
      <rPr>
        <rFont val="Tahoma"/>
        <b val="0"/>
        <color rgb="FF004400"/>
        <sz val="7.0"/>
      </rPr>
      <t> </t>
    </r>
  </si>
  <si>
    <r>
      <rPr>
        <rFont val="Tahoma"/>
        <b/>
        <color rgb="FF004400"/>
        <sz val="7.0"/>
      </rPr>
      <t>4700B787454</t>
    </r>
    <r>
      <rPr>
        <rFont val="Tahoma"/>
        <b val="0"/>
        <color rgb="FF004400"/>
        <sz val="7.0"/>
      </rPr>
      <t> </t>
    </r>
  </si>
  <si>
    <r>
      <rPr>
        <rFont val="Tahoma"/>
        <b/>
        <color rgb="FF004400"/>
        <sz val="7.0"/>
      </rPr>
      <t>4700C787453</t>
    </r>
    <r>
      <rPr>
        <rFont val="Tahoma"/>
        <b val="0"/>
        <color rgb="FF004400"/>
        <sz val="7.0"/>
      </rPr>
      <t> </t>
    </r>
  </si>
  <si>
    <t>Faisal Saeed</t>
  </si>
  <si>
    <t>4700H009038</t>
  </si>
  <si>
    <t>32203-0990478-3</t>
  </si>
  <si>
    <t>Syed Muhammad Kamran</t>
  </si>
  <si>
    <t>4700B009042</t>
  </si>
  <si>
    <t>42101-9697141-7</t>
  </si>
  <si>
    <t>Ayesha Siddiqa</t>
  </si>
  <si>
    <t>4700A009043</t>
  </si>
  <si>
    <t>37203-6912610-8</t>
  </si>
  <si>
    <t>Haris Rehman</t>
  </si>
  <si>
    <t>4700J009044</t>
  </si>
  <si>
    <t>34101-9394551-5</t>
  </si>
  <si>
    <t>Moeen Ud Din Gillani</t>
  </si>
  <si>
    <t>4900E026687</t>
  </si>
  <si>
    <t>82203-6519670-7</t>
  </si>
  <si>
    <t>Month</t>
  </si>
  <si>
    <t>Old data</t>
  </si>
  <si>
    <t>Updated Data</t>
  </si>
  <si>
    <t>Difference</t>
  </si>
  <si>
    <t>NEW NIC</t>
  </si>
  <si>
    <t>OLD NIC</t>
  </si>
  <si>
    <t>F/H NAME</t>
  </si>
  <si>
    <t>RELATIONSHIP CODE</t>
  </si>
  <si>
    <t>GENDER</t>
  </si>
  <si>
    <t>DATE OF BIRTH</t>
  </si>
  <si>
    <t>DATEOF JOINING EMPLOYER</t>
  </si>
  <si>
    <t>POSTAL ADDRESS OF EMPLOYEE</t>
  </si>
  <si>
    <t>CITY</t>
  </si>
  <si>
    <t>PROVINCE</t>
  </si>
  <si>
    <t>PHONE</t>
  </si>
  <si>
    <t>EMAIL</t>
  </si>
  <si>
    <t>Muhammad ibrahim</t>
  </si>
  <si>
    <t>F</t>
  </si>
  <si>
    <t>M</t>
  </si>
  <si>
    <t>Royal avenue chak shehzad</t>
  </si>
  <si>
    <t>Islamabad</t>
  </si>
  <si>
    <t>ISLAMABAD</t>
  </si>
  <si>
    <t>abdulhmd11@gmail.com</t>
  </si>
  <si>
    <t>Akhtar Javaid</t>
  </si>
  <si>
    <t>15/09/2001</t>
  </si>
  <si>
    <t>15/04/2024</t>
  </si>
  <si>
    <t>NUST Hostels, H-12, Islamabad</t>
  </si>
  <si>
    <t>abdul.moiez876@gmail.com</t>
  </si>
  <si>
    <t>Rashid Aziz</t>
  </si>
  <si>
    <t>17/07/1999</t>
  </si>
  <si>
    <t>house 81, st 2, block B, CBR Town, Islamabad</t>
  </si>
  <si>
    <t>abdullahrashid17@hotmail.com</t>
  </si>
  <si>
    <t>Shahid Raza</t>
  </si>
  <si>
    <t>22/07/2002</t>
  </si>
  <si>
    <t>21/10/2024</t>
  </si>
  <si>
    <t>B16, Gulshan Iqbal, Karachi</t>
  </si>
  <si>
    <t>Karachi</t>
  </si>
  <si>
    <t>Sindh</t>
  </si>
  <si>
    <t>razashahid107@gmail.com</t>
  </si>
  <si>
    <t>Tariq Mahmood</t>
  </si>
  <si>
    <t>F-557, Satellite Town, Rawalpindi</t>
  </si>
  <si>
    <t>Rawalpindi</t>
  </si>
  <si>
    <t>Punjab</t>
  </si>
  <si>
    <t>adilalitariq100@gmail.com</t>
  </si>
  <si>
    <t>Khalid Hussain</t>
  </si>
  <si>
    <t>18/12/2023</t>
  </si>
  <si>
    <t>House no. 35e, Park View, New Lalazar, Morghaa More, Rawalpindi</t>
  </si>
  <si>
    <t>ahmed.niazi124@gmail.com</t>
  </si>
  <si>
    <t>Muhammad Asghar</t>
  </si>
  <si>
    <t>18/01/2002</t>
  </si>
  <si>
    <t>E11/4 Street No 1, House No 1086, Near Roots Millennium School, Islamabad</t>
  </si>
  <si>
    <t>amish.tufail2002@gmail.com</t>
  </si>
  <si>
    <t>Syed Mehtab Ali Shah Gillani</t>
  </si>
  <si>
    <t>22/05/2002</t>
  </si>
  <si>
    <t>19/06/2023</t>
  </si>
  <si>
    <t>NUST-H12 ISLAMBAB SECTOR</t>
  </si>
  <si>
    <t>syedaanamilgillani@gmail.com</t>
  </si>
  <si>
    <t>Muhammad Toqeer</t>
  </si>
  <si>
    <t>19/07/1999</t>
  </si>
  <si>
    <t>Khudadad heights, Islamabad</t>
  </si>
  <si>
    <t>attaskalyar@gmail.com</t>
  </si>
  <si>
    <t>Syed Inam Ullah Tirmizi</t>
  </si>
  <si>
    <t>23/12/1990</t>
  </si>
  <si>
    <t>House 23, Street 9, Block-B, Soan Gardens, Islamabad</t>
  </si>
  <si>
    <t>annum.shah3@gmail.com</t>
  </si>
  <si>
    <t>Shafqat Ali</t>
  </si>
  <si>
    <t>14/12/1995</t>
  </si>
  <si>
    <t>27/11/2023</t>
  </si>
  <si>
    <t>House no. 612 Street 6-E-2 Shabbir Lane Cantt, Rawalpindi</t>
  </si>
  <si>
    <t>asad1260@yahoo.com</t>
  </si>
  <si>
    <t>Muhammad Latif</t>
  </si>
  <si>
    <t>24/04/2002</t>
  </si>
  <si>
    <t>27/06/2022</t>
  </si>
  <si>
    <t>Pir Mehel, Tuba Tek Singh, Faislabad</t>
  </si>
  <si>
    <t>Faisalabad</t>
  </si>
  <si>
    <t>alatif.bscs19seecs@seecs.edu.pk</t>
  </si>
  <si>
    <t>Rab Nawaz</t>
  </si>
  <si>
    <t>27/08/1999</t>
  </si>
  <si>
    <t>30/10/2023</t>
  </si>
  <si>
    <t>Street no 14 Altaf colony near rangers headquarters Lahore cantt</t>
  </si>
  <si>
    <t>Lahore</t>
  </si>
  <si>
    <t>malikatifkandaan@gmail.com</t>
  </si>
  <si>
    <t>Muhammad Ishfaq</t>
  </si>
  <si>
    <t>23/12/1999</t>
  </si>
  <si>
    <t>Islamabad Homes phase 1, Street 1-E, House 21, H-15, Islamabad</t>
  </si>
  <si>
    <t>aunishfaq928@gmail.com</t>
  </si>
  <si>
    <t>Syed Wajid Ali Shah</t>
  </si>
  <si>
    <t>House no.6, Lane no.2, Raja Habib Lane, Nadir Street, Adyala Road, Rawalpindi</t>
  </si>
  <si>
    <t>ayesha.s.2002@gmail.com</t>
  </si>
  <si>
    <t>Muhammad Tahir</t>
  </si>
  <si>
    <t>House No. CB 14/5, Masjid Ayesha Road, Narrian Cantt, Abbottabad</t>
  </si>
  <si>
    <t>ABBOTTABAD</t>
  </si>
  <si>
    <t>KHYBER PUKHTUNKHAWA</t>
  </si>
  <si>
    <t>ayesha.tahirxd@gmail.com</t>
  </si>
  <si>
    <t>Muhammad Afraz</t>
  </si>
  <si>
    <t>24/09/1994</t>
  </si>
  <si>
    <t>Dhoke Chaudrian, Chaklala Scheme 3, House BR35, Rawalpindi</t>
  </si>
  <si>
    <t>basitafraz8@gmail.com</t>
  </si>
  <si>
    <t>Abdul Majeed</t>
  </si>
  <si>
    <t>29/07/2024</t>
  </si>
  <si>
    <t>House#623 street#24 G-15/1 islamabad</t>
  </si>
  <si>
    <t>durekashaf217@gmail.com</t>
  </si>
  <si>
    <t>Khalil Ahmed</t>
  </si>
  <si>
    <t>House no 39B, street 8, Wahdat colony, taxila</t>
  </si>
  <si>
    <t>Taxila</t>
  </si>
  <si>
    <t>effa.ahmad1234@gmail.com</t>
  </si>
  <si>
    <t>Javed Afsar</t>
  </si>
  <si>
    <t>18/07/2022</t>
  </si>
  <si>
    <t>Golden Era , Boys Hostel, H-13, Islamabad</t>
  </si>
  <si>
    <t>faizzan16@gmail.com</t>
  </si>
  <si>
    <t>Habib Ur Rehman Khan</t>
  </si>
  <si>
    <t>24/11/2001</t>
  </si>
  <si>
    <t>Faiza Hostels H-13 Islamabad</t>
  </si>
  <si>
    <t>farzamhabib11@gmail.com</t>
  </si>
  <si>
    <t>Zahoor Ahmed</t>
  </si>
  <si>
    <t>27/03/1999</t>
  </si>
  <si>
    <t>17/10/2022</t>
  </si>
  <si>
    <t>House 60/2D, Agha khan road, F6/1, Islamabad</t>
  </si>
  <si>
    <t>hz.zahoor@gmail.com</t>
  </si>
  <si>
    <t>Muhammad Siddique</t>
  </si>
  <si>
    <t>25/06/1997</t>
  </si>
  <si>
    <t>House 244, lane 3, Askari 10, RWP, near Jinnah Park, Rawalpindi</t>
  </si>
  <si>
    <t>hk036078@gmail.com</t>
  </si>
  <si>
    <t>Far Zaman</t>
  </si>
  <si>
    <t>Ghouri town phase 4, Islamabad</t>
  </si>
  <si>
    <t>hamzamughal.k98@gmail.com</t>
  </si>
  <si>
    <t>Amjad Hussain</t>
  </si>
  <si>
    <t>13/09/1994</t>
  </si>
  <si>
    <t>22/01/2024</t>
  </si>
  <si>
    <t>House No 36 Block B PIA society Johan Town Lahore</t>
  </si>
  <si>
    <t>humairawrites8@gmail.com</t>
  </si>
  <si>
    <t>Kalim Jamshed</t>
  </si>
  <si>
    <t>31/12/2000</t>
  </si>
  <si>
    <t>172 A, Rose Street, Hali Road, Westridge 1, RWP</t>
  </si>
  <si>
    <t>naegi100@gmail.com</t>
  </si>
  <si>
    <t>Shahzad Raza</t>
  </si>
  <si>
    <t>H</t>
  </si>
  <si>
    <t>Javed Plaza, Apartment 17, DHA Phase 2, Gate 2 opposite, Islamabad</t>
  </si>
  <si>
    <t>izzashakeel595@gmail.com</t>
  </si>
  <si>
    <t>Umer Farooq</t>
  </si>
  <si>
    <t>29/08/1999</t>
  </si>
  <si>
    <t>H13/3, House 80/Street 7, Islamabad</t>
  </si>
  <si>
    <t>khadijaumer13@gmail.com</t>
  </si>
  <si>
    <t>Zafar Hussain Javed</t>
  </si>
  <si>
    <t>18/03/2024</t>
  </si>
  <si>
    <t>Khadija Hostels NUST H-12 Islamabad</t>
  </si>
  <si>
    <t>lameeszafar312@gmail.com</t>
  </si>
  <si>
    <t>Village Awan Pur, Tehsil Fateh Jang, District Attock</t>
  </si>
  <si>
    <t>Attock</t>
  </si>
  <si>
    <t>Luqmanahmed2088@gmail.com</t>
  </si>
  <si>
    <t>Riaz Ahmed Aziz</t>
  </si>
  <si>
    <t>Meezan Bank Street, Near Post Office Muhala Riazabad City, Kabirwala District, Khanewal</t>
  </si>
  <si>
    <t>Khanewal</t>
  </si>
  <si>
    <t>misbhaziz@gmail.com</t>
  </si>
  <si>
    <t>Sar Balland Khan</t>
  </si>
  <si>
    <t>13/05/1992</t>
  </si>
  <si>
    <t>House # 7-A, Street # 1, Block C Soan Gardens Islamabad</t>
  </si>
  <si>
    <t>ehtasham.balland@gmail.com</t>
  </si>
  <si>
    <t>Amjad Ali</t>
  </si>
  <si>
    <t>26/07/1996</t>
  </si>
  <si>
    <t>House No 284, Street No 15, Bahria town phase 1, Rawalpindi</t>
  </si>
  <si>
    <t>mohsinali199612@gmail.com</t>
  </si>
  <si>
    <t>Model Town C, Block Y, House 56c, Bahawalpur</t>
  </si>
  <si>
    <t>Bahawalpur</t>
  </si>
  <si>
    <t>muawiz.umer20@gmail.com</t>
  </si>
  <si>
    <t>Abdul Salam</t>
  </si>
  <si>
    <t>13/06/2000</t>
  </si>
  <si>
    <t>CB1220/4, Qadria Colony, Near shalbandi Darbaar, Peshawar rd. RWP</t>
  </si>
  <si>
    <t>thealfa136@gmail.com</t>
  </si>
  <si>
    <t>Muhammad Iqbal Khan</t>
  </si>
  <si>
    <t>22/07/2024</t>
  </si>
  <si>
    <t>Wapda Town phase 2, House number 1063, R block, Multan</t>
  </si>
  <si>
    <t>Multan</t>
  </si>
  <si>
    <t>abeelkhan1144@gmail.com</t>
  </si>
  <si>
    <t>Muhammad Arshad</t>
  </si>
  <si>
    <t>25/11/2001</t>
  </si>
  <si>
    <t>House#114, Sector-A, Street# Jinnah Avenue, Zaraj Housing Society, Islamabad.</t>
  </si>
  <si>
    <t>adaamchezz@gmail.com</t>
  </si>
  <si>
    <t>Nazar Hussain</t>
  </si>
  <si>
    <t>NUST, H-12, Islamabad</t>
  </si>
  <si>
    <t>m.adnan6662@gmail.com</t>
  </si>
  <si>
    <t>Mussadaq Hussain Kiyani</t>
  </si>
  <si>
    <t>18/04/1996</t>
  </si>
  <si>
    <t>House 360, Street 143, D-12/4, Islamabad.</t>
  </si>
  <si>
    <t>kiyanimuhammadali@gmail.com</t>
  </si>
  <si>
    <t>Kamran Khan</t>
  </si>
  <si>
    <t>Hajveri hostels nust h12 Islamabad</t>
  </si>
  <si>
    <t>anasatwork01@gmail.com</t>
  </si>
  <si>
    <t>Muhammad Mansha Shahid</t>
  </si>
  <si>
    <t>28/05/1998</t>
  </si>
  <si>
    <t>16/10/2023</t>
  </si>
  <si>
    <t>Flat#C1 Habib plaza street#1 H-13 Islamabad</t>
  </si>
  <si>
    <t>ullahasad610@gmail.com</t>
  </si>
  <si>
    <t>Farrukh Baig</t>
  </si>
  <si>
    <t>20/05/2024</t>
  </si>
  <si>
    <t>Flat 7A, Askari towers 1, block 10, DHA 2, Islamabad</t>
  </si>
  <si>
    <t>mm.ayan.baig@gmail.com</t>
  </si>
  <si>
    <t>Tanveer Anwar</t>
  </si>
  <si>
    <t>Al Makkah Tower, E11-4, Islamabad</t>
  </si>
  <si>
    <t>bilaalnizami007@gmail.com</t>
  </si>
  <si>
    <t>Muhammad Ramzan</t>
  </si>
  <si>
    <t>18/03/1998</t>
  </si>
  <si>
    <t>19/08/2024</t>
  </si>
  <si>
    <t>H#1, St#1, Sec F, DHA Phase 2, Islamabad</t>
  </si>
  <si>
    <t>hamzaramzan@hotmail.com</t>
  </si>
  <si>
    <t>Irshad Ahmad</t>
  </si>
  <si>
    <t>19/06/2001</t>
  </si>
  <si>
    <t>House #2 Street #2 Mill Road Hakeemabad, Nowshera Cantt, Nowshera</t>
  </si>
  <si>
    <t>Nowshera</t>
  </si>
  <si>
    <t>hassamk@proton.me</t>
  </si>
  <si>
    <t>Shakeel Ahmad</t>
  </si>
  <si>
    <t>25/09/2000</t>
  </si>
  <si>
    <t>20/12/2022</t>
  </si>
  <si>
    <t>Apartment # 1010, Landmark III, H-13</t>
  </si>
  <si>
    <t>haxsanshakeel@gmail.com</t>
  </si>
  <si>
    <t>Ehsaan ul Haq</t>
  </si>
  <si>
    <t>22/10/2000</t>
  </si>
  <si>
    <t>ocarts62@gmail.com</t>
  </si>
  <si>
    <t>Abdul Rasheed</t>
  </si>
  <si>
    <t>Rehman Village, Phase 2, Street 2, Jhang Road, Faisalabad</t>
  </si>
  <si>
    <t>mrasheed.bese19seecs@seecs.edu.pk</t>
  </si>
  <si>
    <t>Muhammad Banaras</t>
  </si>
  <si>
    <t>Main street Bukhari Town, House next to jamia masjid Ashra Mubashra Jhangi Syedan Islamabad</t>
  </si>
  <si>
    <t>muhammadshoaibajk@gmail.com</t>
  </si>
  <si>
    <t>Sohail Nisar Sheikh</t>
  </si>
  <si>
    <t>26/08/2002</t>
  </si>
  <si>
    <t>24/06/2024</t>
  </si>
  <si>
    <t>House No MCB-9/34 Quaid abad Bhon Road Chakwal</t>
  </si>
  <si>
    <t>Chakwal</t>
  </si>
  <si>
    <t>umairsohail108@gmail.com</t>
  </si>
  <si>
    <t>Mushtaq Ahmed</t>
  </si>
  <si>
    <t>13/07/2001</t>
  </si>
  <si>
    <t>18/04/2024</t>
  </si>
  <si>
    <t>Hajveri Hostel NUST H-12 Islamabad Pakistan</t>
  </si>
  <si>
    <t>uzaimah89@gmail.com</t>
  </si>
  <si>
    <t>Muhammad Zaigham Tahir</t>
  </si>
  <si>
    <t>26/01/2003</t>
  </si>
  <si>
    <t>Razi-1 Hostel NUST, H-12, Islamabad</t>
  </si>
  <si>
    <t>w26waleed@gmail.com</t>
  </si>
  <si>
    <t>Shakeel Hussain</t>
  </si>
  <si>
    <t>House 40, Lane 2, Askari 12, Rawalpindi</t>
  </si>
  <si>
    <t>muizshakeel@gmail.com</t>
  </si>
  <si>
    <t>Imran Rafiq Chughtai</t>
  </si>
  <si>
    <t>16/01/2001</t>
  </si>
  <si>
    <t>H # 57, St 12, Sector E, DHA Phase 1, Islamabad</t>
  </si>
  <si>
    <t>mmchughtai9@gmail.com</t>
  </si>
  <si>
    <t>Zahid Hussain</t>
  </si>
  <si>
    <t>Flat F, building 17, QMG Flats Westridge 3, Rawalpindi</t>
  </si>
  <si>
    <t>nimraz787@gmail.com</t>
  </si>
  <si>
    <t>Sibghat Ullah</t>
  </si>
  <si>
    <t>22/01/2002</t>
  </si>
  <si>
    <t>House #1122 street #10 sector G14 / 4, Islamabad</t>
  </si>
  <si>
    <t>omarsibghat@gmail.com</t>
  </si>
  <si>
    <t>Iqbal Naseer</t>
  </si>
  <si>
    <t>H# DK 266, Dhoke Kashmirian, P/O Satellite town, Service Road, rwp</t>
  </si>
  <si>
    <t>rashidiqbalf16@gmail.com</t>
  </si>
  <si>
    <t>Irfan Zaki</t>
  </si>
  <si>
    <t>26/11/1996</t>
  </si>
  <si>
    <t>25/03/2024</t>
  </si>
  <si>
    <t>45 C st 6 Sui Gas Society Lahore</t>
  </si>
  <si>
    <t>sabzaygig@gmail.com</t>
  </si>
  <si>
    <t>Waqar Ehsan</t>
  </si>
  <si>
    <t>House no. 81 A, Zakaria Road, Westridge 2, Rawalpindi</t>
  </si>
  <si>
    <t>Shaheryarehsanihaque@gmail.com</t>
  </si>
  <si>
    <t>Muhammad Farooq Rahi</t>
  </si>
  <si>
    <t>29/03/2001</t>
  </si>
  <si>
    <t>house no. 216, St 1, Pirwadhai Modh, Peshawar Road, Rawalpindi</t>
  </si>
  <si>
    <t>shahzadvyro@gmail.com</t>
  </si>
  <si>
    <t>Ali Haider</t>
  </si>
  <si>
    <t>House number 28, street 22-C, G-10/2 Islamabad</t>
  </si>
  <si>
    <t>sukaina.ali6@aiesec.net</t>
  </si>
  <si>
    <t>Sheikh Aamir Naseem</t>
  </si>
  <si>
    <t>19/06/1994</t>
  </si>
  <si>
    <t>House no. 5A, lane number 4 Harley street Rawalpindi, Cantt, Pakistan</t>
  </si>
  <si>
    <t>sulemanaamir2@gmail.com</t>
  </si>
  <si>
    <t>Ahya ul Aloom, Mohalla Moeen Abad, Wah Cantt</t>
  </si>
  <si>
    <t>Wah Cantt</t>
  </si>
  <si>
    <t>syedhamzaali0319@gmail.com</t>
  </si>
  <si>
    <t>Syed Fawad Ahsen</t>
  </si>
  <si>
    <t>30/09/1999</t>
  </si>
  <si>
    <t>5-C-B/28, Nazimabad, Karachi</t>
  </si>
  <si>
    <t>smaazahmed78@gmail.com</t>
  </si>
  <si>
    <t>Syed Qamar Abbas</t>
  </si>
  <si>
    <t>26/11/2000</t>
  </si>
  <si>
    <t>Flat 4C, Block 9, Askari Tower 2, Sector D, DHA 2, Islamabad.</t>
  </si>
  <si>
    <t>abbaswasi28@gmail.com</t>
  </si>
  <si>
    <t>Muhammad Salahuddin</t>
  </si>
  <si>
    <t>26/08/2024</t>
  </si>
  <si>
    <t>H-13 House#03 Street no 02, Capital Street near Landmark 3, Landmark 3 Quetta Hotel</t>
  </si>
  <si>
    <t>syedosamasalahuddin@gmail.com</t>
  </si>
  <si>
    <t>Syed Mujtaba Shahid</t>
  </si>
  <si>
    <t>16/07/2003</t>
  </si>
  <si>
    <t>House 199, Street 6, Phase 4, Bahria Town, Islamabad</t>
  </si>
  <si>
    <t>shahidfm01@gmail.com</t>
  </si>
  <si>
    <t>Muhammad Afzal</t>
  </si>
  <si>
    <t>24/09/1997</t>
  </si>
  <si>
    <t>26/02/2024</t>
  </si>
  <si>
    <t>H#207, R Block, Model Town, Lahore</t>
  </si>
  <si>
    <t>chishty.tauqeer@gmail.com</t>
  </si>
  <si>
    <t>Syed Muhammad Arif</t>
  </si>
  <si>
    <t>28/09/2000</t>
  </si>
  <si>
    <t>21/11/2022</t>
  </si>
  <si>
    <t>House 10, street 44, korang town, Islamabad</t>
  </si>
  <si>
    <t>tayyababbas2000.vyro@gmail.com</t>
  </si>
  <si>
    <t>Asim Naeem Janjua</t>
  </si>
  <si>
    <t>House 11, Avenue 9, Block B, DHA Phase 3, Islamabad</t>
  </si>
  <si>
    <t>ubaidasim514@gmail.com</t>
  </si>
  <si>
    <t>Umar Ishaq</t>
  </si>
  <si>
    <t>14/06/1992</t>
  </si>
  <si>
    <t>House 1574/F, st. 72, MR 8, Block C, Multi Gardens, B-17</t>
  </si>
  <si>
    <t>umaira.jabeen@vyro.ai</t>
  </si>
  <si>
    <t>Anwar Khan</t>
  </si>
  <si>
    <t>18/10/1999</t>
  </si>
  <si>
    <t>Post Office Lakarmar, Malangi, Tehsil Jand, District Attock</t>
  </si>
  <si>
    <t>uzmakhattak89@gmail.com</t>
  </si>
  <si>
    <t>Khawaja Muhammad Sadiq</t>
  </si>
  <si>
    <t>23/01/1998</t>
  </si>
  <si>
    <t>Near Shani Fast Food Seventh Road Rawalpindi.</t>
  </si>
  <si>
    <t>shakawali1511@gmail.com</t>
  </si>
  <si>
    <t>Shahid Mahmood</t>
  </si>
  <si>
    <t>17/01/1999</t>
  </si>
  <si>
    <t>29/01/2024</t>
  </si>
  <si>
    <t>Flat no# D34, E-11/1</t>
  </si>
  <si>
    <t>zainshahidbuttt@gmail.com</t>
  </si>
  <si>
    <t>Malik Muhammad Shahzad</t>
  </si>
  <si>
    <t>21/12/2000</t>
  </si>
  <si>
    <t>House 208, DCI, Islamabad</t>
  </si>
  <si>
    <t>zbmkwork@gmail.com</t>
  </si>
  <si>
    <t>Munir Iqbal Sajid</t>
  </si>
  <si>
    <t>23/10/2023</t>
  </si>
  <si>
    <t>House No. 532, Karim Block, Allama Iqbal Town, Lahore</t>
  </si>
  <si>
    <t>zohamunir@outlook.com</t>
  </si>
  <si>
    <t>Mehboob Anjum Khokar</t>
  </si>
  <si>
    <t>19/01/2000</t>
  </si>
  <si>
    <t>30/09/2024</t>
  </si>
  <si>
    <t>H.618, St.24. Ghori Town Phase 4A, Islamabad</t>
  </si>
  <si>
    <t>zorobanjum@hotmail.com</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</si>
</sst>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d&quot;-&quot;mmm&quot;-&quot;yy"/>
    <numFmt numFmtId="165" formatCode="d\-mmm\-yyyy"/>
    <numFmt numFmtId="166" formatCode="_(* #,##0_);_(* \(#,##0\);_(* &quot;-&quot;_);_(@_)"/>
    <numFmt numFmtId="167" formatCode="_(* #,##0_);_(* \(#,##0\);_(* &quot;-&quot;??_);_(@_)"/>
    <numFmt numFmtId="168" formatCode="d&quot;-&quot;mmm&quot;-&quot;yyyy"/>
    <numFmt numFmtId="169" formatCode="d-mmm-yy"/>
    <numFmt numFmtId="170" formatCode="d-mmmm-yy"/>
    <numFmt numFmtId="171" formatCode="m/d/yyyy"/>
    <numFmt numFmtId="172" formatCode="d mmm yyyy"/>
    <numFmt numFmtId="173" formatCode="yy-mmm-d"/>
    <numFmt numFmtId="174" formatCode="mm/dd/yyyy"/>
    <numFmt numFmtId="175" formatCode="#,##0_);(#,##0)"/>
    <numFmt numFmtId="176" formatCode="[$-409]d\-mmm\-yy"/>
    <numFmt numFmtId="177" formatCode="d\-mmmm\-yy"/>
    <numFmt numFmtId="178" formatCode="d mmm"/>
    <numFmt numFmtId="179" formatCode="d-mmm-yyyy"/>
    <numFmt numFmtId="180" formatCode="dd-mmm-yy"/>
    <numFmt numFmtId="181" formatCode="M/d/yyyy"/>
    <numFmt numFmtId="182" formatCode="mmmm yyyy"/>
    <numFmt numFmtId="183" formatCode="d mmmm yyyy"/>
  </numFmts>
  <fonts count="47">
    <font>
      <sz val="10.0"/>
      <color rgb="FF000000"/>
      <name val="Arial"/>
      <scheme val="minor"/>
    </font>
    <font>
      <b/>
      <color rgb="FFFFFFFF"/>
      <name val="Helvetica Neue"/>
    </font>
    <font>
      <color theme="1"/>
      <name val="Helvetica Neue"/>
    </font>
    <font>
      <color theme="1"/>
      <name val="Arial"/>
    </font>
    <font>
      <color theme="1"/>
      <name val="Arial"/>
      <scheme val="minor"/>
    </font>
    <font>
      <sz val="11.0"/>
      <color theme="1"/>
      <name val="Aptos narrow"/>
    </font>
    <font>
      <sz val="11.0"/>
      <color theme="1"/>
      <name val="Arial"/>
    </font>
    <font>
      <sz val="11.0"/>
      <color theme="1"/>
      <name val="Helvetica Neue"/>
    </font>
    <font>
      <b/>
      <color theme="1"/>
      <name val="Arial"/>
    </font>
    <font>
      <color theme="1"/>
      <name val="Calibri"/>
    </font>
    <font>
      <sz val="9.0"/>
      <color rgb="FF1F1F1F"/>
      <name val="Google Sans"/>
    </font>
    <font>
      <color theme="1"/>
      <name val="Verdana"/>
    </font>
    <font>
      <sz val="11.0"/>
      <color theme="1"/>
      <name val="Calibri"/>
    </font>
    <font>
      <b/>
      <color rgb="FFFFFFFF"/>
      <name val="&quot;Helvetica Neue&quot;"/>
    </font>
    <font>
      <color rgb="FF000000"/>
      <name val="&quot;Helvetica Neue&quot;"/>
    </font>
    <font>
      <sz val="11.0"/>
      <color rgb="FF000000"/>
      <name val="Calibri"/>
    </font>
    <font>
      <color rgb="FF000000"/>
      <name val="Arial"/>
    </font>
    <font>
      <color rgb="FF000000"/>
      <name val="Calibri"/>
    </font>
    <font>
      <color rgb="FF000000"/>
      <name val="Verdana"/>
    </font>
    <font>
      <sz val="9.0"/>
      <color rgb="FF1F1F1F"/>
      <name val="&quot;Google Sans&quot;"/>
    </font>
    <font>
      <b/>
      <sz val="11.0"/>
      <color rgb="FF000000"/>
      <name val="Calibri"/>
    </font>
    <font>
      <sz val="11.0"/>
      <color rgb="FF000000"/>
      <name val="Arial"/>
    </font>
    <font>
      <sz val="11.0"/>
      <color rgb="FF212121"/>
      <name val="&quot;Helvetica Neue&quot;"/>
    </font>
    <font>
      <color rgb="FF212121"/>
      <name val="&quot;Helvetica Neue&quot;"/>
    </font>
    <font>
      <sz val="11.0"/>
      <color rgb="FF1F1F1F"/>
      <name val="&quot;Google Sans&quot;"/>
    </font>
    <font>
      <color rgb="FF212121"/>
      <name val="Helvetica Neue"/>
    </font>
    <font>
      <sz val="11.0"/>
      <color rgb="FF1D1C1D"/>
      <name val="Arial"/>
    </font>
    <font>
      <sz val="10.0"/>
      <color theme="1"/>
      <name val="Helvetica Neue"/>
    </font>
    <font>
      <color rgb="FFFF0000"/>
      <name val="Arial"/>
    </font>
    <font>
      <sz val="11.0"/>
      <color rgb="FF004400"/>
      <name val="Tahoma"/>
    </font>
    <font>
      <sz val="7.0"/>
      <color rgb="FF000000"/>
      <name val="Tahoma"/>
    </font>
    <font/>
    <font>
      <sz val="9.0"/>
      <color theme="1"/>
      <name val="Arial"/>
    </font>
    <font>
      <b/>
      <sz val="6.0"/>
      <color theme="1"/>
      <name val="Tahoma"/>
    </font>
    <font>
      <b/>
      <sz val="7.0"/>
      <color rgb="FF004400"/>
      <name val="Tahoma"/>
    </font>
    <font>
      <sz val="9.0"/>
      <color rgb="FF1D1C1D"/>
      <name val="Arial"/>
    </font>
    <font>
      <b/>
      <sz val="11.0"/>
      <color theme="1"/>
      <name val="Calibri"/>
    </font>
    <font>
      <sz val="9.0"/>
      <color rgb="FF000000"/>
      <name val="Arial"/>
    </font>
    <font>
      <b/>
      <sz val="9.0"/>
      <color rgb="FF000000"/>
      <name val="Arial"/>
    </font>
    <font>
      <b/>
      <sz val="9.0"/>
      <color rgb="FF004400"/>
      <name val="Arial"/>
    </font>
    <font>
      <sz val="11.0"/>
      <color rgb="FF000000"/>
      <name val="&quot;Aptos Narrow&quot;"/>
    </font>
    <font>
      <sz val="11.0"/>
      <color theme="1"/>
      <name val="Times New Roman"/>
    </font>
    <font>
      <sz val="12.0"/>
      <color rgb="FF000000"/>
      <name val="&quot;Aptos Narrow&quot;"/>
    </font>
    <font>
      <sz val="11.0"/>
      <color theme="1"/>
      <name val="&quot;Aptos Narrow&quot;"/>
    </font>
    <font>
      <sz val="10.0"/>
      <color rgb="FF000000"/>
      <name val="Arial"/>
    </font>
    <font>
      <b/>
      <color theme="1"/>
      <name val="Arial"/>
      <scheme val="minor"/>
    </font>
    <font>
      <u/>
      <color rgb="FF0000FF"/>
    </font>
  </fonts>
  <fills count="19">
    <fill>
      <patternFill patternType="none"/>
    </fill>
    <fill>
      <patternFill patternType="lightGray"/>
    </fill>
    <fill>
      <patternFill patternType="solid">
        <fgColor rgb="FF134F5C"/>
        <bgColor rgb="FF134F5C"/>
      </patternFill>
    </fill>
    <fill>
      <patternFill patternType="solid">
        <fgColor rgb="FFF3F3F3"/>
        <bgColor rgb="FFF3F3F3"/>
      </patternFill>
    </fill>
    <fill>
      <patternFill patternType="solid">
        <fgColor rgb="FFFFFFFF"/>
        <bgColor rgb="FFFFFFFF"/>
      </patternFill>
    </fill>
    <fill>
      <patternFill patternType="solid">
        <fgColor rgb="FF00FFFF"/>
        <bgColor rgb="FF00FFFF"/>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FF00FF"/>
        <bgColor rgb="FFFF00FF"/>
      </patternFill>
    </fill>
    <fill>
      <patternFill patternType="solid">
        <fgColor rgb="FFFFD966"/>
        <bgColor rgb="FFFFD966"/>
      </patternFill>
    </fill>
    <fill>
      <patternFill patternType="solid">
        <fgColor rgb="FFFFE699"/>
        <bgColor rgb="FFFFE699"/>
      </patternFill>
    </fill>
    <fill>
      <patternFill patternType="solid">
        <fgColor rgb="FFF9F9F9"/>
        <bgColor rgb="FFF9F9F9"/>
      </patternFill>
    </fill>
    <fill>
      <patternFill patternType="solid">
        <fgColor rgb="FFEFFFEF"/>
        <bgColor rgb="FFEFFFEF"/>
      </patternFill>
    </fill>
    <fill>
      <patternFill patternType="solid">
        <fgColor rgb="FFE7E6E6"/>
        <bgColor rgb="FFE7E6E6"/>
      </patternFill>
    </fill>
    <fill>
      <patternFill patternType="solid">
        <fgColor rgb="FFCC4125"/>
        <bgColor rgb="FFCC4125"/>
      </patternFill>
    </fill>
    <fill>
      <patternFill patternType="solid">
        <fgColor theme="0"/>
        <bgColor theme="0"/>
      </patternFill>
    </fill>
    <fill>
      <patternFill patternType="solid">
        <fgColor rgb="FFFF9900"/>
        <bgColor rgb="FFFF9900"/>
      </patternFill>
    </fill>
    <fill>
      <patternFill patternType="solid">
        <fgColor rgb="FFF4CCCC"/>
        <bgColor rgb="FFF4CCCC"/>
      </patternFill>
    </fill>
  </fills>
  <borders count="17">
    <border/>
    <border>
      <left/>
      <right/>
      <top/>
      <bottom/>
    </border>
    <border>
      <left style="thin">
        <color rgb="FF000000"/>
      </left>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E7EBEE"/>
      </top>
      <bottom style="thin">
        <color rgb="FFE7EBEE"/>
      </bottom>
    </border>
    <border>
      <bottom style="thin">
        <color rgb="FFE7EBEE"/>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top/>
      <bottom/>
    </border>
    <border>
      <right/>
      <top/>
      <bottom/>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733">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1" numFmtId="0" xfId="0" applyAlignment="1" applyBorder="1" applyFont="1">
      <alignment horizontal="right" vertical="bottom"/>
    </xf>
    <xf borderId="0" fillId="2" fontId="1" numFmtId="0" xfId="0" applyAlignment="1" applyFont="1">
      <alignment horizontal="right" vertical="bottom"/>
    </xf>
    <xf borderId="0" fillId="3" fontId="2" numFmtId="0" xfId="0" applyAlignment="1" applyFill="1" applyFont="1">
      <alignment vertical="bottom"/>
    </xf>
    <xf borderId="0" fillId="3" fontId="2" numFmtId="164" xfId="0" applyAlignment="1" applyFont="1" applyNumberFormat="1">
      <alignment horizontal="right" vertical="bottom"/>
    </xf>
    <xf borderId="0" fillId="3" fontId="3" numFmtId="164" xfId="0" applyAlignment="1" applyFont="1" applyNumberFormat="1">
      <alignment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0" fillId="0" fontId="3" numFmtId="166" xfId="0" applyAlignment="1" applyFont="1" applyNumberFormat="1">
      <alignment horizontal="right" vertical="bottom"/>
    </xf>
    <xf borderId="1" fillId="3" fontId="2" numFmtId="0" xfId="0" applyAlignment="1" applyBorder="1" applyFont="1">
      <alignment vertical="bottom"/>
    </xf>
    <xf borderId="1" fillId="4" fontId="2" numFmtId="0" xfId="0" applyAlignment="1" applyBorder="1" applyFill="1" applyFont="1">
      <alignment vertical="bottom"/>
    </xf>
    <xf borderId="1" fillId="4" fontId="2" numFmtId="164" xfId="0" applyAlignment="1" applyBorder="1" applyFont="1" applyNumberFormat="1">
      <alignment horizontal="right" vertical="bottom"/>
    </xf>
    <xf borderId="1" fillId="4" fontId="3" numFmtId="164" xfId="0" applyAlignment="1" applyBorder="1" applyFont="1" applyNumberFormat="1">
      <alignment vertical="bottom"/>
    </xf>
    <xf borderId="1" fillId="3" fontId="2" numFmtId="164" xfId="0" applyAlignment="1" applyBorder="1" applyFont="1" applyNumberFormat="1">
      <alignment horizontal="right" vertical="bottom"/>
    </xf>
    <xf borderId="1" fillId="3" fontId="3" numFmtId="164" xfId="0" applyAlignment="1" applyBorder="1" applyFont="1" applyNumberFormat="1">
      <alignment vertical="bottom"/>
    </xf>
    <xf borderId="1" fillId="0" fontId="3" numFmtId="0" xfId="0" applyAlignment="1" applyBorder="1" applyFont="1">
      <alignment horizontal="right" vertical="bottom"/>
    </xf>
    <xf borderId="1" fillId="0" fontId="3" numFmtId="165" xfId="0" applyAlignment="1" applyBorder="1" applyFont="1" applyNumberFormat="1">
      <alignment horizontal="right" vertical="bottom"/>
    </xf>
    <xf borderId="1" fillId="0" fontId="3" numFmtId="166" xfId="0" applyAlignment="1" applyBorder="1" applyFont="1" applyNumberFormat="1">
      <alignment horizontal="right" vertical="bottom"/>
    </xf>
    <xf borderId="1" fillId="3" fontId="2" numFmtId="0" xfId="0" applyAlignment="1" applyBorder="1" applyFont="1">
      <alignment shrinkToFit="0" vertical="bottom" wrapText="1"/>
    </xf>
    <xf borderId="1" fillId="3" fontId="3" numFmtId="0" xfId="0" applyAlignment="1" applyBorder="1" applyFont="1">
      <alignment vertical="bottom"/>
    </xf>
    <xf borderId="1" fillId="5" fontId="2" numFmtId="164" xfId="0" applyAlignment="1" applyBorder="1" applyFill="1" applyFont="1" applyNumberFormat="1">
      <alignment horizontal="right" vertical="bottom"/>
    </xf>
    <xf borderId="1" fillId="6" fontId="2" numFmtId="0" xfId="0" applyAlignment="1" applyBorder="1" applyFill="1" applyFont="1">
      <alignment vertical="bottom"/>
    </xf>
    <xf borderId="1" fillId="6" fontId="2" numFmtId="164" xfId="0" applyAlignment="1" applyBorder="1" applyFont="1" applyNumberFormat="1">
      <alignment horizontal="right" vertical="bottom"/>
    </xf>
    <xf borderId="1" fillId="6" fontId="3" numFmtId="164" xfId="0" applyAlignment="1" applyBorder="1" applyFont="1" applyNumberFormat="1">
      <alignment vertical="bottom"/>
    </xf>
    <xf borderId="0" fillId="6" fontId="3" numFmtId="0" xfId="0" applyAlignment="1" applyFont="1">
      <alignment horizontal="right" vertical="bottom"/>
    </xf>
    <xf borderId="0" fillId="6" fontId="3" numFmtId="165" xfId="0" applyAlignment="1" applyFont="1" applyNumberFormat="1">
      <alignment horizontal="right" vertical="bottom"/>
    </xf>
    <xf borderId="0" fillId="6" fontId="3" numFmtId="166" xfId="0" applyAlignment="1" applyFont="1" applyNumberFormat="1">
      <alignment horizontal="right" vertical="bottom"/>
    </xf>
    <xf borderId="1" fillId="3" fontId="2" numFmtId="164" xfId="0" applyAlignment="1" applyBorder="1" applyFont="1" applyNumberFormat="1">
      <alignment horizontal="right" vertical="top"/>
    </xf>
    <xf borderId="1" fillId="7" fontId="2" numFmtId="0" xfId="0" applyAlignment="1" applyBorder="1" applyFill="1" applyFont="1">
      <alignment vertical="bottom"/>
    </xf>
    <xf borderId="1" fillId="7" fontId="2" numFmtId="164" xfId="0" applyAlignment="1" applyBorder="1" applyFont="1" applyNumberFormat="1">
      <alignment horizontal="right" vertical="bottom"/>
    </xf>
    <xf borderId="1" fillId="7" fontId="3" numFmtId="164" xfId="0" applyAlignment="1" applyBorder="1" applyFont="1" applyNumberFormat="1">
      <alignment vertical="bottom"/>
    </xf>
    <xf borderId="0" fillId="7" fontId="3" numFmtId="0" xfId="0" applyAlignment="1" applyFont="1">
      <alignment horizontal="right" vertical="bottom"/>
    </xf>
    <xf borderId="0" fillId="7" fontId="3" numFmtId="165" xfId="0" applyAlignment="1" applyFont="1" applyNumberFormat="1">
      <alignment horizontal="right" vertical="bottom"/>
    </xf>
    <xf borderId="0" fillId="7" fontId="3" numFmtId="166" xfId="0" applyAlignment="1" applyFont="1" applyNumberFormat="1">
      <alignment horizontal="right" vertical="bottom"/>
    </xf>
    <xf borderId="1" fillId="4" fontId="3" numFmtId="0" xfId="0" applyAlignment="1" applyBorder="1" applyFont="1">
      <alignment vertical="bottom"/>
    </xf>
    <xf borderId="1" fillId="4" fontId="3" numFmtId="164" xfId="0" applyAlignment="1" applyBorder="1" applyFont="1" applyNumberFormat="1">
      <alignment horizontal="right" vertical="bottom"/>
    </xf>
    <xf borderId="1" fillId="4" fontId="2" numFmtId="0" xfId="0" applyAlignment="1" applyBorder="1" applyFont="1">
      <alignment shrinkToFit="0" vertical="bottom" wrapText="1"/>
    </xf>
    <xf borderId="1" fillId="3" fontId="3" numFmtId="164" xfId="0" applyAlignment="1" applyBorder="1" applyFont="1" applyNumberFormat="1">
      <alignment vertical="top"/>
    </xf>
    <xf borderId="1" fillId="0" fontId="4" numFmtId="0" xfId="0" applyBorder="1" applyFont="1"/>
    <xf borderId="0" fillId="0" fontId="4" numFmtId="166" xfId="0" applyFont="1" applyNumberFormat="1"/>
    <xf borderId="1" fillId="3" fontId="3" numFmtId="164" xfId="0" applyAlignment="1" applyBorder="1" applyFont="1" applyNumberFormat="1">
      <alignment horizontal="right" vertical="bottom"/>
    </xf>
    <xf borderId="0" fillId="6" fontId="3" numFmtId="0" xfId="0" applyAlignment="1" applyFont="1">
      <alignment vertical="bottom"/>
    </xf>
    <xf borderId="1" fillId="4" fontId="2" numFmtId="164" xfId="0" applyAlignment="1" applyBorder="1" applyFont="1" applyNumberFormat="1">
      <alignment horizontal="right" readingOrder="0" vertical="bottom"/>
    </xf>
    <xf borderId="1" fillId="3" fontId="2" numFmtId="164" xfId="0" applyAlignment="1" applyBorder="1" applyFont="1" applyNumberFormat="1">
      <alignment horizontal="right" readingOrder="0" vertical="bottom"/>
    </xf>
    <xf borderId="0" fillId="0" fontId="4" numFmtId="166" xfId="0" applyAlignment="1" applyFont="1" applyNumberFormat="1">
      <alignment readingOrder="0"/>
    </xf>
    <xf borderId="1" fillId="6" fontId="2" numFmtId="164" xfId="0" applyAlignment="1" applyBorder="1" applyFont="1" applyNumberFormat="1">
      <alignment horizontal="right" readingOrder="0" vertical="bottom"/>
    </xf>
    <xf borderId="1" fillId="7" fontId="2" numFmtId="0" xfId="0" applyAlignment="1" applyBorder="1" applyFont="1">
      <alignment readingOrder="0" vertical="bottom"/>
    </xf>
    <xf borderId="0" fillId="7" fontId="4" numFmtId="0" xfId="0" applyFont="1"/>
    <xf borderId="0" fillId="0" fontId="4" numFmtId="167" xfId="0" applyFont="1" applyNumberFormat="1"/>
    <xf borderId="0" fillId="0" fontId="3" numFmtId="166" xfId="0" applyAlignment="1" applyFont="1" applyNumberFormat="1">
      <alignment horizontal="right" readingOrder="0" vertical="bottom"/>
    </xf>
    <xf borderId="0" fillId="4" fontId="5" numFmtId="167" xfId="0" applyAlignment="1" applyFont="1" applyNumberFormat="1">
      <alignment vertical="bottom"/>
    </xf>
    <xf borderId="0" fillId="4" fontId="6" numFmtId="167" xfId="0" applyAlignment="1" applyFont="1" applyNumberFormat="1">
      <alignment vertical="bottom"/>
    </xf>
    <xf borderId="0" fillId="0" fontId="4" numFmtId="3" xfId="0" applyFont="1" applyNumberFormat="1"/>
    <xf borderId="0" fillId="4" fontId="5" numFmtId="0" xfId="0" applyAlignment="1" applyFont="1">
      <alignment vertical="bottom"/>
    </xf>
    <xf borderId="0" fillId="4" fontId="7" numFmtId="167" xfId="0" applyAlignment="1" applyFont="1" applyNumberFormat="1">
      <alignment vertical="bottom"/>
    </xf>
    <xf borderId="0" fillId="0" fontId="5" numFmtId="167" xfId="0" applyAlignment="1" applyFont="1" applyNumberFormat="1">
      <alignment vertical="bottom"/>
    </xf>
    <xf borderId="0" fillId="0" fontId="6" numFmtId="167" xfId="0" applyAlignment="1" applyFont="1" applyNumberFormat="1">
      <alignment vertical="bottom"/>
    </xf>
    <xf borderId="0" fillId="0" fontId="7" numFmtId="167" xfId="0" applyAlignment="1" applyFont="1" applyNumberFormat="1">
      <alignment vertical="bottom"/>
    </xf>
    <xf borderId="0" fillId="0" fontId="5" numFmtId="167" xfId="0" applyAlignment="1" applyFont="1" applyNumberFormat="1">
      <alignment readingOrder="0" vertical="bottom"/>
    </xf>
    <xf borderId="0" fillId="8" fontId="5" numFmtId="167" xfId="0" applyAlignment="1" applyFill="1" applyFont="1" applyNumberFormat="1">
      <alignment vertical="bottom"/>
    </xf>
    <xf borderId="0" fillId="4" fontId="6" numFmtId="0" xfId="0" applyAlignment="1" applyFont="1">
      <alignment vertical="bottom"/>
    </xf>
    <xf borderId="1" fillId="2" fontId="1" numFmtId="164" xfId="0" applyAlignment="1" applyBorder="1" applyFont="1" applyNumberFormat="1">
      <alignment vertical="bottom"/>
    </xf>
    <xf borderId="1" fillId="2" fontId="1" numFmtId="164" xfId="0" applyAlignment="1" applyBorder="1" applyFont="1" applyNumberFormat="1">
      <alignment horizontal="right" vertical="bottom"/>
    </xf>
    <xf borderId="0" fillId="2" fontId="1" numFmtId="165" xfId="0" applyAlignment="1" applyFont="1" applyNumberFormat="1">
      <alignment horizontal="right" vertical="bottom"/>
    </xf>
    <xf borderId="0" fillId="2" fontId="1" numFmtId="166" xfId="0" applyAlignment="1" applyFont="1" applyNumberFormat="1">
      <alignment horizontal="right" vertical="bottom"/>
    </xf>
    <xf borderId="0" fillId="0" fontId="3" numFmtId="0" xfId="0" applyAlignment="1" applyFont="1">
      <alignment vertical="bottom"/>
    </xf>
    <xf borderId="1" fillId="4" fontId="2" numFmtId="0" xfId="0" applyAlignment="1" applyBorder="1" applyFont="1">
      <alignment readingOrder="0" vertical="bottom"/>
    </xf>
    <xf borderId="1" fillId="4" fontId="8" numFmtId="0" xfId="0" applyAlignment="1" applyBorder="1" applyFont="1">
      <alignment vertical="bottom"/>
    </xf>
    <xf borderId="1" fillId="4" fontId="3" numFmtId="0" xfId="0" applyAlignment="1" applyBorder="1" applyFont="1">
      <alignment readingOrder="0" vertical="bottom"/>
    </xf>
    <xf borderId="1" fillId="4" fontId="9" numFmtId="0" xfId="0" applyAlignment="1" applyBorder="1" applyFont="1">
      <alignment vertical="bottom"/>
    </xf>
    <xf borderId="1" fillId="4" fontId="9" numFmtId="168" xfId="0" applyAlignment="1" applyBorder="1" applyFont="1" applyNumberFormat="1">
      <alignment horizontal="right" vertical="bottom"/>
    </xf>
    <xf borderId="0" fillId="4" fontId="3" numFmtId="0" xfId="0" applyAlignment="1" applyFont="1">
      <alignment horizontal="right" vertical="bottom"/>
    </xf>
    <xf borderId="0" fillId="4" fontId="9" numFmtId="168" xfId="0" applyAlignment="1" applyFont="1" applyNumberFormat="1">
      <alignment horizontal="right" vertical="bottom"/>
    </xf>
    <xf borderId="0" fillId="4" fontId="3" numFmtId="165" xfId="0" applyAlignment="1" applyFont="1" applyNumberFormat="1">
      <alignment horizontal="right" vertical="bottom"/>
    </xf>
    <xf borderId="0" fillId="4" fontId="3" numFmtId="166" xfId="0" applyAlignment="1" applyFont="1" applyNumberFormat="1">
      <alignment horizontal="right" vertical="bottom"/>
    </xf>
    <xf borderId="0" fillId="4" fontId="4" numFmtId="0" xfId="0" applyFont="1"/>
    <xf borderId="1" fillId="0" fontId="3" numFmtId="0" xfId="0" applyAlignment="1" applyBorder="1" applyFont="1">
      <alignment vertical="bottom"/>
    </xf>
    <xf borderId="1" fillId="0" fontId="9" numFmtId="0" xfId="0" applyAlignment="1" applyBorder="1" applyFont="1">
      <alignment vertical="bottom"/>
    </xf>
    <xf borderId="1" fillId="0" fontId="9" numFmtId="168" xfId="0" applyAlignment="1" applyBorder="1" applyFont="1" applyNumberFormat="1">
      <alignment horizontal="right" vertical="bottom"/>
    </xf>
    <xf borderId="0" fillId="0" fontId="9" numFmtId="168" xfId="0" applyAlignment="1" applyFont="1" applyNumberFormat="1">
      <alignment horizontal="right" vertical="bottom"/>
    </xf>
    <xf borderId="1" fillId="4" fontId="3" numFmtId="164" xfId="0" applyAlignment="1" applyBorder="1" applyFont="1" applyNumberFormat="1">
      <alignment readingOrder="0" vertical="bottom"/>
    </xf>
    <xf borderId="1" fillId="4" fontId="8" numFmtId="164" xfId="0" applyAlignment="1" applyBorder="1" applyFont="1" applyNumberFormat="1">
      <alignment readingOrder="0" vertical="bottom"/>
    </xf>
    <xf borderId="1" fillId="4" fontId="10" numFmtId="0" xfId="0" applyAlignment="1" applyBorder="1" applyFont="1">
      <alignment vertical="bottom"/>
    </xf>
    <xf borderId="0" fillId="4" fontId="2" numFmtId="0" xfId="0" applyAlignment="1" applyFont="1">
      <alignment vertical="bottom"/>
    </xf>
    <xf borderId="0" fillId="4" fontId="2" numFmtId="164" xfId="0" applyAlignment="1" applyFont="1" applyNumberFormat="1">
      <alignment horizontal="right" vertical="bottom"/>
    </xf>
    <xf borderId="0" fillId="3" fontId="2" numFmtId="164" xfId="0" applyAlignment="1" applyFont="1" applyNumberFormat="1">
      <alignment horizontal="right" vertical="top"/>
    </xf>
    <xf borderId="0" fillId="0" fontId="9" numFmtId="0" xfId="0" applyAlignment="1" applyFont="1">
      <alignment vertical="bottom"/>
    </xf>
    <xf borderId="0" fillId="3" fontId="3" numFmtId="0" xfId="0" applyAlignment="1" applyFont="1">
      <alignment vertical="bottom"/>
    </xf>
    <xf borderId="0" fillId="4" fontId="5" numFmtId="3" xfId="0" applyAlignment="1" applyFont="1" applyNumberFormat="1">
      <alignment vertical="bottom"/>
    </xf>
    <xf borderId="0" fillId="6" fontId="6" numFmtId="167" xfId="0" applyAlignment="1" applyFont="1" applyNumberFormat="1">
      <alignment vertical="bottom"/>
    </xf>
    <xf borderId="1" fillId="4" fontId="5" numFmtId="167" xfId="0" applyAlignment="1" applyBorder="1" applyFont="1" applyNumberFormat="1">
      <alignment vertical="bottom"/>
    </xf>
    <xf borderId="0" fillId="4" fontId="7" numFmtId="3" xfId="0" applyAlignment="1" applyFont="1" applyNumberFormat="1">
      <alignment vertical="bottom"/>
    </xf>
    <xf borderId="0" fillId="4" fontId="5" numFmtId="167" xfId="0" applyAlignment="1" applyFont="1" applyNumberFormat="1">
      <alignment readingOrder="0" vertical="bottom"/>
    </xf>
    <xf borderId="0" fillId="0" fontId="5" numFmtId="3" xfId="0" applyAlignment="1" applyFont="1" applyNumberFormat="1">
      <alignment vertical="bottom"/>
    </xf>
    <xf borderId="0" fillId="7" fontId="5" numFmtId="167" xfId="0" applyAlignment="1" applyFont="1" applyNumberFormat="1">
      <alignment vertical="bottom"/>
    </xf>
    <xf borderId="0" fillId="4" fontId="6" numFmtId="3" xfId="0" applyAlignment="1" applyFont="1" applyNumberFormat="1">
      <alignment vertical="bottom"/>
    </xf>
    <xf borderId="0" fillId="7" fontId="6" numFmtId="167" xfId="0" applyAlignment="1" applyFont="1" applyNumberFormat="1">
      <alignment vertical="bottom"/>
    </xf>
    <xf borderId="0" fillId="9" fontId="5" numFmtId="0" xfId="0" applyAlignment="1" applyFill="1" applyFont="1">
      <alignment vertical="bottom"/>
    </xf>
    <xf borderId="0" fillId="6" fontId="6" numFmtId="0" xfId="0" applyAlignment="1" applyFont="1">
      <alignment vertical="bottom"/>
    </xf>
    <xf borderId="1" fillId="6" fontId="3" numFmtId="0" xfId="0" applyAlignment="1" applyBorder="1" applyFont="1">
      <alignment vertical="bottom"/>
    </xf>
    <xf borderId="1" fillId="6" fontId="3" numFmtId="0" xfId="0" applyAlignment="1" applyBorder="1" applyFont="1">
      <alignment readingOrder="0" vertical="bottom"/>
    </xf>
    <xf borderId="1" fillId="6" fontId="9" numFmtId="0" xfId="0" applyAlignment="1" applyBorder="1" applyFont="1">
      <alignment vertical="bottom"/>
    </xf>
    <xf borderId="1" fillId="6" fontId="9" numFmtId="168" xfId="0" applyAlignment="1" applyBorder="1" applyFont="1" applyNumberFormat="1">
      <alignment horizontal="right" vertical="bottom"/>
    </xf>
    <xf borderId="0" fillId="6" fontId="4" numFmtId="0" xfId="0" applyFont="1"/>
    <xf borderId="1" fillId="3" fontId="3" numFmtId="164" xfId="0" applyAlignment="1" applyBorder="1" applyFont="1" applyNumberFormat="1">
      <alignment readingOrder="0" vertical="bottom"/>
    </xf>
    <xf borderId="1" fillId="0" fontId="11" numFmtId="0" xfId="0" applyAlignment="1" applyBorder="1" applyFont="1">
      <alignment vertical="bottom"/>
    </xf>
    <xf borderId="1" fillId="4" fontId="12" numFmtId="164" xfId="0" applyAlignment="1" applyBorder="1" applyFont="1" applyNumberFormat="1">
      <alignment horizontal="right" vertical="bottom"/>
    </xf>
    <xf borderId="0" fillId="4" fontId="12" numFmtId="168" xfId="0" applyAlignment="1" applyFont="1" applyNumberFormat="1">
      <alignment horizontal="right" vertical="bottom"/>
    </xf>
    <xf borderId="0" fillId="0" fontId="11" numFmtId="0" xfId="0" applyAlignment="1" applyFont="1">
      <alignment vertical="bottom"/>
    </xf>
    <xf borderId="0" fillId="0" fontId="3" numFmtId="168" xfId="0" applyAlignment="1" applyFont="1" applyNumberFormat="1">
      <alignment horizontal="right" vertical="bottom"/>
    </xf>
    <xf borderId="0" fillId="4" fontId="3" numFmtId="0" xfId="0" applyAlignment="1" applyFont="1">
      <alignment vertical="bottom"/>
    </xf>
    <xf borderId="0" fillId="4" fontId="12" numFmtId="167" xfId="0" applyAlignment="1" applyFont="1" applyNumberFormat="1">
      <alignment vertical="bottom"/>
    </xf>
    <xf borderId="0" fillId="4" fontId="4" numFmtId="167" xfId="0" applyFont="1" applyNumberFormat="1"/>
    <xf borderId="0" fillId="7" fontId="12" numFmtId="167" xfId="0" applyAlignment="1" applyFont="1" applyNumberFormat="1">
      <alignment vertical="bottom"/>
    </xf>
    <xf borderId="0" fillId="9" fontId="12" numFmtId="167" xfId="0" applyAlignment="1" applyFont="1" applyNumberFormat="1">
      <alignment vertical="bottom"/>
    </xf>
    <xf borderId="0" fillId="9" fontId="12" numFmtId="0" xfId="0" applyAlignment="1" applyFont="1">
      <alignment vertical="bottom"/>
    </xf>
    <xf borderId="0" fillId="4" fontId="12" numFmtId="167" xfId="0" applyAlignment="1" applyFont="1" applyNumberFormat="1">
      <alignment readingOrder="0" vertical="bottom"/>
    </xf>
    <xf borderId="0" fillId="4" fontId="12" numFmtId="0" xfId="0" applyAlignment="1" applyFont="1">
      <alignment vertical="bottom"/>
    </xf>
    <xf borderId="0" fillId="0" fontId="12" numFmtId="167" xfId="0" applyAlignment="1" applyFont="1" applyNumberFormat="1">
      <alignment vertical="bottom"/>
    </xf>
    <xf borderId="0" fillId="6" fontId="12" numFmtId="167" xfId="0" applyAlignment="1" applyFont="1" applyNumberFormat="1">
      <alignment vertical="bottom"/>
    </xf>
    <xf borderId="0" fillId="5" fontId="12" numFmtId="167" xfId="0" applyAlignment="1" applyFont="1" applyNumberFormat="1">
      <alignment vertical="bottom"/>
    </xf>
    <xf borderId="0" fillId="6" fontId="12" numFmtId="0" xfId="0" applyAlignment="1" applyFont="1">
      <alignment vertical="bottom"/>
    </xf>
    <xf borderId="0" fillId="2" fontId="13" numFmtId="0" xfId="0" applyAlignment="1" applyFont="1">
      <alignment readingOrder="0" vertical="bottom"/>
    </xf>
    <xf borderId="0" fillId="2" fontId="13" numFmtId="0" xfId="0" applyAlignment="1" applyFont="1">
      <alignment horizontal="right" readingOrder="0" vertical="bottom"/>
    </xf>
    <xf borderId="0" fillId="4" fontId="14" numFmtId="0" xfId="0" applyAlignment="1" applyFont="1">
      <alignment readingOrder="0" vertical="bottom"/>
    </xf>
    <xf borderId="0" fillId="4" fontId="14" numFmtId="0" xfId="0" applyAlignment="1" applyFont="1">
      <alignment horizontal="right" readingOrder="0" vertical="bottom"/>
    </xf>
    <xf borderId="0" fillId="3" fontId="14" numFmtId="0" xfId="0" applyAlignment="1" applyFont="1">
      <alignment readingOrder="0" vertical="bottom"/>
    </xf>
    <xf borderId="0" fillId="0" fontId="15" numFmtId="0" xfId="0" applyAlignment="1" applyFont="1">
      <alignment readingOrder="0" vertical="bottom"/>
    </xf>
    <xf borderId="0" fillId="3" fontId="14" numFmtId="0" xfId="0" applyAlignment="1" applyFont="1">
      <alignment horizontal="right" readingOrder="0" vertical="bottom"/>
    </xf>
    <xf borderId="0" fillId="3" fontId="14" numFmtId="0" xfId="0" applyAlignment="1" applyFont="1">
      <alignment horizontal="center" readingOrder="0" shrinkToFit="0" wrapText="0"/>
    </xf>
    <xf borderId="0" fillId="3" fontId="16" numFmtId="0" xfId="0" applyAlignment="1" applyFont="1">
      <alignment vertical="bottom"/>
    </xf>
    <xf borderId="0" fillId="3" fontId="14" numFmtId="169" xfId="0" applyAlignment="1" applyFont="1" applyNumberFormat="1">
      <alignment horizontal="right" readingOrder="0" vertical="bottom"/>
    </xf>
    <xf borderId="0" fillId="10" fontId="15" numFmtId="0" xfId="0" applyAlignment="1" applyFill="1" applyFont="1">
      <alignment horizontal="right" readingOrder="0" vertical="bottom"/>
    </xf>
    <xf borderId="0" fillId="0" fontId="16" numFmtId="169" xfId="0" applyAlignment="1" applyFont="1" applyNumberFormat="1">
      <alignment horizontal="right" readingOrder="0" vertical="bottom"/>
    </xf>
    <xf borderId="0" fillId="0" fontId="16" numFmtId="0" xfId="0" applyAlignment="1" applyFont="1">
      <alignment horizontal="right" readingOrder="0" vertical="bottom"/>
    </xf>
    <xf borderId="0" fillId="0" fontId="16" numFmtId="3" xfId="0" applyAlignment="1" applyFont="1" applyNumberFormat="1">
      <alignment horizontal="right" readingOrder="0" vertical="bottom"/>
    </xf>
    <xf borderId="0" fillId="3" fontId="16" numFmtId="0" xfId="0" applyAlignment="1" applyFont="1">
      <alignment readingOrder="0" vertical="bottom"/>
    </xf>
    <xf borderId="0" fillId="3" fontId="16" numFmtId="0" xfId="0" applyAlignment="1" applyFont="1">
      <alignment horizontal="center" readingOrder="0" shrinkToFit="0" wrapText="0"/>
    </xf>
    <xf borderId="0" fillId="4" fontId="14" numFmtId="0" xfId="0" applyAlignment="1" applyFont="1">
      <alignment horizontal="center" readingOrder="0" shrinkToFit="0" wrapText="0"/>
    </xf>
    <xf borderId="0" fillId="4" fontId="16" numFmtId="0" xfId="0" applyAlignment="1" applyFont="1">
      <alignment vertical="bottom"/>
    </xf>
    <xf borderId="0" fillId="4" fontId="14" numFmtId="169" xfId="0" applyAlignment="1" applyFont="1" applyNumberFormat="1">
      <alignment horizontal="right" readingOrder="0" vertical="bottom"/>
    </xf>
    <xf borderId="0" fillId="3" fontId="16" numFmtId="169" xfId="0" applyAlignment="1" applyFont="1" applyNumberFormat="1">
      <alignment horizontal="right" readingOrder="0" vertical="bottom"/>
    </xf>
    <xf borderId="0" fillId="0" fontId="16" numFmtId="0" xfId="0" applyAlignment="1" applyFont="1">
      <alignment readingOrder="0" vertical="bottom"/>
    </xf>
    <xf borderId="0" fillId="4" fontId="16" numFmtId="0" xfId="0" applyAlignment="1" applyFont="1">
      <alignment readingOrder="0" vertical="bottom"/>
    </xf>
    <xf borderId="0" fillId="0" fontId="17" numFmtId="0" xfId="0" applyAlignment="1" applyFont="1">
      <alignment horizontal="center" readingOrder="0" shrinkToFit="0" wrapText="0"/>
    </xf>
    <xf borderId="0" fillId="0" fontId="17" numFmtId="169" xfId="0" applyAlignment="1" applyFont="1" applyNumberFormat="1">
      <alignment horizontal="right" readingOrder="0" vertical="bottom"/>
    </xf>
    <xf borderId="0" fillId="4" fontId="14" numFmtId="170" xfId="0" applyAlignment="1" applyFont="1" applyNumberFormat="1">
      <alignment horizontal="right" readingOrder="0" vertical="bottom"/>
    </xf>
    <xf borderId="0" fillId="3" fontId="14" numFmtId="170" xfId="0" applyAlignment="1" applyFont="1" applyNumberFormat="1">
      <alignment horizontal="right" readingOrder="0" vertical="bottom"/>
    </xf>
    <xf borderId="0" fillId="0" fontId="15" numFmtId="0" xfId="0" applyAlignment="1" applyFont="1">
      <alignment readingOrder="0" shrinkToFit="0" vertical="bottom" wrapText="0"/>
    </xf>
    <xf borderId="0" fillId="6" fontId="15" numFmtId="0" xfId="0" applyAlignment="1" applyFont="1">
      <alignment readingOrder="0" vertical="bottom"/>
    </xf>
    <xf borderId="0" fillId="3" fontId="14" numFmtId="0" xfId="0" applyAlignment="1" applyFont="1">
      <alignment horizontal="right" vertical="bottom"/>
    </xf>
    <xf borderId="0" fillId="0" fontId="15" numFmtId="0" xfId="0" applyAlignment="1" applyFont="1">
      <alignment horizontal="center" readingOrder="0" shrinkToFit="0" vertical="bottom" wrapText="0"/>
    </xf>
    <xf borderId="0" fillId="0" fontId="15" numFmtId="169" xfId="0" applyAlignment="1" applyFont="1" applyNumberFormat="1">
      <alignment horizontal="right" readingOrder="0" shrinkToFit="0" vertical="bottom" wrapText="0"/>
    </xf>
    <xf borderId="0" fillId="4" fontId="16" numFmtId="169" xfId="0" applyAlignment="1" applyFont="1" applyNumberFormat="1">
      <alignment horizontal="right" readingOrder="0" vertical="bottom"/>
    </xf>
    <xf borderId="2" fillId="10" fontId="15" numFmtId="0" xfId="0" applyAlignment="1" applyBorder="1" applyFont="1">
      <alignment horizontal="right" readingOrder="0" vertical="bottom"/>
    </xf>
    <xf borderId="0" fillId="4" fontId="14" numFmtId="0" xfId="0" applyAlignment="1" applyFont="1">
      <alignment horizontal="right" vertical="bottom"/>
    </xf>
    <xf borderId="0" fillId="0" fontId="15" numFmtId="0" xfId="0" applyAlignment="1" applyFont="1">
      <alignment horizontal="center" readingOrder="0" shrinkToFit="0" wrapText="0"/>
    </xf>
    <xf borderId="0" fillId="4" fontId="16" numFmtId="0" xfId="0" applyFont="1"/>
    <xf borderId="0" fillId="0" fontId="15" numFmtId="171" xfId="0" applyAlignment="1" applyFont="1" applyNumberFormat="1">
      <alignment horizontal="right" readingOrder="0" shrinkToFit="0" wrapText="0"/>
    </xf>
    <xf borderId="0" fillId="0" fontId="15" numFmtId="169" xfId="0" applyAlignment="1" applyFont="1" applyNumberFormat="1">
      <alignment horizontal="right" readingOrder="0" shrinkToFit="0" wrapText="0"/>
    </xf>
    <xf borderId="0" fillId="10" fontId="15" numFmtId="0" xfId="0" applyAlignment="1" applyFont="1">
      <alignment horizontal="right" readingOrder="0"/>
    </xf>
    <xf borderId="0" fillId="0" fontId="15" numFmtId="0" xfId="0" applyAlignment="1" applyFont="1">
      <alignment horizontal="right" readingOrder="0" vertical="bottom"/>
    </xf>
    <xf borderId="0" fillId="0" fontId="18" numFmtId="0" xfId="0" applyAlignment="1" applyFont="1">
      <alignment readingOrder="0" vertical="bottom"/>
    </xf>
    <xf borderId="0" fillId="4" fontId="19" numFmtId="0" xfId="0" applyAlignment="1" applyFont="1">
      <alignment horizontal="center" readingOrder="0" vertical="bottom"/>
    </xf>
    <xf borderId="0" fillId="4" fontId="16" numFmtId="0" xfId="0" applyAlignment="1" applyFont="1">
      <alignment horizontal="center" readingOrder="0" shrinkToFit="0" wrapText="0"/>
    </xf>
    <xf borderId="0" fillId="0" fontId="17" numFmtId="170" xfId="0" applyAlignment="1" applyFont="1" applyNumberFormat="1">
      <alignment horizontal="right" readingOrder="0" vertical="bottom"/>
    </xf>
    <xf borderId="0" fillId="4" fontId="17" numFmtId="0" xfId="0" applyAlignment="1" applyFont="1">
      <alignment horizontal="center" readingOrder="0" shrinkToFit="0" wrapText="0"/>
    </xf>
    <xf borderId="0" fillId="4" fontId="17" numFmtId="170" xfId="0" applyAlignment="1" applyFont="1" applyNumberFormat="1">
      <alignment horizontal="right" readingOrder="0" vertical="bottom"/>
    </xf>
    <xf borderId="0" fillId="4" fontId="15" numFmtId="169" xfId="0" applyAlignment="1" applyFont="1" applyNumberFormat="1">
      <alignment horizontal="right" readingOrder="0" vertical="bottom"/>
    </xf>
    <xf borderId="0" fillId="0" fontId="16" numFmtId="0" xfId="0" applyAlignment="1" applyFont="1">
      <alignment horizontal="center" readingOrder="0" shrinkToFit="0" wrapText="0"/>
    </xf>
    <xf borderId="0" fillId="3" fontId="14" numFmtId="169" xfId="0" applyAlignment="1" applyFont="1" applyNumberFormat="1">
      <alignment horizontal="right" readingOrder="0" vertical="top"/>
    </xf>
    <xf borderId="0" fillId="3" fontId="16" numFmtId="0" xfId="0" applyAlignment="1" applyFont="1">
      <alignment vertical="top"/>
    </xf>
    <xf borderId="0" fillId="3" fontId="16" numFmtId="172" xfId="0" applyAlignment="1" applyFont="1" applyNumberFormat="1">
      <alignment readingOrder="0" vertical="bottom"/>
    </xf>
    <xf borderId="0" fillId="2" fontId="13" numFmtId="0" xfId="0" applyAlignment="1" applyFont="1">
      <alignment readingOrder="0" shrinkToFit="0" vertical="bottom" wrapText="0"/>
    </xf>
    <xf borderId="0" fillId="2" fontId="13" numFmtId="0" xfId="0" applyAlignment="1" applyFont="1">
      <alignment horizontal="right" readingOrder="0" shrinkToFit="0" vertical="bottom" wrapText="0"/>
    </xf>
    <xf borderId="0" fillId="4" fontId="14" numFmtId="0" xfId="0" applyAlignment="1" applyFont="1">
      <alignment readingOrder="0" shrinkToFit="0" vertical="bottom" wrapText="0"/>
    </xf>
    <xf borderId="0" fillId="4" fontId="14" numFmtId="0" xfId="0" applyAlignment="1" applyFont="1">
      <alignment horizontal="right" readingOrder="0" shrinkToFit="0" vertical="bottom" wrapText="0"/>
    </xf>
    <xf borderId="0" fillId="3" fontId="14" numFmtId="0" xfId="0" applyAlignment="1" applyFont="1">
      <alignment readingOrder="0" shrinkToFit="0" vertical="bottom" wrapText="0"/>
    </xf>
    <xf borderId="0" fillId="4" fontId="15" numFmtId="0" xfId="0" applyAlignment="1" applyFont="1">
      <alignment readingOrder="0" shrinkToFit="0" vertical="bottom" wrapText="0"/>
    </xf>
    <xf borderId="0" fillId="3" fontId="14" numFmtId="0" xfId="0" applyAlignment="1" applyFont="1">
      <alignment horizontal="right" readingOrder="0" shrinkToFit="0" vertical="bottom" wrapText="0"/>
    </xf>
    <xf borderId="0" fillId="3" fontId="14" numFmtId="0" xfId="0" applyAlignment="1" applyFont="1">
      <alignment readingOrder="0" shrinkToFit="0" wrapText="0"/>
    </xf>
    <xf borderId="0" fillId="3" fontId="16" numFmtId="0" xfId="0" applyAlignment="1" applyFont="1">
      <alignment shrinkToFit="0" vertical="bottom" wrapText="0"/>
    </xf>
    <xf borderId="0" fillId="3" fontId="14" numFmtId="169" xfId="0" applyAlignment="1" applyFont="1" applyNumberFormat="1">
      <alignment horizontal="right" readingOrder="0" shrinkToFit="0" vertical="bottom" wrapText="0"/>
    </xf>
    <xf borderId="0" fillId="10" fontId="15" numFmtId="0" xfId="0" applyAlignment="1" applyFont="1">
      <alignment horizontal="right" readingOrder="0" shrinkToFit="0" vertical="bottom" wrapText="0"/>
    </xf>
    <xf borderId="0" fillId="0" fontId="16" numFmtId="169" xfId="0" applyAlignment="1" applyFont="1" applyNumberFormat="1">
      <alignment horizontal="right" readingOrder="0" shrinkToFit="0" vertical="bottom" wrapText="0"/>
    </xf>
    <xf borderId="0" fillId="0" fontId="16" numFmtId="0" xfId="0" applyAlignment="1" applyFont="1">
      <alignment horizontal="right" readingOrder="0" shrinkToFit="0" vertical="bottom" wrapText="0"/>
    </xf>
    <xf borderId="0" fillId="0" fontId="16" numFmtId="3" xfId="0" applyAlignment="1" applyFont="1" applyNumberFormat="1">
      <alignment horizontal="right" readingOrder="0" shrinkToFit="0" vertical="bottom" wrapText="0"/>
    </xf>
    <xf borderId="0" fillId="3" fontId="16" numFmtId="0" xfId="0" applyAlignment="1" applyFont="1">
      <alignment readingOrder="0" shrinkToFit="0" vertical="bottom" wrapText="0"/>
    </xf>
    <xf borderId="0" fillId="3" fontId="16" numFmtId="0" xfId="0" applyAlignment="1" applyFont="1">
      <alignment readingOrder="0" shrinkToFit="0" wrapText="0"/>
    </xf>
    <xf borderId="0" fillId="4" fontId="14" numFmtId="0" xfId="0" applyAlignment="1" applyFont="1">
      <alignment readingOrder="0" shrinkToFit="0" wrapText="0"/>
    </xf>
    <xf borderId="0" fillId="4" fontId="16" numFmtId="0" xfId="0" applyAlignment="1" applyFont="1">
      <alignment shrinkToFit="0" vertical="bottom" wrapText="0"/>
    </xf>
    <xf borderId="0" fillId="4" fontId="14" numFmtId="169" xfId="0" applyAlignment="1" applyFont="1" applyNumberFormat="1">
      <alignment horizontal="right" readingOrder="0" shrinkToFit="0" vertical="bottom" wrapText="0"/>
    </xf>
    <xf borderId="0" fillId="0" fontId="16" numFmtId="0" xfId="0" applyAlignment="1" applyFont="1">
      <alignment readingOrder="0" shrinkToFit="0" vertical="bottom" wrapText="0"/>
    </xf>
    <xf borderId="0" fillId="8" fontId="15" numFmtId="0" xfId="0" applyAlignment="1" applyFont="1">
      <alignment readingOrder="0" shrinkToFit="0" vertical="bottom" wrapText="0"/>
    </xf>
    <xf borderId="0" fillId="4" fontId="16" numFmtId="0" xfId="0" applyAlignment="1" applyFont="1">
      <alignment readingOrder="0" shrinkToFit="0" vertical="bottom" wrapText="0"/>
    </xf>
    <xf borderId="0" fillId="0" fontId="17" numFmtId="0" xfId="0" applyAlignment="1" applyFont="1">
      <alignment readingOrder="0" shrinkToFit="0" wrapText="0"/>
    </xf>
    <xf borderId="0" fillId="0" fontId="17" numFmtId="169" xfId="0" applyAlignment="1" applyFont="1" applyNumberFormat="1">
      <alignment horizontal="right" readingOrder="0" shrinkToFit="0" vertical="bottom" wrapText="0"/>
    </xf>
    <xf borderId="0" fillId="7" fontId="20" numFmtId="0" xfId="0" applyAlignment="1" applyFont="1">
      <alignment readingOrder="0" shrinkToFit="0" vertical="bottom" wrapText="0"/>
    </xf>
    <xf borderId="0" fillId="4" fontId="14" numFmtId="170" xfId="0" applyAlignment="1" applyFont="1" applyNumberFormat="1">
      <alignment horizontal="right" readingOrder="0" shrinkToFit="0" vertical="bottom" wrapText="0"/>
    </xf>
    <xf borderId="0" fillId="4" fontId="16" numFmtId="169" xfId="0" applyAlignment="1" applyFont="1" applyNumberFormat="1">
      <alignment horizontal="right" readingOrder="0" shrinkToFit="0" vertical="bottom" wrapText="0"/>
    </xf>
    <xf borderId="0" fillId="3" fontId="14" numFmtId="170" xfId="0" applyAlignment="1" applyFont="1" applyNumberFormat="1">
      <alignment horizontal="right" readingOrder="0" shrinkToFit="0" vertical="bottom" wrapText="0"/>
    </xf>
    <xf borderId="0" fillId="7" fontId="15" numFmtId="0" xfId="0" applyAlignment="1" applyFont="1">
      <alignment readingOrder="0" shrinkToFit="0" vertical="bottom" wrapText="0"/>
    </xf>
    <xf borderId="0" fillId="3" fontId="14" numFmtId="0" xfId="0" applyAlignment="1" applyFont="1">
      <alignment horizontal="right" shrinkToFit="0" vertical="bottom" wrapText="0"/>
    </xf>
    <xf borderId="0" fillId="6" fontId="15" numFmtId="0" xfId="0" applyAlignment="1" applyFont="1">
      <alignment readingOrder="0" shrinkToFit="0" vertical="bottom" wrapText="0"/>
    </xf>
    <xf borderId="0" fillId="4" fontId="14" numFmtId="0" xfId="0" applyAlignment="1" applyFont="1">
      <alignment horizontal="right" shrinkToFit="0" vertical="bottom" wrapText="0"/>
    </xf>
    <xf borderId="0" fillId="0" fontId="15" numFmtId="0" xfId="0" applyAlignment="1" applyFont="1">
      <alignment readingOrder="0" shrinkToFit="0" wrapText="0"/>
    </xf>
    <xf borderId="0" fillId="4" fontId="16" numFmtId="0" xfId="0" applyAlignment="1" applyFont="1">
      <alignment shrinkToFit="0" wrapText="0"/>
    </xf>
    <xf borderId="0" fillId="10" fontId="15" numFmtId="0" xfId="0" applyAlignment="1" applyFont="1">
      <alignment horizontal="right" readingOrder="0" shrinkToFit="0" wrapText="0"/>
    </xf>
    <xf borderId="0" fillId="0" fontId="18" numFmtId="0" xfId="0" applyAlignment="1" applyFont="1">
      <alignment readingOrder="0" shrinkToFit="0" vertical="bottom" wrapText="0"/>
    </xf>
    <xf borderId="0" fillId="4" fontId="19" numFmtId="0" xfId="0" applyAlignment="1" applyFont="1">
      <alignment readingOrder="0" shrinkToFit="0" vertical="bottom" wrapText="0"/>
    </xf>
    <xf borderId="0" fillId="3" fontId="16" numFmtId="169" xfId="0" applyAlignment="1" applyFont="1" applyNumberFormat="1">
      <alignment horizontal="right" readingOrder="0" shrinkToFit="0" vertical="bottom" wrapText="0"/>
    </xf>
    <xf borderId="0" fillId="4" fontId="16" numFmtId="0" xfId="0" applyAlignment="1" applyFont="1">
      <alignment readingOrder="0" shrinkToFit="0" wrapText="0"/>
    </xf>
    <xf borderId="0" fillId="0" fontId="17" numFmtId="170" xfId="0" applyAlignment="1" applyFont="1" applyNumberFormat="1">
      <alignment horizontal="right" readingOrder="0" shrinkToFit="0" vertical="bottom" wrapText="0"/>
    </xf>
    <xf borderId="0" fillId="4" fontId="16" numFmtId="173" xfId="0" applyAlignment="1" applyFont="1" applyNumberFormat="1">
      <alignment readingOrder="0" shrinkToFit="0" vertical="bottom" wrapText="0"/>
    </xf>
    <xf borderId="0" fillId="4" fontId="17" numFmtId="0" xfId="0" applyAlignment="1" applyFont="1">
      <alignment readingOrder="0" shrinkToFit="0" wrapText="0"/>
    </xf>
    <xf borderId="0" fillId="4" fontId="17" numFmtId="170" xfId="0" applyAlignment="1" applyFont="1" applyNumberFormat="1">
      <alignment horizontal="right" readingOrder="0" shrinkToFit="0" vertical="bottom" wrapText="0"/>
    </xf>
    <xf borderId="0" fillId="4" fontId="15" numFmtId="169" xfId="0" applyAlignment="1" applyFont="1" applyNumberFormat="1">
      <alignment horizontal="right" readingOrder="0" shrinkToFit="0" vertical="bottom" wrapText="0"/>
    </xf>
    <xf borderId="0" fillId="0" fontId="16" numFmtId="0" xfId="0" applyAlignment="1" applyFont="1">
      <alignment readingOrder="0" shrinkToFit="0" wrapText="0"/>
    </xf>
    <xf borderId="0" fillId="3" fontId="14" numFmtId="169" xfId="0" applyAlignment="1" applyFont="1" applyNumberFormat="1">
      <alignment horizontal="right" readingOrder="0" shrinkToFit="0" vertical="top" wrapText="0"/>
    </xf>
    <xf borderId="0" fillId="3" fontId="16" numFmtId="0" xfId="0" applyAlignment="1" applyFont="1">
      <alignment shrinkToFit="0" vertical="top" wrapText="0"/>
    </xf>
    <xf borderId="0" fillId="0" fontId="15" numFmtId="0" xfId="0" applyAlignment="1" applyFont="1">
      <alignment horizontal="right" readingOrder="0" shrinkToFit="0" vertical="bottom" wrapText="0"/>
    </xf>
    <xf borderId="0" fillId="11" fontId="15" numFmtId="0" xfId="0" applyAlignment="1" applyFill="1" applyFont="1">
      <alignment horizontal="right" readingOrder="0" shrinkToFit="0" vertical="bottom" wrapText="0"/>
    </xf>
    <xf borderId="0" fillId="11" fontId="15" numFmtId="0" xfId="0" applyAlignment="1" applyFont="1">
      <alignment horizontal="right" readingOrder="0" vertical="bottom"/>
    </xf>
    <xf borderId="0" fillId="9" fontId="15" numFmtId="0" xfId="0" applyAlignment="1" applyFont="1">
      <alignment readingOrder="0" shrinkToFit="0" vertical="bottom" wrapText="0"/>
    </xf>
    <xf borderId="0" fillId="11" fontId="15" numFmtId="0" xfId="0" applyAlignment="1" applyFont="1">
      <alignment horizontal="right" readingOrder="0" shrinkToFit="0" wrapText="0"/>
    </xf>
    <xf borderId="0" fillId="0" fontId="15" numFmtId="0" xfId="0" applyAlignment="1" applyFont="1">
      <alignment horizontal="right" readingOrder="0" shrinkToFit="0" wrapText="0"/>
    </xf>
    <xf borderId="0" fillId="0" fontId="15" numFmtId="0" xfId="0" applyAlignment="1" applyFont="1">
      <alignment shrinkToFit="0" vertical="bottom" wrapText="0"/>
    </xf>
    <xf borderId="0" fillId="0" fontId="4" numFmtId="0" xfId="0" applyFont="1"/>
    <xf borderId="0" fillId="6" fontId="21" numFmtId="0" xfId="0" applyAlignment="1" applyFont="1">
      <alignment horizontal="center" readingOrder="0" shrinkToFit="0" vertical="bottom" wrapText="0"/>
    </xf>
    <xf borderId="0" fillId="6" fontId="22" numFmtId="0" xfId="0" applyAlignment="1" applyFont="1">
      <alignment horizontal="center" readingOrder="0" shrinkToFit="0" vertical="bottom" wrapText="0"/>
    </xf>
    <xf borderId="0" fillId="5" fontId="15" numFmtId="0" xfId="0" applyAlignment="1" applyFont="1">
      <alignment readingOrder="0" shrinkToFit="0" vertical="bottom" wrapText="0"/>
    </xf>
    <xf borderId="3" fillId="8" fontId="15" numFmtId="0" xfId="0" applyAlignment="1" applyBorder="1" applyFont="1">
      <alignment readingOrder="0" shrinkToFit="0" vertical="bottom" wrapText="0"/>
    </xf>
    <xf borderId="4" fillId="4" fontId="15" numFmtId="0" xfId="0" applyAlignment="1" applyBorder="1" applyFont="1">
      <alignment readingOrder="0" shrinkToFit="0" vertical="bottom" wrapText="0"/>
    </xf>
    <xf borderId="4" fillId="6" fontId="21" numFmtId="0" xfId="0" applyAlignment="1" applyBorder="1" applyFont="1">
      <alignment horizontal="center" readingOrder="0" shrinkToFit="0" vertical="bottom" wrapText="0"/>
    </xf>
    <xf borderId="4" fillId="7" fontId="15" numFmtId="0" xfId="0" applyAlignment="1" applyBorder="1" applyFont="1">
      <alignment readingOrder="0" shrinkToFit="0" vertical="bottom" wrapText="0"/>
    </xf>
    <xf borderId="5" fillId="2" fontId="13" numFmtId="0" xfId="0" applyAlignment="1" applyBorder="1" applyFont="1">
      <alignment readingOrder="0" shrinkToFit="0" vertical="bottom" wrapText="0"/>
    </xf>
    <xf borderId="5" fillId="2" fontId="13" numFmtId="0" xfId="0" applyAlignment="1" applyBorder="1" applyFont="1">
      <alignment horizontal="center" readingOrder="0" shrinkToFit="0" vertical="bottom" wrapText="0"/>
    </xf>
    <xf borderId="5" fillId="2" fontId="13" numFmtId="0" xfId="0" applyAlignment="1" applyBorder="1" applyFont="1">
      <alignment horizontal="right" readingOrder="0" shrinkToFit="0" vertical="bottom" wrapText="0"/>
    </xf>
    <xf borderId="0" fillId="0" fontId="15" numFmtId="0" xfId="0" applyAlignment="1" applyFont="1">
      <alignment shrinkToFit="0" vertical="bottom" wrapText="0"/>
    </xf>
    <xf borderId="0" fillId="3" fontId="14" numFmtId="169" xfId="0" applyAlignment="1" applyFont="1" applyNumberFormat="1">
      <alignment horizontal="right" shrinkToFit="0" vertical="bottom" wrapText="0"/>
    </xf>
    <xf borderId="0" fillId="3" fontId="14" numFmtId="170" xfId="0" applyAlignment="1" applyFont="1" applyNumberFormat="1">
      <alignment horizontal="right" shrinkToFit="0" vertical="bottom" wrapText="0"/>
    </xf>
    <xf borderId="0" fillId="4" fontId="21" numFmtId="0" xfId="0" applyAlignment="1" applyFont="1">
      <alignment readingOrder="0" shrinkToFit="0" vertical="bottom" wrapText="0"/>
    </xf>
    <xf borderId="0" fillId="4" fontId="22" numFmtId="0" xfId="0" applyAlignment="1" applyFont="1">
      <alignment readingOrder="0" shrinkToFit="0" vertical="bottom" wrapText="0"/>
    </xf>
    <xf borderId="0" fillId="6" fontId="21" numFmtId="0" xfId="0" applyAlignment="1" applyFont="1">
      <alignment readingOrder="0" shrinkToFit="0" vertical="bottom" wrapText="0"/>
    </xf>
    <xf borderId="0" fillId="12" fontId="23" numFmtId="169" xfId="0" applyAlignment="1" applyFill="1" applyFont="1" applyNumberFormat="1">
      <alignment horizontal="right" readingOrder="0" vertical="bottom"/>
    </xf>
    <xf borderId="0" fillId="0" fontId="23" numFmtId="169" xfId="0" applyAlignment="1" applyFont="1" applyNumberFormat="1">
      <alignment horizontal="right" readingOrder="0" vertical="bottom"/>
    </xf>
    <xf borderId="0" fillId="6" fontId="24" numFmtId="0" xfId="0" applyAlignment="1" applyFont="1">
      <alignment readingOrder="0" shrinkToFit="0" vertical="top" wrapText="0"/>
    </xf>
    <xf borderId="0" fillId="6" fontId="6" numFmtId="174" xfId="0" applyAlignment="1" applyFont="1" applyNumberFormat="1">
      <alignment vertical="bottom"/>
    </xf>
    <xf borderId="0" fillId="12" fontId="25" numFmtId="164" xfId="0" applyAlignment="1" applyFont="1" applyNumberFormat="1">
      <alignment horizontal="right" vertical="bottom"/>
    </xf>
    <xf borderId="0" fillId="0" fontId="25" numFmtId="164" xfId="0" applyAlignment="1" applyFont="1" applyNumberFormat="1">
      <alignment horizontal="right" vertical="bottom"/>
    </xf>
    <xf borderId="0" fillId="0" fontId="4" numFmtId="0" xfId="0" applyAlignment="1" applyFont="1">
      <alignment readingOrder="0"/>
    </xf>
    <xf borderId="0" fillId="6" fontId="26" numFmtId="0" xfId="0" applyAlignment="1" applyFont="1">
      <alignment vertical="bottom"/>
    </xf>
    <xf borderId="0" fillId="0" fontId="27" numFmtId="164" xfId="0" applyAlignment="1" applyFont="1" applyNumberFormat="1">
      <alignment readingOrder="0"/>
    </xf>
    <xf borderId="6" fillId="2" fontId="13" numFmtId="0" xfId="0" applyAlignment="1" applyBorder="1" applyFont="1">
      <alignment readingOrder="0" shrinkToFit="0" vertical="bottom" wrapText="0"/>
    </xf>
    <xf borderId="6" fillId="2" fontId="13" numFmtId="0" xfId="0" applyAlignment="1" applyBorder="1" applyFont="1">
      <alignment horizontal="center" readingOrder="0" shrinkToFit="0" vertical="bottom" wrapText="0"/>
    </xf>
    <xf borderId="6" fillId="2" fontId="13" numFmtId="0" xfId="0" applyAlignment="1" applyBorder="1" applyFont="1">
      <alignment horizontal="right" readingOrder="0" shrinkToFit="0" vertical="bottom" wrapText="0"/>
    </xf>
    <xf borderId="0" fillId="0" fontId="16" numFmtId="0" xfId="0" applyAlignment="1" applyFont="1">
      <alignment shrinkToFit="0" vertical="bottom" wrapText="0"/>
    </xf>
    <xf borderId="0" fillId="3" fontId="16" numFmtId="169" xfId="0" applyAlignment="1" applyFont="1" applyNumberFormat="1">
      <alignment shrinkToFit="0" vertical="bottom" wrapText="0"/>
    </xf>
    <xf borderId="0" fillId="3" fontId="16" numFmtId="170" xfId="0" applyAlignment="1" applyFont="1" applyNumberFormat="1">
      <alignment shrinkToFit="0" vertical="bottom" wrapText="0"/>
    </xf>
    <xf borderId="0" fillId="12" fontId="23" numFmtId="169" xfId="0" applyAlignment="1" applyFont="1" applyNumberFormat="1">
      <alignment horizontal="right" readingOrder="0" shrinkToFit="0" vertical="bottom" wrapText="0"/>
    </xf>
    <xf borderId="0" fillId="0" fontId="23" numFmtId="169" xfId="0" applyAlignment="1" applyFont="1" applyNumberFormat="1">
      <alignment horizontal="right" readingOrder="0" shrinkToFit="0" vertical="bottom" wrapText="0"/>
    </xf>
    <xf borderId="0" fillId="0" fontId="16" numFmtId="169" xfId="0" applyAlignment="1" applyFont="1" applyNumberFormat="1">
      <alignment shrinkToFit="0" vertical="bottom" wrapText="0"/>
    </xf>
    <xf borderId="0" fillId="0" fontId="14" numFmtId="164" xfId="0" applyAlignment="1" applyFont="1" applyNumberFormat="1">
      <alignment horizontal="right" readingOrder="0" shrinkToFit="0" vertical="bottom" wrapText="0"/>
    </xf>
    <xf borderId="0" fillId="0" fontId="16" numFmtId="0" xfId="0" applyAlignment="1" applyFont="1">
      <alignment shrinkToFit="0" vertical="bottom" wrapText="0"/>
    </xf>
    <xf borderId="0" fillId="0" fontId="15" numFmtId="164" xfId="0" applyAlignment="1" applyFont="1" applyNumberFormat="1">
      <alignment horizontal="right" readingOrder="0" shrinkToFit="0" vertical="bottom" wrapText="0"/>
    </xf>
    <xf borderId="0" fillId="0" fontId="28" numFmtId="0" xfId="0" applyAlignment="1" applyFont="1">
      <alignment readingOrder="0" shrinkToFit="0" vertical="bottom" wrapText="0"/>
    </xf>
    <xf borderId="0" fillId="13" fontId="29" numFmtId="0" xfId="0" applyAlignment="1" applyFill="1" applyFont="1">
      <alignment readingOrder="0"/>
    </xf>
    <xf borderId="0" fillId="0" fontId="15" numFmtId="170" xfId="0" applyAlignment="1" applyFont="1" applyNumberFormat="1">
      <alignment horizontal="right" readingOrder="0" shrinkToFit="0" vertical="bottom" wrapText="0"/>
    </xf>
    <xf borderId="0" fillId="0" fontId="4" numFmtId="175" xfId="0" applyFont="1" applyNumberFormat="1"/>
    <xf borderId="0" fillId="0" fontId="20" numFmtId="0" xfId="0" applyAlignment="1" applyFont="1">
      <alignment readingOrder="0" shrinkToFit="0" vertical="bottom" wrapText="0"/>
    </xf>
    <xf borderId="0" fillId="14" fontId="15" numFmtId="0" xfId="0" applyAlignment="1" applyFill="1" applyFont="1">
      <alignment readingOrder="0" shrinkToFit="0" vertical="bottom" wrapText="0"/>
    </xf>
    <xf borderId="0" fillId="14" fontId="15" numFmtId="0" xfId="0" applyAlignment="1" applyFont="1">
      <alignment horizontal="right" readingOrder="0" shrinkToFit="0" vertical="bottom" wrapText="0"/>
    </xf>
    <xf borderId="0" fillId="14" fontId="15" numFmtId="0" xfId="0" applyAlignment="1" applyFont="1">
      <alignment shrinkToFit="0" vertical="bottom" wrapText="0"/>
    </xf>
    <xf borderId="0" fillId="14" fontId="15" numFmtId="164" xfId="0" applyAlignment="1" applyFont="1" applyNumberFormat="1">
      <alignment horizontal="right" readingOrder="0" shrinkToFit="0" vertical="bottom" wrapText="0"/>
    </xf>
    <xf borderId="0" fillId="14" fontId="15" numFmtId="169" xfId="0" applyAlignment="1" applyFont="1" applyNumberFormat="1">
      <alignment horizontal="right" readingOrder="0" shrinkToFit="0" vertical="bottom" wrapText="0"/>
    </xf>
    <xf borderId="0" fillId="0" fontId="15" numFmtId="169" xfId="0" applyAlignment="1" applyFont="1" applyNumberFormat="1">
      <alignment shrinkToFit="0" vertical="bottom" wrapText="0"/>
    </xf>
    <xf borderId="0" fillId="0" fontId="30" numFmtId="0" xfId="0" applyAlignment="1" applyFont="1">
      <alignment readingOrder="0" shrinkToFit="0" vertical="bottom" wrapText="0"/>
    </xf>
    <xf borderId="7" fillId="12" fontId="23" numFmtId="169" xfId="0" applyAlignment="1" applyBorder="1" applyFont="1" applyNumberFormat="1">
      <alignment horizontal="right" readingOrder="0" vertical="bottom"/>
    </xf>
    <xf borderId="8" fillId="0" fontId="23" numFmtId="169" xfId="0" applyAlignment="1" applyBorder="1" applyFont="1" applyNumberFormat="1">
      <alignment horizontal="right" readingOrder="0" vertical="bottom"/>
    </xf>
    <xf borderId="8" fillId="12" fontId="23" numFmtId="169" xfId="0" applyAlignment="1" applyBorder="1" applyFont="1" applyNumberFormat="1">
      <alignment horizontal="right" readingOrder="0" vertical="bottom"/>
    </xf>
    <xf borderId="9" fillId="2" fontId="1" numFmtId="0" xfId="0" applyAlignment="1" applyBorder="1" applyFont="1">
      <alignment horizontal="right" vertical="bottom"/>
    </xf>
    <xf borderId="9" fillId="0" fontId="12" numFmtId="0" xfId="0" applyAlignment="1" applyBorder="1" applyFont="1">
      <alignment vertical="bottom"/>
    </xf>
    <xf borderId="9" fillId="0" fontId="12" numFmtId="0" xfId="0" applyAlignment="1" applyBorder="1" applyFont="1">
      <alignment horizontal="right" vertical="bottom"/>
    </xf>
    <xf borderId="9" fillId="0" fontId="3" numFmtId="3" xfId="0" applyAlignment="1" applyBorder="1" applyFont="1" applyNumberFormat="1">
      <alignment vertical="bottom"/>
    </xf>
    <xf borderId="9" fillId="0" fontId="12" numFmtId="164" xfId="0" applyAlignment="1" applyBorder="1" applyFont="1" applyNumberFormat="1">
      <alignment horizontal="right" vertical="bottom"/>
    </xf>
    <xf borderId="10" fillId="0" fontId="12" numFmtId="0" xfId="0" applyAlignment="1" applyBorder="1" applyFont="1">
      <alignment vertical="bottom"/>
    </xf>
    <xf borderId="11" fillId="0" fontId="31" numFmtId="0" xfId="0" applyBorder="1" applyFont="1"/>
    <xf borderId="9" fillId="0" fontId="12" numFmtId="15" xfId="0" applyAlignment="1" applyBorder="1" applyFont="1" applyNumberFormat="1">
      <alignment horizontal="right" vertical="bottom"/>
    </xf>
    <xf borderId="9" fillId="0" fontId="3" numFmtId="0" xfId="0" applyAlignment="1" applyBorder="1" applyFont="1">
      <alignment vertical="bottom"/>
    </xf>
    <xf borderId="9" fillId="0" fontId="16" numFmtId="0" xfId="0" applyAlignment="1" applyBorder="1" applyFont="1">
      <alignment horizontal="right" readingOrder="0" vertical="bottom"/>
    </xf>
    <xf borderId="9" fillId="0" fontId="32" numFmtId="176" xfId="0" applyAlignment="1" applyBorder="1" applyFont="1" applyNumberFormat="1">
      <alignment vertical="bottom"/>
    </xf>
    <xf borderId="9" fillId="0" fontId="33" numFmtId="0" xfId="0" applyAlignment="1" applyBorder="1" applyFont="1">
      <alignment vertical="bottom"/>
    </xf>
    <xf borderId="9" fillId="0" fontId="3" numFmtId="15" xfId="0" applyAlignment="1" applyBorder="1" applyFont="1" applyNumberFormat="1">
      <alignment horizontal="right" vertical="bottom"/>
    </xf>
    <xf borderId="9" fillId="0" fontId="12" numFmtId="177" xfId="0" applyAlignment="1" applyBorder="1" applyFont="1" applyNumberFormat="1">
      <alignment horizontal="right" vertical="bottom"/>
    </xf>
    <xf borderId="9" fillId="0" fontId="34" numFmtId="0" xfId="0" applyAlignment="1" applyBorder="1" applyFont="1">
      <alignment vertical="bottom"/>
    </xf>
    <xf borderId="9" fillId="0" fontId="3" numFmtId="15" xfId="0" applyAlignment="1" applyBorder="1" applyFont="1" applyNumberFormat="1">
      <alignment vertical="bottom"/>
    </xf>
    <xf borderId="9" fillId="0" fontId="33" numFmtId="11" xfId="0" applyAlignment="1" applyBorder="1" applyFont="1" applyNumberFormat="1">
      <alignment vertical="bottom"/>
    </xf>
    <xf borderId="9" fillId="0" fontId="12" numFmtId="178" xfId="0" applyAlignment="1" applyBorder="1" applyFont="1" applyNumberFormat="1">
      <alignment vertical="bottom"/>
    </xf>
    <xf borderId="9" fillId="0" fontId="12" numFmtId="174" xfId="0" applyAlignment="1" applyBorder="1" applyFont="1" applyNumberFormat="1">
      <alignment vertical="bottom"/>
    </xf>
    <xf borderId="9" fillId="0" fontId="12" numFmtId="174" xfId="0" applyAlignment="1" applyBorder="1" applyFont="1" applyNumberFormat="1">
      <alignment horizontal="right" vertical="bottom"/>
    </xf>
    <xf borderId="9" fillId="0" fontId="12" numFmtId="164" xfId="0" applyAlignment="1" applyBorder="1" applyFont="1" applyNumberFormat="1">
      <alignment horizontal="right" vertical="bottom"/>
    </xf>
    <xf borderId="9" fillId="0" fontId="12" numFmtId="0" xfId="0" applyAlignment="1" applyBorder="1" applyFont="1">
      <alignment horizontal="right" readingOrder="0" vertical="bottom"/>
    </xf>
    <xf borderId="9" fillId="0" fontId="35" numFmtId="176" xfId="0" applyAlignment="1" applyBorder="1" applyFont="1" applyNumberFormat="1">
      <alignment vertical="bottom"/>
    </xf>
    <xf borderId="9" fillId="0" fontId="34" numFmtId="11" xfId="0" applyAlignment="1" applyBorder="1" applyFont="1" applyNumberFormat="1">
      <alignment vertical="bottom"/>
    </xf>
    <xf borderId="9" fillId="0" fontId="12" numFmtId="172" xfId="0" applyAlignment="1" applyBorder="1" applyFont="1" applyNumberFormat="1">
      <alignment horizontal="right" vertical="bottom"/>
    </xf>
    <xf borderId="9" fillId="0" fontId="12" numFmtId="176" xfId="0" applyAlignment="1" applyBorder="1" applyFont="1" applyNumberFormat="1">
      <alignment vertical="bottom"/>
    </xf>
    <xf borderId="9" fillId="0" fontId="4" numFmtId="0" xfId="0" applyBorder="1" applyFont="1"/>
    <xf borderId="9" fillId="0" fontId="5" numFmtId="164" xfId="0" applyAlignment="1" applyBorder="1" applyFont="1" applyNumberFormat="1">
      <alignment vertical="bottom"/>
    </xf>
    <xf borderId="9" fillId="0" fontId="5" numFmtId="176" xfId="0" applyAlignment="1" applyBorder="1" applyFont="1" applyNumberFormat="1">
      <alignment vertical="bottom"/>
    </xf>
    <xf borderId="0" fillId="0" fontId="5" numFmtId="164" xfId="0" applyAlignment="1" applyFont="1" applyNumberFormat="1">
      <alignment vertical="bottom"/>
    </xf>
    <xf borderId="0" fillId="0" fontId="5" numFmtId="176" xfId="0" applyAlignment="1" applyFont="1" applyNumberFormat="1">
      <alignment vertical="bottom"/>
    </xf>
    <xf borderId="0" fillId="0" fontId="12" numFmtId="0" xfId="0" applyAlignment="1" applyFont="1">
      <alignment horizontal="left" vertical="bottom"/>
    </xf>
    <xf borderId="0" fillId="0" fontId="12" numFmtId="0" xfId="0" applyAlignment="1" applyFont="1">
      <alignment horizontal="left" vertical="bottom"/>
    </xf>
    <xf borderId="0" fillId="0" fontId="12" numFmtId="164" xfId="0" applyAlignment="1" applyFont="1" applyNumberFormat="1">
      <alignment horizontal="left" vertical="bottom"/>
    </xf>
    <xf borderId="0" fillId="0" fontId="12" numFmtId="176" xfId="0" applyAlignment="1" applyFont="1" applyNumberFormat="1">
      <alignment horizontal="left" vertical="bottom"/>
    </xf>
    <xf borderId="0" fillId="0" fontId="12" numFmtId="0" xfId="0" applyAlignment="1" applyFont="1">
      <alignment vertical="bottom"/>
    </xf>
    <xf borderId="0" fillId="0" fontId="12" numFmtId="0" xfId="0" applyAlignment="1" applyFont="1">
      <alignment horizontal="right" vertical="bottom"/>
    </xf>
    <xf borderId="0" fillId="0" fontId="3" numFmtId="3" xfId="0" applyAlignment="1" applyFont="1" applyNumberFormat="1">
      <alignment vertical="bottom"/>
    </xf>
    <xf borderId="0" fillId="0" fontId="12" numFmtId="49" xfId="0" applyAlignment="1" applyFont="1" applyNumberFormat="1">
      <alignment horizontal="right" vertical="bottom"/>
    </xf>
    <xf borderId="0" fillId="0" fontId="36" numFmtId="0" xfId="0" applyAlignment="1" applyFont="1">
      <alignment vertical="bottom"/>
    </xf>
    <xf borderId="0" fillId="0" fontId="12" numFmtId="15" xfId="0" applyAlignment="1" applyFont="1" applyNumberFormat="1">
      <alignment horizontal="right" vertical="bottom"/>
    </xf>
    <xf borderId="0" fillId="0" fontId="12" numFmtId="164" xfId="0" applyAlignment="1" applyFont="1" applyNumberFormat="1">
      <alignment horizontal="right" vertical="bottom"/>
    </xf>
    <xf borderId="0" fillId="0" fontId="12" numFmtId="177" xfId="0" applyAlignment="1" applyFont="1" applyNumberFormat="1">
      <alignment horizontal="right" vertical="bottom"/>
    </xf>
    <xf borderId="0" fillId="0" fontId="12" numFmtId="178" xfId="0" applyAlignment="1" applyFont="1" applyNumberFormat="1">
      <alignment vertical="bottom"/>
    </xf>
    <xf borderId="0" fillId="0" fontId="12" numFmtId="174" xfId="0" applyAlignment="1" applyFont="1" applyNumberFormat="1">
      <alignment vertical="bottom"/>
    </xf>
    <xf borderId="0" fillId="0" fontId="12" numFmtId="174" xfId="0" applyAlignment="1" applyFont="1" applyNumberFormat="1">
      <alignment horizontal="right" vertical="bottom"/>
    </xf>
    <xf borderId="0" fillId="0" fontId="12" numFmtId="164" xfId="0" applyAlignment="1" applyFont="1" applyNumberFormat="1">
      <alignment horizontal="right" vertical="bottom"/>
    </xf>
    <xf borderId="0" fillId="0" fontId="12" numFmtId="172" xfId="0" applyAlignment="1" applyFont="1" applyNumberFormat="1">
      <alignment horizontal="right" vertical="bottom"/>
    </xf>
    <xf borderId="1" fillId="14" fontId="12" numFmtId="0" xfId="0" applyAlignment="1" applyBorder="1" applyFont="1">
      <alignment vertical="bottom"/>
    </xf>
    <xf borderId="1" fillId="14" fontId="12" numFmtId="0" xfId="0" applyAlignment="1" applyBorder="1" applyFont="1">
      <alignment horizontal="right" vertical="bottom"/>
    </xf>
    <xf borderId="1" fillId="14" fontId="3" numFmtId="3" xfId="0" applyAlignment="1" applyBorder="1" applyFont="1" applyNumberFormat="1">
      <alignment vertical="bottom"/>
    </xf>
    <xf borderId="1" fillId="14" fontId="12" numFmtId="164" xfId="0" applyAlignment="1" applyBorder="1" applyFont="1" applyNumberFormat="1">
      <alignment horizontal="right" vertical="bottom"/>
    </xf>
    <xf borderId="12" fillId="14" fontId="12" numFmtId="0" xfId="0" applyAlignment="1" applyBorder="1" applyFont="1">
      <alignment vertical="bottom"/>
    </xf>
    <xf borderId="13" fillId="0" fontId="31" numFmtId="0" xfId="0" applyBorder="1" applyFont="1"/>
    <xf borderId="1" fillId="14" fontId="12" numFmtId="164" xfId="0" applyAlignment="1" applyBorder="1" applyFont="1" applyNumberFormat="1">
      <alignment horizontal="right" vertical="bottom"/>
    </xf>
    <xf borderId="1" fillId="14" fontId="12" numFmtId="15" xfId="0" applyAlignment="1" applyBorder="1" applyFont="1" applyNumberFormat="1">
      <alignment horizontal="right" vertical="bottom"/>
    </xf>
    <xf borderId="0" fillId="0" fontId="12" numFmtId="176" xfId="0" applyAlignment="1" applyFont="1" applyNumberFormat="1">
      <alignment vertical="bottom"/>
    </xf>
    <xf borderId="0" fillId="0" fontId="3" numFmtId="15" xfId="0" applyAlignment="1" applyFont="1" applyNumberFormat="1">
      <alignment vertical="bottom"/>
    </xf>
    <xf borderId="0" fillId="0" fontId="32" numFmtId="176" xfId="0" applyAlignment="1" applyFont="1" applyNumberFormat="1">
      <alignment vertical="bottom"/>
    </xf>
    <xf borderId="0" fillId="0" fontId="34" numFmtId="0" xfId="0" applyAlignment="1" applyFont="1">
      <alignment vertical="bottom"/>
    </xf>
    <xf borderId="0" fillId="0" fontId="33" numFmtId="0" xfId="0" applyAlignment="1" applyFont="1">
      <alignment vertical="bottom"/>
    </xf>
    <xf borderId="0" fillId="0" fontId="3" numFmtId="15" xfId="0" applyAlignment="1" applyFont="1" applyNumberFormat="1">
      <alignment horizontal="right" vertical="bottom"/>
    </xf>
    <xf borderId="0" fillId="0" fontId="12" numFmtId="0" xfId="0" applyAlignment="1" applyFont="1">
      <alignment horizontal="right" readingOrder="0" vertical="bottom"/>
    </xf>
    <xf borderId="0" fillId="0" fontId="35" numFmtId="176" xfId="0" applyAlignment="1" applyFont="1" applyNumberFormat="1">
      <alignment vertical="bottom"/>
    </xf>
    <xf borderId="0" fillId="0" fontId="34" numFmtId="11" xfId="0" applyAlignment="1" applyFont="1" applyNumberFormat="1">
      <alignment vertical="bottom"/>
    </xf>
    <xf borderId="0" fillId="0" fontId="33" numFmtId="11" xfId="0" applyAlignment="1" applyFont="1" applyNumberFormat="1">
      <alignment vertical="bottom"/>
    </xf>
    <xf borderId="0" fillId="2" fontId="1" numFmtId="0" xfId="0" applyAlignment="1" applyFont="1">
      <alignment horizontal="right" vertical="bottom"/>
    </xf>
    <xf borderId="11" fillId="2" fontId="1" numFmtId="0" xfId="0" applyAlignment="1" applyBorder="1" applyFont="1">
      <alignment horizontal="right" vertical="bottom"/>
    </xf>
    <xf borderId="4" fillId="0" fontId="12" numFmtId="0" xfId="0" applyAlignment="1" applyBorder="1" applyFont="1">
      <alignment vertical="bottom"/>
    </xf>
    <xf borderId="9" fillId="0" fontId="12" numFmtId="15" xfId="0" applyAlignment="1" applyBorder="1" applyFont="1" applyNumberFormat="1">
      <alignment horizontal="right" readingOrder="0" vertical="bottom"/>
    </xf>
    <xf borderId="0" fillId="4" fontId="12" numFmtId="164" xfId="0" applyAlignment="1" applyFont="1" applyNumberFormat="1">
      <alignment vertical="bottom"/>
    </xf>
    <xf borderId="9" fillId="0" fontId="12" numFmtId="0" xfId="0" applyAlignment="1" applyBorder="1" applyFont="1">
      <alignment readingOrder="0" vertical="bottom"/>
    </xf>
    <xf borderId="9" fillId="6" fontId="37" numFmtId="0" xfId="0" applyAlignment="1" applyBorder="1" applyFont="1">
      <alignment readingOrder="0" shrinkToFit="0" vertical="bottom" wrapText="0"/>
    </xf>
    <xf borderId="9" fillId="6" fontId="37" numFmtId="0" xfId="0" applyAlignment="1" applyBorder="1" applyFont="1">
      <alignment horizontal="right" readingOrder="0" shrinkToFit="0" vertical="bottom" wrapText="0"/>
    </xf>
    <xf borderId="9" fillId="6" fontId="37" numFmtId="0" xfId="0" applyAlignment="1" applyBorder="1" applyFont="1">
      <alignment shrinkToFit="0" vertical="bottom" wrapText="0"/>
    </xf>
    <xf borderId="9" fillId="6" fontId="38" numFmtId="0" xfId="0" applyAlignment="1" applyBorder="1" applyFont="1">
      <alignment readingOrder="0" shrinkToFit="0" vertical="bottom" wrapText="0"/>
    </xf>
    <xf borderId="9" fillId="6" fontId="37" numFmtId="169" xfId="0" applyAlignment="1" applyBorder="1" applyFont="1" applyNumberFormat="1">
      <alignment horizontal="right" readingOrder="0" shrinkToFit="0" vertical="bottom" wrapText="0"/>
    </xf>
    <xf borderId="10" fillId="0" fontId="16" numFmtId="0" xfId="0" applyAlignment="1" applyBorder="1" applyFont="1">
      <alignment horizontal="right" readingOrder="0" vertical="bottom"/>
    </xf>
    <xf borderId="2" fillId="4" fontId="32" numFmtId="0" xfId="0" applyBorder="1" applyFont="1"/>
    <xf borderId="0" fillId="4" fontId="32" numFmtId="0" xfId="0" applyFont="1"/>
    <xf borderId="9" fillId="6" fontId="39" numFmtId="0" xfId="0" applyAlignment="1" applyBorder="1" applyFont="1">
      <alignment readingOrder="0" shrinkToFit="0" vertical="bottom" wrapText="0"/>
    </xf>
    <xf borderId="9" fillId="0" fontId="4" numFmtId="3" xfId="0" applyBorder="1" applyFont="1" applyNumberFormat="1"/>
    <xf borderId="9" fillId="0" fontId="4" numFmtId="4" xfId="0" applyBorder="1" applyFont="1" applyNumberFormat="1"/>
    <xf borderId="0" fillId="15" fontId="4" numFmtId="0" xfId="0" applyFill="1" applyFont="1"/>
    <xf borderId="0" fillId="0" fontId="4" numFmtId="1" xfId="0" applyFont="1" applyNumberFormat="1"/>
    <xf borderId="0" fillId="0" fontId="15" numFmtId="0" xfId="0" applyAlignment="1" applyFont="1">
      <alignment readingOrder="0" shrinkToFit="0" wrapText="0"/>
    </xf>
    <xf borderId="0" fillId="0" fontId="15" numFmtId="0" xfId="0" applyAlignment="1" applyFont="1">
      <alignment horizontal="right" readingOrder="0" shrinkToFit="0" wrapText="0"/>
    </xf>
    <xf borderId="0" fillId="0" fontId="15" numFmtId="3" xfId="0" applyAlignment="1" applyFont="1" applyNumberFormat="1">
      <alignment shrinkToFit="0" wrapText="0"/>
    </xf>
    <xf borderId="0" fillId="0" fontId="15" numFmtId="0" xfId="0" applyAlignment="1" applyFont="1">
      <alignment shrinkToFit="0" wrapText="0"/>
    </xf>
    <xf borderId="0" fillId="0" fontId="15" numFmtId="15" xfId="0" applyAlignment="1" applyFont="1" applyNumberFormat="1">
      <alignment horizontal="right" readingOrder="0" shrinkToFit="0" wrapText="0"/>
    </xf>
    <xf borderId="0" fillId="0" fontId="15" numFmtId="169" xfId="0" applyAlignment="1" applyFont="1" applyNumberFormat="1">
      <alignment horizontal="right" readingOrder="0" shrinkToFit="0" wrapText="0"/>
    </xf>
    <xf borderId="0" fillId="0" fontId="15" numFmtId="177" xfId="0" applyAlignment="1" applyFont="1" applyNumberFormat="1">
      <alignment shrinkToFit="0" wrapText="0"/>
    </xf>
    <xf borderId="0" fillId="0" fontId="15" numFmtId="177" xfId="0" applyAlignment="1" applyFont="1" applyNumberFormat="1">
      <alignment horizontal="right" readingOrder="0" shrinkToFit="0" wrapText="0"/>
    </xf>
    <xf borderId="0" fillId="0" fontId="15" numFmtId="15" xfId="0" applyAlignment="1" applyFont="1" applyNumberFormat="1">
      <alignment shrinkToFit="0" wrapText="0"/>
    </xf>
    <xf borderId="0" fillId="0" fontId="15" numFmtId="170" xfId="0" applyAlignment="1" applyFont="1" applyNumberFormat="1">
      <alignment horizontal="right" readingOrder="0" shrinkToFit="0" wrapText="0"/>
    </xf>
    <xf borderId="0" fillId="0" fontId="15" numFmtId="164" xfId="0" applyAlignment="1" applyFont="1" applyNumberFormat="1">
      <alignment horizontal="right" readingOrder="0" shrinkToFit="0" wrapText="0"/>
    </xf>
    <xf borderId="0" fillId="0" fontId="15" numFmtId="11" xfId="0" applyAlignment="1" applyFont="1" applyNumberFormat="1">
      <alignment readingOrder="0" shrinkToFit="0" wrapText="0"/>
    </xf>
    <xf borderId="0" fillId="6" fontId="32" numFmtId="0" xfId="0" applyFont="1"/>
    <xf borderId="0" fillId="15" fontId="4" numFmtId="1" xfId="0" applyFont="1" applyNumberFormat="1"/>
    <xf borderId="0" fillId="0" fontId="15" numFmtId="15" xfId="0" applyAlignment="1" applyFont="1" applyNumberFormat="1">
      <alignment readingOrder="0" shrinkToFit="0" wrapText="0"/>
    </xf>
    <xf borderId="9" fillId="0" fontId="3" numFmtId="169" xfId="0" applyAlignment="1" applyBorder="1" applyFont="1" applyNumberFormat="1">
      <alignment readingOrder="0" vertical="bottom"/>
    </xf>
    <xf borderId="0" fillId="0" fontId="15" numFmtId="169" xfId="0" applyAlignment="1" applyFont="1" applyNumberFormat="1">
      <alignment readingOrder="0" shrinkToFit="0" wrapText="0"/>
    </xf>
    <xf borderId="0" fillId="16" fontId="32" numFmtId="0" xfId="0" applyFill="1" applyFont="1"/>
    <xf borderId="0" fillId="16" fontId="4" numFmtId="1" xfId="0" applyFont="1" applyNumberFormat="1"/>
    <xf borderId="9" fillId="0" fontId="3" numFmtId="15" xfId="0" applyAlignment="1" applyBorder="1" applyFont="1" applyNumberFormat="1">
      <alignment readingOrder="0" vertical="bottom"/>
    </xf>
    <xf borderId="9" fillId="17" fontId="12" numFmtId="0" xfId="0" applyAlignment="1" applyBorder="1" applyFill="1" applyFont="1">
      <alignment horizontal="right" readingOrder="0" vertical="bottom"/>
    </xf>
    <xf borderId="9" fillId="17" fontId="3" numFmtId="169" xfId="0" applyAlignment="1" applyBorder="1" applyFont="1" applyNumberFormat="1">
      <alignment readingOrder="0" vertical="bottom"/>
    </xf>
    <xf borderId="9" fillId="0" fontId="12" numFmtId="169" xfId="0" applyAlignment="1" applyBorder="1" applyFont="1" applyNumberFormat="1">
      <alignment horizontal="right" readingOrder="0" vertical="bottom"/>
    </xf>
    <xf borderId="5" fillId="0" fontId="12" numFmtId="0" xfId="0" applyAlignment="1" applyBorder="1" applyFont="1">
      <alignment vertical="bottom"/>
    </xf>
    <xf borderId="5" fillId="0" fontId="12" numFmtId="0" xfId="0" applyAlignment="1" applyBorder="1" applyFont="1">
      <alignment horizontal="right" vertical="bottom"/>
    </xf>
    <xf borderId="5" fillId="0" fontId="3" numFmtId="0" xfId="0" applyAlignment="1" applyBorder="1" applyFont="1">
      <alignment vertical="bottom"/>
    </xf>
    <xf borderId="5" fillId="0" fontId="12" numFmtId="164" xfId="0" applyAlignment="1" applyBorder="1" applyFont="1" applyNumberFormat="1">
      <alignment horizontal="right" vertical="bottom"/>
    </xf>
    <xf borderId="5" fillId="0" fontId="12" numFmtId="176" xfId="0" applyAlignment="1" applyBorder="1" applyFont="1" applyNumberFormat="1">
      <alignment vertical="bottom"/>
    </xf>
    <xf borderId="14" fillId="0" fontId="12" numFmtId="0" xfId="0" applyAlignment="1" applyBorder="1" applyFont="1">
      <alignment vertical="bottom"/>
    </xf>
    <xf borderId="6" fillId="0" fontId="31" numFmtId="0" xfId="0" applyBorder="1" applyFont="1"/>
    <xf borderId="5" fillId="0" fontId="12" numFmtId="15" xfId="0" applyAlignment="1" applyBorder="1" applyFont="1" applyNumberFormat="1">
      <alignment horizontal="right" vertical="bottom"/>
    </xf>
    <xf borderId="5" fillId="0" fontId="12" numFmtId="0" xfId="0" applyAlignment="1" applyBorder="1" applyFont="1">
      <alignment horizontal="right" readingOrder="0" vertical="bottom"/>
    </xf>
    <xf borderId="5" fillId="0" fontId="12" numFmtId="15" xfId="0" applyAlignment="1" applyBorder="1" applyFont="1" applyNumberFormat="1">
      <alignment horizontal="right" readingOrder="0" vertical="bottom"/>
    </xf>
    <xf borderId="5" fillId="0" fontId="16" numFmtId="0" xfId="0" applyAlignment="1" applyBorder="1" applyFont="1">
      <alignment horizontal="right" readingOrder="0" vertical="bottom"/>
    </xf>
    <xf borderId="4" fillId="0" fontId="12" numFmtId="0" xfId="0" applyAlignment="1" applyBorder="1" applyFont="1">
      <alignment horizontal="right" vertical="bottom"/>
    </xf>
    <xf borderId="4" fillId="0" fontId="3" numFmtId="0" xfId="0" applyAlignment="1" applyBorder="1" applyFont="1">
      <alignment vertical="bottom"/>
    </xf>
    <xf borderId="4" fillId="0" fontId="12" numFmtId="164" xfId="0" applyAlignment="1" applyBorder="1" applyFont="1" applyNumberFormat="1">
      <alignment horizontal="right" vertical="bottom"/>
    </xf>
    <xf borderId="4" fillId="0" fontId="12" numFmtId="176" xfId="0" applyAlignment="1" applyBorder="1" applyFont="1" applyNumberFormat="1">
      <alignment vertical="bottom"/>
    </xf>
    <xf borderId="15" fillId="0" fontId="12" numFmtId="0" xfId="0" applyAlignment="1" applyBorder="1" applyFont="1">
      <alignment vertical="bottom"/>
    </xf>
    <xf borderId="16" fillId="0" fontId="31" numFmtId="0" xfId="0" applyBorder="1" applyFont="1"/>
    <xf borderId="4" fillId="0" fontId="12" numFmtId="15" xfId="0" applyAlignment="1" applyBorder="1" applyFont="1" applyNumberFormat="1">
      <alignment horizontal="right" vertical="bottom"/>
    </xf>
    <xf borderId="4" fillId="0" fontId="12" numFmtId="0" xfId="0" applyAlignment="1" applyBorder="1" applyFont="1">
      <alignment horizontal="right" readingOrder="0" vertical="bottom"/>
    </xf>
    <xf borderId="4" fillId="0" fontId="12" numFmtId="15" xfId="0" applyAlignment="1" applyBorder="1" applyFont="1" applyNumberFormat="1">
      <alignment horizontal="right" readingOrder="0" vertical="bottom"/>
    </xf>
    <xf borderId="4" fillId="0" fontId="16" numFmtId="0" xfId="0" applyAlignment="1" applyBorder="1" applyFont="1">
      <alignment horizontal="right" readingOrder="0" vertical="bottom"/>
    </xf>
    <xf borderId="9" fillId="16" fontId="37" numFmtId="0" xfId="0" applyAlignment="1" applyBorder="1" applyFont="1">
      <alignment readingOrder="0" shrinkToFit="0" vertical="bottom" wrapText="0"/>
    </xf>
    <xf borderId="9" fillId="16" fontId="37" numFmtId="0" xfId="0" applyAlignment="1" applyBorder="1" applyFont="1">
      <alignment horizontal="right" readingOrder="0" shrinkToFit="0" vertical="bottom" wrapText="0"/>
    </xf>
    <xf borderId="9" fillId="16" fontId="37" numFmtId="0" xfId="0" applyAlignment="1" applyBorder="1" applyFont="1">
      <alignment shrinkToFit="0" vertical="bottom" wrapText="0"/>
    </xf>
    <xf borderId="9" fillId="16" fontId="38" numFmtId="0" xfId="0" applyAlignment="1" applyBorder="1" applyFont="1">
      <alignment readingOrder="0" shrinkToFit="0" vertical="bottom" wrapText="0"/>
    </xf>
    <xf borderId="9" fillId="16" fontId="37" numFmtId="169" xfId="0" applyAlignment="1" applyBorder="1" applyFont="1" applyNumberFormat="1">
      <alignment horizontal="right" readingOrder="0" shrinkToFit="0" vertical="bottom" wrapText="0"/>
    </xf>
    <xf borderId="9" fillId="16" fontId="12" numFmtId="0" xfId="0" applyAlignment="1" applyBorder="1" applyFont="1">
      <alignment horizontal="right" readingOrder="0" vertical="bottom"/>
    </xf>
    <xf borderId="9" fillId="16" fontId="16" numFmtId="0" xfId="0" applyAlignment="1" applyBorder="1" applyFont="1">
      <alignment horizontal="right" readingOrder="0" vertical="bottom"/>
    </xf>
    <xf borderId="10" fillId="16" fontId="16" numFmtId="0" xfId="0" applyAlignment="1" applyBorder="1" applyFont="1">
      <alignment horizontal="right" readingOrder="0" vertical="bottom"/>
    </xf>
    <xf borderId="9" fillId="16" fontId="39" numFmtId="0" xfId="0" applyAlignment="1" applyBorder="1" applyFont="1">
      <alignment readingOrder="0" shrinkToFit="0" vertical="bottom" wrapText="0"/>
    </xf>
    <xf borderId="0" fillId="0" fontId="3" numFmtId="164" xfId="0" applyAlignment="1" applyFont="1" applyNumberFormat="1">
      <alignment vertical="bottom"/>
    </xf>
    <xf borderId="0" fillId="0" fontId="3" numFmtId="176" xfId="0" applyAlignment="1" applyFont="1" applyNumberFormat="1">
      <alignment vertical="bottom"/>
    </xf>
    <xf borderId="9" fillId="7" fontId="12" numFmtId="0" xfId="0" applyAlignment="1" applyBorder="1" applyFont="1">
      <alignment vertical="bottom"/>
    </xf>
    <xf borderId="9" fillId="7" fontId="12" numFmtId="0" xfId="0" applyAlignment="1" applyBorder="1" applyFont="1">
      <alignment horizontal="right" vertical="bottom"/>
    </xf>
    <xf borderId="9" fillId="7" fontId="3" numFmtId="3" xfId="0" applyAlignment="1" applyBorder="1" applyFont="1" applyNumberFormat="1">
      <alignment vertical="bottom"/>
    </xf>
    <xf borderId="9" fillId="7" fontId="12" numFmtId="164" xfId="0" applyAlignment="1" applyBorder="1" applyFont="1" applyNumberFormat="1">
      <alignment horizontal="right" vertical="bottom"/>
    </xf>
    <xf borderId="10" fillId="7" fontId="12" numFmtId="0" xfId="0" applyAlignment="1" applyBorder="1" applyFont="1">
      <alignment vertical="bottom"/>
    </xf>
    <xf borderId="9" fillId="7" fontId="12" numFmtId="15" xfId="0" applyAlignment="1" applyBorder="1" applyFont="1" applyNumberFormat="1">
      <alignment horizontal="right" vertical="bottom"/>
    </xf>
    <xf borderId="9" fillId="7" fontId="3" numFmtId="0" xfId="0" applyAlignment="1" applyBorder="1" applyFont="1">
      <alignment vertical="bottom"/>
    </xf>
    <xf borderId="9" fillId="7" fontId="12" numFmtId="0" xfId="0" applyAlignment="1" applyBorder="1" applyFont="1">
      <alignment horizontal="right" readingOrder="0" vertical="bottom"/>
    </xf>
    <xf borderId="9" fillId="7" fontId="12" numFmtId="15" xfId="0" applyAlignment="1" applyBorder="1" applyFont="1" applyNumberFormat="1">
      <alignment horizontal="right" readingOrder="0" vertical="bottom"/>
    </xf>
    <xf borderId="9" fillId="7" fontId="16" numFmtId="0" xfId="0" applyAlignment="1" applyBorder="1" applyFont="1">
      <alignment horizontal="right" readingOrder="0" vertical="bottom"/>
    </xf>
    <xf borderId="9" fillId="7" fontId="12" numFmtId="172" xfId="0" applyAlignment="1" applyBorder="1" applyFont="1" applyNumberFormat="1">
      <alignment horizontal="right" vertical="bottom"/>
    </xf>
    <xf borderId="5" fillId="7" fontId="12" numFmtId="0" xfId="0" applyAlignment="1" applyBorder="1" applyFont="1">
      <alignment vertical="bottom"/>
    </xf>
    <xf borderId="5" fillId="7" fontId="12" numFmtId="0" xfId="0" applyAlignment="1" applyBorder="1" applyFont="1">
      <alignment horizontal="right" vertical="bottom"/>
    </xf>
    <xf borderId="5" fillId="7" fontId="3" numFmtId="0" xfId="0" applyAlignment="1" applyBorder="1" applyFont="1">
      <alignment vertical="bottom"/>
    </xf>
    <xf borderId="5" fillId="7" fontId="12" numFmtId="164" xfId="0" applyAlignment="1" applyBorder="1" applyFont="1" applyNumberFormat="1">
      <alignment horizontal="right" vertical="bottom"/>
    </xf>
    <xf borderId="5" fillId="7" fontId="12" numFmtId="176" xfId="0" applyAlignment="1" applyBorder="1" applyFont="1" applyNumberFormat="1">
      <alignment vertical="bottom"/>
    </xf>
    <xf borderId="14" fillId="7" fontId="12" numFmtId="0" xfId="0" applyAlignment="1" applyBorder="1" applyFont="1">
      <alignment vertical="bottom"/>
    </xf>
    <xf borderId="5" fillId="7" fontId="12" numFmtId="15" xfId="0" applyAlignment="1" applyBorder="1" applyFont="1" applyNumberFormat="1">
      <alignment horizontal="right" vertical="bottom"/>
    </xf>
    <xf borderId="5" fillId="7" fontId="12" numFmtId="0" xfId="0" applyAlignment="1" applyBorder="1" applyFont="1">
      <alignment horizontal="right" readingOrder="0" vertical="bottom"/>
    </xf>
    <xf borderId="5" fillId="7" fontId="16" numFmtId="0" xfId="0" applyAlignment="1" applyBorder="1" applyFont="1">
      <alignment horizontal="right" readingOrder="0" vertical="bottom"/>
    </xf>
    <xf borderId="9" fillId="7" fontId="12" numFmtId="176" xfId="0" applyAlignment="1" applyBorder="1" applyFont="1" applyNumberFormat="1">
      <alignment vertical="bottom"/>
    </xf>
    <xf borderId="9" fillId="7" fontId="3" numFmtId="15" xfId="0" applyAlignment="1" applyBorder="1" applyFont="1" applyNumberFormat="1">
      <alignment vertical="bottom"/>
    </xf>
    <xf borderId="9" fillId="0" fontId="32" numFmtId="0" xfId="0" applyBorder="1" applyFont="1"/>
    <xf borderId="9" fillId="0" fontId="32" numFmtId="0" xfId="0" applyAlignment="1" applyBorder="1" applyFont="1">
      <alignment readingOrder="0" vertical="bottom"/>
    </xf>
    <xf borderId="9" fillId="0" fontId="32" numFmtId="0" xfId="0" applyAlignment="1" applyBorder="1" applyFont="1">
      <alignment readingOrder="0"/>
    </xf>
    <xf borderId="9" fillId="0" fontId="32" numFmtId="169" xfId="0" applyAlignment="1" applyBorder="1" applyFont="1" applyNumberFormat="1">
      <alignment readingOrder="0"/>
    </xf>
    <xf borderId="9" fillId="0" fontId="32" numFmtId="170" xfId="0" applyAlignment="1" applyBorder="1" applyFont="1" applyNumberFormat="1">
      <alignment readingOrder="0"/>
    </xf>
    <xf borderId="9" fillId="16" fontId="32" numFmtId="0" xfId="0" applyAlignment="1" applyBorder="1" applyFont="1">
      <alignment horizontal="right" readingOrder="0" vertical="bottom"/>
    </xf>
    <xf borderId="9" fillId="0" fontId="32" numFmtId="15" xfId="0" applyAlignment="1" applyBorder="1" applyFont="1" applyNumberFormat="1">
      <alignment horizontal="right" readingOrder="0" vertical="bottom"/>
    </xf>
    <xf borderId="9" fillId="0" fontId="37" numFmtId="0" xfId="0" applyAlignment="1" applyBorder="1" applyFont="1">
      <alignment horizontal="right" readingOrder="0" vertical="bottom"/>
    </xf>
    <xf borderId="9" fillId="16" fontId="37" numFmtId="0" xfId="0" applyAlignment="1" applyBorder="1" applyFont="1">
      <alignment horizontal="right" readingOrder="0" vertical="bottom"/>
    </xf>
    <xf borderId="0" fillId="0" fontId="40" numFmtId="0" xfId="0" applyAlignment="1" applyFont="1">
      <alignment readingOrder="0" shrinkToFit="0" vertical="bottom" wrapText="0"/>
    </xf>
    <xf borderId="0" fillId="0" fontId="40" numFmtId="0" xfId="0" applyAlignment="1" applyFont="1">
      <alignment horizontal="right" readingOrder="0" shrinkToFit="0" vertical="bottom" wrapText="0"/>
    </xf>
    <xf borderId="0" fillId="0" fontId="40" numFmtId="0" xfId="0" applyAlignment="1" applyFont="1">
      <alignment shrinkToFit="0" vertical="bottom" wrapText="0"/>
    </xf>
    <xf borderId="0" fillId="0" fontId="40" numFmtId="0" xfId="0" applyAlignment="1" applyFont="1">
      <alignment shrinkToFit="0" vertical="bottom" wrapText="0"/>
    </xf>
    <xf borderId="0" fillId="0" fontId="40" numFmtId="169" xfId="0" applyAlignment="1" applyFont="1" applyNumberFormat="1">
      <alignment horizontal="right" readingOrder="0" shrinkToFit="0" vertical="bottom" wrapText="0"/>
    </xf>
    <xf borderId="0" fillId="0" fontId="40" numFmtId="15" xfId="0" applyAlignment="1" applyFont="1" applyNumberFormat="1">
      <alignment horizontal="right" readingOrder="0" shrinkToFit="0" vertical="bottom" wrapText="0"/>
    </xf>
    <xf borderId="0" fillId="0" fontId="40" numFmtId="170" xfId="0" applyAlignment="1" applyFont="1" applyNumberFormat="1">
      <alignment horizontal="right" readingOrder="0" shrinkToFit="0" vertical="bottom" wrapText="0"/>
    </xf>
    <xf borderId="0" fillId="0" fontId="40" numFmtId="3" xfId="0" applyAlignment="1" applyFont="1" applyNumberFormat="1">
      <alignment shrinkToFit="0" vertical="bottom" wrapText="0"/>
    </xf>
    <xf borderId="0" fillId="0" fontId="40" numFmtId="177" xfId="0" applyAlignment="1" applyFont="1" applyNumberFormat="1">
      <alignment shrinkToFit="0" vertical="bottom" wrapText="0"/>
    </xf>
    <xf borderId="0" fillId="0" fontId="40" numFmtId="15" xfId="0" applyAlignment="1" applyFont="1" applyNumberFormat="1">
      <alignment shrinkToFit="0" vertical="bottom" wrapText="0"/>
    </xf>
    <xf borderId="0" fillId="0" fontId="40" numFmtId="177" xfId="0" applyAlignment="1" applyFont="1" applyNumberFormat="1">
      <alignment horizontal="right" readingOrder="0" shrinkToFit="0" vertical="bottom" wrapText="0"/>
    </xf>
    <xf borderId="0" fillId="0" fontId="40" numFmtId="11" xfId="0" applyAlignment="1" applyFont="1" applyNumberFormat="1">
      <alignment readingOrder="0" shrinkToFit="0" vertical="bottom" wrapText="0"/>
    </xf>
    <xf borderId="0" fillId="0" fontId="21" numFmtId="15" xfId="0" applyAlignment="1" applyFont="1" applyNumberFormat="1">
      <alignment horizontal="right" readingOrder="0" shrinkToFit="0" vertical="bottom" wrapText="0"/>
    </xf>
    <xf borderId="0" fillId="0" fontId="40" numFmtId="164" xfId="0" applyAlignment="1" applyFont="1" applyNumberFormat="1">
      <alignment horizontal="right" readingOrder="0" shrinkToFit="0" vertical="bottom" wrapText="0"/>
    </xf>
    <xf borderId="0" fillId="16" fontId="4" numFmtId="0" xfId="0" applyFont="1"/>
    <xf borderId="9" fillId="5" fontId="12" numFmtId="0" xfId="0" applyAlignment="1" applyBorder="1" applyFont="1">
      <alignment vertical="bottom"/>
    </xf>
    <xf borderId="9" fillId="5" fontId="12" numFmtId="0" xfId="0" applyAlignment="1" applyBorder="1" applyFont="1">
      <alignment horizontal="right" vertical="bottom"/>
    </xf>
    <xf borderId="9" fillId="5" fontId="3" numFmtId="3" xfId="0" applyAlignment="1" applyBorder="1" applyFont="1" applyNumberFormat="1">
      <alignment vertical="bottom"/>
    </xf>
    <xf borderId="9" fillId="5" fontId="12" numFmtId="164" xfId="0" applyAlignment="1" applyBorder="1" applyFont="1" applyNumberFormat="1">
      <alignment horizontal="right" vertical="bottom"/>
    </xf>
    <xf borderId="10" fillId="5" fontId="12" numFmtId="0" xfId="0" applyAlignment="1" applyBorder="1" applyFont="1">
      <alignment vertical="bottom"/>
    </xf>
    <xf borderId="9" fillId="5" fontId="12" numFmtId="15" xfId="0" applyAlignment="1" applyBorder="1" applyFont="1" applyNumberFormat="1">
      <alignment horizontal="right" vertical="bottom"/>
    </xf>
    <xf borderId="9" fillId="5" fontId="12" numFmtId="15" xfId="0" applyAlignment="1" applyBorder="1" applyFont="1" applyNumberFormat="1">
      <alignment horizontal="right" readingOrder="0" vertical="bottom"/>
    </xf>
    <xf borderId="9" fillId="5" fontId="12" numFmtId="0" xfId="0" applyAlignment="1" applyBorder="1" applyFont="1">
      <alignment horizontal="right" readingOrder="0" vertical="bottom"/>
    </xf>
    <xf borderId="9" fillId="5" fontId="16" numFmtId="0" xfId="0" applyAlignment="1" applyBorder="1" applyFont="1">
      <alignment horizontal="right" readingOrder="0" vertical="bottom"/>
    </xf>
    <xf borderId="0" fillId="5" fontId="4" numFmtId="0" xfId="0" applyFont="1"/>
    <xf borderId="9" fillId="0" fontId="12" numFmtId="164" xfId="0" applyAlignment="1" applyBorder="1" applyFont="1" applyNumberFormat="1">
      <alignment horizontal="right" readingOrder="0" vertical="bottom"/>
    </xf>
    <xf borderId="9" fillId="0" fontId="33" numFmtId="11" xfId="0" applyAlignment="1" applyBorder="1" applyFont="1" applyNumberFormat="1">
      <alignment readingOrder="0" vertical="bottom"/>
    </xf>
    <xf borderId="9" fillId="0" fontId="3" numFmtId="0" xfId="0" applyAlignment="1" applyBorder="1" applyFont="1">
      <alignment readingOrder="0" vertical="bottom"/>
    </xf>
    <xf borderId="10" fillId="0" fontId="12" numFmtId="0" xfId="0" applyAlignment="1" applyBorder="1" applyFont="1">
      <alignment readingOrder="0" vertical="bottom"/>
    </xf>
    <xf borderId="9" fillId="7" fontId="3" numFmtId="169" xfId="0" applyAlignment="1" applyBorder="1" applyFont="1" applyNumberFormat="1">
      <alignment readingOrder="0" vertical="bottom"/>
    </xf>
    <xf borderId="9" fillId="7" fontId="12" numFmtId="174" xfId="0" applyAlignment="1" applyBorder="1" applyFont="1" applyNumberFormat="1">
      <alignment vertical="bottom"/>
    </xf>
    <xf borderId="9" fillId="7" fontId="12" numFmtId="174" xfId="0" applyAlignment="1" applyBorder="1" applyFont="1" applyNumberFormat="1">
      <alignment horizontal="right" vertical="bottom"/>
    </xf>
    <xf borderId="9" fillId="7" fontId="12" numFmtId="164" xfId="0" applyAlignment="1" applyBorder="1" applyFont="1" applyNumberFormat="1">
      <alignment horizontal="right" vertical="bottom"/>
    </xf>
    <xf borderId="9" fillId="5" fontId="12" numFmtId="164" xfId="0" applyAlignment="1" applyBorder="1" applyFont="1" applyNumberFormat="1">
      <alignment horizontal="right" vertical="bottom"/>
    </xf>
    <xf borderId="9" fillId="7" fontId="12" numFmtId="177" xfId="0" applyAlignment="1" applyBorder="1" applyFont="1" applyNumberFormat="1">
      <alignment horizontal="right" vertical="bottom"/>
    </xf>
    <xf borderId="4" fillId="0" fontId="12" numFmtId="0" xfId="0" applyAlignment="1" applyBorder="1" applyFont="1">
      <alignment readingOrder="0" vertical="bottom"/>
    </xf>
    <xf borderId="9" fillId="5" fontId="3" numFmtId="0" xfId="0" applyAlignment="1" applyBorder="1" applyFont="1">
      <alignment vertical="bottom"/>
    </xf>
    <xf borderId="9" fillId="5" fontId="12" numFmtId="176" xfId="0" applyAlignment="1" applyBorder="1" applyFont="1" applyNumberFormat="1">
      <alignment vertical="bottom"/>
    </xf>
    <xf borderId="9" fillId="7" fontId="37" numFmtId="0" xfId="0" applyAlignment="1" applyBorder="1" applyFont="1">
      <alignment readingOrder="0" shrinkToFit="0" vertical="bottom" wrapText="0"/>
    </xf>
    <xf borderId="9" fillId="7" fontId="37" numFmtId="0" xfId="0" applyAlignment="1" applyBorder="1" applyFont="1">
      <alignment horizontal="right" readingOrder="0" shrinkToFit="0" vertical="bottom" wrapText="0"/>
    </xf>
    <xf borderId="9" fillId="7" fontId="37" numFmtId="0" xfId="0" applyAlignment="1" applyBorder="1" applyFont="1">
      <alignment shrinkToFit="0" vertical="bottom" wrapText="0"/>
    </xf>
    <xf borderId="9" fillId="7" fontId="38" numFmtId="0" xfId="0" applyAlignment="1" applyBorder="1" applyFont="1">
      <alignment readingOrder="0" shrinkToFit="0" vertical="bottom" wrapText="0"/>
    </xf>
    <xf borderId="9" fillId="7" fontId="37" numFmtId="169" xfId="0" applyAlignment="1" applyBorder="1" applyFont="1" applyNumberFormat="1">
      <alignment horizontal="right" readingOrder="0" shrinkToFit="0" vertical="bottom" wrapText="0"/>
    </xf>
    <xf borderId="10" fillId="7" fontId="16" numFmtId="0" xfId="0" applyAlignment="1" applyBorder="1" applyFont="1">
      <alignment horizontal="right" readingOrder="0" vertical="bottom"/>
    </xf>
    <xf borderId="9" fillId="5" fontId="37" numFmtId="0" xfId="0" applyAlignment="1" applyBorder="1" applyFont="1">
      <alignment readingOrder="0" shrinkToFit="0" vertical="bottom" wrapText="0"/>
    </xf>
    <xf borderId="9" fillId="5" fontId="37" numFmtId="0" xfId="0" applyAlignment="1" applyBorder="1" applyFont="1">
      <alignment horizontal="right" readingOrder="0" shrinkToFit="0" vertical="bottom" wrapText="0"/>
    </xf>
    <xf borderId="9" fillId="5" fontId="37" numFmtId="0" xfId="0" applyAlignment="1" applyBorder="1" applyFont="1">
      <alignment shrinkToFit="0" vertical="bottom" wrapText="0"/>
    </xf>
    <xf borderId="9" fillId="5" fontId="39" numFmtId="0" xfId="0" applyAlignment="1" applyBorder="1" applyFont="1">
      <alignment readingOrder="0" shrinkToFit="0" vertical="bottom" wrapText="0"/>
    </xf>
    <xf borderId="9" fillId="5" fontId="37" numFmtId="169" xfId="0" applyAlignment="1" applyBorder="1" applyFont="1" applyNumberFormat="1">
      <alignment horizontal="right" readingOrder="0" shrinkToFit="0" vertical="bottom" wrapText="0"/>
    </xf>
    <xf borderId="0" fillId="6" fontId="12" numFmtId="176" xfId="0" applyAlignment="1" applyFont="1" applyNumberFormat="1">
      <alignment vertical="bottom"/>
    </xf>
    <xf borderId="9" fillId="6" fontId="12" numFmtId="0" xfId="0" applyAlignment="1" applyBorder="1" applyFont="1">
      <alignment readingOrder="0" vertical="bottom"/>
    </xf>
    <xf borderId="9" fillId="0" fontId="4" numFmtId="179" xfId="0" applyAlignment="1" applyBorder="1" applyFont="1" applyNumberFormat="1">
      <alignment readingOrder="0"/>
    </xf>
    <xf borderId="0" fillId="0" fontId="3" numFmtId="169" xfId="0" applyAlignment="1" applyFont="1" applyNumberFormat="1">
      <alignment readingOrder="0" vertical="bottom"/>
    </xf>
    <xf borderId="0" fillId="6" fontId="12" numFmtId="0" xfId="0" applyAlignment="1" applyFont="1">
      <alignment horizontal="right" vertical="bottom"/>
    </xf>
    <xf borderId="9" fillId="0" fontId="4" numFmtId="169" xfId="0" applyAlignment="1" applyBorder="1" applyFont="1" applyNumberFormat="1">
      <alignment readingOrder="0"/>
    </xf>
    <xf borderId="0" fillId="6" fontId="12" numFmtId="0" xfId="0" applyAlignment="1" applyFont="1">
      <alignment readingOrder="0" vertical="bottom"/>
    </xf>
    <xf borderId="0" fillId="0" fontId="4" numFmtId="179" xfId="0" applyAlignment="1" applyFont="1" applyNumberFormat="1">
      <alignment readingOrder="0"/>
    </xf>
    <xf borderId="0" fillId="0" fontId="4" numFmtId="169" xfId="0" applyAlignment="1" applyFont="1" applyNumberFormat="1">
      <alignment readingOrder="0"/>
    </xf>
    <xf borderId="0" fillId="6" fontId="41" numFmtId="176" xfId="0" applyAlignment="1" applyFont="1" applyNumberFormat="1">
      <alignment vertical="bottom"/>
    </xf>
    <xf borderId="0" fillId="6" fontId="41" numFmtId="0" xfId="0" applyAlignment="1" applyFont="1">
      <alignment readingOrder="0" vertical="bottom"/>
    </xf>
    <xf borderId="0" fillId="0" fontId="12" numFmtId="1" xfId="0" applyFont="1" applyNumberFormat="1"/>
    <xf borderId="0" fillId="0" fontId="40" numFmtId="15" xfId="0" applyAlignment="1" applyFont="1" applyNumberFormat="1">
      <alignment readingOrder="0" shrinkToFit="0" vertical="bottom" wrapText="0"/>
    </xf>
    <xf borderId="0" fillId="0" fontId="21" numFmtId="0" xfId="0" applyAlignment="1" applyFont="1">
      <alignment horizontal="right" readingOrder="0" shrinkToFit="0" vertical="bottom" wrapText="0"/>
    </xf>
    <xf borderId="0" fillId="0" fontId="21" numFmtId="170" xfId="0" applyAlignment="1" applyFont="1" applyNumberFormat="1">
      <alignment horizontal="right" readingOrder="0" shrinkToFit="0" vertical="bottom" wrapText="0"/>
    </xf>
    <xf borderId="0" fillId="0" fontId="21" numFmtId="15" xfId="0" applyAlignment="1" applyFont="1" applyNumberFormat="1">
      <alignment readingOrder="0" shrinkToFit="0" vertical="bottom" wrapText="0"/>
    </xf>
    <xf borderId="0" fillId="0" fontId="15" numFmtId="176" xfId="0" applyAlignment="1" applyFont="1" applyNumberFormat="1">
      <alignment shrinkToFit="0" wrapText="0"/>
    </xf>
    <xf borderId="0" fillId="0" fontId="15" numFmtId="179" xfId="0" applyAlignment="1" applyFont="1" applyNumberFormat="1">
      <alignment horizontal="right" readingOrder="0" shrinkToFit="0" wrapText="0"/>
    </xf>
    <xf borderId="0" fillId="0" fontId="15" numFmtId="0" xfId="0" applyAlignment="1" applyFont="1">
      <alignment horizontal="right" shrinkToFit="0" wrapText="0"/>
    </xf>
    <xf borderId="0" fillId="0" fontId="4" numFmtId="170" xfId="0" applyAlignment="1" applyFont="1" applyNumberFormat="1">
      <alignment readingOrder="0"/>
    </xf>
    <xf borderId="9" fillId="7" fontId="32" numFmtId="176" xfId="0" applyAlignment="1" applyBorder="1" applyFont="1" applyNumberFormat="1">
      <alignment vertical="bottom"/>
    </xf>
    <xf borderId="9" fillId="7" fontId="33" numFmtId="0" xfId="0" applyAlignment="1" applyBorder="1" applyFont="1">
      <alignment vertical="bottom"/>
    </xf>
    <xf borderId="9" fillId="7" fontId="3" numFmtId="15" xfId="0" applyAlignment="1" applyBorder="1" applyFont="1" applyNumberFormat="1">
      <alignment horizontal="right" vertical="bottom"/>
    </xf>
    <xf borderId="10" fillId="7" fontId="12" numFmtId="0" xfId="0" applyAlignment="1" applyBorder="1" applyFont="1">
      <alignment readingOrder="0" vertical="bottom"/>
    </xf>
    <xf borderId="9" fillId="18" fontId="37" numFmtId="0" xfId="0" applyAlignment="1" applyBorder="1" applyFill="1" applyFont="1">
      <alignment readingOrder="0" shrinkToFit="0" vertical="bottom" wrapText="0"/>
    </xf>
    <xf borderId="9" fillId="18" fontId="37" numFmtId="0" xfId="0" applyAlignment="1" applyBorder="1" applyFont="1">
      <alignment horizontal="right" readingOrder="0" shrinkToFit="0" vertical="bottom" wrapText="0"/>
    </xf>
    <xf borderId="9" fillId="18" fontId="32" numFmtId="0" xfId="0" applyBorder="1" applyFont="1"/>
    <xf borderId="9" fillId="18" fontId="12" numFmtId="164" xfId="0" applyAlignment="1" applyBorder="1" applyFont="1" applyNumberFormat="1">
      <alignment horizontal="right" vertical="bottom"/>
    </xf>
    <xf borderId="9" fillId="18" fontId="32" numFmtId="0" xfId="0" applyAlignment="1" applyBorder="1" applyFont="1">
      <alignment readingOrder="0" vertical="bottom"/>
    </xf>
    <xf borderId="9" fillId="18" fontId="32" numFmtId="0" xfId="0" applyAlignment="1" applyBorder="1" applyFont="1">
      <alignment readingOrder="0"/>
    </xf>
    <xf borderId="9" fillId="18" fontId="32" numFmtId="169" xfId="0" applyAlignment="1" applyBorder="1" applyFont="1" applyNumberFormat="1">
      <alignment readingOrder="0"/>
    </xf>
    <xf borderId="9" fillId="18" fontId="32" numFmtId="170" xfId="0" applyAlignment="1" applyBorder="1" applyFont="1" applyNumberFormat="1">
      <alignment readingOrder="0"/>
    </xf>
    <xf borderId="0" fillId="7" fontId="12" numFmtId="0" xfId="0" applyAlignment="1" applyFont="1">
      <alignment horizontal="left" readingOrder="0"/>
    </xf>
    <xf borderId="9" fillId="18" fontId="12" numFmtId="15" xfId="0" applyAlignment="1" applyBorder="1" applyFont="1" applyNumberFormat="1">
      <alignment horizontal="right" readingOrder="0" vertical="bottom"/>
    </xf>
    <xf borderId="9" fillId="18" fontId="16" numFmtId="0" xfId="0" applyAlignment="1" applyBorder="1" applyFont="1">
      <alignment horizontal="right" readingOrder="0" vertical="bottom"/>
    </xf>
    <xf borderId="9" fillId="18" fontId="37" numFmtId="0" xfId="0" applyAlignment="1" applyBorder="1" applyFont="1">
      <alignment horizontal="right" readingOrder="0" vertical="bottom"/>
    </xf>
    <xf borderId="0" fillId="18" fontId="4" numFmtId="0" xfId="0" applyFont="1"/>
    <xf borderId="9" fillId="7" fontId="32" numFmtId="0" xfId="0" applyBorder="1" applyFont="1"/>
    <xf borderId="0" fillId="7" fontId="12" numFmtId="176" xfId="0" applyAlignment="1" applyFont="1" applyNumberFormat="1">
      <alignment vertical="bottom"/>
    </xf>
    <xf borderId="0" fillId="7" fontId="12" numFmtId="0" xfId="0" applyAlignment="1" applyFont="1">
      <alignment readingOrder="0" vertical="bottom"/>
    </xf>
    <xf borderId="0" fillId="7" fontId="4" numFmtId="169" xfId="0" applyAlignment="1" applyFont="1" applyNumberFormat="1">
      <alignment readingOrder="0"/>
    </xf>
    <xf borderId="9" fillId="7" fontId="37" numFmtId="0" xfId="0" applyAlignment="1" applyBorder="1" applyFont="1">
      <alignment horizontal="right" readingOrder="0" vertical="bottom"/>
    </xf>
    <xf borderId="2" fillId="7" fontId="32" numFmtId="0" xfId="0" applyBorder="1" applyFont="1"/>
    <xf borderId="0" fillId="7" fontId="32" numFmtId="0" xfId="0" applyFont="1"/>
    <xf borderId="0" fillId="7" fontId="12" numFmtId="176" xfId="0" applyAlignment="1" applyFont="1" applyNumberFormat="1">
      <alignment vertical="bottom"/>
    </xf>
    <xf borderId="0" fillId="0" fontId="3" numFmtId="170" xfId="0" applyAlignment="1" applyFont="1" applyNumberFormat="1">
      <alignment readingOrder="0" vertical="bottom"/>
    </xf>
    <xf borderId="0" fillId="0" fontId="3" numFmtId="180" xfId="0" applyAlignment="1" applyFont="1" applyNumberFormat="1">
      <alignment readingOrder="0" vertical="bottom"/>
    </xf>
    <xf borderId="0" fillId="7" fontId="12" numFmtId="3" xfId="0" applyAlignment="1" applyFont="1" applyNumberFormat="1">
      <alignment horizontal="right" vertical="bottom"/>
    </xf>
    <xf borderId="0" fillId="6" fontId="12" numFmtId="3" xfId="0" applyAlignment="1" applyFont="1" applyNumberFormat="1">
      <alignment horizontal="right" vertical="bottom"/>
    </xf>
    <xf borderId="0" fillId="0" fontId="4" numFmtId="180" xfId="0" applyAlignment="1" applyFont="1" applyNumberFormat="1">
      <alignment readingOrder="0"/>
    </xf>
    <xf borderId="0" fillId="0" fontId="42" numFmtId="169" xfId="0" applyAlignment="1" applyFont="1" applyNumberFormat="1">
      <alignment horizontal="right" readingOrder="0" shrinkToFit="0" vertical="bottom" wrapText="0"/>
    </xf>
    <xf borderId="0" fillId="0" fontId="42" numFmtId="180" xfId="0" applyAlignment="1" applyFont="1" applyNumberFormat="1">
      <alignment horizontal="right" readingOrder="0" shrinkToFit="0" vertical="bottom" wrapText="0"/>
    </xf>
    <xf borderId="0" fillId="0" fontId="4" numFmtId="169" xfId="0" applyFont="1" applyNumberFormat="1"/>
    <xf borderId="0" fillId="0" fontId="4" numFmtId="170" xfId="0" applyFont="1" applyNumberFormat="1"/>
    <xf borderId="0" fillId="0" fontId="4" numFmtId="3" xfId="0" applyAlignment="1" applyFont="1" applyNumberFormat="1">
      <alignment readingOrder="0"/>
    </xf>
    <xf borderId="0" fillId="0" fontId="21" numFmtId="0" xfId="0" applyAlignment="1" applyFont="1">
      <alignment readingOrder="0" shrinkToFit="0" vertical="bottom" wrapText="0"/>
    </xf>
    <xf borderId="0" fillId="7" fontId="40" numFmtId="0" xfId="0" applyAlignment="1" applyFont="1">
      <alignment readingOrder="0" shrinkToFit="0" vertical="bottom" wrapText="0"/>
    </xf>
    <xf borderId="0" fillId="7" fontId="40" numFmtId="0" xfId="0" applyAlignment="1" applyFont="1">
      <alignment horizontal="right" readingOrder="0" shrinkToFit="0" vertical="bottom" wrapText="0"/>
    </xf>
    <xf borderId="0" fillId="7" fontId="40" numFmtId="0" xfId="0" applyAlignment="1" applyFont="1">
      <alignment shrinkToFit="0" vertical="bottom" wrapText="0"/>
    </xf>
    <xf borderId="0" fillId="7" fontId="40" numFmtId="169" xfId="0" applyAlignment="1" applyFont="1" applyNumberFormat="1">
      <alignment horizontal="right" readingOrder="0" shrinkToFit="0" vertical="bottom" wrapText="0"/>
    </xf>
    <xf borderId="0" fillId="7" fontId="40" numFmtId="15" xfId="0" applyAlignment="1" applyFont="1" applyNumberFormat="1">
      <alignment horizontal="right" readingOrder="0" shrinkToFit="0" vertical="bottom" wrapText="0"/>
    </xf>
    <xf borderId="0" fillId="7" fontId="21" numFmtId="0" xfId="0" applyAlignment="1" applyFont="1">
      <alignment horizontal="right" readingOrder="0" shrinkToFit="0" vertical="bottom" wrapText="0"/>
    </xf>
    <xf borderId="0" fillId="7" fontId="40" numFmtId="15" xfId="0" applyAlignment="1" applyFont="1" applyNumberFormat="1">
      <alignment readingOrder="0" shrinkToFit="0" vertical="bottom" wrapText="0"/>
    </xf>
    <xf borderId="0" fillId="7" fontId="21" numFmtId="169" xfId="0" applyAlignment="1" applyFont="1" applyNumberFormat="1">
      <alignment readingOrder="0" shrinkToFit="0" vertical="bottom" wrapText="0"/>
    </xf>
    <xf borderId="0" fillId="3" fontId="40" numFmtId="0" xfId="0" applyAlignment="1" applyFont="1">
      <alignment readingOrder="0" shrinkToFit="0" vertical="bottom" wrapText="0"/>
    </xf>
    <xf borderId="0" fillId="4" fontId="40" numFmtId="0" xfId="0" applyAlignment="1" applyFont="1">
      <alignment readingOrder="0" shrinkToFit="0" vertical="bottom" wrapText="0"/>
    </xf>
    <xf borderId="0" fillId="7" fontId="15" numFmtId="176" xfId="0" applyAlignment="1" applyFont="1" applyNumberFormat="1">
      <alignment shrinkToFit="0" wrapText="0"/>
    </xf>
    <xf borderId="0" fillId="7" fontId="15" numFmtId="0" xfId="0" applyAlignment="1" applyFont="1">
      <alignment readingOrder="0" shrinkToFit="0" wrapText="0"/>
    </xf>
    <xf borderId="0" fillId="7" fontId="15" numFmtId="0" xfId="0" applyAlignment="1" applyFont="1">
      <alignment shrinkToFit="0" wrapText="0"/>
    </xf>
    <xf borderId="0" fillId="7" fontId="15" numFmtId="169" xfId="0" applyAlignment="1" applyFont="1" applyNumberFormat="1">
      <alignment horizontal="right" readingOrder="0" shrinkToFit="0" wrapText="0"/>
    </xf>
    <xf borderId="0" fillId="7" fontId="21" numFmtId="15" xfId="0" applyAlignment="1" applyFont="1" applyNumberFormat="1">
      <alignment readingOrder="0" shrinkToFit="0" vertical="bottom" wrapText="0"/>
    </xf>
    <xf borderId="0" fillId="7" fontId="40" numFmtId="170" xfId="0" applyAlignment="1" applyFont="1" applyNumberFormat="1">
      <alignment horizontal="right" readingOrder="0" shrinkToFit="0" vertical="bottom" wrapText="0"/>
    </xf>
    <xf borderId="0" fillId="7" fontId="21" numFmtId="170" xfId="0" applyAlignment="1" applyFont="1" applyNumberFormat="1">
      <alignment readingOrder="0" shrinkToFit="0" vertical="bottom" wrapText="0"/>
    </xf>
    <xf borderId="0" fillId="4" fontId="12" numFmtId="0" xfId="0" applyAlignment="1" applyFont="1">
      <alignment readingOrder="0" vertical="bottom"/>
    </xf>
    <xf borderId="0" fillId="4" fontId="41" numFmtId="0" xfId="0" applyAlignment="1" applyFont="1">
      <alignment readingOrder="0" vertical="bottom"/>
    </xf>
    <xf borderId="0" fillId="4" fontId="12" numFmtId="170" xfId="0" applyAlignment="1" applyFont="1" applyNumberFormat="1">
      <alignment horizontal="right" vertical="bottom"/>
    </xf>
    <xf borderId="0" fillId="4" fontId="12" numFmtId="169" xfId="0" applyAlignment="1" applyFont="1" applyNumberFormat="1">
      <alignment horizontal="right" readingOrder="0" vertical="bottom"/>
    </xf>
    <xf borderId="0" fillId="7" fontId="12" numFmtId="3" xfId="0" applyAlignment="1" applyFont="1" applyNumberFormat="1">
      <alignment horizontal="right" readingOrder="0" vertical="bottom"/>
    </xf>
    <xf borderId="0" fillId="4" fontId="21" numFmtId="170" xfId="0" applyAlignment="1" applyFont="1" applyNumberFormat="1">
      <alignment horizontal="right" readingOrder="0" shrinkToFit="0" vertical="bottom" wrapText="0"/>
    </xf>
    <xf borderId="0" fillId="3" fontId="12" numFmtId="0" xfId="0" applyAlignment="1" applyFont="1">
      <alignment readingOrder="0" vertical="bottom"/>
    </xf>
    <xf borderId="0" fillId="3" fontId="41" numFmtId="0" xfId="0" applyAlignment="1" applyFont="1">
      <alignment readingOrder="0" vertical="bottom"/>
    </xf>
    <xf borderId="0" fillId="3" fontId="12" numFmtId="170" xfId="0" applyAlignment="1" applyFont="1" applyNumberFormat="1">
      <alignment horizontal="right" vertical="bottom"/>
    </xf>
    <xf borderId="0" fillId="3" fontId="12" numFmtId="0" xfId="0" applyAlignment="1" applyFont="1">
      <alignment horizontal="right" vertical="bottom"/>
    </xf>
    <xf borderId="0" fillId="6" fontId="12" numFmtId="3" xfId="0" applyAlignment="1" applyFont="1" applyNumberFormat="1">
      <alignment horizontal="right" readingOrder="0" vertical="bottom"/>
    </xf>
    <xf borderId="0" fillId="3" fontId="21" numFmtId="170" xfId="0" applyAlignment="1" applyFont="1" applyNumberFormat="1">
      <alignment horizontal="right" readingOrder="0" shrinkToFit="0" vertical="bottom" wrapText="0"/>
    </xf>
    <xf borderId="0" fillId="4" fontId="12" numFmtId="0" xfId="0" applyAlignment="1" applyFont="1">
      <alignment horizontal="right" vertical="bottom"/>
    </xf>
    <xf borderId="0" fillId="3" fontId="12" numFmtId="0" xfId="0" applyAlignment="1" applyFont="1">
      <alignment vertical="bottom"/>
    </xf>
    <xf borderId="0" fillId="3" fontId="12" numFmtId="0" xfId="0" applyAlignment="1" applyFont="1">
      <alignment horizontal="right" readingOrder="0" vertical="bottom"/>
    </xf>
    <xf borderId="0" fillId="3" fontId="21" numFmtId="0" xfId="0" applyAlignment="1" applyFont="1">
      <alignment horizontal="right" readingOrder="0" shrinkToFit="0" vertical="bottom" wrapText="0"/>
    </xf>
    <xf borderId="9" fillId="7" fontId="12" numFmtId="178" xfId="0" applyAlignment="1" applyBorder="1" applyFont="1" applyNumberFormat="1">
      <alignment vertical="bottom"/>
    </xf>
    <xf borderId="9" fillId="7" fontId="32" numFmtId="0" xfId="0" applyAlignment="1" applyBorder="1" applyFont="1">
      <alignment readingOrder="0" vertical="bottom"/>
    </xf>
    <xf borderId="9" fillId="7" fontId="32" numFmtId="0" xfId="0" applyAlignment="1" applyBorder="1" applyFont="1">
      <alignment readingOrder="0"/>
    </xf>
    <xf borderId="9" fillId="7" fontId="32" numFmtId="169" xfId="0" applyAlignment="1" applyBorder="1" applyFont="1" applyNumberFormat="1">
      <alignment readingOrder="0"/>
    </xf>
    <xf borderId="9" fillId="7" fontId="32" numFmtId="170" xfId="0" applyAlignment="1" applyBorder="1" applyFont="1" applyNumberFormat="1">
      <alignment readingOrder="0"/>
    </xf>
    <xf borderId="9" fillId="7" fontId="12" numFmtId="0" xfId="0" applyAlignment="1" applyBorder="1" applyFont="1">
      <alignment readingOrder="0" vertical="bottom"/>
    </xf>
    <xf borderId="9" fillId="7" fontId="4" numFmtId="0" xfId="0" applyBorder="1" applyFont="1"/>
    <xf borderId="9" fillId="7" fontId="4" numFmtId="179" xfId="0" applyAlignment="1" applyBorder="1" applyFont="1" applyNumberFormat="1">
      <alignment readingOrder="0"/>
    </xf>
    <xf borderId="0" fillId="7" fontId="3" numFmtId="169" xfId="0" applyAlignment="1" applyFont="1" applyNumberFormat="1">
      <alignment readingOrder="0" vertical="bottom"/>
    </xf>
    <xf borderId="9" fillId="7" fontId="4" numFmtId="15" xfId="0" applyAlignment="1" applyBorder="1" applyFont="1" applyNumberFormat="1">
      <alignment readingOrder="0"/>
    </xf>
    <xf borderId="0" fillId="4" fontId="12" numFmtId="176" xfId="0" applyAlignment="1" applyFont="1" applyNumberFormat="1">
      <alignment vertical="bottom"/>
    </xf>
    <xf borderId="9" fillId="0" fontId="4" numFmtId="15" xfId="0" applyAlignment="1" applyBorder="1" applyFont="1" applyNumberFormat="1">
      <alignment readingOrder="0"/>
    </xf>
    <xf borderId="0" fillId="3" fontId="12" numFmtId="176" xfId="0" applyAlignment="1" applyFont="1" applyNumberFormat="1">
      <alignment vertical="bottom"/>
    </xf>
    <xf borderId="0" fillId="7" fontId="3" numFmtId="0" xfId="0" applyAlignment="1" applyFont="1">
      <alignment vertical="bottom"/>
    </xf>
    <xf borderId="9" fillId="6" fontId="3" numFmtId="0" xfId="0" applyAlignment="1" applyBorder="1" applyFont="1">
      <alignment horizontal="left" vertical="bottom"/>
    </xf>
    <xf borderId="0" fillId="6" fontId="36" numFmtId="1" xfId="0" applyAlignment="1" applyFont="1" applyNumberFormat="1">
      <alignment readingOrder="0"/>
    </xf>
    <xf borderId="0" fillId="7" fontId="41" numFmtId="176" xfId="0" applyAlignment="1" applyFont="1" applyNumberFormat="1">
      <alignment vertical="bottom"/>
    </xf>
    <xf borderId="0" fillId="7" fontId="41" numFmtId="0" xfId="0" applyAlignment="1" applyFont="1">
      <alignment readingOrder="0" vertical="bottom"/>
    </xf>
    <xf borderId="9" fillId="7" fontId="4" numFmtId="169" xfId="0" applyAlignment="1" applyBorder="1" applyFont="1" applyNumberFormat="1">
      <alignment readingOrder="0"/>
    </xf>
    <xf borderId="0" fillId="18" fontId="15" numFmtId="0" xfId="0" applyAlignment="1" applyFont="1">
      <alignment readingOrder="0" shrinkToFit="0" wrapText="0"/>
    </xf>
    <xf borderId="0" fillId="18" fontId="40" numFmtId="0" xfId="0" applyAlignment="1" applyFont="1">
      <alignment shrinkToFit="0" vertical="bottom" wrapText="0"/>
    </xf>
    <xf borderId="0" fillId="0" fontId="4" numFmtId="0" xfId="0" applyFont="1"/>
    <xf borderId="0" fillId="18" fontId="40" numFmtId="15" xfId="0" applyAlignment="1" applyFont="1" applyNumberFormat="1">
      <alignment horizontal="right" readingOrder="0" shrinkToFit="0" vertical="bottom" wrapText="0"/>
    </xf>
    <xf borderId="0" fillId="18" fontId="21" numFmtId="170" xfId="0" applyAlignment="1" applyFont="1" applyNumberFormat="1">
      <alignment horizontal="right" readingOrder="0" shrinkToFit="0" vertical="bottom" wrapText="0"/>
    </xf>
    <xf borderId="0" fillId="18" fontId="40" numFmtId="170" xfId="0" applyAlignment="1" applyFont="1" applyNumberFormat="1">
      <alignment horizontal="right" readingOrder="0" shrinkToFit="0" vertical="bottom" wrapText="0"/>
    </xf>
    <xf borderId="0" fillId="18" fontId="40" numFmtId="169" xfId="0" applyAlignment="1" applyFont="1" applyNumberFormat="1">
      <alignment horizontal="right" readingOrder="0" shrinkToFit="0" vertical="bottom" wrapText="0"/>
    </xf>
    <xf borderId="0" fillId="0" fontId="21" numFmtId="169" xfId="0" applyAlignment="1" applyFont="1" applyNumberFormat="1">
      <alignment horizontal="right" readingOrder="0" shrinkToFit="0" vertical="bottom" wrapText="0"/>
    </xf>
    <xf borderId="0" fillId="18" fontId="40" numFmtId="15" xfId="0" applyAlignment="1" applyFont="1" applyNumberFormat="1">
      <alignment readingOrder="0" shrinkToFit="0" vertical="bottom" wrapText="0"/>
    </xf>
    <xf borderId="0" fillId="7" fontId="15" numFmtId="179" xfId="0" applyAlignment="1" applyFont="1" applyNumberFormat="1">
      <alignment horizontal="right" readingOrder="0" shrinkToFit="0" wrapText="0"/>
    </xf>
    <xf borderId="0" fillId="7" fontId="15" numFmtId="15" xfId="0" applyAlignment="1" applyFont="1" applyNumberFormat="1">
      <alignment horizontal="right" readingOrder="0" shrinkToFit="0" wrapText="0"/>
    </xf>
    <xf borderId="0" fillId="7" fontId="4" numFmtId="0" xfId="0" applyFont="1"/>
    <xf borderId="0" fillId="7" fontId="21" numFmtId="170" xfId="0" applyAlignment="1" applyFont="1" applyNumberFormat="1">
      <alignment horizontal="right" readingOrder="0" shrinkToFit="0" vertical="bottom" wrapText="0"/>
    </xf>
    <xf borderId="0" fillId="7" fontId="40" numFmtId="177" xfId="0" applyAlignment="1" applyFont="1" applyNumberFormat="1">
      <alignment horizontal="right" readingOrder="0" shrinkToFit="0" vertical="bottom" wrapText="0"/>
    </xf>
    <xf borderId="0" fillId="7" fontId="40" numFmtId="0" xfId="0" applyAlignment="1" applyFont="1">
      <alignment shrinkToFit="0" vertical="bottom" wrapText="0"/>
    </xf>
    <xf borderId="0" fillId="18" fontId="21" numFmtId="169" xfId="0" applyAlignment="1" applyFont="1" applyNumberFormat="1">
      <alignment readingOrder="0" shrinkToFit="0" vertical="bottom" wrapText="0"/>
    </xf>
    <xf borderId="0" fillId="18" fontId="40" numFmtId="164" xfId="0" applyAlignment="1" applyFont="1" applyNumberFormat="1">
      <alignment horizontal="right" readingOrder="0" shrinkToFit="0" vertical="bottom" wrapText="0"/>
    </xf>
    <xf borderId="0" fillId="18" fontId="15" numFmtId="169" xfId="0" applyAlignment="1" applyFont="1" applyNumberFormat="1">
      <alignment horizontal="right" readingOrder="0" shrinkToFit="0" wrapText="0"/>
    </xf>
    <xf borderId="0" fillId="18" fontId="21" numFmtId="15" xfId="0" applyAlignment="1" applyFont="1" applyNumberFormat="1">
      <alignment readingOrder="0" shrinkToFit="0" vertical="bottom" wrapText="0"/>
    </xf>
    <xf borderId="0" fillId="18" fontId="21" numFmtId="170" xfId="0" applyAlignment="1" applyFont="1" applyNumberFormat="1">
      <alignment readingOrder="0" shrinkToFit="0" vertical="bottom" wrapText="0"/>
    </xf>
    <xf borderId="0" fillId="7" fontId="21" numFmtId="0" xfId="0" applyAlignment="1" applyFont="1">
      <alignment readingOrder="0" shrinkToFit="0" vertical="bottom" wrapText="0"/>
    </xf>
    <xf borderId="0" fillId="7" fontId="40" numFmtId="164" xfId="0" applyAlignment="1" applyFont="1" applyNumberFormat="1">
      <alignment shrinkToFit="0" vertical="bottom" wrapText="0"/>
    </xf>
    <xf borderId="0" fillId="0" fontId="32" numFmtId="0" xfId="0" applyFont="1"/>
    <xf borderId="0" fillId="7" fontId="5" numFmtId="176" xfId="0" applyAlignment="1" applyFont="1" applyNumberFormat="1">
      <alignment vertical="bottom"/>
    </xf>
    <xf borderId="0" fillId="7" fontId="4" numFmtId="0" xfId="0" applyAlignment="1" applyFont="1">
      <alignment readingOrder="0"/>
    </xf>
    <xf borderId="0" fillId="7" fontId="4" numFmtId="170" xfId="0" applyAlignment="1" applyFont="1" applyNumberFormat="1">
      <alignment readingOrder="0"/>
    </xf>
    <xf borderId="9" fillId="7" fontId="4" numFmtId="168" xfId="0" applyAlignment="1" applyBorder="1" applyFont="1" applyNumberFormat="1">
      <alignment horizontal="center" readingOrder="0"/>
    </xf>
    <xf borderId="0" fillId="18" fontId="12" numFmtId="169" xfId="0" applyAlignment="1" applyFont="1" applyNumberFormat="1">
      <alignment horizontal="right" readingOrder="0" vertical="bottom"/>
    </xf>
    <xf borderId="0" fillId="4" fontId="4" numFmtId="0" xfId="0" applyFont="1"/>
    <xf borderId="0" fillId="3" fontId="4" numFmtId="0" xfId="0" applyFont="1"/>
    <xf borderId="0" fillId="3" fontId="40" numFmtId="169" xfId="0" applyAlignment="1" applyFont="1" applyNumberFormat="1">
      <alignment horizontal="right" readingOrder="0" shrinkToFit="0" vertical="bottom" wrapText="0"/>
    </xf>
    <xf borderId="0" fillId="4" fontId="21" numFmtId="0" xfId="0" applyAlignment="1" applyFont="1">
      <alignment horizontal="right" readingOrder="0" shrinkToFit="0" vertical="bottom" wrapText="0"/>
    </xf>
    <xf borderId="0" fillId="3" fontId="4" numFmtId="0" xfId="0" applyFont="1"/>
    <xf borderId="9" fillId="2" fontId="1" numFmtId="4" xfId="0" applyAlignment="1" applyBorder="1" applyFont="1" applyNumberFormat="1">
      <alignment horizontal="right" vertical="bottom"/>
    </xf>
    <xf borderId="9" fillId="0" fontId="12" numFmtId="3" xfId="0" applyAlignment="1" applyBorder="1" applyFont="1" applyNumberFormat="1">
      <alignment horizontal="right" readingOrder="0" vertical="bottom"/>
    </xf>
    <xf borderId="9" fillId="7" fontId="12" numFmtId="3" xfId="0" applyAlignment="1" applyBorder="1" applyFont="1" applyNumberFormat="1">
      <alignment horizontal="right" readingOrder="0" vertical="bottom"/>
    </xf>
    <xf borderId="4" fillId="7" fontId="12" numFmtId="0" xfId="0" applyAlignment="1" applyBorder="1" applyFont="1">
      <alignment vertical="bottom"/>
    </xf>
    <xf borderId="4" fillId="7" fontId="12" numFmtId="0" xfId="0" applyAlignment="1" applyBorder="1" applyFont="1">
      <alignment horizontal="right" vertical="bottom"/>
    </xf>
    <xf borderId="4" fillId="7" fontId="3" numFmtId="0" xfId="0" applyAlignment="1" applyBorder="1" applyFont="1">
      <alignment vertical="bottom"/>
    </xf>
    <xf borderId="4" fillId="7" fontId="12" numFmtId="164" xfId="0" applyAlignment="1" applyBorder="1" applyFont="1" applyNumberFormat="1">
      <alignment horizontal="right" vertical="bottom"/>
    </xf>
    <xf borderId="4" fillId="7" fontId="12" numFmtId="176" xfId="0" applyAlignment="1" applyBorder="1" applyFont="1" applyNumberFormat="1">
      <alignment vertical="bottom"/>
    </xf>
    <xf borderId="4" fillId="7" fontId="12" numFmtId="0" xfId="0" applyAlignment="1" applyBorder="1" applyFont="1">
      <alignment readingOrder="0" vertical="bottom"/>
    </xf>
    <xf borderId="15" fillId="7" fontId="12" numFmtId="0" xfId="0" applyAlignment="1" applyBorder="1" applyFont="1">
      <alignment vertical="bottom"/>
    </xf>
    <xf borderId="4" fillId="7" fontId="12" numFmtId="15" xfId="0" applyAlignment="1" applyBorder="1" applyFont="1" applyNumberFormat="1">
      <alignment horizontal="right" vertical="bottom"/>
    </xf>
    <xf borderId="9" fillId="7" fontId="34" numFmtId="0" xfId="0" applyAlignment="1" applyBorder="1" applyFont="1">
      <alignment vertical="bottom"/>
    </xf>
    <xf borderId="9" fillId="7" fontId="3" numFmtId="0" xfId="0" applyAlignment="1" applyBorder="1" applyFont="1">
      <alignment horizontal="left" vertical="bottom"/>
    </xf>
    <xf borderId="0" fillId="7" fontId="4" numFmtId="169" xfId="0" applyFont="1" applyNumberFormat="1"/>
    <xf borderId="9" fillId="0" fontId="37" numFmtId="0" xfId="0" applyAlignment="1" applyBorder="1" applyFont="1">
      <alignment readingOrder="0" shrinkToFit="0" vertical="bottom" wrapText="0"/>
    </xf>
    <xf borderId="9" fillId="0" fontId="37" numFmtId="0" xfId="0" applyAlignment="1" applyBorder="1" applyFont="1">
      <alignment horizontal="right" readingOrder="0" shrinkToFit="0" vertical="bottom" wrapText="0"/>
    </xf>
    <xf borderId="0" fillId="0" fontId="4" numFmtId="4" xfId="0" applyFont="1" applyNumberFormat="1"/>
    <xf borderId="0" fillId="0" fontId="4" numFmtId="4" xfId="0" applyAlignment="1" applyFont="1" applyNumberFormat="1">
      <alignment readingOrder="0"/>
    </xf>
    <xf borderId="0" fillId="0" fontId="6" numFmtId="15" xfId="0" applyAlignment="1" applyFont="1" applyNumberFormat="1">
      <alignment horizontal="right" readingOrder="0" shrinkToFit="0" vertical="bottom" wrapText="0"/>
    </xf>
    <xf borderId="0" fillId="0" fontId="43" numFmtId="0" xfId="0" applyAlignment="1" applyFont="1">
      <alignment readingOrder="0" shrinkToFit="0" vertical="bottom" wrapText="0"/>
    </xf>
    <xf borderId="0" fillId="0" fontId="43" numFmtId="0" xfId="0" applyAlignment="1" applyFont="1">
      <alignment horizontal="right" readingOrder="0" shrinkToFit="0" vertical="bottom" wrapText="0"/>
    </xf>
    <xf borderId="0" fillId="0" fontId="6" numFmtId="0" xfId="0" applyAlignment="1" applyFont="1">
      <alignment readingOrder="0" shrinkToFit="0" vertical="bottom" wrapText="0"/>
    </xf>
    <xf borderId="0" fillId="0" fontId="43" numFmtId="0" xfId="0" applyAlignment="1" applyFont="1">
      <alignment shrinkToFit="0" vertical="bottom" wrapText="0"/>
    </xf>
    <xf borderId="0" fillId="0" fontId="43" numFmtId="169" xfId="0" applyAlignment="1" applyFont="1" applyNumberFormat="1">
      <alignment horizontal="right" readingOrder="0" shrinkToFit="0" vertical="bottom" wrapText="0"/>
    </xf>
    <xf borderId="0" fillId="0" fontId="43" numFmtId="170" xfId="0" applyAlignment="1" applyFont="1" applyNumberFormat="1">
      <alignment horizontal="right" readingOrder="0" shrinkToFit="0" vertical="bottom" wrapText="0"/>
    </xf>
    <xf borderId="0" fillId="0" fontId="6" numFmtId="170" xfId="0" applyAlignment="1" applyFont="1" applyNumberFormat="1">
      <alignment horizontal="right" readingOrder="0" shrinkToFit="0" vertical="bottom" wrapText="0"/>
    </xf>
    <xf borderId="0" fillId="0" fontId="43" numFmtId="15" xfId="0" applyAlignment="1" applyFont="1" applyNumberFormat="1">
      <alignment horizontal="right" readingOrder="0" shrinkToFit="0" vertical="bottom" wrapText="0"/>
    </xf>
    <xf borderId="0" fillId="0" fontId="12" numFmtId="176" xfId="0" applyAlignment="1" applyFont="1" applyNumberFormat="1">
      <alignment shrinkToFit="0" wrapText="0"/>
    </xf>
    <xf borderId="0" fillId="0" fontId="12" numFmtId="0" xfId="0" applyAlignment="1" applyFont="1">
      <alignment readingOrder="0" shrinkToFit="0" wrapText="0"/>
    </xf>
    <xf borderId="0" fillId="0" fontId="12" numFmtId="0" xfId="0" applyAlignment="1" applyFont="1">
      <alignment shrinkToFit="0" wrapText="0"/>
    </xf>
    <xf borderId="0" fillId="0" fontId="12" numFmtId="169" xfId="0" applyAlignment="1" applyFont="1" applyNumberFormat="1">
      <alignment horizontal="right" readingOrder="0" shrinkToFit="0" wrapText="0"/>
    </xf>
    <xf borderId="0" fillId="0" fontId="43" numFmtId="177" xfId="0" applyAlignment="1" applyFont="1" applyNumberFormat="1">
      <alignment horizontal="right" readingOrder="0" shrinkToFit="0" vertical="bottom" wrapText="0"/>
    </xf>
    <xf borderId="0" fillId="0" fontId="6" numFmtId="169" xfId="0" applyAlignment="1" applyFont="1" applyNumberFormat="1">
      <alignment horizontal="right" readingOrder="0" shrinkToFit="0" vertical="bottom" wrapText="0"/>
    </xf>
    <xf borderId="0" fillId="0" fontId="12" numFmtId="179" xfId="0" applyAlignment="1" applyFont="1" applyNumberFormat="1">
      <alignment horizontal="right" readingOrder="0" shrinkToFit="0" wrapText="0"/>
    </xf>
    <xf borderId="0" fillId="0" fontId="12" numFmtId="15" xfId="0" applyAlignment="1" applyFont="1" applyNumberFormat="1">
      <alignment horizontal="right" readingOrder="0" shrinkToFit="0" wrapText="0"/>
    </xf>
    <xf borderId="0" fillId="0" fontId="43" numFmtId="164" xfId="0" applyAlignment="1" applyFont="1" applyNumberFormat="1">
      <alignment horizontal="right" readingOrder="0" shrinkToFit="0" vertical="bottom" wrapText="0"/>
    </xf>
    <xf borderId="0" fillId="3" fontId="43" numFmtId="0" xfId="0" applyAlignment="1" applyFont="1">
      <alignment readingOrder="0" shrinkToFit="0" vertical="bottom" wrapText="0"/>
    </xf>
    <xf borderId="0" fillId="4" fontId="43" numFmtId="0" xfId="0" applyAlignment="1" applyFont="1">
      <alignment readingOrder="0" shrinkToFit="0" vertical="bottom" wrapText="0"/>
    </xf>
    <xf borderId="0" fillId="3" fontId="12" numFmtId="176" xfId="0" applyAlignment="1" applyFont="1" applyNumberFormat="1">
      <alignment shrinkToFit="0" wrapText="0"/>
    </xf>
    <xf borderId="0" fillId="0" fontId="43" numFmtId="11" xfId="0" applyAlignment="1" applyFont="1" applyNumberFormat="1">
      <alignment readingOrder="0" shrinkToFit="0" vertical="bottom" wrapText="0"/>
    </xf>
    <xf borderId="0" fillId="0" fontId="41" numFmtId="0" xfId="0" applyAlignment="1" applyFont="1">
      <alignment readingOrder="0" vertical="bottom"/>
    </xf>
    <xf borderId="0" fillId="4" fontId="6" numFmtId="15" xfId="0" applyAlignment="1" applyFont="1" applyNumberFormat="1">
      <alignment horizontal="right" readingOrder="0" shrinkToFit="0" vertical="bottom" wrapText="0"/>
    </xf>
    <xf borderId="0" fillId="4" fontId="6" numFmtId="170" xfId="0" applyAlignment="1" applyFont="1" applyNumberFormat="1">
      <alignment horizontal="right" readingOrder="0" shrinkToFit="0" vertical="bottom" wrapText="0"/>
    </xf>
    <xf borderId="0" fillId="3" fontId="6" numFmtId="15" xfId="0" applyAlignment="1" applyFont="1" applyNumberFormat="1">
      <alignment horizontal="right" readingOrder="0" shrinkToFit="0" vertical="bottom" wrapText="0"/>
    </xf>
    <xf borderId="0" fillId="3" fontId="6" numFmtId="170" xfId="0" applyAlignment="1" applyFont="1" applyNumberFormat="1">
      <alignment horizontal="right" readingOrder="0" shrinkToFit="0" vertical="bottom" wrapText="0"/>
    </xf>
    <xf borderId="0" fillId="0" fontId="6" numFmtId="0" xfId="0" applyAlignment="1" applyFont="1">
      <alignment horizontal="right" readingOrder="0" shrinkToFit="0" vertical="bottom" wrapText="0"/>
    </xf>
    <xf borderId="9" fillId="3" fontId="3" numFmtId="0" xfId="0" applyAlignment="1" applyBorder="1" applyFont="1">
      <alignment horizontal="left" vertical="bottom"/>
    </xf>
    <xf borderId="0" fillId="3" fontId="43" numFmtId="169" xfId="0" applyAlignment="1" applyFont="1" applyNumberFormat="1">
      <alignment horizontal="right" readingOrder="0" shrinkToFit="0" vertical="bottom" wrapText="0"/>
    </xf>
    <xf borderId="0" fillId="0" fontId="5" numFmtId="0" xfId="0" applyAlignment="1" applyFont="1">
      <alignment readingOrder="0" vertical="bottom"/>
    </xf>
    <xf borderId="0" fillId="4" fontId="43" numFmtId="170" xfId="0" applyAlignment="1" applyFont="1" applyNumberFormat="1">
      <alignment horizontal="right" readingOrder="0" shrinkToFit="0" vertical="bottom" wrapText="0"/>
    </xf>
    <xf borderId="0" fillId="3" fontId="43" numFmtId="170" xfId="0" applyAlignment="1" applyFont="1" applyNumberFormat="1">
      <alignment horizontal="right" readingOrder="0" shrinkToFit="0" vertical="bottom" wrapText="0"/>
    </xf>
    <xf borderId="0" fillId="0" fontId="41" numFmtId="176" xfId="0" applyAlignment="1" applyFont="1" applyNumberFormat="1">
      <alignment vertical="bottom"/>
    </xf>
    <xf borderId="0" fillId="0" fontId="41" numFmtId="0" xfId="0" applyAlignment="1" applyFont="1">
      <alignment readingOrder="0" vertical="bottom"/>
    </xf>
    <xf borderId="0" fillId="0" fontId="12" numFmtId="176" xfId="0" applyAlignment="1" applyFont="1" applyNumberFormat="1">
      <alignment vertical="bottom"/>
    </xf>
    <xf borderId="9" fillId="2" fontId="1" numFmtId="0" xfId="0" applyAlignment="1" applyBorder="1" applyFont="1">
      <alignment horizontal="right" readingOrder="0" vertical="bottom"/>
    </xf>
    <xf borderId="0" fillId="3" fontId="41" numFmtId="0" xfId="0" applyAlignment="1" applyFont="1">
      <alignment vertical="bottom"/>
    </xf>
    <xf borderId="0" fillId="0" fontId="4" numFmtId="181" xfId="0" applyAlignment="1" applyFont="1" applyNumberFormat="1">
      <alignment readingOrder="0"/>
    </xf>
    <xf borderId="0" fillId="4" fontId="41" numFmtId="0" xfId="0" applyAlignment="1" applyFont="1">
      <alignment vertical="bottom"/>
    </xf>
    <xf borderId="0" fillId="7" fontId="41" numFmtId="0" xfId="0" applyAlignment="1" applyFont="1">
      <alignment vertical="bottom"/>
    </xf>
    <xf borderId="0" fillId="0" fontId="6" numFmtId="164" xfId="0" applyAlignment="1" applyFont="1" applyNumberFormat="1">
      <alignment horizontal="right" readingOrder="0" shrinkToFit="0" vertical="bottom" wrapText="0"/>
    </xf>
    <xf borderId="0" fillId="3" fontId="12" numFmtId="164" xfId="0" applyAlignment="1" applyFont="1" applyNumberFormat="1">
      <alignment horizontal="right" vertical="bottom"/>
    </xf>
    <xf borderId="0" fillId="3" fontId="6" numFmtId="164" xfId="0" applyAlignment="1" applyFont="1" applyNumberFormat="1">
      <alignment horizontal="right" readingOrder="0" shrinkToFit="0" vertical="bottom" wrapText="0"/>
    </xf>
    <xf borderId="0" fillId="4" fontId="12" numFmtId="164" xfId="0" applyAlignment="1" applyFont="1" applyNumberFormat="1">
      <alignment horizontal="right" vertical="bottom"/>
    </xf>
    <xf borderId="0" fillId="4" fontId="6" numFmtId="164" xfId="0" applyAlignment="1" applyFont="1" applyNumberFormat="1">
      <alignment horizontal="right" readingOrder="0" shrinkToFit="0" vertical="bottom" wrapText="0"/>
    </xf>
    <xf borderId="0" fillId="3" fontId="43" numFmtId="164" xfId="0" applyAlignment="1" applyFont="1" applyNumberFormat="1">
      <alignment horizontal="right" readingOrder="0" shrinkToFit="0" vertical="bottom" wrapText="0"/>
    </xf>
    <xf borderId="0" fillId="4" fontId="43" numFmtId="164" xfId="0" applyAlignment="1" applyFont="1" applyNumberFormat="1">
      <alignment horizontal="right" readingOrder="0" shrinkToFit="0" vertical="bottom" wrapText="0"/>
    </xf>
    <xf borderId="0" fillId="0" fontId="6" numFmtId="0" xfId="0" applyAlignment="1" applyFont="1">
      <alignment readingOrder="0" vertical="bottom"/>
    </xf>
    <xf borderId="0" fillId="4" fontId="43" numFmtId="164" xfId="0" applyAlignment="1" applyFont="1" applyNumberFormat="1">
      <alignment horizontal="right" shrinkToFit="0" vertical="bottom" wrapText="0"/>
    </xf>
    <xf borderId="0" fillId="3" fontId="43" numFmtId="164" xfId="0" applyAlignment="1" applyFont="1" applyNumberFormat="1">
      <alignment horizontal="right" shrinkToFit="0" vertical="bottom" wrapText="0"/>
    </xf>
    <xf borderId="0" fillId="3" fontId="41" numFmtId="0" xfId="0" applyAlignment="1" applyFont="1">
      <alignment readingOrder="0" vertical="bottom"/>
    </xf>
    <xf borderId="0" fillId="4" fontId="41" numFmtId="0" xfId="0" applyAlignment="1" applyFont="1">
      <alignment readingOrder="0" vertical="bottom"/>
    </xf>
    <xf borderId="0" fillId="0" fontId="4" numFmtId="176" xfId="0" applyFont="1" applyNumberFormat="1"/>
    <xf borderId="0" fillId="4" fontId="4" numFmtId="3" xfId="0" applyAlignment="1" applyFont="1" applyNumberFormat="1">
      <alignment readingOrder="0"/>
    </xf>
    <xf borderId="0" fillId="4" fontId="6" numFmtId="167" xfId="0" applyAlignment="1" applyFont="1" applyNumberFormat="1">
      <alignment readingOrder="0" vertical="bottom"/>
    </xf>
    <xf borderId="0" fillId="4" fontId="4" numFmtId="167" xfId="0" applyAlignment="1" applyFont="1" applyNumberFormat="1">
      <alignment readingOrder="0"/>
    </xf>
    <xf borderId="0" fillId="4" fontId="12" numFmtId="182" xfId="0" applyAlignment="1" applyFont="1" applyNumberFormat="1">
      <alignment horizontal="left" readingOrder="0" vertical="bottom"/>
    </xf>
    <xf borderId="0" fillId="0" fontId="44" numFmtId="166" xfId="0" applyAlignment="1" applyFont="1" applyNumberFormat="1">
      <alignment readingOrder="0"/>
    </xf>
    <xf borderId="0" fillId="4" fontId="6" numFmtId="3" xfId="0" applyAlignment="1" applyFont="1" applyNumberFormat="1">
      <alignment readingOrder="0" vertical="bottom"/>
    </xf>
    <xf borderId="0" fillId="6" fontId="6" numFmtId="3" xfId="0" applyAlignment="1" applyFont="1" applyNumberFormat="1">
      <alignment readingOrder="0" vertical="bottom"/>
    </xf>
    <xf borderId="9" fillId="0" fontId="15" numFmtId="0" xfId="0" applyAlignment="1" applyBorder="1" applyFont="1">
      <alignment readingOrder="0" shrinkToFit="0" vertical="bottom" wrapText="0"/>
    </xf>
    <xf borderId="10" fillId="0" fontId="15" numFmtId="0" xfId="0" applyAlignment="1" applyBorder="1" applyFont="1">
      <alignment readingOrder="0" shrinkToFit="0" vertical="bottom" wrapText="0"/>
    </xf>
    <xf borderId="9" fillId="0" fontId="15" numFmtId="174" xfId="0" applyAlignment="1" applyBorder="1" applyFont="1" applyNumberFormat="1">
      <alignment horizontal="center" readingOrder="0" shrinkToFit="0" vertical="bottom" wrapText="0"/>
    </xf>
    <xf borderId="9" fillId="0" fontId="15" numFmtId="0" xfId="0" applyAlignment="1" applyBorder="1" applyFont="1">
      <alignment horizontal="right" readingOrder="0" shrinkToFit="0" vertical="bottom" wrapText="0"/>
    </xf>
    <xf borderId="9" fillId="0" fontId="15" numFmtId="0" xfId="0" applyAlignment="1" applyBorder="1" applyFont="1">
      <alignment horizontal="center" readingOrder="0" shrinkToFit="0" vertical="bottom" wrapText="0"/>
    </xf>
    <xf borderId="9" fillId="0" fontId="15" numFmtId="171" xfId="0" applyAlignment="1" applyBorder="1" applyFont="1" applyNumberFormat="1">
      <alignment horizontal="center" readingOrder="0" shrinkToFit="0" vertical="bottom" wrapText="0"/>
    </xf>
    <xf borderId="0" fillId="0" fontId="45" numFmtId="0" xfId="0" applyAlignment="1" applyFont="1">
      <alignment vertical="center"/>
    </xf>
    <xf borderId="0" fillId="0" fontId="4" numFmtId="164" xfId="0" applyFont="1" applyNumberFormat="1"/>
    <xf borderId="0" fillId="0" fontId="4" numFmtId="183" xfId="0" applyFont="1" applyNumberFormat="1"/>
    <xf borderId="0" fillId="0" fontId="4" numFmtId="181" xfId="0" applyFont="1" applyNumberFormat="1"/>
    <xf borderId="0" fillId="0" fontId="46" numFmtId="0" xfId="0" applyFont="1"/>
    <xf borderId="0" fillId="0" fontId="4" numFmtId="179" xfId="0" applyFont="1" applyNumberFormat="1"/>
  </cellXfs>
  <cellStyles count="1">
    <cellStyle xfId="0" name="Normal" builtinId="0"/>
  </cellStyles>
  <dxfs count="6">
    <dxf>
      <font/>
      <fill>
        <patternFill patternType="solid">
          <fgColor rgb="FFB7E1CD"/>
          <bgColor rgb="FFB7E1CD"/>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FF0000"/>
          <bgColor rgb="FFFF0000"/>
        </patternFill>
      </fill>
      <border/>
    </dxf>
    <dxf>
      <font/>
      <fill>
        <patternFill patternType="solid">
          <fgColor rgb="FFF4CCCC"/>
          <bgColor rgb="FFF4CCCC"/>
        </patternFill>
      </fill>
      <border/>
    </dxf>
  </dxfs>
  <tableStyles count="5">
    <tableStyle count="2" pivot="0" name="June Refrence 25-style">
      <tableStyleElement dxfId="2" type="firstRowStripe"/>
      <tableStyleElement dxfId="3" type="secondRowStripe"/>
    </tableStyle>
    <tableStyle count="2" pivot="0" name="July 2025 Reference AI-style">
      <tableStyleElement dxfId="2" type="firstRowStripe"/>
      <tableStyleElement dxfId="3" type="secondRowStripe"/>
    </tableStyle>
    <tableStyle count="2" pivot="0" name="To be uploaded July 2025-style">
      <tableStyleElement dxfId="2" type="firstRowStripe"/>
      <tableStyleElement dxfId="3" type="secondRowStripe"/>
    </tableStyle>
    <tableStyle count="2" pivot="0" name="To be uploaded August 2025-style">
      <tableStyleElement dxfId="2" type="firstRowStripe"/>
      <tableStyleElement dxfId="3" type="secondRowStripe"/>
    </tableStyle>
    <tableStyle count="2" pivot="0" name="To be uploaded September 2025-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3" Type="http://schemas.openxmlformats.org/officeDocument/2006/relationships/worksheet" Target="worksheets/sheet40.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E112:G124" displayName="Table_1" name="Table_1" id="1">
  <tableColumns count="3">
    <tableColumn name="Column1" id="1"/>
    <tableColumn name="Column2" id="2"/>
    <tableColumn name="Column3" id="3"/>
  </tableColumns>
  <tableStyleInfo name="June Refrence 25-style" showColumnStripes="0" showFirstColumn="1" showLastColumn="1" showRowStripes="1"/>
</table>
</file>

<file path=xl/tables/table2.xml><?xml version="1.0" encoding="utf-8"?>
<table xmlns="http://schemas.openxmlformats.org/spreadsheetml/2006/main" headerRowCount="0" ref="E96:G115" displayName="Table_2" name="Table_2" id="2">
  <tableColumns count="3">
    <tableColumn name="Column1" id="1"/>
    <tableColumn name="Column2" id="2"/>
    <tableColumn name="Column3" id="3"/>
  </tableColumns>
  <tableStyleInfo name="July 2025 Reference AI-style" showColumnStripes="0" showFirstColumn="1" showLastColumn="1" showRowStripes="1"/>
</table>
</file>

<file path=xl/tables/table3.xml><?xml version="1.0" encoding="utf-8"?>
<table xmlns="http://schemas.openxmlformats.org/spreadsheetml/2006/main" headerRowCount="0" ref="E236:F243" displayName="Table_3" name="Table_3" id="3">
  <tableColumns count="2">
    <tableColumn name="Column1" id="1"/>
    <tableColumn name="Column2" id="2"/>
  </tableColumns>
  <tableStyleInfo name="To be uploaded July 2025-style" showColumnStripes="0" showFirstColumn="1" showLastColumn="1" showRowStripes="1"/>
</table>
</file>

<file path=xl/tables/table4.xml><?xml version="1.0" encoding="utf-8"?>
<table xmlns="http://schemas.openxmlformats.org/spreadsheetml/2006/main" headerRowCount="0" ref="E236:F243" displayName="Table_4" name="Table_4" id="4">
  <tableColumns count="2">
    <tableColumn name="Column1" id="1"/>
    <tableColumn name="Column2" id="2"/>
  </tableColumns>
  <tableStyleInfo name="To be uploaded August 2025-style" showColumnStripes="0" showFirstColumn="1" showLastColumn="1" showRowStripes="1"/>
</table>
</file>

<file path=xl/tables/table5.xml><?xml version="1.0" encoding="utf-8"?>
<table xmlns="http://schemas.openxmlformats.org/spreadsheetml/2006/main" headerRowCount="0" ref="E236:F243" displayName="Table_5" name="Table_5" id="5">
  <tableColumns count="2">
    <tableColumn name="Column1" id="1"/>
    <tableColumn name="Column2" id="2"/>
  </tableColumns>
  <tableStyleInfo name="To be uploaded September 202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9.xml"/><Relationship Id="rId3" Type="http://schemas.openxmlformats.org/officeDocument/2006/relationships/vmlDrawing" Target="../drawings/vmlDrawing3.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0.xml"/><Relationship Id="rId3" Type="http://schemas.openxmlformats.org/officeDocument/2006/relationships/vmlDrawing" Target="../drawings/vmlDrawing4.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1.xml"/><Relationship Id="rId3"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2.xml"/><Relationship Id="rId3" Type="http://schemas.openxmlformats.org/officeDocument/2006/relationships/vmlDrawing" Target="../drawings/vmlDrawing6.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3.xml"/><Relationship Id="rId3" Type="http://schemas.openxmlformats.org/officeDocument/2006/relationships/vmlDrawing" Target="../drawings/vmlDrawing7.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4.xml"/><Relationship Id="rId3" Type="http://schemas.openxmlformats.org/officeDocument/2006/relationships/vmlDrawing" Target="../drawings/vmlDrawing8.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5.xml"/><Relationship Id="rId3" Type="http://schemas.openxmlformats.org/officeDocument/2006/relationships/vmlDrawing" Target="../drawings/vmlDrawing9.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6.xml"/><Relationship Id="rId3" Type="http://schemas.openxmlformats.org/officeDocument/2006/relationships/vmlDrawing" Target="../drawings/vmlDrawing10.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7.xml"/><Relationship Id="rId3" Type="http://schemas.openxmlformats.org/officeDocument/2006/relationships/vmlDrawing" Target="../drawings/vmlDrawing11.vml"/><Relationship Id="rId5" Type="http://schemas.openxmlformats.org/officeDocument/2006/relationships/table" Target="../tables/table1.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8.xml"/><Relationship Id="rId3" Type="http://schemas.openxmlformats.org/officeDocument/2006/relationships/vmlDrawing" Target="../drawings/vmlDrawing12.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9.xml"/><Relationship Id="rId3" Type="http://schemas.openxmlformats.org/officeDocument/2006/relationships/vmlDrawing" Target="../drawings/vmlDrawing13.vml"/><Relationship Id="rId5" Type="http://schemas.openxmlformats.org/officeDocument/2006/relationships/table" Target="../tables/table2.xml"/></Relationships>
</file>

<file path=xl/worksheets/_rels/sheet30.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30.xml"/><Relationship Id="rId3" Type="http://schemas.openxmlformats.org/officeDocument/2006/relationships/vmlDrawing" Target="../drawings/vmlDrawing14.vml"/><Relationship Id="rId5" Type="http://schemas.openxmlformats.org/officeDocument/2006/relationships/table" Target="../tables/table3.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31.xml"/><Relationship Id="rId3" Type="http://schemas.openxmlformats.org/officeDocument/2006/relationships/vmlDrawing" Target="../drawings/vmlDrawing15.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32.xml"/><Relationship Id="rId3" Type="http://schemas.openxmlformats.org/officeDocument/2006/relationships/vmlDrawing" Target="../drawings/vmlDrawing16.vml"/><Relationship Id="rId5" Type="http://schemas.openxmlformats.org/officeDocument/2006/relationships/table" Target="../tables/table4.xml"/></Relationships>
</file>

<file path=xl/worksheets/_rels/sheet33.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33.xml"/><Relationship Id="rId3" Type="http://schemas.openxmlformats.org/officeDocument/2006/relationships/vmlDrawing" Target="../drawings/vmlDrawing17.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4.xml"/><Relationship Id="rId3" Type="http://schemas.openxmlformats.org/officeDocument/2006/relationships/vmlDrawing" Target="../drawings/vmlDrawing18.vml"/><Relationship Id="rId5" Type="http://schemas.openxmlformats.org/officeDocument/2006/relationships/table" Target="../tables/table5.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35.xml"/><Relationship Id="rId3" Type="http://schemas.openxmlformats.org/officeDocument/2006/relationships/vmlDrawing" Target="../drawings/vmlDrawing19.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36.xml"/><Relationship Id="rId3" Type="http://schemas.openxmlformats.org/officeDocument/2006/relationships/vmlDrawing" Target="../drawings/vmlDrawing20.v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40" Type="http://schemas.openxmlformats.org/officeDocument/2006/relationships/hyperlink" Target="http://www.linkedin.com/in/izza-shakeel-39824612a" TargetMode="External"/><Relationship Id="rId190" Type="http://schemas.openxmlformats.org/officeDocument/2006/relationships/hyperlink" Target="https://www.linkedin.com/in/mashal-ashfaque?utm_source=share&amp;utm_campaign=share_via&amp;utm_content=profile&amp;utm_medium=ios_app" TargetMode="External"/><Relationship Id="rId42" Type="http://schemas.openxmlformats.org/officeDocument/2006/relationships/hyperlink" Target="https://www.linkedin.com/in/mohid-khan-0a8065217?utm_source=share&amp;utm_campaign=share_via&amp;utm_content=profile&amp;utm_medium=ios_app" TargetMode="External"/><Relationship Id="rId41" Type="http://schemas.openxmlformats.org/officeDocument/2006/relationships/hyperlink" Target="https://www.linkedin.com/in/omar-sibghat-037180210/" TargetMode="External"/><Relationship Id="rId44" Type="http://schemas.openxmlformats.org/officeDocument/2006/relationships/hyperlink" Target="https://www.linkedin.com/in/saifurrehman000" TargetMode="External"/><Relationship Id="rId194" Type="http://schemas.openxmlformats.org/officeDocument/2006/relationships/hyperlink" Target="https://www.linkedin.com/in/hbarraq/" TargetMode="External"/><Relationship Id="rId43" Type="http://schemas.openxmlformats.org/officeDocument/2006/relationships/hyperlink" Target="https://www.linkedin.com/in/zakriaamir/" TargetMode="External"/><Relationship Id="rId193" Type="http://schemas.openxmlformats.org/officeDocument/2006/relationships/hyperlink" Target="http://www.linkedin.com/in/shehroz-babar" TargetMode="External"/><Relationship Id="rId46" Type="http://schemas.openxmlformats.org/officeDocument/2006/relationships/hyperlink" Target="https://www.linkedin.com/in/faiqueahmadkhan" TargetMode="External"/><Relationship Id="rId192" Type="http://schemas.openxmlformats.org/officeDocument/2006/relationships/hyperlink" Target="http://linkedin.com/in/muhammadabdullahaziz98" TargetMode="External"/><Relationship Id="rId45" Type="http://schemas.openxmlformats.org/officeDocument/2006/relationships/hyperlink" Target="https://www.linkedin.com/in/suhajokhio/" TargetMode="External"/><Relationship Id="rId191" Type="http://schemas.openxmlformats.org/officeDocument/2006/relationships/hyperlink" Target="https://www.linkedin.com/in/huzaifa-liaqat/" TargetMode="External"/><Relationship Id="rId48" Type="http://schemas.openxmlformats.org/officeDocument/2006/relationships/hyperlink" Target="https://www.linkedin.com/in/muhammad-arsalan-15939920a?utm_source=share&amp;utm_campaign=share_via&amp;utm_content=profile&amp;utm_medium=android_app" TargetMode="External"/><Relationship Id="rId187" Type="http://schemas.openxmlformats.org/officeDocument/2006/relationships/hyperlink" Target="https://www.linkedin.com/in/syed-haider-395685187/" TargetMode="External"/><Relationship Id="rId47" Type="http://schemas.openxmlformats.org/officeDocument/2006/relationships/hyperlink" Target="https://www.linkedin.com/in/nakhtar313/" TargetMode="External"/><Relationship Id="rId186" Type="http://schemas.openxmlformats.org/officeDocument/2006/relationships/hyperlink" Target="https://www.linkedin.com/in/m-waleed-imran/" TargetMode="External"/><Relationship Id="rId185" Type="http://schemas.openxmlformats.org/officeDocument/2006/relationships/hyperlink" Target="https://www.linkedin.com/in/rayan-ahmad-5a030a165/" TargetMode="External"/><Relationship Id="rId49" Type="http://schemas.openxmlformats.org/officeDocument/2006/relationships/hyperlink" Target="http://www.linkedin.com/in/malik-muhammad-muneeb-379410204" TargetMode="External"/><Relationship Id="rId184" Type="http://schemas.openxmlformats.org/officeDocument/2006/relationships/hyperlink" Target="https://www.linkedin.com/in/muhaimin-khan-7b68b9196/" TargetMode="External"/><Relationship Id="rId189" Type="http://schemas.openxmlformats.org/officeDocument/2006/relationships/hyperlink" Target="https://www.linkedin.com/in/talha-jibran-8237aa204" TargetMode="External"/><Relationship Id="rId188" Type="http://schemas.openxmlformats.org/officeDocument/2006/relationships/hyperlink" Target="https://www.linkedin.com/in/samman-mustafa-0220721a8" TargetMode="External"/><Relationship Id="rId31" Type="http://schemas.openxmlformats.org/officeDocument/2006/relationships/hyperlink" Target="https://www.linkedin.com/in/ubaidasim/" TargetMode="External"/><Relationship Id="rId30" Type="http://schemas.openxmlformats.org/officeDocument/2006/relationships/hyperlink" Target="https://www.linkedin.com/in/misbah-aziz-8625681b6/" TargetMode="External"/><Relationship Id="rId33" Type="http://schemas.openxmlformats.org/officeDocument/2006/relationships/hyperlink" Target="https://www.linkedin.com/in/shoaaaib" TargetMode="External"/><Relationship Id="rId183" Type="http://schemas.openxmlformats.org/officeDocument/2006/relationships/hyperlink" Target="http://linkedin.com/in/connectda" TargetMode="External"/><Relationship Id="rId32" Type="http://schemas.openxmlformats.org/officeDocument/2006/relationships/hyperlink" Target="http://www.linkedin.com/in/iannum" TargetMode="External"/><Relationship Id="rId182" Type="http://schemas.openxmlformats.org/officeDocument/2006/relationships/hyperlink" Target="https://www.linkedin.com/in/mahnoor-farhan-khamsa7699" TargetMode="External"/><Relationship Id="rId35" Type="http://schemas.openxmlformats.org/officeDocument/2006/relationships/hyperlink" Target="https://www.linkedin.com/in/syeda-fatima-148065268" TargetMode="External"/><Relationship Id="rId181" Type="http://schemas.openxmlformats.org/officeDocument/2006/relationships/hyperlink" Target="https://www.linkedin.com/in/iamsaadfarooq/" TargetMode="External"/><Relationship Id="rId34" Type="http://schemas.openxmlformats.org/officeDocument/2006/relationships/hyperlink" Target="https://www.linkedin.com/in/uzma-shaheen-6231701b2" TargetMode="External"/><Relationship Id="rId180" Type="http://schemas.openxmlformats.org/officeDocument/2006/relationships/hyperlink" Target="https://www.linkedin.com/in/sherazahmad383/" TargetMode="External"/><Relationship Id="rId37" Type="http://schemas.openxmlformats.org/officeDocument/2006/relationships/hyperlink" Target="https://linkedin.com/in/ihassamk" TargetMode="External"/><Relationship Id="rId176" Type="http://schemas.openxmlformats.org/officeDocument/2006/relationships/hyperlink" Target="http://www.linkedin.com/in/asimh400" TargetMode="External"/><Relationship Id="rId297" Type="http://schemas.openxmlformats.org/officeDocument/2006/relationships/hyperlink" Target="https://www.linkedin.com/in/hamzaahmad33/" TargetMode="External"/><Relationship Id="rId36" Type="http://schemas.openxmlformats.org/officeDocument/2006/relationships/hyperlink" Target="http://linkedin.com/in/suleman-aamir-5b094a195" TargetMode="External"/><Relationship Id="rId175" Type="http://schemas.openxmlformats.org/officeDocument/2006/relationships/hyperlink" Target="https://www.linkedin.com/in/kamran-khalid-98aa4552/" TargetMode="External"/><Relationship Id="rId296" Type="http://schemas.openxmlformats.org/officeDocument/2006/relationships/hyperlink" Target="https://pk.linkedin.com/in/muhammad-ali-kiyani-1466ba16a" TargetMode="External"/><Relationship Id="rId39" Type="http://schemas.openxmlformats.org/officeDocument/2006/relationships/hyperlink" Target="https://www.linkedin.com/in/mhamza-profile/" TargetMode="External"/><Relationship Id="rId174" Type="http://schemas.openxmlformats.org/officeDocument/2006/relationships/hyperlink" Target="https://www.linkedin.com/in/fawadgul8/" TargetMode="External"/><Relationship Id="rId295" Type="http://schemas.openxmlformats.org/officeDocument/2006/relationships/hyperlink" Target="https://www.linkedin.com/in/usmanaslam712/" TargetMode="External"/><Relationship Id="rId38" Type="http://schemas.openxmlformats.org/officeDocument/2006/relationships/hyperlink" Target="https://www.linkedin.com/in/syed-wasi-8452a71aa/" TargetMode="External"/><Relationship Id="rId173" Type="http://schemas.openxmlformats.org/officeDocument/2006/relationships/hyperlink" Target="https://www.linkedin.com/in/mahmoud-saad-0269a6281/" TargetMode="External"/><Relationship Id="rId294" Type="http://schemas.openxmlformats.org/officeDocument/2006/relationships/hyperlink" Target="https://www.linkedin.com/in/shaheryar-ehsan/" TargetMode="External"/><Relationship Id="rId179" Type="http://schemas.openxmlformats.org/officeDocument/2006/relationships/hyperlink" Target="https://www.linkedin.com/in/muhammad-haris-37b113135/" TargetMode="External"/><Relationship Id="rId178" Type="http://schemas.openxmlformats.org/officeDocument/2006/relationships/hyperlink" Target="https://www.linkedin.com/in/faris1991" TargetMode="External"/><Relationship Id="rId299" Type="http://schemas.openxmlformats.org/officeDocument/2006/relationships/hyperlink" Target="https://www.linkedin.com/in/mharis-kh/" TargetMode="External"/><Relationship Id="rId177" Type="http://schemas.openxmlformats.org/officeDocument/2006/relationships/hyperlink" Target="https://www.linkedin.com/umairsajidbs?_l=en_US" TargetMode="External"/><Relationship Id="rId298" Type="http://schemas.openxmlformats.org/officeDocument/2006/relationships/hyperlink" Target="https://www.linkedin.com/in/awaischaudhry1/" TargetMode="External"/><Relationship Id="rId20" Type="http://schemas.openxmlformats.org/officeDocument/2006/relationships/hyperlink" Target="https://www.linkedin.com/in/muiz-hussain-7a44b8263" TargetMode="External"/><Relationship Id="rId22" Type="http://schemas.openxmlformats.org/officeDocument/2006/relationships/hyperlink" Target="https://www.linkedin.com/in/muhammad-osama-ehsaan-a497441ba/" TargetMode="External"/><Relationship Id="rId21" Type="http://schemas.openxmlformats.org/officeDocument/2006/relationships/hyperlink" Target="https://www.linkedin.com/in/muawiz-umar-899861207" TargetMode="External"/><Relationship Id="rId24" Type="http://schemas.openxmlformats.org/officeDocument/2006/relationships/hyperlink" Target="https://www.linkedin.com/in/muhammad-bilal-tanveer-81a521207/" TargetMode="External"/><Relationship Id="rId23" Type="http://schemas.openxmlformats.org/officeDocument/2006/relationships/hyperlink" Target="https://www.linkedin.com/in/muhammad-ahmed-ghani-ai/" TargetMode="External"/><Relationship Id="rId26" Type="http://schemas.openxmlformats.org/officeDocument/2006/relationships/hyperlink" Target="https://www.linkedin.com/in/umar-sheraz-1193a6132" TargetMode="External"/><Relationship Id="rId25" Type="http://schemas.openxmlformats.org/officeDocument/2006/relationships/hyperlink" Target="https://www.linkedin.com/in/abdul-moiez-18a8761bb/" TargetMode="External"/><Relationship Id="rId28" Type="http://schemas.openxmlformats.org/officeDocument/2006/relationships/hyperlink" Target="https://www.linkedin.com/in/luqman-ahmed-4a7223140/" TargetMode="External"/><Relationship Id="rId27" Type="http://schemas.openxmlformats.org/officeDocument/2006/relationships/hyperlink" Target="http://www.linkedin.com/in/aun-ishfaq-b891a2289" TargetMode="External"/><Relationship Id="rId29" Type="http://schemas.openxmlformats.org/officeDocument/2006/relationships/hyperlink" Target="https://www.linkedin.com/in/kamran-khalid-98aa4552/" TargetMode="External"/><Relationship Id="rId11" Type="http://schemas.openxmlformats.org/officeDocument/2006/relationships/hyperlink" Target="https://www.linkedin.com/in/shaiq-habib/" TargetMode="External"/><Relationship Id="rId10" Type="http://schemas.openxmlformats.org/officeDocument/2006/relationships/hyperlink" Target="https://www.linkedin.com/in/ameerhamza1801" TargetMode="External"/><Relationship Id="rId13" Type="http://schemas.openxmlformats.org/officeDocument/2006/relationships/hyperlink" Target="https://www.linkedin.com/in/saad-ahmed-27b28b118" TargetMode="External"/><Relationship Id="rId12" Type="http://schemas.openxmlformats.org/officeDocument/2006/relationships/hyperlink" Target="https://www.linkedin.com/in/malik-atif-40a4a128b" TargetMode="External"/><Relationship Id="rId15" Type="http://schemas.openxmlformats.org/officeDocument/2006/relationships/hyperlink" Target="https://www.linkedin.com/in/ahmed-niazi-ba6465194/" TargetMode="External"/><Relationship Id="rId198" Type="http://schemas.openxmlformats.org/officeDocument/2006/relationships/hyperlink" Target="https://www.linkedin.com/in/theelaf" TargetMode="External"/><Relationship Id="rId14" Type="http://schemas.openxmlformats.org/officeDocument/2006/relationships/hyperlink" Target="https://www.linkedin.com/in/asad-ullah-01041411a/" TargetMode="External"/><Relationship Id="rId197" Type="http://schemas.openxmlformats.org/officeDocument/2006/relationships/hyperlink" Target="https://www.linkedin.com/in/muhammad-hamza-28161b21" TargetMode="External"/><Relationship Id="rId17" Type="http://schemas.openxmlformats.org/officeDocument/2006/relationships/hyperlink" Target="https://www.linkedin.com/in/ahmad-abu-bakr-481270254/" TargetMode="External"/><Relationship Id="rId196" Type="http://schemas.openxmlformats.org/officeDocument/2006/relationships/hyperlink" Target="https://www.linkedin.com/in/sheikhsaad02/" TargetMode="External"/><Relationship Id="rId16" Type="http://schemas.openxmlformats.org/officeDocument/2006/relationships/hyperlink" Target="https://www.linkedin.com/in/ayesha-syed-8a5b981a2" TargetMode="External"/><Relationship Id="rId195" Type="http://schemas.openxmlformats.org/officeDocument/2006/relationships/hyperlink" Target="https://linkedin.com/in/aamirnawaz123" TargetMode="External"/><Relationship Id="rId19" Type="http://schemas.openxmlformats.org/officeDocument/2006/relationships/hyperlink" Target="https://www.linkedin.com/in/waleed-abdullah/" TargetMode="External"/><Relationship Id="rId18" Type="http://schemas.openxmlformats.org/officeDocument/2006/relationships/hyperlink" Target="https://www.linkedin.com/in/anas-khan-523267237/" TargetMode="External"/><Relationship Id="rId199" Type="http://schemas.openxmlformats.org/officeDocument/2006/relationships/hyperlink" Target="https://www.linkedin.com/in/laiba-imran-9866991a3/" TargetMode="External"/><Relationship Id="rId84" Type="http://schemas.openxmlformats.org/officeDocument/2006/relationships/hyperlink" Target="http://www.linkedin.com/in/shayan-shahzad-a4123b213" TargetMode="External"/><Relationship Id="rId83" Type="http://schemas.openxmlformats.org/officeDocument/2006/relationships/hyperlink" Target="https://www.linkedin.com/in/mawais29/" TargetMode="External"/><Relationship Id="rId86" Type="http://schemas.openxmlformats.org/officeDocument/2006/relationships/hyperlink" Target="https://www.linkedin.com/in/zainwasem/" TargetMode="External"/><Relationship Id="rId85" Type="http://schemas.openxmlformats.org/officeDocument/2006/relationships/hyperlink" Target="https://www.linkedin.com/in/sanahasan-rizvi/" TargetMode="External"/><Relationship Id="rId88" Type="http://schemas.openxmlformats.org/officeDocument/2006/relationships/hyperlink" Target="https://www.linkedin.com/in/tooba-siddiqui-50288b18b?utm_source=share&amp;utm_campaign=share_via&amp;utm_content=profile&amp;utm_medium=android_app" TargetMode="External"/><Relationship Id="rId150" Type="http://schemas.openxmlformats.org/officeDocument/2006/relationships/hyperlink" Target="https://www.linkedin.com/in/asadnawazzzz/" TargetMode="External"/><Relationship Id="rId271" Type="http://schemas.openxmlformats.org/officeDocument/2006/relationships/hyperlink" Target="https://www.linkedin.com/in/ahmedtauqeer16" TargetMode="External"/><Relationship Id="rId87" Type="http://schemas.openxmlformats.org/officeDocument/2006/relationships/hyperlink" Target="https://www.linkedin.com/in/muhammadbinhabib" TargetMode="External"/><Relationship Id="rId270" Type="http://schemas.openxmlformats.org/officeDocument/2006/relationships/hyperlink" Target="https://www.linkedin.com/in/omeir-ahmed-91150916a/" TargetMode="External"/><Relationship Id="rId89" Type="http://schemas.openxmlformats.org/officeDocument/2006/relationships/hyperlink" Target="http://linkedin.com/in/mehdiroohani" TargetMode="External"/><Relationship Id="rId80" Type="http://schemas.openxmlformats.org/officeDocument/2006/relationships/hyperlink" Target="https://www.linkedin.com/in/fahad-shafique-9317bbaa/" TargetMode="External"/><Relationship Id="rId82" Type="http://schemas.openxmlformats.org/officeDocument/2006/relationships/hyperlink" Target="http://linkedin.com/in/aizaz56" TargetMode="External"/><Relationship Id="rId81" Type="http://schemas.openxmlformats.org/officeDocument/2006/relationships/hyperlink" Target="https://www.linkedin.com/in/hafiz-abdullah-akhtar/" TargetMode="External"/><Relationship Id="rId1" Type="http://schemas.openxmlformats.org/officeDocument/2006/relationships/hyperlink" Target="https://www.linkedin.com/in/asim-latif0/" TargetMode="External"/><Relationship Id="rId2" Type="http://schemas.openxmlformats.org/officeDocument/2006/relationships/hyperlink" Target="https://www.linkedin.com/in/zaid-abbasi-561352102/" TargetMode="External"/><Relationship Id="rId3" Type="http://schemas.openxmlformats.org/officeDocument/2006/relationships/hyperlink" Target="https://www.linkedin.com/in/tayyababbas2000/" TargetMode="External"/><Relationship Id="rId149" Type="http://schemas.openxmlformats.org/officeDocument/2006/relationships/hyperlink" Target="https://www.linkedin.com/in/ansabarfanmiana/" TargetMode="External"/><Relationship Id="rId4" Type="http://schemas.openxmlformats.org/officeDocument/2006/relationships/hyperlink" Target="https://www.linkedin.com/in/hamzakhan111/" TargetMode="External"/><Relationship Id="rId148" Type="http://schemas.openxmlformats.org/officeDocument/2006/relationships/hyperlink" Target="https://www.linkedin.com/in/hibba-mirza/" TargetMode="External"/><Relationship Id="rId269" Type="http://schemas.openxmlformats.org/officeDocument/2006/relationships/hyperlink" Target="https://www.linkedin.com/in/shahek-raza-195065164/" TargetMode="External"/><Relationship Id="rId9" Type="http://schemas.openxmlformats.org/officeDocument/2006/relationships/hyperlink" Target="https://www.linkedin.com/in/mutahhar-bin-muzaffar" TargetMode="External"/><Relationship Id="rId143" Type="http://schemas.openxmlformats.org/officeDocument/2006/relationships/hyperlink" Target="https://www.linkedin.com/in/soban-raza/" TargetMode="External"/><Relationship Id="rId264" Type="http://schemas.openxmlformats.org/officeDocument/2006/relationships/hyperlink" Target="https://www.linkedin.com/in/faizan-khan-164068230/" TargetMode="External"/><Relationship Id="rId142" Type="http://schemas.openxmlformats.org/officeDocument/2006/relationships/hyperlink" Target="https://www.linkedin.com/in/muhammad-osama-ehsaan-a497441ba/" TargetMode="External"/><Relationship Id="rId263" Type="http://schemas.openxmlformats.org/officeDocument/2006/relationships/hyperlink" Target="http://www.linkedin.com/in/zohamunir" TargetMode="External"/><Relationship Id="rId141" Type="http://schemas.openxmlformats.org/officeDocument/2006/relationships/hyperlink" Target="https://www.linkedin.com/in/mahnoor-farook-1aaa3a222/" TargetMode="External"/><Relationship Id="rId262" Type="http://schemas.openxmlformats.org/officeDocument/2006/relationships/hyperlink" Target="https://pk.linkedin.com/in/abdul-hameed-030480241" TargetMode="External"/><Relationship Id="rId140" Type="http://schemas.openxmlformats.org/officeDocument/2006/relationships/hyperlink" Target="https://www.linkedin.com/in/zoiba-noor-16a89919a/" TargetMode="External"/><Relationship Id="rId261" Type="http://schemas.openxmlformats.org/officeDocument/2006/relationships/hyperlink" Target="https://pk.linkedin.com/in/muhammad-asadullah-shahid" TargetMode="External"/><Relationship Id="rId5" Type="http://schemas.openxmlformats.org/officeDocument/2006/relationships/hyperlink" Target="https://www.linkedin.com/in/muhammad-abdullah-salam-90470b23b/" TargetMode="External"/><Relationship Id="rId147" Type="http://schemas.openxmlformats.org/officeDocument/2006/relationships/hyperlink" Target="https://www.linkedin.com/in/sheheryar-ahmed-9732a4192/" TargetMode="External"/><Relationship Id="rId268" Type="http://schemas.openxmlformats.org/officeDocument/2006/relationships/hyperlink" Target="https://www.linkedin.com/in/mmchughtai" TargetMode="External"/><Relationship Id="rId6" Type="http://schemas.openxmlformats.org/officeDocument/2006/relationships/hyperlink" Target="https://www.linkedin.com/in/shariq-it/" TargetMode="External"/><Relationship Id="rId146" Type="http://schemas.openxmlformats.org/officeDocument/2006/relationships/hyperlink" Target="https://www.linkedin.com/in/syed-abdullah-bukhari/" TargetMode="External"/><Relationship Id="rId267" Type="http://schemas.openxmlformats.org/officeDocument/2006/relationships/hyperlink" Target="https://www.linkedin.com/in/daniel-gon%C3%A7alves-681919250/" TargetMode="External"/><Relationship Id="rId7" Type="http://schemas.openxmlformats.org/officeDocument/2006/relationships/hyperlink" Target="https://www.linkedin.com/in/syeda-anamil-gillani-b7a700243" TargetMode="External"/><Relationship Id="rId145" Type="http://schemas.openxmlformats.org/officeDocument/2006/relationships/hyperlink" Target="https://www.linkedin.com/in/khawaja-asad-zia-2bb222a6/" TargetMode="External"/><Relationship Id="rId266" Type="http://schemas.openxmlformats.org/officeDocument/2006/relationships/hyperlink" Target="https://www.linkedin.com/in/umaira-jabeen-0a2337aa/" TargetMode="External"/><Relationship Id="rId8" Type="http://schemas.openxmlformats.org/officeDocument/2006/relationships/hyperlink" Target="https://www.linkedin.com/in/khadija-umer-b2924b1a5/" TargetMode="External"/><Relationship Id="rId144" Type="http://schemas.openxmlformats.org/officeDocument/2006/relationships/hyperlink" Target="https://www.linkedin.com/in/msaad-ch/" TargetMode="External"/><Relationship Id="rId265" Type="http://schemas.openxmlformats.org/officeDocument/2006/relationships/hyperlink" Target="https://www.linkedin.com/in/mohsin-ali-8a330b189" TargetMode="External"/><Relationship Id="rId73" Type="http://schemas.openxmlformats.org/officeDocument/2006/relationships/hyperlink" Target="https://pk.linkedin.com/in/merashidminhas" TargetMode="External"/><Relationship Id="rId72" Type="http://schemas.openxmlformats.org/officeDocument/2006/relationships/hyperlink" Target="http://linkedin.com/in/hamza-mehmood-84622420b/" TargetMode="External"/><Relationship Id="rId75" Type="http://schemas.openxmlformats.org/officeDocument/2006/relationships/hyperlink" Target="https://www.linkedin.com/in/abdullah-qureshi5/" TargetMode="External"/><Relationship Id="rId74" Type="http://schemas.openxmlformats.org/officeDocument/2006/relationships/hyperlink" Target="http://linkedin.com/in/zaurayz-kashan-shah-43232a350" TargetMode="External"/><Relationship Id="rId77" Type="http://schemas.openxmlformats.org/officeDocument/2006/relationships/hyperlink" Target="https://www.linkedin.com/in/abdul-ahad-q/" TargetMode="External"/><Relationship Id="rId260" Type="http://schemas.openxmlformats.org/officeDocument/2006/relationships/hyperlink" Target="https://www.linkedin.com/in/mohsen-abbas-933aa438/" TargetMode="External"/><Relationship Id="rId76" Type="http://schemas.openxmlformats.org/officeDocument/2006/relationships/hyperlink" Target="https://www.linkedin.com/in/moosa-butt/" TargetMode="External"/><Relationship Id="rId79" Type="http://schemas.openxmlformats.org/officeDocument/2006/relationships/hyperlink" Target="https://www.linkedin.com/in/ghayasahmad47" TargetMode="External"/><Relationship Id="rId78" Type="http://schemas.openxmlformats.org/officeDocument/2006/relationships/hyperlink" Target="http://www.linkedin.com/in/javeria-ali-" TargetMode="External"/><Relationship Id="rId71" Type="http://schemas.openxmlformats.org/officeDocument/2006/relationships/hyperlink" Target="https://www.linkedin.com/in/haris-mukhtar-b14134173/" TargetMode="External"/><Relationship Id="rId70" Type="http://schemas.openxmlformats.org/officeDocument/2006/relationships/hyperlink" Target="https://www.linkedin.com/in/mrizzzwan/" TargetMode="External"/><Relationship Id="rId139" Type="http://schemas.openxmlformats.org/officeDocument/2006/relationships/hyperlink" Target="https://www.linkedin.com/in/shahsauds/" TargetMode="External"/><Relationship Id="rId138" Type="http://schemas.openxmlformats.org/officeDocument/2006/relationships/hyperlink" Target="https://www.linkedin.com/in/saad-haxxan/" TargetMode="External"/><Relationship Id="rId259" Type="http://schemas.openxmlformats.org/officeDocument/2006/relationships/hyperlink" Target="https://www.linkedin.com/in/zeeshanasir" TargetMode="External"/><Relationship Id="rId137" Type="http://schemas.openxmlformats.org/officeDocument/2006/relationships/hyperlink" Target="https://www.linkedin.com/in/syedibraizqazi/" TargetMode="External"/><Relationship Id="rId258" Type="http://schemas.openxmlformats.org/officeDocument/2006/relationships/hyperlink" Target="https://www.linkedin.com/in/maaz-sajjad-75a70b219/" TargetMode="External"/><Relationship Id="rId132" Type="http://schemas.openxmlformats.org/officeDocument/2006/relationships/hyperlink" Target="https://www.linkedin.com/in/smakbar42/" TargetMode="External"/><Relationship Id="rId253" Type="http://schemas.openxmlformats.org/officeDocument/2006/relationships/hyperlink" Target="https://www.linkedin.com/in/subhana-yasin" TargetMode="External"/><Relationship Id="rId131" Type="http://schemas.openxmlformats.org/officeDocument/2006/relationships/hyperlink" Target="https://www.linkedin.com/in/syed-anas-kamal/" TargetMode="External"/><Relationship Id="rId252" Type="http://schemas.openxmlformats.org/officeDocument/2006/relationships/hyperlink" Target="https://www.linkedin.com/in/myda-abbas-51" TargetMode="External"/><Relationship Id="rId130" Type="http://schemas.openxmlformats.org/officeDocument/2006/relationships/hyperlink" Target="https://www.linkedin.com/in/nishakazi" TargetMode="External"/><Relationship Id="rId251" Type="http://schemas.openxmlformats.org/officeDocument/2006/relationships/hyperlink" Target="https://www.linkedin.com/in/rm-umar" TargetMode="External"/><Relationship Id="rId250" Type="http://schemas.openxmlformats.org/officeDocument/2006/relationships/hyperlink" Target="https://www.linkedin.com/in/abdullah-rashid-a1b894189" TargetMode="External"/><Relationship Id="rId136" Type="http://schemas.openxmlformats.org/officeDocument/2006/relationships/hyperlink" Target="https://www.linkedin.com/in/amnakarimhashmi/" TargetMode="External"/><Relationship Id="rId257" Type="http://schemas.openxmlformats.org/officeDocument/2006/relationships/hyperlink" Target="https://www.linkedin.com/in/muhammad-zahab-ahmad-11624889" TargetMode="External"/><Relationship Id="rId135" Type="http://schemas.openxmlformats.org/officeDocument/2006/relationships/hyperlink" Target="https://www.linkedin.com/in/muhammad-saad-naveed/" TargetMode="External"/><Relationship Id="rId256" Type="http://schemas.openxmlformats.org/officeDocument/2006/relationships/hyperlink" Target="https://www.linkedin.com/in/umair-nasar" TargetMode="External"/><Relationship Id="rId134" Type="http://schemas.openxmlformats.org/officeDocument/2006/relationships/hyperlink" Target="https://www.linkedin.com/in/fazal-e-majid/" TargetMode="External"/><Relationship Id="rId255" Type="http://schemas.openxmlformats.org/officeDocument/2006/relationships/hyperlink" Target="https://www.linkedin.com/in/hamza-mughal-3b2510276" TargetMode="External"/><Relationship Id="rId133" Type="http://schemas.openxmlformats.org/officeDocument/2006/relationships/hyperlink" Target="https://www.linkedin.com/in/ubaidasim/" TargetMode="External"/><Relationship Id="rId254" Type="http://schemas.openxmlformats.org/officeDocument/2006/relationships/hyperlink" Target="https://www.linkedin.com/in/ayesha-farooqui-661155242/" TargetMode="External"/><Relationship Id="rId62" Type="http://schemas.openxmlformats.org/officeDocument/2006/relationships/hyperlink" Target="https://www.linkedin.com/in/muhammad-noman-shahid/" TargetMode="External"/><Relationship Id="rId61" Type="http://schemas.openxmlformats.org/officeDocument/2006/relationships/hyperlink" Target="https://www.linkedin.com/in/maheenshahidkhan/" TargetMode="External"/><Relationship Id="rId64" Type="http://schemas.openxmlformats.org/officeDocument/2006/relationships/hyperlink" Target="https://www.linkedin.com/in/asadmalik901/" TargetMode="External"/><Relationship Id="rId63" Type="http://schemas.openxmlformats.org/officeDocument/2006/relationships/hyperlink" Target="https://www.linkedin.com/in/-muhammad-usama" TargetMode="External"/><Relationship Id="rId66" Type="http://schemas.openxmlformats.org/officeDocument/2006/relationships/hyperlink" Target="https://www.linkedin.com/in/umair-khalid-seo/" TargetMode="External"/><Relationship Id="rId172" Type="http://schemas.openxmlformats.org/officeDocument/2006/relationships/hyperlink" Target="https://www.linkedin.com/in/hadia-amjad/" TargetMode="External"/><Relationship Id="rId293" Type="http://schemas.openxmlformats.org/officeDocument/2006/relationships/hyperlink" Target="https://pk.linkedin.com/in/adil-ali-tariq-02154a209" TargetMode="External"/><Relationship Id="rId65" Type="http://schemas.openxmlformats.org/officeDocument/2006/relationships/hyperlink" Target="https://www.linkedin.com/in/muzammil-mohammad-id/" TargetMode="External"/><Relationship Id="rId171" Type="http://schemas.openxmlformats.org/officeDocument/2006/relationships/hyperlink" Target="https://www.linkedin.com/in/hamza-khan-8a372b240/" TargetMode="External"/><Relationship Id="rId292" Type="http://schemas.openxmlformats.org/officeDocument/2006/relationships/hyperlink" Target="http://linkedin.com/in/mehdiroohani" TargetMode="External"/><Relationship Id="rId68" Type="http://schemas.openxmlformats.org/officeDocument/2006/relationships/hyperlink" Target="https://www.linkedin.com/in/zaeem-ather" TargetMode="External"/><Relationship Id="rId170" Type="http://schemas.openxmlformats.org/officeDocument/2006/relationships/hyperlink" Target="https://www.linkedin.com/in/muhammad-arham-a5b1b1237/" TargetMode="External"/><Relationship Id="rId291" Type="http://schemas.openxmlformats.org/officeDocument/2006/relationships/hyperlink" Target="https://www.linkedin.com/in/aisha-noor-535b02252" TargetMode="External"/><Relationship Id="rId67" Type="http://schemas.openxmlformats.org/officeDocument/2006/relationships/hyperlink" Target="https://www.linkedin.com/in/hamzabinhassan?utm_source=share&amp;utm_campaign=share_via&amp;utm_content=profile&amp;utm_medium=ios_app" TargetMode="External"/><Relationship Id="rId290" Type="http://schemas.openxmlformats.org/officeDocument/2006/relationships/hyperlink" Target="https://www.linkedin.com/in/maaz-ullah-khan-warsi" TargetMode="External"/><Relationship Id="rId60" Type="http://schemas.openxmlformats.org/officeDocument/2006/relationships/hyperlink" Target="https://www.linkedin.com/in/maha-manzoor/" TargetMode="External"/><Relationship Id="rId165" Type="http://schemas.openxmlformats.org/officeDocument/2006/relationships/hyperlink" Target="https://www.linkedin.com/in/armaghanbashir/" TargetMode="External"/><Relationship Id="rId286" Type="http://schemas.openxmlformats.org/officeDocument/2006/relationships/hyperlink" Target="https://www.linkedin.com/in/seemab-latif" TargetMode="External"/><Relationship Id="rId69" Type="http://schemas.openxmlformats.org/officeDocument/2006/relationships/hyperlink" Target="https://www.linkedin.com/in/muhammad-ali-chaudhry-/" TargetMode="External"/><Relationship Id="rId164" Type="http://schemas.openxmlformats.org/officeDocument/2006/relationships/hyperlink" Target="https://www.linkedin.com/in/maheen-chowhan-571470121/" TargetMode="External"/><Relationship Id="rId285" Type="http://schemas.openxmlformats.org/officeDocument/2006/relationships/hyperlink" Target="https://www.linkedin.com/in/azkabasit" TargetMode="External"/><Relationship Id="rId163" Type="http://schemas.openxmlformats.org/officeDocument/2006/relationships/hyperlink" Target="https://www.linkedin.com/in/saim-ali-2303/" TargetMode="External"/><Relationship Id="rId284" Type="http://schemas.openxmlformats.org/officeDocument/2006/relationships/hyperlink" Target="https://www.linkedin.com/in/mominaalamgir/" TargetMode="External"/><Relationship Id="rId162" Type="http://schemas.openxmlformats.org/officeDocument/2006/relationships/hyperlink" Target="https://www.linkedin.com/in/muhammad-saeed-younus/" TargetMode="External"/><Relationship Id="rId283" Type="http://schemas.openxmlformats.org/officeDocument/2006/relationships/hyperlink" Target="https://www.linkedin.com/in/ali-hassan-983861258/" TargetMode="External"/><Relationship Id="rId169" Type="http://schemas.openxmlformats.org/officeDocument/2006/relationships/hyperlink" Target="https://www.linkedin.com/in/muhammad-haris-37b113135/" TargetMode="External"/><Relationship Id="rId168" Type="http://schemas.openxmlformats.org/officeDocument/2006/relationships/hyperlink" Target="https://www.linkedin.com/in/muhammad--suhaib/" TargetMode="External"/><Relationship Id="rId289" Type="http://schemas.openxmlformats.org/officeDocument/2006/relationships/hyperlink" Target="https://www.linkedin.com/in/amish-tufail" TargetMode="External"/><Relationship Id="rId167" Type="http://schemas.openxmlformats.org/officeDocument/2006/relationships/hyperlink" Target="https://www.linkedin.com/in/qazishahood/" TargetMode="External"/><Relationship Id="rId288" Type="http://schemas.openxmlformats.org/officeDocument/2006/relationships/hyperlink" Target="https://www.linkedin.com/in/ayan-baig/" TargetMode="External"/><Relationship Id="rId166" Type="http://schemas.openxmlformats.org/officeDocument/2006/relationships/hyperlink" Target="https://www.linkedin.com/in/muhammad-rafay-nbs2020/" TargetMode="External"/><Relationship Id="rId287" Type="http://schemas.openxmlformats.org/officeDocument/2006/relationships/hyperlink" Target="https://www.linkedin.com/in/manahil-ashfaq" TargetMode="External"/><Relationship Id="rId51" Type="http://schemas.openxmlformats.org/officeDocument/2006/relationships/hyperlink" Target="https://www.linkedin.com/in/ali-haider-saeed-b8b19b264?utm_source=share&amp;utm_campaign=share_via&amp;utm_content=profile&amp;utm_medium=android_app" TargetMode="External"/><Relationship Id="rId50" Type="http://schemas.openxmlformats.org/officeDocument/2006/relationships/hyperlink" Target="https://www.linkedin.com/in/mueed-hassan-350944265?utm_source=share&amp;utm_campaign=share_via&amp;utm_content=profile&amp;utm_medium=android_app" TargetMode="External"/><Relationship Id="rId53" Type="http://schemas.openxmlformats.org/officeDocument/2006/relationships/hyperlink" Target="https://www.linkedin.com/in/hajraabbasi2003" TargetMode="External"/><Relationship Id="rId52" Type="http://schemas.openxmlformats.org/officeDocument/2006/relationships/hyperlink" Target="https://www.linkedin.com/in/maheen-waqar-ba8496196/" TargetMode="External"/><Relationship Id="rId55" Type="http://schemas.openxmlformats.org/officeDocument/2006/relationships/hyperlink" Target="https://www.linkedin.com/in/tabeed-hassan-20267a180/" TargetMode="External"/><Relationship Id="rId161" Type="http://schemas.openxmlformats.org/officeDocument/2006/relationships/hyperlink" Target="https://www.linkedin.com/in/muhammad-shehroz-habib-817a15240/" TargetMode="External"/><Relationship Id="rId282" Type="http://schemas.openxmlformats.org/officeDocument/2006/relationships/hyperlink" Target="https://www.linkedin.com/in/syedmaazahmed1/" TargetMode="External"/><Relationship Id="rId54" Type="http://schemas.openxmlformats.org/officeDocument/2006/relationships/hyperlink" Target="https://www.linkedin.com/in/hmza-nasir/" TargetMode="External"/><Relationship Id="rId160" Type="http://schemas.openxmlformats.org/officeDocument/2006/relationships/hyperlink" Target="https://www.linkedin.com/in/abdullah-ahmad-grapfic-designer/" TargetMode="External"/><Relationship Id="rId281" Type="http://schemas.openxmlformats.org/officeDocument/2006/relationships/hyperlink" Target="https://www.linkedin.com/me?trk=p_mwlite_feed-secondary_nav" TargetMode="External"/><Relationship Id="rId57" Type="http://schemas.openxmlformats.org/officeDocument/2006/relationships/hyperlink" Target="http://www.linkedin.com/in/asad-ahsan-67b346235" TargetMode="External"/><Relationship Id="rId280" Type="http://schemas.openxmlformats.org/officeDocument/2006/relationships/hyperlink" Target="https://www.linkedin.com/in/sajjad-ahmed-81070960/" TargetMode="External"/><Relationship Id="rId56" Type="http://schemas.openxmlformats.org/officeDocument/2006/relationships/hyperlink" Target="https://pk.linkedin.com/in/zahida-misher-707b23230" TargetMode="External"/><Relationship Id="rId159" Type="http://schemas.openxmlformats.org/officeDocument/2006/relationships/hyperlink" Target="https://www.linkedin.com/in/muhammad-yaseen-7127211a1" TargetMode="External"/><Relationship Id="rId59" Type="http://schemas.openxmlformats.org/officeDocument/2006/relationships/hyperlink" Target="https://www.linkedin.com/in/mahmoud-nessim-al-amir-seo/" TargetMode="External"/><Relationship Id="rId154" Type="http://schemas.openxmlformats.org/officeDocument/2006/relationships/hyperlink" Target="https://www.linkedin.com/in/syedbaqarabbas/" TargetMode="External"/><Relationship Id="rId275" Type="http://schemas.openxmlformats.org/officeDocument/2006/relationships/hyperlink" Target="http://www.linkedin.com/in/iWaleeeedd" TargetMode="External"/><Relationship Id="rId58" Type="http://schemas.openxmlformats.org/officeDocument/2006/relationships/hyperlink" Target="https://www.linkedin.com/in/aeilang/" TargetMode="External"/><Relationship Id="rId153" Type="http://schemas.openxmlformats.org/officeDocument/2006/relationships/hyperlink" Target="https://www.linkedin.com/in/minahil-babar-28b3381ba/" TargetMode="External"/><Relationship Id="rId274" Type="http://schemas.openxmlformats.org/officeDocument/2006/relationships/hyperlink" Target="https://pk.linkedin.com/in/ehtasham-balland-04701a104" TargetMode="External"/><Relationship Id="rId152" Type="http://schemas.openxmlformats.org/officeDocument/2006/relationships/hyperlink" Target="https://www.linkedin.com/in/muhammad-ibrahim-9889431bb/" TargetMode="External"/><Relationship Id="rId273" Type="http://schemas.openxmlformats.org/officeDocument/2006/relationships/hyperlink" Target="https://www.linkedin.com/in/zbmk?utm_source=share&amp;utm_campaign=share_via&amp;utm_content=profile&amp;utm_medium=ios_app" TargetMode="External"/><Relationship Id="rId151" Type="http://schemas.openxmlformats.org/officeDocument/2006/relationships/hyperlink" Target="https://www.linkedin.com/in/shaheermuzammil/" TargetMode="External"/><Relationship Id="rId272" Type="http://schemas.openxmlformats.org/officeDocument/2006/relationships/hyperlink" Target="http://www.linkedin.com/in/kinza-touseef-a449a51b1/" TargetMode="External"/><Relationship Id="rId158" Type="http://schemas.openxmlformats.org/officeDocument/2006/relationships/hyperlink" Target="https://www.linkedin.com/in/saad-tariq-751106117/" TargetMode="External"/><Relationship Id="rId279" Type="http://schemas.openxmlformats.org/officeDocument/2006/relationships/hyperlink" Target="https://www.linkedin.com/in/faisalamin001" TargetMode="External"/><Relationship Id="rId157" Type="http://schemas.openxmlformats.org/officeDocument/2006/relationships/hyperlink" Target="https://www.linkedin.com/in/syed-murtaza-bokharee-8521116b/" TargetMode="External"/><Relationship Id="rId278" Type="http://schemas.openxmlformats.org/officeDocument/2006/relationships/hyperlink" Target="https://www.linkedin.com/in/rabail-khan-701719248?utm_source=share&amp;utm_campaign=share_via&amp;utm_content=profile&amp;utm_medium=ios_app" TargetMode="External"/><Relationship Id="rId156" Type="http://schemas.openxmlformats.org/officeDocument/2006/relationships/hyperlink" Target="https://www.linkedin.com/in/joun-habib-14a3961a3/" TargetMode="External"/><Relationship Id="rId277" Type="http://schemas.openxmlformats.org/officeDocument/2006/relationships/hyperlink" Target="http://linkedin.com/in/umairs26" TargetMode="External"/><Relationship Id="rId155" Type="http://schemas.openxmlformats.org/officeDocument/2006/relationships/hyperlink" Target="https://www.linkedin.com/in/bharara/" TargetMode="External"/><Relationship Id="rId276" Type="http://schemas.openxmlformats.org/officeDocument/2006/relationships/hyperlink" Target="https://www.linkedin.com/in/mustafakamalwasti/" TargetMode="External"/><Relationship Id="rId107" Type="http://schemas.openxmlformats.org/officeDocument/2006/relationships/hyperlink" Target="https://www.linkedin.com/in/mobeen-irshad-0a35aa265?utm_source=share&amp;utm_campaign=share_via&amp;utm_content=profile&amp;utm_medium=android_app" TargetMode="External"/><Relationship Id="rId228" Type="http://schemas.openxmlformats.org/officeDocument/2006/relationships/hyperlink" Target="https://www.linkedin.com/in/alina-shoaib/" TargetMode="External"/><Relationship Id="rId349" Type="http://schemas.openxmlformats.org/officeDocument/2006/relationships/hyperlink" Target="http://www.linkedin.com/in/palwasha-yunus-3b802b217" TargetMode="External"/><Relationship Id="rId106" Type="http://schemas.openxmlformats.org/officeDocument/2006/relationships/hyperlink" Target="https://www.linkedin.com/in/video-editor-motion-designer-expert/" TargetMode="External"/><Relationship Id="rId227" Type="http://schemas.openxmlformats.org/officeDocument/2006/relationships/hyperlink" Target="https://www.linkedin.com/in/ali-irfan-51b190195" TargetMode="External"/><Relationship Id="rId348" Type="http://schemas.openxmlformats.org/officeDocument/2006/relationships/hyperlink" Target="https://www.linkedin.com/in/mustafa-shakil" TargetMode="External"/><Relationship Id="rId105" Type="http://schemas.openxmlformats.org/officeDocument/2006/relationships/hyperlink" Target="https://www.linkedin.com/in/syed-moin-gillani-aab729119/" TargetMode="External"/><Relationship Id="rId226" Type="http://schemas.openxmlformats.org/officeDocument/2006/relationships/hyperlink" Target="https://www.linkedin.com/in/jan-panne-4b46622a9/" TargetMode="External"/><Relationship Id="rId347" Type="http://schemas.openxmlformats.org/officeDocument/2006/relationships/hyperlink" Target="https://www.linkedin.com/in/muhammad-uzaimah-mushtaq" TargetMode="External"/><Relationship Id="rId104" Type="http://schemas.openxmlformats.org/officeDocument/2006/relationships/hyperlink" Target="https://www.linkedin.com/in/haris-rehman-99865a166" TargetMode="External"/><Relationship Id="rId225" Type="http://schemas.openxmlformats.org/officeDocument/2006/relationships/hyperlink" Target="http://linkedin.com/in/arsal28sher" TargetMode="External"/><Relationship Id="rId346" Type="http://schemas.openxmlformats.org/officeDocument/2006/relationships/hyperlink" Target="https://www.linkedin.com/in/ayesha-siddiqa-447348256/" TargetMode="External"/><Relationship Id="rId109" Type="http://schemas.openxmlformats.org/officeDocument/2006/relationships/hyperlink" Target="https://www.linkedin.com/in/muhammad-awais-673a57244/" TargetMode="External"/><Relationship Id="rId108" Type="http://schemas.openxmlformats.org/officeDocument/2006/relationships/hyperlink" Target="https://www.linkedin.com/in/shahzaib-online/" TargetMode="External"/><Relationship Id="rId229" Type="http://schemas.openxmlformats.org/officeDocument/2006/relationships/hyperlink" Target="https://www.linkedin.com/in/shaheryar-ehsan/" TargetMode="External"/><Relationship Id="rId220" Type="http://schemas.openxmlformats.org/officeDocument/2006/relationships/hyperlink" Target="https://www.linkedin.com/in/saad-tariq-751106117/" TargetMode="External"/><Relationship Id="rId341" Type="http://schemas.openxmlformats.org/officeDocument/2006/relationships/hyperlink" Target="https://www.linkedin.com/in/osama10596/" TargetMode="External"/><Relationship Id="rId340" Type="http://schemas.openxmlformats.org/officeDocument/2006/relationships/hyperlink" Target="http://linkedin.com/in/nimrah-zahid-755a96138" TargetMode="External"/><Relationship Id="rId103" Type="http://schemas.openxmlformats.org/officeDocument/2006/relationships/hyperlink" Target="http://linkedin.com/in/usmansurda" TargetMode="External"/><Relationship Id="rId224" Type="http://schemas.openxmlformats.org/officeDocument/2006/relationships/hyperlink" Target="https://www.linkedin.com/in/ghassan-malik-949600188" TargetMode="External"/><Relationship Id="rId345" Type="http://schemas.openxmlformats.org/officeDocument/2006/relationships/hyperlink" Target="http://www.linkedin.com/in/adam5o5" TargetMode="External"/><Relationship Id="rId102" Type="http://schemas.openxmlformats.org/officeDocument/2006/relationships/hyperlink" Target="https://www.linkedin.com/in/abdullah-rashid-a1b894189/" TargetMode="External"/><Relationship Id="rId223" Type="http://schemas.openxmlformats.org/officeDocument/2006/relationships/hyperlink" Target="https://www.linkedin.com/in/sana-sajjad-793247249?utm_source=share&amp;utm_campaign=share_via&amp;utm_content=profile&amp;utm_medium=ios_app" TargetMode="External"/><Relationship Id="rId344" Type="http://schemas.openxmlformats.org/officeDocument/2006/relationships/hyperlink" Target="http://www.linkedin.com/in/wajahat-nawaz-khan" TargetMode="External"/><Relationship Id="rId101" Type="http://schemas.openxmlformats.org/officeDocument/2006/relationships/hyperlink" Target="https://www.linkedin.com/in/kamran-arshad" TargetMode="External"/><Relationship Id="rId222" Type="http://schemas.openxmlformats.org/officeDocument/2006/relationships/hyperlink" Target="http://www.linkedin.com/in/mirza-zain-ali-nasir-9b0b19218" TargetMode="External"/><Relationship Id="rId343" Type="http://schemas.openxmlformats.org/officeDocument/2006/relationships/hyperlink" Target="https://www.linkedin.com/in/shahek-raza-195065164/" TargetMode="External"/><Relationship Id="rId100" Type="http://schemas.openxmlformats.org/officeDocument/2006/relationships/hyperlink" Target="https://www.linkedin.com/in/zain-ali-rizvi-072049247?utm_source=share&amp;utm_campaign=share_via&amp;utm_content=profile&amp;utm_medium=ios_app" TargetMode="External"/><Relationship Id="rId221" Type="http://schemas.openxmlformats.org/officeDocument/2006/relationships/hyperlink" Target="https://www.linkedin.com/in/rm-umar" TargetMode="External"/><Relationship Id="rId342" Type="http://schemas.openxmlformats.org/officeDocument/2006/relationships/hyperlink" Target="https://www.linkedin.com/in/anasattas/" TargetMode="External"/><Relationship Id="rId217" Type="http://schemas.openxmlformats.org/officeDocument/2006/relationships/hyperlink" Target="https://www.linkedin.com/in/syed-sherjeel/" TargetMode="External"/><Relationship Id="rId338" Type="http://schemas.openxmlformats.org/officeDocument/2006/relationships/hyperlink" Target="https://www.linkedin.com/in/hafiza-aqsa-2b340a369?utm_source=share&amp;utm_campaign=share_via&amp;utm_content=profile&amp;utm_medium=android_app" TargetMode="External"/><Relationship Id="rId216" Type="http://schemas.openxmlformats.org/officeDocument/2006/relationships/hyperlink" Target="https://www.linkedin.com/in/muhammad-arham-a5b1b1237/" TargetMode="External"/><Relationship Id="rId337" Type="http://schemas.openxmlformats.org/officeDocument/2006/relationships/hyperlink" Target="https://www.linkedin.com/in/areebafzal919/" TargetMode="External"/><Relationship Id="rId215" Type="http://schemas.openxmlformats.org/officeDocument/2006/relationships/hyperlink" Target="https://www.linkedin.com/in/naimal-rao-296a66212/" TargetMode="External"/><Relationship Id="rId336" Type="http://schemas.openxmlformats.org/officeDocument/2006/relationships/hyperlink" Target="http://linkedin.com/in/anasmaqsood" TargetMode="External"/><Relationship Id="rId214" Type="http://schemas.openxmlformats.org/officeDocument/2006/relationships/hyperlink" Target="https://www.linkedin.com/in/abdullah-makhdoom-ml-engineer/" TargetMode="External"/><Relationship Id="rId335" Type="http://schemas.openxmlformats.org/officeDocument/2006/relationships/hyperlink" Target="https://www.linkedin.com/in/sameersohailwriter/" TargetMode="External"/><Relationship Id="rId219" Type="http://schemas.openxmlformats.org/officeDocument/2006/relationships/hyperlink" Target="https://www.linkedin.com/in/musanaqvi/" TargetMode="External"/><Relationship Id="rId218" Type="http://schemas.openxmlformats.org/officeDocument/2006/relationships/hyperlink" Target="https://www.linkedin.com/in/abu-usama/" TargetMode="External"/><Relationship Id="rId339" Type="http://schemas.openxmlformats.org/officeDocument/2006/relationships/hyperlink" Target="https://www.linkedin.com/in/shariq-n1/" TargetMode="External"/><Relationship Id="rId330" Type="http://schemas.openxmlformats.org/officeDocument/2006/relationships/hyperlink" Target="http://www.linkedin.com/in/areebasaigal" TargetMode="External"/><Relationship Id="rId213" Type="http://schemas.openxmlformats.org/officeDocument/2006/relationships/hyperlink" Target="https://www.linkedin.com/in/arif-nawaz/" TargetMode="External"/><Relationship Id="rId334" Type="http://schemas.openxmlformats.org/officeDocument/2006/relationships/hyperlink" Target="https://pk.linkedin.com/in/sabdezar-irfan-44a920167" TargetMode="External"/><Relationship Id="rId212" Type="http://schemas.openxmlformats.org/officeDocument/2006/relationships/hyperlink" Target="https://www.linkedin.com/in/samet-semercioglu/" TargetMode="External"/><Relationship Id="rId333" Type="http://schemas.openxmlformats.org/officeDocument/2006/relationships/hyperlink" Target="https://www.linkedin.com/in/ahmad-raza-khokhar/" TargetMode="External"/><Relationship Id="rId211" Type="http://schemas.openxmlformats.org/officeDocument/2006/relationships/hyperlink" Target="https://www.linkedin.com/in/mueed-hassan-350944265?utm_source=share&amp;utm_campaign=share_via&amp;utm_content=profile&amp;utm_medium=android_app" TargetMode="External"/><Relationship Id="rId332" Type="http://schemas.openxmlformats.org/officeDocument/2006/relationships/hyperlink" Target="https://www.linkedin.com/in/rija-zahid-ba61b3233?utm_source=share&amp;utm_campaign=share_via&amp;utm_content=profile&amp;utm_medium=ios_app" TargetMode="External"/><Relationship Id="rId210" Type="http://schemas.openxmlformats.org/officeDocument/2006/relationships/hyperlink" Target="https://www.linkedin.com/in/bilal-iftikhar" TargetMode="External"/><Relationship Id="rId331" Type="http://schemas.openxmlformats.org/officeDocument/2006/relationships/hyperlink" Target="https://www.linkedin.com/in/saqib-rasheed/" TargetMode="External"/><Relationship Id="rId129" Type="http://schemas.openxmlformats.org/officeDocument/2006/relationships/hyperlink" Target="https://www.linkedin.com/in/shaheryar-ehsan/" TargetMode="External"/><Relationship Id="rId128" Type="http://schemas.openxmlformats.org/officeDocument/2006/relationships/hyperlink" Target="https://www.linkedin.com/in/faiez-ahmad-03606a193/" TargetMode="External"/><Relationship Id="rId249" Type="http://schemas.openxmlformats.org/officeDocument/2006/relationships/hyperlink" Target="https://www.linkedin.com/in/warisdgk/" TargetMode="External"/><Relationship Id="rId127" Type="http://schemas.openxmlformats.org/officeDocument/2006/relationships/hyperlink" Target="https://www.linkedin.com/in/talha-rehman-08b507173/" TargetMode="External"/><Relationship Id="rId248" Type="http://schemas.openxmlformats.org/officeDocument/2006/relationships/hyperlink" Target="https://www.linkedin.com/in/faiza-khan-b99155214" TargetMode="External"/><Relationship Id="rId126" Type="http://schemas.openxmlformats.org/officeDocument/2006/relationships/hyperlink" Target="https://www.linkedin.com/in/ahmad-jarrar-0a9342167/" TargetMode="External"/><Relationship Id="rId247" Type="http://schemas.openxmlformats.org/officeDocument/2006/relationships/hyperlink" Target="https://www.linkedin.com/in/azfar-nadeem-568185301/" TargetMode="External"/><Relationship Id="rId121" Type="http://schemas.openxmlformats.org/officeDocument/2006/relationships/hyperlink" Target="https://www.linkedin.com/in/manaar-pervaiz-7081aa1b6/" TargetMode="External"/><Relationship Id="rId242" Type="http://schemas.openxmlformats.org/officeDocument/2006/relationships/hyperlink" Target="https://www.linkedin.com/in/aiman-daud-53506aa2" TargetMode="External"/><Relationship Id="rId120" Type="http://schemas.openxmlformats.org/officeDocument/2006/relationships/hyperlink" Target="https://www.linkedin.com/in/muhammad-qasim-khan-2375a618a/" TargetMode="External"/><Relationship Id="rId241" Type="http://schemas.openxmlformats.org/officeDocument/2006/relationships/hyperlink" Target="http://linkedin.com/in/thisaboor21" TargetMode="External"/><Relationship Id="rId240" Type="http://schemas.openxmlformats.org/officeDocument/2006/relationships/hyperlink" Target="https://www.linkedin.com/in/saifsafsf" TargetMode="External"/><Relationship Id="rId125" Type="http://schemas.openxmlformats.org/officeDocument/2006/relationships/hyperlink" Target="https://www.linkedin.com/in/uzair-khan-7065871b5" TargetMode="External"/><Relationship Id="rId246" Type="http://schemas.openxmlformats.org/officeDocument/2006/relationships/hyperlink" Target="https://www.linkedin.com/in/syed-zeeshan-ali-shah-78913b171/" TargetMode="External"/><Relationship Id="rId124" Type="http://schemas.openxmlformats.org/officeDocument/2006/relationships/hyperlink" Target="https://www.linkedin.com/in/muhammad-umar-b1a87b124/" TargetMode="External"/><Relationship Id="rId245" Type="http://schemas.openxmlformats.org/officeDocument/2006/relationships/hyperlink" Target="http://linkedin.com/in/mariambabarkhan" TargetMode="External"/><Relationship Id="rId123" Type="http://schemas.openxmlformats.org/officeDocument/2006/relationships/hyperlink" Target="https://www.linkedin.com/in/muhammad-mujtaba-b648811a3/" TargetMode="External"/><Relationship Id="rId244" Type="http://schemas.openxmlformats.org/officeDocument/2006/relationships/hyperlink" Target="https://www.linkedin.com/in/hafsa-hassan-330262158/" TargetMode="External"/><Relationship Id="rId122" Type="http://schemas.openxmlformats.org/officeDocument/2006/relationships/hyperlink" Target="https://www.linkedin.com/in/ahtabbasi/" TargetMode="External"/><Relationship Id="rId243" Type="http://schemas.openxmlformats.org/officeDocument/2006/relationships/hyperlink" Target="https://pk.linkedin.com/in/ayesha-nasir-051352249" TargetMode="External"/><Relationship Id="rId95" Type="http://schemas.openxmlformats.org/officeDocument/2006/relationships/hyperlink" Target="https://www.linkedin.com/in/nouman-sial-8988aaa0/" TargetMode="External"/><Relationship Id="rId94" Type="http://schemas.openxmlformats.org/officeDocument/2006/relationships/hyperlink" Target="https://www.linkedin.com/in/owaisasif/" TargetMode="External"/><Relationship Id="rId97" Type="http://schemas.openxmlformats.org/officeDocument/2006/relationships/hyperlink" Target="https://linkedin.com/in/anwaarulislaam" TargetMode="External"/><Relationship Id="rId96" Type="http://schemas.openxmlformats.org/officeDocument/2006/relationships/hyperlink" Target="https://www.linkedin.com/in/hamza-kahn-327640233?utm_source=share&amp;utm_campaign=share_via&amp;utm_content=profile&amp;utm_medium=android_app" TargetMode="External"/><Relationship Id="rId99" Type="http://schemas.openxmlformats.org/officeDocument/2006/relationships/hyperlink" Target="https://www.linkedin.com/in/aqsa-nazir-kiyani-9ba553217/" TargetMode="External"/><Relationship Id="rId98" Type="http://schemas.openxmlformats.org/officeDocument/2006/relationships/hyperlink" Target="https://www.linkedin.com/in/haris-elahi-07/" TargetMode="External"/><Relationship Id="rId91" Type="http://schemas.openxmlformats.org/officeDocument/2006/relationships/hyperlink" Target="https://www.linkedin.com/in/aqib-sher-5705aa307" TargetMode="External"/><Relationship Id="rId90" Type="http://schemas.openxmlformats.org/officeDocument/2006/relationships/hyperlink" Target="https://www.linkedin.com/in/m-salman-afzal/" TargetMode="External"/><Relationship Id="rId93" Type="http://schemas.openxmlformats.org/officeDocument/2006/relationships/hyperlink" Target="https://www.linkedin.com/in/malakhasankhan/" TargetMode="External"/><Relationship Id="rId92" Type="http://schemas.openxmlformats.org/officeDocument/2006/relationships/hyperlink" Target="https://www.linkedin.com/in/ar33ba/" TargetMode="External"/><Relationship Id="rId118" Type="http://schemas.openxmlformats.org/officeDocument/2006/relationships/hyperlink" Target="https://www.linkedin.com/in/atif-afridi-6390524b/" TargetMode="External"/><Relationship Id="rId239" Type="http://schemas.openxmlformats.org/officeDocument/2006/relationships/hyperlink" Target="https://www.linkedin.com/in/immar-karim/" TargetMode="External"/><Relationship Id="rId117" Type="http://schemas.openxmlformats.org/officeDocument/2006/relationships/hyperlink" Target="http://www.linkedin.com/in/sana-imran-" TargetMode="External"/><Relationship Id="rId238" Type="http://schemas.openxmlformats.org/officeDocument/2006/relationships/hyperlink" Target="https://in.linkedin.com/in/yatharthp" TargetMode="External"/><Relationship Id="rId116" Type="http://schemas.openxmlformats.org/officeDocument/2006/relationships/hyperlink" Target="https://www.linkedin.com/in/zainikhlaq" TargetMode="External"/><Relationship Id="rId237" Type="http://schemas.openxmlformats.org/officeDocument/2006/relationships/hyperlink" Target="http://www.linkedin.com/in/ibrahimwattoo" TargetMode="External"/><Relationship Id="rId115" Type="http://schemas.openxmlformats.org/officeDocument/2006/relationships/hyperlink" Target="https://www.linkedin.com/in/taimoor-azhar/" TargetMode="External"/><Relationship Id="rId236" Type="http://schemas.openxmlformats.org/officeDocument/2006/relationships/hyperlink" Target="https://www.linkedin.com/in/ubadah-jafry/" TargetMode="External"/><Relationship Id="rId119" Type="http://schemas.openxmlformats.org/officeDocument/2006/relationships/hyperlink" Target="https://www.linkedin.com/in/nouman-shah-0a0725b6/" TargetMode="External"/><Relationship Id="rId110" Type="http://schemas.openxmlformats.org/officeDocument/2006/relationships/hyperlink" Target="http://linkedin.com/in/tahahassan7" TargetMode="External"/><Relationship Id="rId231" Type="http://schemas.openxmlformats.org/officeDocument/2006/relationships/hyperlink" Target="http://www.linkedin.com/in/eemankiyani" TargetMode="External"/><Relationship Id="rId352" Type="http://schemas.openxmlformats.org/officeDocument/2006/relationships/hyperlink" Target="https://www.linkedin.com/in/syed-wasi-8452a71aa/" TargetMode="External"/><Relationship Id="rId230" Type="http://schemas.openxmlformats.org/officeDocument/2006/relationships/hyperlink" Target="https://www.linkedin.com/in/salmankhalid66/" TargetMode="External"/><Relationship Id="rId351" Type="http://schemas.openxmlformats.org/officeDocument/2006/relationships/hyperlink" Target="https://www.linkedin.com/in/khayyam-zaheer/" TargetMode="External"/><Relationship Id="rId350" Type="http://schemas.openxmlformats.org/officeDocument/2006/relationships/hyperlink" Target="https://www.linkedin.com/in/asim-baig-b265095a" TargetMode="External"/><Relationship Id="rId114" Type="http://schemas.openxmlformats.org/officeDocument/2006/relationships/hyperlink" Target="https://www.linkedin.com/in/itsalyabid/" TargetMode="External"/><Relationship Id="rId235" Type="http://schemas.openxmlformats.org/officeDocument/2006/relationships/hyperlink" Target="https://www.linkedin.com/in/hamza-iftikhar-2a4755b0/" TargetMode="External"/><Relationship Id="rId113" Type="http://schemas.openxmlformats.org/officeDocument/2006/relationships/hyperlink" Target="https://www.linkedin.com/in/shahzamil/" TargetMode="External"/><Relationship Id="rId234" Type="http://schemas.openxmlformats.org/officeDocument/2006/relationships/hyperlink" Target="https://www.linkedin.com/in/arwah-jawwad" TargetMode="External"/><Relationship Id="rId355" Type="http://schemas.openxmlformats.org/officeDocument/2006/relationships/drawing" Target="../drawings/drawing40.xml"/><Relationship Id="rId112" Type="http://schemas.openxmlformats.org/officeDocument/2006/relationships/hyperlink" Target="http://www.linkedin.com/in/osamathedesigner" TargetMode="External"/><Relationship Id="rId233" Type="http://schemas.openxmlformats.org/officeDocument/2006/relationships/hyperlink" Target="https://www.linkedin.com/in/abrehan" TargetMode="External"/><Relationship Id="rId354" Type="http://schemas.openxmlformats.org/officeDocument/2006/relationships/hyperlink" Target="https://www.linkedin.com/in/mobeen-irshad-0a35aa265?utm_source=share&amp;utm_campaign=share_via&amp;utm_content=profile&amp;utm_medium=android_app" TargetMode="External"/><Relationship Id="rId111" Type="http://schemas.openxmlformats.org/officeDocument/2006/relationships/hyperlink" Target="https://www.linkedin.com/in/yusra-shafquat-314a27200?utm_source=share&amp;utm_campaign=share_via&amp;utm_content=profile&amp;utm_medium=ios_app" TargetMode="External"/><Relationship Id="rId232" Type="http://schemas.openxmlformats.org/officeDocument/2006/relationships/hyperlink" Target="http://www.linkedin.com/in/jalees-mukarram" TargetMode="External"/><Relationship Id="rId353" Type="http://schemas.openxmlformats.org/officeDocument/2006/relationships/hyperlink" Target="https://www.linkedin.com/in/zainwasem/" TargetMode="External"/><Relationship Id="rId305" Type="http://schemas.openxmlformats.org/officeDocument/2006/relationships/hyperlink" Target="https://www.linkedin.com/in/haseeb-ghaffar-a3417021a/" TargetMode="External"/><Relationship Id="rId304" Type="http://schemas.openxmlformats.org/officeDocument/2006/relationships/hyperlink" Target="https://www.linkedin.com/in/abdulnafae/" TargetMode="External"/><Relationship Id="rId303" Type="http://schemas.openxmlformats.org/officeDocument/2006/relationships/hyperlink" Target="https://linkedin.com/in/tahamukhtar20" TargetMode="External"/><Relationship Id="rId302" Type="http://schemas.openxmlformats.org/officeDocument/2006/relationships/hyperlink" Target="https://www.linkedin.com/in/syed-hamza-ali-63ba31275/7" TargetMode="External"/><Relationship Id="rId309" Type="http://schemas.openxmlformats.org/officeDocument/2006/relationships/hyperlink" Target="https://www.linkedin.com/in/muhammadaqibawan/" TargetMode="External"/><Relationship Id="rId308" Type="http://schemas.openxmlformats.org/officeDocument/2006/relationships/hyperlink" Target="https://www.linkedin.com/in/%E5%B1%B9-%E9%99%88-310747323/" TargetMode="External"/><Relationship Id="rId307" Type="http://schemas.openxmlformats.org/officeDocument/2006/relationships/hyperlink" Target="https://www.linkedin.com/in/mharis-kh/" TargetMode="External"/><Relationship Id="rId306" Type="http://schemas.openxmlformats.org/officeDocument/2006/relationships/hyperlink" Target="https://www.linkedin.com/in/hashim-saleem-215576211" TargetMode="External"/><Relationship Id="rId301" Type="http://schemas.openxmlformats.org/officeDocument/2006/relationships/hyperlink" Target="https://www.linkedin.com/in/charlotte-norman/" TargetMode="External"/><Relationship Id="rId300" Type="http://schemas.openxmlformats.org/officeDocument/2006/relationships/hyperlink" Target="https://linkedin.com/in/javokhirakramjonov" TargetMode="External"/><Relationship Id="rId206" Type="http://schemas.openxmlformats.org/officeDocument/2006/relationships/hyperlink" Target="https://www.linkedin.com/in/muhammad-hamza-253257279" TargetMode="External"/><Relationship Id="rId327" Type="http://schemas.openxmlformats.org/officeDocument/2006/relationships/hyperlink" Target="https://www.linkedin.com/in/muhammad-wajahat-b2b342211/" TargetMode="External"/><Relationship Id="rId205" Type="http://schemas.openxmlformats.org/officeDocument/2006/relationships/hyperlink" Target="https://www.linkedin.com/in/muhammadabdullahaziz98/" TargetMode="External"/><Relationship Id="rId326" Type="http://schemas.openxmlformats.org/officeDocument/2006/relationships/hyperlink" Target="https://www.linkedin.com/in/sukainaali6" TargetMode="External"/><Relationship Id="rId204" Type="http://schemas.openxmlformats.org/officeDocument/2006/relationships/hyperlink" Target="https://www.linkedin.com/mwlite/in/muaaz-arshad-00696710b" TargetMode="External"/><Relationship Id="rId325" Type="http://schemas.openxmlformats.org/officeDocument/2006/relationships/hyperlink" Target="https://www.linkedin.com/in/zeeshan-afzal-180/" TargetMode="External"/><Relationship Id="rId203" Type="http://schemas.openxmlformats.org/officeDocument/2006/relationships/hyperlink" Target="https://pk.linkedin.com/in/usair-rana-41904b171" TargetMode="External"/><Relationship Id="rId324" Type="http://schemas.openxmlformats.org/officeDocument/2006/relationships/hyperlink" Target="http://www.linkedin.com/in/cristina-ardelean" TargetMode="External"/><Relationship Id="rId209" Type="http://schemas.openxmlformats.org/officeDocument/2006/relationships/hyperlink" Target="http://linkedin.com/in/maria-aftab-91541b16b" TargetMode="External"/><Relationship Id="rId208" Type="http://schemas.openxmlformats.org/officeDocument/2006/relationships/hyperlink" Target="https://pk.linkedin.com/in/muhammadnabeelasif" TargetMode="External"/><Relationship Id="rId329" Type="http://schemas.openxmlformats.org/officeDocument/2006/relationships/hyperlink" Target="http://www.linkedin.com/in/mehreen-zehra-jafri-056a8a13a" TargetMode="External"/><Relationship Id="rId207" Type="http://schemas.openxmlformats.org/officeDocument/2006/relationships/hyperlink" Target="http://www.linkedin.com/in/altamashshaban/" TargetMode="External"/><Relationship Id="rId328" Type="http://schemas.openxmlformats.org/officeDocument/2006/relationships/hyperlink" Target="https://www.linkedin.com/in/bisma-pervaiz/" TargetMode="External"/><Relationship Id="rId202" Type="http://schemas.openxmlformats.org/officeDocument/2006/relationships/hyperlink" Target="https://www.linkedin.com/in/momal-ijaz/" TargetMode="External"/><Relationship Id="rId323" Type="http://schemas.openxmlformats.org/officeDocument/2006/relationships/hyperlink" Target="https://www.linkedin.com/in/kashif-mehmood-km/" TargetMode="External"/><Relationship Id="rId201" Type="http://schemas.openxmlformats.org/officeDocument/2006/relationships/hyperlink" Target="https://pk.linkedin.com/in/zeeshan-afzal-180" TargetMode="External"/><Relationship Id="rId322" Type="http://schemas.openxmlformats.org/officeDocument/2006/relationships/hyperlink" Target="https://www.linkedin.com/in/abdur-rehman-shahid-570b74201" TargetMode="External"/><Relationship Id="rId200" Type="http://schemas.openxmlformats.org/officeDocument/2006/relationships/hyperlink" Target="https://www.linkedin.com/in/sameet-asadullah-055004215/" TargetMode="External"/><Relationship Id="rId321" Type="http://schemas.openxmlformats.org/officeDocument/2006/relationships/hyperlink" Target="https://www.linkedin.com/in/muhammad-shahmir-0a4602221" TargetMode="External"/><Relationship Id="rId320" Type="http://schemas.openxmlformats.org/officeDocument/2006/relationships/hyperlink" Target="https://www.linkedin.com/in/humairaamjad" TargetMode="External"/><Relationship Id="rId316" Type="http://schemas.openxmlformats.org/officeDocument/2006/relationships/hyperlink" Target="https://www.linkedin.com/in/syed-anas-kamal/" TargetMode="External"/><Relationship Id="rId315" Type="http://schemas.openxmlformats.org/officeDocument/2006/relationships/hyperlink" Target="https://www.linkedin.com/in/umerkay" TargetMode="External"/><Relationship Id="rId314" Type="http://schemas.openxmlformats.org/officeDocument/2006/relationships/hyperlink" Target="https://www.linkedin.com/in/muhammadobaidullah38/" TargetMode="External"/><Relationship Id="rId313" Type="http://schemas.openxmlformats.org/officeDocument/2006/relationships/hyperlink" Target="https://www.linkedin.com/in/ayeshatahirxd/" TargetMode="External"/><Relationship Id="rId319" Type="http://schemas.openxmlformats.org/officeDocument/2006/relationships/hyperlink" Target="https://www.linkedin.com/in/farzam-habib-khan-056a911a2" TargetMode="External"/><Relationship Id="rId318" Type="http://schemas.openxmlformats.org/officeDocument/2006/relationships/hyperlink" Target="https://www.linkedin.com/in/lameeszafar" TargetMode="External"/><Relationship Id="rId317" Type="http://schemas.openxmlformats.org/officeDocument/2006/relationships/hyperlink" Target="https://www.linkedin.com/in/dur-e-kashaf-aa4857210?utm_source=share&amp;utm_campaign=share_via&amp;utm_content=profile&amp;utm_medium=android_app" TargetMode="External"/><Relationship Id="rId312" Type="http://schemas.openxmlformats.org/officeDocument/2006/relationships/hyperlink" Target="https://www.linkedin.com/in/muneeb-ur-rehman-bbab45242?utm_source=share&amp;utm_campaign=share_via&amp;utm_content=profile&amp;utm_medium=android_app" TargetMode="External"/><Relationship Id="rId311" Type="http://schemas.openxmlformats.org/officeDocument/2006/relationships/hyperlink" Target="https://www.linkedin.com/in/umaira-jabeen-0a2337aa/" TargetMode="External"/><Relationship Id="rId310" Type="http://schemas.openxmlformats.org/officeDocument/2006/relationships/hyperlink" Target="https://www.linkedin.com/in/ikras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4" max="4" width="25.75"/>
    <col customWidth="1" min="11" max="11" width="20.25"/>
    <col customWidth="1" min="14" max="14" width="7.88"/>
    <col customWidth="1" min="15" max="15" width="18.88"/>
  </cols>
  <sheetData>
    <row r="1">
      <c r="A1" s="1" t="s">
        <v>0</v>
      </c>
      <c r="B1" s="1" t="s">
        <v>1</v>
      </c>
      <c r="C1" s="1" t="s">
        <v>2</v>
      </c>
      <c r="D1" s="1" t="s">
        <v>3</v>
      </c>
      <c r="E1" s="1" t="s">
        <v>4</v>
      </c>
      <c r="F1" s="2" t="s">
        <v>5</v>
      </c>
      <c r="G1" s="1" t="s">
        <v>6</v>
      </c>
      <c r="H1" s="1" t="s">
        <v>7</v>
      </c>
      <c r="I1" s="2" t="s">
        <v>8</v>
      </c>
      <c r="J1" s="2" t="s">
        <v>9</v>
      </c>
      <c r="K1" s="3" t="s">
        <v>10</v>
      </c>
      <c r="L1" s="3" t="s">
        <v>11</v>
      </c>
      <c r="M1" s="3" t="s">
        <v>12</v>
      </c>
      <c r="N1" s="3" t="s">
        <v>13</v>
      </c>
      <c r="O1" s="3" t="s">
        <v>14</v>
      </c>
      <c r="P1" s="3" t="s">
        <v>15</v>
      </c>
    </row>
    <row r="2">
      <c r="A2" s="4" t="s">
        <v>16</v>
      </c>
      <c r="B2" s="4">
        <v>4320.0</v>
      </c>
      <c r="C2" s="4" t="s">
        <v>17</v>
      </c>
      <c r="D2" s="4" t="s">
        <v>18</v>
      </c>
      <c r="E2" s="5" t="s">
        <v>19</v>
      </c>
      <c r="F2" s="4" t="s">
        <v>20</v>
      </c>
      <c r="G2" s="6"/>
      <c r="H2" s="5">
        <v>32933.0</v>
      </c>
      <c r="I2" s="5">
        <v>45166.0</v>
      </c>
      <c r="J2" s="5"/>
      <c r="K2" s="7">
        <f t="shared" ref="K2:K39" si="1">MAX(0, MIN(M2, J2) - MAX(L2, I2) + 1)</f>
        <v>31</v>
      </c>
      <c r="L2" s="8">
        <v>45200.0</v>
      </c>
      <c r="M2" s="8">
        <v>45230.0</v>
      </c>
      <c r="N2" s="9">
        <f t="shared" ref="N2:N72" si="2">ROUNDUP(K2/31*320,0)</f>
        <v>320</v>
      </c>
      <c r="O2" s="9">
        <f t="shared" ref="O2:O72" si="3">N2*5</f>
        <v>1600</v>
      </c>
      <c r="P2" s="9">
        <f t="shared" ref="P2:P72" si="4">N2+O2</f>
        <v>1920</v>
      </c>
    </row>
    <row r="3">
      <c r="A3" s="10" t="s">
        <v>16</v>
      </c>
      <c r="B3" s="10">
        <v>4320.0</v>
      </c>
      <c r="C3" s="10" t="s">
        <v>17</v>
      </c>
      <c r="D3" s="11" t="s">
        <v>21</v>
      </c>
      <c r="E3" s="12" t="s">
        <v>22</v>
      </c>
      <c r="F3" s="11" t="s">
        <v>23</v>
      </c>
      <c r="G3" s="13"/>
      <c r="H3" s="12">
        <v>36358.0</v>
      </c>
      <c r="I3" s="12">
        <v>45027.0</v>
      </c>
      <c r="J3" s="13"/>
      <c r="K3" s="7">
        <f t="shared" si="1"/>
        <v>31</v>
      </c>
      <c r="L3" s="8">
        <v>45200.0</v>
      </c>
      <c r="M3" s="8">
        <v>45230.0</v>
      </c>
      <c r="N3" s="9">
        <f t="shared" si="2"/>
        <v>320</v>
      </c>
      <c r="O3" s="9">
        <f t="shared" si="3"/>
        <v>1600</v>
      </c>
      <c r="P3" s="9">
        <f t="shared" si="4"/>
        <v>1920</v>
      </c>
    </row>
    <row r="4">
      <c r="A4" s="11" t="s">
        <v>16</v>
      </c>
      <c r="B4" s="11">
        <v>4320.0</v>
      </c>
      <c r="C4" s="11" t="s">
        <v>17</v>
      </c>
      <c r="D4" s="10" t="s">
        <v>24</v>
      </c>
      <c r="E4" s="14" t="s">
        <v>25</v>
      </c>
      <c r="F4" s="10" t="s">
        <v>26</v>
      </c>
      <c r="G4" s="15"/>
      <c r="H4" s="14">
        <v>36860.0</v>
      </c>
      <c r="I4" s="14">
        <v>45124.0</v>
      </c>
      <c r="J4" s="15"/>
      <c r="K4" s="16">
        <f t="shared" si="1"/>
        <v>31</v>
      </c>
      <c r="L4" s="17">
        <v>45200.0</v>
      </c>
      <c r="M4" s="17">
        <v>45230.0</v>
      </c>
      <c r="N4" s="18">
        <f t="shared" si="2"/>
        <v>320</v>
      </c>
      <c r="O4" s="18">
        <f t="shared" si="3"/>
        <v>1600</v>
      </c>
      <c r="P4" s="18">
        <f t="shared" si="4"/>
        <v>1920</v>
      </c>
    </row>
    <row r="5">
      <c r="A5" s="10" t="s">
        <v>16</v>
      </c>
      <c r="B5" s="10">
        <v>4320.0</v>
      </c>
      <c r="C5" s="10" t="s">
        <v>17</v>
      </c>
      <c r="D5" s="11" t="s">
        <v>27</v>
      </c>
      <c r="E5" s="12" t="s">
        <v>28</v>
      </c>
      <c r="F5" s="11" t="s">
        <v>29</v>
      </c>
      <c r="G5" s="13"/>
      <c r="H5" s="12">
        <v>36257.0</v>
      </c>
      <c r="I5" s="12">
        <v>45019.0</v>
      </c>
      <c r="J5" s="12"/>
      <c r="K5" s="7">
        <f t="shared" si="1"/>
        <v>31</v>
      </c>
      <c r="L5" s="8">
        <v>45200.0</v>
      </c>
      <c r="M5" s="8">
        <v>45230.0</v>
      </c>
      <c r="N5" s="9">
        <f t="shared" si="2"/>
        <v>320</v>
      </c>
      <c r="O5" s="9">
        <f t="shared" si="3"/>
        <v>1600</v>
      </c>
      <c r="P5" s="9">
        <f t="shared" si="4"/>
        <v>1920</v>
      </c>
    </row>
    <row r="6">
      <c r="A6" s="10" t="s">
        <v>16</v>
      </c>
      <c r="B6" s="10">
        <v>4320.0</v>
      </c>
      <c r="C6" s="10" t="s">
        <v>17</v>
      </c>
      <c r="D6" s="11" t="s">
        <v>30</v>
      </c>
      <c r="E6" s="12" t="s">
        <v>31</v>
      </c>
      <c r="F6" s="11" t="s">
        <v>32</v>
      </c>
      <c r="G6" s="13"/>
      <c r="H6" s="12">
        <v>35997.0</v>
      </c>
      <c r="I6" s="12">
        <v>45061.0</v>
      </c>
      <c r="J6" s="13"/>
      <c r="K6" s="7">
        <f t="shared" si="1"/>
        <v>31</v>
      </c>
      <c r="L6" s="8">
        <v>45200.0</v>
      </c>
      <c r="M6" s="8">
        <v>45230.0</v>
      </c>
      <c r="N6" s="9">
        <f t="shared" si="2"/>
        <v>320</v>
      </c>
      <c r="O6" s="9">
        <f t="shared" si="3"/>
        <v>1600</v>
      </c>
      <c r="P6" s="9">
        <f t="shared" si="4"/>
        <v>1920</v>
      </c>
    </row>
    <row r="7">
      <c r="A7" s="11" t="s">
        <v>16</v>
      </c>
      <c r="B7" s="11">
        <v>4320.0</v>
      </c>
      <c r="C7" s="11" t="s">
        <v>17</v>
      </c>
      <c r="D7" s="11" t="s">
        <v>33</v>
      </c>
      <c r="E7" s="12" t="s">
        <v>34</v>
      </c>
      <c r="F7" s="11" t="s">
        <v>35</v>
      </c>
      <c r="G7" s="13"/>
      <c r="H7" s="12">
        <v>35053.0</v>
      </c>
      <c r="I7" s="12">
        <v>45173.0</v>
      </c>
      <c r="J7" s="12"/>
      <c r="K7" s="7">
        <f t="shared" si="1"/>
        <v>31</v>
      </c>
      <c r="L7" s="8">
        <v>45200.0</v>
      </c>
      <c r="M7" s="8">
        <v>45230.0</v>
      </c>
      <c r="N7" s="9">
        <f t="shared" si="2"/>
        <v>320</v>
      </c>
      <c r="O7" s="9">
        <f t="shared" si="3"/>
        <v>1600</v>
      </c>
      <c r="P7" s="9">
        <f t="shared" si="4"/>
        <v>1920</v>
      </c>
    </row>
    <row r="8">
      <c r="A8" s="10" t="s">
        <v>16</v>
      </c>
      <c r="B8" s="10">
        <v>4320.0</v>
      </c>
      <c r="C8" s="10" t="s">
        <v>17</v>
      </c>
      <c r="D8" s="11" t="s">
        <v>36</v>
      </c>
      <c r="E8" s="12" t="s">
        <v>37</v>
      </c>
      <c r="F8" s="11" t="s">
        <v>38</v>
      </c>
      <c r="G8" s="13"/>
      <c r="H8" s="12">
        <v>33408.0</v>
      </c>
      <c r="I8" s="12">
        <v>45078.0</v>
      </c>
      <c r="J8" s="12"/>
      <c r="K8" s="7">
        <f t="shared" si="1"/>
        <v>31</v>
      </c>
      <c r="L8" s="8">
        <v>45200.0</v>
      </c>
      <c r="M8" s="8">
        <v>45230.0</v>
      </c>
      <c r="N8" s="9">
        <f t="shared" si="2"/>
        <v>320</v>
      </c>
      <c r="O8" s="9">
        <f t="shared" si="3"/>
        <v>1600</v>
      </c>
      <c r="P8" s="9">
        <f t="shared" si="4"/>
        <v>1920</v>
      </c>
    </row>
    <row r="9">
      <c r="A9" s="10" t="s">
        <v>16</v>
      </c>
      <c r="B9" s="10">
        <v>4320.0</v>
      </c>
      <c r="C9" s="10" t="s">
        <v>17</v>
      </c>
      <c r="D9" s="11" t="s">
        <v>39</v>
      </c>
      <c r="E9" s="12" t="s">
        <v>40</v>
      </c>
      <c r="F9" s="11" t="s">
        <v>41</v>
      </c>
      <c r="G9" s="13"/>
      <c r="H9" s="12">
        <v>35983.0</v>
      </c>
      <c r="I9" s="12">
        <v>45082.0</v>
      </c>
      <c r="J9" s="12"/>
      <c r="K9" s="7">
        <f t="shared" si="1"/>
        <v>31</v>
      </c>
      <c r="L9" s="8">
        <v>45200.0</v>
      </c>
      <c r="M9" s="8">
        <v>45230.0</v>
      </c>
      <c r="N9" s="9">
        <f t="shared" si="2"/>
        <v>320</v>
      </c>
      <c r="O9" s="9">
        <f t="shared" si="3"/>
        <v>1600</v>
      </c>
      <c r="P9" s="9">
        <f t="shared" si="4"/>
        <v>1920</v>
      </c>
    </row>
    <row r="10">
      <c r="A10" s="10" t="s">
        <v>16</v>
      </c>
      <c r="B10" s="10">
        <v>4320.0</v>
      </c>
      <c r="C10" s="10" t="s">
        <v>17</v>
      </c>
      <c r="D10" s="10" t="s">
        <v>42</v>
      </c>
      <c r="E10" s="14" t="s">
        <v>43</v>
      </c>
      <c r="F10" s="10" t="s">
        <v>44</v>
      </c>
      <c r="G10" s="15"/>
      <c r="H10" s="14">
        <v>34684.0</v>
      </c>
      <c r="I10" s="14">
        <v>44958.0</v>
      </c>
      <c r="J10" s="14"/>
      <c r="K10" s="7">
        <f t="shared" si="1"/>
        <v>31</v>
      </c>
      <c r="L10" s="8">
        <v>45200.0</v>
      </c>
      <c r="M10" s="8">
        <v>45230.0</v>
      </c>
      <c r="N10" s="9">
        <f t="shared" si="2"/>
        <v>320</v>
      </c>
      <c r="O10" s="9">
        <f t="shared" si="3"/>
        <v>1600</v>
      </c>
      <c r="P10" s="9">
        <f t="shared" si="4"/>
        <v>1920</v>
      </c>
    </row>
    <row r="11">
      <c r="A11" s="10" t="s">
        <v>16</v>
      </c>
      <c r="B11" s="10">
        <v>4320.0</v>
      </c>
      <c r="C11" s="10" t="s">
        <v>17</v>
      </c>
      <c r="D11" s="11" t="s">
        <v>45</v>
      </c>
      <c r="E11" s="12" t="s">
        <v>46</v>
      </c>
      <c r="F11" s="11" t="s">
        <v>47</v>
      </c>
      <c r="G11" s="13"/>
      <c r="H11" s="12">
        <v>37370.0</v>
      </c>
      <c r="I11" s="12">
        <v>44739.0</v>
      </c>
      <c r="J11" s="13"/>
      <c r="K11" s="7">
        <f t="shared" si="1"/>
        <v>31</v>
      </c>
      <c r="L11" s="8">
        <v>45200.0</v>
      </c>
      <c r="M11" s="8">
        <v>45230.0</v>
      </c>
      <c r="N11" s="9">
        <f t="shared" si="2"/>
        <v>320</v>
      </c>
      <c r="O11" s="9">
        <f t="shared" si="3"/>
        <v>1600</v>
      </c>
      <c r="P11" s="9">
        <f t="shared" si="4"/>
        <v>1920</v>
      </c>
    </row>
    <row r="12">
      <c r="A12" s="11" t="s">
        <v>16</v>
      </c>
      <c r="B12" s="11">
        <v>4320.0</v>
      </c>
      <c r="C12" s="11" t="s">
        <v>17</v>
      </c>
      <c r="D12" s="11" t="s">
        <v>48</v>
      </c>
      <c r="E12" s="12" t="s">
        <v>49</v>
      </c>
      <c r="F12" s="11" t="s">
        <v>50</v>
      </c>
      <c r="G12" s="13"/>
      <c r="H12" s="12">
        <v>36399.0</v>
      </c>
      <c r="I12" s="12">
        <v>45229.0</v>
      </c>
      <c r="J12" s="13"/>
      <c r="K12" s="7">
        <f t="shared" si="1"/>
        <v>2</v>
      </c>
      <c r="L12" s="8">
        <v>45200.0</v>
      </c>
      <c r="M12" s="8">
        <v>45230.0</v>
      </c>
      <c r="N12" s="9">
        <f t="shared" si="2"/>
        <v>21</v>
      </c>
      <c r="O12" s="9">
        <f t="shared" si="3"/>
        <v>105</v>
      </c>
      <c r="P12" s="9">
        <f t="shared" si="4"/>
        <v>126</v>
      </c>
    </row>
    <row r="13">
      <c r="A13" s="11" t="s">
        <v>16</v>
      </c>
      <c r="B13" s="11">
        <v>4320.0</v>
      </c>
      <c r="C13" s="11" t="s">
        <v>17</v>
      </c>
      <c r="D13" s="10" t="s">
        <v>51</v>
      </c>
      <c r="E13" s="14" t="s">
        <v>52</v>
      </c>
      <c r="F13" s="10" t="s">
        <v>53</v>
      </c>
      <c r="G13" s="15"/>
      <c r="H13" s="14">
        <v>34601.0</v>
      </c>
      <c r="I13" s="14">
        <v>44986.0</v>
      </c>
      <c r="J13" s="15"/>
      <c r="K13" s="7">
        <f t="shared" si="1"/>
        <v>31</v>
      </c>
      <c r="L13" s="8">
        <v>45200.0</v>
      </c>
      <c r="M13" s="8">
        <v>45230.0</v>
      </c>
      <c r="N13" s="9">
        <f t="shared" si="2"/>
        <v>320</v>
      </c>
      <c r="O13" s="9">
        <f t="shared" si="3"/>
        <v>1600</v>
      </c>
      <c r="P13" s="9">
        <f t="shared" si="4"/>
        <v>1920</v>
      </c>
    </row>
    <row r="14">
      <c r="A14" s="10" t="s">
        <v>16</v>
      </c>
      <c r="B14" s="10">
        <v>4320.0</v>
      </c>
      <c r="C14" s="10" t="s">
        <v>17</v>
      </c>
      <c r="D14" s="11" t="s">
        <v>54</v>
      </c>
      <c r="E14" s="12" t="s">
        <v>55</v>
      </c>
      <c r="F14" s="11" t="s">
        <v>56</v>
      </c>
      <c r="G14" s="13"/>
      <c r="H14" s="12">
        <v>37244.0</v>
      </c>
      <c r="I14" s="12">
        <v>45173.0</v>
      </c>
      <c r="J14" s="12"/>
      <c r="K14" s="7">
        <f t="shared" si="1"/>
        <v>31</v>
      </c>
      <c r="L14" s="8">
        <v>45200.0</v>
      </c>
      <c r="M14" s="8">
        <v>45230.0</v>
      </c>
      <c r="N14" s="9">
        <f t="shared" si="2"/>
        <v>320</v>
      </c>
      <c r="O14" s="9">
        <f t="shared" si="3"/>
        <v>1600</v>
      </c>
      <c r="P14" s="9">
        <f t="shared" si="4"/>
        <v>1920</v>
      </c>
    </row>
    <row r="15">
      <c r="A15" s="11" t="s">
        <v>16</v>
      </c>
      <c r="B15" s="11">
        <v>4320.0</v>
      </c>
      <c r="C15" s="11" t="s">
        <v>17</v>
      </c>
      <c r="D15" s="10" t="s">
        <v>57</v>
      </c>
      <c r="E15" s="14" t="s">
        <v>58</v>
      </c>
      <c r="F15" s="10" t="s">
        <v>59</v>
      </c>
      <c r="G15" s="15"/>
      <c r="H15" s="14">
        <v>35704.0</v>
      </c>
      <c r="I15" s="14">
        <v>44760.0</v>
      </c>
      <c r="J15" s="15"/>
      <c r="K15" s="7">
        <f t="shared" si="1"/>
        <v>31</v>
      </c>
      <c r="L15" s="8">
        <v>45200.0</v>
      </c>
      <c r="M15" s="8">
        <v>45230.0</v>
      </c>
      <c r="N15" s="9">
        <f t="shared" si="2"/>
        <v>320</v>
      </c>
      <c r="O15" s="9">
        <f t="shared" si="3"/>
        <v>1600</v>
      </c>
      <c r="P15" s="9">
        <f t="shared" si="4"/>
        <v>1920</v>
      </c>
    </row>
    <row r="16">
      <c r="A16" s="10" t="s">
        <v>16</v>
      </c>
      <c r="B16" s="10">
        <v>4320.0</v>
      </c>
      <c r="C16" s="10" t="s">
        <v>17</v>
      </c>
      <c r="D16" s="11" t="s">
        <v>60</v>
      </c>
      <c r="E16" s="12" t="s">
        <v>61</v>
      </c>
      <c r="F16" s="11" t="s">
        <v>62</v>
      </c>
      <c r="G16" s="13"/>
      <c r="H16" s="12">
        <v>36246.0</v>
      </c>
      <c r="I16" s="12">
        <v>44851.0</v>
      </c>
      <c r="J16" s="13"/>
      <c r="K16" s="7">
        <f t="shared" si="1"/>
        <v>31</v>
      </c>
      <c r="L16" s="8">
        <v>45200.0</v>
      </c>
      <c r="M16" s="8">
        <v>45230.0</v>
      </c>
      <c r="N16" s="9">
        <f t="shared" si="2"/>
        <v>320</v>
      </c>
      <c r="O16" s="9">
        <f t="shared" si="3"/>
        <v>1600</v>
      </c>
      <c r="P16" s="9">
        <f t="shared" si="4"/>
        <v>1920</v>
      </c>
    </row>
    <row r="17">
      <c r="A17" s="11" t="s">
        <v>16</v>
      </c>
      <c r="B17" s="11">
        <v>4320.0</v>
      </c>
      <c r="C17" s="11" t="s">
        <v>17</v>
      </c>
      <c r="D17" s="10" t="s">
        <v>63</v>
      </c>
      <c r="E17" s="14" t="s">
        <v>64</v>
      </c>
      <c r="F17" s="10" t="s">
        <v>65</v>
      </c>
      <c r="G17" s="15"/>
      <c r="H17" s="14">
        <v>35606.0</v>
      </c>
      <c r="I17" s="14">
        <v>44896.0</v>
      </c>
      <c r="J17" s="15"/>
      <c r="K17" s="7">
        <f t="shared" si="1"/>
        <v>31</v>
      </c>
      <c r="L17" s="8">
        <v>45200.0</v>
      </c>
      <c r="M17" s="8">
        <v>45230.0</v>
      </c>
      <c r="N17" s="9">
        <f t="shared" si="2"/>
        <v>320</v>
      </c>
      <c r="O17" s="9">
        <f t="shared" si="3"/>
        <v>1600</v>
      </c>
      <c r="P17" s="9">
        <f t="shared" si="4"/>
        <v>1920</v>
      </c>
    </row>
    <row r="18">
      <c r="A18" s="10" t="s">
        <v>16</v>
      </c>
      <c r="B18" s="10">
        <v>4320.0</v>
      </c>
      <c r="C18" s="10" t="s">
        <v>17</v>
      </c>
      <c r="D18" s="11" t="s">
        <v>66</v>
      </c>
      <c r="E18" s="12" t="s">
        <v>67</v>
      </c>
      <c r="F18" s="11" t="s">
        <v>68</v>
      </c>
      <c r="G18" s="13"/>
      <c r="H18" s="12">
        <v>34973.0</v>
      </c>
      <c r="I18" s="12">
        <v>44986.0</v>
      </c>
      <c r="J18" s="13"/>
      <c r="K18" s="7">
        <f t="shared" si="1"/>
        <v>31</v>
      </c>
      <c r="L18" s="8">
        <v>45200.0</v>
      </c>
      <c r="M18" s="8">
        <v>45230.0</v>
      </c>
      <c r="N18" s="9">
        <f t="shared" si="2"/>
        <v>320</v>
      </c>
      <c r="O18" s="9">
        <f t="shared" si="3"/>
        <v>1600</v>
      </c>
      <c r="P18" s="9">
        <f t="shared" si="4"/>
        <v>1920</v>
      </c>
    </row>
    <row r="19">
      <c r="A19" s="11" t="s">
        <v>16</v>
      </c>
      <c r="B19" s="11">
        <v>4320.0</v>
      </c>
      <c r="C19" s="11" t="s">
        <v>17</v>
      </c>
      <c r="D19" s="10" t="s">
        <v>69</v>
      </c>
      <c r="E19" s="14" t="s">
        <v>70</v>
      </c>
      <c r="F19" s="10" t="s">
        <v>71</v>
      </c>
      <c r="G19" s="15"/>
      <c r="H19" s="14">
        <v>36891.0</v>
      </c>
      <c r="I19" s="14">
        <v>44739.0</v>
      </c>
      <c r="J19" s="15"/>
      <c r="K19" s="7">
        <f t="shared" si="1"/>
        <v>31</v>
      </c>
      <c r="L19" s="8">
        <v>45200.0</v>
      </c>
      <c r="M19" s="8">
        <v>45230.0</v>
      </c>
      <c r="N19" s="9">
        <f t="shared" si="2"/>
        <v>320</v>
      </c>
      <c r="O19" s="9">
        <f t="shared" si="3"/>
        <v>1600</v>
      </c>
      <c r="P19" s="9">
        <f t="shared" si="4"/>
        <v>1920</v>
      </c>
    </row>
    <row r="20">
      <c r="A20" s="11" t="s">
        <v>16</v>
      </c>
      <c r="B20" s="11">
        <v>4320.0</v>
      </c>
      <c r="C20" s="11" t="s">
        <v>17</v>
      </c>
      <c r="D20" s="10" t="s">
        <v>72</v>
      </c>
      <c r="E20" s="14" t="s">
        <v>73</v>
      </c>
      <c r="F20" s="10" t="s">
        <v>74</v>
      </c>
      <c r="G20" s="15"/>
      <c r="H20" s="14">
        <v>37210.0</v>
      </c>
      <c r="I20" s="14">
        <v>44125.0</v>
      </c>
      <c r="J20" s="15"/>
      <c r="K20" s="7">
        <f t="shared" si="1"/>
        <v>31</v>
      </c>
      <c r="L20" s="8">
        <v>45200.0</v>
      </c>
      <c r="M20" s="8">
        <v>45230.0</v>
      </c>
      <c r="N20" s="9">
        <f t="shared" si="2"/>
        <v>320</v>
      </c>
      <c r="O20" s="9">
        <f t="shared" si="3"/>
        <v>1600</v>
      </c>
      <c r="P20" s="9">
        <f t="shared" si="4"/>
        <v>1920</v>
      </c>
    </row>
    <row r="21">
      <c r="A21" s="10" t="s">
        <v>16</v>
      </c>
      <c r="B21" s="10">
        <v>4320.0</v>
      </c>
      <c r="C21" s="10" t="s">
        <v>17</v>
      </c>
      <c r="D21" s="19" t="s">
        <v>75</v>
      </c>
      <c r="E21" s="14" t="s">
        <v>76</v>
      </c>
      <c r="F21" s="10" t="s">
        <v>77</v>
      </c>
      <c r="G21" s="15"/>
      <c r="H21" s="14">
        <v>35483.0</v>
      </c>
      <c r="I21" s="14">
        <v>45043.0</v>
      </c>
      <c r="J21" s="14">
        <v>45230.0</v>
      </c>
      <c r="K21" s="7">
        <f t="shared" si="1"/>
        <v>31</v>
      </c>
      <c r="L21" s="8">
        <v>45200.0</v>
      </c>
      <c r="M21" s="8">
        <v>45230.0</v>
      </c>
      <c r="N21" s="9">
        <f t="shared" si="2"/>
        <v>320</v>
      </c>
      <c r="O21" s="9">
        <f t="shared" si="3"/>
        <v>1600</v>
      </c>
      <c r="P21" s="9">
        <f t="shared" si="4"/>
        <v>1920</v>
      </c>
    </row>
    <row r="22">
      <c r="A22" s="10" t="s">
        <v>16</v>
      </c>
      <c r="B22" s="10">
        <v>4320.0</v>
      </c>
      <c r="C22" s="10" t="s">
        <v>17</v>
      </c>
      <c r="D22" s="11" t="s">
        <v>78</v>
      </c>
      <c r="E22" s="12" t="s">
        <v>79</v>
      </c>
      <c r="F22" s="11" t="s">
        <v>80</v>
      </c>
      <c r="G22" s="13"/>
      <c r="H22" s="12">
        <v>36401.0</v>
      </c>
      <c r="I22" s="12">
        <v>45096.0</v>
      </c>
      <c r="J22" s="13"/>
      <c r="K22" s="7">
        <f t="shared" si="1"/>
        <v>31</v>
      </c>
      <c r="L22" s="8">
        <v>45200.0</v>
      </c>
      <c r="M22" s="8">
        <v>45230.0</v>
      </c>
      <c r="N22" s="9">
        <f t="shared" si="2"/>
        <v>320</v>
      </c>
      <c r="O22" s="9">
        <f t="shared" si="3"/>
        <v>1600</v>
      </c>
      <c r="P22" s="9">
        <f t="shared" si="4"/>
        <v>1920</v>
      </c>
    </row>
    <row r="23">
      <c r="A23" s="11" t="s">
        <v>16</v>
      </c>
      <c r="B23" s="11">
        <v>4320.0</v>
      </c>
      <c r="C23" s="11" t="s">
        <v>17</v>
      </c>
      <c r="D23" s="10" t="s">
        <v>81</v>
      </c>
      <c r="E23" s="14" t="s">
        <v>82</v>
      </c>
      <c r="F23" s="10" t="s">
        <v>83</v>
      </c>
      <c r="G23" s="15"/>
      <c r="H23" s="14">
        <v>36113.0</v>
      </c>
      <c r="I23" s="14">
        <v>44866.0</v>
      </c>
      <c r="J23" s="14"/>
      <c r="K23" s="7">
        <f t="shared" si="1"/>
        <v>31</v>
      </c>
      <c r="L23" s="8">
        <v>45200.0</v>
      </c>
      <c r="M23" s="8">
        <v>45230.0</v>
      </c>
      <c r="N23" s="9">
        <f t="shared" si="2"/>
        <v>320</v>
      </c>
      <c r="O23" s="9">
        <f t="shared" si="3"/>
        <v>1600</v>
      </c>
      <c r="P23" s="9">
        <f t="shared" si="4"/>
        <v>1920</v>
      </c>
    </row>
    <row r="24">
      <c r="A24" s="11" t="s">
        <v>16</v>
      </c>
      <c r="B24" s="11">
        <v>4320.0</v>
      </c>
      <c r="C24" s="11" t="s">
        <v>17</v>
      </c>
      <c r="D24" s="10" t="s">
        <v>84</v>
      </c>
      <c r="E24" s="14" t="s">
        <v>85</v>
      </c>
      <c r="F24" s="10" t="s">
        <v>86</v>
      </c>
      <c r="G24" s="15"/>
      <c r="H24" s="14">
        <v>36318.0</v>
      </c>
      <c r="I24" s="14">
        <v>45139.0</v>
      </c>
      <c r="J24" s="14">
        <v>45224.0</v>
      </c>
      <c r="K24" s="7">
        <f t="shared" si="1"/>
        <v>25</v>
      </c>
      <c r="L24" s="8">
        <v>45200.0</v>
      </c>
      <c r="M24" s="8">
        <v>45230.0</v>
      </c>
      <c r="N24" s="9">
        <f t="shared" si="2"/>
        <v>259</v>
      </c>
      <c r="O24" s="9">
        <f t="shared" si="3"/>
        <v>1295</v>
      </c>
      <c r="P24" s="9">
        <f t="shared" si="4"/>
        <v>1554</v>
      </c>
    </row>
    <row r="25">
      <c r="A25" s="11" t="s">
        <v>16</v>
      </c>
      <c r="B25" s="11">
        <v>4320.0</v>
      </c>
      <c r="C25" s="11" t="s">
        <v>17</v>
      </c>
      <c r="D25" s="10" t="s">
        <v>87</v>
      </c>
      <c r="E25" s="14" t="s">
        <v>88</v>
      </c>
      <c r="F25" s="10" t="s">
        <v>89</v>
      </c>
      <c r="G25" s="15"/>
      <c r="H25" s="14">
        <v>33737.0</v>
      </c>
      <c r="I25" s="14">
        <v>45139.0</v>
      </c>
      <c r="J25" s="15"/>
      <c r="K25" s="7">
        <f t="shared" si="1"/>
        <v>31</v>
      </c>
      <c r="L25" s="8">
        <v>45200.0</v>
      </c>
      <c r="M25" s="8">
        <v>45230.0</v>
      </c>
      <c r="N25" s="9">
        <f t="shared" si="2"/>
        <v>320</v>
      </c>
      <c r="O25" s="9">
        <f t="shared" si="3"/>
        <v>1600</v>
      </c>
      <c r="P25" s="9">
        <f t="shared" si="4"/>
        <v>1920</v>
      </c>
    </row>
    <row r="26">
      <c r="A26" s="10" t="s">
        <v>16</v>
      </c>
      <c r="B26" s="10">
        <v>4320.0</v>
      </c>
      <c r="C26" s="10" t="s">
        <v>17</v>
      </c>
      <c r="D26" s="11" t="s">
        <v>90</v>
      </c>
      <c r="E26" s="12" t="s">
        <v>91</v>
      </c>
      <c r="F26" s="11" t="s">
        <v>92</v>
      </c>
      <c r="G26" s="13"/>
      <c r="H26" s="12">
        <v>33917.0</v>
      </c>
      <c r="I26" s="12">
        <v>45166.0</v>
      </c>
      <c r="J26" s="12"/>
      <c r="K26" s="7">
        <f t="shared" si="1"/>
        <v>31</v>
      </c>
      <c r="L26" s="8">
        <v>45200.0</v>
      </c>
      <c r="M26" s="8">
        <v>45230.0</v>
      </c>
      <c r="N26" s="9">
        <f t="shared" si="2"/>
        <v>320</v>
      </c>
      <c r="O26" s="9">
        <f t="shared" si="3"/>
        <v>1600</v>
      </c>
      <c r="P26" s="9">
        <f t="shared" si="4"/>
        <v>1920</v>
      </c>
    </row>
    <row r="27">
      <c r="A27" s="11" t="s">
        <v>16</v>
      </c>
      <c r="B27" s="11">
        <v>4320.0</v>
      </c>
      <c r="C27" s="11" t="s">
        <v>17</v>
      </c>
      <c r="D27" s="10" t="s">
        <v>93</v>
      </c>
      <c r="E27" s="14" t="s">
        <v>94</v>
      </c>
      <c r="F27" s="20" t="s">
        <v>95</v>
      </c>
      <c r="G27" s="15"/>
      <c r="H27" s="14">
        <v>36502.0</v>
      </c>
      <c r="I27" s="14">
        <v>45098.0</v>
      </c>
      <c r="J27" s="14"/>
      <c r="K27" s="7">
        <f t="shared" si="1"/>
        <v>31</v>
      </c>
      <c r="L27" s="8">
        <v>45200.0</v>
      </c>
      <c r="M27" s="8">
        <v>45230.0</v>
      </c>
      <c r="N27" s="9">
        <f t="shared" si="2"/>
        <v>320</v>
      </c>
      <c r="O27" s="9">
        <f t="shared" si="3"/>
        <v>1600</v>
      </c>
      <c r="P27" s="9">
        <f t="shared" si="4"/>
        <v>1920</v>
      </c>
    </row>
    <row r="28">
      <c r="A28" s="11" t="s">
        <v>16</v>
      </c>
      <c r="B28" s="11">
        <v>4320.0</v>
      </c>
      <c r="C28" s="11" t="s">
        <v>17</v>
      </c>
      <c r="D28" s="10" t="s">
        <v>96</v>
      </c>
      <c r="E28" s="14" t="s">
        <v>97</v>
      </c>
      <c r="F28" s="10" t="s">
        <v>98</v>
      </c>
      <c r="G28" s="15"/>
      <c r="H28" s="14">
        <v>36690.0</v>
      </c>
      <c r="I28" s="14">
        <v>44938.0</v>
      </c>
      <c r="J28" s="15"/>
      <c r="K28" s="7">
        <f t="shared" si="1"/>
        <v>31</v>
      </c>
      <c r="L28" s="8">
        <v>45200.0</v>
      </c>
      <c r="M28" s="8">
        <v>45230.0</v>
      </c>
      <c r="N28" s="9">
        <f t="shared" si="2"/>
        <v>320</v>
      </c>
      <c r="O28" s="9">
        <f t="shared" si="3"/>
        <v>1600</v>
      </c>
      <c r="P28" s="9">
        <f t="shared" si="4"/>
        <v>1920</v>
      </c>
    </row>
    <row r="29">
      <c r="A29" s="10" t="s">
        <v>16</v>
      </c>
      <c r="B29" s="10">
        <v>4320.0</v>
      </c>
      <c r="C29" s="10" t="s">
        <v>17</v>
      </c>
      <c r="D29" s="11" t="s">
        <v>99</v>
      </c>
      <c r="E29" s="12" t="s">
        <v>100</v>
      </c>
      <c r="F29" s="11" t="s">
        <v>101</v>
      </c>
      <c r="G29" s="13"/>
      <c r="H29" s="12">
        <v>37240.0</v>
      </c>
      <c r="I29" s="12">
        <v>45176.0</v>
      </c>
      <c r="J29" s="13"/>
      <c r="K29" s="7">
        <f t="shared" si="1"/>
        <v>31</v>
      </c>
      <c r="L29" s="8">
        <v>45200.0</v>
      </c>
      <c r="M29" s="8">
        <v>45230.0</v>
      </c>
      <c r="N29" s="9">
        <f t="shared" si="2"/>
        <v>320</v>
      </c>
      <c r="O29" s="9">
        <f t="shared" si="3"/>
        <v>1600</v>
      </c>
      <c r="P29" s="9">
        <f t="shared" si="4"/>
        <v>1920</v>
      </c>
    </row>
    <row r="30">
      <c r="A30" s="11" t="s">
        <v>16</v>
      </c>
      <c r="B30" s="11">
        <v>4320.0</v>
      </c>
      <c r="C30" s="11" t="s">
        <v>17</v>
      </c>
      <c r="D30" s="11" t="s">
        <v>102</v>
      </c>
      <c r="E30" s="12" t="s">
        <v>103</v>
      </c>
      <c r="F30" s="11" t="s">
        <v>104</v>
      </c>
      <c r="G30" s="13"/>
      <c r="H30" s="12">
        <v>33240.0</v>
      </c>
      <c r="I30" s="21">
        <v>44290.0</v>
      </c>
      <c r="J30" s="12">
        <v>45230.0</v>
      </c>
      <c r="K30" s="7">
        <f t="shared" si="1"/>
        <v>31</v>
      </c>
      <c r="L30" s="8">
        <v>45200.0</v>
      </c>
      <c r="M30" s="8">
        <v>45230.0</v>
      </c>
      <c r="N30" s="9">
        <f t="shared" si="2"/>
        <v>320</v>
      </c>
      <c r="O30" s="9">
        <f t="shared" si="3"/>
        <v>1600</v>
      </c>
      <c r="P30" s="9">
        <f t="shared" si="4"/>
        <v>1920</v>
      </c>
    </row>
    <row r="31">
      <c r="A31" s="11" t="s">
        <v>16</v>
      </c>
      <c r="B31" s="11">
        <v>4320.0</v>
      </c>
      <c r="C31" s="11" t="s">
        <v>17</v>
      </c>
      <c r="D31" s="10" t="s">
        <v>105</v>
      </c>
      <c r="E31" s="14" t="s">
        <v>106</v>
      </c>
      <c r="F31" s="10" t="s">
        <v>107</v>
      </c>
      <c r="G31" s="15"/>
      <c r="H31" s="14">
        <v>37136.0</v>
      </c>
      <c r="I31" s="14">
        <v>45201.0</v>
      </c>
      <c r="J31" s="14"/>
      <c r="K31" s="7">
        <f t="shared" si="1"/>
        <v>30</v>
      </c>
      <c r="L31" s="8">
        <v>45200.0</v>
      </c>
      <c r="M31" s="8">
        <v>45230.0</v>
      </c>
      <c r="N31" s="9">
        <f t="shared" si="2"/>
        <v>310</v>
      </c>
      <c r="O31" s="9">
        <f t="shared" si="3"/>
        <v>1550</v>
      </c>
      <c r="P31" s="9">
        <f t="shared" si="4"/>
        <v>1860</v>
      </c>
    </row>
    <row r="32">
      <c r="A32" s="10" t="s">
        <v>16</v>
      </c>
      <c r="B32" s="10">
        <v>4320.0</v>
      </c>
      <c r="C32" s="10" t="s">
        <v>17</v>
      </c>
      <c r="D32" s="10" t="s">
        <v>108</v>
      </c>
      <c r="E32" s="14" t="s">
        <v>109</v>
      </c>
      <c r="F32" s="10" t="s">
        <v>110</v>
      </c>
      <c r="G32" s="15"/>
      <c r="H32" s="14">
        <v>35943.0</v>
      </c>
      <c r="I32" s="14">
        <v>45215.0</v>
      </c>
      <c r="J32" s="15"/>
      <c r="K32" s="7">
        <f t="shared" si="1"/>
        <v>16</v>
      </c>
      <c r="L32" s="8">
        <v>45200.0</v>
      </c>
      <c r="M32" s="8">
        <v>45230.0</v>
      </c>
      <c r="N32" s="9">
        <f t="shared" si="2"/>
        <v>166</v>
      </c>
      <c r="O32" s="9">
        <f t="shared" si="3"/>
        <v>830</v>
      </c>
      <c r="P32" s="9">
        <f t="shared" si="4"/>
        <v>996</v>
      </c>
    </row>
    <row r="33">
      <c r="A33" s="22" t="s">
        <v>16</v>
      </c>
      <c r="B33" s="22">
        <v>4320.0</v>
      </c>
      <c r="C33" s="22" t="s">
        <v>17</v>
      </c>
      <c r="D33" s="22" t="s">
        <v>111</v>
      </c>
      <c r="E33" s="23" t="s">
        <v>112</v>
      </c>
      <c r="F33" s="22" t="s">
        <v>113</v>
      </c>
      <c r="G33" s="24"/>
      <c r="H33" s="23">
        <v>36898.0</v>
      </c>
      <c r="I33" s="23">
        <v>44988.0</v>
      </c>
      <c r="J33" s="24"/>
      <c r="K33" s="25">
        <f t="shared" si="1"/>
        <v>31</v>
      </c>
      <c r="L33" s="26">
        <v>45200.0</v>
      </c>
      <c r="M33" s="26">
        <v>45230.0</v>
      </c>
      <c r="N33" s="27">
        <f t="shared" si="2"/>
        <v>320</v>
      </c>
      <c r="O33" s="27">
        <f t="shared" si="3"/>
        <v>1600</v>
      </c>
      <c r="P33" s="27">
        <f t="shared" si="4"/>
        <v>1920</v>
      </c>
    </row>
    <row r="34">
      <c r="A34" s="10" t="s">
        <v>16</v>
      </c>
      <c r="B34" s="10">
        <v>4320.0</v>
      </c>
      <c r="C34" s="10" t="s">
        <v>17</v>
      </c>
      <c r="D34" s="11" t="s">
        <v>114</v>
      </c>
      <c r="E34" s="12" t="s">
        <v>115</v>
      </c>
      <c r="F34" s="11" t="s">
        <v>116</v>
      </c>
      <c r="G34" s="13"/>
      <c r="H34" s="12">
        <v>35159.0</v>
      </c>
      <c r="I34" s="12">
        <v>45078.0</v>
      </c>
      <c r="J34" s="12"/>
      <c r="K34" s="7">
        <f t="shared" si="1"/>
        <v>31</v>
      </c>
      <c r="L34" s="8">
        <v>45200.0</v>
      </c>
      <c r="M34" s="8">
        <v>45230.0</v>
      </c>
      <c r="N34" s="9">
        <f t="shared" si="2"/>
        <v>320</v>
      </c>
      <c r="O34" s="9">
        <f t="shared" si="3"/>
        <v>1600</v>
      </c>
      <c r="P34" s="9">
        <f t="shared" si="4"/>
        <v>1920</v>
      </c>
    </row>
    <row r="35">
      <c r="A35" s="11" t="s">
        <v>16</v>
      </c>
      <c r="B35" s="11">
        <v>4320.0</v>
      </c>
      <c r="C35" s="11" t="s">
        <v>17</v>
      </c>
      <c r="D35" s="10" t="s">
        <v>117</v>
      </c>
      <c r="E35" s="14" t="s">
        <v>118</v>
      </c>
      <c r="F35" s="10" t="s">
        <v>119</v>
      </c>
      <c r="G35" s="15"/>
      <c r="H35" s="14">
        <v>36029.0</v>
      </c>
      <c r="I35" s="14">
        <v>45068.0</v>
      </c>
      <c r="J35" s="14">
        <v>45207.0</v>
      </c>
      <c r="K35" s="7">
        <f t="shared" si="1"/>
        <v>8</v>
      </c>
      <c r="L35" s="8">
        <v>45200.0</v>
      </c>
      <c r="M35" s="8">
        <v>45230.0</v>
      </c>
      <c r="N35" s="9">
        <f t="shared" si="2"/>
        <v>83</v>
      </c>
      <c r="O35" s="9">
        <f t="shared" si="3"/>
        <v>415</v>
      </c>
      <c r="P35" s="9">
        <f t="shared" si="4"/>
        <v>498</v>
      </c>
    </row>
    <row r="36">
      <c r="A36" s="11" t="s">
        <v>16</v>
      </c>
      <c r="B36" s="11">
        <v>4320.0</v>
      </c>
      <c r="C36" s="11" t="s">
        <v>17</v>
      </c>
      <c r="D36" s="10" t="s">
        <v>120</v>
      </c>
      <c r="E36" s="14" t="s">
        <v>121</v>
      </c>
      <c r="F36" s="10" t="s">
        <v>122</v>
      </c>
      <c r="G36" s="15"/>
      <c r="H36" s="14">
        <v>36794.0</v>
      </c>
      <c r="I36" s="14">
        <v>44915.0</v>
      </c>
      <c r="J36" s="15"/>
      <c r="K36" s="7">
        <f t="shared" si="1"/>
        <v>31</v>
      </c>
      <c r="L36" s="8">
        <v>45200.0</v>
      </c>
      <c r="M36" s="8">
        <v>45230.0</v>
      </c>
      <c r="N36" s="9">
        <f t="shared" si="2"/>
        <v>320</v>
      </c>
      <c r="O36" s="9">
        <f t="shared" si="3"/>
        <v>1600</v>
      </c>
      <c r="P36" s="9">
        <f t="shared" si="4"/>
        <v>1920</v>
      </c>
    </row>
    <row r="37">
      <c r="A37" s="10" t="s">
        <v>16</v>
      </c>
      <c r="B37" s="10">
        <v>4320.0</v>
      </c>
      <c r="C37" s="10" t="s">
        <v>17</v>
      </c>
      <c r="D37" s="11" t="s">
        <v>123</v>
      </c>
      <c r="E37" s="12" t="s">
        <v>124</v>
      </c>
      <c r="F37" s="11" t="s">
        <v>125</v>
      </c>
      <c r="G37" s="13"/>
      <c r="H37" s="12">
        <v>37149.0</v>
      </c>
      <c r="I37" s="12">
        <v>45124.0</v>
      </c>
      <c r="J37" s="13"/>
      <c r="K37" s="7">
        <f t="shared" si="1"/>
        <v>31</v>
      </c>
      <c r="L37" s="8">
        <v>45200.0</v>
      </c>
      <c r="M37" s="8">
        <v>45230.0</v>
      </c>
      <c r="N37" s="9">
        <f t="shared" si="2"/>
        <v>320</v>
      </c>
      <c r="O37" s="9">
        <f t="shared" si="3"/>
        <v>1600</v>
      </c>
      <c r="P37" s="9">
        <f t="shared" si="4"/>
        <v>1920</v>
      </c>
    </row>
    <row r="38">
      <c r="A38" s="22" t="s">
        <v>16</v>
      </c>
      <c r="B38" s="22">
        <v>4320.0</v>
      </c>
      <c r="C38" s="22" t="s">
        <v>17</v>
      </c>
      <c r="D38" s="22" t="s">
        <v>126</v>
      </c>
      <c r="E38" s="23" t="s">
        <v>127</v>
      </c>
      <c r="F38" s="22" t="s">
        <v>128</v>
      </c>
      <c r="G38" s="24"/>
      <c r="H38" s="23">
        <v>35767.0</v>
      </c>
      <c r="I38" s="23">
        <v>45117.0</v>
      </c>
      <c r="J38" s="24"/>
      <c r="K38" s="25">
        <f t="shared" si="1"/>
        <v>31</v>
      </c>
      <c r="L38" s="26">
        <v>45200.0</v>
      </c>
      <c r="M38" s="26">
        <v>45230.0</v>
      </c>
      <c r="N38" s="27">
        <f t="shared" si="2"/>
        <v>320</v>
      </c>
      <c r="O38" s="27">
        <f t="shared" si="3"/>
        <v>1600</v>
      </c>
      <c r="P38" s="27">
        <f t="shared" si="4"/>
        <v>1920</v>
      </c>
    </row>
    <row r="39">
      <c r="A39" s="22" t="s">
        <v>16</v>
      </c>
      <c r="B39" s="22">
        <v>4320.0</v>
      </c>
      <c r="C39" s="22" t="s">
        <v>17</v>
      </c>
      <c r="D39" s="22" t="s">
        <v>129</v>
      </c>
      <c r="E39" s="23" t="s">
        <v>130</v>
      </c>
      <c r="F39" s="22" t="s">
        <v>131</v>
      </c>
      <c r="G39" s="24"/>
      <c r="H39" s="23">
        <v>36207.0</v>
      </c>
      <c r="I39" s="23">
        <v>45054.0</v>
      </c>
      <c r="J39" s="23"/>
      <c r="K39" s="25">
        <f t="shared" si="1"/>
        <v>31</v>
      </c>
      <c r="L39" s="26">
        <v>45200.0</v>
      </c>
      <c r="M39" s="26">
        <v>45230.0</v>
      </c>
      <c r="N39" s="27">
        <f t="shared" si="2"/>
        <v>320</v>
      </c>
      <c r="O39" s="27">
        <f t="shared" si="3"/>
        <v>1600</v>
      </c>
      <c r="P39" s="27">
        <f t="shared" si="4"/>
        <v>1920</v>
      </c>
    </row>
    <row r="40">
      <c r="A40" s="11" t="s">
        <v>16</v>
      </c>
      <c r="B40" s="11">
        <v>4320.0</v>
      </c>
      <c r="C40" s="11" t="s">
        <v>17</v>
      </c>
      <c r="D40" s="10" t="s">
        <v>132</v>
      </c>
      <c r="E40" s="14" t="s">
        <v>133</v>
      </c>
      <c r="F40" s="10" t="s">
        <v>134</v>
      </c>
      <c r="G40" s="15"/>
      <c r="H40" s="14">
        <v>36480.0</v>
      </c>
      <c r="I40" s="28">
        <v>44970.0</v>
      </c>
      <c r="K40" s="7">
        <f>MAX(0, MIN(M40, 'Nov-23'!J39) - MAX(L40, I40) + 1)</f>
        <v>31</v>
      </c>
      <c r="L40" s="8">
        <v>45200.0</v>
      </c>
      <c r="M40" s="8">
        <v>45230.0</v>
      </c>
      <c r="N40" s="9">
        <f t="shared" si="2"/>
        <v>320</v>
      </c>
      <c r="O40" s="9">
        <f t="shared" si="3"/>
        <v>1600</v>
      </c>
      <c r="P40" s="9">
        <f t="shared" si="4"/>
        <v>1920</v>
      </c>
    </row>
    <row r="41">
      <c r="A41" s="22" t="s">
        <v>16</v>
      </c>
      <c r="B41" s="22">
        <v>4320.0</v>
      </c>
      <c r="C41" s="22" t="s">
        <v>17</v>
      </c>
      <c r="D41" s="22" t="s">
        <v>135</v>
      </c>
      <c r="E41" s="23" t="s">
        <v>136</v>
      </c>
      <c r="F41" s="22" t="s">
        <v>137</v>
      </c>
      <c r="G41" s="24"/>
      <c r="H41" s="23">
        <v>36768.0</v>
      </c>
      <c r="I41" s="23">
        <v>44888.0</v>
      </c>
      <c r="J41" s="24"/>
      <c r="K41" s="25">
        <f t="shared" ref="K41:K72" si="5">MAX(0, MIN(M41, J41) - MAX(L41, I41) + 1)</f>
        <v>31</v>
      </c>
      <c r="L41" s="26">
        <v>45200.0</v>
      </c>
      <c r="M41" s="26">
        <v>45230.0</v>
      </c>
      <c r="N41" s="27">
        <f t="shared" si="2"/>
        <v>320</v>
      </c>
      <c r="O41" s="27">
        <f t="shared" si="3"/>
        <v>1600</v>
      </c>
      <c r="P41" s="27">
        <f t="shared" si="4"/>
        <v>1920</v>
      </c>
    </row>
    <row r="42">
      <c r="A42" s="11" t="s">
        <v>16</v>
      </c>
      <c r="B42" s="11">
        <v>4320.0</v>
      </c>
      <c r="C42" s="11" t="s">
        <v>17</v>
      </c>
      <c r="D42" s="10" t="s">
        <v>138</v>
      </c>
      <c r="E42" s="14" t="s">
        <v>139</v>
      </c>
      <c r="F42" s="10" t="s">
        <v>140</v>
      </c>
      <c r="G42" s="15"/>
      <c r="H42" s="14">
        <v>36074.0</v>
      </c>
      <c r="I42" s="14">
        <v>45180.0</v>
      </c>
      <c r="J42" s="14"/>
      <c r="K42" s="7">
        <f t="shared" si="5"/>
        <v>31</v>
      </c>
      <c r="L42" s="8">
        <v>45200.0</v>
      </c>
      <c r="M42" s="8">
        <v>45230.0</v>
      </c>
      <c r="N42" s="9">
        <f t="shared" si="2"/>
        <v>320</v>
      </c>
      <c r="O42" s="9">
        <f t="shared" si="3"/>
        <v>1600</v>
      </c>
      <c r="P42" s="9">
        <f t="shared" si="4"/>
        <v>1920</v>
      </c>
    </row>
    <row r="43">
      <c r="A43" s="10" t="s">
        <v>16</v>
      </c>
      <c r="B43" s="10">
        <v>4320.0</v>
      </c>
      <c r="C43" s="10" t="s">
        <v>17</v>
      </c>
      <c r="D43" s="11" t="s">
        <v>141</v>
      </c>
      <c r="E43" s="12" t="s">
        <v>142</v>
      </c>
      <c r="F43" s="11" t="s">
        <v>143</v>
      </c>
      <c r="G43" s="13"/>
      <c r="H43" s="12">
        <v>34300.0</v>
      </c>
      <c r="I43" s="12">
        <v>45183.0</v>
      </c>
      <c r="J43" s="13"/>
      <c r="K43" s="7">
        <f t="shared" si="5"/>
        <v>31</v>
      </c>
      <c r="L43" s="8">
        <v>45200.0</v>
      </c>
      <c r="M43" s="8">
        <v>45230.0</v>
      </c>
      <c r="N43" s="9">
        <f t="shared" si="2"/>
        <v>320</v>
      </c>
      <c r="O43" s="9">
        <f t="shared" si="3"/>
        <v>1600</v>
      </c>
      <c r="P43" s="9">
        <f t="shared" si="4"/>
        <v>1920</v>
      </c>
    </row>
    <row r="44">
      <c r="A44" s="10" t="s">
        <v>16</v>
      </c>
      <c r="B44" s="10">
        <v>4320.0</v>
      </c>
      <c r="C44" s="10" t="s">
        <v>17</v>
      </c>
      <c r="D44" s="10" t="s">
        <v>144</v>
      </c>
      <c r="E44" s="14" t="s">
        <v>145</v>
      </c>
      <c r="F44" s="10" t="s">
        <v>146</v>
      </c>
      <c r="G44" s="15"/>
      <c r="H44" s="14">
        <v>36118.0</v>
      </c>
      <c r="I44" s="14">
        <v>44783.0</v>
      </c>
      <c r="J44" s="14"/>
      <c r="K44" s="7">
        <f t="shared" si="5"/>
        <v>31</v>
      </c>
      <c r="L44" s="8">
        <v>45200.0</v>
      </c>
      <c r="M44" s="8">
        <v>45230.0</v>
      </c>
      <c r="N44" s="9">
        <f t="shared" si="2"/>
        <v>320</v>
      </c>
      <c r="O44" s="9">
        <f t="shared" si="3"/>
        <v>1600</v>
      </c>
      <c r="P44" s="9">
        <f t="shared" si="4"/>
        <v>1920</v>
      </c>
    </row>
    <row r="45">
      <c r="A45" s="10" t="s">
        <v>16</v>
      </c>
      <c r="B45" s="10">
        <v>4320.0</v>
      </c>
      <c r="C45" s="10" t="s">
        <v>17</v>
      </c>
      <c r="D45" s="10" t="s">
        <v>147</v>
      </c>
      <c r="E45" s="14" t="s">
        <v>148</v>
      </c>
      <c r="F45" s="10" t="s">
        <v>149</v>
      </c>
      <c r="G45" s="15"/>
      <c r="H45" s="14">
        <v>36541.0</v>
      </c>
      <c r="I45" s="14">
        <v>44755.0</v>
      </c>
      <c r="J45" s="14"/>
      <c r="K45" s="7">
        <f t="shared" si="5"/>
        <v>31</v>
      </c>
      <c r="L45" s="8">
        <v>45200.0</v>
      </c>
      <c r="M45" s="8">
        <v>45230.0</v>
      </c>
      <c r="N45" s="9">
        <f t="shared" si="2"/>
        <v>320</v>
      </c>
      <c r="O45" s="9">
        <f t="shared" si="3"/>
        <v>1600</v>
      </c>
      <c r="P45" s="9">
        <f t="shared" si="4"/>
        <v>1920</v>
      </c>
    </row>
    <row r="46">
      <c r="A46" s="29" t="s">
        <v>16</v>
      </c>
      <c r="B46" s="29">
        <v>4320.0</v>
      </c>
      <c r="C46" s="29" t="s">
        <v>17</v>
      </c>
      <c r="D46" s="29" t="s">
        <v>150</v>
      </c>
      <c r="E46" s="30" t="s">
        <v>151</v>
      </c>
      <c r="F46" s="29" t="s">
        <v>152</v>
      </c>
      <c r="G46" s="31"/>
      <c r="H46" s="30">
        <v>34335.0</v>
      </c>
      <c r="I46" s="30">
        <v>45078.0</v>
      </c>
      <c r="J46" s="30"/>
      <c r="K46" s="32">
        <f t="shared" si="5"/>
        <v>31</v>
      </c>
      <c r="L46" s="33">
        <v>45200.0</v>
      </c>
      <c r="M46" s="33">
        <v>45230.0</v>
      </c>
      <c r="N46" s="34">
        <f t="shared" si="2"/>
        <v>320</v>
      </c>
      <c r="O46" s="34">
        <f t="shared" si="3"/>
        <v>1600</v>
      </c>
      <c r="P46" s="34">
        <f t="shared" si="4"/>
        <v>1920</v>
      </c>
    </row>
    <row r="47">
      <c r="A47" s="11" t="s">
        <v>16</v>
      </c>
      <c r="B47" s="11">
        <v>4320.0</v>
      </c>
      <c r="C47" s="11" t="s">
        <v>17</v>
      </c>
      <c r="D47" s="10" t="s">
        <v>153</v>
      </c>
      <c r="E47" s="14" t="s">
        <v>154</v>
      </c>
      <c r="F47" s="10" t="s">
        <v>155</v>
      </c>
      <c r="G47" s="15"/>
      <c r="H47" s="14">
        <v>31014.0</v>
      </c>
      <c r="I47" s="14">
        <v>44805.0</v>
      </c>
      <c r="J47" s="15"/>
      <c r="K47" s="7">
        <f t="shared" si="5"/>
        <v>31</v>
      </c>
      <c r="L47" s="8">
        <v>45200.0</v>
      </c>
      <c r="M47" s="8">
        <v>45230.0</v>
      </c>
      <c r="N47" s="9">
        <f t="shared" si="2"/>
        <v>320</v>
      </c>
      <c r="O47" s="9">
        <f t="shared" si="3"/>
        <v>1600</v>
      </c>
      <c r="P47" s="9">
        <f t="shared" si="4"/>
        <v>1920</v>
      </c>
    </row>
    <row r="48">
      <c r="A48" s="11" t="s">
        <v>16</v>
      </c>
      <c r="B48" s="11">
        <v>4320.0</v>
      </c>
      <c r="C48" s="11" t="s">
        <v>17</v>
      </c>
      <c r="D48" s="10" t="s">
        <v>156</v>
      </c>
      <c r="E48" s="14" t="s">
        <v>157</v>
      </c>
      <c r="F48" s="10" t="s">
        <v>158</v>
      </c>
      <c r="G48" s="15"/>
      <c r="H48" s="14">
        <v>35150.0</v>
      </c>
      <c r="I48" s="14">
        <v>45079.0</v>
      </c>
      <c r="J48" s="14"/>
      <c r="K48" s="7">
        <f t="shared" si="5"/>
        <v>31</v>
      </c>
      <c r="L48" s="8">
        <v>45200.0</v>
      </c>
      <c r="M48" s="8">
        <v>45230.0</v>
      </c>
      <c r="N48" s="9">
        <f t="shared" si="2"/>
        <v>320</v>
      </c>
      <c r="O48" s="9">
        <f t="shared" si="3"/>
        <v>1600</v>
      </c>
      <c r="P48" s="9">
        <f t="shared" si="4"/>
        <v>1920</v>
      </c>
    </row>
    <row r="49">
      <c r="A49" s="11" t="s">
        <v>16</v>
      </c>
      <c r="B49" s="11">
        <v>4320.0</v>
      </c>
      <c r="C49" s="11" t="s">
        <v>17</v>
      </c>
      <c r="D49" s="11" t="s">
        <v>159</v>
      </c>
      <c r="E49" s="12" t="s">
        <v>160</v>
      </c>
      <c r="F49" s="11" t="s">
        <v>161</v>
      </c>
      <c r="G49" s="13"/>
      <c r="H49" s="12">
        <v>35779.0</v>
      </c>
      <c r="I49" s="12">
        <v>45176.0</v>
      </c>
      <c r="J49" s="12"/>
      <c r="K49" s="7">
        <f t="shared" si="5"/>
        <v>31</v>
      </c>
      <c r="L49" s="8">
        <v>45200.0</v>
      </c>
      <c r="M49" s="8">
        <v>45230.0</v>
      </c>
      <c r="N49" s="9">
        <f t="shared" si="2"/>
        <v>320</v>
      </c>
      <c r="O49" s="9">
        <f t="shared" si="3"/>
        <v>1600</v>
      </c>
      <c r="P49" s="9">
        <f t="shared" si="4"/>
        <v>1920</v>
      </c>
    </row>
    <row r="50">
      <c r="A50" s="11" t="s">
        <v>16</v>
      </c>
      <c r="B50" s="11">
        <v>4320.0</v>
      </c>
      <c r="C50" s="11" t="s">
        <v>17</v>
      </c>
      <c r="D50" s="10" t="s">
        <v>162</v>
      </c>
      <c r="E50" s="14" t="s">
        <v>163</v>
      </c>
      <c r="F50" s="10" t="s">
        <v>164</v>
      </c>
      <c r="G50" s="15"/>
      <c r="H50" s="14">
        <v>34732.0</v>
      </c>
      <c r="I50" s="14">
        <v>44986.0</v>
      </c>
      <c r="J50" s="15"/>
      <c r="K50" s="7">
        <f t="shared" si="5"/>
        <v>31</v>
      </c>
      <c r="L50" s="8">
        <v>45200.0</v>
      </c>
      <c r="M50" s="8">
        <v>45230.0</v>
      </c>
      <c r="N50" s="9">
        <f t="shared" si="2"/>
        <v>320</v>
      </c>
      <c r="O50" s="9">
        <f t="shared" si="3"/>
        <v>1600</v>
      </c>
      <c r="P50" s="9">
        <f t="shared" si="4"/>
        <v>1920</v>
      </c>
    </row>
    <row r="51">
      <c r="A51" s="10" t="s">
        <v>16</v>
      </c>
      <c r="B51" s="10">
        <v>4320.0</v>
      </c>
      <c r="C51" s="10" t="s">
        <v>17</v>
      </c>
      <c r="D51" s="11" t="s">
        <v>165</v>
      </c>
      <c r="E51" s="12" t="s">
        <v>166</v>
      </c>
      <c r="F51" s="35" t="s">
        <v>167</v>
      </c>
      <c r="G51" s="13"/>
      <c r="H51" s="36">
        <v>35772.0</v>
      </c>
      <c r="I51" s="36">
        <v>45222.0</v>
      </c>
      <c r="J51" s="12"/>
      <c r="K51" s="7">
        <f t="shared" si="5"/>
        <v>9</v>
      </c>
      <c r="L51" s="8">
        <v>45200.0</v>
      </c>
      <c r="M51" s="8">
        <v>45230.0</v>
      </c>
      <c r="N51" s="9">
        <f t="shared" si="2"/>
        <v>93</v>
      </c>
      <c r="O51" s="9">
        <f t="shared" si="3"/>
        <v>465</v>
      </c>
      <c r="P51" s="9">
        <f t="shared" si="4"/>
        <v>558</v>
      </c>
    </row>
    <row r="52">
      <c r="A52" s="22" t="s">
        <v>16</v>
      </c>
      <c r="B52" s="22">
        <v>4320.0</v>
      </c>
      <c r="C52" s="22" t="s">
        <v>17</v>
      </c>
      <c r="D52" s="22" t="s">
        <v>168</v>
      </c>
      <c r="E52" s="23" t="s">
        <v>169</v>
      </c>
      <c r="F52" s="22" t="s">
        <v>170</v>
      </c>
      <c r="G52" s="24"/>
      <c r="H52" s="23">
        <v>35931.0</v>
      </c>
      <c r="I52" s="23">
        <v>44958.0</v>
      </c>
      <c r="J52" s="24"/>
      <c r="K52" s="25">
        <f t="shared" si="5"/>
        <v>31</v>
      </c>
      <c r="L52" s="26">
        <v>45200.0</v>
      </c>
      <c r="M52" s="26">
        <v>45230.0</v>
      </c>
      <c r="N52" s="27">
        <f t="shared" si="2"/>
        <v>320</v>
      </c>
      <c r="O52" s="27">
        <f t="shared" si="3"/>
        <v>1600</v>
      </c>
      <c r="P52" s="27">
        <f t="shared" si="4"/>
        <v>1920</v>
      </c>
    </row>
    <row r="53">
      <c r="A53" s="10" t="s">
        <v>16</v>
      </c>
      <c r="B53" s="10">
        <v>4320.0</v>
      </c>
      <c r="C53" s="10" t="s">
        <v>17</v>
      </c>
      <c r="D53" s="11" t="s">
        <v>171</v>
      </c>
      <c r="E53" s="12" t="s">
        <v>172</v>
      </c>
      <c r="F53" s="11" t="s">
        <v>173</v>
      </c>
      <c r="G53" s="13"/>
      <c r="H53" s="12">
        <v>37005.0</v>
      </c>
      <c r="I53" s="12">
        <v>44802.0</v>
      </c>
      <c r="J53" s="12"/>
      <c r="K53" s="7">
        <f t="shared" si="5"/>
        <v>31</v>
      </c>
      <c r="L53" s="8">
        <v>45200.0</v>
      </c>
      <c r="M53" s="8">
        <v>45230.0</v>
      </c>
      <c r="N53" s="9">
        <f t="shared" si="2"/>
        <v>320</v>
      </c>
      <c r="O53" s="9">
        <f t="shared" si="3"/>
        <v>1600</v>
      </c>
      <c r="P53" s="9">
        <f t="shared" si="4"/>
        <v>1920</v>
      </c>
    </row>
    <row r="54">
      <c r="A54" s="10" t="s">
        <v>16</v>
      </c>
      <c r="B54" s="10">
        <v>4320.0</v>
      </c>
      <c r="C54" s="10" t="s">
        <v>17</v>
      </c>
      <c r="D54" s="10" t="s">
        <v>174</v>
      </c>
      <c r="E54" s="14" t="s">
        <v>175</v>
      </c>
      <c r="F54" s="10" t="s">
        <v>176</v>
      </c>
      <c r="G54" s="15"/>
      <c r="H54" s="14">
        <v>36545.0</v>
      </c>
      <c r="I54" s="14">
        <v>45180.0</v>
      </c>
      <c r="J54" s="14"/>
      <c r="K54" s="7">
        <f t="shared" si="5"/>
        <v>31</v>
      </c>
      <c r="L54" s="8">
        <v>45200.0</v>
      </c>
      <c r="M54" s="8">
        <v>45230.0</v>
      </c>
      <c r="N54" s="9">
        <f t="shared" si="2"/>
        <v>320</v>
      </c>
      <c r="O54" s="9">
        <f t="shared" si="3"/>
        <v>1600</v>
      </c>
      <c r="P54" s="9">
        <f t="shared" si="4"/>
        <v>1920</v>
      </c>
    </row>
    <row r="55">
      <c r="A55" s="11" t="s">
        <v>16</v>
      </c>
      <c r="B55" s="11">
        <v>4320.0</v>
      </c>
      <c r="C55" s="11" t="s">
        <v>17</v>
      </c>
      <c r="D55" s="10" t="s">
        <v>177</v>
      </c>
      <c r="E55" s="14" t="s">
        <v>178</v>
      </c>
      <c r="F55" s="10" t="s">
        <v>179</v>
      </c>
      <c r="G55" s="15"/>
      <c r="H55" s="14">
        <v>35976.0</v>
      </c>
      <c r="I55" s="14">
        <v>45042.0</v>
      </c>
      <c r="J55" s="15"/>
      <c r="K55" s="7">
        <f t="shared" si="5"/>
        <v>31</v>
      </c>
      <c r="L55" s="8">
        <v>45200.0</v>
      </c>
      <c r="M55" s="8">
        <v>45230.0</v>
      </c>
      <c r="N55" s="9">
        <f t="shared" si="2"/>
        <v>320</v>
      </c>
      <c r="O55" s="9">
        <f t="shared" si="3"/>
        <v>1600</v>
      </c>
      <c r="P55" s="9">
        <f t="shared" si="4"/>
        <v>1920</v>
      </c>
    </row>
    <row r="56">
      <c r="A56" s="11" t="s">
        <v>16</v>
      </c>
      <c r="B56" s="11">
        <v>4320.0</v>
      </c>
      <c r="C56" s="11" t="s">
        <v>17</v>
      </c>
      <c r="D56" s="10" t="s">
        <v>180</v>
      </c>
      <c r="E56" s="14" t="s">
        <v>181</v>
      </c>
      <c r="F56" s="10" t="s">
        <v>182</v>
      </c>
      <c r="G56" s="15"/>
      <c r="H56" s="14">
        <v>36297.0</v>
      </c>
      <c r="I56" s="14">
        <v>45001.0</v>
      </c>
      <c r="J56" s="14"/>
      <c r="K56" s="7">
        <f t="shared" si="5"/>
        <v>31</v>
      </c>
      <c r="L56" s="8">
        <v>45200.0</v>
      </c>
      <c r="M56" s="8">
        <v>45230.0</v>
      </c>
      <c r="N56" s="9">
        <f t="shared" si="2"/>
        <v>320</v>
      </c>
      <c r="O56" s="9">
        <f t="shared" si="3"/>
        <v>1600</v>
      </c>
      <c r="P56" s="9">
        <f t="shared" si="4"/>
        <v>1920</v>
      </c>
    </row>
    <row r="57">
      <c r="A57" s="10" t="s">
        <v>16</v>
      </c>
      <c r="B57" s="10">
        <v>4320.0</v>
      </c>
      <c r="C57" s="10" t="s">
        <v>17</v>
      </c>
      <c r="D57" s="11" t="s">
        <v>183</v>
      </c>
      <c r="E57" s="12" t="s">
        <v>184</v>
      </c>
      <c r="F57" s="11" t="s">
        <v>185</v>
      </c>
      <c r="G57" s="13"/>
      <c r="H57" s="12">
        <v>36979.0</v>
      </c>
      <c r="I57" s="12">
        <v>44907.0</v>
      </c>
      <c r="J57" s="13"/>
      <c r="K57" s="7">
        <f t="shared" si="5"/>
        <v>31</v>
      </c>
      <c r="L57" s="8">
        <v>45200.0</v>
      </c>
      <c r="M57" s="8">
        <v>45230.0</v>
      </c>
      <c r="N57" s="9">
        <f t="shared" si="2"/>
        <v>320</v>
      </c>
      <c r="O57" s="9">
        <f t="shared" si="3"/>
        <v>1600</v>
      </c>
      <c r="P57" s="9">
        <f t="shared" si="4"/>
        <v>1920</v>
      </c>
    </row>
    <row r="58">
      <c r="A58" s="11" t="s">
        <v>16</v>
      </c>
      <c r="B58" s="11">
        <v>4320.0</v>
      </c>
      <c r="C58" s="11" t="s">
        <v>17</v>
      </c>
      <c r="D58" s="11" t="s">
        <v>186</v>
      </c>
      <c r="E58" s="12" t="s">
        <v>187</v>
      </c>
      <c r="F58" s="11" t="s">
        <v>188</v>
      </c>
      <c r="G58" s="13"/>
      <c r="H58" s="12">
        <v>36253.0</v>
      </c>
      <c r="I58" s="12">
        <v>45159.0</v>
      </c>
      <c r="J58" s="12">
        <v>45209.0</v>
      </c>
      <c r="K58" s="7">
        <f t="shared" si="5"/>
        <v>10</v>
      </c>
      <c r="L58" s="8">
        <v>45200.0</v>
      </c>
      <c r="M58" s="8">
        <v>45230.0</v>
      </c>
      <c r="N58" s="9">
        <f t="shared" si="2"/>
        <v>104</v>
      </c>
      <c r="O58" s="9">
        <f t="shared" si="3"/>
        <v>520</v>
      </c>
      <c r="P58" s="9">
        <f t="shared" si="4"/>
        <v>624</v>
      </c>
    </row>
    <row r="59">
      <c r="A59" s="10" t="s">
        <v>16</v>
      </c>
      <c r="B59" s="10">
        <v>4320.0</v>
      </c>
      <c r="C59" s="10" t="s">
        <v>17</v>
      </c>
      <c r="D59" s="10" t="s">
        <v>189</v>
      </c>
      <c r="E59" s="14" t="s">
        <v>190</v>
      </c>
      <c r="F59" s="10" t="s">
        <v>191</v>
      </c>
      <c r="G59" s="15"/>
      <c r="H59" s="14">
        <v>36421.0</v>
      </c>
      <c r="I59" s="14">
        <v>45208.0</v>
      </c>
      <c r="J59" s="15"/>
      <c r="K59" s="7">
        <f t="shared" si="5"/>
        <v>23</v>
      </c>
      <c r="L59" s="8">
        <v>45200.0</v>
      </c>
      <c r="M59" s="8">
        <v>45230.0</v>
      </c>
      <c r="N59" s="9">
        <f t="shared" si="2"/>
        <v>238</v>
      </c>
      <c r="O59" s="9">
        <f t="shared" si="3"/>
        <v>1190</v>
      </c>
      <c r="P59" s="9">
        <f t="shared" si="4"/>
        <v>1428</v>
      </c>
    </row>
    <row r="60">
      <c r="A60" s="22" t="s">
        <v>16</v>
      </c>
      <c r="B60" s="22">
        <v>4320.0</v>
      </c>
      <c r="C60" s="22" t="s">
        <v>17</v>
      </c>
      <c r="D60" s="22" t="s">
        <v>192</v>
      </c>
      <c r="E60" s="23" t="s">
        <v>193</v>
      </c>
      <c r="F60" s="22" t="s">
        <v>194</v>
      </c>
      <c r="G60" s="24"/>
      <c r="H60" s="23">
        <v>36075.0</v>
      </c>
      <c r="I60" s="23">
        <v>44977.0</v>
      </c>
      <c r="J60" s="24"/>
      <c r="K60" s="25">
        <f t="shared" si="5"/>
        <v>31</v>
      </c>
      <c r="L60" s="26">
        <v>45200.0</v>
      </c>
      <c r="M60" s="26">
        <v>45230.0</v>
      </c>
      <c r="N60" s="27">
        <f t="shared" si="2"/>
        <v>320</v>
      </c>
      <c r="O60" s="27">
        <f t="shared" si="3"/>
        <v>1600</v>
      </c>
      <c r="P60" s="27">
        <f t="shared" si="4"/>
        <v>1920</v>
      </c>
    </row>
    <row r="61">
      <c r="A61" s="11" t="s">
        <v>16</v>
      </c>
      <c r="B61" s="11">
        <v>4320.0</v>
      </c>
      <c r="C61" s="11" t="s">
        <v>17</v>
      </c>
      <c r="D61" s="11" t="s">
        <v>195</v>
      </c>
      <c r="E61" s="12" t="s">
        <v>196</v>
      </c>
      <c r="F61" s="11" t="s">
        <v>197</v>
      </c>
      <c r="G61" s="13"/>
      <c r="H61" s="12">
        <v>36089.0</v>
      </c>
      <c r="I61" s="12">
        <v>45195.0</v>
      </c>
      <c r="J61" s="12"/>
      <c r="K61" s="7">
        <f t="shared" si="5"/>
        <v>31</v>
      </c>
      <c r="L61" s="8">
        <v>45200.0</v>
      </c>
      <c r="M61" s="8">
        <v>45230.0</v>
      </c>
      <c r="N61" s="9">
        <f t="shared" si="2"/>
        <v>320</v>
      </c>
      <c r="O61" s="9">
        <f t="shared" si="3"/>
        <v>1600</v>
      </c>
      <c r="P61" s="9">
        <f t="shared" si="4"/>
        <v>1920</v>
      </c>
    </row>
    <row r="62">
      <c r="A62" s="10" t="s">
        <v>16</v>
      </c>
      <c r="B62" s="10">
        <v>4320.0</v>
      </c>
      <c r="C62" s="10" t="s">
        <v>17</v>
      </c>
      <c r="D62" s="19" t="s">
        <v>198</v>
      </c>
      <c r="E62" s="14" t="s">
        <v>199</v>
      </c>
      <c r="F62" s="10" t="s">
        <v>200</v>
      </c>
      <c r="G62" s="15"/>
      <c r="H62" s="14">
        <v>35461.0</v>
      </c>
      <c r="I62" s="14">
        <v>44914.0</v>
      </c>
      <c r="J62" s="14">
        <v>45210.0</v>
      </c>
      <c r="K62" s="7">
        <f t="shared" si="5"/>
        <v>11</v>
      </c>
      <c r="L62" s="8">
        <v>45200.0</v>
      </c>
      <c r="M62" s="8">
        <v>45230.0</v>
      </c>
      <c r="N62" s="9">
        <f t="shared" si="2"/>
        <v>114</v>
      </c>
      <c r="O62" s="9">
        <f t="shared" si="3"/>
        <v>570</v>
      </c>
      <c r="P62" s="9">
        <f t="shared" si="4"/>
        <v>684</v>
      </c>
    </row>
    <row r="63">
      <c r="A63" s="10" t="s">
        <v>16</v>
      </c>
      <c r="B63" s="10">
        <v>4320.0</v>
      </c>
      <c r="C63" s="10" t="s">
        <v>17</v>
      </c>
      <c r="D63" s="11" t="s">
        <v>201</v>
      </c>
      <c r="E63" s="12" t="s">
        <v>202</v>
      </c>
      <c r="F63" s="11" t="s">
        <v>203</v>
      </c>
      <c r="G63" s="13"/>
      <c r="H63" s="12">
        <v>36574.0</v>
      </c>
      <c r="I63" s="12">
        <v>45187.0</v>
      </c>
      <c r="J63" s="13"/>
      <c r="K63" s="7">
        <f t="shared" si="5"/>
        <v>31</v>
      </c>
      <c r="L63" s="8">
        <v>45200.0</v>
      </c>
      <c r="M63" s="8">
        <v>45230.0</v>
      </c>
      <c r="N63" s="9">
        <f t="shared" si="2"/>
        <v>320</v>
      </c>
      <c r="O63" s="9">
        <f t="shared" si="3"/>
        <v>1600</v>
      </c>
      <c r="P63" s="9">
        <f t="shared" si="4"/>
        <v>1920</v>
      </c>
    </row>
    <row r="64">
      <c r="A64" s="10" t="s">
        <v>16</v>
      </c>
      <c r="B64" s="10">
        <v>4320.0</v>
      </c>
      <c r="C64" s="10" t="s">
        <v>17</v>
      </c>
      <c r="D64" s="11" t="s">
        <v>204</v>
      </c>
      <c r="E64" s="12" t="s">
        <v>205</v>
      </c>
      <c r="F64" s="11" t="s">
        <v>206</v>
      </c>
      <c r="G64" s="13"/>
      <c r="H64" s="12">
        <v>35115.0</v>
      </c>
      <c r="I64" s="12">
        <v>45194.0</v>
      </c>
      <c r="J64" s="12"/>
      <c r="K64" s="7">
        <f t="shared" si="5"/>
        <v>31</v>
      </c>
      <c r="L64" s="8">
        <v>45200.0</v>
      </c>
      <c r="M64" s="8">
        <v>45230.0</v>
      </c>
      <c r="N64" s="9">
        <f t="shared" si="2"/>
        <v>320</v>
      </c>
      <c r="O64" s="9">
        <f t="shared" si="3"/>
        <v>1600</v>
      </c>
      <c r="P64" s="9">
        <f t="shared" si="4"/>
        <v>1920</v>
      </c>
    </row>
    <row r="65">
      <c r="A65" s="10" t="s">
        <v>16</v>
      </c>
      <c r="B65" s="10">
        <v>4320.0</v>
      </c>
      <c r="C65" s="10" t="s">
        <v>17</v>
      </c>
      <c r="D65" s="11" t="s">
        <v>207</v>
      </c>
      <c r="E65" s="12" t="s">
        <v>208</v>
      </c>
      <c r="F65" s="11" t="s">
        <v>209</v>
      </c>
      <c r="G65" s="13"/>
      <c r="H65" s="12">
        <v>33156.0</v>
      </c>
      <c r="I65" s="12">
        <v>44285.0</v>
      </c>
      <c r="J65" s="13"/>
      <c r="K65" s="7">
        <f t="shared" si="5"/>
        <v>31</v>
      </c>
      <c r="L65" s="8">
        <v>45200.0</v>
      </c>
      <c r="M65" s="8">
        <v>45230.0</v>
      </c>
      <c r="N65" s="9">
        <f t="shared" si="2"/>
        <v>320</v>
      </c>
      <c r="O65" s="9">
        <f t="shared" si="3"/>
        <v>1600</v>
      </c>
      <c r="P65" s="9">
        <f t="shared" si="4"/>
        <v>1920</v>
      </c>
    </row>
    <row r="66">
      <c r="A66" s="11" t="s">
        <v>16</v>
      </c>
      <c r="B66" s="11">
        <v>4320.0</v>
      </c>
      <c r="C66" s="11" t="s">
        <v>17</v>
      </c>
      <c r="D66" s="37" t="s">
        <v>210</v>
      </c>
      <c r="E66" s="12" t="s">
        <v>211</v>
      </c>
      <c r="F66" s="11" t="s">
        <v>212</v>
      </c>
      <c r="G66" s="13"/>
      <c r="H66" s="12">
        <v>36096.0</v>
      </c>
      <c r="I66" s="12">
        <v>45174.0</v>
      </c>
      <c r="J66" s="12"/>
      <c r="K66" s="7">
        <f t="shared" si="5"/>
        <v>31</v>
      </c>
      <c r="L66" s="8">
        <v>45200.0</v>
      </c>
      <c r="M66" s="8">
        <v>45230.0</v>
      </c>
      <c r="N66" s="9">
        <f t="shared" si="2"/>
        <v>320</v>
      </c>
      <c r="O66" s="9">
        <f t="shared" si="3"/>
        <v>1600</v>
      </c>
      <c r="P66" s="9">
        <f t="shared" si="4"/>
        <v>1920</v>
      </c>
    </row>
    <row r="67">
      <c r="A67" s="11" t="s">
        <v>16</v>
      </c>
      <c r="B67" s="11">
        <v>4320.0</v>
      </c>
      <c r="C67" s="11" t="s">
        <v>17</v>
      </c>
      <c r="D67" s="10" t="s">
        <v>213</v>
      </c>
      <c r="E67" s="14" t="s">
        <v>214</v>
      </c>
      <c r="F67" s="10" t="s">
        <v>215</v>
      </c>
      <c r="G67" s="15"/>
      <c r="H67" s="14">
        <v>36797.0</v>
      </c>
      <c r="I67" s="28">
        <v>44886.0</v>
      </c>
      <c r="J67" s="38"/>
      <c r="K67" s="7">
        <f t="shared" si="5"/>
        <v>31</v>
      </c>
      <c r="L67" s="8">
        <v>45200.0</v>
      </c>
      <c r="M67" s="8">
        <v>45230.0</v>
      </c>
      <c r="N67" s="9">
        <f t="shared" si="2"/>
        <v>320</v>
      </c>
      <c r="O67" s="9">
        <f t="shared" si="3"/>
        <v>1600</v>
      </c>
      <c r="P67" s="9">
        <f t="shared" si="4"/>
        <v>1920</v>
      </c>
    </row>
    <row r="68">
      <c r="A68" s="11" t="s">
        <v>16</v>
      </c>
      <c r="B68" s="11">
        <v>4320.0</v>
      </c>
      <c r="C68" s="11" t="s">
        <v>17</v>
      </c>
      <c r="D68" s="10" t="s">
        <v>216</v>
      </c>
      <c r="E68" s="14" t="s">
        <v>217</v>
      </c>
      <c r="F68" s="10" t="s">
        <v>218</v>
      </c>
      <c r="G68" s="15"/>
      <c r="H68" s="14">
        <v>33769.0</v>
      </c>
      <c r="I68" s="14">
        <v>44816.0</v>
      </c>
      <c r="J68" s="15"/>
      <c r="K68" s="7">
        <f t="shared" si="5"/>
        <v>31</v>
      </c>
      <c r="L68" s="8">
        <v>45200.0</v>
      </c>
      <c r="M68" s="8">
        <v>45230.0</v>
      </c>
      <c r="N68" s="9">
        <f t="shared" si="2"/>
        <v>320</v>
      </c>
      <c r="O68" s="9">
        <f t="shared" si="3"/>
        <v>1600</v>
      </c>
      <c r="P68" s="9">
        <f t="shared" si="4"/>
        <v>1920</v>
      </c>
    </row>
    <row r="69">
      <c r="A69" s="10" t="s">
        <v>16</v>
      </c>
      <c r="B69" s="10">
        <v>4320.0</v>
      </c>
      <c r="C69" s="10" t="s">
        <v>17</v>
      </c>
      <c r="D69" s="37" t="s">
        <v>219</v>
      </c>
      <c r="E69" s="12" t="s">
        <v>220</v>
      </c>
      <c r="F69" s="11" t="s">
        <v>221</v>
      </c>
      <c r="G69" s="13"/>
      <c r="H69" s="12">
        <v>36408.0</v>
      </c>
      <c r="I69" s="12">
        <v>45173.0</v>
      </c>
      <c r="J69" s="12"/>
      <c r="K69" s="7">
        <f t="shared" si="5"/>
        <v>31</v>
      </c>
      <c r="L69" s="8">
        <v>45200.0</v>
      </c>
      <c r="M69" s="8">
        <v>45230.0</v>
      </c>
      <c r="N69" s="9">
        <f t="shared" si="2"/>
        <v>320</v>
      </c>
      <c r="O69" s="9">
        <f t="shared" si="3"/>
        <v>1600</v>
      </c>
      <c r="P69" s="9">
        <f t="shared" si="4"/>
        <v>1920</v>
      </c>
    </row>
    <row r="70">
      <c r="A70" s="11" t="s">
        <v>16</v>
      </c>
      <c r="B70" s="11">
        <v>4320.0</v>
      </c>
      <c r="C70" s="11" t="s">
        <v>17</v>
      </c>
      <c r="D70" s="10" t="s">
        <v>222</v>
      </c>
      <c r="E70" s="14" t="s">
        <v>223</v>
      </c>
      <c r="F70" s="10" t="s">
        <v>224</v>
      </c>
      <c r="G70" s="15"/>
      <c r="H70" s="14">
        <v>35818.0</v>
      </c>
      <c r="I70" s="14">
        <v>45089.0</v>
      </c>
      <c r="J70" s="15"/>
      <c r="K70" s="7">
        <f t="shared" si="5"/>
        <v>31</v>
      </c>
      <c r="L70" s="8">
        <v>45200.0</v>
      </c>
      <c r="M70" s="8">
        <v>45230.0</v>
      </c>
      <c r="N70" s="9">
        <f t="shared" si="2"/>
        <v>320</v>
      </c>
      <c r="O70" s="9">
        <f t="shared" si="3"/>
        <v>1600</v>
      </c>
      <c r="P70" s="9">
        <f t="shared" si="4"/>
        <v>1920</v>
      </c>
    </row>
    <row r="71">
      <c r="A71" s="11" t="s">
        <v>16</v>
      </c>
      <c r="B71" s="11">
        <v>4320.0</v>
      </c>
      <c r="C71" s="11" t="s">
        <v>17</v>
      </c>
      <c r="D71" s="10" t="s">
        <v>225</v>
      </c>
      <c r="E71" s="14" t="s">
        <v>226</v>
      </c>
      <c r="F71" s="10" t="s">
        <v>227</v>
      </c>
      <c r="G71" s="15"/>
      <c r="H71" s="14">
        <v>36177.0</v>
      </c>
      <c r="I71" s="14">
        <v>44970.0</v>
      </c>
      <c r="J71" s="14"/>
      <c r="K71" s="7">
        <f t="shared" si="5"/>
        <v>31</v>
      </c>
      <c r="L71" s="8">
        <v>45200.0</v>
      </c>
      <c r="M71" s="8">
        <v>45230.0</v>
      </c>
      <c r="N71" s="9">
        <f t="shared" si="2"/>
        <v>320</v>
      </c>
      <c r="O71" s="9">
        <f t="shared" si="3"/>
        <v>1600</v>
      </c>
      <c r="P71" s="9">
        <f t="shared" si="4"/>
        <v>1920</v>
      </c>
    </row>
    <row r="72">
      <c r="A72" s="10" t="s">
        <v>16</v>
      </c>
      <c r="B72" s="10">
        <v>4320.0</v>
      </c>
      <c r="C72" s="10" t="s">
        <v>17</v>
      </c>
      <c r="D72" s="11" t="s">
        <v>228</v>
      </c>
      <c r="E72" s="12" t="s">
        <v>229</v>
      </c>
      <c r="F72" s="11" t="s">
        <v>230</v>
      </c>
      <c r="G72" s="13"/>
      <c r="H72" s="12">
        <v>35743.0</v>
      </c>
      <c r="I72" s="12">
        <v>45222.0</v>
      </c>
      <c r="J72" s="13"/>
      <c r="K72" s="7">
        <f t="shared" si="5"/>
        <v>9</v>
      </c>
      <c r="L72" s="8">
        <v>45200.0</v>
      </c>
      <c r="M72" s="8">
        <v>45230.0</v>
      </c>
      <c r="N72" s="9">
        <f t="shared" si="2"/>
        <v>93</v>
      </c>
      <c r="O72" s="9">
        <f t="shared" si="3"/>
        <v>465</v>
      </c>
      <c r="P72" s="9">
        <f t="shared" si="4"/>
        <v>558</v>
      </c>
    </row>
    <row r="73">
      <c r="A73" s="39"/>
      <c r="B73" s="39"/>
      <c r="C73" s="39"/>
      <c r="D73" s="39"/>
      <c r="E73" s="39"/>
      <c r="F73" s="39"/>
      <c r="G73" s="39"/>
      <c r="H73" s="39"/>
      <c r="I73" s="39"/>
      <c r="J73" s="39"/>
      <c r="P73" s="40">
        <f>SUM(P2:P72)</f>
        <v>126006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7.13"/>
    <col customWidth="1" min="10" max="10" width="13.38"/>
  </cols>
  <sheetData>
    <row r="1">
      <c r="A1" s="1" t="s">
        <v>0</v>
      </c>
      <c r="B1" s="1" t="s">
        <v>1</v>
      </c>
      <c r="C1" s="1" t="s">
        <v>2</v>
      </c>
      <c r="D1" s="1" t="s">
        <v>3</v>
      </c>
      <c r="E1" s="1" t="s">
        <v>4</v>
      </c>
      <c r="F1" s="2" t="s">
        <v>5</v>
      </c>
      <c r="G1" s="1" t="s">
        <v>6</v>
      </c>
      <c r="H1" s="1" t="s">
        <v>7</v>
      </c>
      <c r="I1" s="2" t="s">
        <v>8</v>
      </c>
      <c r="J1" s="2" t="s">
        <v>9</v>
      </c>
      <c r="K1" s="3" t="s">
        <v>10</v>
      </c>
      <c r="L1" s="3" t="s">
        <v>11</v>
      </c>
      <c r="M1" s="3" t="s">
        <v>12</v>
      </c>
      <c r="N1" s="3" t="s">
        <v>13</v>
      </c>
      <c r="O1" s="3" t="s">
        <v>14</v>
      </c>
      <c r="P1" s="3" t="s">
        <v>15</v>
      </c>
      <c r="Q1" s="3"/>
      <c r="R1" s="3"/>
      <c r="S1" s="3"/>
      <c r="T1" s="3"/>
      <c r="U1" s="3"/>
      <c r="V1" s="3"/>
      <c r="W1" s="3"/>
      <c r="X1" s="3"/>
    </row>
    <row r="2">
      <c r="A2" s="11" t="s">
        <v>16</v>
      </c>
      <c r="B2" s="11">
        <v>4320.0</v>
      </c>
      <c r="C2" s="11" t="s">
        <v>17</v>
      </c>
      <c r="D2" s="10" t="s">
        <v>18</v>
      </c>
      <c r="E2" s="14" t="s">
        <v>19</v>
      </c>
      <c r="F2" s="10" t="s">
        <v>20</v>
      </c>
      <c r="G2" s="15"/>
      <c r="H2" s="14">
        <v>32933.0</v>
      </c>
      <c r="I2" s="14">
        <v>45166.0</v>
      </c>
      <c r="J2" s="14"/>
      <c r="K2" s="16">
        <f t="shared" ref="K2:K71" si="1">MAX(0, MIN(M2, J2) - MAX(L2, I2) + 1)</f>
        <v>30</v>
      </c>
      <c r="L2" s="17">
        <v>45231.0</v>
      </c>
      <c r="M2" s="17">
        <v>45260.0</v>
      </c>
      <c r="N2" s="18">
        <f t="shared" ref="N2:N50" si="2">ROUNDUP(K2/30*320,0)</f>
        <v>320</v>
      </c>
      <c r="O2" s="18">
        <f t="shared" ref="O2:O71" si="3">N2*5</f>
        <v>1600</v>
      </c>
      <c r="P2" s="18">
        <f t="shared" ref="P2:P71" si="4">N2+O2</f>
        <v>1920</v>
      </c>
      <c r="Q2" s="9"/>
      <c r="R2" s="9"/>
      <c r="S2" s="9"/>
      <c r="T2" s="9"/>
      <c r="U2" s="9"/>
      <c r="V2" s="9"/>
      <c r="W2" s="9"/>
      <c r="X2" s="9"/>
    </row>
    <row r="3">
      <c r="A3" s="10" t="s">
        <v>16</v>
      </c>
      <c r="B3" s="10">
        <v>4320.0</v>
      </c>
      <c r="C3" s="10" t="s">
        <v>17</v>
      </c>
      <c r="D3" s="11" t="s">
        <v>21</v>
      </c>
      <c r="E3" s="12" t="s">
        <v>22</v>
      </c>
      <c r="F3" s="11" t="s">
        <v>23</v>
      </c>
      <c r="G3" s="13"/>
      <c r="H3" s="12">
        <v>36358.0</v>
      </c>
      <c r="I3" s="12">
        <v>45027.0</v>
      </c>
      <c r="J3" s="13"/>
      <c r="K3" s="7">
        <f t="shared" si="1"/>
        <v>30</v>
      </c>
      <c r="L3" s="8">
        <v>45231.0</v>
      </c>
      <c r="M3" s="8">
        <v>45260.0</v>
      </c>
      <c r="N3" s="9">
        <f t="shared" si="2"/>
        <v>320</v>
      </c>
      <c r="O3" s="9">
        <f t="shared" si="3"/>
        <v>1600</v>
      </c>
      <c r="P3" s="9">
        <f t="shared" si="4"/>
        <v>1920</v>
      </c>
      <c r="Q3" s="9"/>
      <c r="R3" s="9"/>
      <c r="S3" s="9"/>
      <c r="T3" s="9"/>
      <c r="U3" s="9"/>
      <c r="V3" s="9"/>
      <c r="W3" s="9"/>
      <c r="X3" s="9"/>
    </row>
    <row r="4">
      <c r="A4" s="11" t="s">
        <v>16</v>
      </c>
      <c r="B4" s="11">
        <v>4320.0</v>
      </c>
      <c r="C4" s="11" t="s">
        <v>17</v>
      </c>
      <c r="D4" s="10" t="s">
        <v>24</v>
      </c>
      <c r="E4" s="14" t="s">
        <v>25</v>
      </c>
      <c r="F4" s="10" t="s">
        <v>26</v>
      </c>
      <c r="G4" s="15"/>
      <c r="H4" s="14">
        <v>36860.0</v>
      </c>
      <c r="I4" s="14">
        <v>45124.0</v>
      </c>
      <c r="J4" s="15"/>
      <c r="K4" s="7">
        <f t="shared" si="1"/>
        <v>30</v>
      </c>
      <c r="L4" s="8">
        <v>45231.0</v>
      </c>
      <c r="M4" s="8">
        <v>45260.0</v>
      </c>
      <c r="N4" s="9">
        <f t="shared" si="2"/>
        <v>320</v>
      </c>
      <c r="O4" s="9">
        <f t="shared" si="3"/>
        <v>1600</v>
      </c>
      <c r="P4" s="9">
        <f t="shared" si="4"/>
        <v>1920</v>
      </c>
      <c r="Q4" s="9"/>
      <c r="R4" s="9"/>
      <c r="S4" s="9"/>
      <c r="T4" s="9"/>
      <c r="U4" s="9"/>
      <c r="V4" s="9"/>
      <c r="W4" s="9"/>
      <c r="X4" s="9"/>
    </row>
    <row r="5">
      <c r="A5" s="10" t="s">
        <v>16</v>
      </c>
      <c r="B5" s="10">
        <v>4320.0</v>
      </c>
      <c r="C5" s="10" t="s">
        <v>17</v>
      </c>
      <c r="D5" s="11" t="s">
        <v>27</v>
      </c>
      <c r="E5" s="12" t="s">
        <v>28</v>
      </c>
      <c r="F5" s="11" t="s">
        <v>29</v>
      </c>
      <c r="G5" s="13"/>
      <c r="H5" s="12">
        <v>36257.0</v>
      </c>
      <c r="I5" s="12">
        <v>45019.0</v>
      </c>
      <c r="J5" s="12">
        <v>45260.0</v>
      </c>
      <c r="K5" s="7">
        <f t="shared" si="1"/>
        <v>30</v>
      </c>
      <c r="L5" s="8">
        <v>45231.0</v>
      </c>
      <c r="M5" s="8">
        <v>45260.0</v>
      </c>
      <c r="N5" s="9">
        <f t="shared" si="2"/>
        <v>320</v>
      </c>
      <c r="O5" s="9">
        <f t="shared" si="3"/>
        <v>1600</v>
      </c>
      <c r="P5" s="9">
        <f t="shared" si="4"/>
        <v>1920</v>
      </c>
      <c r="Q5" s="9"/>
      <c r="R5" s="9"/>
      <c r="S5" s="9"/>
      <c r="T5" s="9"/>
      <c r="U5" s="9"/>
      <c r="V5" s="9"/>
      <c r="W5" s="9"/>
      <c r="X5" s="9"/>
    </row>
    <row r="6">
      <c r="A6" s="10" t="s">
        <v>16</v>
      </c>
      <c r="B6" s="10">
        <v>4320.0</v>
      </c>
      <c r="C6" s="10" t="s">
        <v>17</v>
      </c>
      <c r="D6" s="11" t="s">
        <v>30</v>
      </c>
      <c r="E6" s="12" t="s">
        <v>31</v>
      </c>
      <c r="F6" s="11" t="s">
        <v>32</v>
      </c>
      <c r="G6" s="13"/>
      <c r="H6" s="12">
        <v>35997.0</v>
      </c>
      <c r="I6" s="12">
        <v>45061.0</v>
      </c>
      <c r="J6" s="13"/>
      <c r="K6" s="7">
        <f t="shared" si="1"/>
        <v>30</v>
      </c>
      <c r="L6" s="8">
        <v>45231.0</v>
      </c>
      <c r="M6" s="8">
        <v>45260.0</v>
      </c>
      <c r="N6" s="9">
        <f t="shared" si="2"/>
        <v>320</v>
      </c>
      <c r="O6" s="9">
        <f t="shared" si="3"/>
        <v>1600</v>
      </c>
      <c r="P6" s="9">
        <f t="shared" si="4"/>
        <v>1920</v>
      </c>
      <c r="Q6" s="9"/>
      <c r="R6" s="9"/>
      <c r="S6" s="9"/>
      <c r="T6" s="9"/>
      <c r="U6" s="9"/>
      <c r="V6" s="9"/>
      <c r="W6" s="9"/>
      <c r="X6" s="9"/>
    </row>
    <row r="7">
      <c r="A7" s="10" t="s">
        <v>16</v>
      </c>
      <c r="B7" s="10">
        <v>4320.0</v>
      </c>
      <c r="C7" s="10" t="s">
        <v>17</v>
      </c>
      <c r="D7" s="11" t="s">
        <v>33</v>
      </c>
      <c r="E7" s="12" t="s">
        <v>34</v>
      </c>
      <c r="F7" s="11" t="s">
        <v>35</v>
      </c>
      <c r="G7" s="13"/>
      <c r="H7" s="12">
        <v>35053.0</v>
      </c>
      <c r="I7" s="12">
        <v>45173.0</v>
      </c>
      <c r="J7" s="12"/>
      <c r="K7" s="7">
        <f t="shared" si="1"/>
        <v>30</v>
      </c>
      <c r="L7" s="8">
        <v>45231.0</v>
      </c>
      <c r="M7" s="8">
        <v>45260.0</v>
      </c>
      <c r="N7" s="9">
        <f t="shared" si="2"/>
        <v>320</v>
      </c>
      <c r="O7" s="9">
        <f t="shared" si="3"/>
        <v>1600</v>
      </c>
      <c r="P7" s="9">
        <f t="shared" si="4"/>
        <v>1920</v>
      </c>
      <c r="Q7" s="9"/>
      <c r="R7" s="9"/>
      <c r="S7" s="9"/>
      <c r="T7" s="9"/>
      <c r="U7" s="9"/>
      <c r="V7" s="9"/>
      <c r="W7" s="9"/>
      <c r="X7" s="9"/>
    </row>
    <row r="8">
      <c r="A8" s="11" t="s">
        <v>16</v>
      </c>
      <c r="B8" s="11">
        <v>4320.0</v>
      </c>
      <c r="C8" s="11" t="s">
        <v>17</v>
      </c>
      <c r="D8" s="11" t="s">
        <v>231</v>
      </c>
      <c r="E8" s="12" t="s">
        <v>232</v>
      </c>
      <c r="F8" s="11" t="s">
        <v>233</v>
      </c>
      <c r="G8" s="13"/>
      <c r="H8" s="12">
        <v>36634.0</v>
      </c>
      <c r="I8" s="12">
        <v>45251.0</v>
      </c>
      <c r="J8" s="13"/>
      <c r="K8" s="7">
        <f t="shared" si="1"/>
        <v>10</v>
      </c>
      <c r="L8" s="8">
        <v>45231.0</v>
      </c>
      <c r="M8" s="8">
        <v>45260.0</v>
      </c>
      <c r="N8" s="9">
        <f t="shared" si="2"/>
        <v>107</v>
      </c>
      <c r="O8" s="9">
        <f t="shared" si="3"/>
        <v>535</v>
      </c>
      <c r="P8" s="9">
        <f t="shared" si="4"/>
        <v>642</v>
      </c>
      <c r="Q8" s="9"/>
      <c r="R8" s="9"/>
      <c r="S8" s="9"/>
      <c r="T8" s="9"/>
      <c r="U8" s="9"/>
      <c r="V8" s="9"/>
      <c r="W8" s="9"/>
      <c r="X8" s="9"/>
    </row>
    <row r="9">
      <c r="A9" s="11" t="s">
        <v>16</v>
      </c>
      <c r="B9" s="11">
        <v>4320.0</v>
      </c>
      <c r="C9" s="11" t="s">
        <v>17</v>
      </c>
      <c r="D9" s="11" t="s">
        <v>36</v>
      </c>
      <c r="E9" s="12" t="s">
        <v>37</v>
      </c>
      <c r="F9" s="11" t="s">
        <v>38</v>
      </c>
      <c r="G9" s="13"/>
      <c r="H9" s="12">
        <v>33408.0</v>
      </c>
      <c r="I9" s="12">
        <v>45078.0</v>
      </c>
      <c r="J9" s="12"/>
      <c r="K9" s="7">
        <f t="shared" si="1"/>
        <v>30</v>
      </c>
      <c r="L9" s="8">
        <v>45231.0</v>
      </c>
      <c r="M9" s="8">
        <v>45260.0</v>
      </c>
      <c r="N9" s="9">
        <f t="shared" si="2"/>
        <v>320</v>
      </c>
      <c r="O9" s="9">
        <f t="shared" si="3"/>
        <v>1600</v>
      </c>
      <c r="P9" s="9">
        <f t="shared" si="4"/>
        <v>1920</v>
      </c>
      <c r="Q9" s="9"/>
      <c r="R9" s="9"/>
      <c r="S9" s="9"/>
      <c r="T9" s="9"/>
      <c r="U9" s="9"/>
      <c r="V9" s="9"/>
      <c r="W9" s="9"/>
      <c r="X9" s="9"/>
    </row>
    <row r="10">
      <c r="A10" s="11" t="s">
        <v>16</v>
      </c>
      <c r="B10" s="11">
        <v>4320.0</v>
      </c>
      <c r="C10" s="11" t="s">
        <v>17</v>
      </c>
      <c r="D10" s="11" t="s">
        <v>39</v>
      </c>
      <c r="E10" s="12" t="s">
        <v>40</v>
      </c>
      <c r="F10" s="11" t="s">
        <v>41</v>
      </c>
      <c r="G10" s="13"/>
      <c r="H10" s="12">
        <v>35983.0</v>
      </c>
      <c r="I10" s="12">
        <v>45082.0</v>
      </c>
      <c r="J10" s="12"/>
      <c r="K10" s="7">
        <f t="shared" si="1"/>
        <v>30</v>
      </c>
      <c r="L10" s="8">
        <v>45231.0</v>
      </c>
      <c r="M10" s="8">
        <v>45260.0</v>
      </c>
      <c r="N10" s="9">
        <f t="shared" si="2"/>
        <v>320</v>
      </c>
      <c r="O10" s="9">
        <f t="shared" si="3"/>
        <v>1600</v>
      </c>
      <c r="P10" s="9">
        <f t="shared" si="4"/>
        <v>1920</v>
      </c>
      <c r="Q10" s="9"/>
      <c r="R10" s="9"/>
      <c r="S10" s="9"/>
      <c r="T10" s="9"/>
      <c r="U10" s="9"/>
      <c r="V10" s="9"/>
      <c r="W10" s="9"/>
      <c r="X10" s="9"/>
    </row>
    <row r="11">
      <c r="A11" s="11" t="s">
        <v>16</v>
      </c>
      <c r="B11" s="11">
        <v>4320.0</v>
      </c>
      <c r="C11" s="11" t="s">
        <v>17</v>
      </c>
      <c r="D11" s="35" t="s">
        <v>234</v>
      </c>
      <c r="E11" s="12" t="s">
        <v>235</v>
      </c>
      <c r="F11" s="11" t="s">
        <v>236</v>
      </c>
      <c r="G11" s="13"/>
      <c r="H11" s="12">
        <v>33048.0</v>
      </c>
      <c r="I11" s="36">
        <v>45250.0</v>
      </c>
      <c r="J11" s="12"/>
      <c r="K11" s="7">
        <f t="shared" si="1"/>
        <v>11</v>
      </c>
      <c r="L11" s="8">
        <v>45231.0</v>
      </c>
      <c r="M11" s="8">
        <v>45260.0</v>
      </c>
      <c r="N11" s="9">
        <f t="shared" si="2"/>
        <v>118</v>
      </c>
      <c r="O11" s="9">
        <f t="shared" si="3"/>
        <v>590</v>
      </c>
      <c r="P11" s="9">
        <f t="shared" si="4"/>
        <v>708</v>
      </c>
      <c r="Q11" s="9"/>
      <c r="R11" s="9"/>
      <c r="S11" s="9"/>
      <c r="T11" s="9"/>
      <c r="U11" s="9"/>
      <c r="V11" s="9"/>
      <c r="W11" s="9"/>
      <c r="X11" s="9"/>
    </row>
    <row r="12">
      <c r="A12" s="10" t="s">
        <v>16</v>
      </c>
      <c r="B12" s="10">
        <v>4320.0</v>
      </c>
      <c r="C12" s="10" t="s">
        <v>17</v>
      </c>
      <c r="D12" s="10" t="s">
        <v>42</v>
      </c>
      <c r="E12" s="14" t="s">
        <v>43</v>
      </c>
      <c r="F12" s="10" t="s">
        <v>44</v>
      </c>
      <c r="G12" s="15"/>
      <c r="H12" s="14">
        <v>34684.0</v>
      </c>
      <c r="I12" s="14">
        <v>44958.0</v>
      </c>
      <c r="J12" s="14">
        <v>45256.0</v>
      </c>
      <c r="K12" s="7">
        <f t="shared" si="1"/>
        <v>26</v>
      </c>
      <c r="L12" s="8">
        <v>45231.0</v>
      </c>
      <c r="M12" s="8">
        <v>45260.0</v>
      </c>
      <c r="N12" s="9">
        <f t="shared" si="2"/>
        <v>278</v>
      </c>
      <c r="O12" s="9">
        <f t="shared" si="3"/>
        <v>1390</v>
      </c>
      <c r="P12" s="9">
        <f t="shared" si="4"/>
        <v>1668</v>
      </c>
      <c r="Q12" s="9"/>
      <c r="R12" s="9"/>
      <c r="S12" s="9"/>
      <c r="T12" s="9"/>
      <c r="U12" s="9"/>
      <c r="V12" s="9"/>
      <c r="W12" s="9"/>
      <c r="X12" s="9"/>
    </row>
    <row r="13">
      <c r="A13" s="10" t="s">
        <v>16</v>
      </c>
      <c r="B13" s="10">
        <v>4320.0</v>
      </c>
      <c r="C13" s="10" t="s">
        <v>17</v>
      </c>
      <c r="D13" s="11" t="s">
        <v>45</v>
      </c>
      <c r="E13" s="12" t="s">
        <v>46</v>
      </c>
      <c r="F13" s="11" t="s">
        <v>47</v>
      </c>
      <c r="G13" s="13"/>
      <c r="H13" s="12">
        <v>37370.0</v>
      </c>
      <c r="I13" s="12">
        <v>44739.0</v>
      </c>
      <c r="J13" s="13"/>
      <c r="K13" s="7">
        <f t="shared" si="1"/>
        <v>30</v>
      </c>
      <c r="L13" s="8">
        <v>45231.0</v>
      </c>
      <c r="M13" s="8">
        <v>45260.0</v>
      </c>
      <c r="N13" s="9">
        <f t="shared" si="2"/>
        <v>320</v>
      </c>
      <c r="O13" s="9">
        <f t="shared" si="3"/>
        <v>1600</v>
      </c>
      <c r="P13" s="9">
        <f t="shared" si="4"/>
        <v>1920</v>
      </c>
      <c r="Q13" s="9"/>
      <c r="R13" s="9"/>
      <c r="S13" s="9"/>
      <c r="T13" s="9"/>
      <c r="U13" s="9"/>
      <c r="V13" s="9"/>
      <c r="W13" s="9"/>
      <c r="X13" s="9"/>
    </row>
    <row r="14">
      <c r="A14" s="10" t="s">
        <v>16</v>
      </c>
      <c r="B14" s="10">
        <v>4320.0</v>
      </c>
      <c r="C14" s="10" t="s">
        <v>17</v>
      </c>
      <c r="D14" s="11" t="s">
        <v>48</v>
      </c>
      <c r="E14" s="12" t="s">
        <v>49</v>
      </c>
      <c r="F14" s="11" t="s">
        <v>50</v>
      </c>
      <c r="G14" s="13"/>
      <c r="H14" s="12">
        <v>36399.0</v>
      </c>
      <c r="I14" s="12">
        <v>45229.0</v>
      </c>
      <c r="J14" s="13"/>
      <c r="K14" s="7">
        <f t="shared" si="1"/>
        <v>30</v>
      </c>
      <c r="L14" s="8">
        <v>45231.0</v>
      </c>
      <c r="M14" s="8">
        <v>45260.0</v>
      </c>
      <c r="N14" s="9">
        <f t="shared" si="2"/>
        <v>320</v>
      </c>
      <c r="O14" s="9">
        <f t="shared" si="3"/>
        <v>1600</v>
      </c>
      <c r="P14" s="9">
        <f t="shared" si="4"/>
        <v>1920</v>
      </c>
      <c r="Q14" s="9"/>
      <c r="R14" s="9"/>
      <c r="S14" s="9"/>
      <c r="T14" s="9"/>
      <c r="U14" s="9"/>
      <c r="V14" s="9"/>
      <c r="W14" s="9"/>
      <c r="X14" s="9"/>
    </row>
    <row r="15">
      <c r="A15" s="11" t="s">
        <v>16</v>
      </c>
      <c r="B15" s="11">
        <v>4320.0</v>
      </c>
      <c r="C15" s="11" t="s">
        <v>17</v>
      </c>
      <c r="D15" s="10" t="s">
        <v>51</v>
      </c>
      <c r="E15" s="14" t="s">
        <v>52</v>
      </c>
      <c r="F15" s="10" t="s">
        <v>53</v>
      </c>
      <c r="G15" s="15"/>
      <c r="H15" s="14">
        <v>34601.0</v>
      </c>
      <c r="I15" s="14">
        <v>44986.0</v>
      </c>
      <c r="J15" s="15"/>
      <c r="K15" s="7">
        <f t="shared" si="1"/>
        <v>30</v>
      </c>
      <c r="L15" s="8">
        <v>45231.0</v>
      </c>
      <c r="M15" s="8">
        <v>45260.0</v>
      </c>
      <c r="N15" s="9">
        <f t="shared" si="2"/>
        <v>320</v>
      </c>
      <c r="O15" s="9">
        <f t="shared" si="3"/>
        <v>1600</v>
      </c>
      <c r="P15" s="9">
        <f t="shared" si="4"/>
        <v>1920</v>
      </c>
      <c r="Q15" s="9"/>
      <c r="R15" s="9"/>
      <c r="S15" s="9"/>
      <c r="T15" s="9"/>
      <c r="U15" s="9"/>
      <c r="V15" s="9"/>
      <c r="W15" s="9"/>
      <c r="X15" s="9"/>
    </row>
    <row r="16">
      <c r="A16" s="11" t="s">
        <v>16</v>
      </c>
      <c r="B16" s="11">
        <v>4320.0</v>
      </c>
      <c r="C16" s="11" t="s">
        <v>17</v>
      </c>
      <c r="D16" s="11" t="s">
        <v>54</v>
      </c>
      <c r="E16" s="12" t="s">
        <v>55</v>
      </c>
      <c r="F16" s="11" t="s">
        <v>56</v>
      </c>
      <c r="G16" s="13"/>
      <c r="H16" s="12">
        <v>37244.0</v>
      </c>
      <c r="I16" s="12">
        <v>45173.0</v>
      </c>
      <c r="J16" s="12"/>
      <c r="K16" s="7">
        <f t="shared" si="1"/>
        <v>30</v>
      </c>
      <c r="L16" s="8">
        <v>45231.0</v>
      </c>
      <c r="M16" s="8">
        <v>45260.0</v>
      </c>
      <c r="N16" s="9">
        <f t="shared" si="2"/>
        <v>320</v>
      </c>
      <c r="O16" s="9">
        <f t="shared" si="3"/>
        <v>1600</v>
      </c>
      <c r="P16" s="9">
        <f t="shared" si="4"/>
        <v>1920</v>
      </c>
      <c r="Q16" s="9"/>
      <c r="R16" s="9"/>
      <c r="S16" s="9"/>
      <c r="T16" s="9"/>
      <c r="U16" s="9"/>
      <c r="V16" s="9"/>
      <c r="W16" s="9"/>
      <c r="X16" s="9"/>
    </row>
    <row r="17">
      <c r="A17" s="11" t="s">
        <v>16</v>
      </c>
      <c r="B17" s="11">
        <v>4320.0</v>
      </c>
      <c r="C17" s="11" t="s">
        <v>17</v>
      </c>
      <c r="D17" s="10" t="s">
        <v>57</v>
      </c>
      <c r="E17" s="14" t="s">
        <v>58</v>
      </c>
      <c r="F17" s="10" t="s">
        <v>59</v>
      </c>
      <c r="G17" s="15"/>
      <c r="H17" s="14">
        <v>35704.0</v>
      </c>
      <c r="I17" s="14">
        <v>44760.0</v>
      </c>
      <c r="J17" s="15"/>
      <c r="K17" s="7">
        <f t="shared" si="1"/>
        <v>30</v>
      </c>
      <c r="L17" s="8">
        <v>45231.0</v>
      </c>
      <c r="M17" s="8">
        <v>45260.0</v>
      </c>
      <c r="N17" s="9">
        <f t="shared" si="2"/>
        <v>320</v>
      </c>
      <c r="O17" s="9">
        <f t="shared" si="3"/>
        <v>1600</v>
      </c>
      <c r="P17" s="9">
        <f t="shared" si="4"/>
        <v>1920</v>
      </c>
      <c r="Q17" s="9"/>
      <c r="R17" s="9"/>
      <c r="S17" s="9"/>
      <c r="T17" s="9"/>
      <c r="U17" s="9"/>
      <c r="V17" s="9"/>
      <c r="W17" s="9"/>
      <c r="X17" s="9"/>
    </row>
    <row r="18">
      <c r="A18" s="10" t="s">
        <v>16</v>
      </c>
      <c r="B18" s="10">
        <v>4320.0</v>
      </c>
      <c r="C18" s="10" t="s">
        <v>17</v>
      </c>
      <c r="D18" s="11" t="s">
        <v>60</v>
      </c>
      <c r="E18" s="12" t="s">
        <v>61</v>
      </c>
      <c r="F18" s="11" t="s">
        <v>62</v>
      </c>
      <c r="G18" s="13"/>
      <c r="H18" s="12">
        <v>36246.0</v>
      </c>
      <c r="I18" s="12">
        <v>44851.0</v>
      </c>
      <c r="J18" s="13"/>
      <c r="K18" s="7">
        <f t="shared" si="1"/>
        <v>30</v>
      </c>
      <c r="L18" s="8">
        <v>45231.0</v>
      </c>
      <c r="M18" s="8">
        <v>45260.0</v>
      </c>
      <c r="N18" s="9">
        <f t="shared" si="2"/>
        <v>320</v>
      </c>
      <c r="O18" s="9">
        <f t="shared" si="3"/>
        <v>1600</v>
      </c>
      <c r="P18" s="9">
        <f t="shared" si="4"/>
        <v>1920</v>
      </c>
      <c r="Q18" s="9"/>
      <c r="R18" s="9"/>
      <c r="S18" s="9"/>
      <c r="T18" s="9"/>
      <c r="U18" s="9"/>
      <c r="V18" s="9"/>
      <c r="W18" s="9"/>
      <c r="X18" s="9"/>
    </row>
    <row r="19">
      <c r="A19" s="11" t="s">
        <v>16</v>
      </c>
      <c r="B19" s="11">
        <v>4320.0</v>
      </c>
      <c r="C19" s="11" t="s">
        <v>17</v>
      </c>
      <c r="D19" s="10" t="s">
        <v>63</v>
      </c>
      <c r="E19" s="14" t="s">
        <v>64</v>
      </c>
      <c r="F19" s="10" t="s">
        <v>65</v>
      </c>
      <c r="G19" s="15"/>
      <c r="H19" s="14">
        <v>35606.0</v>
      </c>
      <c r="I19" s="14">
        <v>44896.0</v>
      </c>
      <c r="J19" s="15"/>
      <c r="K19" s="7">
        <f t="shared" si="1"/>
        <v>30</v>
      </c>
      <c r="L19" s="8">
        <v>45231.0</v>
      </c>
      <c r="M19" s="8">
        <v>45260.0</v>
      </c>
      <c r="N19" s="9">
        <f t="shared" si="2"/>
        <v>320</v>
      </c>
      <c r="O19" s="9">
        <f t="shared" si="3"/>
        <v>1600</v>
      </c>
      <c r="P19" s="9">
        <f t="shared" si="4"/>
        <v>1920</v>
      </c>
      <c r="Q19" s="9"/>
      <c r="R19" s="9"/>
      <c r="S19" s="9"/>
      <c r="T19" s="9"/>
      <c r="U19" s="9"/>
      <c r="V19" s="9"/>
      <c r="W19" s="9"/>
      <c r="X19" s="9"/>
    </row>
    <row r="20">
      <c r="A20" s="10" t="s">
        <v>16</v>
      </c>
      <c r="B20" s="10">
        <v>4320.0</v>
      </c>
      <c r="C20" s="10" t="s">
        <v>17</v>
      </c>
      <c r="D20" s="11" t="s">
        <v>66</v>
      </c>
      <c r="E20" s="12" t="s">
        <v>67</v>
      </c>
      <c r="F20" s="11" t="s">
        <v>68</v>
      </c>
      <c r="G20" s="13"/>
      <c r="H20" s="12">
        <v>34973.0</v>
      </c>
      <c r="I20" s="12">
        <v>44986.0</v>
      </c>
      <c r="J20" s="13"/>
      <c r="K20" s="7">
        <f t="shared" si="1"/>
        <v>30</v>
      </c>
      <c r="L20" s="8">
        <v>45231.0</v>
      </c>
      <c r="M20" s="8">
        <v>45260.0</v>
      </c>
      <c r="N20" s="9">
        <f t="shared" si="2"/>
        <v>320</v>
      </c>
      <c r="O20" s="9">
        <f t="shared" si="3"/>
        <v>1600</v>
      </c>
      <c r="P20" s="9">
        <f t="shared" si="4"/>
        <v>1920</v>
      </c>
      <c r="Q20" s="9"/>
      <c r="R20" s="9"/>
      <c r="S20" s="9"/>
      <c r="T20" s="9"/>
      <c r="U20" s="9"/>
      <c r="V20" s="9"/>
      <c r="W20" s="9"/>
      <c r="X20" s="9"/>
    </row>
    <row r="21">
      <c r="A21" s="11" t="s">
        <v>16</v>
      </c>
      <c r="B21" s="11">
        <v>4320.0</v>
      </c>
      <c r="C21" s="11" t="s">
        <v>17</v>
      </c>
      <c r="D21" s="10" t="s">
        <v>69</v>
      </c>
      <c r="E21" s="14" t="s">
        <v>70</v>
      </c>
      <c r="F21" s="10" t="s">
        <v>71</v>
      </c>
      <c r="G21" s="15"/>
      <c r="H21" s="14">
        <v>36891.0</v>
      </c>
      <c r="I21" s="14">
        <v>44739.0</v>
      </c>
      <c r="J21" s="15"/>
      <c r="K21" s="7">
        <f t="shared" si="1"/>
        <v>30</v>
      </c>
      <c r="L21" s="8">
        <v>45231.0</v>
      </c>
      <c r="M21" s="8">
        <v>45260.0</v>
      </c>
      <c r="N21" s="9">
        <f t="shared" si="2"/>
        <v>320</v>
      </c>
      <c r="O21" s="9">
        <f t="shared" si="3"/>
        <v>1600</v>
      </c>
      <c r="P21" s="9">
        <f t="shared" si="4"/>
        <v>1920</v>
      </c>
      <c r="Q21" s="9"/>
      <c r="R21" s="9"/>
      <c r="S21" s="9"/>
      <c r="T21" s="9"/>
      <c r="U21" s="9"/>
      <c r="V21" s="9"/>
      <c r="W21" s="9"/>
      <c r="X21" s="9"/>
    </row>
    <row r="22">
      <c r="A22" s="11" t="s">
        <v>16</v>
      </c>
      <c r="B22" s="11">
        <v>4320.0</v>
      </c>
      <c r="C22" s="11" t="s">
        <v>17</v>
      </c>
      <c r="D22" s="10" t="s">
        <v>72</v>
      </c>
      <c r="E22" s="14" t="s">
        <v>73</v>
      </c>
      <c r="F22" s="10" t="s">
        <v>74</v>
      </c>
      <c r="G22" s="15"/>
      <c r="H22" s="14">
        <v>37210.0</v>
      </c>
      <c r="I22" s="14">
        <v>44125.0</v>
      </c>
      <c r="J22" s="15"/>
      <c r="K22" s="7">
        <f t="shared" si="1"/>
        <v>30</v>
      </c>
      <c r="L22" s="8">
        <v>45231.0</v>
      </c>
      <c r="M22" s="8">
        <v>45260.0</v>
      </c>
      <c r="N22" s="9">
        <f t="shared" si="2"/>
        <v>320</v>
      </c>
      <c r="O22" s="9">
        <f t="shared" si="3"/>
        <v>1600</v>
      </c>
      <c r="P22" s="9">
        <f t="shared" si="4"/>
        <v>1920</v>
      </c>
      <c r="Q22" s="9"/>
      <c r="R22" s="9"/>
      <c r="S22" s="9"/>
      <c r="T22" s="9"/>
      <c r="U22" s="9"/>
      <c r="V22" s="9"/>
      <c r="W22" s="9"/>
      <c r="X22" s="9"/>
    </row>
    <row r="23">
      <c r="A23" s="10" t="s">
        <v>16</v>
      </c>
      <c r="B23" s="10">
        <v>4320.0</v>
      </c>
      <c r="C23" s="10" t="s">
        <v>17</v>
      </c>
      <c r="D23" s="11" t="s">
        <v>78</v>
      </c>
      <c r="E23" s="12" t="s">
        <v>79</v>
      </c>
      <c r="F23" s="11" t="s">
        <v>80</v>
      </c>
      <c r="G23" s="13"/>
      <c r="H23" s="12">
        <v>36401.0</v>
      </c>
      <c r="I23" s="12">
        <v>45096.0</v>
      </c>
      <c r="J23" s="13"/>
      <c r="K23" s="7">
        <f t="shared" si="1"/>
        <v>30</v>
      </c>
      <c r="L23" s="8">
        <v>45231.0</v>
      </c>
      <c r="M23" s="8">
        <v>45260.0</v>
      </c>
      <c r="N23" s="9">
        <f t="shared" si="2"/>
        <v>320</v>
      </c>
      <c r="O23" s="9">
        <f t="shared" si="3"/>
        <v>1600</v>
      </c>
      <c r="P23" s="9">
        <f t="shared" si="4"/>
        <v>1920</v>
      </c>
      <c r="Q23" s="9"/>
      <c r="R23" s="9"/>
      <c r="S23" s="9"/>
      <c r="T23" s="9"/>
      <c r="U23" s="9"/>
      <c r="V23" s="9"/>
      <c r="W23" s="9"/>
      <c r="X23" s="9"/>
    </row>
    <row r="24">
      <c r="A24" s="10" t="s">
        <v>16</v>
      </c>
      <c r="B24" s="10">
        <v>4320.0</v>
      </c>
      <c r="C24" s="10" t="s">
        <v>17</v>
      </c>
      <c r="D24" s="10" t="s">
        <v>81</v>
      </c>
      <c r="E24" s="14" t="s">
        <v>82</v>
      </c>
      <c r="F24" s="10" t="s">
        <v>83</v>
      </c>
      <c r="G24" s="15"/>
      <c r="H24" s="14">
        <v>36113.0</v>
      </c>
      <c r="I24" s="14">
        <v>44866.0</v>
      </c>
      <c r="J24" s="14"/>
      <c r="K24" s="7">
        <f t="shared" si="1"/>
        <v>30</v>
      </c>
      <c r="L24" s="8">
        <v>45231.0</v>
      </c>
      <c r="M24" s="8">
        <v>45260.0</v>
      </c>
      <c r="N24" s="9">
        <f t="shared" si="2"/>
        <v>320</v>
      </c>
      <c r="O24" s="9">
        <f t="shared" si="3"/>
        <v>1600</v>
      </c>
      <c r="P24" s="9">
        <f t="shared" si="4"/>
        <v>1920</v>
      </c>
      <c r="Q24" s="9"/>
      <c r="R24" s="9"/>
      <c r="S24" s="9"/>
      <c r="T24" s="9"/>
      <c r="U24" s="9"/>
      <c r="V24" s="9"/>
      <c r="W24" s="9"/>
      <c r="X24" s="9"/>
    </row>
    <row r="25">
      <c r="A25" s="11" t="s">
        <v>16</v>
      </c>
      <c r="B25" s="11">
        <v>4320.0</v>
      </c>
      <c r="C25" s="11" t="s">
        <v>17</v>
      </c>
      <c r="D25" s="10" t="s">
        <v>87</v>
      </c>
      <c r="E25" s="14" t="s">
        <v>88</v>
      </c>
      <c r="F25" s="10" t="s">
        <v>89</v>
      </c>
      <c r="G25" s="15"/>
      <c r="H25" s="14">
        <v>33737.0</v>
      </c>
      <c r="I25" s="14">
        <v>45139.0</v>
      </c>
      <c r="J25" s="15"/>
      <c r="K25" s="7">
        <f t="shared" si="1"/>
        <v>30</v>
      </c>
      <c r="L25" s="8">
        <v>45231.0</v>
      </c>
      <c r="M25" s="8">
        <v>45260.0</v>
      </c>
      <c r="N25" s="9">
        <f t="shared" si="2"/>
        <v>320</v>
      </c>
      <c r="O25" s="9">
        <f t="shared" si="3"/>
        <v>1600</v>
      </c>
      <c r="P25" s="9">
        <f t="shared" si="4"/>
        <v>1920</v>
      </c>
      <c r="Q25" s="9"/>
      <c r="R25" s="9"/>
      <c r="S25" s="9"/>
      <c r="T25" s="9"/>
      <c r="U25" s="9"/>
      <c r="V25" s="9"/>
      <c r="W25" s="9"/>
      <c r="X25" s="9"/>
    </row>
    <row r="26">
      <c r="A26" s="11" t="s">
        <v>16</v>
      </c>
      <c r="B26" s="11">
        <v>4320.0</v>
      </c>
      <c r="C26" s="11" t="s">
        <v>17</v>
      </c>
      <c r="D26" s="11" t="s">
        <v>90</v>
      </c>
      <c r="E26" s="12" t="s">
        <v>91</v>
      </c>
      <c r="F26" s="11" t="s">
        <v>92</v>
      </c>
      <c r="G26" s="13"/>
      <c r="H26" s="12">
        <v>33917.0</v>
      </c>
      <c r="I26" s="12">
        <v>45166.0</v>
      </c>
      <c r="J26" s="12"/>
      <c r="K26" s="7">
        <f t="shared" si="1"/>
        <v>30</v>
      </c>
      <c r="L26" s="8">
        <v>45231.0</v>
      </c>
      <c r="M26" s="8">
        <v>45260.0</v>
      </c>
      <c r="N26" s="9">
        <f t="shared" si="2"/>
        <v>320</v>
      </c>
      <c r="O26" s="9">
        <f t="shared" si="3"/>
        <v>1600</v>
      </c>
      <c r="P26" s="9">
        <f t="shared" si="4"/>
        <v>1920</v>
      </c>
      <c r="Q26" s="9"/>
      <c r="R26" s="9"/>
      <c r="S26" s="9"/>
      <c r="T26" s="9"/>
      <c r="U26" s="9"/>
      <c r="V26" s="9"/>
      <c r="W26" s="9"/>
      <c r="X26" s="9"/>
    </row>
    <row r="27">
      <c r="A27" s="10" t="s">
        <v>16</v>
      </c>
      <c r="B27" s="10">
        <v>4320.0</v>
      </c>
      <c r="C27" s="10" t="s">
        <v>17</v>
      </c>
      <c r="D27" s="10" t="s">
        <v>93</v>
      </c>
      <c r="E27" s="14" t="s">
        <v>94</v>
      </c>
      <c r="F27" s="20" t="s">
        <v>95</v>
      </c>
      <c r="G27" s="15"/>
      <c r="H27" s="14">
        <v>36502.0</v>
      </c>
      <c r="I27" s="14">
        <v>45098.0</v>
      </c>
      <c r="J27" s="14">
        <v>45246.0</v>
      </c>
      <c r="K27" s="7">
        <f t="shared" si="1"/>
        <v>16</v>
      </c>
      <c r="L27" s="8">
        <v>45231.0</v>
      </c>
      <c r="M27" s="8">
        <v>45260.0</v>
      </c>
      <c r="N27" s="9">
        <f t="shared" si="2"/>
        <v>171</v>
      </c>
      <c r="O27" s="9">
        <f t="shared" si="3"/>
        <v>855</v>
      </c>
      <c r="P27" s="9">
        <f t="shared" si="4"/>
        <v>1026</v>
      </c>
      <c r="Q27" s="9"/>
      <c r="R27" s="9"/>
      <c r="S27" s="9"/>
      <c r="T27" s="9"/>
      <c r="U27" s="9"/>
      <c r="V27" s="9"/>
      <c r="W27" s="9"/>
      <c r="X27" s="9"/>
    </row>
    <row r="28">
      <c r="A28" s="11" t="s">
        <v>16</v>
      </c>
      <c r="B28" s="11">
        <v>4320.0</v>
      </c>
      <c r="C28" s="11" t="s">
        <v>17</v>
      </c>
      <c r="D28" s="10" t="s">
        <v>96</v>
      </c>
      <c r="E28" s="14" t="s">
        <v>97</v>
      </c>
      <c r="F28" s="10" t="s">
        <v>98</v>
      </c>
      <c r="G28" s="15"/>
      <c r="H28" s="14">
        <v>36690.0</v>
      </c>
      <c r="I28" s="14">
        <v>44938.0</v>
      </c>
      <c r="J28" s="15"/>
      <c r="K28" s="7">
        <f t="shared" si="1"/>
        <v>30</v>
      </c>
      <c r="L28" s="8">
        <v>45231.0</v>
      </c>
      <c r="M28" s="8">
        <v>45260.0</v>
      </c>
      <c r="N28" s="9">
        <f t="shared" si="2"/>
        <v>320</v>
      </c>
      <c r="O28" s="9">
        <f t="shared" si="3"/>
        <v>1600</v>
      </c>
      <c r="P28" s="9">
        <f t="shared" si="4"/>
        <v>1920</v>
      </c>
      <c r="Q28" s="9"/>
      <c r="R28" s="9"/>
      <c r="S28" s="9"/>
      <c r="T28" s="9"/>
      <c r="U28" s="9"/>
      <c r="V28" s="9"/>
      <c r="W28" s="9"/>
      <c r="X28" s="9"/>
    </row>
    <row r="29">
      <c r="A29" s="10" t="s">
        <v>16</v>
      </c>
      <c r="B29" s="10">
        <v>4320.0</v>
      </c>
      <c r="C29" s="10" t="s">
        <v>17</v>
      </c>
      <c r="D29" s="11" t="s">
        <v>99</v>
      </c>
      <c r="E29" s="12" t="s">
        <v>100</v>
      </c>
      <c r="F29" s="11" t="s">
        <v>101</v>
      </c>
      <c r="G29" s="13"/>
      <c r="H29" s="12">
        <v>37240.0</v>
      </c>
      <c r="I29" s="12">
        <v>45176.0</v>
      </c>
      <c r="J29" s="13"/>
      <c r="K29" s="7">
        <f t="shared" si="1"/>
        <v>30</v>
      </c>
      <c r="L29" s="8">
        <v>45231.0</v>
      </c>
      <c r="M29" s="8">
        <v>45260.0</v>
      </c>
      <c r="N29" s="9">
        <f t="shared" si="2"/>
        <v>320</v>
      </c>
      <c r="O29" s="9">
        <f t="shared" si="3"/>
        <v>1600</v>
      </c>
      <c r="P29" s="9">
        <f t="shared" si="4"/>
        <v>1920</v>
      </c>
      <c r="Q29" s="9"/>
      <c r="R29" s="9"/>
      <c r="S29" s="9"/>
      <c r="T29" s="9"/>
      <c r="U29" s="9"/>
      <c r="V29" s="9"/>
      <c r="W29" s="9"/>
      <c r="X29" s="9"/>
    </row>
    <row r="30">
      <c r="A30" s="11" t="s">
        <v>16</v>
      </c>
      <c r="B30" s="11">
        <v>4320.0</v>
      </c>
      <c r="C30" s="11" t="s">
        <v>17</v>
      </c>
      <c r="D30" s="10" t="s">
        <v>105</v>
      </c>
      <c r="E30" s="14" t="s">
        <v>106</v>
      </c>
      <c r="F30" s="10" t="s">
        <v>107</v>
      </c>
      <c r="G30" s="15"/>
      <c r="H30" s="14">
        <v>37136.0</v>
      </c>
      <c r="I30" s="14">
        <v>45201.0</v>
      </c>
      <c r="J30" s="14"/>
      <c r="K30" s="7">
        <f t="shared" si="1"/>
        <v>30</v>
      </c>
      <c r="L30" s="8">
        <v>45231.0</v>
      </c>
      <c r="M30" s="8">
        <v>45260.0</v>
      </c>
      <c r="N30" s="9">
        <f t="shared" si="2"/>
        <v>320</v>
      </c>
      <c r="O30" s="9">
        <f t="shared" si="3"/>
        <v>1600</v>
      </c>
      <c r="P30" s="9">
        <f t="shared" si="4"/>
        <v>1920</v>
      </c>
      <c r="Q30" s="9"/>
      <c r="R30" s="9"/>
      <c r="S30" s="9"/>
      <c r="T30" s="9"/>
      <c r="U30" s="9"/>
      <c r="V30" s="9"/>
      <c r="W30" s="9"/>
      <c r="X30" s="9"/>
    </row>
    <row r="31">
      <c r="A31" s="11" t="s">
        <v>16</v>
      </c>
      <c r="B31" s="11">
        <v>4320.0</v>
      </c>
      <c r="C31" s="11" t="s">
        <v>17</v>
      </c>
      <c r="D31" s="10" t="s">
        <v>108</v>
      </c>
      <c r="E31" s="14" t="s">
        <v>109</v>
      </c>
      <c r="F31" s="10" t="s">
        <v>110</v>
      </c>
      <c r="G31" s="15"/>
      <c r="H31" s="14">
        <v>35943.0</v>
      </c>
      <c r="I31" s="14">
        <v>45215.0</v>
      </c>
      <c r="J31" s="15"/>
      <c r="K31" s="7">
        <f t="shared" si="1"/>
        <v>30</v>
      </c>
      <c r="L31" s="8">
        <v>45231.0</v>
      </c>
      <c r="M31" s="8">
        <v>45260.0</v>
      </c>
      <c r="N31" s="9">
        <f t="shared" si="2"/>
        <v>320</v>
      </c>
      <c r="O31" s="9">
        <f t="shared" si="3"/>
        <v>1600</v>
      </c>
      <c r="P31" s="9">
        <f t="shared" si="4"/>
        <v>1920</v>
      </c>
      <c r="Q31" s="9"/>
      <c r="R31" s="9"/>
      <c r="S31" s="9"/>
      <c r="T31" s="9"/>
      <c r="U31" s="9"/>
      <c r="V31" s="9"/>
      <c r="W31" s="9"/>
      <c r="X31" s="9"/>
    </row>
    <row r="32">
      <c r="A32" s="22" t="s">
        <v>16</v>
      </c>
      <c r="B32" s="22">
        <v>4320.0</v>
      </c>
      <c r="C32" s="22" t="s">
        <v>17</v>
      </c>
      <c r="D32" s="22" t="s">
        <v>111</v>
      </c>
      <c r="E32" s="23" t="s">
        <v>112</v>
      </c>
      <c r="F32" s="22" t="s">
        <v>113</v>
      </c>
      <c r="G32" s="24"/>
      <c r="H32" s="23">
        <v>36898.0</v>
      </c>
      <c r="I32" s="23">
        <v>44988.0</v>
      </c>
      <c r="J32" s="24"/>
      <c r="K32" s="25">
        <f t="shared" si="1"/>
        <v>30</v>
      </c>
      <c r="L32" s="26">
        <v>45231.0</v>
      </c>
      <c r="M32" s="26">
        <v>45260.0</v>
      </c>
      <c r="N32" s="27">
        <f t="shared" si="2"/>
        <v>320</v>
      </c>
      <c r="O32" s="27">
        <f t="shared" si="3"/>
        <v>1600</v>
      </c>
      <c r="P32" s="27">
        <f t="shared" si="4"/>
        <v>1920</v>
      </c>
      <c r="Q32" s="27"/>
      <c r="R32" s="27"/>
      <c r="S32" s="27"/>
      <c r="T32" s="27"/>
      <c r="U32" s="27"/>
      <c r="V32" s="27"/>
      <c r="W32" s="27"/>
      <c r="X32" s="27"/>
    </row>
    <row r="33">
      <c r="A33" s="11" t="s">
        <v>16</v>
      </c>
      <c r="B33" s="11">
        <v>4320.0</v>
      </c>
      <c r="C33" s="11" t="s">
        <v>17</v>
      </c>
      <c r="D33" s="11" t="s">
        <v>114</v>
      </c>
      <c r="E33" s="12" t="s">
        <v>115</v>
      </c>
      <c r="F33" s="11" t="s">
        <v>116</v>
      </c>
      <c r="G33" s="13"/>
      <c r="H33" s="12">
        <v>35159.0</v>
      </c>
      <c r="I33" s="12">
        <v>45078.0</v>
      </c>
      <c r="J33" s="12"/>
      <c r="K33" s="7">
        <f t="shared" si="1"/>
        <v>30</v>
      </c>
      <c r="L33" s="8">
        <v>45231.0</v>
      </c>
      <c r="M33" s="8">
        <v>45260.0</v>
      </c>
      <c r="N33" s="9">
        <f t="shared" si="2"/>
        <v>320</v>
      </c>
      <c r="O33" s="9">
        <f t="shared" si="3"/>
        <v>1600</v>
      </c>
      <c r="P33" s="9">
        <f t="shared" si="4"/>
        <v>1920</v>
      </c>
      <c r="Q33" s="9"/>
      <c r="R33" s="9"/>
      <c r="S33" s="9"/>
      <c r="T33" s="9"/>
      <c r="U33" s="9"/>
      <c r="V33" s="9"/>
      <c r="W33" s="9"/>
      <c r="X33" s="9"/>
    </row>
    <row r="34">
      <c r="A34" s="11" t="s">
        <v>16</v>
      </c>
      <c r="B34" s="11">
        <v>4320.0</v>
      </c>
      <c r="C34" s="11" t="s">
        <v>17</v>
      </c>
      <c r="D34" s="10" t="s">
        <v>120</v>
      </c>
      <c r="E34" s="14" t="s">
        <v>121</v>
      </c>
      <c r="F34" s="10" t="s">
        <v>122</v>
      </c>
      <c r="G34" s="15"/>
      <c r="H34" s="14">
        <v>36794.0</v>
      </c>
      <c r="I34" s="14">
        <v>44915.0</v>
      </c>
      <c r="J34" s="15"/>
      <c r="K34" s="7">
        <f t="shared" si="1"/>
        <v>30</v>
      </c>
      <c r="L34" s="8">
        <v>45231.0</v>
      </c>
      <c r="M34" s="8">
        <v>45260.0</v>
      </c>
      <c r="N34" s="9">
        <f t="shared" si="2"/>
        <v>320</v>
      </c>
      <c r="O34" s="9">
        <f t="shared" si="3"/>
        <v>1600</v>
      </c>
      <c r="P34" s="9">
        <f t="shared" si="4"/>
        <v>1920</v>
      </c>
      <c r="Q34" s="9"/>
      <c r="R34" s="9"/>
      <c r="S34" s="9"/>
      <c r="T34" s="9"/>
      <c r="U34" s="9"/>
      <c r="V34" s="9"/>
      <c r="W34" s="9"/>
      <c r="X34" s="9"/>
    </row>
    <row r="35">
      <c r="A35" s="10" t="s">
        <v>16</v>
      </c>
      <c r="B35" s="10">
        <v>4320.0</v>
      </c>
      <c r="C35" s="10" t="s">
        <v>17</v>
      </c>
      <c r="D35" s="11" t="s">
        <v>123</v>
      </c>
      <c r="E35" s="12" t="s">
        <v>124</v>
      </c>
      <c r="F35" s="11" t="s">
        <v>125</v>
      </c>
      <c r="G35" s="13"/>
      <c r="H35" s="12">
        <v>37149.0</v>
      </c>
      <c r="I35" s="12">
        <v>45124.0</v>
      </c>
      <c r="J35" s="13"/>
      <c r="K35" s="7">
        <f t="shared" si="1"/>
        <v>30</v>
      </c>
      <c r="L35" s="8">
        <v>45231.0</v>
      </c>
      <c r="M35" s="8">
        <v>45260.0</v>
      </c>
      <c r="N35" s="9">
        <f t="shared" si="2"/>
        <v>320</v>
      </c>
      <c r="O35" s="9">
        <f t="shared" si="3"/>
        <v>1600</v>
      </c>
      <c r="P35" s="9">
        <f t="shared" si="4"/>
        <v>1920</v>
      </c>
      <c r="Q35" s="9"/>
      <c r="R35" s="9"/>
      <c r="S35" s="9"/>
      <c r="T35" s="9"/>
      <c r="U35" s="9"/>
      <c r="V35" s="9"/>
      <c r="W35" s="9"/>
      <c r="X35" s="9"/>
    </row>
    <row r="36">
      <c r="A36" s="22" t="s">
        <v>16</v>
      </c>
      <c r="B36" s="22">
        <v>4320.0</v>
      </c>
      <c r="C36" s="22" t="s">
        <v>17</v>
      </c>
      <c r="D36" s="22" t="s">
        <v>126</v>
      </c>
      <c r="E36" s="23" t="s">
        <v>127</v>
      </c>
      <c r="F36" s="22" t="s">
        <v>128</v>
      </c>
      <c r="G36" s="24"/>
      <c r="H36" s="23">
        <v>35767.0</v>
      </c>
      <c r="I36" s="23">
        <v>45117.0</v>
      </c>
      <c r="J36" s="24"/>
      <c r="K36" s="25">
        <f t="shared" si="1"/>
        <v>30</v>
      </c>
      <c r="L36" s="26">
        <v>45231.0</v>
      </c>
      <c r="M36" s="26">
        <v>45260.0</v>
      </c>
      <c r="N36" s="27">
        <f t="shared" si="2"/>
        <v>320</v>
      </c>
      <c r="O36" s="27">
        <f t="shared" si="3"/>
        <v>1600</v>
      </c>
      <c r="P36" s="27">
        <f t="shared" si="4"/>
        <v>1920</v>
      </c>
      <c r="Q36" s="27"/>
      <c r="R36" s="27"/>
      <c r="S36" s="27"/>
      <c r="T36" s="27"/>
      <c r="U36" s="27"/>
      <c r="V36" s="27"/>
      <c r="W36" s="27"/>
      <c r="X36" s="27"/>
    </row>
    <row r="37">
      <c r="A37" s="11" t="s">
        <v>16</v>
      </c>
      <c r="B37" s="11">
        <v>4320.0</v>
      </c>
      <c r="C37" s="11" t="s">
        <v>17</v>
      </c>
      <c r="D37" s="20" t="s">
        <v>237</v>
      </c>
      <c r="E37" s="14" t="s">
        <v>238</v>
      </c>
      <c r="F37" s="10" t="s">
        <v>239</v>
      </c>
      <c r="G37" s="15"/>
      <c r="H37" s="14">
        <v>34503.0</v>
      </c>
      <c r="I37" s="41">
        <v>45246.0</v>
      </c>
      <c r="J37" s="14"/>
      <c r="K37" s="7">
        <f t="shared" si="1"/>
        <v>15</v>
      </c>
      <c r="L37" s="8">
        <v>45231.0</v>
      </c>
      <c r="M37" s="8">
        <v>45260.0</v>
      </c>
      <c r="N37" s="9">
        <f t="shared" si="2"/>
        <v>160</v>
      </c>
      <c r="O37" s="9">
        <f t="shared" si="3"/>
        <v>800</v>
      </c>
      <c r="P37" s="9">
        <f t="shared" si="4"/>
        <v>960</v>
      </c>
      <c r="Q37" s="9"/>
      <c r="R37" s="9"/>
      <c r="S37" s="9"/>
      <c r="T37" s="9"/>
      <c r="U37" s="9"/>
      <c r="V37" s="9"/>
      <c r="W37" s="9"/>
      <c r="X37" s="9"/>
    </row>
    <row r="38">
      <c r="A38" s="22" t="s">
        <v>16</v>
      </c>
      <c r="B38" s="22">
        <v>4320.0</v>
      </c>
      <c r="C38" s="22" t="s">
        <v>17</v>
      </c>
      <c r="D38" s="22" t="s">
        <v>129</v>
      </c>
      <c r="E38" s="23" t="s">
        <v>130</v>
      </c>
      <c r="F38" s="22" t="s">
        <v>131</v>
      </c>
      <c r="G38" s="24"/>
      <c r="H38" s="23">
        <v>36207.0</v>
      </c>
      <c r="I38" s="23">
        <v>45054.0</v>
      </c>
      <c r="J38" s="23"/>
      <c r="K38" s="25">
        <f t="shared" si="1"/>
        <v>30</v>
      </c>
      <c r="L38" s="26">
        <v>45231.0</v>
      </c>
      <c r="M38" s="26">
        <v>45260.0</v>
      </c>
      <c r="N38" s="27">
        <f t="shared" si="2"/>
        <v>320</v>
      </c>
      <c r="O38" s="27">
        <f t="shared" si="3"/>
        <v>1600</v>
      </c>
      <c r="P38" s="27">
        <f t="shared" si="4"/>
        <v>1920</v>
      </c>
      <c r="Q38" s="27"/>
      <c r="R38" s="27"/>
      <c r="S38" s="27"/>
      <c r="T38" s="27"/>
      <c r="U38" s="27"/>
      <c r="V38" s="27"/>
      <c r="W38" s="27"/>
      <c r="X38" s="27"/>
    </row>
    <row r="39">
      <c r="A39" s="11" t="s">
        <v>16</v>
      </c>
      <c r="B39" s="11">
        <v>4320.0</v>
      </c>
      <c r="C39" s="11" t="s">
        <v>17</v>
      </c>
      <c r="D39" s="10" t="s">
        <v>132</v>
      </c>
      <c r="E39" s="14" t="s">
        <v>133</v>
      </c>
      <c r="F39" s="10" t="s">
        <v>134</v>
      </c>
      <c r="G39" s="15"/>
      <c r="H39" s="14">
        <v>36480.0</v>
      </c>
      <c r="I39" s="28">
        <v>44970.0</v>
      </c>
      <c r="J39" s="14">
        <v>45260.0</v>
      </c>
      <c r="K39" s="7">
        <f t="shared" si="1"/>
        <v>30</v>
      </c>
      <c r="L39" s="8">
        <v>45231.0</v>
      </c>
      <c r="M39" s="8">
        <v>45260.0</v>
      </c>
      <c r="N39" s="9">
        <f t="shared" si="2"/>
        <v>320</v>
      </c>
      <c r="O39" s="9">
        <f t="shared" si="3"/>
        <v>1600</v>
      </c>
      <c r="P39" s="9">
        <f t="shared" si="4"/>
        <v>1920</v>
      </c>
      <c r="Q39" s="9"/>
      <c r="R39" s="9"/>
      <c r="S39" s="9"/>
      <c r="T39" s="9"/>
      <c r="U39" s="9"/>
      <c r="V39" s="9"/>
      <c r="W39" s="9"/>
      <c r="X39" s="9"/>
    </row>
    <row r="40">
      <c r="A40" s="22" t="s">
        <v>16</v>
      </c>
      <c r="B40" s="22">
        <v>4320.0</v>
      </c>
      <c r="C40" s="22" t="s">
        <v>17</v>
      </c>
      <c r="D40" s="22" t="s">
        <v>135</v>
      </c>
      <c r="E40" s="23" t="s">
        <v>136</v>
      </c>
      <c r="F40" s="22" t="s">
        <v>137</v>
      </c>
      <c r="G40" s="24"/>
      <c r="H40" s="23">
        <v>36768.0</v>
      </c>
      <c r="I40" s="23">
        <v>44888.0</v>
      </c>
      <c r="J40" s="24"/>
      <c r="K40" s="25">
        <f t="shared" si="1"/>
        <v>30</v>
      </c>
      <c r="L40" s="26">
        <v>45231.0</v>
      </c>
      <c r="M40" s="26">
        <v>45260.0</v>
      </c>
      <c r="N40" s="27">
        <f t="shared" si="2"/>
        <v>320</v>
      </c>
      <c r="O40" s="27">
        <f t="shared" si="3"/>
        <v>1600</v>
      </c>
      <c r="P40" s="27">
        <f t="shared" si="4"/>
        <v>1920</v>
      </c>
      <c r="Q40" s="27"/>
      <c r="R40" s="27"/>
      <c r="S40" s="27"/>
      <c r="T40" s="27"/>
      <c r="U40" s="27"/>
      <c r="V40" s="27"/>
      <c r="W40" s="27"/>
      <c r="X40" s="27"/>
    </row>
    <row r="41">
      <c r="A41" s="10" t="s">
        <v>16</v>
      </c>
      <c r="B41" s="10">
        <v>4320.0</v>
      </c>
      <c r="C41" s="10" t="s">
        <v>17</v>
      </c>
      <c r="D41" s="10" t="s">
        <v>138</v>
      </c>
      <c r="E41" s="14" t="s">
        <v>139</v>
      </c>
      <c r="F41" s="10" t="s">
        <v>140</v>
      </c>
      <c r="G41" s="15"/>
      <c r="H41" s="14">
        <v>36074.0</v>
      </c>
      <c r="I41" s="14">
        <v>45180.0</v>
      </c>
      <c r="J41" s="14">
        <v>45247.0</v>
      </c>
      <c r="K41" s="7">
        <f t="shared" si="1"/>
        <v>17</v>
      </c>
      <c r="L41" s="8">
        <v>45231.0</v>
      </c>
      <c r="M41" s="8">
        <v>45260.0</v>
      </c>
      <c r="N41" s="9">
        <f t="shared" si="2"/>
        <v>182</v>
      </c>
      <c r="O41" s="9">
        <f t="shared" si="3"/>
        <v>910</v>
      </c>
      <c r="P41" s="9">
        <f t="shared" si="4"/>
        <v>1092</v>
      </c>
      <c r="Q41" s="9"/>
      <c r="R41" s="9"/>
      <c r="S41" s="9"/>
      <c r="T41" s="9"/>
      <c r="U41" s="9"/>
      <c r="V41" s="9"/>
      <c r="W41" s="9"/>
      <c r="X41" s="9"/>
    </row>
    <row r="42">
      <c r="A42" s="10" t="s">
        <v>16</v>
      </c>
      <c r="B42" s="10">
        <v>4320.0</v>
      </c>
      <c r="C42" s="10" t="s">
        <v>17</v>
      </c>
      <c r="D42" s="11" t="s">
        <v>141</v>
      </c>
      <c r="E42" s="12" t="s">
        <v>142</v>
      </c>
      <c r="F42" s="11" t="s">
        <v>143</v>
      </c>
      <c r="G42" s="13"/>
      <c r="H42" s="12">
        <v>34300.0</v>
      </c>
      <c r="I42" s="12">
        <v>45183.0</v>
      </c>
      <c r="J42" s="13"/>
      <c r="K42" s="7">
        <f t="shared" si="1"/>
        <v>30</v>
      </c>
      <c r="L42" s="8">
        <v>45231.0</v>
      </c>
      <c r="M42" s="8">
        <v>45260.0</v>
      </c>
      <c r="N42" s="9">
        <f t="shared" si="2"/>
        <v>320</v>
      </c>
      <c r="O42" s="9">
        <f t="shared" si="3"/>
        <v>1600</v>
      </c>
      <c r="P42" s="9">
        <f t="shared" si="4"/>
        <v>1920</v>
      </c>
      <c r="Q42" s="9"/>
      <c r="R42" s="9"/>
      <c r="S42" s="9"/>
      <c r="T42" s="9"/>
      <c r="U42" s="9"/>
      <c r="V42" s="9"/>
      <c r="W42" s="9"/>
      <c r="X42" s="9"/>
    </row>
    <row r="43">
      <c r="A43" s="10" t="s">
        <v>16</v>
      </c>
      <c r="B43" s="10">
        <v>4320.0</v>
      </c>
      <c r="C43" s="10" t="s">
        <v>17</v>
      </c>
      <c r="D43" s="10" t="s">
        <v>144</v>
      </c>
      <c r="E43" s="14" t="s">
        <v>145</v>
      </c>
      <c r="F43" s="10" t="s">
        <v>146</v>
      </c>
      <c r="G43" s="15"/>
      <c r="H43" s="14">
        <v>36118.0</v>
      </c>
      <c r="I43" s="14">
        <v>44783.0</v>
      </c>
      <c r="J43" s="14">
        <v>45243.0</v>
      </c>
      <c r="K43" s="7">
        <f t="shared" si="1"/>
        <v>13</v>
      </c>
      <c r="L43" s="8">
        <v>45231.0</v>
      </c>
      <c r="M43" s="8">
        <v>45260.0</v>
      </c>
      <c r="N43" s="9">
        <f t="shared" si="2"/>
        <v>139</v>
      </c>
      <c r="O43" s="9">
        <f t="shared" si="3"/>
        <v>695</v>
      </c>
      <c r="P43" s="9">
        <f t="shared" si="4"/>
        <v>834</v>
      </c>
      <c r="Q43" s="9"/>
      <c r="R43" s="9"/>
      <c r="S43" s="9"/>
      <c r="T43" s="9"/>
      <c r="U43" s="9"/>
      <c r="V43" s="9"/>
      <c r="W43" s="9"/>
      <c r="X43" s="9"/>
    </row>
    <row r="44">
      <c r="A44" s="11" t="s">
        <v>16</v>
      </c>
      <c r="B44" s="11">
        <v>4320.0</v>
      </c>
      <c r="C44" s="11" t="s">
        <v>17</v>
      </c>
      <c r="D44" s="10" t="s">
        <v>147</v>
      </c>
      <c r="E44" s="14" t="s">
        <v>148</v>
      </c>
      <c r="F44" s="10" t="s">
        <v>149</v>
      </c>
      <c r="G44" s="15"/>
      <c r="H44" s="14">
        <v>36541.0</v>
      </c>
      <c r="I44" s="14">
        <v>44755.0</v>
      </c>
      <c r="J44" s="14"/>
      <c r="K44" s="7">
        <f t="shared" si="1"/>
        <v>30</v>
      </c>
      <c r="L44" s="8">
        <v>45231.0</v>
      </c>
      <c r="M44" s="8">
        <v>45260.0</v>
      </c>
      <c r="N44" s="9">
        <f t="shared" si="2"/>
        <v>320</v>
      </c>
      <c r="O44" s="9">
        <f t="shared" si="3"/>
        <v>1600</v>
      </c>
      <c r="P44" s="9">
        <f t="shared" si="4"/>
        <v>1920</v>
      </c>
      <c r="Q44" s="9"/>
      <c r="R44" s="9"/>
      <c r="S44" s="9"/>
      <c r="T44" s="9"/>
      <c r="U44" s="9"/>
      <c r="V44" s="9"/>
      <c r="W44" s="9"/>
      <c r="X44" s="9"/>
    </row>
    <row r="45">
      <c r="A45" s="10" t="s">
        <v>16</v>
      </c>
      <c r="B45" s="10">
        <v>4320.0</v>
      </c>
      <c r="C45" s="10" t="s">
        <v>17</v>
      </c>
      <c r="D45" s="11" t="s">
        <v>150</v>
      </c>
      <c r="E45" s="12" t="s">
        <v>151</v>
      </c>
      <c r="F45" s="11" t="s">
        <v>152</v>
      </c>
      <c r="G45" s="13"/>
      <c r="H45" s="12">
        <v>34335.0</v>
      </c>
      <c r="I45" s="12">
        <v>45078.0</v>
      </c>
      <c r="J45" s="12"/>
      <c r="K45" s="7">
        <f t="shared" si="1"/>
        <v>30</v>
      </c>
      <c r="L45" s="8">
        <v>45231.0</v>
      </c>
      <c r="M45" s="8">
        <v>45260.0</v>
      </c>
      <c r="N45" s="9">
        <f t="shared" si="2"/>
        <v>320</v>
      </c>
      <c r="O45" s="9">
        <f t="shared" si="3"/>
        <v>1600</v>
      </c>
      <c r="P45" s="9">
        <f t="shared" si="4"/>
        <v>1920</v>
      </c>
      <c r="Q45" s="9"/>
      <c r="R45" s="9"/>
      <c r="S45" s="9"/>
      <c r="T45" s="9"/>
      <c r="U45" s="9"/>
      <c r="V45" s="9"/>
      <c r="W45" s="9"/>
      <c r="X45" s="9"/>
    </row>
    <row r="46">
      <c r="A46" s="11" t="s">
        <v>16</v>
      </c>
      <c r="B46" s="11">
        <v>4320.0</v>
      </c>
      <c r="C46" s="11" t="s">
        <v>17</v>
      </c>
      <c r="D46" s="10" t="s">
        <v>153</v>
      </c>
      <c r="E46" s="14" t="s">
        <v>154</v>
      </c>
      <c r="F46" s="10" t="s">
        <v>155</v>
      </c>
      <c r="G46" s="15"/>
      <c r="H46" s="14">
        <v>31014.0</v>
      </c>
      <c r="I46" s="14">
        <v>44805.0</v>
      </c>
      <c r="J46" s="15"/>
      <c r="K46" s="7">
        <f t="shared" si="1"/>
        <v>30</v>
      </c>
      <c r="L46" s="8">
        <v>45231.0</v>
      </c>
      <c r="M46" s="8">
        <v>45260.0</v>
      </c>
      <c r="N46" s="9">
        <f t="shared" si="2"/>
        <v>320</v>
      </c>
      <c r="O46" s="9">
        <f t="shared" si="3"/>
        <v>1600</v>
      </c>
      <c r="P46" s="9">
        <f t="shared" si="4"/>
        <v>1920</v>
      </c>
      <c r="Q46" s="9"/>
      <c r="R46" s="9"/>
      <c r="S46" s="9"/>
      <c r="T46" s="9"/>
      <c r="U46" s="9"/>
      <c r="V46" s="9"/>
      <c r="W46" s="9"/>
      <c r="X46" s="9"/>
    </row>
    <row r="47">
      <c r="A47" s="10" t="s">
        <v>16</v>
      </c>
      <c r="B47" s="10">
        <v>4320.0</v>
      </c>
      <c r="C47" s="10" t="s">
        <v>17</v>
      </c>
      <c r="D47" s="10" t="s">
        <v>156</v>
      </c>
      <c r="E47" s="14" t="s">
        <v>157</v>
      </c>
      <c r="F47" s="10" t="s">
        <v>158</v>
      </c>
      <c r="G47" s="15"/>
      <c r="H47" s="14">
        <v>35150.0</v>
      </c>
      <c r="I47" s="14">
        <v>45079.0</v>
      </c>
      <c r="J47" s="14"/>
      <c r="K47" s="7">
        <f t="shared" si="1"/>
        <v>30</v>
      </c>
      <c r="L47" s="8">
        <v>45231.0</v>
      </c>
      <c r="M47" s="8">
        <v>45260.0</v>
      </c>
      <c r="N47" s="9">
        <f t="shared" si="2"/>
        <v>320</v>
      </c>
      <c r="O47" s="9">
        <f t="shared" si="3"/>
        <v>1600</v>
      </c>
      <c r="P47" s="9">
        <f t="shared" si="4"/>
        <v>1920</v>
      </c>
      <c r="Q47" s="9"/>
      <c r="R47" s="9"/>
      <c r="S47" s="9"/>
      <c r="T47" s="9"/>
      <c r="U47" s="9"/>
      <c r="V47" s="9"/>
      <c r="W47" s="9"/>
      <c r="X47" s="9"/>
    </row>
    <row r="48">
      <c r="A48" s="10" t="s">
        <v>16</v>
      </c>
      <c r="B48" s="10">
        <v>4320.0</v>
      </c>
      <c r="C48" s="10" t="s">
        <v>17</v>
      </c>
      <c r="D48" s="11" t="s">
        <v>159</v>
      </c>
      <c r="E48" s="12" t="s">
        <v>160</v>
      </c>
      <c r="F48" s="11" t="s">
        <v>161</v>
      </c>
      <c r="G48" s="13"/>
      <c r="H48" s="12">
        <v>35779.0</v>
      </c>
      <c r="I48" s="12">
        <v>45176.0</v>
      </c>
      <c r="J48" s="12"/>
      <c r="K48" s="7">
        <f t="shared" si="1"/>
        <v>30</v>
      </c>
      <c r="L48" s="8">
        <v>45231.0</v>
      </c>
      <c r="M48" s="8">
        <v>45260.0</v>
      </c>
      <c r="N48" s="9">
        <f t="shared" si="2"/>
        <v>320</v>
      </c>
      <c r="O48" s="9">
        <f t="shared" si="3"/>
        <v>1600</v>
      </c>
      <c r="P48" s="9">
        <f t="shared" si="4"/>
        <v>1920</v>
      </c>
      <c r="Q48" s="9"/>
      <c r="R48" s="9"/>
      <c r="S48" s="9"/>
      <c r="T48" s="9"/>
      <c r="U48" s="9"/>
      <c r="V48" s="9"/>
      <c r="W48" s="9"/>
      <c r="X48" s="9"/>
    </row>
    <row r="49">
      <c r="A49" s="11" t="s">
        <v>16</v>
      </c>
      <c r="B49" s="11">
        <v>4320.0</v>
      </c>
      <c r="C49" s="11" t="s">
        <v>17</v>
      </c>
      <c r="D49" s="10" t="s">
        <v>162</v>
      </c>
      <c r="E49" s="14" t="s">
        <v>163</v>
      </c>
      <c r="F49" s="10" t="s">
        <v>164</v>
      </c>
      <c r="G49" s="15"/>
      <c r="H49" s="14">
        <v>34732.0</v>
      </c>
      <c r="I49" s="14">
        <v>44986.0</v>
      </c>
      <c r="J49" s="15"/>
      <c r="K49" s="7">
        <f t="shared" si="1"/>
        <v>30</v>
      </c>
      <c r="L49" s="8">
        <v>45231.0</v>
      </c>
      <c r="M49" s="8">
        <v>45260.0</v>
      </c>
      <c r="N49" s="9">
        <f t="shared" si="2"/>
        <v>320</v>
      </c>
      <c r="O49" s="9">
        <f t="shared" si="3"/>
        <v>1600</v>
      </c>
      <c r="P49" s="9">
        <f t="shared" si="4"/>
        <v>1920</v>
      </c>
      <c r="Q49" s="9"/>
      <c r="R49" s="9"/>
      <c r="S49" s="9"/>
      <c r="T49" s="9"/>
      <c r="U49" s="9"/>
      <c r="V49" s="9"/>
      <c r="W49" s="9"/>
      <c r="X49" s="9"/>
    </row>
    <row r="50">
      <c r="A50" s="11" t="s">
        <v>16</v>
      </c>
      <c r="B50" s="11">
        <v>4320.0</v>
      </c>
      <c r="C50" s="11" t="s">
        <v>17</v>
      </c>
      <c r="D50" s="11" t="s">
        <v>165</v>
      </c>
      <c r="E50" s="12" t="s">
        <v>166</v>
      </c>
      <c r="F50" s="35" t="s">
        <v>167</v>
      </c>
      <c r="G50" s="13"/>
      <c r="H50" s="36">
        <v>35772.0</v>
      </c>
      <c r="I50" s="36">
        <v>45222.0</v>
      </c>
      <c r="J50" s="12">
        <v>45246.0</v>
      </c>
      <c r="K50" s="7">
        <f t="shared" si="1"/>
        <v>16</v>
      </c>
      <c r="L50" s="8">
        <v>45231.0</v>
      </c>
      <c r="M50" s="8">
        <v>45260.0</v>
      </c>
      <c r="N50" s="9">
        <f t="shared" si="2"/>
        <v>171</v>
      </c>
      <c r="O50" s="9">
        <f t="shared" si="3"/>
        <v>855</v>
      </c>
      <c r="P50" s="9">
        <f t="shared" si="4"/>
        <v>1026</v>
      </c>
      <c r="Q50" s="9"/>
      <c r="R50" s="9"/>
      <c r="S50" s="9"/>
      <c r="T50" s="9"/>
      <c r="U50" s="9"/>
      <c r="V50" s="9"/>
      <c r="W50" s="9"/>
      <c r="X50" s="9"/>
    </row>
    <row r="51">
      <c r="A51" s="22" t="s">
        <v>16</v>
      </c>
      <c r="B51" s="22">
        <v>4320.0</v>
      </c>
      <c r="C51" s="22" t="s">
        <v>17</v>
      </c>
      <c r="D51" s="22" t="s">
        <v>240</v>
      </c>
      <c r="E51" s="23" t="s">
        <v>241</v>
      </c>
      <c r="F51" s="22" t="s">
        <v>242</v>
      </c>
      <c r="G51" s="24"/>
      <c r="H51" s="23">
        <v>33762.0</v>
      </c>
      <c r="I51" s="23">
        <v>45229.0</v>
      </c>
      <c r="J51" s="24"/>
      <c r="K51" s="25">
        <f t="shared" si="1"/>
        <v>31</v>
      </c>
      <c r="L51" s="26">
        <v>45261.0</v>
      </c>
      <c r="M51" s="26">
        <v>45291.0</v>
      </c>
      <c r="N51" s="27">
        <f>ROUNDUP(K51/31*320,0)</f>
        <v>320</v>
      </c>
      <c r="O51" s="27">
        <f t="shared" si="3"/>
        <v>1600</v>
      </c>
      <c r="P51" s="27">
        <f t="shared" si="4"/>
        <v>1920</v>
      </c>
      <c r="Q51" s="42"/>
      <c r="R51" s="42"/>
      <c r="S51" s="42"/>
      <c r="T51" s="42"/>
      <c r="U51" s="42"/>
      <c r="V51" s="42"/>
      <c r="W51" s="42"/>
      <c r="X51" s="42"/>
    </row>
    <row r="52">
      <c r="A52" s="22" t="s">
        <v>16</v>
      </c>
      <c r="B52" s="22">
        <v>4320.0</v>
      </c>
      <c r="C52" s="22" t="s">
        <v>17</v>
      </c>
      <c r="D52" s="22" t="s">
        <v>168</v>
      </c>
      <c r="E52" s="23" t="s">
        <v>169</v>
      </c>
      <c r="F52" s="22" t="s">
        <v>170</v>
      </c>
      <c r="G52" s="24"/>
      <c r="H52" s="23">
        <v>35931.0</v>
      </c>
      <c r="I52" s="23">
        <v>44958.0</v>
      </c>
      <c r="J52" s="24"/>
      <c r="K52" s="25">
        <f t="shared" si="1"/>
        <v>30</v>
      </c>
      <c r="L52" s="26">
        <v>45231.0</v>
      </c>
      <c r="M52" s="26">
        <v>45260.0</v>
      </c>
      <c r="N52" s="27">
        <f t="shared" ref="N52:N71" si="5">ROUNDUP(K52/30*320,0)</f>
        <v>320</v>
      </c>
      <c r="O52" s="27">
        <f t="shared" si="3"/>
        <v>1600</v>
      </c>
      <c r="P52" s="27">
        <f t="shared" si="4"/>
        <v>1920</v>
      </c>
      <c r="Q52" s="27"/>
      <c r="R52" s="27"/>
      <c r="S52" s="27"/>
      <c r="T52" s="27"/>
      <c r="U52" s="27"/>
      <c r="V52" s="27"/>
      <c r="W52" s="27"/>
      <c r="X52" s="27"/>
    </row>
    <row r="53">
      <c r="A53" s="11" t="s">
        <v>16</v>
      </c>
      <c r="B53" s="11">
        <v>4320.0</v>
      </c>
      <c r="C53" s="11" t="s">
        <v>17</v>
      </c>
      <c r="D53" s="11" t="s">
        <v>171</v>
      </c>
      <c r="E53" s="12" t="s">
        <v>172</v>
      </c>
      <c r="F53" s="11" t="s">
        <v>173</v>
      </c>
      <c r="G53" s="13"/>
      <c r="H53" s="12">
        <v>37005.0</v>
      </c>
      <c r="I53" s="12">
        <v>44802.0</v>
      </c>
      <c r="J53" s="12"/>
      <c r="K53" s="7">
        <f t="shared" si="1"/>
        <v>30</v>
      </c>
      <c r="L53" s="8">
        <v>45231.0</v>
      </c>
      <c r="M53" s="8">
        <v>45260.0</v>
      </c>
      <c r="N53" s="9">
        <f t="shared" si="5"/>
        <v>320</v>
      </c>
      <c r="O53" s="9">
        <f t="shared" si="3"/>
        <v>1600</v>
      </c>
      <c r="P53" s="9">
        <f t="shared" si="4"/>
        <v>1920</v>
      </c>
      <c r="Q53" s="9"/>
      <c r="R53" s="9"/>
      <c r="S53" s="9"/>
      <c r="T53" s="9"/>
      <c r="U53" s="9"/>
      <c r="V53" s="9"/>
      <c r="W53" s="9"/>
      <c r="X53" s="9"/>
    </row>
    <row r="54">
      <c r="A54" s="10" t="s">
        <v>16</v>
      </c>
      <c r="B54" s="10">
        <v>4320.0</v>
      </c>
      <c r="C54" s="10" t="s">
        <v>17</v>
      </c>
      <c r="D54" s="10" t="s">
        <v>174</v>
      </c>
      <c r="E54" s="14" t="s">
        <v>175</v>
      </c>
      <c r="F54" s="10" t="s">
        <v>176</v>
      </c>
      <c r="G54" s="15"/>
      <c r="H54" s="14">
        <v>36545.0</v>
      </c>
      <c r="I54" s="14">
        <v>45180.0</v>
      </c>
      <c r="J54" s="14">
        <v>45250.0</v>
      </c>
      <c r="K54" s="7">
        <f t="shared" si="1"/>
        <v>20</v>
      </c>
      <c r="L54" s="8">
        <v>45231.0</v>
      </c>
      <c r="M54" s="8">
        <v>45260.0</v>
      </c>
      <c r="N54" s="9">
        <f t="shared" si="5"/>
        <v>214</v>
      </c>
      <c r="O54" s="9">
        <f t="shared" si="3"/>
        <v>1070</v>
      </c>
      <c r="P54" s="9">
        <f t="shared" si="4"/>
        <v>1284</v>
      </c>
      <c r="Q54" s="9"/>
      <c r="R54" s="9"/>
      <c r="S54" s="9"/>
      <c r="T54" s="9"/>
      <c r="U54" s="9"/>
      <c r="V54" s="9"/>
      <c r="W54" s="9"/>
      <c r="X54" s="9"/>
    </row>
    <row r="55">
      <c r="A55" s="10" t="s">
        <v>16</v>
      </c>
      <c r="B55" s="10">
        <v>4320.0</v>
      </c>
      <c r="C55" s="10" t="s">
        <v>17</v>
      </c>
      <c r="D55" s="10" t="s">
        <v>243</v>
      </c>
      <c r="E55" s="14" t="s">
        <v>244</v>
      </c>
      <c r="F55" s="10" t="s">
        <v>245</v>
      </c>
      <c r="G55" s="15"/>
      <c r="H55" s="14">
        <v>36109.0</v>
      </c>
      <c r="I55" s="14">
        <v>45250.0</v>
      </c>
      <c r="J55" s="41"/>
      <c r="K55" s="7">
        <f t="shared" si="1"/>
        <v>11</v>
      </c>
      <c r="L55" s="8">
        <v>45231.0</v>
      </c>
      <c r="M55" s="8">
        <v>45260.0</v>
      </c>
      <c r="N55" s="9">
        <f t="shared" si="5"/>
        <v>118</v>
      </c>
      <c r="O55" s="9">
        <f t="shared" si="3"/>
        <v>590</v>
      </c>
      <c r="P55" s="9">
        <f t="shared" si="4"/>
        <v>708</v>
      </c>
      <c r="Q55" s="9"/>
      <c r="R55" s="9"/>
      <c r="S55" s="9"/>
      <c r="T55" s="9"/>
      <c r="U55" s="9"/>
      <c r="V55" s="9"/>
      <c r="W55" s="9"/>
      <c r="X55" s="9"/>
    </row>
    <row r="56">
      <c r="A56" s="11" t="s">
        <v>16</v>
      </c>
      <c r="B56" s="11">
        <v>4320.0</v>
      </c>
      <c r="C56" s="11" t="s">
        <v>17</v>
      </c>
      <c r="D56" s="10" t="s">
        <v>177</v>
      </c>
      <c r="E56" s="14" t="s">
        <v>178</v>
      </c>
      <c r="F56" s="10" t="s">
        <v>179</v>
      </c>
      <c r="G56" s="15"/>
      <c r="H56" s="14">
        <v>35976.0</v>
      </c>
      <c r="I56" s="14">
        <v>45042.0</v>
      </c>
      <c r="J56" s="15"/>
      <c r="K56" s="7">
        <f t="shared" si="1"/>
        <v>30</v>
      </c>
      <c r="L56" s="8">
        <v>45231.0</v>
      </c>
      <c r="M56" s="8">
        <v>45260.0</v>
      </c>
      <c r="N56" s="9">
        <f t="shared" si="5"/>
        <v>320</v>
      </c>
      <c r="O56" s="9">
        <f t="shared" si="3"/>
        <v>1600</v>
      </c>
      <c r="P56" s="9">
        <f t="shared" si="4"/>
        <v>1920</v>
      </c>
      <c r="Q56" s="9"/>
      <c r="R56" s="9"/>
      <c r="S56" s="9"/>
      <c r="T56" s="9"/>
      <c r="U56" s="9"/>
      <c r="V56" s="9"/>
      <c r="W56" s="9"/>
      <c r="X56" s="9"/>
    </row>
    <row r="57">
      <c r="A57" s="10" t="s">
        <v>16</v>
      </c>
      <c r="B57" s="10">
        <v>4320.0</v>
      </c>
      <c r="C57" s="10" t="s">
        <v>17</v>
      </c>
      <c r="D57" s="10" t="s">
        <v>180</v>
      </c>
      <c r="E57" s="14" t="s">
        <v>181</v>
      </c>
      <c r="F57" s="10" t="s">
        <v>182</v>
      </c>
      <c r="G57" s="15"/>
      <c r="H57" s="14">
        <v>36297.0</v>
      </c>
      <c r="I57" s="14">
        <v>45001.0</v>
      </c>
      <c r="J57" s="14"/>
      <c r="K57" s="7">
        <f t="shared" si="1"/>
        <v>30</v>
      </c>
      <c r="L57" s="8">
        <v>45231.0</v>
      </c>
      <c r="M57" s="8">
        <v>45260.0</v>
      </c>
      <c r="N57" s="9">
        <f t="shared" si="5"/>
        <v>320</v>
      </c>
      <c r="O57" s="9">
        <f t="shared" si="3"/>
        <v>1600</v>
      </c>
      <c r="P57" s="9">
        <f t="shared" si="4"/>
        <v>1920</v>
      </c>
      <c r="Q57" s="9"/>
      <c r="R57" s="9"/>
      <c r="S57" s="9"/>
      <c r="T57" s="9"/>
      <c r="U57" s="9"/>
      <c r="V57" s="9"/>
      <c r="W57" s="9"/>
      <c r="X57" s="9"/>
    </row>
    <row r="58">
      <c r="A58" s="10" t="s">
        <v>16</v>
      </c>
      <c r="B58" s="10">
        <v>4320.0</v>
      </c>
      <c r="C58" s="10" t="s">
        <v>17</v>
      </c>
      <c r="D58" s="11" t="s">
        <v>183</v>
      </c>
      <c r="E58" s="12" t="s">
        <v>184</v>
      </c>
      <c r="F58" s="11" t="s">
        <v>185</v>
      </c>
      <c r="G58" s="13"/>
      <c r="H58" s="12">
        <v>36979.0</v>
      </c>
      <c r="I58" s="12">
        <v>44907.0</v>
      </c>
      <c r="J58" s="13"/>
      <c r="K58" s="7">
        <f t="shared" si="1"/>
        <v>30</v>
      </c>
      <c r="L58" s="8">
        <v>45231.0</v>
      </c>
      <c r="M58" s="8">
        <v>45260.0</v>
      </c>
      <c r="N58" s="9">
        <f t="shared" si="5"/>
        <v>320</v>
      </c>
      <c r="O58" s="9">
        <f t="shared" si="3"/>
        <v>1600</v>
      </c>
      <c r="P58" s="9">
        <f t="shared" si="4"/>
        <v>1920</v>
      </c>
      <c r="Q58" s="9"/>
      <c r="R58" s="9"/>
      <c r="S58" s="9"/>
      <c r="T58" s="9"/>
      <c r="U58" s="9"/>
      <c r="V58" s="9"/>
      <c r="W58" s="9"/>
      <c r="X58" s="9"/>
    </row>
    <row r="59">
      <c r="A59" s="11" t="s">
        <v>16</v>
      </c>
      <c r="B59" s="11">
        <v>4320.0</v>
      </c>
      <c r="C59" s="11" t="s">
        <v>17</v>
      </c>
      <c r="D59" s="10" t="s">
        <v>189</v>
      </c>
      <c r="E59" s="14" t="s">
        <v>190</v>
      </c>
      <c r="F59" s="10" t="s">
        <v>191</v>
      </c>
      <c r="G59" s="15"/>
      <c r="H59" s="14">
        <v>36421.0</v>
      </c>
      <c r="I59" s="14">
        <v>45208.0</v>
      </c>
      <c r="J59" s="15"/>
      <c r="K59" s="7">
        <f t="shared" si="1"/>
        <v>30</v>
      </c>
      <c r="L59" s="8">
        <v>45231.0</v>
      </c>
      <c r="M59" s="8">
        <v>45260.0</v>
      </c>
      <c r="N59" s="9">
        <f t="shared" si="5"/>
        <v>320</v>
      </c>
      <c r="O59" s="9">
        <f t="shared" si="3"/>
        <v>1600</v>
      </c>
      <c r="P59" s="9">
        <f t="shared" si="4"/>
        <v>1920</v>
      </c>
      <c r="Q59" s="9"/>
      <c r="R59" s="9"/>
      <c r="S59" s="9"/>
      <c r="T59" s="9"/>
      <c r="U59" s="9"/>
      <c r="V59" s="9"/>
      <c r="W59" s="9"/>
      <c r="X59" s="9"/>
    </row>
    <row r="60">
      <c r="A60" s="22" t="s">
        <v>16</v>
      </c>
      <c r="B60" s="22">
        <v>4320.0</v>
      </c>
      <c r="C60" s="22" t="s">
        <v>17</v>
      </c>
      <c r="D60" s="22" t="s">
        <v>192</v>
      </c>
      <c r="E60" s="23" t="s">
        <v>193</v>
      </c>
      <c r="F60" s="22" t="s">
        <v>194</v>
      </c>
      <c r="G60" s="24"/>
      <c r="H60" s="23">
        <v>36075.0</v>
      </c>
      <c r="I60" s="23">
        <v>44977.0</v>
      </c>
      <c r="J60" s="24"/>
      <c r="K60" s="25">
        <f t="shared" si="1"/>
        <v>30</v>
      </c>
      <c r="L60" s="26">
        <v>45231.0</v>
      </c>
      <c r="M60" s="26">
        <v>45260.0</v>
      </c>
      <c r="N60" s="27">
        <f t="shared" si="5"/>
        <v>320</v>
      </c>
      <c r="O60" s="27">
        <f t="shared" si="3"/>
        <v>1600</v>
      </c>
      <c r="P60" s="27">
        <f t="shared" si="4"/>
        <v>1920</v>
      </c>
      <c r="Q60" s="27"/>
      <c r="R60" s="27"/>
      <c r="S60" s="27"/>
      <c r="T60" s="27"/>
      <c r="U60" s="27"/>
      <c r="V60" s="27"/>
      <c r="W60" s="27"/>
      <c r="X60" s="27"/>
    </row>
    <row r="61">
      <c r="A61" s="10" t="s">
        <v>16</v>
      </c>
      <c r="B61" s="10">
        <v>4320.0</v>
      </c>
      <c r="C61" s="10" t="s">
        <v>17</v>
      </c>
      <c r="D61" s="11" t="s">
        <v>195</v>
      </c>
      <c r="E61" s="12" t="s">
        <v>196</v>
      </c>
      <c r="F61" s="11" t="s">
        <v>197</v>
      </c>
      <c r="G61" s="13"/>
      <c r="H61" s="12">
        <v>36089.0</v>
      </c>
      <c r="I61" s="12">
        <v>45195.0</v>
      </c>
      <c r="J61" s="12"/>
      <c r="K61" s="7">
        <f t="shared" si="1"/>
        <v>30</v>
      </c>
      <c r="L61" s="8">
        <v>45231.0</v>
      </c>
      <c r="M61" s="8">
        <v>45260.0</v>
      </c>
      <c r="N61" s="9">
        <f t="shared" si="5"/>
        <v>320</v>
      </c>
      <c r="O61" s="9">
        <f t="shared" si="3"/>
        <v>1600</v>
      </c>
      <c r="P61" s="9">
        <f t="shared" si="4"/>
        <v>1920</v>
      </c>
      <c r="Q61" s="9"/>
      <c r="R61" s="9"/>
      <c r="S61" s="9"/>
      <c r="T61" s="9"/>
      <c r="U61" s="9"/>
      <c r="V61" s="9"/>
      <c r="W61" s="9"/>
      <c r="X61" s="9"/>
    </row>
    <row r="62">
      <c r="A62" s="10" t="s">
        <v>16</v>
      </c>
      <c r="B62" s="10">
        <v>4320.0</v>
      </c>
      <c r="C62" s="10" t="s">
        <v>17</v>
      </c>
      <c r="D62" s="11" t="s">
        <v>201</v>
      </c>
      <c r="E62" s="12" t="s">
        <v>202</v>
      </c>
      <c r="F62" s="11" t="s">
        <v>203</v>
      </c>
      <c r="G62" s="13"/>
      <c r="H62" s="12">
        <v>36574.0</v>
      </c>
      <c r="I62" s="12">
        <v>45187.0</v>
      </c>
      <c r="J62" s="13"/>
      <c r="K62" s="7">
        <f t="shared" si="1"/>
        <v>30</v>
      </c>
      <c r="L62" s="8">
        <v>45231.0</v>
      </c>
      <c r="M62" s="8">
        <v>45260.0</v>
      </c>
      <c r="N62" s="9">
        <f t="shared" si="5"/>
        <v>320</v>
      </c>
      <c r="O62" s="9">
        <f t="shared" si="3"/>
        <v>1600</v>
      </c>
      <c r="P62" s="9">
        <f t="shared" si="4"/>
        <v>1920</v>
      </c>
      <c r="Q62" s="9"/>
      <c r="R62" s="9"/>
      <c r="S62" s="9"/>
      <c r="T62" s="9"/>
      <c r="U62" s="9"/>
      <c r="V62" s="9"/>
      <c r="W62" s="9"/>
      <c r="X62" s="9"/>
    </row>
    <row r="63">
      <c r="A63" s="11" t="s">
        <v>16</v>
      </c>
      <c r="B63" s="11">
        <v>4320.0</v>
      </c>
      <c r="C63" s="11" t="s">
        <v>17</v>
      </c>
      <c r="D63" s="11" t="s">
        <v>204</v>
      </c>
      <c r="E63" s="12" t="s">
        <v>205</v>
      </c>
      <c r="F63" s="11" t="s">
        <v>206</v>
      </c>
      <c r="G63" s="13"/>
      <c r="H63" s="12">
        <v>35115.0</v>
      </c>
      <c r="I63" s="12">
        <v>45194.0</v>
      </c>
      <c r="J63" s="12">
        <v>45247.0</v>
      </c>
      <c r="K63" s="7">
        <f t="shared" si="1"/>
        <v>17</v>
      </c>
      <c r="L63" s="8">
        <v>45231.0</v>
      </c>
      <c r="M63" s="8">
        <v>45260.0</v>
      </c>
      <c r="N63" s="9">
        <f t="shared" si="5"/>
        <v>182</v>
      </c>
      <c r="O63" s="9">
        <f t="shared" si="3"/>
        <v>910</v>
      </c>
      <c r="P63" s="9">
        <f t="shared" si="4"/>
        <v>1092</v>
      </c>
      <c r="Q63" s="9"/>
      <c r="R63" s="9"/>
      <c r="S63" s="9"/>
      <c r="T63" s="9"/>
      <c r="U63" s="9"/>
      <c r="V63" s="9"/>
      <c r="W63" s="9"/>
      <c r="X63" s="9"/>
    </row>
    <row r="64">
      <c r="A64" s="10" t="s">
        <v>16</v>
      </c>
      <c r="B64" s="10">
        <v>4320.0</v>
      </c>
      <c r="C64" s="10" t="s">
        <v>17</v>
      </c>
      <c r="D64" s="11" t="s">
        <v>207</v>
      </c>
      <c r="E64" s="12" t="s">
        <v>208</v>
      </c>
      <c r="F64" s="11" t="s">
        <v>209</v>
      </c>
      <c r="G64" s="13"/>
      <c r="H64" s="12">
        <v>33156.0</v>
      </c>
      <c r="I64" s="12">
        <v>44285.0</v>
      </c>
      <c r="J64" s="13"/>
      <c r="K64" s="7">
        <f t="shared" si="1"/>
        <v>30</v>
      </c>
      <c r="L64" s="8">
        <v>45231.0</v>
      </c>
      <c r="M64" s="8">
        <v>45260.0</v>
      </c>
      <c r="N64" s="9">
        <f t="shared" si="5"/>
        <v>320</v>
      </c>
      <c r="O64" s="9">
        <f t="shared" si="3"/>
        <v>1600</v>
      </c>
      <c r="P64" s="9">
        <f t="shared" si="4"/>
        <v>1920</v>
      </c>
      <c r="Q64" s="9"/>
      <c r="R64" s="9"/>
      <c r="S64" s="9"/>
      <c r="T64" s="9"/>
      <c r="U64" s="9"/>
      <c r="V64" s="9"/>
      <c r="W64" s="9"/>
      <c r="X64" s="9"/>
    </row>
    <row r="65">
      <c r="A65" s="11" t="s">
        <v>16</v>
      </c>
      <c r="B65" s="11">
        <v>4320.0</v>
      </c>
      <c r="C65" s="11" t="s">
        <v>17</v>
      </c>
      <c r="D65" s="37" t="s">
        <v>210</v>
      </c>
      <c r="E65" s="12" t="s">
        <v>211</v>
      </c>
      <c r="F65" s="11" t="s">
        <v>212</v>
      </c>
      <c r="G65" s="13"/>
      <c r="H65" s="12">
        <v>36096.0</v>
      </c>
      <c r="I65" s="12">
        <v>45174.0</v>
      </c>
      <c r="J65" s="12">
        <v>45251.0</v>
      </c>
      <c r="K65" s="7">
        <f t="shared" si="1"/>
        <v>21</v>
      </c>
      <c r="L65" s="8">
        <v>45231.0</v>
      </c>
      <c r="M65" s="8">
        <v>45260.0</v>
      </c>
      <c r="N65" s="9">
        <f t="shared" si="5"/>
        <v>224</v>
      </c>
      <c r="O65" s="9">
        <f t="shared" si="3"/>
        <v>1120</v>
      </c>
      <c r="P65" s="9">
        <f t="shared" si="4"/>
        <v>1344</v>
      </c>
      <c r="Q65" s="9"/>
      <c r="R65" s="9"/>
      <c r="S65" s="9"/>
      <c r="T65" s="9"/>
      <c r="U65" s="9"/>
      <c r="V65" s="9"/>
      <c r="W65" s="9"/>
      <c r="X65" s="9"/>
    </row>
    <row r="66">
      <c r="A66" s="11" t="s">
        <v>16</v>
      </c>
      <c r="B66" s="11">
        <v>4320.0</v>
      </c>
      <c r="C66" s="11" t="s">
        <v>17</v>
      </c>
      <c r="D66" s="10" t="s">
        <v>213</v>
      </c>
      <c r="E66" s="14" t="s">
        <v>214</v>
      </c>
      <c r="F66" s="10" t="s">
        <v>215</v>
      </c>
      <c r="G66" s="15"/>
      <c r="H66" s="14">
        <v>36797.0</v>
      </c>
      <c r="I66" s="28">
        <v>44886.0</v>
      </c>
      <c r="J66" s="38"/>
      <c r="K66" s="7">
        <f t="shared" si="1"/>
        <v>30</v>
      </c>
      <c r="L66" s="8">
        <v>45231.0</v>
      </c>
      <c r="M66" s="8">
        <v>45260.0</v>
      </c>
      <c r="N66" s="9">
        <f t="shared" si="5"/>
        <v>320</v>
      </c>
      <c r="O66" s="9">
        <f t="shared" si="3"/>
        <v>1600</v>
      </c>
      <c r="P66" s="9">
        <f t="shared" si="4"/>
        <v>1920</v>
      </c>
      <c r="Q66" s="9"/>
      <c r="R66" s="9"/>
      <c r="S66" s="9"/>
      <c r="T66" s="9"/>
      <c r="U66" s="9"/>
      <c r="V66" s="9"/>
      <c r="W66" s="9"/>
      <c r="X66" s="9"/>
    </row>
    <row r="67">
      <c r="A67" s="11" t="s">
        <v>16</v>
      </c>
      <c r="B67" s="11">
        <v>4320.0</v>
      </c>
      <c r="C67" s="11" t="s">
        <v>17</v>
      </c>
      <c r="D67" s="10" t="s">
        <v>216</v>
      </c>
      <c r="E67" s="14" t="s">
        <v>217</v>
      </c>
      <c r="F67" s="10" t="s">
        <v>218</v>
      </c>
      <c r="G67" s="15"/>
      <c r="H67" s="14">
        <v>33769.0</v>
      </c>
      <c r="I67" s="14">
        <v>44816.0</v>
      </c>
      <c r="J67" s="15"/>
      <c r="K67" s="7">
        <f t="shared" si="1"/>
        <v>30</v>
      </c>
      <c r="L67" s="8">
        <v>45231.0</v>
      </c>
      <c r="M67" s="8">
        <v>45260.0</v>
      </c>
      <c r="N67" s="9">
        <f t="shared" si="5"/>
        <v>320</v>
      </c>
      <c r="O67" s="9">
        <f t="shared" si="3"/>
        <v>1600</v>
      </c>
      <c r="P67" s="9">
        <f t="shared" si="4"/>
        <v>1920</v>
      </c>
      <c r="Q67" s="9"/>
      <c r="R67" s="9"/>
      <c r="S67" s="9"/>
      <c r="T67" s="9"/>
      <c r="U67" s="9"/>
      <c r="V67" s="9"/>
      <c r="W67" s="9"/>
      <c r="X67" s="9"/>
    </row>
    <row r="68">
      <c r="A68" s="10" t="s">
        <v>16</v>
      </c>
      <c r="B68" s="10">
        <v>4320.0</v>
      </c>
      <c r="C68" s="10" t="s">
        <v>17</v>
      </c>
      <c r="D68" s="37" t="s">
        <v>219</v>
      </c>
      <c r="E68" s="12" t="s">
        <v>220</v>
      </c>
      <c r="F68" s="11" t="s">
        <v>221</v>
      </c>
      <c r="G68" s="13"/>
      <c r="H68" s="12">
        <v>36408.0</v>
      </c>
      <c r="I68" s="12">
        <v>45173.0</v>
      </c>
      <c r="J68" s="12"/>
      <c r="K68" s="7">
        <f t="shared" si="1"/>
        <v>30</v>
      </c>
      <c r="L68" s="8">
        <v>45231.0</v>
      </c>
      <c r="M68" s="8">
        <v>45260.0</v>
      </c>
      <c r="N68" s="9">
        <f t="shared" si="5"/>
        <v>320</v>
      </c>
      <c r="O68" s="9">
        <f t="shared" si="3"/>
        <v>1600</v>
      </c>
      <c r="P68" s="9">
        <f t="shared" si="4"/>
        <v>1920</v>
      </c>
      <c r="Q68" s="9"/>
      <c r="R68" s="9"/>
      <c r="S68" s="9"/>
      <c r="T68" s="9"/>
      <c r="U68" s="9"/>
      <c r="V68" s="9"/>
      <c r="W68" s="9"/>
      <c r="X68" s="9"/>
    </row>
    <row r="69">
      <c r="A69" s="11" t="s">
        <v>16</v>
      </c>
      <c r="B69" s="11">
        <v>4320.0</v>
      </c>
      <c r="C69" s="11" t="s">
        <v>17</v>
      </c>
      <c r="D69" s="10" t="s">
        <v>222</v>
      </c>
      <c r="E69" s="14" t="s">
        <v>223</v>
      </c>
      <c r="F69" s="10" t="s">
        <v>224</v>
      </c>
      <c r="G69" s="15"/>
      <c r="H69" s="14">
        <v>35818.0</v>
      </c>
      <c r="I69" s="14">
        <v>45089.0</v>
      </c>
      <c r="J69" s="15"/>
      <c r="K69" s="7">
        <f t="shared" si="1"/>
        <v>30</v>
      </c>
      <c r="L69" s="8">
        <v>45231.0</v>
      </c>
      <c r="M69" s="8">
        <v>45260.0</v>
      </c>
      <c r="N69" s="9">
        <f t="shared" si="5"/>
        <v>320</v>
      </c>
      <c r="O69" s="9">
        <f t="shared" si="3"/>
        <v>1600</v>
      </c>
      <c r="P69" s="9">
        <f t="shared" si="4"/>
        <v>1920</v>
      </c>
      <c r="Q69" s="9"/>
      <c r="R69" s="9"/>
      <c r="S69" s="9"/>
      <c r="T69" s="9"/>
      <c r="U69" s="9"/>
      <c r="V69" s="9"/>
      <c r="W69" s="9"/>
      <c r="X69" s="9"/>
    </row>
    <row r="70">
      <c r="A70" s="10" t="s">
        <v>16</v>
      </c>
      <c r="B70" s="10">
        <v>4320.0</v>
      </c>
      <c r="C70" s="10" t="s">
        <v>17</v>
      </c>
      <c r="D70" s="10" t="s">
        <v>225</v>
      </c>
      <c r="E70" s="14" t="s">
        <v>226</v>
      </c>
      <c r="F70" s="10" t="s">
        <v>227</v>
      </c>
      <c r="G70" s="15"/>
      <c r="H70" s="14">
        <v>36177.0</v>
      </c>
      <c r="I70" s="14">
        <v>44970.0</v>
      </c>
      <c r="J70" s="14"/>
      <c r="K70" s="7">
        <f t="shared" si="1"/>
        <v>30</v>
      </c>
      <c r="L70" s="8">
        <v>45231.0</v>
      </c>
      <c r="M70" s="8">
        <v>45260.0</v>
      </c>
      <c r="N70" s="9">
        <f t="shared" si="5"/>
        <v>320</v>
      </c>
      <c r="O70" s="9">
        <f t="shared" si="3"/>
        <v>1600</v>
      </c>
      <c r="P70" s="9">
        <f t="shared" si="4"/>
        <v>1920</v>
      </c>
      <c r="Q70" s="9"/>
      <c r="R70" s="9"/>
      <c r="S70" s="9"/>
      <c r="T70" s="9"/>
      <c r="U70" s="9"/>
      <c r="V70" s="9"/>
      <c r="W70" s="9"/>
      <c r="X70" s="9"/>
    </row>
    <row r="71">
      <c r="A71" s="10" t="s">
        <v>16</v>
      </c>
      <c r="B71" s="10">
        <v>4320.0</v>
      </c>
      <c r="C71" s="10" t="s">
        <v>17</v>
      </c>
      <c r="D71" s="11" t="s">
        <v>228</v>
      </c>
      <c r="E71" s="12" t="s">
        <v>229</v>
      </c>
      <c r="F71" s="11" t="s">
        <v>230</v>
      </c>
      <c r="G71" s="13"/>
      <c r="H71" s="12">
        <v>35743.0</v>
      </c>
      <c r="I71" s="12">
        <v>45222.0</v>
      </c>
      <c r="J71" s="13"/>
      <c r="K71" s="7">
        <f t="shared" si="1"/>
        <v>30</v>
      </c>
      <c r="L71" s="8">
        <v>45231.0</v>
      </c>
      <c r="M71" s="8">
        <v>45260.0</v>
      </c>
      <c r="N71" s="9">
        <f t="shared" si="5"/>
        <v>320</v>
      </c>
      <c r="O71" s="9">
        <f t="shared" si="3"/>
        <v>1600</v>
      </c>
      <c r="P71" s="9">
        <f t="shared" si="4"/>
        <v>1920</v>
      </c>
      <c r="Q71" s="9"/>
      <c r="R71" s="9"/>
      <c r="S71" s="9"/>
      <c r="T71" s="9"/>
      <c r="U71" s="9"/>
      <c r="V71" s="9"/>
      <c r="W71" s="9"/>
      <c r="X71" s="9"/>
    </row>
    <row r="72">
      <c r="P72" s="40">
        <f>SUM(P2:P71)</f>
        <v>123744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75"/>
    <col customWidth="1" min="10" max="10" width="12.13"/>
    <col customWidth="1" min="11" max="11" width="20.25"/>
    <col customWidth="1" min="15" max="15" width="18.88"/>
  </cols>
  <sheetData>
    <row r="1">
      <c r="A1" s="1" t="s">
        <v>0</v>
      </c>
      <c r="B1" s="1" t="s">
        <v>1</v>
      </c>
      <c r="C1" s="1" t="s">
        <v>2</v>
      </c>
      <c r="D1" s="1" t="s">
        <v>3</v>
      </c>
      <c r="E1" s="1" t="s">
        <v>4</v>
      </c>
      <c r="F1" s="2" t="s">
        <v>5</v>
      </c>
      <c r="G1" s="1" t="s">
        <v>6</v>
      </c>
      <c r="H1" s="1" t="s">
        <v>7</v>
      </c>
      <c r="I1" s="2" t="s">
        <v>8</v>
      </c>
      <c r="J1" s="2" t="s">
        <v>9</v>
      </c>
      <c r="K1" s="3" t="s">
        <v>10</v>
      </c>
      <c r="L1" s="3" t="s">
        <v>11</v>
      </c>
      <c r="M1" s="3" t="s">
        <v>12</v>
      </c>
      <c r="N1" s="3" t="s">
        <v>13</v>
      </c>
      <c r="O1" s="3" t="s">
        <v>14</v>
      </c>
      <c r="P1" s="3" t="s">
        <v>15</v>
      </c>
    </row>
    <row r="2">
      <c r="A2" s="10" t="s">
        <v>16</v>
      </c>
      <c r="B2" s="10">
        <v>4320.0</v>
      </c>
      <c r="C2" s="10" t="s">
        <v>17</v>
      </c>
      <c r="D2" s="10" t="s">
        <v>18</v>
      </c>
      <c r="E2" s="14" t="s">
        <v>19</v>
      </c>
      <c r="F2" s="10" t="s">
        <v>20</v>
      </c>
      <c r="G2" s="15"/>
      <c r="H2" s="14">
        <v>32933.0</v>
      </c>
      <c r="I2" s="14">
        <v>45166.0</v>
      </c>
      <c r="J2" s="14">
        <v>45282.0</v>
      </c>
      <c r="K2" s="16">
        <f t="shared" ref="K2:K64" si="1">MAX(0, MIN(M2, J2) - MAX(L2, I2) + 1)</f>
        <v>22</v>
      </c>
      <c r="L2" s="17">
        <v>45261.0</v>
      </c>
      <c r="M2" s="17">
        <v>45291.0</v>
      </c>
      <c r="N2" s="18">
        <f t="shared" ref="N2:N64" si="2">ROUNDUP(K2/31*320,0)</f>
        <v>228</v>
      </c>
      <c r="O2" s="18">
        <f t="shared" ref="O2:O64" si="3">N2*5</f>
        <v>1140</v>
      </c>
      <c r="P2" s="18">
        <f t="shared" ref="P2:P64" si="4">N2+O2</f>
        <v>1368</v>
      </c>
    </row>
    <row r="3">
      <c r="A3" s="10" t="s">
        <v>16</v>
      </c>
      <c r="B3" s="10">
        <v>4320.0</v>
      </c>
      <c r="C3" s="10" t="s">
        <v>17</v>
      </c>
      <c r="D3" s="11" t="s">
        <v>21</v>
      </c>
      <c r="E3" s="12" t="s">
        <v>22</v>
      </c>
      <c r="F3" s="11" t="s">
        <v>23</v>
      </c>
      <c r="G3" s="13"/>
      <c r="H3" s="12">
        <v>36358.0</v>
      </c>
      <c r="I3" s="12">
        <v>45027.0</v>
      </c>
      <c r="J3" s="13"/>
      <c r="K3" s="7">
        <f t="shared" si="1"/>
        <v>31</v>
      </c>
      <c r="L3" s="8">
        <v>45261.0</v>
      </c>
      <c r="M3" s="8">
        <v>45291.0</v>
      </c>
      <c r="N3" s="9">
        <f t="shared" si="2"/>
        <v>320</v>
      </c>
      <c r="O3" s="9">
        <f t="shared" si="3"/>
        <v>1600</v>
      </c>
      <c r="P3" s="9">
        <f t="shared" si="4"/>
        <v>1920</v>
      </c>
    </row>
    <row r="4">
      <c r="A4" s="11" t="s">
        <v>16</v>
      </c>
      <c r="B4" s="11">
        <v>4320.0</v>
      </c>
      <c r="C4" s="11" t="s">
        <v>17</v>
      </c>
      <c r="D4" s="10" t="s">
        <v>24</v>
      </c>
      <c r="E4" s="14" t="s">
        <v>25</v>
      </c>
      <c r="F4" s="10" t="s">
        <v>26</v>
      </c>
      <c r="G4" s="15"/>
      <c r="H4" s="14">
        <v>36860.0</v>
      </c>
      <c r="I4" s="14">
        <v>45124.0</v>
      </c>
      <c r="J4" s="15"/>
      <c r="K4" s="7">
        <f t="shared" si="1"/>
        <v>31</v>
      </c>
      <c r="L4" s="8">
        <v>45261.0</v>
      </c>
      <c r="M4" s="8">
        <v>45291.0</v>
      </c>
      <c r="N4" s="9">
        <f t="shared" si="2"/>
        <v>320</v>
      </c>
      <c r="O4" s="9">
        <f t="shared" si="3"/>
        <v>1600</v>
      </c>
      <c r="P4" s="9">
        <f t="shared" si="4"/>
        <v>1920</v>
      </c>
    </row>
    <row r="5">
      <c r="A5" s="10" t="s">
        <v>16</v>
      </c>
      <c r="B5" s="10">
        <v>4320.0</v>
      </c>
      <c r="C5" s="10" t="s">
        <v>17</v>
      </c>
      <c r="D5" s="11" t="s">
        <v>30</v>
      </c>
      <c r="E5" s="12" t="s">
        <v>31</v>
      </c>
      <c r="F5" s="11" t="s">
        <v>32</v>
      </c>
      <c r="G5" s="13"/>
      <c r="H5" s="12">
        <v>35997.0</v>
      </c>
      <c r="I5" s="12">
        <v>45061.0</v>
      </c>
      <c r="J5" s="13"/>
      <c r="K5" s="7">
        <f t="shared" si="1"/>
        <v>31</v>
      </c>
      <c r="L5" s="8">
        <v>45261.0</v>
      </c>
      <c r="M5" s="8">
        <v>45291.0</v>
      </c>
      <c r="N5" s="9">
        <f t="shared" si="2"/>
        <v>320</v>
      </c>
      <c r="O5" s="9">
        <f t="shared" si="3"/>
        <v>1600</v>
      </c>
      <c r="P5" s="9">
        <f t="shared" si="4"/>
        <v>1920</v>
      </c>
    </row>
    <row r="6">
      <c r="A6" s="11" t="s">
        <v>16</v>
      </c>
      <c r="B6" s="11">
        <v>4320.0</v>
      </c>
      <c r="C6" s="11" t="s">
        <v>17</v>
      </c>
      <c r="D6" s="11" t="s">
        <v>246</v>
      </c>
      <c r="E6" s="12" t="s">
        <v>247</v>
      </c>
      <c r="F6" s="11" t="s">
        <v>248</v>
      </c>
      <c r="G6" s="13"/>
      <c r="H6" s="12">
        <v>36353.0</v>
      </c>
      <c r="I6" s="12">
        <v>45278.0</v>
      </c>
      <c r="J6" s="13"/>
      <c r="K6" s="7">
        <f t="shared" si="1"/>
        <v>14</v>
      </c>
      <c r="L6" s="8">
        <v>45261.0</v>
      </c>
      <c r="M6" s="8">
        <v>45291.0</v>
      </c>
      <c r="N6" s="9">
        <f t="shared" si="2"/>
        <v>145</v>
      </c>
      <c r="O6" s="9">
        <f t="shared" si="3"/>
        <v>725</v>
      </c>
      <c r="P6" s="9">
        <f t="shared" si="4"/>
        <v>870</v>
      </c>
    </row>
    <row r="7">
      <c r="A7" s="10" t="s">
        <v>16</v>
      </c>
      <c r="B7" s="10">
        <v>4320.0</v>
      </c>
      <c r="C7" s="10" t="s">
        <v>17</v>
      </c>
      <c r="D7" s="11" t="s">
        <v>33</v>
      </c>
      <c r="E7" s="12" t="s">
        <v>34</v>
      </c>
      <c r="F7" s="11" t="s">
        <v>35</v>
      </c>
      <c r="G7" s="13"/>
      <c r="H7" s="12">
        <v>35053.0</v>
      </c>
      <c r="I7" s="12">
        <v>45173.0</v>
      </c>
      <c r="J7" s="12"/>
      <c r="K7" s="7">
        <f t="shared" si="1"/>
        <v>31</v>
      </c>
      <c r="L7" s="8">
        <v>45261.0</v>
      </c>
      <c r="M7" s="8">
        <v>45291.0</v>
      </c>
      <c r="N7" s="9">
        <f t="shared" si="2"/>
        <v>320</v>
      </c>
      <c r="O7" s="9">
        <f t="shared" si="3"/>
        <v>1600</v>
      </c>
      <c r="P7" s="9">
        <f t="shared" si="4"/>
        <v>1920</v>
      </c>
    </row>
    <row r="8">
      <c r="A8" s="10" t="s">
        <v>16</v>
      </c>
      <c r="B8" s="10">
        <v>4320.0</v>
      </c>
      <c r="C8" s="10" t="s">
        <v>17</v>
      </c>
      <c r="D8" s="11" t="s">
        <v>231</v>
      </c>
      <c r="E8" s="12" t="s">
        <v>232</v>
      </c>
      <c r="F8" s="11" t="s">
        <v>233</v>
      </c>
      <c r="G8" s="13"/>
      <c r="H8" s="12">
        <v>36634.0</v>
      </c>
      <c r="I8" s="12">
        <v>45251.0</v>
      </c>
      <c r="J8" s="13"/>
      <c r="K8" s="7">
        <f t="shared" si="1"/>
        <v>31</v>
      </c>
      <c r="L8" s="8">
        <v>45261.0</v>
      </c>
      <c r="M8" s="8">
        <v>45291.0</v>
      </c>
      <c r="N8" s="9">
        <f t="shared" si="2"/>
        <v>320</v>
      </c>
      <c r="O8" s="9">
        <f t="shared" si="3"/>
        <v>1600</v>
      </c>
      <c r="P8" s="9">
        <f t="shared" si="4"/>
        <v>1920</v>
      </c>
    </row>
    <row r="9">
      <c r="A9" s="10" t="s">
        <v>16</v>
      </c>
      <c r="B9" s="10">
        <v>4320.0</v>
      </c>
      <c r="C9" s="10" t="s">
        <v>17</v>
      </c>
      <c r="D9" s="11" t="s">
        <v>36</v>
      </c>
      <c r="E9" s="12" t="s">
        <v>37</v>
      </c>
      <c r="F9" s="11" t="s">
        <v>38</v>
      </c>
      <c r="G9" s="13"/>
      <c r="H9" s="12">
        <v>33408.0</v>
      </c>
      <c r="I9" s="12">
        <v>45078.0</v>
      </c>
      <c r="J9" s="12"/>
      <c r="K9" s="7">
        <f t="shared" si="1"/>
        <v>31</v>
      </c>
      <c r="L9" s="8">
        <v>45261.0</v>
      </c>
      <c r="M9" s="8">
        <v>45291.0</v>
      </c>
      <c r="N9" s="9">
        <f t="shared" si="2"/>
        <v>320</v>
      </c>
      <c r="O9" s="9">
        <f t="shared" si="3"/>
        <v>1600</v>
      </c>
      <c r="P9" s="9">
        <f t="shared" si="4"/>
        <v>1920</v>
      </c>
    </row>
    <row r="10">
      <c r="A10" s="10" t="s">
        <v>16</v>
      </c>
      <c r="B10" s="10">
        <v>4320.0</v>
      </c>
      <c r="C10" s="10" t="s">
        <v>17</v>
      </c>
      <c r="D10" s="11" t="s">
        <v>39</v>
      </c>
      <c r="E10" s="12" t="s">
        <v>40</v>
      </c>
      <c r="F10" s="11" t="s">
        <v>41</v>
      </c>
      <c r="G10" s="13"/>
      <c r="H10" s="12">
        <v>35983.0</v>
      </c>
      <c r="I10" s="12">
        <v>45082.0</v>
      </c>
      <c r="J10" s="12"/>
      <c r="K10" s="7">
        <f t="shared" si="1"/>
        <v>31</v>
      </c>
      <c r="L10" s="8">
        <v>45261.0</v>
      </c>
      <c r="M10" s="8">
        <v>45291.0</v>
      </c>
      <c r="N10" s="9">
        <f t="shared" si="2"/>
        <v>320</v>
      </c>
      <c r="O10" s="9">
        <f t="shared" si="3"/>
        <v>1600</v>
      </c>
      <c r="P10" s="9">
        <f t="shared" si="4"/>
        <v>1920</v>
      </c>
    </row>
    <row r="11">
      <c r="A11" s="11" t="s">
        <v>16</v>
      </c>
      <c r="B11" s="11">
        <v>4320.0</v>
      </c>
      <c r="C11" s="11" t="s">
        <v>17</v>
      </c>
      <c r="D11" s="35" t="s">
        <v>234</v>
      </c>
      <c r="E11" s="12" t="s">
        <v>235</v>
      </c>
      <c r="F11" s="11" t="s">
        <v>236</v>
      </c>
      <c r="G11" s="13"/>
      <c r="H11" s="12">
        <v>33048.0</v>
      </c>
      <c r="I11" s="36">
        <v>45250.0</v>
      </c>
      <c r="J11" s="12"/>
      <c r="K11" s="7">
        <f t="shared" si="1"/>
        <v>31</v>
      </c>
      <c r="L11" s="8">
        <v>45261.0</v>
      </c>
      <c r="M11" s="8">
        <v>45291.0</v>
      </c>
      <c r="N11" s="9">
        <f t="shared" si="2"/>
        <v>320</v>
      </c>
      <c r="O11" s="9">
        <f t="shared" si="3"/>
        <v>1600</v>
      </c>
      <c r="P11" s="9">
        <f t="shared" si="4"/>
        <v>1920</v>
      </c>
    </row>
    <row r="12">
      <c r="A12" s="10" t="s">
        <v>16</v>
      </c>
      <c r="B12" s="10">
        <v>4320.0</v>
      </c>
      <c r="C12" s="10" t="s">
        <v>17</v>
      </c>
      <c r="D12" s="11" t="s">
        <v>45</v>
      </c>
      <c r="E12" s="12" t="s">
        <v>46</v>
      </c>
      <c r="F12" s="11" t="s">
        <v>47</v>
      </c>
      <c r="G12" s="13"/>
      <c r="H12" s="12">
        <v>37370.0</v>
      </c>
      <c r="I12" s="12">
        <v>44739.0</v>
      </c>
      <c r="J12" s="13"/>
      <c r="K12" s="7">
        <f t="shared" si="1"/>
        <v>31</v>
      </c>
      <c r="L12" s="8">
        <v>45261.0</v>
      </c>
      <c r="M12" s="8">
        <v>45291.0</v>
      </c>
      <c r="N12" s="9">
        <f t="shared" si="2"/>
        <v>320</v>
      </c>
      <c r="O12" s="9">
        <f t="shared" si="3"/>
        <v>1600</v>
      </c>
      <c r="P12" s="9">
        <f t="shared" si="4"/>
        <v>1920</v>
      </c>
    </row>
    <row r="13">
      <c r="A13" s="10" t="s">
        <v>16</v>
      </c>
      <c r="B13" s="10">
        <v>4320.0</v>
      </c>
      <c r="C13" s="10" t="s">
        <v>17</v>
      </c>
      <c r="D13" s="11" t="s">
        <v>48</v>
      </c>
      <c r="E13" s="12" t="s">
        <v>49</v>
      </c>
      <c r="F13" s="11" t="s">
        <v>50</v>
      </c>
      <c r="G13" s="13"/>
      <c r="H13" s="12">
        <v>36399.0</v>
      </c>
      <c r="I13" s="12">
        <v>45229.0</v>
      </c>
      <c r="J13" s="13"/>
      <c r="K13" s="7">
        <f t="shared" si="1"/>
        <v>31</v>
      </c>
      <c r="L13" s="8">
        <v>45261.0</v>
      </c>
      <c r="M13" s="8">
        <v>45291.0</v>
      </c>
      <c r="N13" s="9">
        <f t="shared" si="2"/>
        <v>320</v>
      </c>
      <c r="O13" s="9">
        <f t="shared" si="3"/>
        <v>1600</v>
      </c>
      <c r="P13" s="9">
        <f t="shared" si="4"/>
        <v>1920</v>
      </c>
    </row>
    <row r="14">
      <c r="A14" s="11" t="s">
        <v>16</v>
      </c>
      <c r="B14" s="11">
        <v>4320.0</v>
      </c>
      <c r="C14" s="11" t="s">
        <v>17</v>
      </c>
      <c r="D14" s="10" t="s">
        <v>51</v>
      </c>
      <c r="E14" s="14" t="s">
        <v>52</v>
      </c>
      <c r="F14" s="10" t="s">
        <v>53</v>
      </c>
      <c r="G14" s="15"/>
      <c r="H14" s="14">
        <v>34601.0</v>
      </c>
      <c r="I14" s="14">
        <v>44986.0</v>
      </c>
      <c r="J14" s="15"/>
      <c r="K14" s="7">
        <f t="shared" si="1"/>
        <v>31</v>
      </c>
      <c r="L14" s="8">
        <v>45261.0</v>
      </c>
      <c r="M14" s="8">
        <v>45291.0</v>
      </c>
      <c r="N14" s="9">
        <f t="shared" si="2"/>
        <v>320</v>
      </c>
      <c r="O14" s="9">
        <f t="shared" si="3"/>
        <v>1600</v>
      </c>
      <c r="P14" s="9">
        <f t="shared" si="4"/>
        <v>1920</v>
      </c>
    </row>
    <row r="15">
      <c r="A15" s="11" t="s">
        <v>16</v>
      </c>
      <c r="B15" s="11">
        <v>4320.0</v>
      </c>
      <c r="C15" s="11" t="s">
        <v>17</v>
      </c>
      <c r="D15" s="11" t="s">
        <v>54</v>
      </c>
      <c r="E15" s="12" t="s">
        <v>55</v>
      </c>
      <c r="F15" s="11" t="s">
        <v>56</v>
      </c>
      <c r="G15" s="13"/>
      <c r="H15" s="12">
        <v>37244.0</v>
      </c>
      <c r="I15" s="12">
        <v>45173.0</v>
      </c>
      <c r="J15" s="12">
        <v>45291.0</v>
      </c>
      <c r="K15" s="7">
        <f t="shared" si="1"/>
        <v>31</v>
      </c>
      <c r="L15" s="8">
        <v>45261.0</v>
      </c>
      <c r="M15" s="8">
        <v>45291.0</v>
      </c>
      <c r="N15" s="9">
        <f t="shared" si="2"/>
        <v>320</v>
      </c>
      <c r="O15" s="9">
        <f t="shared" si="3"/>
        <v>1600</v>
      </c>
      <c r="P15" s="9">
        <f t="shared" si="4"/>
        <v>1920</v>
      </c>
    </row>
    <row r="16">
      <c r="A16" s="10" t="s">
        <v>16</v>
      </c>
      <c r="B16" s="10">
        <v>4320.0</v>
      </c>
      <c r="C16" s="10" t="s">
        <v>17</v>
      </c>
      <c r="D16" s="11" t="s">
        <v>249</v>
      </c>
      <c r="E16" s="12" t="s">
        <v>250</v>
      </c>
      <c r="F16" s="11" t="s">
        <v>251</v>
      </c>
      <c r="G16" s="13"/>
      <c r="H16" s="12">
        <v>37322.0</v>
      </c>
      <c r="I16" s="43">
        <v>45261.0</v>
      </c>
      <c r="J16" s="13"/>
      <c r="K16" s="7">
        <f t="shared" si="1"/>
        <v>31</v>
      </c>
      <c r="L16" s="8">
        <v>45261.0</v>
      </c>
      <c r="M16" s="8">
        <v>45291.0</v>
      </c>
      <c r="N16" s="9">
        <f t="shared" si="2"/>
        <v>320</v>
      </c>
      <c r="O16" s="9">
        <f t="shared" si="3"/>
        <v>1600</v>
      </c>
      <c r="P16" s="9">
        <f t="shared" si="4"/>
        <v>1920</v>
      </c>
    </row>
    <row r="17">
      <c r="A17" s="11" t="s">
        <v>16</v>
      </c>
      <c r="B17" s="11">
        <v>4320.0</v>
      </c>
      <c r="C17" s="11" t="s">
        <v>17</v>
      </c>
      <c r="D17" s="10" t="s">
        <v>57</v>
      </c>
      <c r="E17" s="14" t="s">
        <v>58</v>
      </c>
      <c r="F17" s="10" t="s">
        <v>59</v>
      </c>
      <c r="G17" s="15"/>
      <c r="H17" s="14">
        <v>35704.0</v>
      </c>
      <c r="I17" s="14">
        <v>44760.0</v>
      </c>
      <c r="J17" s="15"/>
      <c r="K17" s="7">
        <f t="shared" si="1"/>
        <v>31</v>
      </c>
      <c r="L17" s="8">
        <v>45261.0</v>
      </c>
      <c r="M17" s="8">
        <v>45291.0</v>
      </c>
      <c r="N17" s="9">
        <f t="shared" si="2"/>
        <v>320</v>
      </c>
      <c r="O17" s="9">
        <f t="shared" si="3"/>
        <v>1600</v>
      </c>
      <c r="P17" s="9">
        <f t="shared" si="4"/>
        <v>1920</v>
      </c>
    </row>
    <row r="18">
      <c r="A18" s="10" t="s">
        <v>16</v>
      </c>
      <c r="B18" s="10">
        <v>4320.0</v>
      </c>
      <c r="C18" s="10" t="s">
        <v>17</v>
      </c>
      <c r="D18" s="11" t="s">
        <v>60</v>
      </c>
      <c r="E18" s="12" t="s">
        <v>61</v>
      </c>
      <c r="F18" s="11" t="s">
        <v>62</v>
      </c>
      <c r="G18" s="13"/>
      <c r="H18" s="12">
        <v>36246.0</v>
      </c>
      <c r="I18" s="12">
        <v>44851.0</v>
      </c>
      <c r="J18" s="13"/>
      <c r="K18" s="7">
        <f t="shared" si="1"/>
        <v>31</v>
      </c>
      <c r="L18" s="8">
        <v>45261.0</v>
      </c>
      <c r="M18" s="8">
        <v>45291.0</v>
      </c>
      <c r="N18" s="9">
        <f t="shared" si="2"/>
        <v>320</v>
      </c>
      <c r="O18" s="9">
        <f t="shared" si="3"/>
        <v>1600</v>
      </c>
      <c r="P18" s="9">
        <f t="shared" si="4"/>
        <v>1920</v>
      </c>
    </row>
    <row r="19">
      <c r="A19" s="11" t="s">
        <v>16</v>
      </c>
      <c r="B19" s="11">
        <v>4320.0</v>
      </c>
      <c r="C19" s="11" t="s">
        <v>17</v>
      </c>
      <c r="D19" s="10" t="s">
        <v>63</v>
      </c>
      <c r="E19" s="14" t="s">
        <v>64</v>
      </c>
      <c r="F19" s="10" t="s">
        <v>65</v>
      </c>
      <c r="G19" s="15"/>
      <c r="H19" s="14">
        <v>35606.0</v>
      </c>
      <c r="I19" s="14">
        <v>44896.0</v>
      </c>
      <c r="J19" s="15"/>
      <c r="K19" s="7">
        <f t="shared" si="1"/>
        <v>31</v>
      </c>
      <c r="L19" s="8">
        <v>45261.0</v>
      </c>
      <c r="M19" s="8">
        <v>45291.0</v>
      </c>
      <c r="N19" s="9">
        <f t="shared" si="2"/>
        <v>320</v>
      </c>
      <c r="O19" s="9">
        <f t="shared" si="3"/>
        <v>1600</v>
      </c>
      <c r="P19" s="9">
        <f t="shared" si="4"/>
        <v>1920</v>
      </c>
    </row>
    <row r="20">
      <c r="A20" s="10" t="s">
        <v>16</v>
      </c>
      <c r="B20" s="10">
        <v>4320.0</v>
      </c>
      <c r="C20" s="10" t="s">
        <v>17</v>
      </c>
      <c r="D20" s="11" t="s">
        <v>66</v>
      </c>
      <c r="E20" s="12" t="s">
        <v>67</v>
      </c>
      <c r="F20" s="11" t="s">
        <v>68</v>
      </c>
      <c r="G20" s="13"/>
      <c r="H20" s="12">
        <v>34973.0</v>
      </c>
      <c r="I20" s="12">
        <v>44986.0</v>
      </c>
      <c r="J20" s="13"/>
      <c r="K20" s="7">
        <f t="shared" si="1"/>
        <v>31</v>
      </c>
      <c r="L20" s="8">
        <v>45261.0</v>
      </c>
      <c r="M20" s="8">
        <v>45291.0</v>
      </c>
      <c r="N20" s="9">
        <f t="shared" si="2"/>
        <v>320</v>
      </c>
      <c r="O20" s="9">
        <f t="shared" si="3"/>
        <v>1600</v>
      </c>
      <c r="P20" s="9">
        <f t="shared" si="4"/>
        <v>1920</v>
      </c>
    </row>
    <row r="21">
      <c r="A21" s="11" t="s">
        <v>16</v>
      </c>
      <c r="B21" s="11">
        <v>4320.0</v>
      </c>
      <c r="C21" s="11" t="s">
        <v>17</v>
      </c>
      <c r="D21" s="10" t="s">
        <v>69</v>
      </c>
      <c r="E21" s="14" t="s">
        <v>70</v>
      </c>
      <c r="F21" s="10" t="s">
        <v>71</v>
      </c>
      <c r="G21" s="15"/>
      <c r="H21" s="14">
        <v>36891.0</v>
      </c>
      <c r="I21" s="14">
        <v>44739.0</v>
      </c>
      <c r="J21" s="15"/>
      <c r="K21" s="7">
        <f t="shared" si="1"/>
        <v>31</v>
      </c>
      <c r="L21" s="8">
        <v>45261.0</v>
      </c>
      <c r="M21" s="8">
        <v>45291.0</v>
      </c>
      <c r="N21" s="9">
        <f t="shared" si="2"/>
        <v>320</v>
      </c>
      <c r="O21" s="9">
        <f t="shared" si="3"/>
        <v>1600</v>
      </c>
      <c r="P21" s="9">
        <f t="shared" si="4"/>
        <v>1920</v>
      </c>
    </row>
    <row r="22">
      <c r="A22" s="10" t="s">
        <v>16</v>
      </c>
      <c r="B22" s="10">
        <v>4320.0</v>
      </c>
      <c r="C22" s="10" t="s">
        <v>17</v>
      </c>
      <c r="D22" s="11" t="s">
        <v>252</v>
      </c>
      <c r="E22" s="12" t="s">
        <v>253</v>
      </c>
      <c r="F22" s="11" t="s">
        <v>254</v>
      </c>
      <c r="G22" s="13"/>
      <c r="H22" s="12">
        <v>37516.0</v>
      </c>
      <c r="I22" s="43">
        <v>45261.0</v>
      </c>
      <c r="J22" s="13"/>
      <c r="K22" s="7">
        <f t="shared" si="1"/>
        <v>31</v>
      </c>
      <c r="L22" s="8">
        <v>45261.0</v>
      </c>
      <c r="M22" s="8">
        <v>45291.0</v>
      </c>
      <c r="N22" s="9">
        <f t="shared" si="2"/>
        <v>320</v>
      </c>
      <c r="O22" s="9">
        <f t="shared" si="3"/>
        <v>1600</v>
      </c>
      <c r="P22" s="9">
        <f t="shared" si="4"/>
        <v>1920</v>
      </c>
    </row>
    <row r="23">
      <c r="A23" s="11" t="s">
        <v>16</v>
      </c>
      <c r="B23" s="11">
        <v>4320.0</v>
      </c>
      <c r="C23" s="11" t="s">
        <v>17</v>
      </c>
      <c r="D23" s="10" t="s">
        <v>72</v>
      </c>
      <c r="E23" s="14" t="s">
        <v>73</v>
      </c>
      <c r="F23" s="10" t="s">
        <v>74</v>
      </c>
      <c r="G23" s="15"/>
      <c r="H23" s="14">
        <v>37210.0</v>
      </c>
      <c r="I23" s="14">
        <v>44125.0</v>
      </c>
      <c r="J23" s="15"/>
      <c r="K23" s="7">
        <f t="shared" si="1"/>
        <v>31</v>
      </c>
      <c r="L23" s="8">
        <v>45261.0</v>
      </c>
      <c r="M23" s="8">
        <v>45291.0</v>
      </c>
      <c r="N23" s="9">
        <f t="shared" si="2"/>
        <v>320</v>
      </c>
      <c r="O23" s="9">
        <f t="shared" si="3"/>
        <v>1600</v>
      </c>
      <c r="P23" s="9">
        <f t="shared" si="4"/>
        <v>1920</v>
      </c>
    </row>
    <row r="24">
      <c r="A24" s="10" t="s">
        <v>16</v>
      </c>
      <c r="B24" s="10">
        <v>4320.0</v>
      </c>
      <c r="C24" s="10" t="s">
        <v>17</v>
      </c>
      <c r="D24" s="11" t="s">
        <v>78</v>
      </c>
      <c r="E24" s="12" t="s">
        <v>79</v>
      </c>
      <c r="F24" s="11" t="s">
        <v>80</v>
      </c>
      <c r="G24" s="13"/>
      <c r="H24" s="12">
        <v>36401.0</v>
      </c>
      <c r="I24" s="12">
        <v>45096.0</v>
      </c>
      <c r="J24" s="13"/>
      <c r="K24" s="7">
        <f t="shared" si="1"/>
        <v>31</v>
      </c>
      <c r="L24" s="8">
        <v>45261.0</v>
      </c>
      <c r="M24" s="8">
        <v>45291.0</v>
      </c>
      <c r="N24" s="9">
        <f t="shared" si="2"/>
        <v>320</v>
      </c>
      <c r="O24" s="9">
        <f t="shared" si="3"/>
        <v>1600</v>
      </c>
      <c r="P24" s="9">
        <f t="shared" si="4"/>
        <v>1920</v>
      </c>
    </row>
    <row r="25">
      <c r="A25" s="11" t="s">
        <v>16</v>
      </c>
      <c r="B25" s="11">
        <v>4320.0</v>
      </c>
      <c r="C25" s="11" t="s">
        <v>17</v>
      </c>
      <c r="D25" s="10" t="s">
        <v>81</v>
      </c>
      <c r="E25" s="14" t="s">
        <v>82</v>
      </c>
      <c r="F25" s="10" t="s">
        <v>83</v>
      </c>
      <c r="G25" s="15"/>
      <c r="H25" s="14">
        <v>36113.0</v>
      </c>
      <c r="I25" s="14">
        <v>44866.0</v>
      </c>
      <c r="J25" s="14"/>
      <c r="K25" s="7">
        <f t="shared" si="1"/>
        <v>31</v>
      </c>
      <c r="L25" s="8">
        <v>45261.0</v>
      </c>
      <c r="M25" s="8">
        <v>45291.0</v>
      </c>
      <c r="N25" s="9">
        <f t="shared" si="2"/>
        <v>320</v>
      </c>
      <c r="O25" s="9">
        <f t="shared" si="3"/>
        <v>1600</v>
      </c>
      <c r="P25" s="9">
        <f t="shared" si="4"/>
        <v>1920</v>
      </c>
    </row>
    <row r="26">
      <c r="A26" s="11" t="s">
        <v>16</v>
      </c>
      <c r="B26" s="11">
        <v>4320.0</v>
      </c>
      <c r="C26" s="11" t="s">
        <v>17</v>
      </c>
      <c r="D26" s="10" t="s">
        <v>87</v>
      </c>
      <c r="E26" s="14" t="s">
        <v>88</v>
      </c>
      <c r="F26" s="10" t="s">
        <v>89</v>
      </c>
      <c r="G26" s="15"/>
      <c r="H26" s="14">
        <v>33737.0</v>
      </c>
      <c r="I26" s="14">
        <v>45139.0</v>
      </c>
      <c r="J26" s="15"/>
      <c r="K26" s="7">
        <f t="shared" si="1"/>
        <v>31</v>
      </c>
      <c r="L26" s="8">
        <v>45261.0</v>
      </c>
      <c r="M26" s="8">
        <v>45291.0</v>
      </c>
      <c r="N26" s="9">
        <f t="shared" si="2"/>
        <v>320</v>
      </c>
      <c r="O26" s="9">
        <f t="shared" si="3"/>
        <v>1600</v>
      </c>
      <c r="P26" s="9">
        <f t="shared" si="4"/>
        <v>1920</v>
      </c>
    </row>
    <row r="27">
      <c r="A27" s="10" t="s">
        <v>16</v>
      </c>
      <c r="B27" s="10">
        <v>4320.0</v>
      </c>
      <c r="C27" s="10" t="s">
        <v>17</v>
      </c>
      <c r="D27" s="11" t="s">
        <v>90</v>
      </c>
      <c r="E27" s="12" t="s">
        <v>91</v>
      </c>
      <c r="F27" s="11" t="s">
        <v>92</v>
      </c>
      <c r="G27" s="13"/>
      <c r="H27" s="12">
        <v>33917.0</v>
      </c>
      <c r="I27" s="12">
        <v>45166.0</v>
      </c>
      <c r="J27" s="12"/>
      <c r="K27" s="7">
        <f t="shared" si="1"/>
        <v>31</v>
      </c>
      <c r="L27" s="8">
        <v>45261.0</v>
      </c>
      <c r="M27" s="8">
        <v>45291.0</v>
      </c>
      <c r="N27" s="9">
        <f t="shared" si="2"/>
        <v>320</v>
      </c>
      <c r="O27" s="9">
        <f t="shared" si="3"/>
        <v>1600</v>
      </c>
      <c r="P27" s="9">
        <f t="shared" si="4"/>
        <v>1920</v>
      </c>
    </row>
    <row r="28">
      <c r="A28" s="11" t="s">
        <v>16</v>
      </c>
      <c r="B28" s="11">
        <v>4320.0</v>
      </c>
      <c r="C28" s="11" t="s">
        <v>17</v>
      </c>
      <c r="D28" s="10" t="s">
        <v>96</v>
      </c>
      <c r="E28" s="14" t="s">
        <v>97</v>
      </c>
      <c r="F28" s="10" t="s">
        <v>98</v>
      </c>
      <c r="G28" s="15"/>
      <c r="H28" s="14">
        <v>36690.0</v>
      </c>
      <c r="I28" s="14">
        <v>44938.0</v>
      </c>
      <c r="J28" s="15"/>
      <c r="K28" s="7">
        <f t="shared" si="1"/>
        <v>31</v>
      </c>
      <c r="L28" s="8">
        <v>45261.0</v>
      </c>
      <c r="M28" s="8">
        <v>45291.0</v>
      </c>
      <c r="N28" s="9">
        <f t="shared" si="2"/>
        <v>320</v>
      </c>
      <c r="O28" s="9">
        <f t="shared" si="3"/>
        <v>1600</v>
      </c>
      <c r="P28" s="9">
        <f t="shared" si="4"/>
        <v>1920</v>
      </c>
    </row>
    <row r="29">
      <c r="A29" s="10" t="s">
        <v>16</v>
      </c>
      <c r="B29" s="10">
        <v>4320.0</v>
      </c>
      <c r="C29" s="10" t="s">
        <v>17</v>
      </c>
      <c r="D29" s="11" t="s">
        <v>99</v>
      </c>
      <c r="E29" s="12" t="s">
        <v>100</v>
      </c>
      <c r="F29" s="11" t="s">
        <v>101</v>
      </c>
      <c r="G29" s="13"/>
      <c r="H29" s="12">
        <v>37240.0</v>
      </c>
      <c r="I29" s="12">
        <v>45176.0</v>
      </c>
      <c r="J29" s="13"/>
      <c r="K29" s="7">
        <f t="shared" si="1"/>
        <v>31</v>
      </c>
      <c r="L29" s="8">
        <v>45261.0</v>
      </c>
      <c r="M29" s="8">
        <v>45291.0</v>
      </c>
      <c r="N29" s="9">
        <f t="shared" si="2"/>
        <v>320</v>
      </c>
      <c r="O29" s="9">
        <f t="shared" si="3"/>
        <v>1600</v>
      </c>
      <c r="P29" s="9">
        <f t="shared" si="4"/>
        <v>1920</v>
      </c>
    </row>
    <row r="30">
      <c r="A30" s="11" t="s">
        <v>16</v>
      </c>
      <c r="B30" s="11">
        <v>4320.0</v>
      </c>
      <c r="C30" s="11" t="s">
        <v>17</v>
      </c>
      <c r="D30" s="10" t="s">
        <v>255</v>
      </c>
      <c r="E30" s="14" t="s">
        <v>256</v>
      </c>
      <c r="F30" s="10" t="s">
        <v>257</v>
      </c>
      <c r="G30" s="15"/>
      <c r="H30" s="14">
        <v>35173.0</v>
      </c>
      <c r="I30" s="14">
        <v>45264.0</v>
      </c>
      <c r="J30" s="15"/>
      <c r="K30" s="7">
        <f t="shared" si="1"/>
        <v>28</v>
      </c>
      <c r="L30" s="8">
        <v>45261.0</v>
      </c>
      <c r="M30" s="8">
        <v>45291.0</v>
      </c>
      <c r="N30" s="9">
        <f t="shared" si="2"/>
        <v>290</v>
      </c>
      <c r="O30" s="9">
        <f t="shared" si="3"/>
        <v>1450</v>
      </c>
      <c r="P30" s="9">
        <f t="shared" si="4"/>
        <v>1740</v>
      </c>
    </row>
    <row r="31">
      <c r="A31" s="11" t="s">
        <v>16</v>
      </c>
      <c r="B31" s="11">
        <v>4320.0</v>
      </c>
      <c r="C31" s="11" t="s">
        <v>17</v>
      </c>
      <c r="D31" s="10" t="s">
        <v>105</v>
      </c>
      <c r="E31" s="14" t="s">
        <v>106</v>
      </c>
      <c r="F31" s="10" t="s">
        <v>107</v>
      </c>
      <c r="G31" s="15"/>
      <c r="H31" s="14">
        <v>37136.0</v>
      </c>
      <c r="I31" s="14">
        <v>45201.0</v>
      </c>
      <c r="J31" s="14"/>
      <c r="K31" s="7">
        <f t="shared" si="1"/>
        <v>31</v>
      </c>
      <c r="L31" s="8">
        <v>45261.0</v>
      </c>
      <c r="M31" s="8">
        <v>45291.0</v>
      </c>
      <c r="N31" s="9">
        <f t="shared" si="2"/>
        <v>320</v>
      </c>
      <c r="O31" s="9">
        <f t="shared" si="3"/>
        <v>1600</v>
      </c>
      <c r="P31" s="9">
        <f t="shared" si="4"/>
        <v>1920</v>
      </c>
    </row>
    <row r="32">
      <c r="A32" s="11" t="s">
        <v>16</v>
      </c>
      <c r="B32" s="11">
        <v>4320.0</v>
      </c>
      <c r="C32" s="11" t="s">
        <v>17</v>
      </c>
      <c r="D32" s="10" t="s">
        <v>108</v>
      </c>
      <c r="E32" s="14" t="s">
        <v>109</v>
      </c>
      <c r="F32" s="10" t="s">
        <v>110</v>
      </c>
      <c r="G32" s="15"/>
      <c r="H32" s="14">
        <v>35943.0</v>
      </c>
      <c r="I32" s="14">
        <v>45215.0</v>
      </c>
      <c r="J32" s="15"/>
      <c r="K32" s="7">
        <f t="shared" si="1"/>
        <v>31</v>
      </c>
      <c r="L32" s="8">
        <v>45261.0</v>
      </c>
      <c r="M32" s="8">
        <v>45291.0</v>
      </c>
      <c r="N32" s="9">
        <f t="shared" si="2"/>
        <v>320</v>
      </c>
      <c r="O32" s="9">
        <f t="shared" si="3"/>
        <v>1600</v>
      </c>
      <c r="P32" s="9">
        <f t="shared" si="4"/>
        <v>1920</v>
      </c>
    </row>
    <row r="33">
      <c r="A33" s="22" t="s">
        <v>16</v>
      </c>
      <c r="B33" s="22">
        <v>4320.0</v>
      </c>
      <c r="C33" s="22" t="s">
        <v>17</v>
      </c>
      <c r="D33" s="22" t="s">
        <v>111</v>
      </c>
      <c r="E33" s="23" t="s">
        <v>112</v>
      </c>
      <c r="F33" s="22" t="s">
        <v>113</v>
      </c>
      <c r="G33" s="24"/>
      <c r="H33" s="23">
        <v>36898.0</v>
      </c>
      <c r="I33" s="23">
        <v>44988.0</v>
      </c>
      <c r="J33" s="24"/>
      <c r="K33" s="25">
        <f t="shared" si="1"/>
        <v>31</v>
      </c>
      <c r="L33" s="26">
        <v>45261.0</v>
      </c>
      <c r="M33" s="26">
        <v>45291.0</v>
      </c>
      <c r="N33" s="27">
        <f t="shared" si="2"/>
        <v>320</v>
      </c>
      <c r="O33" s="27">
        <f t="shared" si="3"/>
        <v>1600</v>
      </c>
      <c r="P33" s="27">
        <f t="shared" si="4"/>
        <v>1920</v>
      </c>
    </row>
    <row r="34">
      <c r="A34" s="10" t="s">
        <v>16</v>
      </c>
      <c r="B34" s="10">
        <v>4320.0</v>
      </c>
      <c r="C34" s="10" t="s">
        <v>17</v>
      </c>
      <c r="D34" s="11" t="s">
        <v>114</v>
      </c>
      <c r="E34" s="12" t="s">
        <v>115</v>
      </c>
      <c r="F34" s="11" t="s">
        <v>116</v>
      </c>
      <c r="G34" s="13"/>
      <c r="H34" s="12">
        <v>35159.0</v>
      </c>
      <c r="I34" s="12">
        <v>45078.0</v>
      </c>
      <c r="J34" s="12"/>
      <c r="K34" s="7">
        <f t="shared" si="1"/>
        <v>31</v>
      </c>
      <c r="L34" s="8">
        <v>45261.0</v>
      </c>
      <c r="M34" s="8">
        <v>45291.0</v>
      </c>
      <c r="N34" s="9">
        <f t="shared" si="2"/>
        <v>320</v>
      </c>
      <c r="O34" s="9">
        <f t="shared" si="3"/>
        <v>1600</v>
      </c>
      <c r="P34" s="9">
        <f t="shared" si="4"/>
        <v>1920</v>
      </c>
    </row>
    <row r="35">
      <c r="A35" s="11" t="s">
        <v>16</v>
      </c>
      <c r="B35" s="11">
        <v>4320.0</v>
      </c>
      <c r="C35" s="11" t="s">
        <v>17</v>
      </c>
      <c r="D35" s="10" t="s">
        <v>120</v>
      </c>
      <c r="E35" s="14" t="s">
        <v>121</v>
      </c>
      <c r="F35" s="10" t="s">
        <v>122</v>
      </c>
      <c r="G35" s="15"/>
      <c r="H35" s="14">
        <v>36794.0</v>
      </c>
      <c r="I35" s="14">
        <v>44915.0</v>
      </c>
      <c r="J35" s="15"/>
      <c r="K35" s="7">
        <f t="shared" si="1"/>
        <v>31</v>
      </c>
      <c r="L35" s="8">
        <v>45261.0</v>
      </c>
      <c r="M35" s="8">
        <v>45291.0</v>
      </c>
      <c r="N35" s="9">
        <f t="shared" si="2"/>
        <v>320</v>
      </c>
      <c r="O35" s="9">
        <f t="shared" si="3"/>
        <v>1600</v>
      </c>
      <c r="P35" s="9">
        <f t="shared" si="4"/>
        <v>1920</v>
      </c>
    </row>
    <row r="36">
      <c r="A36" s="10" t="s">
        <v>16</v>
      </c>
      <c r="B36" s="10">
        <v>4320.0</v>
      </c>
      <c r="C36" s="10" t="s">
        <v>17</v>
      </c>
      <c r="D36" s="11" t="s">
        <v>123</v>
      </c>
      <c r="E36" s="12" t="s">
        <v>124</v>
      </c>
      <c r="F36" s="11" t="s">
        <v>125</v>
      </c>
      <c r="G36" s="13"/>
      <c r="H36" s="12">
        <v>37149.0</v>
      </c>
      <c r="I36" s="12">
        <v>45124.0</v>
      </c>
      <c r="J36" s="13"/>
      <c r="K36" s="7">
        <f t="shared" si="1"/>
        <v>31</v>
      </c>
      <c r="L36" s="8">
        <v>45261.0</v>
      </c>
      <c r="M36" s="8">
        <v>45291.0</v>
      </c>
      <c r="N36" s="9">
        <f t="shared" si="2"/>
        <v>320</v>
      </c>
      <c r="O36" s="9">
        <f t="shared" si="3"/>
        <v>1600</v>
      </c>
      <c r="P36" s="9">
        <f t="shared" si="4"/>
        <v>1920</v>
      </c>
    </row>
    <row r="37">
      <c r="A37" s="10" t="s">
        <v>16</v>
      </c>
      <c r="B37" s="10">
        <v>4320.0</v>
      </c>
      <c r="C37" s="10" t="s">
        <v>17</v>
      </c>
      <c r="D37" s="20" t="s">
        <v>237</v>
      </c>
      <c r="E37" s="14" t="s">
        <v>238</v>
      </c>
      <c r="F37" s="10" t="s">
        <v>239</v>
      </c>
      <c r="G37" s="15"/>
      <c r="H37" s="14">
        <v>34503.0</v>
      </c>
      <c r="I37" s="41">
        <v>45246.0</v>
      </c>
      <c r="J37" s="14"/>
      <c r="K37" s="7">
        <f t="shared" si="1"/>
        <v>31</v>
      </c>
      <c r="L37" s="8">
        <v>45261.0</v>
      </c>
      <c r="M37" s="8">
        <v>45291.0</v>
      </c>
      <c r="N37" s="9">
        <f t="shared" si="2"/>
        <v>320</v>
      </c>
      <c r="O37" s="9">
        <f t="shared" si="3"/>
        <v>1600</v>
      </c>
      <c r="P37" s="9">
        <f t="shared" si="4"/>
        <v>1920</v>
      </c>
    </row>
    <row r="38">
      <c r="A38" s="22" t="s">
        <v>16</v>
      </c>
      <c r="B38" s="22">
        <v>4320.0</v>
      </c>
      <c r="C38" s="22" t="s">
        <v>17</v>
      </c>
      <c r="D38" s="22" t="s">
        <v>129</v>
      </c>
      <c r="E38" s="23" t="s">
        <v>130</v>
      </c>
      <c r="F38" s="22" t="s">
        <v>131</v>
      </c>
      <c r="G38" s="24"/>
      <c r="H38" s="23">
        <v>36207.0</v>
      </c>
      <c r="I38" s="23">
        <v>45054.0</v>
      </c>
      <c r="J38" s="23"/>
      <c r="K38" s="25">
        <f t="shared" si="1"/>
        <v>31</v>
      </c>
      <c r="L38" s="26">
        <v>45261.0</v>
      </c>
      <c r="M38" s="26">
        <v>45291.0</v>
      </c>
      <c r="N38" s="27">
        <f t="shared" si="2"/>
        <v>320</v>
      </c>
      <c r="O38" s="27">
        <f t="shared" si="3"/>
        <v>1600</v>
      </c>
      <c r="P38" s="27">
        <f t="shared" si="4"/>
        <v>1920</v>
      </c>
    </row>
    <row r="39">
      <c r="A39" s="10" t="s">
        <v>16</v>
      </c>
      <c r="B39" s="10">
        <v>4320.0</v>
      </c>
      <c r="C39" s="10" t="s">
        <v>17</v>
      </c>
      <c r="D39" s="11" t="s">
        <v>141</v>
      </c>
      <c r="E39" s="12" t="s">
        <v>142</v>
      </c>
      <c r="F39" s="11" t="s">
        <v>143</v>
      </c>
      <c r="G39" s="13"/>
      <c r="H39" s="12">
        <v>34300.0</v>
      </c>
      <c r="I39" s="12">
        <v>45183.0</v>
      </c>
      <c r="J39" s="13"/>
      <c r="K39" s="7">
        <f t="shared" si="1"/>
        <v>31</v>
      </c>
      <c r="L39" s="8">
        <v>45261.0</v>
      </c>
      <c r="M39" s="8">
        <v>45291.0</v>
      </c>
      <c r="N39" s="9">
        <f t="shared" si="2"/>
        <v>320</v>
      </c>
      <c r="O39" s="9">
        <f t="shared" si="3"/>
        <v>1600</v>
      </c>
      <c r="P39" s="9">
        <f t="shared" si="4"/>
        <v>1920</v>
      </c>
    </row>
    <row r="40">
      <c r="A40" s="11" t="s">
        <v>16</v>
      </c>
      <c r="B40" s="11">
        <v>4320.0</v>
      </c>
      <c r="C40" s="11" t="s">
        <v>17</v>
      </c>
      <c r="D40" s="10" t="s">
        <v>147</v>
      </c>
      <c r="E40" s="14" t="s">
        <v>148</v>
      </c>
      <c r="F40" s="10" t="s">
        <v>149</v>
      </c>
      <c r="G40" s="15"/>
      <c r="H40" s="14">
        <v>36541.0</v>
      </c>
      <c r="I40" s="14">
        <v>44755.0</v>
      </c>
      <c r="J40" s="14"/>
      <c r="K40" s="7">
        <f t="shared" si="1"/>
        <v>31</v>
      </c>
      <c r="L40" s="8">
        <v>45261.0</v>
      </c>
      <c r="M40" s="8">
        <v>45291.0</v>
      </c>
      <c r="N40" s="9">
        <f t="shared" si="2"/>
        <v>320</v>
      </c>
      <c r="O40" s="9">
        <f t="shared" si="3"/>
        <v>1600</v>
      </c>
      <c r="P40" s="9">
        <f t="shared" si="4"/>
        <v>1920</v>
      </c>
    </row>
    <row r="41">
      <c r="A41" s="10" t="s">
        <v>16</v>
      </c>
      <c r="B41" s="10">
        <v>4320.0</v>
      </c>
      <c r="C41" s="10" t="s">
        <v>17</v>
      </c>
      <c r="D41" s="11" t="s">
        <v>150</v>
      </c>
      <c r="E41" s="12" t="s">
        <v>151</v>
      </c>
      <c r="F41" s="11" t="s">
        <v>152</v>
      </c>
      <c r="G41" s="13"/>
      <c r="H41" s="12">
        <v>34335.0</v>
      </c>
      <c r="I41" s="12">
        <v>45078.0</v>
      </c>
      <c r="J41" s="12"/>
      <c r="K41" s="7">
        <f t="shared" si="1"/>
        <v>31</v>
      </c>
      <c r="L41" s="8">
        <v>45261.0</v>
      </c>
      <c r="M41" s="8">
        <v>45291.0</v>
      </c>
      <c r="N41" s="9">
        <f t="shared" si="2"/>
        <v>320</v>
      </c>
      <c r="O41" s="9">
        <f t="shared" si="3"/>
        <v>1600</v>
      </c>
      <c r="P41" s="9">
        <f t="shared" si="4"/>
        <v>1920</v>
      </c>
    </row>
    <row r="42">
      <c r="A42" s="11" t="s">
        <v>16</v>
      </c>
      <c r="B42" s="11">
        <v>4320.0</v>
      </c>
      <c r="C42" s="11" t="s">
        <v>17</v>
      </c>
      <c r="D42" s="10" t="s">
        <v>153</v>
      </c>
      <c r="E42" s="14" t="s">
        <v>154</v>
      </c>
      <c r="F42" s="10" t="s">
        <v>155</v>
      </c>
      <c r="G42" s="15"/>
      <c r="H42" s="14">
        <v>31014.0</v>
      </c>
      <c r="I42" s="14">
        <v>44805.0</v>
      </c>
      <c r="J42" s="15"/>
      <c r="K42" s="7">
        <f t="shared" si="1"/>
        <v>31</v>
      </c>
      <c r="L42" s="8">
        <v>45261.0</v>
      </c>
      <c r="M42" s="8">
        <v>45291.0</v>
      </c>
      <c r="N42" s="9">
        <f t="shared" si="2"/>
        <v>320</v>
      </c>
      <c r="O42" s="9">
        <f t="shared" si="3"/>
        <v>1600</v>
      </c>
      <c r="P42" s="9">
        <f t="shared" si="4"/>
        <v>1920</v>
      </c>
    </row>
    <row r="43">
      <c r="A43" s="11" t="s">
        <v>16</v>
      </c>
      <c r="B43" s="11">
        <v>4320.0</v>
      </c>
      <c r="C43" s="11" t="s">
        <v>17</v>
      </c>
      <c r="D43" s="10" t="s">
        <v>156</v>
      </c>
      <c r="E43" s="14" t="s">
        <v>157</v>
      </c>
      <c r="F43" s="10" t="s">
        <v>158</v>
      </c>
      <c r="G43" s="15"/>
      <c r="H43" s="14">
        <v>35150.0</v>
      </c>
      <c r="I43" s="14">
        <v>45079.0</v>
      </c>
      <c r="J43" s="14"/>
      <c r="K43" s="7">
        <f t="shared" si="1"/>
        <v>31</v>
      </c>
      <c r="L43" s="8">
        <v>45261.0</v>
      </c>
      <c r="M43" s="8">
        <v>45291.0</v>
      </c>
      <c r="N43" s="9">
        <f t="shared" si="2"/>
        <v>320</v>
      </c>
      <c r="O43" s="9">
        <f t="shared" si="3"/>
        <v>1600</v>
      </c>
      <c r="P43" s="9">
        <f t="shared" si="4"/>
        <v>1920</v>
      </c>
    </row>
    <row r="44">
      <c r="A44" s="11" t="s">
        <v>16</v>
      </c>
      <c r="B44" s="11">
        <v>4320.0</v>
      </c>
      <c r="C44" s="11" t="s">
        <v>17</v>
      </c>
      <c r="D44" s="11" t="s">
        <v>159</v>
      </c>
      <c r="E44" s="12" t="s">
        <v>160</v>
      </c>
      <c r="F44" s="11" t="s">
        <v>161</v>
      </c>
      <c r="G44" s="13"/>
      <c r="H44" s="12">
        <v>35779.0</v>
      </c>
      <c r="I44" s="12">
        <v>45176.0</v>
      </c>
      <c r="J44" s="12"/>
      <c r="K44" s="7">
        <f t="shared" si="1"/>
        <v>31</v>
      </c>
      <c r="L44" s="8">
        <v>45261.0</v>
      </c>
      <c r="M44" s="8">
        <v>45291.0</v>
      </c>
      <c r="N44" s="9">
        <f t="shared" si="2"/>
        <v>320</v>
      </c>
      <c r="O44" s="9">
        <f t="shared" si="3"/>
        <v>1600</v>
      </c>
      <c r="P44" s="9">
        <f t="shared" si="4"/>
        <v>1920</v>
      </c>
    </row>
    <row r="45">
      <c r="A45" s="11" t="s">
        <v>16</v>
      </c>
      <c r="B45" s="11">
        <v>4320.0</v>
      </c>
      <c r="C45" s="11" t="s">
        <v>17</v>
      </c>
      <c r="D45" s="10" t="s">
        <v>162</v>
      </c>
      <c r="E45" s="14" t="s">
        <v>163</v>
      </c>
      <c r="F45" s="10" t="s">
        <v>164</v>
      </c>
      <c r="G45" s="15"/>
      <c r="H45" s="14">
        <v>34732.0</v>
      </c>
      <c r="I45" s="14">
        <v>44986.0</v>
      </c>
      <c r="J45" s="15"/>
      <c r="K45" s="7">
        <f t="shared" si="1"/>
        <v>31</v>
      </c>
      <c r="L45" s="8">
        <v>45261.0</v>
      </c>
      <c r="M45" s="8">
        <v>45291.0</v>
      </c>
      <c r="N45" s="9">
        <f t="shared" si="2"/>
        <v>320</v>
      </c>
      <c r="O45" s="9">
        <f t="shared" si="3"/>
        <v>1600</v>
      </c>
      <c r="P45" s="9">
        <f t="shared" si="4"/>
        <v>1920</v>
      </c>
    </row>
    <row r="46">
      <c r="A46" s="22" t="s">
        <v>16</v>
      </c>
      <c r="B46" s="22">
        <v>4320.0</v>
      </c>
      <c r="C46" s="22" t="s">
        <v>17</v>
      </c>
      <c r="D46" s="22" t="s">
        <v>240</v>
      </c>
      <c r="E46" s="23" t="s">
        <v>241</v>
      </c>
      <c r="F46" s="22" t="s">
        <v>242</v>
      </c>
      <c r="G46" s="24"/>
      <c r="H46" s="23">
        <v>33762.0</v>
      </c>
      <c r="I46" s="23">
        <v>45229.0</v>
      </c>
      <c r="J46" s="24"/>
      <c r="K46" s="25">
        <f t="shared" si="1"/>
        <v>31</v>
      </c>
      <c r="L46" s="26">
        <v>45261.0</v>
      </c>
      <c r="M46" s="26">
        <v>45291.0</v>
      </c>
      <c r="N46" s="27">
        <f t="shared" si="2"/>
        <v>320</v>
      </c>
      <c r="O46" s="27">
        <f t="shared" si="3"/>
        <v>1600</v>
      </c>
      <c r="P46" s="27">
        <f t="shared" si="4"/>
        <v>1920</v>
      </c>
      <c r="Q46" s="42"/>
      <c r="R46" s="42"/>
      <c r="S46" s="42"/>
      <c r="T46" s="42"/>
      <c r="U46" s="42"/>
      <c r="V46" s="42"/>
    </row>
    <row r="47">
      <c r="A47" s="22" t="s">
        <v>16</v>
      </c>
      <c r="B47" s="22">
        <v>4320.0</v>
      </c>
      <c r="C47" s="22" t="s">
        <v>17</v>
      </c>
      <c r="D47" s="22" t="s">
        <v>168</v>
      </c>
      <c r="E47" s="23" t="s">
        <v>169</v>
      </c>
      <c r="F47" s="22" t="s">
        <v>170</v>
      </c>
      <c r="G47" s="24"/>
      <c r="H47" s="23">
        <v>35931.0</v>
      </c>
      <c r="I47" s="23">
        <v>44958.0</v>
      </c>
      <c r="J47" s="24"/>
      <c r="K47" s="25">
        <f t="shared" si="1"/>
        <v>31</v>
      </c>
      <c r="L47" s="26">
        <v>45261.0</v>
      </c>
      <c r="M47" s="26">
        <v>45291.0</v>
      </c>
      <c r="N47" s="27">
        <f t="shared" si="2"/>
        <v>320</v>
      </c>
      <c r="O47" s="27">
        <f t="shared" si="3"/>
        <v>1600</v>
      </c>
      <c r="P47" s="27">
        <f t="shared" si="4"/>
        <v>1920</v>
      </c>
    </row>
    <row r="48">
      <c r="A48" s="10" t="s">
        <v>16</v>
      </c>
      <c r="B48" s="10">
        <v>4320.0</v>
      </c>
      <c r="C48" s="10" t="s">
        <v>17</v>
      </c>
      <c r="D48" s="11" t="s">
        <v>171</v>
      </c>
      <c r="E48" s="12" t="s">
        <v>172</v>
      </c>
      <c r="F48" s="11" t="s">
        <v>173</v>
      </c>
      <c r="G48" s="13"/>
      <c r="H48" s="12">
        <v>37005.0</v>
      </c>
      <c r="I48" s="12">
        <v>44802.0</v>
      </c>
      <c r="J48" s="12"/>
      <c r="K48" s="7">
        <f t="shared" si="1"/>
        <v>31</v>
      </c>
      <c r="L48" s="8">
        <v>45261.0</v>
      </c>
      <c r="M48" s="8">
        <v>45291.0</v>
      </c>
      <c r="N48" s="9">
        <f t="shared" si="2"/>
        <v>320</v>
      </c>
      <c r="O48" s="9">
        <f t="shared" si="3"/>
        <v>1600</v>
      </c>
      <c r="P48" s="9">
        <f t="shared" si="4"/>
        <v>1920</v>
      </c>
    </row>
    <row r="49">
      <c r="A49" s="11" t="s">
        <v>16</v>
      </c>
      <c r="B49" s="11">
        <v>4320.0</v>
      </c>
      <c r="C49" s="11" t="s">
        <v>17</v>
      </c>
      <c r="D49" s="10" t="s">
        <v>243</v>
      </c>
      <c r="E49" s="14" t="s">
        <v>244</v>
      </c>
      <c r="F49" s="10" t="s">
        <v>245</v>
      </c>
      <c r="G49" s="15"/>
      <c r="H49" s="14">
        <v>36109.0</v>
      </c>
      <c r="I49" s="14">
        <v>45250.0</v>
      </c>
      <c r="J49" s="41"/>
      <c r="K49" s="7">
        <f t="shared" si="1"/>
        <v>31</v>
      </c>
      <c r="L49" s="8">
        <v>45261.0</v>
      </c>
      <c r="M49" s="8">
        <v>45291.0</v>
      </c>
      <c r="N49" s="9">
        <f t="shared" si="2"/>
        <v>320</v>
      </c>
      <c r="O49" s="9">
        <f t="shared" si="3"/>
        <v>1600</v>
      </c>
      <c r="P49" s="9">
        <f t="shared" si="4"/>
        <v>1920</v>
      </c>
    </row>
    <row r="50">
      <c r="A50" s="11" t="s">
        <v>16</v>
      </c>
      <c r="B50" s="11">
        <v>4320.0</v>
      </c>
      <c r="C50" s="11" t="s">
        <v>17</v>
      </c>
      <c r="D50" s="10" t="s">
        <v>177</v>
      </c>
      <c r="E50" s="14" t="s">
        <v>178</v>
      </c>
      <c r="F50" s="10" t="s">
        <v>179</v>
      </c>
      <c r="G50" s="15"/>
      <c r="H50" s="14">
        <v>35976.0</v>
      </c>
      <c r="I50" s="14">
        <v>45042.0</v>
      </c>
      <c r="J50" s="15"/>
      <c r="K50" s="7">
        <f t="shared" si="1"/>
        <v>31</v>
      </c>
      <c r="L50" s="8">
        <v>45261.0</v>
      </c>
      <c r="M50" s="8">
        <v>45291.0</v>
      </c>
      <c r="N50" s="9">
        <f t="shared" si="2"/>
        <v>320</v>
      </c>
      <c r="O50" s="9">
        <f t="shared" si="3"/>
        <v>1600</v>
      </c>
      <c r="P50" s="9">
        <f t="shared" si="4"/>
        <v>1920</v>
      </c>
    </row>
    <row r="51">
      <c r="A51" s="11" t="s">
        <v>16</v>
      </c>
      <c r="B51" s="11">
        <v>4320.0</v>
      </c>
      <c r="C51" s="11" t="s">
        <v>17</v>
      </c>
      <c r="D51" s="10" t="s">
        <v>180</v>
      </c>
      <c r="E51" s="14" t="s">
        <v>181</v>
      </c>
      <c r="F51" s="10" t="s">
        <v>182</v>
      </c>
      <c r="G51" s="15"/>
      <c r="H51" s="14">
        <v>36297.0</v>
      </c>
      <c r="I51" s="14">
        <v>45001.0</v>
      </c>
      <c r="J51" s="14"/>
      <c r="K51" s="7">
        <f t="shared" si="1"/>
        <v>31</v>
      </c>
      <c r="L51" s="8">
        <v>45261.0</v>
      </c>
      <c r="M51" s="8">
        <v>45291.0</v>
      </c>
      <c r="N51" s="9">
        <f t="shared" si="2"/>
        <v>320</v>
      </c>
      <c r="O51" s="9">
        <f t="shared" si="3"/>
        <v>1600</v>
      </c>
      <c r="P51" s="9">
        <f t="shared" si="4"/>
        <v>1920</v>
      </c>
    </row>
    <row r="52">
      <c r="A52" s="10" t="s">
        <v>16</v>
      </c>
      <c r="B52" s="10">
        <v>4320.0</v>
      </c>
      <c r="C52" s="10" t="s">
        <v>17</v>
      </c>
      <c r="D52" s="11" t="s">
        <v>183</v>
      </c>
      <c r="E52" s="12" t="s">
        <v>184</v>
      </c>
      <c r="F52" s="11" t="s">
        <v>185</v>
      </c>
      <c r="G52" s="13"/>
      <c r="H52" s="12">
        <v>36979.0</v>
      </c>
      <c r="I52" s="12">
        <v>44907.0</v>
      </c>
      <c r="J52" s="13"/>
      <c r="K52" s="7">
        <f t="shared" si="1"/>
        <v>31</v>
      </c>
      <c r="L52" s="8">
        <v>45261.0</v>
      </c>
      <c r="M52" s="8">
        <v>45291.0</v>
      </c>
      <c r="N52" s="9">
        <f t="shared" si="2"/>
        <v>320</v>
      </c>
      <c r="O52" s="9">
        <f t="shared" si="3"/>
        <v>1600</v>
      </c>
      <c r="P52" s="9">
        <f t="shared" si="4"/>
        <v>1920</v>
      </c>
    </row>
    <row r="53">
      <c r="A53" s="11" t="s">
        <v>16</v>
      </c>
      <c r="B53" s="11">
        <v>4320.0</v>
      </c>
      <c r="C53" s="11" t="s">
        <v>17</v>
      </c>
      <c r="D53" s="10" t="s">
        <v>189</v>
      </c>
      <c r="E53" s="14" t="s">
        <v>190</v>
      </c>
      <c r="F53" s="10" t="s">
        <v>191</v>
      </c>
      <c r="G53" s="15"/>
      <c r="H53" s="14">
        <v>36421.0</v>
      </c>
      <c r="I53" s="14">
        <v>45208.0</v>
      </c>
      <c r="J53" s="15"/>
      <c r="K53" s="7">
        <f t="shared" si="1"/>
        <v>31</v>
      </c>
      <c r="L53" s="8">
        <v>45261.0</v>
      </c>
      <c r="M53" s="8">
        <v>45291.0</v>
      </c>
      <c r="N53" s="9">
        <f t="shared" si="2"/>
        <v>320</v>
      </c>
      <c r="O53" s="9">
        <f t="shared" si="3"/>
        <v>1600</v>
      </c>
      <c r="P53" s="9">
        <f t="shared" si="4"/>
        <v>1920</v>
      </c>
    </row>
    <row r="54">
      <c r="A54" s="11" t="s">
        <v>16</v>
      </c>
      <c r="B54" s="11">
        <v>4320.0</v>
      </c>
      <c r="C54" s="11" t="s">
        <v>17</v>
      </c>
      <c r="D54" s="11" t="s">
        <v>258</v>
      </c>
      <c r="E54" s="12" t="s">
        <v>259</v>
      </c>
      <c r="F54" s="11" t="s">
        <v>260</v>
      </c>
      <c r="G54" s="13"/>
      <c r="H54" s="12">
        <v>35447.0</v>
      </c>
      <c r="I54" s="12">
        <v>45273.0</v>
      </c>
      <c r="J54" s="13"/>
      <c r="K54" s="7">
        <f t="shared" si="1"/>
        <v>19</v>
      </c>
      <c r="L54" s="8">
        <v>45261.0</v>
      </c>
      <c r="M54" s="8">
        <v>45291.0</v>
      </c>
      <c r="N54" s="9">
        <f t="shared" si="2"/>
        <v>197</v>
      </c>
      <c r="O54" s="9">
        <f t="shared" si="3"/>
        <v>985</v>
      </c>
      <c r="P54" s="9">
        <f t="shared" si="4"/>
        <v>1182</v>
      </c>
    </row>
    <row r="55">
      <c r="A55" s="22" t="s">
        <v>16</v>
      </c>
      <c r="B55" s="22">
        <v>4320.0</v>
      </c>
      <c r="C55" s="22" t="s">
        <v>17</v>
      </c>
      <c r="D55" s="22" t="s">
        <v>192</v>
      </c>
      <c r="E55" s="23" t="s">
        <v>193</v>
      </c>
      <c r="F55" s="22" t="s">
        <v>194</v>
      </c>
      <c r="G55" s="24"/>
      <c r="H55" s="23">
        <v>36075.0</v>
      </c>
      <c r="I55" s="23">
        <v>44977.0</v>
      </c>
      <c r="J55" s="24"/>
      <c r="K55" s="25">
        <f t="shared" si="1"/>
        <v>31</v>
      </c>
      <c r="L55" s="26">
        <v>45261.0</v>
      </c>
      <c r="M55" s="26">
        <v>45291.0</v>
      </c>
      <c r="N55" s="27">
        <f t="shared" si="2"/>
        <v>320</v>
      </c>
      <c r="O55" s="27">
        <f t="shared" si="3"/>
        <v>1600</v>
      </c>
      <c r="P55" s="27">
        <f t="shared" si="4"/>
        <v>1920</v>
      </c>
    </row>
    <row r="56">
      <c r="A56" s="11" t="s">
        <v>16</v>
      </c>
      <c r="B56" s="11">
        <v>4320.0</v>
      </c>
      <c r="C56" s="11" t="s">
        <v>17</v>
      </c>
      <c r="D56" s="11" t="s">
        <v>195</v>
      </c>
      <c r="E56" s="12" t="s">
        <v>196</v>
      </c>
      <c r="F56" s="11" t="s">
        <v>197</v>
      </c>
      <c r="G56" s="13"/>
      <c r="H56" s="12">
        <v>36089.0</v>
      </c>
      <c r="I56" s="12">
        <v>45195.0</v>
      </c>
      <c r="J56" s="12">
        <v>45282.0</v>
      </c>
      <c r="K56" s="7">
        <f t="shared" si="1"/>
        <v>22</v>
      </c>
      <c r="L56" s="8">
        <v>45261.0</v>
      </c>
      <c r="M56" s="8">
        <v>45291.0</v>
      </c>
      <c r="N56" s="9">
        <f t="shared" si="2"/>
        <v>228</v>
      </c>
      <c r="O56" s="9">
        <f t="shared" si="3"/>
        <v>1140</v>
      </c>
      <c r="P56" s="9">
        <f t="shared" si="4"/>
        <v>1368</v>
      </c>
    </row>
    <row r="57">
      <c r="A57" s="10" t="s">
        <v>16</v>
      </c>
      <c r="B57" s="10">
        <v>4320.0</v>
      </c>
      <c r="C57" s="10" t="s">
        <v>17</v>
      </c>
      <c r="D57" s="11" t="s">
        <v>201</v>
      </c>
      <c r="E57" s="12" t="s">
        <v>202</v>
      </c>
      <c r="F57" s="11" t="s">
        <v>203</v>
      </c>
      <c r="G57" s="13"/>
      <c r="H57" s="12">
        <v>36574.0</v>
      </c>
      <c r="I57" s="12">
        <v>45187.0</v>
      </c>
      <c r="J57" s="13"/>
      <c r="K57" s="7">
        <f t="shared" si="1"/>
        <v>31</v>
      </c>
      <c r="L57" s="8">
        <v>45261.0</v>
      </c>
      <c r="M57" s="8">
        <v>45291.0</v>
      </c>
      <c r="N57" s="9">
        <f t="shared" si="2"/>
        <v>320</v>
      </c>
      <c r="O57" s="9">
        <f t="shared" si="3"/>
        <v>1600</v>
      </c>
      <c r="P57" s="9">
        <f t="shared" si="4"/>
        <v>1920</v>
      </c>
    </row>
    <row r="58">
      <c r="A58" s="10" t="s">
        <v>16</v>
      </c>
      <c r="B58" s="10">
        <v>4320.0</v>
      </c>
      <c r="C58" s="10" t="s">
        <v>17</v>
      </c>
      <c r="D58" s="11" t="s">
        <v>207</v>
      </c>
      <c r="E58" s="12" t="s">
        <v>208</v>
      </c>
      <c r="F58" s="11" t="s">
        <v>209</v>
      </c>
      <c r="G58" s="13"/>
      <c r="H58" s="12">
        <v>33156.0</v>
      </c>
      <c r="I58" s="12">
        <v>44285.0</v>
      </c>
      <c r="J58" s="13"/>
      <c r="K58" s="7">
        <f t="shared" si="1"/>
        <v>31</v>
      </c>
      <c r="L58" s="8">
        <v>45261.0</v>
      </c>
      <c r="M58" s="8">
        <v>45291.0</v>
      </c>
      <c r="N58" s="9">
        <f t="shared" si="2"/>
        <v>320</v>
      </c>
      <c r="O58" s="9">
        <f t="shared" si="3"/>
        <v>1600</v>
      </c>
      <c r="P58" s="9">
        <f t="shared" si="4"/>
        <v>1920</v>
      </c>
    </row>
    <row r="59">
      <c r="A59" s="11" t="s">
        <v>16</v>
      </c>
      <c r="B59" s="11">
        <v>4320.0</v>
      </c>
      <c r="C59" s="11" t="s">
        <v>17</v>
      </c>
      <c r="D59" s="10" t="s">
        <v>213</v>
      </c>
      <c r="E59" s="14" t="s">
        <v>214</v>
      </c>
      <c r="F59" s="10" t="s">
        <v>215</v>
      </c>
      <c r="G59" s="15"/>
      <c r="H59" s="14">
        <v>36797.0</v>
      </c>
      <c r="I59" s="28">
        <v>44886.0</v>
      </c>
      <c r="J59" s="38"/>
      <c r="K59" s="7">
        <f t="shared" si="1"/>
        <v>31</v>
      </c>
      <c r="L59" s="8">
        <v>45261.0</v>
      </c>
      <c r="M59" s="8">
        <v>45291.0</v>
      </c>
      <c r="N59" s="9">
        <f t="shared" si="2"/>
        <v>320</v>
      </c>
      <c r="O59" s="9">
        <f t="shared" si="3"/>
        <v>1600</v>
      </c>
      <c r="P59" s="9">
        <f t="shared" si="4"/>
        <v>1920</v>
      </c>
    </row>
    <row r="60">
      <c r="A60" s="11" t="s">
        <v>16</v>
      </c>
      <c r="B60" s="11">
        <v>4320.0</v>
      </c>
      <c r="C60" s="11" t="s">
        <v>17</v>
      </c>
      <c r="D60" s="10" t="s">
        <v>216</v>
      </c>
      <c r="E60" s="14" t="s">
        <v>217</v>
      </c>
      <c r="F60" s="10" t="s">
        <v>218</v>
      </c>
      <c r="G60" s="15"/>
      <c r="H60" s="14">
        <v>33769.0</v>
      </c>
      <c r="I60" s="14">
        <v>44816.0</v>
      </c>
      <c r="J60" s="15"/>
      <c r="K60" s="7">
        <f t="shared" si="1"/>
        <v>31</v>
      </c>
      <c r="L60" s="8">
        <v>45261.0</v>
      </c>
      <c r="M60" s="8">
        <v>45291.0</v>
      </c>
      <c r="N60" s="9">
        <f t="shared" si="2"/>
        <v>320</v>
      </c>
      <c r="O60" s="9">
        <f t="shared" si="3"/>
        <v>1600</v>
      </c>
      <c r="P60" s="9">
        <f t="shared" si="4"/>
        <v>1920</v>
      </c>
    </row>
    <row r="61">
      <c r="A61" s="10" t="s">
        <v>16</v>
      </c>
      <c r="B61" s="10">
        <v>4320.0</v>
      </c>
      <c r="C61" s="10" t="s">
        <v>17</v>
      </c>
      <c r="D61" s="37" t="s">
        <v>219</v>
      </c>
      <c r="E61" s="12" t="s">
        <v>220</v>
      </c>
      <c r="F61" s="11" t="s">
        <v>221</v>
      </c>
      <c r="G61" s="13"/>
      <c r="H61" s="12">
        <v>36408.0</v>
      </c>
      <c r="I61" s="12">
        <v>45173.0</v>
      </c>
      <c r="J61" s="12"/>
      <c r="K61" s="7">
        <f t="shared" si="1"/>
        <v>31</v>
      </c>
      <c r="L61" s="8">
        <v>45261.0</v>
      </c>
      <c r="M61" s="8">
        <v>45291.0</v>
      </c>
      <c r="N61" s="9">
        <f t="shared" si="2"/>
        <v>320</v>
      </c>
      <c r="O61" s="9">
        <f t="shared" si="3"/>
        <v>1600</v>
      </c>
      <c r="P61" s="9">
        <f t="shared" si="4"/>
        <v>1920</v>
      </c>
    </row>
    <row r="62">
      <c r="A62" s="11" t="s">
        <v>16</v>
      </c>
      <c r="B62" s="11">
        <v>4320.0</v>
      </c>
      <c r="C62" s="11" t="s">
        <v>17</v>
      </c>
      <c r="D62" s="10" t="s">
        <v>222</v>
      </c>
      <c r="E62" s="14" t="s">
        <v>223</v>
      </c>
      <c r="F62" s="10" t="s">
        <v>224</v>
      </c>
      <c r="G62" s="15"/>
      <c r="H62" s="14">
        <v>35818.0</v>
      </c>
      <c r="I62" s="14">
        <v>45089.0</v>
      </c>
      <c r="J62" s="15"/>
      <c r="K62" s="7">
        <f t="shared" si="1"/>
        <v>31</v>
      </c>
      <c r="L62" s="8">
        <v>45261.0</v>
      </c>
      <c r="M62" s="8">
        <v>45291.0</v>
      </c>
      <c r="N62" s="9">
        <f t="shared" si="2"/>
        <v>320</v>
      </c>
      <c r="O62" s="9">
        <f t="shared" si="3"/>
        <v>1600</v>
      </c>
      <c r="P62" s="9">
        <f t="shared" si="4"/>
        <v>1920</v>
      </c>
    </row>
    <row r="63">
      <c r="A63" s="10" t="s">
        <v>16</v>
      </c>
      <c r="B63" s="10">
        <v>4320.0</v>
      </c>
      <c r="C63" s="10" t="s">
        <v>17</v>
      </c>
      <c r="D63" s="10" t="s">
        <v>225</v>
      </c>
      <c r="E63" s="14" t="s">
        <v>226</v>
      </c>
      <c r="F63" s="10" t="s">
        <v>227</v>
      </c>
      <c r="G63" s="15"/>
      <c r="H63" s="14">
        <v>36177.0</v>
      </c>
      <c r="I63" s="14">
        <v>44970.0</v>
      </c>
      <c r="J63" s="14">
        <v>45291.0</v>
      </c>
      <c r="K63" s="7">
        <f t="shared" si="1"/>
        <v>31</v>
      </c>
      <c r="L63" s="8">
        <v>45261.0</v>
      </c>
      <c r="M63" s="8">
        <v>45291.0</v>
      </c>
      <c r="N63" s="9">
        <f t="shared" si="2"/>
        <v>320</v>
      </c>
      <c r="O63" s="9">
        <f t="shared" si="3"/>
        <v>1600</v>
      </c>
      <c r="P63" s="9">
        <f t="shared" si="4"/>
        <v>1920</v>
      </c>
    </row>
    <row r="64">
      <c r="A64" s="10" t="s">
        <v>16</v>
      </c>
      <c r="B64" s="10">
        <v>4320.0</v>
      </c>
      <c r="C64" s="10" t="s">
        <v>17</v>
      </c>
      <c r="D64" s="11" t="s">
        <v>228</v>
      </c>
      <c r="E64" s="12" t="s">
        <v>229</v>
      </c>
      <c r="F64" s="11" t="s">
        <v>230</v>
      </c>
      <c r="G64" s="13"/>
      <c r="H64" s="12">
        <v>35743.0</v>
      </c>
      <c r="I64" s="12">
        <v>45222.0</v>
      </c>
      <c r="J64" s="13"/>
      <c r="K64" s="7">
        <f t="shared" si="1"/>
        <v>31</v>
      </c>
      <c r="L64" s="8">
        <v>45261.0</v>
      </c>
      <c r="M64" s="8">
        <v>45291.0</v>
      </c>
      <c r="N64" s="9">
        <f t="shared" si="2"/>
        <v>320</v>
      </c>
      <c r="O64" s="9">
        <f t="shared" si="3"/>
        <v>1600</v>
      </c>
      <c r="P64" s="9">
        <f t="shared" si="4"/>
        <v>1920</v>
      </c>
    </row>
    <row r="65">
      <c r="P65" s="40">
        <f>SUM(P2:P64)</f>
        <v>117888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75"/>
  </cols>
  <sheetData>
    <row r="1">
      <c r="A1" s="1" t="s">
        <v>0</v>
      </c>
      <c r="B1" s="1" t="s">
        <v>1</v>
      </c>
      <c r="C1" s="1" t="s">
        <v>2</v>
      </c>
      <c r="D1" s="1" t="s">
        <v>3</v>
      </c>
      <c r="E1" s="1" t="s">
        <v>4</v>
      </c>
      <c r="F1" s="2" t="s">
        <v>5</v>
      </c>
      <c r="G1" s="1" t="s">
        <v>6</v>
      </c>
      <c r="H1" s="1" t="s">
        <v>7</v>
      </c>
      <c r="I1" s="2" t="s">
        <v>8</v>
      </c>
      <c r="J1" s="2" t="s">
        <v>9</v>
      </c>
      <c r="K1" s="3" t="s">
        <v>10</v>
      </c>
      <c r="L1" s="3" t="s">
        <v>11</v>
      </c>
      <c r="M1" s="3" t="s">
        <v>12</v>
      </c>
      <c r="N1" s="3" t="s">
        <v>13</v>
      </c>
      <c r="O1" s="3" t="s">
        <v>14</v>
      </c>
      <c r="P1" s="3" t="s">
        <v>15</v>
      </c>
    </row>
    <row r="2">
      <c r="A2" s="10" t="s">
        <v>16</v>
      </c>
      <c r="B2" s="10">
        <v>4320.0</v>
      </c>
      <c r="C2" s="10" t="s">
        <v>17</v>
      </c>
      <c r="D2" s="10" t="s">
        <v>261</v>
      </c>
      <c r="E2" s="14" t="s">
        <v>262</v>
      </c>
      <c r="F2" s="10" t="s">
        <v>263</v>
      </c>
      <c r="G2" s="15"/>
      <c r="H2" s="14">
        <v>36617.0</v>
      </c>
      <c r="I2" s="14">
        <v>45299.0</v>
      </c>
      <c r="J2" s="15"/>
      <c r="K2" s="16">
        <f t="shared" ref="K2:K68" si="1">MAX(0, MIN(M2, J2) - MAX(L2, I2) + 1)</f>
        <v>24</v>
      </c>
      <c r="L2" s="17">
        <v>45292.0</v>
      </c>
      <c r="M2" s="17">
        <v>45322.0</v>
      </c>
      <c r="N2" s="18">
        <f t="shared" ref="N2:N68" si="2">ROUNDUP(K2/31*320,0)</f>
        <v>248</v>
      </c>
      <c r="O2" s="18">
        <f t="shared" ref="O2:O68" si="3">N2*5</f>
        <v>1240</v>
      </c>
      <c r="P2" s="18">
        <f t="shared" ref="P2:P68" si="4">N2+O2</f>
        <v>1488</v>
      </c>
    </row>
    <row r="3">
      <c r="A3" s="11" t="s">
        <v>16</v>
      </c>
      <c r="B3" s="11">
        <v>4320.0</v>
      </c>
      <c r="C3" s="11" t="s">
        <v>17</v>
      </c>
      <c r="D3" s="11" t="s">
        <v>21</v>
      </c>
      <c r="E3" s="12" t="s">
        <v>22</v>
      </c>
      <c r="F3" s="11" t="s">
        <v>23</v>
      </c>
      <c r="G3" s="13"/>
      <c r="H3" s="12">
        <v>36358.0</v>
      </c>
      <c r="I3" s="12">
        <v>45027.0</v>
      </c>
      <c r="J3" s="13"/>
      <c r="K3" s="7">
        <f t="shared" si="1"/>
        <v>31</v>
      </c>
      <c r="L3" s="8">
        <v>45292.0</v>
      </c>
      <c r="M3" s="8">
        <v>45322.0</v>
      </c>
      <c r="N3" s="9">
        <f t="shared" si="2"/>
        <v>320</v>
      </c>
      <c r="O3" s="9">
        <f t="shared" si="3"/>
        <v>1600</v>
      </c>
      <c r="P3" s="9">
        <f t="shared" si="4"/>
        <v>1920</v>
      </c>
    </row>
    <row r="4">
      <c r="A4" s="10" t="s">
        <v>16</v>
      </c>
      <c r="B4" s="10">
        <v>4320.0</v>
      </c>
      <c r="C4" s="10" t="s">
        <v>17</v>
      </c>
      <c r="D4" s="10" t="s">
        <v>24</v>
      </c>
      <c r="E4" s="14" t="s">
        <v>25</v>
      </c>
      <c r="F4" s="10" t="s">
        <v>26</v>
      </c>
      <c r="G4" s="15"/>
      <c r="H4" s="14">
        <v>36860.0</v>
      </c>
      <c r="I4" s="14">
        <v>45124.0</v>
      </c>
      <c r="J4" s="15"/>
      <c r="K4" s="7">
        <f t="shared" si="1"/>
        <v>31</v>
      </c>
      <c r="L4" s="8">
        <v>45292.0</v>
      </c>
      <c r="M4" s="8">
        <v>45322.0</v>
      </c>
      <c r="N4" s="9">
        <f t="shared" si="2"/>
        <v>320</v>
      </c>
      <c r="O4" s="9">
        <f t="shared" si="3"/>
        <v>1600</v>
      </c>
      <c r="P4" s="9">
        <f t="shared" si="4"/>
        <v>1920</v>
      </c>
    </row>
    <row r="5">
      <c r="A5" s="11" t="s">
        <v>16</v>
      </c>
      <c r="B5" s="11">
        <v>4320.0</v>
      </c>
      <c r="C5" s="11" t="s">
        <v>17</v>
      </c>
      <c r="D5" s="11" t="s">
        <v>30</v>
      </c>
      <c r="E5" s="12" t="s">
        <v>31</v>
      </c>
      <c r="F5" s="11" t="s">
        <v>32</v>
      </c>
      <c r="G5" s="13"/>
      <c r="H5" s="12">
        <v>35997.0</v>
      </c>
      <c r="I5" s="12">
        <v>45061.0</v>
      </c>
      <c r="J5" s="13"/>
      <c r="K5" s="7">
        <f t="shared" si="1"/>
        <v>31</v>
      </c>
      <c r="L5" s="8">
        <v>45292.0</v>
      </c>
      <c r="M5" s="8">
        <v>45322.0</v>
      </c>
      <c r="N5" s="9">
        <f t="shared" si="2"/>
        <v>320</v>
      </c>
      <c r="O5" s="9">
        <f t="shared" si="3"/>
        <v>1600</v>
      </c>
      <c r="P5" s="9">
        <f t="shared" si="4"/>
        <v>1920</v>
      </c>
    </row>
    <row r="6">
      <c r="A6" s="11" t="s">
        <v>16</v>
      </c>
      <c r="B6" s="11">
        <v>4320.0</v>
      </c>
      <c r="C6" s="11" t="s">
        <v>17</v>
      </c>
      <c r="D6" s="11" t="s">
        <v>246</v>
      </c>
      <c r="E6" s="12" t="s">
        <v>247</v>
      </c>
      <c r="F6" s="11" t="s">
        <v>248</v>
      </c>
      <c r="G6" s="13"/>
      <c r="H6" s="12">
        <v>36353.0</v>
      </c>
      <c r="I6" s="12">
        <v>45278.0</v>
      </c>
      <c r="J6" s="13"/>
      <c r="K6" s="7">
        <f t="shared" si="1"/>
        <v>31</v>
      </c>
      <c r="L6" s="8">
        <v>45292.0</v>
      </c>
      <c r="M6" s="8">
        <v>45322.0</v>
      </c>
      <c r="N6" s="9">
        <f t="shared" si="2"/>
        <v>320</v>
      </c>
      <c r="O6" s="9">
        <f t="shared" si="3"/>
        <v>1600</v>
      </c>
      <c r="P6" s="9">
        <f t="shared" si="4"/>
        <v>1920</v>
      </c>
    </row>
    <row r="7">
      <c r="A7" s="11" t="s">
        <v>16</v>
      </c>
      <c r="B7" s="11">
        <v>4320.0</v>
      </c>
      <c r="C7" s="11" t="s">
        <v>17</v>
      </c>
      <c r="D7" s="11" t="s">
        <v>33</v>
      </c>
      <c r="E7" s="12" t="s">
        <v>34</v>
      </c>
      <c r="F7" s="11" t="s">
        <v>35</v>
      </c>
      <c r="G7" s="13"/>
      <c r="H7" s="12">
        <v>35053.0</v>
      </c>
      <c r="I7" s="12">
        <v>45173.0</v>
      </c>
      <c r="J7" s="12">
        <v>45322.0</v>
      </c>
      <c r="K7" s="7">
        <f t="shared" si="1"/>
        <v>31</v>
      </c>
      <c r="L7" s="8">
        <v>45292.0</v>
      </c>
      <c r="M7" s="8">
        <v>45322.0</v>
      </c>
      <c r="N7" s="9">
        <f t="shared" si="2"/>
        <v>320</v>
      </c>
      <c r="O7" s="9">
        <f t="shared" si="3"/>
        <v>1600</v>
      </c>
      <c r="P7" s="9">
        <f t="shared" si="4"/>
        <v>1920</v>
      </c>
    </row>
    <row r="8">
      <c r="A8" s="11" t="s">
        <v>16</v>
      </c>
      <c r="B8" s="11">
        <v>4320.0</v>
      </c>
      <c r="C8" s="11" t="s">
        <v>17</v>
      </c>
      <c r="D8" s="11" t="s">
        <v>231</v>
      </c>
      <c r="E8" s="12" t="s">
        <v>232</v>
      </c>
      <c r="F8" s="11" t="s">
        <v>233</v>
      </c>
      <c r="G8" s="13"/>
      <c r="H8" s="12">
        <v>36634.0</v>
      </c>
      <c r="I8" s="12">
        <v>45251.0</v>
      </c>
      <c r="J8" s="13"/>
      <c r="K8" s="7">
        <f t="shared" si="1"/>
        <v>31</v>
      </c>
      <c r="L8" s="8">
        <v>45292.0</v>
      </c>
      <c r="M8" s="8">
        <v>45322.0</v>
      </c>
      <c r="N8" s="9">
        <f t="shared" si="2"/>
        <v>320</v>
      </c>
      <c r="O8" s="9">
        <f t="shared" si="3"/>
        <v>1600</v>
      </c>
      <c r="P8" s="9">
        <f t="shared" si="4"/>
        <v>1920</v>
      </c>
    </row>
    <row r="9">
      <c r="A9" s="11" t="s">
        <v>16</v>
      </c>
      <c r="B9" s="11">
        <v>4320.0</v>
      </c>
      <c r="C9" s="11" t="s">
        <v>17</v>
      </c>
      <c r="D9" s="11" t="s">
        <v>36</v>
      </c>
      <c r="E9" s="12" t="s">
        <v>37</v>
      </c>
      <c r="F9" s="11" t="s">
        <v>38</v>
      </c>
      <c r="G9" s="13"/>
      <c r="H9" s="12">
        <v>33408.0</v>
      </c>
      <c r="I9" s="12">
        <v>45078.0</v>
      </c>
      <c r="J9" s="12"/>
      <c r="K9" s="7">
        <f t="shared" si="1"/>
        <v>31</v>
      </c>
      <c r="L9" s="8">
        <v>45292.0</v>
      </c>
      <c r="M9" s="8">
        <v>45322.0</v>
      </c>
      <c r="N9" s="9">
        <f t="shared" si="2"/>
        <v>320</v>
      </c>
      <c r="O9" s="9">
        <f t="shared" si="3"/>
        <v>1600</v>
      </c>
      <c r="P9" s="9">
        <f t="shared" si="4"/>
        <v>1920</v>
      </c>
    </row>
    <row r="10">
      <c r="A10" s="11" t="s">
        <v>16</v>
      </c>
      <c r="B10" s="11">
        <v>4320.0</v>
      </c>
      <c r="C10" s="11" t="s">
        <v>17</v>
      </c>
      <c r="D10" s="11" t="s">
        <v>39</v>
      </c>
      <c r="E10" s="12" t="s">
        <v>40</v>
      </c>
      <c r="F10" s="11" t="s">
        <v>41</v>
      </c>
      <c r="G10" s="13"/>
      <c r="H10" s="12">
        <v>35983.0</v>
      </c>
      <c r="I10" s="12">
        <v>45082.0</v>
      </c>
      <c r="J10" s="12"/>
      <c r="K10" s="7">
        <f t="shared" si="1"/>
        <v>31</v>
      </c>
      <c r="L10" s="8">
        <v>45292.0</v>
      </c>
      <c r="M10" s="8">
        <v>45322.0</v>
      </c>
      <c r="N10" s="9">
        <f t="shared" si="2"/>
        <v>320</v>
      </c>
      <c r="O10" s="9">
        <f t="shared" si="3"/>
        <v>1600</v>
      </c>
      <c r="P10" s="9">
        <f t="shared" si="4"/>
        <v>1920</v>
      </c>
    </row>
    <row r="11">
      <c r="A11" s="10" t="s">
        <v>16</v>
      </c>
      <c r="B11" s="10">
        <v>4320.0</v>
      </c>
      <c r="C11" s="10" t="s">
        <v>17</v>
      </c>
      <c r="D11" s="35" t="s">
        <v>234</v>
      </c>
      <c r="E11" s="12" t="s">
        <v>235</v>
      </c>
      <c r="F11" s="11" t="s">
        <v>236</v>
      </c>
      <c r="G11" s="13"/>
      <c r="H11" s="12">
        <v>33048.0</v>
      </c>
      <c r="I11" s="36">
        <v>45250.0</v>
      </c>
      <c r="J11" s="12"/>
      <c r="K11" s="7">
        <f t="shared" si="1"/>
        <v>31</v>
      </c>
      <c r="L11" s="8">
        <v>45292.0</v>
      </c>
      <c r="M11" s="8">
        <v>45322.0</v>
      </c>
      <c r="N11" s="9">
        <f t="shared" si="2"/>
        <v>320</v>
      </c>
      <c r="O11" s="9">
        <f t="shared" si="3"/>
        <v>1600</v>
      </c>
      <c r="P11" s="9">
        <f t="shared" si="4"/>
        <v>1920</v>
      </c>
    </row>
    <row r="12">
      <c r="A12" s="10" t="s">
        <v>16</v>
      </c>
      <c r="B12" s="10">
        <v>4320.0</v>
      </c>
      <c r="C12" s="10" t="s">
        <v>17</v>
      </c>
      <c r="D12" s="10" t="s">
        <v>264</v>
      </c>
      <c r="E12" s="14" t="s">
        <v>265</v>
      </c>
      <c r="F12" s="10" t="s">
        <v>266</v>
      </c>
      <c r="G12" s="15"/>
      <c r="H12" s="14">
        <v>37398.0</v>
      </c>
      <c r="I12" s="44">
        <v>45292.0</v>
      </c>
      <c r="J12" s="15"/>
      <c r="K12" s="7">
        <f t="shared" si="1"/>
        <v>31</v>
      </c>
      <c r="L12" s="8">
        <v>45292.0</v>
      </c>
      <c r="M12" s="8">
        <v>45322.0</v>
      </c>
      <c r="N12" s="9">
        <f t="shared" si="2"/>
        <v>320</v>
      </c>
      <c r="O12" s="9">
        <f t="shared" si="3"/>
        <v>1600</v>
      </c>
      <c r="P12" s="9">
        <f t="shared" si="4"/>
        <v>1920</v>
      </c>
    </row>
    <row r="13">
      <c r="A13" s="11" t="s">
        <v>16</v>
      </c>
      <c r="B13" s="11">
        <v>4320.0</v>
      </c>
      <c r="C13" s="11" t="s">
        <v>17</v>
      </c>
      <c r="D13" s="11" t="s">
        <v>45</v>
      </c>
      <c r="E13" s="12" t="s">
        <v>46</v>
      </c>
      <c r="F13" s="11" t="s">
        <v>47</v>
      </c>
      <c r="G13" s="13"/>
      <c r="H13" s="12">
        <v>37370.0</v>
      </c>
      <c r="I13" s="12">
        <v>44739.0</v>
      </c>
      <c r="J13" s="13"/>
      <c r="K13" s="7">
        <f t="shared" si="1"/>
        <v>31</v>
      </c>
      <c r="L13" s="8">
        <v>45292.0</v>
      </c>
      <c r="M13" s="8">
        <v>45322.0</v>
      </c>
      <c r="N13" s="9">
        <f t="shared" si="2"/>
        <v>320</v>
      </c>
      <c r="O13" s="9">
        <f t="shared" si="3"/>
        <v>1600</v>
      </c>
      <c r="P13" s="9">
        <f t="shared" si="4"/>
        <v>1920</v>
      </c>
    </row>
    <row r="14">
      <c r="A14" s="11" t="s">
        <v>16</v>
      </c>
      <c r="B14" s="11">
        <v>4320.0</v>
      </c>
      <c r="C14" s="11" t="s">
        <v>17</v>
      </c>
      <c r="D14" s="11" t="s">
        <v>48</v>
      </c>
      <c r="E14" s="12" t="s">
        <v>49</v>
      </c>
      <c r="F14" s="11" t="s">
        <v>50</v>
      </c>
      <c r="G14" s="13"/>
      <c r="H14" s="12">
        <v>36399.0</v>
      </c>
      <c r="I14" s="12">
        <v>45229.0</v>
      </c>
      <c r="J14" s="13"/>
      <c r="K14" s="7">
        <f t="shared" si="1"/>
        <v>31</v>
      </c>
      <c r="L14" s="8">
        <v>45292.0</v>
      </c>
      <c r="M14" s="8">
        <v>45322.0</v>
      </c>
      <c r="N14" s="9">
        <f t="shared" si="2"/>
        <v>320</v>
      </c>
      <c r="O14" s="9">
        <f t="shared" si="3"/>
        <v>1600</v>
      </c>
      <c r="P14" s="9">
        <f t="shared" si="4"/>
        <v>1920</v>
      </c>
    </row>
    <row r="15">
      <c r="A15" s="10" t="s">
        <v>16</v>
      </c>
      <c r="B15" s="10">
        <v>4320.0</v>
      </c>
      <c r="C15" s="10" t="s">
        <v>17</v>
      </c>
      <c r="D15" s="10" t="s">
        <v>51</v>
      </c>
      <c r="E15" s="14" t="s">
        <v>52</v>
      </c>
      <c r="F15" s="10" t="s">
        <v>53</v>
      </c>
      <c r="G15" s="15"/>
      <c r="H15" s="14">
        <v>34601.0</v>
      </c>
      <c r="I15" s="14">
        <v>44986.0</v>
      </c>
      <c r="J15" s="15"/>
      <c r="K15" s="7">
        <f t="shared" si="1"/>
        <v>31</v>
      </c>
      <c r="L15" s="8">
        <v>45292.0</v>
      </c>
      <c r="M15" s="8">
        <v>45322.0</v>
      </c>
      <c r="N15" s="9">
        <f t="shared" si="2"/>
        <v>320</v>
      </c>
      <c r="O15" s="9">
        <f t="shared" si="3"/>
        <v>1600</v>
      </c>
      <c r="P15" s="9">
        <f t="shared" si="4"/>
        <v>1920</v>
      </c>
    </row>
    <row r="16">
      <c r="A16" s="11" t="s">
        <v>16</v>
      </c>
      <c r="B16" s="11">
        <v>4320.0</v>
      </c>
      <c r="C16" s="11" t="s">
        <v>17</v>
      </c>
      <c r="D16" s="11" t="s">
        <v>249</v>
      </c>
      <c r="E16" s="12" t="s">
        <v>250</v>
      </c>
      <c r="F16" s="11" t="s">
        <v>251</v>
      </c>
      <c r="G16" s="13"/>
      <c r="H16" s="12">
        <v>37322.0</v>
      </c>
      <c r="I16" s="12">
        <v>45096.0</v>
      </c>
      <c r="J16" s="13"/>
      <c r="K16" s="7">
        <f t="shared" si="1"/>
        <v>31</v>
      </c>
      <c r="L16" s="8">
        <v>45292.0</v>
      </c>
      <c r="M16" s="8">
        <v>45322.0</v>
      </c>
      <c r="N16" s="9">
        <f t="shared" si="2"/>
        <v>320</v>
      </c>
      <c r="O16" s="9">
        <f t="shared" si="3"/>
        <v>1600</v>
      </c>
      <c r="P16" s="9">
        <f t="shared" si="4"/>
        <v>1920</v>
      </c>
    </row>
    <row r="17">
      <c r="A17" s="10" t="s">
        <v>16</v>
      </c>
      <c r="B17" s="10">
        <v>4320.0</v>
      </c>
      <c r="C17" s="10" t="s">
        <v>17</v>
      </c>
      <c r="D17" s="10" t="s">
        <v>57</v>
      </c>
      <c r="E17" s="14" t="s">
        <v>58</v>
      </c>
      <c r="F17" s="10" t="s">
        <v>59</v>
      </c>
      <c r="G17" s="15"/>
      <c r="H17" s="14">
        <v>35704.0</v>
      </c>
      <c r="I17" s="14">
        <v>44760.0</v>
      </c>
      <c r="J17" s="15"/>
      <c r="K17" s="7">
        <f t="shared" si="1"/>
        <v>31</v>
      </c>
      <c r="L17" s="8">
        <v>45292.0</v>
      </c>
      <c r="M17" s="8">
        <v>45322.0</v>
      </c>
      <c r="N17" s="9">
        <f t="shared" si="2"/>
        <v>320</v>
      </c>
      <c r="O17" s="9">
        <f t="shared" si="3"/>
        <v>1600</v>
      </c>
      <c r="P17" s="9">
        <f t="shared" si="4"/>
        <v>1920</v>
      </c>
    </row>
    <row r="18">
      <c r="A18" s="11" t="s">
        <v>16</v>
      </c>
      <c r="B18" s="11">
        <v>4320.0</v>
      </c>
      <c r="C18" s="11" t="s">
        <v>17</v>
      </c>
      <c r="D18" s="11" t="s">
        <v>60</v>
      </c>
      <c r="E18" s="12" t="s">
        <v>61</v>
      </c>
      <c r="F18" s="11" t="s">
        <v>62</v>
      </c>
      <c r="G18" s="13"/>
      <c r="H18" s="12">
        <v>36246.0</v>
      </c>
      <c r="I18" s="12">
        <v>44851.0</v>
      </c>
      <c r="J18" s="13"/>
      <c r="K18" s="7">
        <f t="shared" si="1"/>
        <v>31</v>
      </c>
      <c r="L18" s="8">
        <v>45292.0</v>
      </c>
      <c r="M18" s="8">
        <v>45322.0</v>
      </c>
      <c r="N18" s="9">
        <f t="shared" si="2"/>
        <v>320</v>
      </c>
      <c r="O18" s="9">
        <f t="shared" si="3"/>
        <v>1600</v>
      </c>
      <c r="P18" s="9">
        <f t="shared" si="4"/>
        <v>1920</v>
      </c>
    </row>
    <row r="19">
      <c r="A19" s="10" t="s">
        <v>16</v>
      </c>
      <c r="B19" s="10">
        <v>4320.0</v>
      </c>
      <c r="C19" s="10" t="s">
        <v>17</v>
      </c>
      <c r="D19" s="10" t="s">
        <v>63</v>
      </c>
      <c r="E19" s="14" t="s">
        <v>64</v>
      </c>
      <c r="F19" s="10" t="s">
        <v>65</v>
      </c>
      <c r="G19" s="15"/>
      <c r="H19" s="14">
        <v>35606.0</v>
      </c>
      <c r="I19" s="14">
        <v>44896.0</v>
      </c>
      <c r="J19" s="15"/>
      <c r="K19" s="7">
        <f t="shared" si="1"/>
        <v>31</v>
      </c>
      <c r="L19" s="8">
        <v>45292.0</v>
      </c>
      <c r="M19" s="8">
        <v>45322.0</v>
      </c>
      <c r="N19" s="9">
        <f t="shared" si="2"/>
        <v>320</v>
      </c>
      <c r="O19" s="9">
        <f t="shared" si="3"/>
        <v>1600</v>
      </c>
      <c r="P19" s="9">
        <f t="shared" si="4"/>
        <v>1920</v>
      </c>
    </row>
    <row r="20">
      <c r="A20" s="11" t="s">
        <v>16</v>
      </c>
      <c r="B20" s="11">
        <v>4320.0</v>
      </c>
      <c r="C20" s="11" t="s">
        <v>17</v>
      </c>
      <c r="D20" s="11" t="s">
        <v>66</v>
      </c>
      <c r="E20" s="12" t="s">
        <v>67</v>
      </c>
      <c r="F20" s="11" t="s">
        <v>68</v>
      </c>
      <c r="G20" s="13"/>
      <c r="H20" s="12">
        <v>34973.0</v>
      </c>
      <c r="I20" s="12">
        <v>44986.0</v>
      </c>
      <c r="J20" s="13"/>
      <c r="K20" s="7">
        <f t="shared" si="1"/>
        <v>31</v>
      </c>
      <c r="L20" s="8">
        <v>45292.0</v>
      </c>
      <c r="M20" s="8">
        <v>45322.0</v>
      </c>
      <c r="N20" s="9">
        <f t="shared" si="2"/>
        <v>320</v>
      </c>
      <c r="O20" s="9">
        <f t="shared" si="3"/>
        <v>1600</v>
      </c>
      <c r="P20" s="9">
        <f t="shared" si="4"/>
        <v>1920</v>
      </c>
    </row>
    <row r="21">
      <c r="A21" s="10" t="s">
        <v>16</v>
      </c>
      <c r="B21" s="10">
        <v>4320.0</v>
      </c>
      <c r="C21" s="10" t="s">
        <v>17</v>
      </c>
      <c r="D21" s="11" t="s">
        <v>267</v>
      </c>
      <c r="E21" s="12" t="s">
        <v>268</v>
      </c>
      <c r="F21" s="11" t="s">
        <v>269</v>
      </c>
      <c r="G21" s="13"/>
      <c r="H21" s="12">
        <v>34590.0</v>
      </c>
      <c r="I21" s="12">
        <v>45313.0</v>
      </c>
      <c r="J21" s="13"/>
      <c r="K21" s="7">
        <f t="shared" si="1"/>
        <v>10</v>
      </c>
      <c r="L21" s="8">
        <v>45292.0</v>
      </c>
      <c r="M21" s="8">
        <v>45322.0</v>
      </c>
      <c r="N21" s="9">
        <f t="shared" si="2"/>
        <v>104</v>
      </c>
      <c r="O21" s="9">
        <f t="shared" si="3"/>
        <v>520</v>
      </c>
      <c r="P21" s="9">
        <f t="shared" si="4"/>
        <v>624</v>
      </c>
    </row>
    <row r="22">
      <c r="A22" s="10" t="s">
        <v>16</v>
      </c>
      <c r="B22" s="10">
        <v>4320.0</v>
      </c>
      <c r="C22" s="10" t="s">
        <v>17</v>
      </c>
      <c r="D22" s="10" t="s">
        <v>69</v>
      </c>
      <c r="E22" s="14" t="s">
        <v>70</v>
      </c>
      <c r="F22" s="10" t="s">
        <v>71</v>
      </c>
      <c r="G22" s="15"/>
      <c r="H22" s="14">
        <v>36891.0</v>
      </c>
      <c r="I22" s="14">
        <v>44739.0</v>
      </c>
      <c r="J22" s="15"/>
      <c r="K22" s="7">
        <f t="shared" si="1"/>
        <v>31</v>
      </c>
      <c r="L22" s="8">
        <v>45292.0</v>
      </c>
      <c r="M22" s="8">
        <v>45322.0</v>
      </c>
      <c r="N22" s="9">
        <f t="shared" si="2"/>
        <v>320</v>
      </c>
      <c r="O22" s="9">
        <f t="shared" si="3"/>
        <v>1600</v>
      </c>
      <c r="P22" s="9">
        <f t="shared" si="4"/>
        <v>1920</v>
      </c>
    </row>
    <row r="23">
      <c r="A23" s="11" t="s">
        <v>16</v>
      </c>
      <c r="B23" s="11">
        <v>4320.0</v>
      </c>
      <c r="C23" s="11" t="s">
        <v>17</v>
      </c>
      <c r="D23" s="11" t="s">
        <v>252</v>
      </c>
      <c r="E23" s="12" t="s">
        <v>253</v>
      </c>
      <c r="F23" s="11" t="s">
        <v>254</v>
      </c>
      <c r="G23" s="13"/>
      <c r="H23" s="12">
        <v>37516.0</v>
      </c>
      <c r="I23" s="12">
        <v>45159.0</v>
      </c>
      <c r="J23" s="13"/>
      <c r="K23" s="7">
        <f t="shared" si="1"/>
        <v>31</v>
      </c>
      <c r="L23" s="8">
        <v>45292.0</v>
      </c>
      <c r="M23" s="8">
        <v>45322.0</v>
      </c>
      <c r="N23" s="9">
        <f t="shared" si="2"/>
        <v>320</v>
      </c>
      <c r="O23" s="9">
        <f t="shared" si="3"/>
        <v>1600</v>
      </c>
      <c r="P23" s="9">
        <f t="shared" si="4"/>
        <v>1920</v>
      </c>
    </row>
    <row r="24">
      <c r="A24" s="10" t="s">
        <v>16</v>
      </c>
      <c r="B24" s="10">
        <v>4320.0</v>
      </c>
      <c r="C24" s="10" t="s">
        <v>17</v>
      </c>
      <c r="D24" s="10" t="s">
        <v>72</v>
      </c>
      <c r="E24" s="14" t="s">
        <v>73</v>
      </c>
      <c r="F24" s="10" t="s">
        <v>74</v>
      </c>
      <c r="G24" s="15"/>
      <c r="H24" s="14">
        <v>37210.0</v>
      </c>
      <c r="I24" s="14">
        <v>44125.0</v>
      </c>
      <c r="J24" s="15"/>
      <c r="K24" s="7">
        <f t="shared" si="1"/>
        <v>31</v>
      </c>
      <c r="L24" s="8">
        <v>45292.0</v>
      </c>
      <c r="M24" s="8">
        <v>45322.0</v>
      </c>
      <c r="N24" s="9">
        <f t="shared" si="2"/>
        <v>320</v>
      </c>
      <c r="O24" s="9">
        <f t="shared" si="3"/>
        <v>1600</v>
      </c>
      <c r="P24" s="9">
        <f t="shared" si="4"/>
        <v>1920</v>
      </c>
    </row>
    <row r="25">
      <c r="A25" s="11" t="s">
        <v>16</v>
      </c>
      <c r="B25" s="11">
        <v>4320.0</v>
      </c>
      <c r="C25" s="11" t="s">
        <v>17</v>
      </c>
      <c r="D25" s="11" t="s">
        <v>78</v>
      </c>
      <c r="E25" s="12" t="s">
        <v>79</v>
      </c>
      <c r="F25" s="11" t="s">
        <v>80</v>
      </c>
      <c r="G25" s="13"/>
      <c r="H25" s="12">
        <v>36401.0</v>
      </c>
      <c r="I25" s="12">
        <v>45096.0</v>
      </c>
      <c r="J25" s="13"/>
      <c r="K25" s="7">
        <f t="shared" si="1"/>
        <v>31</v>
      </c>
      <c r="L25" s="8">
        <v>45292.0</v>
      </c>
      <c r="M25" s="8">
        <v>45322.0</v>
      </c>
      <c r="N25" s="9">
        <f t="shared" si="2"/>
        <v>320</v>
      </c>
      <c r="O25" s="9">
        <f t="shared" si="3"/>
        <v>1600</v>
      </c>
      <c r="P25" s="9">
        <f t="shared" si="4"/>
        <v>1920</v>
      </c>
    </row>
    <row r="26" ht="16.5" customHeight="1">
      <c r="A26" s="11" t="s">
        <v>16</v>
      </c>
      <c r="B26" s="11">
        <v>4320.0</v>
      </c>
      <c r="C26" s="11" t="s">
        <v>17</v>
      </c>
      <c r="D26" s="10" t="s">
        <v>81</v>
      </c>
      <c r="E26" s="14" t="s">
        <v>82</v>
      </c>
      <c r="F26" s="10" t="s">
        <v>83</v>
      </c>
      <c r="G26" s="15"/>
      <c r="H26" s="14">
        <v>36113.0</v>
      </c>
      <c r="I26" s="14">
        <v>44866.0</v>
      </c>
      <c r="J26" s="14">
        <v>45299.0</v>
      </c>
      <c r="K26" s="7">
        <f t="shared" si="1"/>
        <v>8</v>
      </c>
      <c r="L26" s="8">
        <v>45292.0</v>
      </c>
      <c r="M26" s="8">
        <v>45322.0</v>
      </c>
      <c r="N26" s="9">
        <f t="shared" si="2"/>
        <v>83</v>
      </c>
      <c r="O26" s="9">
        <f t="shared" si="3"/>
        <v>415</v>
      </c>
      <c r="P26" s="9">
        <f t="shared" si="4"/>
        <v>498</v>
      </c>
    </row>
    <row r="27">
      <c r="A27" s="11" t="s">
        <v>16</v>
      </c>
      <c r="B27" s="11">
        <v>4320.0</v>
      </c>
      <c r="C27" s="11" t="s">
        <v>17</v>
      </c>
      <c r="D27" s="10" t="s">
        <v>270</v>
      </c>
      <c r="E27" s="14" t="s">
        <v>271</v>
      </c>
      <c r="F27" s="10" t="s">
        <v>272</v>
      </c>
      <c r="G27" s="15"/>
      <c r="H27" s="14">
        <v>36769.0</v>
      </c>
      <c r="I27" s="14">
        <v>45313.0</v>
      </c>
      <c r="J27" s="14">
        <v>45415.0</v>
      </c>
      <c r="K27" s="7">
        <f t="shared" si="1"/>
        <v>10</v>
      </c>
      <c r="L27" s="8">
        <v>45292.0</v>
      </c>
      <c r="M27" s="8">
        <v>45322.0</v>
      </c>
      <c r="N27" s="9">
        <f t="shared" si="2"/>
        <v>104</v>
      </c>
      <c r="O27" s="9">
        <f t="shared" si="3"/>
        <v>520</v>
      </c>
      <c r="P27" s="9">
        <f t="shared" si="4"/>
        <v>624</v>
      </c>
    </row>
    <row r="28">
      <c r="A28" s="10" t="s">
        <v>16</v>
      </c>
      <c r="B28" s="10">
        <v>4320.0</v>
      </c>
      <c r="C28" s="10" t="s">
        <v>17</v>
      </c>
      <c r="D28" s="10" t="s">
        <v>87</v>
      </c>
      <c r="E28" s="14" t="s">
        <v>88</v>
      </c>
      <c r="F28" s="10" t="s">
        <v>89</v>
      </c>
      <c r="G28" s="15"/>
      <c r="H28" s="14">
        <v>33737.0</v>
      </c>
      <c r="I28" s="14">
        <v>45139.0</v>
      </c>
      <c r="J28" s="15"/>
      <c r="K28" s="7">
        <f t="shared" si="1"/>
        <v>31</v>
      </c>
      <c r="L28" s="8">
        <v>45292.0</v>
      </c>
      <c r="M28" s="8">
        <v>45322.0</v>
      </c>
      <c r="N28" s="9">
        <f t="shared" si="2"/>
        <v>320</v>
      </c>
      <c r="O28" s="9">
        <f t="shared" si="3"/>
        <v>1600</v>
      </c>
      <c r="P28" s="9">
        <f t="shared" si="4"/>
        <v>1920</v>
      </c>
    </row>
    <row r="29">
      <c r="A29" s="10" t="s">
        <v>16</v>
      </c>
      <c r="B29" s="10">
        <v>4320.0</v>
      </c>
      <c r="C29" s="10" t="s">
        <v>17</v>
      </c>
      <c r="D29" s="11" t="s">
        <v>90</v>
      </c>
      <c r="E29" s="12" t="s">
        <v>91</v>
      </c>
      <c r="F29" s="11" t="s">
        <v>92</v>
      </c>
      <c r="G29" s="13"/>
      <c r="H29" s="12">
        <v>33917.0</v>
      </c>
      <c r="I29" s="12">
        <v>45166.0</v>
      </c>
      <c r="J29" s="12">
        <v>45321.0</v>
      </c>
      <c r="K29" s="7">
        <f t="shared" si="1"/>
        <v>30</v>
      </c>
      <c r="L29" s="8">
        <v>45292.0</v>
      </c>
      <c r="M29" s="8">
        <v>45322.0</v>
      </c>
      <c r="N29" s="9">
        <f t="shared" si="2"/>
        <v>310</v>
      </c>
      <c r="O29" s="9">
        <f t="shared" si="3"/>
        <v>1550</v>
      </c>
      <c r="P29" s="9">
        <f t="shared" si="4"/>
        <v>1860</v>
      </c>
    </row>
    <row r="30">
      <c r="A30" s="10" t="s">
        <v>16</v>
      </c>
      <c r="B30" s="10">
        <v>4320.0</v>
      </c>
      <c r="C30" s="10" t="s">
        <v>17</v>
      </c>
      <c r="D30" s="10" t="s">
        <v>96</v>
      </c>
      <c r="E30" s="14" t="s">
        <v>97</v>
      </c>
      <c r="F30" s="10" t="s">
        <v>98</v>
      </c>
      <c r="G30" s="15"/>
      <c r="H30" s="14">
        <v>36690.0</v>
      </c>
      <c r="I30" s="14">
        <v>44938.0</v>
      </c>
      <c r="J30" s="15"/>
      <c r="K30" s="7">
        <f t="shared" si="1"/>
        <v>31</v>
      </c>
      <c r="L30" s="8">
        <v>45292.0</v>
      </c>
      <c r="M30" s="8">
        <v>45322.0</v>
      </c>
      <c r="N30" s="9">
        <f t="shared" si="2"/>
        <v>320</v>
      </c>
      <c r="O30" s="9">
        <f t="shared" si="3"/>
        <v>1600</v>
      </c>
      <c r="P30" s="9">
        <f t="shared" si="4"/>
        <v>1920</v>
      </c>
    </row>
    <row r="31">
      <c r="A31" s="11" t="s">
        <v>16</v>
      </c>
      <c r="B31" s="11">
        <v>4320.0</v>
      </c>
      <c r="C31" s="11" t="s">
        <v>17</v>
      </c>
      <c r="D31" s="11" t="s">
        <v>99</v>
      </c>
      <c r="E31" s="12" t="s">
        <v>100</v>
      </c>
      <c r="F31" s="11" t="s">
        <v>101</v>
      </c>
      <c r="G31" s="13"/>
      <c r="H31" s="12">
        <v>37240.0</v>
      </c>
      <c r="I31" s="12">
        <v>45176.0</v>
      </c>
      <c r="J31" s="13"/>
      <c r="K31" s="7">
        <f t="shared" si="1"/>
        <v>31</v>
      </c>
      <c r="L31" s="8">
        <v>45292.0</v>
      </c>
      <c r="M31" s="8">
        <v>45322.0</v>
      </c>
      <c r="N31" s="9">
        <f t="shared" si="2"/>
        <v>320</v>
      </c>
      <c r="O31" s="9">
        <f t="shared" si="3"/>
        <v>1600</v>
      </c>
      <c r="P31" s="9">
        <f t="shared" si="4"/>
        <v>1920</v>
      </c>
    </row>
    <row r="32">
      <c r="A32" s="10" t="s">
        <v>16</v>
      </c>
      <c r="B32" s="10">
        <v>4320.0</v>
      </c>
      <c r="C32" s="10" t="s">
        <v>17</v>
      </c>
      <c r="D32" s="10" t="s">
        <v>255</v>
      </c>
      <c r="E32" s="14" t="s">
        <v>256</v>
      </c>
      <c r="F32" s="10" t="s">
        <v>257</v>
      </c>
      <c r="G32" s="15"/>
      <c r="H32" s="14">
        <v>35173.0</v>
      </c>
      <c r="I32" s="14">
        <v>45264.0</v>
      </c>
      <c r="J32" s="15"/>
      <c r="K32" s="7">
        <f t="shared" si="1"/>
        <v>31</v>
      </c>
      <c r="L32" s="8">
        <v>45292.0</v>
      </c>
      <c r="M32" s="8">
        <v>45322.0</v>
      </c>
      <c r="N32" s="9">
        <f t="shared" si="2"/>
        <v>320</v>
      </c>
      <c r="O32" s="9">
        <f t="shared" si="3"/>
        <v>1600</v>
      </c>
      <c r="P32" s="9">
        <f t="shared" si="4"/>
        <v>1920</v>
      </c>
    </row>
    <row r="33">
      <c r="A33" s="10" t="s">
        <v>16</v>
      </c>
      <c r="B33" s="10">
        <v>4320.0</v>
      </c>
      <c r="C33" s="10" t="s">
        <v>17</v>
      </c>
      <c r="D33" s="10" t="s">
        <v>105</v>
      </c>
      <c r="E33" s="14" t="s">
        <v>106</v>
      </c>
      <c r="F33" s="10" t="s">
        <v>107</v>
      </c>
      <c r="G33" s="15"/>
      <c r="H33" s="14">
        <v>37136.0</v>
      </c>
      <c r="I33" s="14">
        <v>45201.0</v>
      </c>
      <c r="J33" s="14"/>
      <c r="K33" s="7">
        <f t="shared" si="1"/>
        <v>31</v>
      </c>
      <c r="L33" s="8">
        <v>45292.0</v>
      </c>
      <c r="M33" s="8">
        <v>45322.0</v>
      </c>
      <c r="N33" s="9">
        <f t="shared" si="2"/>
        <v>320</v>
      </c>
      <c r="O33" s="9">
        <f t="shared" si="3"/>
        <v>1600</v>
      </c>
      <c r="P33" s="9">
        <f t="shared" si="4"/>
        <v>1920</v>
      </c>
    </row>
    <row r="34">
      <c r="A34" s="10" t="s">
        <v>16</v>
      </c>
      <c r="B34" s="10">
        <v>4320.0</v>
      </c>
      <c r="C34" s="10" t="s">
        <v>17</v>
      </c>
      <c r="D34" s="10" t="s">
        <v>108</v>
      </c>
      <c r="E34" s="14" t="s">
        <v>109</v>
      </c>
      <c r="F34" s="10" t="s">
        <v>110</v>
      </c>
      <c r="G34" s="15"/>
      <c r="H34" s="14">
        <v>35943.0</v>
      </c>
      <c r="I34" s="14">
        <v>45215.0</v>
      </c>
      <c r="J34" s="15"/>
      <c r="K34" s="7">
        <f t="shared" si="1"/>
        <v>31</v>
      </c>
      <c r="L34" s="8">
        <v>45292.0</v>
      </c>
      <c r="M34" s="8">
        <v>45322.0</v>
      </c>
      <c r="N34" s="9">
        <f t="shared" si="2"/>
        <v>320</v>
      </c>
      <c r="O34" s="9">
        <f t="shared" si="3"/>
        <v>1600</v>
      </c>
      <c r="P34" s="9">
        <f t="shared" si="4"/>
        <v>1920</v>
      </c>
    </row>
    <row r="35">
      <c r="A35" s="22" t="s">
        <v>16</v>
      </c>
      <c r="B35" s="22">
        <v>4320.0</v>
      </c>
      <c r="C35" s="22" t="s">
        <v>17</v>
      </c>
      <c r="D35" s="22" t="s">
        <v>111</v>
      </c>
      <c r="E35" s="23" t="s">
        <v>112</v>
      </c>
      <c r="F35" s="22" t="s">
        <v>113</v>
      </c>
      <c r="G35" s="24"/>
      <c r="H35" s="23">
        <v>36898.0</v>
      </c>
      <c r="I35" s="23">
        <v>44988.0</v>
      </c>
      <c r="J35" s="24"/>
      <c r="K35" s="25">
        <f t="shared" si="1"/>
        <v>31</v>
      </c>
      <c r="L35" s="26">
        <v>45292.0</v>
      </c>
      <c r="M35" s="26">
        <v>45322.0</v>
      </c>
      <c r="N35" s="27">
        <f t="shared" si="2"/>
        <v>320</v>
      </c>
      <c r="O35" s="27">
        <f t="shared" si="3"/>
        <v>1600</v>
      </c>
      <c r="P35" s="27">
        <f t="shared" si="4"/>
        <v>1920</v>
      </c>
    </row>
    <row r="36">
      <c r="A36" s="11" t="s">
        <v>16</v>
      </c>
      <c r="B36" s="11">
        <v>4320.0</v>
      </c>
      <c r="C36" s="11" t="s">
        <v>17</v>
      </c>
      <c r="D36" s="11" t="s">
        <v>114</v>
      </c>
      <c r="E36" s="12" t="s">
        <v>115</v>
      </c>
      <c r="F36" s="11" t="s">
        <v>116</v>
      </c>
      <c r="G36" s="13"/>
      <c r="H36" s="12">
        <v>35159.0</v>
      </c>
      <c r="I36" s="12">
        <v>45078.0</v>
      </c>
      <c r="J36" s="12">
        <v>45322.0</v>
      </c>
      <c r="K36" s="7">
        <f t="shared" si="1"/>
        <v>31</v>
      </c>
      <c r="L36" s="8">
        <v>45292.0</v>
      </c>
      <c r="M36" s="8">
        <v>45322.0</v>
      </c>
      <c r="N36" s="9">
        <f t="shared" si="2"/>
        <v>320</v>
      </c>
      <c r="O36" s="9">
        <f t="shared" si="3"/>
        <v>1600</v>
      </c>
      <c r="P36" s="9">
        <f t="shared" si="4"/>
        <v>1920</v>
      </c>
    </row>
    <row r="37">
      <c r="A37" s="10" t="s">
        <v>16</v>
      </c>
      <c r="B37" s="10">
        <v>4320.0</v>
      </c>
      <c r="C37" s="10" t="s">
        <v>17</v>
      </c>
      <c r="D37" s="10" t="s">
        <v>120</v>
      </c>
      <c r="E37" s="14" t="s">
        <v>121</v>
      </c>
      <c r="F37" s="10" t="s">
        <v>122</v>
      </c>
      <c r="G37" s="15"/>
      <c r="H37" s="14">
        <v>36794.0</v>
      </c>
      <c r="I37" s="14">
        <v>44915.0</v>
      </c>
      <c r="J37" s="15"/>
      <c r="K37" s="7">
        <f t="shared" si="1"/>
        <v>31</v>
      </c>
      <c r="L37" s="8">
        <v>45292.0</v>
      </c>
      <c r="M37" s="8">
        <v>45322.0</v>
      </c>
      <c r="N37" s="9">
        <f t="shared" si="2"/>
        <v>320</v>
      </c>
      <c r="O37" s="9">
        <f t="shared" si="3"/>
        <v>1600</v>
      </c>
      <c r="P37" s="9">
        <f t="shared" si="4"/>
        <v>1920</v>
      </c>
    </row>
    <row r="38">
      <c r="A38" s="11" t="s">
        <v>16</v>
      </c>
      <c r="B38" s="11">
        <v>4320.0</v>
      </c>
      <c r="C38" s="11" t="s">
        <v>17</v>
      </c>
      <c r="D38" s="11" t="s">
        <v>123</v>
      </c>
      <c r="E38" s="12" t="s">
        <v>124</v>
      </c>
      <c r="F38" s="11" t="s">
        <v>125</v>
      </c>
      <c r="G38" s="13"/>
      <c r="H38" s="12">
        <v>37149.0</v>
      </c>
      <c r="I38" s="12">
        <v>45124.0</v>
      </c>
      <c r="J38" s="13"/>
      <c r="K38" s="7">
        <f t="shared" si="1"/>
        <v>31</v>
      </c>
      <c r="L38" s="8">
        <v>45292.0</v>
      </c>
      <c r="M38" s="8">
        <v>45322.0</v>
      </c>
      <c r="N38" s="9">
        <f t="shared" si="2"/>
        <v>320</v>
      </c>
      <c r="O38" s="9">
        <f t="shared" si="3"/>
        <v>1600</v>
      </c>
      <c r="P38" s="9">
        <f t="shared" si="4"/>
        <v>1920</v>
      </c>
    </row>
    <row r="39">
      <c r="A39" s="10" t="s">
        <v>16</v>
      </c>
      <c r="B39" s="10">
        <v>4320.0</v>
      </c>
      <c r="C39" s="10" t="s">
        <v>17</v>
      </c>
      <c r="D39" s="20" t="s">
        <v>237</v>
      </c>
      <c r="E39" s="14" t="s">
        <v>238</v>
      </c>
      <c r="F39" s="10" t="s">
        <v>239</v>
      </c>
      <c r="G39" s="15"/>
      <c r="H39" s="14">
        <v>34503.0</v>
      </c>
      <c r="I39" s="41">
        <v>45246.0</v>
      </c>
      <c r="J39" s="14">
        <v>45338.0</v>
      </c>
      <c r="K39" s="7">
        <f t="shared" si="1"/>
        <v>31</v>
      </c>
      <c r="L39" s="8">
        <v>45292.0</v>
      </c>
      <c r="M39" s="8">
        <v>45322.0</v>
      </c>
      <c r="N39" s="9">
        <f t="shared" si="2"/>
        <v>320</v>
      </c>
      <c r="O39" s="9">
        <f t="shared" si="3"/>
        <v>1600</v>
      </c>
      <c r="P39" s="9">
        <f t="shared" si="4"/>
        <v>1920</v>
      </c>
    </row>
    <row r="40">
      <c r="A40" s="22" t="s">
        <v>16</v>
      </c>
      <c r="B40" s="22">
        <v>4320.0</v>
      </c>
      <c r="C40" s="22" t="s">
        <v>17</v>
      </c>
      <c r="D40" s="22" t="s">
        <v>129</v>
      </c>
      <c r="E40" s="23" t="s">
        <v>130</v>
      </c>
      <c r="F40" s="22" t="s">
        <v>131</v>
      </c>
      <c r="G40" s="24"/>
      <c r="H40" s="23">
        <v>36207.0</v>
      </c>
      <c r="I40" s="23">
        <v>45054.0</v>
      </c>
      <c r="J40" s="23"/>
      <c r="K40" s="25">
        <f t="shared" si="1"/>
        <v>31</v>
      </c>
      <c r="L40" s="26">
        <v>45292.0</v>
      </c>
      <c r="M40" s="26">
        <v>45322.0</v>
      </c>
      <c r="N40" s="27">
        <f t="shared" si="2"/>
        <v>320</v>
      </c>
      <c r="O40" s="27">
        <f t="shared" si="3"/>
        <v>1600</v>
      </c>
      <c r="P40" s="27">
        <f t="shared" si="4"/>
        <v>1920</v>
      </c>
    </row>
    <row r="41">
      <c r="A41" s="11" t="s">
        <v>16</v>
      </c>
      <c r="B41" s="11">
        <v>4320.0</v>
      </c>
      <c r="C41" s="11" t="s">
        <v>17</v>
      </c>
      <c r="D41" s="11" t="s">
        <v>141</v>
      </c>
      <c r="E41" s="12" t="s">
        <v>142</v>
      </c>
      <c r="F41" s="11" t="s">
        <v>143</v>
      </c>
      <c r="G41" s="13"/>
      <c r="H41" s="12">
        <v>34300.0</v>
      </c>
      <c r="I41" s="12">
        <v>45183.0</v>
      </c>
      <c r="J41" s="13"/>
      <c r="K41" s="7">
        <f t="shared" si="1"/>
        <v>31</v>
      </c>
      <c r="L41" s="8">
        <v>45292.0</v>
      </c>
      <c r="M41" s="8">
        <v>45322.0</v>
      </c>
      <c r="N41" s="9">
        <f t="shared" si="2"/>
        <v>320</v>
      </c>
      <c r="O41" s="9">
        <f t="shared" si="3"/>
        <v>1600</v>
      </c>
      <c r="P41" s="9">
        <f t="shared" si="4"/>
        <v>1920</v>
      </c>
    </row>
    <row r="42">
      <c r="A42" s="10" t="s">
        <v>16</v>
      </c>
      <c r="B42" s="10">
        <v>4320.0</v>
      </c>
      <c r="C42" s="10" t="s">
        <v>17</v>
      </c>
      <c r="D42" s="10" t="s">
        <v>147</v>
      </c>
      <c r="E42" s="14" t="s">
        <v>148</v>
      </c>
      <c r="F42" s="10" t="s">
        <v>149</v>
      </c>
      <c r="G42" s="15"/>
      <c r="H42" s="14">
        <v>36541.0</v>
      </c>
      <c r="I42" s="14">
        <v>44755.0</v>
      </c>
      <c r="J42" s="14"/>
      <c r="K42" s="7">
        <f t="shared" si="1"/>
        <v>31</v>
      </c>
      <c r="L42" s="8">
        <v>45292.0</v>
      </c>
      <c r="M42" s="8">
        <v>45322.0</v>
      </c>
      <c r="N42" s="9">
        <f t="shared" si="2"/>
        <v>320</v>
      </c>
      <c r="O42" s="9">
        <f t="shared" si="3"/>
        <v>1600</v>
      </c>
      <c r="P42" s="9">
        <f t="shared" si="4"/>
        <v>1920</v>
      </c>
    </row>
    <row r="43">
      <c r="A43" s="11" t="s">
        <v>16</v>
      </c>
      <c r="B43" s="11">
        <v>4320.0</v>
      </c>
      <c r="C43" s="11" t="s">
        <v>17</v>
      </c>
      <c r="D43" s="11" t="s">
        <v>150</v>
      </c>
      <c r="E43" s="12" t="s">
        <v>151</v>
      </c>
      <c r="F43" s="11" t="s">
        <v>152</v>
      </c>
      <c r="G43" s="13"/>
      <c r="H43" s="12">
        <v>34335.0</v>
      </c>
      <c r="I43" s="12">
        <v>45078.0</v>
      </c>
      <c r="J43" s="12"/>
      <c r="K43" s="7">
        <f t="shared" si="1"/>
        <v>31</v>
      </c>
      <c r="L43" s="8">
        <v>45292.0</v>
      </c>
      <c r="M43" s="8">
        <v>45322.0</v>
      </c>
      <c r="N43" s="9">
        <f t="shared" si="2"/>
        <v>320</v>
      </c>
      <c r="O43" s="9">
        <f t="shared" si="3"/>
        <v>1600</v>
      </c>
      <c r="P43" s="9">
        <f t="shared" si="4"/>
        <v>1920</v>
      </c>
    </row>
    <row r="44">
      <c r="A44" s="10" t="s">
        <v>16</v>
      </c>
      <c r="B44" s="10">
        <v>4320.0</v>
      </c>
      <c r="C44" s="10" t="s">
        <v>17</v>
      </c>
      <c r="D44" s="10" t="s">
        <v>153</v>
      </c>
      <c r="E44" s="14" t="s">
        <v>154</v>
      </c>
      <c r="F44" s="10" t="s">
        <v>155</v>
      </c>
      <c r="G44" s="15"/>
      <c r="H44" s="14">
        <v>31014.0</v>
      </c>
      <c r="I44" s="14">
        <v>44805.0</v>
      </c>
      <c r="J44" s="15"/>
      <c r="K44" s="7">
        <f t="shared" si="1"/>
        <v>31</v>
      </c>
      <c r="L44" s="8">
        <v>45292.0</v>
      </c>
      <c r="M44" s="8">
        <v>45322.0</v>
      </c>
      <c r="N44" s="9">
        <f t="shared" si="2"/>
        <v>320</v>
      </c>
      <c r="O44" s="9">
        <f t="shared" si="3"/>
        <v>1600</v>
      </c>
      <c r="P44" s="9">
        <f t="shared" si="4"/>
        <v>1920</v>
      </c>
    </row>
    <row r="45">
      <c r="A45" s="11" t="s">
        <v>16</v>
      </c>
      <c r="B45" s="11">
        <v>4320.0</v>
      </c>
      <c r="C45" s="11" t="s">
        <v>17</v>
      </c>
      <c r="D45" s="10" t="s">
        <v>273</v>
      </c>
      <c r="E45" s="14" t="s">
        <v>274</v>
      </c>
      <c r="F45" s="10" t="s">
        <v>275</v>
      </c>
      <c r="G45" s="15"/>
      <c r="H45" s="14">
        <v>34522.0</v>
      </c>
      <c r="I45" s="14">
        <v>45292.0</v>
      </c>
      <c r="J45" s="15"/>
      <c r="K45" s="7">
        <f t="shared" si="1"/>
        <v>31</v>
      </c>
      <c r="L45" s="8">
        <v>45292.0</v>
      </c>
      <c r="M45" s="8">
        <v>45322.0</v>
      </c>
      <c r="N45" s="9">
        <f t="shared" si="2"/>
        <v>320</v>
      </c>
      <c r="O45" s="9">
        <f t="shared" si="3"/>
        <v>1600</v>
      </c>
      <c r="P45" s="9">
        <f t="shared" si="4"/>
        <v>1920</v>
      </c>
    </row>
    <row r="46">
      <c r="A46" s="10" t="s">
        <v>16</v>
      </c>
      <c r="B46" s="10">
        <v>4320.0</v>
      </c>
      <c r="C46" s="10" t="s">
        <v>17</v>
      </c>
      <c r="D46" s="10" t="s">
        <v>156</v>
      </c>
      <c r="E46" s="14" t="s">
        <v>157</v>
      </c>
      <c r="F46" s="10" t="s">
        <v>158</v>
      </c>
      <c r="G46" s="15"/>
      <c r="H46" s="14">
        <v>35150.0</v>
      </c>
      <c r="I46" s="14">
        <v>45079.0</v>
      </c>
      <c r="J46" s="14">
        <v>45322.0</v>
      </c>
      <c r="K46" s="7">
        <f t="shared" si="1"/>
        <v>31</v>
      </c>
      <c r="L46" s="8">
        <v>45292.0</v>
      </c>
      <c r="M46" s="8">
        <v>45322.0</v>
      </c>
      <c r="N46" s="9">
        <f t="shared" si="2"/>
        <v>320</v>
      </c>
      <c r="O46" s="9">
        <f t="shared" si="3"/>
        <v>1600</v>
      </c>
      <c r="P46" s="9">
        <f t="shared" si="4"/>
        <v>1920</v>
      </c>
    </row>
    <row r="47">
      <c r="A47" s="11" t="s">
        <v>16</v>
      </c>
      <c r="B47" s="11">
        <v>4320.0</v>
      </c>
      <c r="C47" s="11" t="s">
        <v>17</v>
      </c>
      <c r="D47" s="11" t="s">
        <v>159</v>
      </c>
      <c r="E47" s="12" t="s">
        <v>160</v>
      </c>
      <c r="F47" s="11" t="s">
        <v>161</v>
      </c>
      <c r="G47" s="13"/>
      <c r="H47" s="12">
        <v>35779.0</v>
      </c>
      <c r="I47" s="12">
        <v>45176.0</v>
      </c>
      <c r="J47" s="12">
        <v>45317.0</v>
      </c>
      <c r="K47" s="7">
        <f t="shared" si="1"/>
        <v>26</v>
      </c>
      <c r="L47" s="8">
        <v>45292.0</v>
      </c>
      <c r="M47" s="8">
        <v>45322.0</v>
      </c>
      <c r="N47" s="9">
        <f t="shared" si="2"/>
        <v>269</v>
      </c>
      <c r="O47" s="9">
        <f t="shared" si="3"/>
        <v>1345</v>
      </c>
      <c r="P47" s="9">
        <f t="shared" si="4"/>
        <v>1614</v>
      </c>
    </row>
    <row r="48">
      <c r="A48" s="10" t="s">
        <v>16</v>
      </c>
      <c r="B48" s="10">
        <v>4320.0</v>
      </c>
      <c r="C48" s="10" t="s">
        <v>17</v>
      </c>
      <c r="D48" s="10" t="s">
        <v>162</v>
      </c>
      <c r="E48" s="14" t="s">
        <v>163</v>
      </c>
      <c r="F48" s="10" t="s">
        <v>164</v>
      </c>
      <c r="G48" s="15"/>
      <c r="H48" s="14">
        <v>34732.0</v>
      </c>
      <c r="I48" s="14">
        <v>44986.0</v>
      </c>
      <c r="J48" s="15"/>
      <c r="K48" s="7">
        <f t="shared" si="1"/>
        <v>31</v>
      </c>
      <c r="L48" s="8">
        <v>45292.0</v>
      </c>
      <c r="M48" s="8">
        <v>45322.0</v>
      </c>
      <c r="N48" s="9">
        <f t="shared" si="2"/>
        <v>320</v>
      </c>
      <c r="O48" s="9">
        <f t="shared" si="3"/>
        <v>1600</v>
      </c>
      <c r="P48" s="9">
        <f t="shared" si="4"/>
        <v>1920</v>
      </c>
    </row>
    <row r="49">
      <c r="A49" s="22" t="s">
        <v>16</v>
      </c>
      <c r="B49" s="22">
        <v>4320.0</v>
      </c>
      <c r="C49" s="22" t="s">
        <v>17</v>
      </c>
      <c r="D49" s="22" t="s">
        <v>240</v>
      </c>
      <c r="E49" s="23" t="s">
        <v>241</v>
      </c>
      <c r="F49" s="22" t="s">
        <v>242</v>
      </c>
      <c r="G49" s="24"/>
      <c r="H49" s="23">
        <v>33762.0</v>
      </c>
      <c r="I49" s="23">
        <v>45229.0</v>
      </c>
      <c r="J49" s="24"/>
      <c r="K49" s="25">
        <f t="shared" si="1"/>
        <v>31</v>
      </c>
      <c r="L49" s="26">
        <v>45261.0</v>
      </c>
      <c r="M49" s="26">
        <v>45291.0</v>
      </c>
      <c r="N49" s="27">
        <f t="shared" si="2"/>
        <v>320</v>
      </c>
      <c r="O49" s="27">
        <f t="shared" si="3"/>
        <v>1600</v>
      </c>
      <c r="P49" s="27">
        <f t="shared" si="4"/>
        <v>1920</v>
      </c>
      <c r="Q49" s="42"/>
      <c r="R49" s="42"/>
      <c r="S49" s="42"/>
      <c r="T49" s="42"/>
    </row>
    <row r="50">
      <c r="A50" s="22" t="s">
        <v>16</v>
      </c>
      <c r="B50" s="22">
        <v>4320.0</v>
      </c>
      <c r="C50" s="22" t="s">
        <v>17</v>
      </c>
      <c r="D50" s="22" t="s">
        <v>168</v>
      </c>
      <c r="E50" s="23" t="s">
        <v>169</v>
      </c>
      <c r="F50" s="22" t="s">
        <v>170</v>
      </c>
      <c r="G50" s="24"/>
      <c r="H50" s="23">
        <v>35931.0</v>
      </c>
      <c r="I50" s="23">
        <v>44958.0</v>
      </c>
      <c r="J50" s="24"/>
      <c r="K50" s="25">
        <f t="shared" si="1"/>
        <v>31</v>
      </c>
      <c r="L50" s="26">
        <v>45292.0</v>
      </c>
      <c r="M50" s="26">
        <v>45322.0</v>
      </c>
      <c r="N50" s="27">
        <f t="shared" si="2"/>
        <v>320</v>
      </c>
      <c r="O50" s="27">
        <f t="shared" si="3"/>
        <v>1600</v>
      </c>
      <c r="P50" s="27">
        <f t="shared" si="4"/>
        <v>1920</v>
      </c>
    </row>
    <row r="51">
      <c r="A51" s="11" t="s">
        <v>16</v>
      </c>
      <c r="B51" s="11">
        <v>4320.0</v>
      </c>
      <c r="C51" s="11" t="s">
        <v>17</v>
      </c>
      <c r="D51" s="11" t="s">
        <v>276</v>
      </c>
      <c r="E51" s="12" t="s">
        <v>277</v>
      </c>
      <c r="F51" s="11" t="s">
        <v>278</v>
      </c>
      <c r="G51" s="13"/>
      <c r="H51" s="12">
        <v>37479.0</v>
      </c>
      <c r="I51" s="12">
        <v>45320.0</v>
      </c>
      <c r="J51" s="13"/>
      <c r="K51" s="7">
        <f t="shared" si="1"/>
        <v>3</v>
      </c>
      <c r="L51" s="8">
        <v>45292.0</v>
      </c>
      <c r="M51" s="8">
        <v>45322.0</v>
      </c>
      <c r="N51" s="9">
        <f t="shared" si="2"/>
        <v>31</v>
      </c>
      <c r="O51" s="9">
        <f t="shared" si="3"/>
        <v>155</v>
      </c>
      <c r="P51" s="9">
        <f t="shared" si="4"/>
        <v>186</v>
      </c>
    </row>
    <row r="52">
      <c r="A52" s="10" t="s">
        <v>16</v>
      </c>
      <c r="B52" s="10">
        <v>4320.0</v>
      </c>
      <c r="C52" s="10" t="s">
        <v>17</v>
      </c>
      <c r="D52" s="11" t="s">
        <v>279</v>
      </c>
      <c r="E52" s="12" t="s">
        <v>280</v>
      </c>
      <c r="F52" s="11" t="s">
        <v>281</v>
      </c>
      <c r="G52" s="13"/>
      <c r="H52" s="12">
        <v>33003.0</v>
      </c>
      <c r="I52" s="12">
        <v>45313.0</v>
      </c>
      <c r="J52" s="13"/>
      <c r="K52" s="7">
        <f t="shared" si="1"/>
        <v>10</v>
      </c>
      <c r="L52" s="8">
        <v>45292.0</v>
      </c>
      <c r="M52" s="8">
        <v>45322.0</v>
      </c>
      <c r="N52" s="9">
        <f t="shared" si="2"/>
        <v>104</v>
      </c>
      <c r="O52" s="9">
        <f t="shared" si="3"/>
        <v>520</v>
      </c>
      <c r="P52" s="9">
        <f t="shared" si="4"/>
        <v>624</v>
      </c>
    </row>
    <row r="53">
      <c r="A53" s="11" t="s">
        <v>16</v>
      </c>
      <c r="B53" s="11">
        <v>4320.0</v>
      </c>
      <c r="C53" s="11" t="s">
        <v>17</v>
      </c>
      <c r="D53" s="11" t="s">
        <v>171</v>
      </c>
      <c r="E53" s="12" t="s">
        <v>172</v>
      </c>
      <c r="F53" s="11" t="s">
        <v>173</v>
      </c>
      <c r="G53" s="13"/>
      <c r="H53" s="12">
        <v>37005.0</v>
      </c>
      <c r="I53" s="12">
        <v>44802.0</v>
      </c>
      <c r="J53" s="12">
        <v>45303.0</v>
      </c>
      <c r="K53" s="7">
        <f t="shared" si="1"/>
        <v>12</v>
      </c>
      <c r="L53" s="8">
        <v>45292.0</v>
      </c>
      <c r="M53" s="8">
        <v>45322.0</v>
      </c>
      <c r="N53" s="9">
        <f t="shared" si="2"/>
        <v>124</v>
      </c>
      <c r="O53" s="9">
        <f t="shared" si="3"/>
        <v>620</v>
      </c>
      <c r="P53" s="9">
        <f t="shared" si="4"/>
        <v>744</v>
      </c>
    </row>
    <row r="54">
      <c r="A54" s="10" t="s">
        <v>16</v>
      </c>
      <c r="B54" s="10">
        <v>4320.0</v>
      </c>
      <c r="C54" s="10" t="s">
        <v>17</v>
      </c>
      <c r="D54" s="10" t="s">
        <v>243</v>
      </c>
      <c r="E54" s="14" t="s">
        <v>244</v>
      </c>
      <c r="F54" s="10" t="s">
        <v>245</v>
      </c>
      <c r="G54" s="15"/>
      <c r="H54" s="14">
        <v>36109.0</v>
      </c>
      <c r="I54" s="14">
        <v>45250.0</v>
      </c>
      <c r="J54" s="41"/>
      <c r="K54" s="7">
        <f t="shared" si="1"/>
        <v>31</v>
      </c>
      <c r="L54" s="8">
        <v>45292.0</v>
      </c>
      <c r="M54" s="8">
        <v>45322.0</v>
      </c>
      <c r="N54" s="9">
        <f t="shared" si="2"/>
        <v>320</v>
      </c>
      <c r="O54" s="9">
        <f t="shared" si="3"/>
        <v>1600</v>
      </c>
      <c r="P54" s="9">
        <f t="shared" si="4"/>
        <v>1920</v>
      </c>
    </row>
    <row r="55" ht="17.25" customHeight="1">
      <c r="A55" s="10" t="s">
        <v>16</v>
      </c>
      <c r="B55" s="10">
        <v>4320.0</v>
      </c>
      <c r="C55" s="10" t="s">
        <v>17</v>
      </c>
      <c r="D55" s="10" t="s">
        <v>177</v>
      </c>
      <c r="E55" s="14" t="s">
        <v>178</v>
      </c>
      <c r="F55" s="10" t="s">
        <v>179</v>
      </c>
      <c r="G55" s="15"/>
      <c r="H55" s="14">
        <v>35976.0</v>
      </c>
      <c r="I55" s="14">
        <v>45042.0</v>
      </c>
      <c r="J55" s="15"/>
      <c r="K55" s="7">
        <f t="shared" si="1"/>
        <v>31</v>
      </c>
      <c r="L55" s="8">
        <v>45292.0</v>
      </c>
      <c r="M55" s="8">
        <v>45322.0</v>
      </c>
      <c r="N55" s="9">
        <f t="shared" si="2"/>
        <v>320</v>
      </c>
      <c r="O55" s="9">
        <f t="shared" si="3"/>
        <v>1600</v>
      </c>
      <c r="P55" s="9">
        <f t="shared" si="4"/>
        <v>1920</v>
      </c>
    </row>
    <row r="56">
      <c r="A56" s="10" t="s">
        <v>16</v>
      </c>
      <c r="B56" s="10">
        <v>4320.0</v>
      </c>
      <c r="C56" s="10" t="s">
        <v>17</v>
      </c>
      <c r="D56" s="10" t="s">
        <v>180</v>
      </c>
      <c r="E56" s="14" t="s">
        <v>181</v>
      </c>
      <c r="F56" s="10" t="s">
        <v>182</v>
      </c>
      <c r="G56" s="15"/>
      <c r="H56" s="14">
        <v>36297.0</v>
      </c>
      <c r="I56" s="14">
        <v>45001.0</v>
      </c>
      <c r="J56" s="14"/>
      <c r="K56" s="7">
        <f t="shared" si="1"/>
        <v>31</v>
      </c>
      <c r="L56" s="8">
        <v>45292.0</v>
      </c>
      <c r="M56" s="8">
        <v>45322.0</v>
      </c>
      <c r="N56" s="9">
        <f t="shared" si="2"/>
        <v>320</v>
      </c>
      <c r="O56" s="9">
        <f t="shared" si="3"/>
        <v>1600</v>
      </c>
      <c r="P56" s="9">
        <f t="shared" si="4"/>
        <v>1920</v>
      </c>
    </row>
    <row r="57">
      <c r="A57" s="11" t="s">
        <v>16</v>
      </c>
      <c r="B57" s="11">
        <v>4320.0</v>
      </c>
      <c r="C57" s="11" t="s">
        <v>17</v>
      </c>
      <c r="D57" s="11" t="s">
        <v>183</v>
      </c>
      <c r="E57" s="12" t="s">
        <v>184</v>
      </c>
      <c r="F57" s="11" t="s">
        <v>185</v>
      </c>
      <c r="G57" s="13"/>
      <c r="H57" s="12">
        <v>36979.0</v>
      </c>
      <c r="I57" s="12">
        <v>44907.0</v>
      </c>
      <c r="J57" s="13"/>
      <c r="K57" s="7">
        <f t="shared" si="1"/>
        <v>31</v>
      </c>
      <c r="L57" s="8">
        <v>45292.0</v>
      </c>
      <c r="M57" s="8">
        <v>45322.0</v>
      </c>
      <c r="N57" s="9">
        <f t="shared" si="2"/>
        <v>320</v>
      </c>
      <c r="O57" s="9">
        <f t="shared" si="3"/>
        <v>1600</v>
      </c>
      <c r="P57" s="9">
        <f t="shared" si="4"/>
        <v>1920</v>
      </c>
    </row>
    <row r="58">
      <c r="A58" s="10" t="s">
        <v>16</v>
      </c>
      <c r="B58" s="10">
        <v>4320.0</v>
      </c>
      <c r="C58" s="10" t="s">
        <v>17</v>
      </c>
      <c r="D58" s="10" t="s">
        <v>189</v>
      </c>
      <c r="E58" s="14" t="s">
        <v>190</v>
      </c>
      <c r="F58" s="10" t="s">
        <v>191</v>
      </c>
      <c r="G58" s="15"/>
      <c r="H58" s="14">
        <v>36421.0</v>
      </c>
      <c r="I58" s="14">
        <v>45208.0</v>
      </c>
      <c r="J58" s="15"/>
      <c r="K58" s="7">
        <f t="shared" si="1"/>
        <v>31</v>
      </c>
      <c r="L58" s="8">
        <v>45292.0</v>
      </c>
      <c r="M58" s="8">
        <v>45322.0</v>
      </c>
      <c r="N58" s="9">
        <f t="shared" si="2"/>
        <v>320</v>
      </c>
      <c r="O58" s="9">
        <f t="shared" si="3"/>
        <v>1600</v>
      </c>
      <c r="P58" s="9">
        <f t="shared" si="4"/>
        <v>1920</v>
      </c>
    </row>
    <row r="59">
      <c r="A59" s="11" t="s">
        <v>16</v>
      </c>
      <c r="B59" s="11">
        <v>4320.0</v>
      </c>
      <c r="C59" s="11" t="s">
        <v>17</v>
      </c>
      <c r="D59" s="11" t="s">
        <v>258</v>
      </c>
      <c r="E59" s="12" t="s">
        <v>259</v>
      </c>
      <c r="F59" s="11" t="s">
        <v>260</v>
      </c>
      <c r="G59" s="13"/>
      <c r="H59" s="12">
        <v>35447.0</v>
      </c>
      <c r="I59" s="12">
        <v>45273.0</v>
      </c>
      <c r="J59" s="13"/>
      <c r="K59" s="7">
        <f t="shared" si="1"/>
        <v>31</v>
      </c>
      <c r="L59" s="8">
        <v>45292.0</v>
      </c>
      <c r="M59" s="8">
        <v>45322.0</v>
      </c>
      <c r="N59" s="9">
        <f t="shared" si="2"/>
        <v>320</v>
      </c>
      <c r="O59" s="9">
        <f t="shared" si="3"/>
        <v>1600</v>
      </c>
      <c r="P59" s="9">
        <f t="shared" si="4"/>
        <v>1920</v>
      </c>
    </row>
    <row r="60">
      <c r="A60" s="22" t="s">
        <v>16</v>
      </c>
      <c r="B60" s="22">
        <v>4320.0</v>
      </c>
      <c r="C60" s="22" t="s">
        <v>17</v>
      </c>
      <c r="D60" s="22" t="s">
        <v>192</v>
      </c>
      <c r="E60" s="23" t="s">
        <v>193</v>
      </c>
      <c r="F60" s="22" t="s">
        <v>194</v>
      </c>
      <c r="G60" s="24"/>
      <c r="H60" s="23">
        <v>36075.0</v>
      </c>
      <c r="I60" s="23">
        <v>44977.0</v>
      </c>
      <c r="J60" s="24"/>
      <c r="K60" s="25">
        <f t="shared" si="1"/>
        <v>31</v>
      </c>
      <c r="L60" s="26">
        <v>45292.0</v>
      </c>
      <c r="M60" s="26">
        <v>45322.0</v>
      </c>
      <c r="N60" s="27">
        <f t="shared" si="2"/>
        <v>320</v>
      </c>
      <c r="O60" s="27">
        <f t="shared" si="3"/>
        <v>1600</v>
      </c>
      <c r="P60" s="27">
        <f t="shared" si="4"/>
        <v>1920</v>
      </c>
    </row>
    <row r="61">
      <c r="A61" s="11" t="s">
        <v>16</v>
      </c>
      <c r="B61" s="11">
        <v>4320.0</v>
      </c>
      <c r="C61" s="11" t="s">
        <v>17</v>
      </c>
      <c r="D61" s="11" t="s">
        <v>201</v>
      </c>
      <c r="E61" s="12" t="s">
        <v>202</v>
      </c>
      <c r="F61" s="11" t="s">
        <v>203</v>
      </c>
      <c r="G61" s="13"/>
      <c r="H61" s="12">
        <v>36574.0</v>
      </c>
      <c r="I61" s="12">
        <v>45187.0</v>
      </c>
      <c r="J61" s="13"/>
      <c r="K61" s="7">
        <f t="shared" si="1"/>
        <v>31</v>
      </c>
      <c r="L61" s="8">
        <v>45292.0</v>
      </c>
      <c r="M61" s="8">
        <v>45322.0</v>
      </c>
      <c r="N61" s="9">
        <f t="shared" si="2"/>
        <v>320</v>
      </c>
      <c r="O61" s="9">
        <f t="shared" si="3"/>
        <v>1600</v>
      </c>
      <c r="P61" s="9">
        <f t="shared" si="4"/>
        <v>1920</v>
      </c>
    </row>
    <row r="62">
      <c r="A62" s="11" t="s">
        <v>16</v>
      </c>
      <c r="B62" s="11">
        <v>4320.0</v>
      </c>
      <c r="C62" s="11" t="s">
        <v>17</v>
      </c>
      <c r="D62" s="11" t="s">
        <v>207</v>
      </c>
      <c r="E62" s="12" t="s">
        <v>208</v>
      </c>
      <c r="F62" s="11" t="s">
        <v>209</v>
      </c>
      <c r="G62" s="13"/>
      <c r="H62" s="12">
        <v>33156.0</v>
      </c>
      <c r="I62" s="12">
        <v>44285.0</v>
      </c>
      <c r="J62" s="13"/>
      <c r="K62" s="7">
        <f t="shared" si="1"/>
        <v>31</v>
      </c>
      <c r="L62" s="8">
        <v>45292.0</v>
      </c>
      <c r="M62" s="8">
        <v>45322.0</v>
      </c>
      <c r="N62" s="9">
        <f t="shared" si="2"/>
        <v>320</v>
      </c>
      <c r="O62" s="9">
        <f t="shared" si="3"/>
        <v>1600</v>
      </c>
      <c r="P62" s="9">
        <f t="shared" si="4"/>
        <v>1920</v>
      </c>
    </row>
    <row r="63">
      <c r="A63" s="10" t="s">
        <v>16</v>
      </c>
      <c r="B63" s="10">
        <v>4320.0</v>
      </c>
      <c r="C63" s="10" t="s">
        <v>17</v>
      </c>
      <c r="D63" s="10" t="s">
        <v>213</v>
      </c>
      <c r="E63" s="14" t="s">
        <v>214</v>
      </c>
      <c r="F63" s="10" t="s">
        <v>215</v>
      </c>
      <c r="G63" s="15"/>
      <c r="H63" s="14">
        <v>36797.0</v>
      </c>
      <c r="I63" s="28">
        <v>44886.0</v>
      </c>
      <c r="J63" s="38"/>
      <c r="K63" s="7">
        <f t="shared" si="1"/>
        <v>31</v>
      </c>
      <c r="L63" s="8">
        <v>45292.0</v>
      </c>
      <c r="M63" s="8">
        <v>45322.0</v>
      </c>
      <c r="N63" s="9">
        <f t="shared" si="2"/>
        <v>320</v>
      </c>
      <c r="O63" s="9">
        <f t="shared" si="3"/>
        <v>1600</v>
      </c>
      <c r="P63" s="9">
        <f t="shared" si="4"/>
        <v>1920</v>
      </c>
    </row>
    <row r="64">
      <c r="A64" s="10" t="s">
        <v>16</v>
      </c>
      <c r="B64" s="10">
        <v>4320.0</v>
      </c>
      <c r="C64" s="10" t="s">
        <v>17</v>
      </c>
      <c r="D64" s="10" t="s">
        <v>216</v>
      </c>
      <c r="E64" s="14" t="s">
        <v>217</v>
      </c>
      <c r="F64" s="10" t="s">
        <v>218</v>
      </c>
      <c r="G64" s="15"/>
      <c r="H64" s="14">
        <v>33769.0</v>
      </c>
      <c r="I64" s="14">
        <v>44816.0</v>
      </c>
      <c r="J64" s="15"/>
      <c r="K64" s="7">
        <f t="shared" si="1"/>
        <v>31</v>
      </c>
      <c r="L64" s="8">
        <v>45292.0</v>
      </c>
      <c r="M64" s="8">
        <v>45322.0</v>
      </c>
      <c r="N64" s="9">
        <f t="shared" si="2"/>
        <v>320</v>
      </c>
      <c r="O64" s="9">
        <f t="shared" si="3"/>
        <v>1600</v>
      </c>
      <c r="P64" s="9">
        <f t="shared" si="4"/>
        <v>1920</v>
      </c>
    </row>
    <row r="65">
      <c r="A65" s="11" t="s">
        <v>16</v>
      </c>
      <c r="B65" s="11">
        <v>4320.0</v>
      </c>
      <c r="C65" s="11" t="s">
        <v>17</v>
      </c>
      <c r="D65" s="37" t="s">
        <v>219</v>
      </c>
      <c r="E65" s="12" t="s">
        <v>220</v>
      </c>
      <c r="F65" s="11" t="s">
        <v>221</v>
      </c>
      <c r="G65" s="13"/>
      <c r="H65" s="12">
        <v>36408.0</v>
      </c>
      <c r="I65" s="12">
        <v>45173.0</v>
      </c>
      <c r="J65" s="12"/>
      <c r="K65" s="7">
        <f t="shared" si="1"/>
        <v>31</v>
      </c>
      <c r="L65" s="8">
        <v>45292.0</v>
      </c>
      <c r="M65" s="8">
        <v>45322.0</v>
      </c>
      <c r="N65" s="9">
        <f t="shared" si="2"/>
        <v>320</v>
      </c>
      <c r="O65" s="9">
        <f t="shared" si="3"/>
        <v>1600</v>
      </c>
      <c r="P65" s="9">
        <f t="shared" si="4"/>
        <v>1920</v>
      </c>
    </row>
    <row r="66">
      <c r="A66" s="10" t="s">
        <v>16</v>
      </c>
      <c r="B66" s="10">
        <v>4320.0</v>
      </c>
      <c r="C66" s="10" t="s">
        <v>17</v>
      </c>
      <c r="D66" s="10" t="s">
        <v>222</v>
      </c>
      <c r="E66" s="14" t="s">
        <v>223</v>
      </c>
      <c r="F66" s="10" t="s">
        <v>224</v>
      </c>
      <c r="G66" s="15"/>
      <c r="H66" s="14">
        <v>35818.0</v>
      </c>
      <c r="I66" s="14">
        <v>45089.0</v>
      </c>
      <c r="J66" s="15"/>
      <c r="K66" s="7">
        <f t="shared" si="1"/>
        <v>31</v>
      </c>
      <c r="L66" s="8">
        <v>45292.0</v>
      </c>
      <c r="M66" s="8">
        <v>45322.0</v>
      </c>
      <c r="N66" s="9">
        <f t="shared" si="2"/>
        <v>320</v>
      </c>
      <c r="O66" s="9">
        <f t="shared" si="3"/>
        <v>1600</v>
      </c>
      <c r="P66" s="9">
        <f t="shared" si="4"/>
        <v>1920</v>
      </c>
    </row>
    <row r="67">
      <c r="A67" s="10" t="s">
        <v>16</v>
      </c>
      <c r="B67" s="10">
        <v>4320.0</v>
      </c>
      <c r="C67" s="10" t="s">
        <v>17</v>
      </c>
      <c r="D67" s="10" t="s">
        <v>225</v>
      </c>
      <c r="E67" s="14" t="s">
        <v>226</v>
      </c>
      <c r="F67" s="10" t="s">
        <v>227</v>
      </c>
      <c r="G67" s="15"/>
      <c r="H67" s="14">
        <v>36177.0</v>
      </c>
      <c r="I67" s="14">
        <v>45320.0</v>
      </c>
      <c r="J67" s="15"/>
      <c r="K67" s="7">
        <f t="shared" si="1"/>
        <v>3</v>
      </c>
      <c r="L67" s="8">
        <v>45292.0</v>
      </c>
      <c r="M67" s="8">
        <v>45322.0</v>
      </c>
      <c r="N67" s="9">
        <f t="shared" si="2"/>
        <v>31</v>
      </c>
      <c r="O67" s="9">
        <f t="shared" si="3"/>
        <v>155</v>
      </c>
      <c r="P67" s="9">
        <f t="shared" si="4"/>
        <v>186</v>
      </c>
    </row>
    <row r="68">
      <c r="A68" s="11" t="s">
        <v>16</v>
      </c>
      <c r="B68" s="11">
        <v>4320.0</v>
      </c>
      <c r="C68" s="11" t="s">
        <v>17</v>
      </c>
      <c r="D68" s="11" t="s">
        <v>228</v>
      </c>
      <c r="E68" s="12" t="s">
        <v>229</v>
      </c>
      <c r="F68" s="11" t="s">
        <v>230</v>
      </c>
      <c r="G68" s="13"/>
      <c r="H68" s="12">
        <v>35743.0</v>
      </c>
      <c r="I68" s="12">
        <v>45222.0</v>
      </c>
      <c r="J68" s="13"/>
      <c r="K68" s="7">
        <f t="shared" si="1"/>
        <v>31</v>
      </c>
      <c r="L68" s="8">
        <v>45292.0</v>
      </c>
      <c r="M68" s="8">
        <v>45322.0</v>
      </c>
      <c r="N68" s="9">
        <f t="shared" si="2"/>
        <v>320</v>
      </c>
      <c r="O68" s="9">
        <f t="shared" si="3"/>
        <v>1600</v>
      </c>
      <c r="P68" s="9">
        <f t="shared" si="4"/>
        <v>1920</v>
      </c>
    </row>
    <row r="69">
      <c r="P69" s="45">
        <f>SUM(P2:P68)</f>
        <v>117888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75"/>
  </cols>
  <sheetData>
    <row r="1">
      <c r="A1" s="1" t="s">
        <v>0</v>
      </c>
      <c r="B1" s="1" t="s">
        <v>1</v>
      </c>
      <c r="C1" s="1" t="s">
        <v>2</v>
      </c>
      <c r="D1" s="1" t="s">
        <v>3</v>
      </c>
      <c r="E1" s="1" t="s">
        <v>4</v>
      </c>
      <c r="F1" s="2" t="s">
        <v>5</v>
      </c>
      <c r="G1" s="1" t="s">
        <v>6</v>
      </c>
      <c r="H1" s="1" t="s">
        <v>7</v>
      </c>
      <c r="I1" s="2" t="s">
        <v>8</v>
      </c>
      <c r="J1" s="2" t="s">
        <v>9</v>
      </c>
      <c r="K1" s="3" t="s">
        <v>10</v>
      </c>
      <c r="L1" s="3" t="s">
        <v>11</v>
      </c>
      <c r="M1" s="3" t="s">
        <v>12</v>
      </c>
      <c r="N1" s="3" t="s">
        <v>13</v>
      </c>
      <c r="O1" s="3" t="s">
        <v>14</v>
      </c>
      <c r="P1" s="3" t="s">
        <v>15</v>
      </c>
    </row>
    <row r="2">
      <c r="A2" s="10" t="s">
        <v>16</v>
      </c>
      <c r="B2" s="10">
        <v>4320.0</v>
      </c>
      <c r="C2" s="10" t="s">
        <v>17</v>
      </c>
      <c r="D2" s="10" t="s">
        <v>261</v>
      </c>
      <c r="E2" s="14" t="s">
        <v>262</v>
      </c>
      <c r="F2" s="10" t="s">
        <v>263</v>
      </c>
      <c r="G2" s="15"/>
      <c r="H2" s="14">
        <v>36617.0</v>
      </c>
      <c r="I2" s="14">
        <v>45299.0</v>
      </c>
      <c r="J2" s="15"/>
      <c r="K2" s="16">
        <f t="shared" ref="K2:K44" si="1">MAX(0, MIN(M2, J2) - MAX(L2, I2) + 1)</f>
        <v>29</v>
      </c>
      <c r="L2" s="17">
        <v>45323.0</v>
      </c>
      <c r="M2" s="17">
        <v>45351.0</v>
      </c>
      <c r="N2" s="18">
        <f t="shared" ref="N2:N44" si="2">ROUNDUP(K2/29*320,0)</f>
        <v>320</v>
      </c>
      <c r="O2" s="18">
        <f t="shared" ref="O2:O44" si="3">N2*5</f>
        <v>1600</v>
      </c>
      <c r="P2" s="18">
        <f t="shared" ref="P2:P44" si="4">N2+O2</f>
        <v>1920</v>
      </c>
    </row>
    <row r="3">
      <c r="A3" s="11" t="s">
        <v>16</v>
      </c>
      <c r="B3" s="11">
        <v>4320.0</v>
      </c>
      <c r="C3" s="11" t="s">
        <v>17</v>
      </c>
      <c r="D3" s="11" t="s">
        <v>21</v>
      </c>
      <c r="E3" s="12" t="s">
        <v>22</v>
      </c>
      <c r="F3" s="11" t="s">
        <v>23</v>
      </c>
      <c r="G3" s="13"/>
      <c r="H3" s="12">
        <v>36358.0</v>
      </c>
      <c r="I3" s="12">
        <v>45027.0</v>
      </c>
      <c r="J3" s="13"/>
      <c r="K3" s="7">
        <f t="shared" si="1"/>
        <v>29</v>
      </c>
      <c r="L3" s="8">
        <v>45323.0</v>
      </c>
      <c r="M3" s="8">
        <v>45351.0</v>
      </c>
      <c r="N3" s="9">
        <f t="shared" si="2"/>
        <v>320</v>
      </c>
      <c r="O3" s="9">
        <f t="shared" si="3"/>
        <v>1600</v>
      </c>
      <c r="P3" s="9">
        <f t="shared" si="4"/>
        <v>1920</v>
      </c>
    </row>
    <row r="4">
      <c r="A4" s="10" t="s">
        <v>16</v>
      </c>
      <c r="B4" s="10">
        <v>4320.0</v>
      </c>
      <c r="C4" s="10" t="s">
        <v>17</v>
      </c>
      <c r="D4" s="10" t="s">
        <v>24</v>
      </c>
      <c r="E4" s="14" t="s">
        <v>25</v>
      </c>
      <c r="F4" s="10" t="s">
        <v>26</v>
      </c>
      <c r="G4" s="15"/>
      <c r="H4" s="14">
        <v>36860.0</v>
      </c>
      <c r="I4" s="14">
        <v>45124.0</v>
      </c>
      <c r="J4" s="15"/>
      <c r="K4" s="7">
        <f t="shared" si="1"/>
        <v>29</v>
      </c>
      <c r="L4" s="8">
        <v>45323.0</v>
      </c>
      <c r="M4" s="8">
        <v>45351.0</v>
      </c>
      <c r="N4" s="9">
        <f t="shared" si="2"/>
        <v>320</v>
      </c>
      <c r="O4" s="9">
        <f t="shared" si="3"/>
        <v>1600</v>
      </c>
      <c r="P4" s="9">
        <f t="shared" si="4"/>
        <v>1920</v>
      </c>
    </row>
    <row r="5">
      <c r="A5" s="11" t="s">
        <v>16</v>
      </c>
      <c r="B5" s="11">
        <v>4320.0</v>
      </c>
      <c r="C5" s="11" t="s">
        <v>17</v>
      </c>
      <c r="D5" s="11" t="s">
        <v>30</v>
      </c>
      <c r="E5" s="12" t="s">
        <v>31</v>
      </c>
      <c r="F5" s="11" t="s">
        <v>32</v>
      </c>
      <c r="G5" s="13"/>
      <c r="H5" s="12">
        <v>35997.0</v>
      </c>
      <c r="I5" s="12">
        <v>45061.0</v>
      </c>
      <c r="J5" s="13"/>
      <c r="K5" s="7">
        <f t="shared" si="1"/>
        <v>29</v>
      </c>
      <c r="L5" s="8">
        <v>45323.0</v>
      </c>
      <c r="M5" s="8">
        <v>45351.0</v>
      </c>
      <c r="N5" s="9">
        <f t="shared" si="2"/>
        <v>320</v>
      </c>
      <c r="O5" s="9">
        <f t="shared" si="3"/>
        <v>1600</v>
      </c>
      <c r="P5" s="9">
        <f t="shared" si="4"/>
        <v>1920</v>
      </c>
    </row>
    <row r="6">
      <c r="A6" s="10" t="s">
        <v>16</v>
      </c>
      <c r="B6" s="10">
        <v>4320.0</v>
      </c>
      <c r="C6" s="10" t="s">
        <v>17</v>
      </c>
      <c r="D6" s="11" t="s">
        <v>246</v>
      </c>
      <c r="E6" s="12" t="s">
        <v>247</v>
      </c>
      <c r="F6" s="11" t="s">
        <v>248</v>
      </c>
      <c r="G6" s="13"/>
      <c r="H6" s="12">
        <v>36353.0</v>
      </c>
      <c r="I6" s="12">
        <v>45278.0</v>
      </c>
      <c r="J6" s="13"/>
      <c r="K6" s="7">
        <f t="shared" si="1"/>
        <v>29</v>
      </c>
      <c r="L6" s="8">
        <v>45323.0</v>
      </c>
      <c r="M6" s="8">
        <v>45351.0</v>
      </c>
      <c r="N6" s="9">
        <f t="shared" si="2"/>
        <v>320</v>
      </c>
      <c r="O6" s="9">
        <f t="shared" si="3"/>
        <v>1600</v>
      </c>
      <c r="P6" s="9">
        <f t="shared" si="4"/>
        <v>1920</v>
      </c>
    </row>
    <row r="7">
      <c r="A7" s="11" t="s">
        <v>16</v>
      </c>
      <c r="B7" s="11">
        <v>4320.0</v>
      </c>
      <c r="C7" s="11" t="s">
        <v>17</v>
      </c>
      <c r="D7" s="11" t="s">
        <v>231</v>
      </c>
      <c r="E7" s="12" t="s">
        <v>232</v>
      </c>
      <c r="F7" s="11" t="s">
        <v>233</v>
      </c>
      <c r="G7" s="13"/>
      <c r="H7" s="12">
        <v>36634.0</v>
      </c>
      <c r="I7" s="12">
        <v>45251.0</v>
      </c>
      <c r="J7" s="13"/>
      <c r="K7" s="7">
        <f t="shared" si="1"/>
        <v>29</v>
      </c>
      <c r="L7" s="8">
        <v>45323.0</v>
      </c>
      <c r="M7" s="8">
        <v>45351.0</v>
      </c>
      <c r="N7" s="9">
        <f t="shared" si="2"/>
        <v>320</v>
      </c>
      <c r="O7" s="9">
        <f t="shared" si="3"/>
        <v>1600</v>
      </c>
      <c r="P7" s="9">
        <f t="shared" si="4"/>
        <v>1920</v>
      </c>
    </row>
    <row r="8">
      <c r="A8" s="11" t="s">
        <v>16</v>
      </c>
      <c r="B8" s="11">
        <v>4320.0</v>
      </c>
      <c r="C8" s="11" t="s">
        <v>17</v>
      </c>
      <c r="D8" s="11" t="s">
        <v>36</v>
      </c>
      <c r="E8" s="12" t="s">
        <v>37</v>
      </c>
      <c r="F8" s="11" t="s">
        <v>38</v>
      </c>
      <c r="G8" s="13"/>
      <c r="H8" s="12">
        <v>33408.0</v>
      </c>
      <c r="I8" s="12">
        <v>45078.0</v>
      </c>
      <c r="J8" s="12"/>
      <c r="K8" s="7">
        <f t="shared" si="1"/>
        <v>29</v>
      </c>
      <c r="L8" s="8">
        <v>45323.0</v>
      </c>
      <c r="M8" s="8">
        <v>45351.0</v>
      </c>
      <c r="N8" s="9">
        <f t="shared" si="2"/>
        <v>320</v>
      </c>
      <c r="O8" s="9">
        <f t="shared" si="3"/>
        <v>1600</v>
      </c>
      <c r="P8" s="9">
        <f t="shared" si="4"/>
        <v>1920</v>
      </c>
    </row>
    <row r="9">
      <c r="A9" s="11" t="s">
        <v>16</v>
      </c>
      <c r="B9" s="11">
        <v>4320.0</v>
      </c>
      <c r="C9" s="11" t="s">
        <v>17</v>
      </c>
      <c r="D9" s="11" t="s">
        <v>39</v>
      </c>
      <c r="E9" s="12" t="s">
        <v>40</v>
      </c>
      <c r="F9" s="11" t="s">
        <v>41</v>
      </c>
      <c r="G9" s="13"/>
      <c r="H9" s="12">
        <v>35983.0</v>
      </c>
      <c r="I9" s="12">
        <v>45082.0</v>
      </c>
      <c r="J9" s="12"/>
      <c r="K9" s="7">
        <f t="shared" si="1"/>
        <v>29</v>
      </c>
      <c r="L9" s="8">
        <v>45323.0</v>
      </c>
      <c r="M9" s="8">
        <v>45351.0</v>
      </c>
      <c r="N9" s="9">
        <f t="shared" si="2"/>
        <v>320</v>
      </c>
      <c r="O9" s="9">
        <f t="shared" si="3"/>
        <v>1600</v>
      </c>
      <c r="P9" s="9">
        <f t="shared" si="4"/>
        <v>1920</v>
      </c>
    </row>
    <row r="10">
      <c r="A10" s="10" t="s">
        <v>16</v>
      </c>
      <c r="B10" s="10">
        <v>4320.0</v>
      </c>
      <c r="C10" s="10" t="s">
        <v>17</v>
      </c>
      <c r="D10" s="35" t="s">
        <v>234</v>
      </c>
      <c r="E10" s="12" t="s">
        <v>235</v>
      </c>
      <c r="F10" s="11" t="s">
        <v>236</v>
      </c>
      <c r="G10" s="13"/>
      <c r="H10" s="12">
        <v>33048.0</v>
      </c>
      <c r="I10" s="36">
        <v>45250.0</v>
      </c>
      <c r="J10" s="12">
        <v>45329.0</v>
      </c>
      <c r="K10" s="7">
        <f t="shared" si="1"/>
        <v>7</v>
      </c>
      <c r="L10" s="8">
        <v>45323.0</v>
      </c>
      <c r="M10" s="8">
        <v>45351.0</v>
      </c>
      <c r="N10" s="9">
        <f t="shared" si="2"/>
        <v>78</v>
      </c>
      <c r="O10" s="9">
        <f t="shared" si="3"/>
        <v>390</v>
      </c>
      <c r="P10" s="9">
        <f t="shared" si="4"/>
        <v>468</v>
      </c>
    </row>
    <row r="11">
      <c r="A11" s="10" t="s">
        <v>16</v>
      </c>
      <c r="B11" s="10">
        <v>4320.0</v>
      </c>
      <c r="C11" s="10" t="s">
        <v>17</v>
      </c>
      <c r="D11" s="10" t="s">
        <v>264</v>
      </c>
      <c r="E11" s="14" t="s">
        <v>265</v>
      </c>
      <c r="F11" s="10" t="s">
        <v>266</v>
      </c>
      <c r="G11" s="15"/>
      <c r="H11" s="14">
        <v>37398.0</v>
      </c>
      <c r="I11" s="14">
        <v>45096.0</v>
      </c>
      <c r="J11" s="15"/>
      <c r="K11" s="7">
        <f t="shared" si="1"/>
        <v>29</v>
      </c>
      <c r="L11" s="8">
        <v>45323.0</v>
      </c>
      <c r="M11" s="8">
        <v>45351.0</v>
      </c>
      <c r="N11" s="9">
        <f t="shared" si="2"/>
        <v>320</v>
      </c>
      <c r="O11" s="9">
        <f t="shared" si="3"/>
        <v>1600</v>
      </c>
      <c r="P11" s="9">
        <f t="shared" si="4"/>
        <v>1920</v>
      </c>
    </row>
    <row r="12">
      <c r="A12" s="11" t="s">
        <v>16</v>
      </c>
      <c r="B12" s="11">
        <v>4320.0</v>
      </c>
      <c r="C12" s="11" t="s">
        <v>17</v>
      </c>
      <c r="D12" s="11" t="s">
        <v>282</v>
      </c>
      <c r="E12" s="12" t="s">
        <v>283</v>
      </c>
      <c r="F12" s="11" t="s">
        <v>284</v>
      </c>
      <c r="G12" s="13"/>
      <c r="H12" s="12">
        <v>35047.0</v>
      </c>
      <c r="I12" s="12">
        <v>45257.0</v>
      </c>
      <c r="J12" s="13"/>
      <c r="K12" s="7">
        <f t="shared" si="1"/>
        <v>29</v>
      </c>
      <c r="L12" s="8">
        <v>45323.0</v>
      </c>
      <c r="M12" s="8">
        <v>45351.0</v>
      </c>
      <c r="N12" s="9">
        <f t="shared" si="2"/>
        <v>320</v>
      </c>
      <c r="O12" s="9">
        <f t="shared" si="3"/>
        <v>1600</v>
      </c>
      <c r="P12" s="9">
        <f t="shared" si="4"/>
        <v>1920</v>
      </c>
    </row>
    <row r="13">
      <c r="A13" s="11" t="s">
        <v>16</v>
      </c>
      <c r="B13" s="11">
        <v>4320.0</v>
      </c>
      <c r="C13" s="11" t="s">
        <v>17</v>
      </c>
      <c r="D13" s="11" t="s">
        <v>45</v>
      </c>
      <c r="E13" s="12" t="s">
        <v>46</v>
      </c>
      <c r="F13" s="11" t="s">
        <v>47</v>
      </c>
      <c r="G13" s="13"/>
      <c r="H13" s="12">
        <v>37370.0</v>
      </c>
      <c r="I13" s="12">
        <v>44739.0</v>
      </c>
      <c r="J13" s="13"/>
      <c r="K13" s="7">
        <f t="shared" si="1"/>
        <v>29</v>
      </c>
      <c r="L13" s="8">
        <v>45323.0</v>
      </c>
      <c r="M13" s="8">
        <v>45351.0</v>
      </c>
      <c r="N13" s="9">
        <f t="shared" si="2"/>
        <v>320</v>
      </c>
      <c r="O13" s="9">
        <f t="shared" si="3"/>
        <v>1600</v>
      </c>
      <c r="P13" s="9">
        <f t="shared" si="4"/>
        <v>1920</v>
      </c>
    </row>
    <row r="14">
      <c r="A14" s="11" t="s">
        <v>16</v>
      </c>
      <c r="B14" s="11">
        <v>4320.0</v>
      </c>
      <c r="C14" s="11" t="s">
        <v>17</v>
      </c>
      <c r="D14" s="11" t="s">
        <v>48</v>
      </c>
      <c r="E14" s="12" t="s">
        <v>49</v>
      </c>
      <c r="F14" s="11" t="s">
        <v>50</v>
      </c>
      <c r="G14" s="13"/>
      <c r="H14" s="12">
        <v>36399.0</v>
      </c>
      <c r="I14" s="12">
        <v>45229.0</v>
      </c>
      <c r="J14" s="13"/>
      <c r="K14" s="7">
        <f t="shared" si="1"/>
        <v>29</v>
      </c>
      <c r="L14" s="8">
        <v>45323.0</v>
      </c>
      <c r="M14" s="8">
        <v>45351.0</v>
      </c>
      <c r="N14" s="9">
        <f t="shared" si="2"/>
        <v>320</v>
      </c>
      <c r="O14" s="9">
        <f t="shared" si="3"/>
        <v>1600</v>
      </c>
      <c r="P14" s="9">
        <f t="shared" si="4"/>
        <v>1920</v>
      </c>
    </row>
    <row r="15">
      <c r="A15" s="11" t="s">
        <v>16</v>
      </c>
      <c r="B15" s="11">
        <v>4320.0</v>
      </c>
      <c r="C15" s="11" t="s">
        <v>17</v>
      </c>
      <c r="D15" s="11" t="s">
        <v>285</v>
      </c>
      <c r="E15" s="12" t="s">
        <v>286</v>
      </c>
      <c r="F15" s="11" t="s">
        <v>287</v>
      </c>
      <c r="G15" s="13"/>
      <c r="H15" s="12">
        <v>37377.0</v>
      </c>
      <c r="I15" s="12">
        <v>45334.0</v>
      </c>
      <c r="J15" s="13"/>
      <c r="K15" s="7">
        <f t="shared" si="1"/>
        <v>18</v>
      </c>
      <c r="L15" s="8">
        <v>45323.0</v>
      </c>
      <c r="M15" s="8">
        <v>45351.0</v>
      </c>
      <c r="N15" s="9">
        <f t="shared" si="2"/>
        <v>199</v>
      </c>
      <c r="O15" s="9">
        <f t="shared" si="3"/>
        <v>995</v>
      </c>
      <c r="P15" s="9">
        <f t="shared" si="4"/>
        <v>1194</v>
      </c>
    </row>
    <row r="16">
      <c r="A16" s="10" t="s">
        <v>16</v>
      </c>
      <c r="B16" s="10">
        <v>4320.0</v>
      </c>
      <c r="C16" s="10" t="s">
        <v>17</v>
      </c>
      <c r="D16" s="10" t="s">
        <v>288</v>
      </c>
      <c r="E16" s="14" t="s">
        <v>289</v>
      </c>
      <c r="F16" s="10" t="s">
        <v>290</v>
      </c>
      <c r="G16" s="15"/>
      <c r="H16" s="14">
        <v>37047.0</v>
      </c>
      <c r="I16" s="14">
        <v>45257.0</v>
      </c>
      <c r="J16" s="15"/>
      <c r="K16" s="7">
        <f t="shared" si="1"/>
        <v>29</v>
      </c>
      <c r="L16" s="8">
        <v>45323.0</v>
      </c>
      <c r="M16" s="8">
        <v>45351.0</v>
      </c>
      <c r="N16" s="9">
        <f t="shared" si="2"/>
        <v>320</v>
      </c>
      <c r="O16" s="9">
        <f t="shared" si="3"/>
        <v>1600</v>
      </c>
      <c r="P16" s="9">
        <f t="shared" si="4"/>
        <v>1920</v>
      </c>
    </row>
    <row r="17">
      <c r="A17" s="10" t="s">
        <v>16</v>
      </c>
      <c r="B17" s="10">
        <v>4320.0</v>
      </c>
      <c r="C17" s="10" t="s">
        <v>17</v>
      </c>
      <c r="D17" s="10" t="s">
        <v>51</v>
      </c>
      <c r="E17" s="14" t="s">
        <v>52</v>
      </c>
      <c r="F17" s="10" t="s">
        <v>53</v>
      </c>
      <c r="G17" s="15"/>
      <c r="H17" s="14">
        <v>34601.0</v>
      </c>
      <c r="I17" s="14">
        <v>44986.0</v>
      </c>
      <c r="J17" s="15"/>
      <c r="K17" s="7">
        <f t="shared" si="1"/>
        <v>29</v>
      </c>
      <c r="L17" s="8">
        <v>45323.0</v>
      </c>
      <c r="M17" s="8">
        <v>45351.0</v>
      </c>
      <c r="N17" s="9">
        <f t="shared" si="2"/>
        <v>320</v>
      </c>
      <c r="O17" s="9">
        <f t="shared" si="3"/>
        <v>1600</v>
      </c>
      <c r="P17" s="9">
        <f t="shared" si="4"/>
        <v>1920</v>
      </c>
    </row>
    <row r="18">
      <c r="A18" s="11" t="s">
        <v>16</v>
      </c>
      <c r="B18" s="11">
        <v>4320.0</v>
      </c>
      <c r="C18" s="11" t="s">
        <v>17</v>
      </c>
      <c r="D18" s="11" t="s">
        <v>249</v>
      </c>
      <c r="E18" s="12" t="s">
        <v>250</v>
      </c>
      <c r="F18" s="11" t="s">
        <v>251</v>
      </c>
      <c r="G18" s="13"/>
      <c r="H18" s="12">
        <v>37322.0</v>
      </c>
      <c r="I18" s="12">
        <v>45096.0</v>
      </c>
      <c r="J18" s="13"/>
      <c r="K18" s="7">
        <f t="shared" si="1"/>
        <v>29</v>
      </c>
      <c r="L18" s="8">
        <v>45323.0</v>
      </c>
      <c r="M18" s="8">
        <v>45351.0</v>
      </c>
      <c r="N18" s="9">
        <f t="shared" si="2"/>
        <v>320</v>
      </c>
      <c r="O18" s="9">
        <f t="shared" si="3"/>
        <v>1600</v>
      </c>
      <c r="P18" s="9">
        <f t="shared" si="4"/>
        <v>1920</v>
      </c>
    </row>
    <row r="19">
      <c r="A19" s="10" t="s">
        <v>16</v>
      </c>
      <c r="B19" s="10">
        <v>4320.0</v>
      </c>
      <c r="C19" s="10" t="s">
        <v>17</v>
      </c>
      <c r="D19" s="10" t="s">
        <v>57</v>
      </c>
      <c r="E19" s="14" t="s">
        <v>58</v>
      </c>
      <c r="F19" s="10" t="s">
        <v>59</v>
      </c>
      <c r="G19" s="15"/>
      <c r="H19" s="14">
        <v>35704.0</v>
      </c>
      <c r="I19" s="14">
        <v>44760.0</v>
      </c>
      <c r="J19" s="15"/>
      <c r="K19" s="7">
        <f t="shared" si="1"/>
        <v>29</v>
      </c>
      <c r="L19" s="8">
        <v>45323.0</v>
      </c>
      <c r="M19" s="8">
        <v>45351.0</v>
      </c>
      <c r="N19" s="9">
        <f t="shared" si="2"/>
        <v>320</v>
      </c>
      <c r="O19" s="9">
        <f t="shared" si="3"/>
        <v>1600</v>
      </c>
      <c r="P19" s="9">
        <f t="shared" si="4"/>
        <v>1920</v>
      </c>
    </row>
    <row r="20">
      <c r="A20" s="11" t="s">
        <v>16</v>
      </c>
      <c r="B20" s="11">
        <v>4320.0</v>
      </c>
      <c r="C20" s="11" t="s">
        <v>17</v>
      </c>
      <c r="D20" s="11" t="s">
        <v>291</v>
      </c>
      <c r="E20" s="12" t="s">
        <v>292</v>
      </c>
      <c r="F20" s="11" t="s">
        <v>293</v>
      </c>
      <c r="G20" s="13"/>
      <c r="H20" s="12">
        <v>37219.0</v>
      </c>
      <c r="I20" s="12">
        <v>45257.0</v>
      </c>
      <c r="J20" s="13"/>
      <c r="K20" s="7">
        <f t="shared" si="1"/>
        <v>29</v>
      </c>
      <c r="L20" s="8">
        <v>45323.0</v>
      </c>
      <c r="M20" s="8">
        <v>45351.0</v>
      </c>
      <c r="N20" s="9">
        <f t="shared" si="2"/>
        <v>320</v>
      </c>
      <c r="O20" s="9">
        <f t="shared" si="3"/>
        <v>1600</v>
      </c>
      <c r="P20" s="9">
        <f t="shared" si="4"/>
        <v>1920</v>
      </c>
    </row>
    <row r="21">
      <c r="A21" s="11" t="s">
        <v>16</v>
      </c>
      <c r="B21" s="11">
        <v>4320.0</v>
      </c>
      <c r="C21" s="11" t="s">
        <v>17</v>
      </c>
      <c r="D21" s="11" t="s">
        <v>60</v>
      </c>
      <c r="E21" s="12" t="s">
        <v>61</v>
      </c>
      <c r="F21" s="11" t="s">
        <v>62</v>
      </c>
      <c r="G21" s="13"/>
      <c r="H21" s="12">
        <v>36246.0</v>
      </c>
      <c r="I21" s="12">
        <v>44851.0</v>
      </c>
      <c r="J21" s="13"/>
      <c r="K21" s="7">
        <f t="shared" si="1"/>
        <v>29</v>
      </c>
      <c r="L21" s="8">
        <v>45323.0</v>
      </c>
      <c r="M21" s="8">
        <v>45351.0</v>
      </c>
      <c r="N21" s="9">
        <f t="shared" si="2"/>
        <v>320</v>
      </c>
      <c r="O21" s="9">
        <f t="shared" si="3"/>
        <v>1600</v>
      </c>
      <c r="P21" s="9">
        <f t="shared" si="4"/>
        <v>1920</v>
      </c>
    </row>
    <row r="22">
      <c r="A22" s="10" t="s">
        <v>16</v>
      </c>
      <c r="B22" s="10">
        <v>4320.0</v>
      </c>
      <c r="C22" s="10" t="s">
        <v>17</v>
      </c>
      <c r="D22" s="10" t="s">
        <v>63</v>
      </c>
      <c r="E22" s="14" t="s">
        <v>64</v>
      </c>
      <c r="F22" s="10" t="s">
        <v>65</v>
      </c>
      <c r="G22" s="15"/>
      <c r="H22" s="14">
        <v>35606.0</v>
      </c>
      <c r="I22" s="14">
        <v>44896.0</v>
      </c>
      <c r="J22" s="15"/>
      <c r="K22" s="7">
        <f t="shared" si="1"/>
        <v>29</v>
      </c>
      <c r="L22" s="8">
        <v>45323.0</v>
      </c>
      <c r="M22" s="8">
        <v>45351.0</v>
      </c>
      <c r="N22" s="9">
        <f t="shared" si="2"/>
        <v>320</v>
      </c>
      <c r="O22" s="9">
        <f t="shared" si="3"/>
        <v>1600</v>
      </c>
      <c r="P22" s="9">
        <f t="shared" si="4"/>
        <v>1920</v>
      </c>
    </row>
    <row r="23">
      <c r="A23" s="11" t="s">
        <v>16</v>
      </c>
      <c r="B23" s="11">
        <v>4320.0</v>
      </c>
      <c r="C23" s="11" t="s">
        <v>17</v>
      </c>
      <c r="D23" s="11" t="s">
        <v>66</v>
      </c>
      <c r="E23" s="12" t="s">
        <v>67</v>
      </c>
      <c r="F23" s="11" t="s">
        <v>68</v>
      </c>
      <c r="G23" s="13"/>
      <c r="H23" s="12">
        <v>34973.0</v>
      </c>
      <c r="I23" s="12">
        <v>44986.0</v>
      </c>
      <c r="J23" s="13"/>
      <c r="K23" s="7">
        <f t="shared" si="1"/>
        <v>29</v>
      </c>
      <c r="L23" s="8">
        <v>45323.0</v>
      </c>
      <c r="M23" s="8">
        <v>45351.0</v>
      </c>
      <c r="N23" s="9">
        <f t="shared" si="2"/>
        <v>320</v>
      </c>
      <c r="O23" s="9">
        <f t="shared" si="3"/>
        <v>1600</v>
      </c>
      <c r="P23" s="9">
        <f t="shared" si="4"/>
        <v>1920</v>
      </c>
    </row>
    <row r="24">
      <c r="A24" s="11" t="s">
        <v>16</v>
      </c>
      <c r="B24" s="11">
        <v>4320.0</v>
      </c>
      <c r="C24" s="11" t="s">
        <v>17</v>
      </c>
      <c r="D24" s="11" t="s">
        <v>267</v>
      </c>
      <c r="E24" s="12" t="s">
        <v>268</v>
      </c>
      <c r="F24" s="11" t="s">
        <v>269</v>
      </c>
      <c r="G24" s="13"/>
      <c r="H24" s="12">
        <v>34590.0</v>
      </c>
      <c r="I24" s="12">
        <v>45313.0</v>
      </c>
      <c r="J24" s="13"/>
      <c r="K24" s="7">
        <f t="shared" si="1"/>
        <v>29</v>
      </c>
      <c r="L24" s="8">
        <v>45323.0</v>
      </c>
      <c r="M24" s="8">
        <v>45351.0</v>
      </c>
      <c r="N24" s="9">
        <f t="shared" si="2"/>
        <v>320</v>
      </c>
      <c r="O24" s="9">
        <f t="shared" si="3"/>
        <v>1600</v>
      </c>
      <c r="P24" s="9">
        <f t="shared" si="4"/>
        <v>1920</v>
      </c>
    </row>
    <row r="25">
      <c r="A25" s="10" t="s">
        <v>16</v>
      </c>
      <c r="B25" s="10">
        <v>4320.0</v>
      </c>
      <c r="C25" s="10" t="s">
        <v>17</v>
      </c>
      <c r="D25" s="10" t="s">
        <v>69</v>
      </c>
      <c r="E25" s="14" t="s">
        <v>70</v>
      </c>
      <c r="F25" s="10" t="s">
        <v>71</v>
      </c>
      <c r="G25" s="15"/>
      <c r="H25" s="14">
        <v>36891.0</v>
      </c>
      <c r="I25" s="14">
        <v>44739.0</v>
      </c>
      <c r="J25" s="15"/>
      <c r="K25" s="7">
        <f t="shared" si="1"/>
        <v>29</v>
      </c>
      <c r="L25" s="8">
        <v>45323.0</v>
      </c>
      <c r="M25" s="8">
        <v>45351.0</v>
      </c>
      <c r="N25" s="9">
        <f t="shared" si="2"/>
        <v>320</v>
      </c>
      <c r="O25" s="9">
        <f t="shared" si="3"/>
        <v>1600</v>
      </c>
      <c r="P25" s="9">
        <f t="shared" si="4"/>
        <v>1920</v>
      </c>
    </row>
    <row r="26">
      <c r="A26" s="11" t="s">
        <v>16</v>
      </c>
      <c r="B26" s="11">
        <v>4320.0</v>
      </c>
      <c r="C26" s="11" t="s">
        <v>17</v>
      </c>
      <c r="D26" s="11" t="s">
        <v>252</v>
      </c>
      <c r="E26" s="12" t="s">
        <v>253</v>
      </c>
      <c r="F26" s="11" t="s">
        <v>254</v>
      </c>
      <c r="G26" s="13"/>
      <c r="H26" s="12">
        <v>37516.0</v>
      </c>
      <c r="I26" s="12">
        <v>45159.0</v>
      </c>
      <c r="J26" s="13"/>
      <c r="K26" s="7">
        <f t="shared" si="1"/>
        <v>29</v>
      </c>
      <c r="L26" s="8">
        <v>45323.0</v>
      </c>
      <c r="M26" s="8">
        <v>45351.0</v>
      </c>
      <c r="N26" s="9">
        <f t="shared" si="2"/>
        <v>320</v>
      </c>
      <c r="O26" s="9">
        <f t="shared" si="3"/>
        <v>1600</v>
      </c>
      <c r="P26" s="9">
        <f t="shared" si="4"/>
        <v>1920</v>
      </c>
    </row>
    <row r="27">
      <c r="A27" s="10" t="s">
        <v>16</v>
      </c>
      <c r="B27" s="10">
        <v>4320.0</v>
      </c>
      <c r="C27" s="10" t="s">
        <v>17</v>
      </c>
      <c r="D27" s="10" t="s">
        <v>72</v>
      </c>
      <c r="E27" s="14" t="s">
        <v>73</v>
      </c>
      <c r="F27" s="10" t="s">
        <v>74</v>
      </c>
      <c r="G27" s="15"/>
      <c r="H27" s="14">
        <v>37210.0</v>
      </c>
      <c r="I27" s="14">
        <v>44125.0</v>
      </c>
      <c r="J27" s="15"/>
      <c r="K27" s="7">
        <f t="shared" si="1"/>
        <v>29</v>
      </c>
      <c r="L27" s="8">
        <v>45323.0</v>
      </c>
      <c r="M27" s="8">
        <v>45351.0</v>
      </c>
      <c r="N27" s="9">
        <f t="shared" si="2"/>
        <v>320</v>
      </c>
      <c r="O27" s="9">
        <f t="shared" si="3"/>
        <v>1600</v>
      </c>
      <c r="P27" s="9">
        <f t="shared" si="4"/>
        <v>1920</v>
      </c>
    </row>
    <row r="28">
      <c r="A28" s="11" t="s">
        <v>16</v>
      </c>
      <c r="B28" s="11">
        <v>4320.0</v>
      </c>
      <c r="C28" s="11" t="s">
        <v>17</v>
      </c>
      <c r="D28" s="11" t="s">
        <v>78</v>
      </c>
      <c r="E28" s="12" t="s">
        <v>79</v>
      </c>
      <c r="F28" s="11" t="s">
        <v>80</v>
      </c>
      <c r="G28" s="13"/>
      <c r="H28" s="12">
        <v>36401.0</v>
      </c>
      <c r="I28" s="12">
        <v>45096.0</v>
      </c>
      <c r="J28" s="13"/>
      <c r="K28" s="7">
        <f t="shared" si="1"/>
        <v>29</v>
      </c>
      <c r="L28" s="8">
        <v>45323.0</v>
      </c>
      <c r="M28" s="8">
        <v>45351.0</v>
      </c>
      <c r="N28" s="9">
        <f t="shared" si="2"/>
        <v>320</v>
      </c>
      <c r="O28" s="9">
        <f t="shared" si="3"/>
        <v>1600</v>
      </c>
      <c r="P28" s="9">
        <f t="shared" si="4"/>
        <v>1920</v>
      </c>
    </row>
    <row r="29">
      <c r="A29" s="10" t="s">
        <v>16</v>
      </c>
      <c r="B29" s="10">
        <v>4320.0</v>
      </c>
      <c r="C29" s="10" t="s">
        <v>17</v>
      </c>
      <c r="D29" s="10" t="s">
        <v>294</v>
      </c>
      <c r="E29" s="14" t="s">
        <v>295</v>
      </c>
      <c r="F29" s="10" t="s">
        <v>296</v>
      </c>
      <c r="G29" s="15"/>
      <c r="H29" s="14">
        <v>36551.0</v>
      </c>
      <c r="I29" s="14">
        <v>45278.0</v>
      </c>
      <c r="J29" s="14"/>
      <c r="K29" s="7">
        <f t="shared" si="1"/>
        <v>29</v>
      </c>
      <c r="L29" s="8">
        <v>45323.0</v>
      </c>
      <c r="M29" s="8">
        <v>45351.0</v>
      </c>
      <c r="N29" s="9">
        <f t="shared" si="2"/>
        <v>320</v>
      </c>
      <c r="O29" s="9">
        <f t="shared" si="3"/>
        <v>1600</v>
      </c>
      <c r="P29" s="9">
        <f t="shared" si="4"/>
        <v>1920</v>
      </c>
    </row>
    <row r="30">
      <c r="A30" s="10" t="s">
        <v>16</v>
      </c>
      <c r="B30" s="10">
        <v>4320.0</v>
      </c>
      <c r="C30" s="10" t="s">
        <v>17</v>
      </c>
      <c r="D30" s="10" t="s">
        <v>270</v>
      </c>
      <c r="E30" s="14" t="s">
        <v>271</v>
      </c>
      <c r="F30" s="10" t="s">
        <v>272</v>
      </c>
      <c r="G30" s="15"/>
      <c r="H30" s="14">
        <v>36769.0</v>
      </c>
      <c r="I30" s="14">
        <v>45313.0</v>
      </c>
      <c r="J30" s="14"/>
      <c r="K30" s="7">
        <f t="shared" si="1"/>
        <v>29</v>
      </c>
      <c r="L30" s="8">
        <v>45323.0</v>
      </c>
      <c r="M30" s="8">
        <v>45351.0</v>
      </c>
      <c r="N30" s="9">
        <f t="shared" si="2"/>
        <v>320</v>
      </c>
      <c r="O30" s="9">
        <f t="shared" si="3"/>
        <v>1600</v>
      </c>
      <c r="P30" s="9">
        <f t="shared" si="4"/>
        <v>1920</v>
      </c>
    </row>
    <row r="31">
      <c r="A31" s="10" t="s">
        <v>16</v>
      </c>
      <c r="B31" s="10">
        <v>4320.0</v>
      </c>
      <c r="C31" s="10" t="s">
        <v>17</v>
      </c>
      <c r="D31" s="10" t="s">
        <v>87</v>
      </c>
      <c r="E31" s="14" t="s">
        <v>88</v>
      </c>
      <c r="F31" s="10" t="s">
        <v>89</v>
      </c>
      <c r="G31" s="15"/>
      <c r="H31" s="14">
        <v>33737.0</v>
      </c>
      <c r="I31" s="14">
        <v>45139.0</v>
      </c>
      <c r="J31" s="15"/>
      <c r="K31" s="7">
        <f t="shared" si="1"/>
        <v>29</v>
      </c>
      <c r="L31" s="8">
        <v>45323.0</v>
      </c>
      <c r="M31" s="8">
        <v>45351.0</v>
      </c>
      <c r="N31" s="9">
        <f t="shared" si="2"/>
        <v>320</v>
      </c>
      <c r="O31" s="9">
        <f t="shared" si="3"/>
        <v>1600</v>
      </c>
      <c r="P31" s="9">
        <f t="shared" si="4"/>
        <v>1920</v>
      </c>
    </row>
    <row r="32">
      <c r="A32" s="10" t="s">
        <v>16</v>
      </c>
      <c r="B32" s="10">
        <v>4320.0</v>
      </c>
      <c r="C32" s="10" t="s">
        <v>17</v>
      </c>
      <c r="D32" s="10" t="s">
        <v>297</v>
      </c>
      <c r="E32" s="14" t="s">
        <v>298</v>
      </c>
      <c r="F32" s="10" t="s">
        <v>299</v>
      </c>
      <c r="G32" s="15"/>
      <c r="H32" s="14">
        <v>36692.0</v>
      </c>
      <c r="I32" s="14">
        <v>45243.0</v>
      </c>
      <c r="J32" s="14"/>
      <c r="K32" s="7">
        <f t="shared" si="1"/>
        <v>29</v>
      </c>
      <c r="L32" s="8">
        <v>45323.0</v>
      </c>
      <c r="M32" s="8">
        <v>45351.0</v>
      </c>
      <c r="N32" s="9">
        <f t="shared" si="2"/>
        <v>320</v>
      </c>
      <c r="O32" s="9">
        <f t="shared" si="3"/>
        <v>1600</v>
      </c>
      <c r="P32" s="9">
        <f t="shared" si="4"/>
        <v>1920</v>
      </c>
    </row>
    <row r="33">
      <c r="A33" s="10" t="s">
        <v>16</v>
      </c>
      <c r="B33" s="10">
        <v>4320.0</v>
      </c>
      <c r="C33" s="10" t="s">
        <v>17</v>
      </c>
      <c r="D33" s="10" t="s">
        <v>96</v>
      </c>
      <c r="E33" s="14" t="s">
        <v>97</v>
      </c>
      <c r="F33" s="10" t="s">
        <v>98</v>
      </c>
      <c r="G33" s="15"/>
      <c r="H33" s="14">
        <v>36690.0</v>
      </c>
      <c r="I33" s="14">
        <v>44938.0</v>
      </c>
      <c r="J33" s="15"/>
      <c r="K33" s="7">
        <f t="shared" si="1"/>
        <v>29</v>
      </c>
      <c r="L33" s="8">
        <v>45323.0</v>
      </c>
      <c r="M33" s="8">
        <v>45351.0</v>
      </c>
      <c r="N33" s="9">
        <f t="shared" si="2"/>
        <v>320</v>
      </c>
      <c r="O33" s="9">
        <f t="shared" si="3"/>
        <v>1600</v>
      </c>
      <c r="P33" s="9">
        <f t="shared" si="4"/>
        <v>1920</v>
      </c>
    </row>
    <row r="34">
      <c r="A34" s="11" t="s">
        <v>16</v>
      </c>
      <c r="B34" s="11">
        <v>4320.0</v>
      </c>
      <c r="C34" s="11" t="s">
        <v>17</v>
      </c>
      <c r="D34" s="11" t="s">
        <v>99</v>
      </c>
      <c r="E34" s="12" t="s">
        <v>100</v>
      </c>
      <c r="F34" s="11" t="s">
        <v>101</v>
      </c>
      <c r="G34" s="13"/>
      <c r="H34" s="12">
        <v>37240.0</v>
      </c>
      <c r="I34" s="12">
        <v>45176.0</v>
      </c>
      <c r="J34" s="13"/>
      <c r="K34" s="7">
        <f t="shared" si="1"/>
        <v>29</v>
      </c>
      <c r="L34" s="8">
        <v>45323.0</v>
      </c>
      <c r="M34" s="8">
        <v>45351.0</v>
      </c>
      <c r="N34" s="9">
        <f t="shared" si="2"/>
        <v>320</v>
      </c>
      <c r="O34" s="9">
        <f t="shared" si="3"/>
        <v>1600</v>
      </c>
      <c r="P34" s="9">
        <f t="shared" si="4"/>
        <v>1920</v>
      </c>
    </row>
    <row r="35">
      <c r="A35" s="10" t="s">
        <v>16</v>
      </c>
      <c r="B35" s="10">
        <v>4320.0</v>
      </c>
      <c r="C35" s="10" t="s">
        <v>17</v>
      </c>
      <c r="D35" s="10" t="s">
        <v>102</v>
      </c>
      <c r="E35" s="14" t="s">
        <v>103</v>
      </c>
      <c r="F35" s="10" t="s">
        <v>104</v>
      </c>
      <c r="G35" s="15"/>
      <c r="H35" s="14">
        <v>33240.0</v>
      </c>
      <c r="I35" s="44">
        <v>45328.0</v>
      </c>
      <c r="J35" s="15"/>
      <c r="K35" s="7">
        <f t="shared" si="1"/>
        <v>24</v>
      </c>
      <c r="L35" s="8">
        <v>45323.0</v>
      </c>
      <c r="M35" s="8">
        <v>45351.0</v>
      </c>
      <c r="N35" s="9">
        <f t="shared" si="2"/>
        <v>265</v>
      </c>
      <c r="O35" s="9">
        <f t="shared" si="3"/>
        <v>1325</v>
      </c>
      <c r="P35" s="9">
        <f t="shared" si="4"/>
        <v>1590</v>
      </c>
    </row>
    <row r="36">
      <c r="A36" s="10" t="s">
        <v>16</v>
      </c>
      <c r="B36" s="10">
        <v>4320.0</v>
      </c>
      <c r="C36" s="10" t="s">
        <v>17</v>
      </c>
      <c r="D36" s="10" t="s">
        <v>255</v>
      </c>
      <c r="E36" s="14" t="s">
        <v>256</v>
      </c>
      <c r="F36" s="10" t="s">
        <v>257</v>
      </c>
      <c r="G36" s="15"/>
      <c r="H36" s="14">
        <v>35173.0</v>
      </c>
      <c r="I36" s="14">
        <v>45264.0</v>
      </c>
      <c r="J36" s="15"/>
      <c r="K36" s="7">
        <f t="shared" si="1"/>
        <v>29</v>
      </c>
      <c r="L36" s="8">
        <v>45323.0</v>
      </c>
      <c r="M36" s="8">
        <v>45351.0</v>
      </c>
      <c r="N36" s="9">
        <f t="shared" si="2"/>
        <v>320</v>
      </c>
      <c r="O36" s="9">
        <f t="shared" si="3"/>
        <v>1600</v>
      </c>
      <c r="P36" s="9">
        <f t="shared" si="4"/>
        <v>1920</v>
      </c>
    </row>
    <row r="37">
      <c r="A37" s="10" t="s">
        <v>16</v>
      </c>
      <c r="B37" s="10">
        <v>4320.0</v>
      </c>
      <c r="C37" s="10" t="s">
        <v>17</v>
      </c>
      <c r="D37" s="10" t="s">
        <v>105</v>
      </c>
      <c r="E37" s="14" t="s">
        <v>106</v>
      </c>
      <c r="F37" s="10" t="s">
        <v>107</v>
      </c>
      <c r="G37" s="15"/>
      <c r="H37" s="14">
        <v>37136.0</v>
      </c>
      <c r="I37" s="14">
        <v>45201.0</v>
      </c>
      <c r="J37" s="14"/>
      <c r="K37" s="7">
        <f t="shared" si="1"/>
        <v>29</v>
      </c>
      <c r="L37" s="8">
        <v>45323.0</v>
      </c>
      <c r="M37" s="8">
        <v>45351.0</v>
      </c>
      <c r="N37" s="9">
        <f t="shared" si="2"/>
        <v>320</v>
      </c>
      <c r="O37" s="9">
        <f t="shared" si="3"/>
        <v>1600</v>
      </c>
      <c r="P37" s="9">
        <f t="shared" si="4"/>
        <v>1920</v>
      </c>
    </row>
    <row r="38">
      <c r="A38" s="10" t="s">
        <v>16</v>
      </c>
      <c r="B38" s="10">
        <v>4320.0</v>
      </c>
      <c r="C38" s="10" t="s">
        <v>17</v>
      </c>
      <c r="D38" s="10" t="s">
        <v>108</v>
      </c>
      <c r="E38" s="14" t="s">
        <v>109</v>
      </c>
      <c r="F38" s="10" t="s">
        <v>110</v>
      </c>
      <c r="G38" s="15"/>
      <c r="H38" s="14">
        <v>35943.0</v>
      </c>
      <c r="I38" s="14">
        <v>45215.0</v>
      </c>
      <c r="J38" s="15"/>
      <c r="K38" s="7">
        <f t="shared" si="1"/>
        <v>29</v>
      </c>
      <c r="L38" s="8">
        <v>45323.0</v>
      </c>
      <c r="M38" s="8">
        <v>45351.0</v>
      </c>
      <c r="N38" s="9">
        <f t="shared" si="2"/>
        <v>320</v>
      </c>
      <c r="O38" s="9">
        <f t="shared" si="3"/>
        <v>1600</v>
      </c>
      <c r="P38" s="9">
        <f t="shared" si="4"/>
        <v>1920</v>
      </c>
    </row>
    <row r="39">
      <c r="A39" s="22" t="s">
        <v>16</v>
      </c>
      <c r="B39" s="22">
        <v>4320.0</v>
      </c>
      <c r="C39" s="22" t="s">
        <v>17</v>
      </c>
      <c r="D39" s="22" t="s">
        <v>111</v>
      </c>
      <c r="E39" s="23" t="s">
        <v>112</v>
      </c>
      <c r="F39" s="22" t="s">
        <v>113</v>
      </c>
      <c r="G39" s="24"/>
      <c r="H39" s="23">
        <v>36898.0</v>
      </c>
      <c r="I39" s="23">
        <v>44988.0</v>
      </c>
      <c r="J39" s="24"/>
      <c r="K39" s="25">
        <f t="shared" si="1"/>
        <v>29</v>
      </c>
      <c r="L39" s="26">
        <v>45323.0</v>
      </c>
      <c r="M39" s="26">
        <v>45351.0</v>
      </c>
      <c r="N39" s="27">
        <f t="shared" si="2"/>
        <v>320</v>
      </c>
      <c r="O39" s="27">
        <f t="shared" si="3"/>
        <v>1600</v>
      </c>
      <c r="P39" s="27">
        <f t="shared" si="4"/>
        <v>1920</v>
      </c>
    </row>
    <row r="40">
      <c r="A40" s="10" t="s">
        <v>16</v>
      </c>
      <c r="B40" s="10">
        <v>4320.0</v>
      </c>
      <c r="C40" s="10" t="s">
        <v>17</v>
      </c>
      <c r="D40" s="10" t="s">
        <v>120</v>
      </c>
      <c r="E40" s="14" t="s">
        <v>121</v>
      </c>
      <c r="F40" s="10" t="s">
        <v>122</v>
      </c>
      <c r="G40" s="15"/>
      <c r="H40" s="14">
        <v>36794.0</v>
      </c>
      <c r="I40" s="14">
        <v>44915.0</v>
      </c>
      <c r="J40" s="15"/>
      <c r="K40" s="7">
        <f t="shared" si="1"/>
        <v>29</v>
      </c>
      <c r="L40" s="8">
        <v>45323.0</v>
      </c>
      <c r="M40" s="8">
        <v>45351.0</v>
      </c>
      <c r="N40" s="9">
        <f t="shared" si="2"/>
        <v>320</v>
      </c>
      <c r="O40" s="9">
        <f t="shared" si="3"/>
        <v>1600</v>
      </c>
      <c r="P40" s="9">
        <f t="shared" si="4"/>
        <v>1920</v>
      </c>
    </row>
    <row r="41">
      <c r="A41" s="11" t="s">
        <v>16</v>
      </c>
      <c r="B41" s="11">
        <v>4320.0</v>
      </c>
      <c r="C41" s="11" t="s">
        <v>17</v>
      </c>
      <c r="D41" s="11" t="s">
        <v>123</v>
      </c>
      <c r="E41" s="12" t="s">
        <v>124</v>
      </c>
      <c r="F41" s="11" t="s">
        <v>125</v>
      </c>
      <c r="G41" s="13"/>
      <c r="H41" s="12">
        <v>37149.0</v>
      </c>
      <c r="I41" s="12">
        <v>45124.0</v>
      </c>
      <c r="J41" s="13"/>
      <c r="K41" s="7">
        <f t="shared" si="1"/>
        <v>29</v>
      </c>
      <c r="L41" s="8">
        <v>45323.0</v>
      </c>
      <c r="M41" s="8">
        <v>45351.0</v>
      </c>
      <c r="N41" s="9">
        <f t="shared" si="2"/>
        <v>320</v>
      </c>
      <c r="O41" s="9">
        <f t="shared" si="3"/>
        <v>1600</v>
      </c>
      <c r="P41" s="9">
        <f t="shared" si="4"/>
        <v>1920</v>
      </c>
    </row>
    <row r="42">
      <c r="A42" s="10" t="s">
        <v>16</v>
      </c>
      <c r="B42" s="10">
        <v>4320.0</v>
      </c>
      <c r="C42" s="10" t="s">
        <v>17</v>
      </c>
      <c r="D42" s="20" t="s">
        <v>237</v>
      </c>
      <c r="E42" s="14" t="s">
        <v>238</v>
      </c>
      <c r="F42" s="10" t="s">
        <v>239</v>
      </c>
      <c r="G42" s="15"/>
      <c r="H42" s="14">
        <v>34503.0</v>
      </c>
      <c r="I42" s="41">
        <v>45246.0</v>
      </c>
      <c r="J42" s="14">
        <v>45338.0</v>
      </c>
      <c r="K42" s="7">
        <f t="shared" si="1"/>
        <v>16</v>
      </c>
      <c r="L42" s="8">
        <v>45323.0</v>
      </c>
      <c r="M42" s="8">
        <v>45351.0</v>
      </c>
      <c r="N42" s="9">
        <f t="shared" si="2"/>
        <v>177</v>
      </c>
      <c r="O42" s="9">
        <f t="shared" si="3"/>
        <v>885</v>
      </c>
      <c r="P42" s="9">
        <f t="shared" si="4"/>
        <v>1062</v>
      </c>
    </row>
    <row r="43">
      <c r="A43" s="22" t="s">
        <v>16</v>
      </c>
      <c r="B43" s="22">
        <v>4320.0</v>
      </c>
      <c r="C43" s="22" t="s">
        <v>17</v>
      </c>
      <c r="D43" s="22" t="s">
        <v>129</v>
      </c>
      <c r="E43" s="23" t="s">
        <v>130</v>
      </c>
      <c r="F43" s="22" t="s">
        <v>131</v>
      </c>
      <c r="G43" s="24"/>
      <c r="H43" s="23">
        <v>36207.0</v>
      </c>
      <c r="I43" s="23">
        <v>45054.0</v>
      </c>
      <c r="J43" s="46">
        <v>45351.0</v>
      </c>
      <c r="K43" s="25">
        <f t="shared" si="1"/>
        <v>29</v>
      </c>
      <c r="L43" s="26">
        <v>45323.0</v>
      </c>
      <c r="M43" s="26">
        <v>45351.0</v>
      </c>
      <c r="N43" s="27">
        <f t="shared" si="2"/>
        <v>320</v>
      </c>
      <c r="O43" s="27">
        <f t="shared" si="3"/>
        <v>1600</v>
      </c>
      <c r="P43" s="27">
        <f t="shared" si="4"/>
        <v>1920</v>
      </c>
    </row>
    <row r="44">
      <c r="A44" s="11" t="s">
        <v>16</v>
      </c>
      <c r="B44" s="11">
        <v>4320.0</v>
      </c>
      <c r="C44" s="11" t="s">
        <v>17</v>
      </c>
      <c r="D44" s="11" t="s">
        <v>141</v>
      </c>
      <c r="E44" s="12" t="s">
        <v>142</v>
      </c>
      <c r="F44" s="11" t="s">
        <v>143</v>
      </c>
      <c r="G44" s="13"/>
      <c r="H44" s="12">
        <v>34300.0</v>
      </c>
      <c r="I44" s="12">
        <v>45183.0</v>
      </c>
      <c r="J44" s="13"/>
      <c r="K44" s="7">
        <f t="shared" si="1"/>
        <v>29</v>
      </c>
      <c r="L44" s="8">
        <v>45323.0</v>
      </c>
      <c r="M44" s="8">
        <v>45351.0</v>
      </c>
      <c r="N44" s="9">
        <f t="shared" si="2"/>
        <v>320</v>
      </c>
      <c r="O44" s="9">
        <f t="shared" si="3"/>
        <v>1600</v>
      </c>
      <c r="P44" s="9">
        <f t="shared" si="4"/>
        <v>1920</v>
      </c>
    </row>
    <row r="45">
      <c r="A45" s="29" t="s">
        <v>16</v>
      </c>
      <c r="B45" s="29">
        <v>4320.0</v>
      </c>
      <c r="C45" s="29" t="s">
        <v>17</v>
      </c>
      <c r="D45" s="47" t="s">
        <v>300</v>
      </c>
      <c r="E45" s="30"/>
      <c r="F45" s="29"/>
      <c r="G45" s="31"/>
      <c r="H45" s="30"/>
      <c r="I45" s="30"/>
      <c r="J45" s="30"/>
      <c r="K45" s="32"/>
      <c r="L45" s="33"/>
      <c r="M45" s="33"/>
      <c r="N45" s="34"/>
      <c r="O45" s="34"/>
      <c r="P45" s="34"/>
      <c r="Q45" s="48"/>
      <c r="R45" s="48"/>
    </row>
    <row r="46">
      <c r="A46" s="10" t="s">
        <v>16</v>
      </c>
      <c r="B46" s="10">
        <v>4320.0</v>
      </c>
      <c r="C46" s="10" t="s">
        <v>17</v>
      </c>
      <c r="D46" s="10" t="s">
        <v>147</v>
      </c>
      <c r="E46" s="14" t="s">
        <v>148</v>
      </c>
      <c r="F46" s="10" t="s">
        <v>149</v>
      </c>
      <c r="G46" s="15"/>
      <c r="H46" s="14">
        <v>36541.0</v>
      </c>
      <c r="I46" s="14">
        <v>44755.0</v>
      </c>
      <c r="J46" s="14"/>
      <c r="K46" s="7">
        <f t="shared" ref="K46:K71" si="5">MAX(0, MIN(M46, J46) - MAX(L46, I46) + 1)</f>
        <v>29</v>
      </c>
      <c r="L46" s="8">
        <v>45323.0</v>
      </c>
      <c r="M46" s="8">
        <v>45351.0</v>
      </c>
      <c r="N46" s="9">
        <f t="shared" ref="N46:N50" si="6">ROUNDUP(K46/29*320,0)</f>
        <v>320</v>
      </c>
      <c r="O46" s="9">
        <f t="shared" ref="O46:O71" si="7">N46*5</f>
        <v>1600</v>
      </c>
      <c r="P46" s="9">
        <f t="shared" ref="P46:P71" si="8">N46+O46</f>
        <v>1920</v>
      </c>
    </row>
    <row r="47">
      <c r="A47" s="11" t="s">
        <v>16</v>
      </c>
      <c r="B47" s="11">
        <v>4320.0</v>
      </c>
      <c r="C47" s="11" t="s">
        <v>17</v>
      </c>
      <c r="D47" s="11" t="s">
        <v>150</v>
      </c>
      <c r="E47" s="12" t="s">
        <v>151</v>
      </c>
      <c r="F47" s="11" t="s">
        <v>152</v>
      </c>
      <c r="G47" s="13"/>
      <c r="H47" s="12">
        <v>34335.0</v>
      </c>
      <c r="I47" s="12">
        <v>45078.0</v>
      </c>
      <c r="J47" s="12"/>
      <c r="K47" s="7">
        <f t="shared" si="5"/>
        <v>29</v>
      </c>
      <c r="L47" s="8">
        <v>45323.0</v>
      </c>
      <c r="M47" s="8">
        <v>45351.0</v>
      </c>
      <c r="N47" s="9">
        <f t="shared" si="6"/>
        <v>320</v>
      </c>
      <c r="O47" s="9">
        <f t="shared" si="7"/>
        <v>1600</v>
      </c>
      <c r="P47" s="9">
        <f t="shared" si="8"/>
        <v>1920</v>
      </c>
    </row>
    <row r="48">
      <c r="A48" s="10" t="s">
        <v>16</v>
      </c>
      <c r="B48" s="10">
        <v>4320.0</v>
      </c>
      <c r="C48" s="10" t="s">
        <v>17</v>
      </c>
      <c r="D48" s="10" t="s">
        <v>153</v>
      </c>
      <c r="E48" s="14" t="s">
        <v>154</v>
      </c>
      <c r="F48" s="10" t="s">
        <v>155</v>
      </c>
      <c r="G48" s="15"/>
      <c r="H48" s="14">
        <v>31014.0</v>
      </c>
      <c r="I48" s="14">
        <v>44805.0</v>
      </c>
      <c r="J48" s="15"/>
      <c r="K48" s="7">
        <f t="shared" si="5"/>
        <v>29</v>
      </c>
      <c r="L48" s="8">
        <v>45323.0</v>
      </c>
      <c r="M48" s="8">
        <v>45351.0</v>
      </c>
      <c r="N48" s="9">
        <f t="shared" si="6"/>
        <v>320</v>
      </c>
      <c r="O48" s="9">
        <f t="shared" si="7"/>
        <v>1600</v>
      </c>
      <c r="P48" s="9">
        <f t="shared" si="8"/>
        <v>1920</v>
      </c>
    </row>
    <row r="49">
      <c r="A49" s="11" t="s">
        <v>16</v>
      </c>
      <c r="B49" s="11">
        <v>4320.0</v>
      </c>
      <c r="C49" s="11" t="s">
        <v>17</v>
      </c>
      <c r="D49" s="10" t="s">
        <v>273</v>
      </c>
      <c r="E49" s="14" t="s">
        <v>274</v>
      </c>
      <c r="F49" s="10" t="s">
        <v>275</v>
      </c>
      <c r="G49" s="15"/>
      <c r="H49" s="14">
        <v>34522.0</v>
      </c>
      <c r="I49" s="14">
        <v>45292.0</v>
      </c>
      <c r="J49" s="15"/>
      <c r="K49" s="7">
        <f t="shared" si="5"/>
        <v>29</v>
      </c>
      <c r="L49" s="8">
        <v>45323.0</v>
      </c>
      <c r="M49" s="8">
        <v>45351.0</v>
      </c>
      <c r="N49" s="9">
        <f t="shared" si="6"/>
        <v>320</v>
      </c>
      <c r="O49" s="9">
        <f t="shared" si="7"/>
        <v>1600</v>
      </c>
      <c r="P49" s="9">
        <f t="shared" si="8"/>
        <v>1920</v>
      </c>
    </row>
    <row r="50">
      <c r="A50" s="10" t="s">
        <v>16</v>
      </c>
      <c r="B50" s="10">
        <v>4320.0</v>
      </c>
      <c r="C50" s="10" t="s">
        <v>17</v>
      </c>
      <c r="D50" s="10" t="s">
        <v>162</v>
      </c>
      <c r="E50" s="14" t="s">
        <v>163</v>
      </c>
      <c r="F50" s="10" t="s">
        <v>164</v>
      </c>
      <c r="G50" s="15"/>
      <c r="H50" s="14">
        <v>34732.0</v>
      </c>
      <c r="I50" s="14">
        <v>44986.0</v>
      </c>
      <c r="J50" s="15"/>
      <c r="K50" s="7">
        <f t="shared" si="5"/>
        <v>29</v>
      </c>
      <c r="L50" s="8">
        <v>45323.0</v>
      </c>
      <c r="M50" s="8">
        <v>45351.0</v>
      </c>
      <c r="N50" s="9">
        <f t="shared" si="6"/>
        <v>320</v>
      </c>
      <c r="O50" s="9">
        <f t="shared" si="7"/>
        <v>1600</v>
      </c>
      <c r="P50" s="9">
        <f t="shared" si="8"/>
        <v>1920</v>
      </c>
    </row>
    <row r="51">
      <c r="A51" s="22" t="s">
        <v>16</v>
      </c>
      <c r="B51" s="22">
        <v>4320.0</v>
      </c>
      <c r="C51" s="22" t="s">
        <v>17</v>
      </c>
      <c r="D51" s="22" t="s">
        <v>240</v>
      </c>
      <c r="E51" s="23" t="s">
        <v>241</v>
      </c>
      <c r="F51" s="22" t="s">
        <v>242</v>
      </c>
      <c r="G51" s="24"/>
      <c r="H51" s="23">
        <v>33762.0</v>
      </c>
      <c r="I51" s="23">
        <v>45229.0</v>
      </c>
      <c r="J51" s="24"/>
      <c r="K51" s="25">
        <f t="shared" si="5"/>
        <v>31</v>
      </c>
      <c r="L51" s="26">
        <v>45261.0</v>
      </c>
      <c r="M51" s="26">
        <v>45291.0</v>
      </c>
      <c r="N51" s="27">
        <f>ROUNDUP(K51/31*320,0)</f>
        <v>320</v>
      </c>
      <c r="O51" s="27">
        <f t="shared" si="7"/>
        <v>1600</v>
      </c>
      <c r="P51" s="27">
        <f t="shared" si="8"/>
        <v>1920</v>
      </c>
    </row>
    <row r="52">
      <c r="A52" s="10" t="s">
        <v>16</v>
      </c>
      <c r="B52" s="10">
        <v>4320.0</v>
      </c>
      <c r="C52" s="10" t="s">
        <v>17</v>
      </c>
      <c r="D52" s="11" t="s">
        <v>276</v>
      </c>
      <c r="E52" s="12" t="s">
        <v>277</v>
      </c>
      <c r="F52" s="11" t="s">
        <v>278</v>
      </c>
      <c r="G52" s="13"/>
      <c r="H52" s="12">
        <v>37479.0</v>
      </c>
      <c r="I52" s="12">
        <v>45320.0</v>
      </c>
      <c r="J52" s="13"/>
      <c r="K52" s="7">
        <f t="shared" si="5"/>
        <v>29</v>
      </c>
      <c r="L52" s="8">
        <v>45323.0</v>
      </c>
      <c r="M52" s="8">
        <v>45351.0</v>
      </c>
      <c r="N52" s="9">
        <f t="shared" ref="N52:N71" si="9">ROUNDUP(K52/29*320,0)</f>
        <v>320</v>
      </c>
      <c r="O52" s="9">
        <f t="shared" si="7"/>
        <v>1600</v>
      </c>
      <c r="P52" s="9">
        <f t="shared" si="8"/>
        <v>1920</v>
      </c>
    </row>
    <row r="53">
      <c r="A53" s="11" t="s">
        <v>16</v>
      </c>
      <c r="B53" s="11">
        <v>4320.0</v>
      </c>
      <c r="C53" s="11" t="s">
        <v>17</v>
      </c>
      <c r="D53" s="11" t="s">
        <v>279</v>
      </c>
      <c r="E53" s="12" t="s">
        <v>280</v>
      </c>
      <c r="F53" s="11" t="s">
        <v>281</v>
      </c>
      <c r="G53" s="13"/>
      <c r="H53" s="12">
        <v>33003.0</v>
      </c>
      <c r="I53" s="12">
        <v>45313.0</v>
      </c>
      <c r="J53" s="13"/>
      <c r="K53" s="7">
        <f t="shared" si="5"/>
        <v>29</v>
      </c>
      <c r="L53" s="8">
        <v>45323.0</v>
      </c>
      <c r="M53" s="8">
        <v>45351.0</v>
      </c>
      <c r="N53" s="9">
        <f t="shared" si="9"/>
        <v>320</v>
      </c>
      <c r="O53" s="9">
        <f t="shared" si="7"/>
        <v>1600</v>
      </c>
      <c r="P53" s="9">
        <f t="shared" si="8"/>
        <v>1920</v>
      </c>
    </row>
    <row r="54">
      <c r="A54" s="10" t="s">
        <v>16</v>
      </c>
      <c r="B54" s="10">
        <v>4320.0</v>
      </c>
      <c r="C54" s="10" t="s">
        <v>17</v>
      </c>
      <c r="D54" s="10" t="s">
        <v>243</v>
      </c>
      <c r="E54" s="14" t="s">
        <v>244</v>
      </c>
      <c r="F54" s="10" t="s">
        <v>245</v>
      </c>
      <c r="G54" s="15"/>
      <c r="H54" s="14">
        <v>36109.0</v>
      </c>
      <c r="I54" s="14">
        <v>45250.0</v>
      </c>
      <c r="J54" s="41"/>
      <c r="K54" s="7">
        <f t="shared" si="5"/>
        <v>29</v>
      </c>
      <c r="L54" s="8">
        <v>45323.0</v>
      </c>
      <c r="M54" s="8">
        <v>45351.0</v>
      </c>
      <c r="N54" s="9">
        <f t="shared" si="9"/>
        <v>320</v>
      </c>
      <c r="O54" s="9">
        <f t="shared" si="7"/>
        <v>1600</v>
      </c>
      <c r="P54" s="9">
        <f t="shared" si="8"/>
        <v>1920</v>
      </c>
    </row>
    <row r="55">
      <c r="A55" s="10" t="s">
        <v>16</v>
      </c>
      <c r="B55" s="10">
        <v>4320.0</v>
      </c>
      <c r="C55" s="10" t="s">
        <v>17</v>
      </c>
      <c r="D55" s="10" t="s">
        <v>177</v>
      </c>
      <c r="E55" s="14" t="s">
        <v>178</v>
      </c>
      <c r="F55" s="10" t="s">
        <v>179</v>
      </c>
      <c r="G55" s="15"/>
      <c r="H55" s="14">
        <v>35976.0</v>
      </c>
      <c r="I55" s="14">
        <v>45042.0</v>
      </c>
      <c r="J55" s="15"/>
      <c r="K55" s="7">
        <f t="shared" si="5"/>
        <v>29</v>
      </c>
      <c r="L55" s="8">
        <v>45323.0</v>
      </c>
      <c r="M55" s="8">
        <v>45351.0</v>
      </c>
      <c r="N55" s="9">
        <f t="shared" si="9"/>
        <v>320</v>
      </c>
      <c r="O55" s="9">
        <f t="shared" si="7"/>
        <v>1600</v>
      </c>
      <c r="P55" s="9">
        <f t="shared" si="8"/>
        <v>1920</v>
      </c>
    </row>
    <row r="56">
      <c r="A56" s="10" t="s">
        <v>16</v>
      </c>
      <c r="B56" s="10">
        <v>4320.0</v>
      </c>
      <c r="C56" s="10" t="s">
        <v>17</v>
      </c>
      <c r="D56" s="10" t="s">
        <v>180</v>
      </c>
      <c r="E56" s="14" t="s">
        <v>181</v>
      </c>
      <c r="F56" s="10" t="s">
        <v>182</v>
      </c>
      <c r="G56" s="15"/>
      <c r="H56" s="14">
        <v>36297.0</v>
      </c>
      <c r="I56" s="14">
        <v>45001.0</v>
      </c>
      <c r="J56" s="14"/>
      <c r="K56" s="7">
        <f t="shared" si="5"/>
        <v>29</v>
      </c>
      <c r="L56" s="8">
        <v>45323.0</v>
      </c>
      <c r="M56" s="8">
        <v>45351.0</v>
      </c>
      <c r="N56" s="9">
        <f t="shared" si="9"/>
        <v>320</v>
      </c>
      <c r="O56" s="9">
        <f t="shared" si="7"/>
        <v>1600</v>
      </c>
      <c r="P56" s="9">
        <f t="shared" si="8"/>
        <v>1920</v>
      </c>
    </row>
    <row r="57">
      <c r="A57" s="11" t="s">
        <v>16</v>
      </c>
      <c r="B57" s="11">
        <v>4320.0</v>
      </c>
      <c r="C57" s="11" t="s">
        <v>17</v>
      </c>
      <c r="D57" s="11" t="s">
        <v>183</v>
      </c>
      <c r="E57" s="12" t="s">
        <v>184</v>
      </c>
      <c r="F57" s="11" t="s">
        <v>185</v>
      </c>
      <c r="G57" s="13"/>
      <c r="H57" s="12">
        <v>36979.0</v>
      </c>
      <c r="I57" s="12">
        <v>44907.0</v>
      </c>
      <c r="J57" s="13"/>
      <c r="K57" s="7">
        <f t="shared" si="5"/>
        <v>29</v>
      </c>
      <c r="L57" s="8">
        <v>45323.0</v>
      </c>
      <c r="M57" s="8">
        <v>45351.0</v>
      </c>
      <c r="N57" s="9">
        <f t="shared" si="9"/>
        <v>320</v>
      </c>
      <c r="O57" s="9">
        <f t="shared" si="7"/>
        <v>1600</v>
      </c>
      <c r="P57" s="9">
        <f t="shared" si="8"/>
        <v>1920</v>
      </c>
    </row>
    <row r="58">
      <c r="A58" s="10" t="s">
        <v>16</v>
      </c>
      <c r="B58" s="10">
        <v>4320.0</v>
      </c>
      <c r="C58" s="10" t="s">
        <v>17</v>
      </c>
      <c r="D58" s="10" t="s">
        <v>189</v>
      </c>
      <c r="E58" s="14" t="s">
        <v>190</v>
      </c>
      <c r="F58" s="10" t="s">
        <v>191</v>
      </c>
      <c r="G58" s="15"/>
      <c r="H58" s="14">
        <v>36421.0</v>
      </c>
      <c r="I58" s="14">
        <v>45208.0</v>
      </c>
      <c r="J58" s="15"/>
      <c r="K58" s="7">
        <f t="shared" si="5"/>
        <v>29</v>
      </c>
      <c r="L58" s="8">
        <v>45323.0</v>
      </c>
      <c r="M58" s="8">
        <v>45351.0</v>
      </c>
      <c r="N58" s="9">
        <f t="shared" si="9"/>
        <v>320</v>
      </c>
      <c r="O58" s="9">
        <f t="shared" si="7"/>
        <v>1600</v>
      </c>
      <c r="P58" s="9">
        <f t="shared" si="8"/>
        <v>1920</v>
      </c>
    </row>
    <row r="59">
      <c r="A59" s="11" t="s">
        <v>16</v>
      </c>
      <c r="B59" s="11">
        <v>4320.0</v>
      </c>
      <c r="C59" s="11" t="s">
        <v>17</v>
      </c>
      <c r="D59" s="11" t="s">
        <v>258</v>
      </c>
      <c r="E59" s="12" t="s">
        <v>259</v>
      </c>
      <c r="F59" s="11" t="s">
        <v>260</v>
      </c>
      <c r="G59" s="13"/>
      <c r="H59" s="12">
        <v>35447.0</v>
      </c>
      <c r="I59" s="12">
        <v>45273.0</v>
      </c>
      <c r="J59" s="13"/>
      <c r="K59" s="7">
        <f t="shared" si="5"/>
        <v>29</v>
      </c>
      <c r="L59" s="8">
        <v>45323.0</v>
      </c>
      <c r="M59" s="8">
        <v>45351.0</v>
      </c>
      <c r="N59" s="9">
        <f t="shared" si="9"/>
        <v>320</v>
      </c>
      <c r="O59" s="9">
        <f t="shared" si="7"/>
        <v>1600</v>
      </c>
      <c r="P59" s="9">
        <f t="shared" si="8"/>
        <v>1920</v>
      </c>
    </row>
    <row r="60">
      <c r="A60" s="22" t="s">
        <v>16</v>
      </c>
      <c r="B60" s="22">
        <v>4320.0</v>
      </c>
      <c r="C60" s="22" t="s">
        <v>17</v>
      </c>
      <c r="D60" s="22" t="s">
        <v>192</v>
      </c>
      <c r="E60" s="23" t="s">
        <v>193</v>
      </c>
      <c r="F60" s="22" t="s">
        <v>194</v>
      </c>
      <c r="G60" s="24"/>
      <c r="H60" s="23">
        <v>36075.0</v>
      </c>
      <c r="I60" s="23">
        <v>44977.0</v>
      </c>
      <c r="J60" s="24"/>
      <c r="K60" s="25">
        <f t="shared" si="5"/>
        <v>29</v>
      </c>
      <c r="L60" s="26">
        <v>45323.0</v>
      </c>
      <c r="M60" s="26">
        <v>45351.0</v>
      </c>
      <c r="N60" s="27">
        <f t="shared" si="9"/>
        <v>320</v>
      </c>
      <c r="O60" s="27">
        <f t="shared" si="7"/>
        <v>1600</v>
      </c>
      <c r="P60" s="27">
        <f t="shared" si="8"/>
        <v>1920</v>
      </c>
    </row>
    <row r="61">
      <c r="A61" s="11" t="s">
        <v>16</v>
      </c>
      <c r="B61" s="11">
        <v>4320.0</v>
      </c>
      <c r="C61" s="11" t="s">
        <v>17</v>
      </c>
      <c r="D61" s="11" t="s">
        <v>201</v>
      </c>
      <c r="E61" s="12" t="s">
        <v>202</v>
      </c>
      <c r="F61" s="11" t="s">
        <v>203</v>
      </c>
      <c r="G61" s="13"/>
      <c r="H61" s="12">
        <v>36574.0</v>
      </c>
      <c r="I61" s="12">
        <v>45187.0</v>
      </c>
      <c r="J61" s="13"/>
      <c r="K61" s="7">
        <f t="shared" si="5"/>
        <v>29</v>
      </c>
      <c r="L61" s="8">
        <v>45323.0</v>
      </c>
      <c r="M61" s="8">
        <v>45351.0</v>
      </c>
      <c r="N61" s="9">
        <f t="shared" si="9"/>
        <v>320</v>
      </c>
      <c r="O61" s="9">
        <f t="shared" si="7"/>
        <v>1600</v>
      </c>
      <c r="P61" s="9">
        <f t="shared" si="8"/>
        <v>1920</v>
      </c>
    </row>
    <row r="62">
      <c r="A62" s="11" t="s">
        <v>16</v>
      </c>
      <c r="B62" s="11">
        <v>4320.0</v>
      </c>
      <c r="C62" s="11" t="s">
        <v>17</v>
      </c>
      <c r="D62" s="11" t="s">
        <v>301</v>
      </c>
      <c r="E62" s="12" t="s">
        <v>302</v>
      </c>
      <c r="F62" s="11" t="s">
        <v>303</v>
      </c>
      <c r="G62" s="13"/>
      <c r="H62" s="12">
        <v>36991.0</v>
      </c>
      <c r="I62" s="43">
        <v>45323.0</v>
      </c>
      <c r="J62" s="13"/>
      <c r="K62" s="7">
        <f t="shared" si="5"/>
        <v>29</v>
      </c>
      <c r="L62" s="8">
        <v>45323.0</v>
      </c>
      <c r="M62" s="8">
        <v>45351.0</v>
      </c>
      <c r="N62" s="9">
        <f t="shared" si="9"/>
        <v>320</v>
      </c>
      <c r="O62" s="9">
        <f t="shared" si="7"/>
        <v>1600</v>
      </c>
      <c r="P62" s="9">
        <f t="shared" si="8"/>
        <v>1920</v>
      </c>
    </row>
    <row r="63">
      <c r="A63" s="11" t="s">
        <v>16</v>
      </c>
      <c r="B63" s="11">
        <v>4320.0</v>
      </c>
      <c r="C63" s="11" t="s">
        <v>17</v>
      </c>
      <c r="D63" s="11" t="s">
        <v>207</v>
      </c>
      <c r="E63" s="12" t="s">
        <v>208</v>
      </c>
      <c r="F63" s="11" t="s">
        <v>209</v>
      </c>
      <c r="G63" s="13"/>
      <c r="H63" s="12">
        <v>33156.0</v>
      </c>
      <c r="I63" s="12">
        <v>44285.0</v>
      </c>
      <c r="J63" s="13"/>
      <c r="K63" s="7">
        <f t="shared" si="5"/>
        <v>29</v>
      </c>
      <c r="L63" s="8">
        <v>45323.0</v>
      </c>
      <c r="M63" s="8">
        <v>45351.0</v>
      </c>
      <c r="N63" s="9">
        <f t="shared" si="9"/>
        <v>320</v>
      </c>
      <c r="O63" s="9">
        <f t="shared" si="7"/>
        <v>1600</v>
      </c>
      <c r="P63" s="9">
        <f t="shared" si="8"/>
        <v>1920</v>
      </c>
    </row>
    <row r="64">
      <c r="A64" s="11" t="s">
        <v>16</v>
      </c>
      <c r="B64" s="11">
        <v>4320.0</v>
      </c>
      <c r="C64" s="11" t="s">
        <v>17</v>
      </c>
      <c r="D64" s="10" t="s">
        <v>304</v>
      </c>
      <c r="E64" s="14" t="s">
        <v>305</v>
      </c>
      <c r="F64" s="10" t="s">
        <v>306</v>
      </c>
      <c r="G64" s="15"/>
      <c r="H64" s="14">
        <v>35697.0</v>
      </c>
      <c r="I64" s="14">
        <v>45348.0</v>
      </c>
      <c r="J64" s="15"/>
      <c r="K64" s="7">
        <f t="shared" si="5"/>
        <v>4</v>
      </c>
      <c r="L64" s="8">
        <v>45323.0</v>
      </c>
      <c r="M64" s="8">
        <v>45351.0</v>
      </c>
      <c r="N64" s="9">
        <f t="shared" si="9"/>
        <v>45</v>
      </c>
      <c r="O64" s="9">
        <f t="shared" si="7"/>
        <v>225</v>
      </c>
      <c r="P64" s="9">
        <f t="shared" si="8"/>
        <v>270</v>
      </c>
    </row>
    <row r="65">
      <c r="A65" s="10" t="s">
        <v>16</v>
      </c>
      <c r="B65" s="10">
        <v>4320.0</v>
      </c>
      <c r="C65" s="10" t="s">
        <v>17</v>
      </c>
      <c r="D65" s="10" t="s">
        <v>213</v>
      </c>
      <c r="E65" s="14" t="s">
        <v>214</v>
      </c>
      <c r="F65" s="10" t="s">
        <v>215</v>
      </c>
      <c r="G65" s="15"/>
      <c r="H65" s="14">
        <v>36797.0</v>
      </c>
      <c r="I65" s="28">
        <v>44886.0</v>
      </c>
      <c r="J65" s="38"/>
      <c r="K65" s="7">
        <f t="shared" si="5"/>
        <v>29</v>
      </c>
      <c r="L65" s="8">
        <v>45323.0</v>
      </c>
      <c r="M65" s="8">
        <v>45351.0</v>
      </c>
      <c r="N65" s="9">
        <f t="shared" si="9"/>
        <v>320</v>
      </c>
      <c r="O65" s="9">
        <f t="shared" si="7"/>
        <v>1600</v>
      </c>
      <c r="P65" s="9">
        <f t="shared" si="8"/>
        <v>1920</v>
      </c>
    </row>
    <row r="66">
      <c r="A66" s="10" t="s">
        <v>16</v>
      </c>
      <c r="B66" s="10">
        <v>4320.0</v>
      </c>
      <c r="C66" s="10" t="s">
        <v>17</v>
      </c>
      <c r="D66" s="10" t="s">
        <v>216</v>
      </c>
      <c r="E66" s="14" t="s">
        <v>217</v>
      </c>
      <c r="F66" s="10" t="s">
        <v>218</v>
      </c>
      <c r="G66" s="15"/>
      <c r="H66" s="14">
        <v>33769.0</v>
      </c>
      <c r="I66" s="14">
        <v>44816.0</v>
      </c>
      <c r="J66" s="15"/>
      <c r="K66" s="7">
        <f t="shared" si="5"/>
        <v>29</v>
      </c>
      <c r="L66" s="8">
        <v>45323.0</v>
      </c>
      <c r="M66" s="8">
        <v>45351.0</v>
      </c>
      <c r="N66" s="9">
        <f t="shared" si="9"/>
        <v>320</v>
      </c>
      <c r="O66" s="9">
        <f t="shared" si="7"/>
        <v>1600</v>
      </c>
      <c r="P66" s="9">
        <f t="shared" si="8"/>
        <v>1920</v>
      </c>
    </row>
    <row r="67">
      <c r="A67" s="11" t="s">
        <v>16</v>
      </c>
      <c r="B67" s="11">
        <v>4320.0</v>
      </c>
      <c r="C67" s="11" t="s">
        <v>17</v>
      </c>
      <c r="D67" s="37" t="s">
        <v>219</v>
      </c>
      <c r="E67" s="12" t="s">
        <v>220</v>
      </c>
      <c r="F67" s="11" t="s">
        <v>221</v>
      </c>
      <c r="G67" s="13"/>
      <c r="H67" s="12">
        <v>36408.0</v>
      </c>
      <c r="I67" s="12">
        <v>45173.0</v>
      </c>
      <c r="J67" s="12"/>
      <c r="K67" s="7">
        <f t="shared" si="5"/>
        <v>29</v>
      </c>
      <c r="L67" s="8">
        <v>45323.0</v>
      </c>
      <c r="M67" s="8">
        <v>45351.0</v>
      </c>
      <c r="N67" s="9">
        <f t="shared" si="9"/>
        <v>320</v>
      </c>
      <c r="O67" s="9">
        <f t="shared" si="7"/>
        <v>1600</v>
      </c>
      <c r="P67" s="9">
        <f t="shared" si="8"/>
        <v>1920</v>
      </c>
    </row>
    <row r="68">
      <c r="A68" s="10" t="s">
        <v>16</v>
      </c>
      <c r="B68" s="10">
        <v>4320.0</v>
      </c>
      <c r="C68" s="10" t="s">
        <v>17</v>
      </c>
      <c r="D68" s="10" t="s">
        <v>222</v>
      </c>
      <c r="E68" s="14" t="s">
        <v>223</v>
      </c>
      <c r="F68" s="10" t="s">
        <v>224</v>
      </c>
      <c r="G68" s="15"/>
      <c r="H68" s="14">
        <v>35818.0</v>
      </c>
      <c r="I68" s="14">
        <v>45089.0</v>
      </c>
      <c r="J68" s="15"/>
      <c r="K68" s="7">
        <f t="shared" si="5"/>
        <v>29</v>
      </c>
      <c r="L68" s="8">
        <v>45323.0</v>
      </c>
      <c r="M68" s="8">
        <v>45351.0</v>
      </c>
      <c r="N68" s="9">
        <f t="shared" si="9"/>
        <v>320</v>
      </c>
      <c r="O68" s="9">
        <f t="shared" si="7"/>
        <v>1600</v>
      </c>
      <c r="P68" s="9">
        <f t="shared" si="8"/>
        <v>1920</v>
      </c>
    </row>
    <row r="69">
      <c r="A69" s="11" t="s">
        <v>16</v>
      </c>
      <c r="B69" s="11">
        <v>4320.0</v>
      </c>
      <c r="C69" s="11" t="s">
        <v>17</v>
      </c>
      <c r="D69" s="10" t="s">
        <v>225</v>
      </c>
      <c r="E69" s="14" t="s">
        <v>226</v>
      </c>
      <c r="F69" s="10" t="s">
        <v>227</v>
      </c>
      <c r="G69" s="15"/>
      <c r="H69" s="14">
        <v>36177.0</v>
      </c>
      <c r="I69" s="14">
        <v>45320.0</v>
      </c>
      <c r="J69" s="15"/>
      <c r="K69" s="7">
        <f t="shared" si="5"/>
        <v>29</v>
      </c>
      <c r="L69" s="8">
        <v>45323.0</v>
      </c>
      <c r="M69" s="8">
        <v>45351.0</v>
      </c>
      <c r="N69" s="9">
        <f t="shared" si="9"/>
        <v>320</v>
      </c>
      <c r="O69" s="9">
        <f t="shared" si="7"/>
        <v>1600</v>
      </c>
      <c r="P69" s="9">
        <f t="shared" si="8"/>
        <v>1920</v>
      </c>
    </row>
    <row r="70">
      <c r="A70" s="10" t="s">
        <v>16</v>
      </c>
      <c r="B70" s="10">
        <v>4320.0</v>
      </c>
      <c r="C70" s="10" t="s">
        <v>17</v>
      </c>
      <c r="D70" s="11" t="s">
        <v>307</v>
      </c>
      <c r="E70" s="12" t="s">
        <v>308</v>
      </c>
      <c r="F70" s="11" t="s">
        <v>309</v>
      </c>
      <c r="G70" s="13"/>
      <c r="H70" s="12">
        <v>36522.0</v>
      </c>
      <c r="I70" s="12">
        <v>45328.0</v>
      </c>
      <c r="J70" s="13"/>
      <c r="K70" s="7">
        <f t="shared" si="5"/>
        <v>24</v>
      </c>
      <c r="L70" s="8">
        <v>45323.0</v>
      </c>
      <c r="M70" s="8">
        <v>45351.0</v>
      </c>
      <c r="N70" s="9">
        <f t="shared" si="9"/>
        <v>265</v>
      </c>
      <c r="O70" s="9">
        <f t="shared" si="7"/>
        <v>1325</v>
      </c>
      <c r="P70" s="9">
        <f t="shared" si="8"/>
        <v>1590</v>
      </c>
    </row>
    <row r="71">
      <c r="A71" s="11" t="s">
        <v>16</v>
      </c>
      <c r="B71" s="11">
        <v>4320.0</v>
      </c>
      <c r="C71" s="11" t="s">
        <v>17</v>
      </c>
      <c r="D71" s="11" t="s">
        <v>228</v>
      </c>
      <c r="E71" s="12" t="s">
        <v>229</v>
      </c>
      <c r="F71" s="11" t="s">
        <v>230</v>
      </c>
      <c r="G71" s="13"/>
      <c r="H71" s="12">
        <v>35743.0</v>
      </c>
      <c r="I71" s="12">
        <v>45222.0</v>
      </c>
      <c r="J71" s="13"/>
      <c r="K71" s="7">
        <f t="shared" si="5"/>
        <v>29</v>
      </c>
      <c r="L71" s="8">
        <v>45323.0</v>
      </c>
      <c r="M71" s="8">
        <v>45351.0</v>
      </c>
      <c r="N71" s="9">
        <f t="shared" si="9"/>
        <v>320</v>
      </c>
      <c r="O71" s="9">
        <f t="shared" si="7"/>
        <v>1600</v>
      </c>
      <c r="P71" s="9">
        <f t="shared" si="8"/>
        <v>1920</v>
      </c>
    </row>
    <row r="72">
      <c r="P72" s="40">
        <f>SUM(P2:P71)</f>
        <v>127134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75"/>
  </cols>
  <sheetData>
    <row r="1">
      <c r="A1" s="1" t="s">
        <v>0</v>
      </c>
      <c r="B1" s="1" t="s">
        <v>1</v>
      </c>
      <c r="C1" s="1" t="s">
        <v>2</v>
      </c>
      <c r="D1" s="1" t="s">
        <v>3</v>
      </c>
      <c r="E1" s="1" t="s">
        <v>4</v>
      </c>
      <c r="F1" s="2" t="s">
        <v>5</v>
      </c>
      <c r="G1" s="1" t="s">
        <v>6</v>
      </c>
      <c r="H1" s="1" t="s">
        <v>7</v>
      </c>
      <c r="I1" s="2" t="s">
        <v>8</v>
      </c>
      <c r="J1" s="2" t="s">
        <v>9</v>
      </c>
      <c r="K1" s="3" t="s">
        <v>10</v>
      </c>
      <c r="L1" s="3" t="s">
        <v>11</v>
      </c>
      <c r="M1" s="3" t="s">
        <v>12</v>
      </c>
      <c r="N1" s="3" t="s">
        <v>13</v>
      </c>
      <c r="O1" s="3" t="s">
        <v>14</v>
      </c>
      <c r="P1" s="3" t="s">
        <v>15</v>
      </c>
    </row>
    <row r="2">
      <c r="A2" s="11" t="s">
        <v>16</v>
      </c>
      <c r="B2" s="11">
        <v>4320.0</v>
      </c>
      <c r="C2" s="11" t="s">
        <v>17</v>
      </c>
      <c r="D2" s="10" t="s">
        <v>261</v>
      </c>
      <c r="E2" s="14" t="s">
        <v>262</v>
      </c>
      <c r="F2" s="10" t="s">
        <v>263</v>
      </c>
      <c r="G2" s="15"/>
      <c r="H2" s="14">
        <v>36617.0</v>
      </c>
      <c r="I2" s="14">
        <v>45299.0</v>
      </c>
      <c r="J2" s="15"/>
      <c r="K2" s="16">
        <f t="shared" ref="K2:K53" si="1">MAX(0, MIN(M2, J2) - MAX(L2, I2) + 1)</f>
        <v>31</v>
      </c>
      <c r="L2" s="17">
        <v>45352.0</v>
      </c>
      <c r="M2" s="17">
        <v>45382.0</v>
      </c>
      <c r="N2" s="18">
        <f t="shared" ref="N2:N53" si="2">ROUNDUP(K2/31*320,0)</f>
        <v>320</v>
      </c>
      <c r="O2" s="18">
        <f t="shared" ref="O2:O53" si="3">N2*5</f>
        <v>1600</v>
      </c>
      <c r="P2" s="18">
        <f t="shared" ref="P2:P53" si="4">N2+O2</f>
        <v>1920</v>
      </c>
    </row>
    <row r="3">
      <c r="A3" s="11" t="s">
        <v>16</v>
      </c>
      <c r="B3" s="11">
        <v>4320.0</v>
      </c>
      <c r="C3" s="11" t="s">
        <v>17</v>
      </c>
      <c r="D3" s="10" t="s">
        <v>310</v>
      </c>
      <c r="E3" s="14" t="s">
        <v>311</v>
      </c>
      <c r="F3" s="10" t="s">
        <v>312</v>
      </c>
      <c r="G3" s="15"/>
      <c r="H3" s="14">
        <v>37282.0</v>
      </c>
      <c r="I3" s="14">
        <v>45362.0</v>
      </c>
      <c r="J3" s="15"/>
      <c r="K3" s="7">
        <f t="shared" si="1"/>
        <v>21</v>
      </c>
      <c r="L3" s="8">
        <v>45352.0</v>
      </c>
      <c r="M3" s="8">
        <v>45382.0</v>
      </c>
      <c r="N3" s="9">
        <f t="shared" si="2"/>
        <v>217</v>
      </c>
      <c r="O3" s="9">
        <f t="shared" si="3"/>
        <v>1085</v>
      </c>
      <c r="P3" s="9">
        <f t="shared" si="4"/>
        <v>1302</v>
      </c>
    </row>
    <row r="4">
      <c r="A4" s="11" t="s">
        <v>16</v>
      </c>
      <c r="B4" s="11">
        <v>4320.0</v>
      </c>
      <c r="C4" s="11" t="s">
        <v>17</v>
      </c>
      <c r="D4" s="11" t="s">
        <v>21</v>
      </c>
      <c r="E4" s="12" t="s">
        <v>22</v>
      </c>
      <c r="F4" s="11" t="s">
        <v>23</v>
      </c>
      <c r="G4" s="13"/>
      <c r="H4" s="12">
        <v>36358.0</v>
      </c>
      <c r="I4" s="12">
        <v>45027.0</v>
      </c>
      <c r="J4" s="13"/>
      <c r="K4" s="7">
        <f t="shared" si="1"/>
        <v>31</v>
      </c>
      <c r="L4" s="8">
        <v>45352.0</v>
      </c>
      <c r="M4" s="8">
        <v>45382.0</v>
      </c>
      <c r="N4" s="9">
        <f t="shared" si="2"/>
        <v>320</v>
      </c>
      <c r="O4" s="9">
        <f t="shared" si="3"/>
        <v>1600</v>
      </c>
      <c r="P4" s="9">
        <f t="shared" si="4"/>
        <v>1920</v>
      </c>
    </row>
    <row r="5">
      <c r="A5" s="10" t="s">
        <v>16</v>
      </c>
      <c r="B5" s="10">
        <v>4320.0</v>
      </c>
      <c r="C5" s="10" t="s">
        <v>17</v>
      </c>
      <c r="D5" s="10" t="s">
        <v>24</v>
      </c>
      <c r="E5" s="14" t="s">
        <v>25</v>
      </c>
      <c r="F5" s="10" t="s">
        <v>26</v>
      </c>
      <c r="G5" s="15"/>
      <c r="H5" s="14">
        <v>36860.0</v>
      </c>
      <c r="I5" s="14">
        <v>45124.0</v>
      </c>
      <c r="J5" s="15"/>
      <c r="K5" s="7">
        <f t="shared" si="1"/>
        <v>31</v>
      </c>
      <c r="L5" s="8">
        <v>45352.0</v>
      </c>
      <c r="M5" s="8">
        <v>45382.0</v>
      </c>
      <c r="N5" s="9">
        <f t="shared" si="2"/>
        <v>320</v>
      </c>
      <c r="O5" s="9">
        <f t="shared" si="3"/>
        <v>1600</v>
      </c>
      <c r="P5" s="9">
        <f t="shared" si="4"/>
        <v>1920</v>
      </c>
    </row>
    <row r="6">
      <c r="A6" s="11" t="s">
        <v>16</v>
      </c>
      <c r="B6" s="11">
        <v>4320.0</v>
      </c>
      <c r="C6" s="11" t="s">
        <v>17</v>
      </c>
      <c r="D6" s="11" t="s">
        <v>313</v>
      </c>
      <c r="E6" s="12" t="s">
        <v>314</v>
      </c>
      <c r="F6" s="11" t="s">
        <v>315</v>
      </c>
      <c r="G6" s="13"/>
      <c r="H6" s="12">
        <v>35619.0</v>
      </c>
      <c r="I6" s="12">
        <v>45369.0</v>
      </c>
      <c r="J6" s="12"/>
      <c r="K6" s="7">
        <f t="shared" si="1"/>
        <v>14</v>
      </c>
      <c r="L6" s="8">
        <v>45352.0</v>
      </c>
      <c r="M6" s="8">
        <v>45382.0</v>
      </c>
      <c r="N6" s="9">
        <f t="shared" si="2"/>
        <v>145</v>
      </c>
      <c r="O6" s="9">
        <f t="shared" si="3"/>
        <v>725</v>
      </c>
      <c r="P6" s="9">
        <f t="shared" si="4"/>
        <v>870</v>
      </c>
    </row>
    <row r="7">
      <c r="A7" s="11" t="s">
        <v>16</v>
      </c>
      <c r="B7" s="11">
        <v>4320.0</v>
      </c>
      <c r="C7" s="11" t="s">
        <v>17</v>
      </c>
      <c r="D7" s="11" t="s">
        <v>30</v>
      </c>
      <c r="E7" s="12" t="s">
        <v>31</v>
      </c>
      <c r="F7" s="11" t="s">
        <v>32</v>
      </c>
      <c r="G7" s="13"/>
      <c r="H7" s="12">
        <v>35997.0</v>
      </c>
      <c r="I7" s="12">
        <v>45061.0</v>
      </c>
      <c r="J7" s="13"/>
      <c r="K7" s="7">
        <f t="shared" si="1"/>
        <v>31</v>
      </c>
      <c r="L7" s="8">
        <v>45352.0</v>
      </c>
      <c r="M7" s="8">
        <v>45382.0</v>
      </c>
      <c r="N7" s="9">
        <f t="shared" si="2"/>
        <v>320</v>
      </c>
      <c r="O7" s="9">
        <f t="shared" si="3"/>
        <v>1600</v>
      </c>
      <c r="P7" s="9">
        <f t="shared" si="4"/>
        <v>1920</v>
      </c>
    </row>
    <row r="8">
      <c r="A8" s="10" t="s">
        <v>16</v>
      </c>
      <c r="B8" s="10">
        <v>4320.0</v>
      </c>
      <c r="C8" s="10" t="s">
        <v>17</v>
      </c>
      <c r="D8" s="11" t="s">
        <v>246</v>
      </c>
      <c r="E8" s="12" t="s">
        <v>247</v>
      </c>
      <c r="F8" s="11" t="s">
        <v>248</v>
      </c>
      <c r="G8" s="13"/>
      <c r="H8" s="12">
        <v>36353.0</v>
      </c>
      <c r="I8" s="12">
        <v>45278.0</v>
      </c>
      <c r="J8" s="13"/>
      <c r="K8" s="7">
        <f t="shared" si="1"/>
        <v>31</v>
      </c>
      <c r="L8" s="8">
        <v>45352.0</v>
      </c>
      <c r="M8" s="8">
        <v>45382.0</v>
      </c>
      <c r="N8" s="9">
        <f t="shared" si="2"/>
        <v>320</v>
      </c>
      <c r="O8" s="9">
        <f t="shared" si="3"/>
        <v>1600</v>
      </c>
      <c r="P8" s="9">
        <f t="shared" si="4"/>
        <v>1920</v>
      </c>
    </row>
    <row r="9">
      <c r="A9" s="10" t="s">
        <v>16</v>
      </c>
      <c r="B9" s="10">
        <v>4320.0</v>
      </c>
      <c r="C9" s="10" t="s">
        <v>17</v>
      </c>
      <c r="D9" s="11" t="s">
        <v>231</v>
      </c>
      <c r="E9" s="12" t="s">
        <v>232</v>
      </c>
      <c r="F9" s="11" t="s">
        <v>233</v>
      </c>
      <c r="G9" s="13"/>
      <c r="H9" s="12">
        <v>36634.0</v>
      </c>
      <c r="I9" s="12">
        <v>45251.0</v>
      </c>
      <c r="J9" s="13"/>
      <c r="K9" s="7">
        <f t="shared" si="1"/>
        <v>31</v>
      </c>
      <c r="L9" s="8">
        <v>45352.0</v>
      </c>
      <c r="M9" s="8">
        <v>45382.0</v>
      </c>
      <c r="N9" s="9">
        <f t="shared" si="2"/>
        <v>320</v>
      </c>
      <c r="O9" s="9">
        <f t="shared" si="3"/>
        <v>1600</v>
      </c>
      <c r="P9" s="9">
        <f t="shared" si="4"/>
        <v>1920</v>
      </c>
    </row>
    <row r="10">
      <c r="A10" s="10" t="s">
        <v>16</v>
      </c>
      <c r="B10" s="10">
        <v>4320.0</v>
      </c>
      <c r="C10" s="10" t="s">
        <v>17</v>
      </c>
      <c r="D10" s="11" t="s">
        <v>36</v>
      </c>
      <c r="E10" s="12" t="s">
        <v>37</v>
      </c>
      <c r="F10" s="11" t="s">
        <v>38</v>
      </c>
      <c r="G10" s="13"/>
      <c r="H10" s="12">
        <v>33408.0</v>
      </c>
      <c r="I10" s="12">
        <v>45078.0</v>
      </c>
      <c r="J10" s="12">
        <v>45366.0</v>
      </c>
      <c r="K10" s="7">
        <f t="shared" si="1"/>
        <v>15</v>
      </c>
      <c r="L10" s="8">
        <v>45352.0</v>
      </c>
      <c r="M10" s="8">
        <v>45382.0</v>
      </c>
      <c r="N10" s="9">
        <f t="shared" si="2"/>
        <v>155</v>
      </c>
      <c r="O10" s="9">
        <f t="shared" si="3"/>
        <v>775</v>
      </c>
      <c r="P10" s="9">
        <f t="shared" si="4"/>
        <v>930</v>
      </c>
    </row>
    <row r="11">
      <c r="A11" s="10" t="s">
        <v>16</v>
      </c>
      <c r="B11" s="10">
        <v>4320.0</v>
      </c>
      <c r="C11" s="10" t="s">
        <v>17</v>
      </c>
      <c r="D11" s="11" t="s">
        <v>39</v>
      </c>
      <c r="E11" s="12" t="s">
        <v>40</v>
      </c>
      <c r="F11" s="11" t="s">
        <v>41</v>
      </c>
      <c r="G11" s="13"/>
      <c r="H11" s="12">
        <v>35983.0</v>
      </c>
      <c r="I11" s="12">
        <v>45082.0</v>
      </c>
      <c r="J11" s="12">
        <v>45362.0</v>
      </c>
      <c r="K11" s="7">
        <f t="shared" si="1"/>
        <v>11</v>
      </c>
      <c r="L11" s="8">
        <v>45352.0</v>
      </c>
      <c r="M11" s="8">
        <v>45382.0</v>
      </c>
      <c r="N11" s="9">
        <f t="shared" si="2"/>
        <v>114</v>
      </c>
      <c r="O11" s="9">
        <f t="shared" si="3"/>
        <v>570</v>
      </c>
      <c r="P11" s="9">
        <f t="shared" si="4"/>
        <v>684</v>
      </c>
    </row>
    <row r="12">
      <c r="A12" s="10" t="s">
        <v>16</v>
      </c>
      <c r="B12" s="10">
        <v>4320.0</v>
      </c>
      <c r="C12" s="10" t="s">
        <v>17</v>
      </c>
      <c r="D12" s="11" t="s">
        <v>316</v>
      </c>
      <c r="E12" s="12" t="s">
        <v>317</v>
      </c>
      <c r="F12" s="11" t="s">
        <v>318</v>
      </c>
      <c r="G12" s="13"/>
      <c r="H12" s="12">
        <v>37274.0</v>
      </c>
      <c r="I12" s="12">
        <v>45362.0</v>
      </c>
      <c r="J12" s="13"/>
      <c r="K12" s="7">
        <f t="shared" si="1"/>
        <v>21</v>
      </c>
      <c r="L12" s="8">
        <v>45352.0</v>
      </c>
      <c r="M12" s="8">
        <v>45382.0</v>
      </c>
      <c r="N12" s="9">
        <f t="shared" si="2"/>
        <v>217</v>
      </c>
      <c r="O12" s="9">
        <f t="shared" si="3"/>
        <v>1085</v>
      </c>
      <c r="P12" s="9">
        <f t="shared" si="4"/>
        <v>1302</v>
      </c>
    </row>
    <row r="13">
      <c r="A13" s="10" t="s">
        <v>16</v>
      </c>
      <c r="B13" s="10">
        <v>4320.0</v>
      </c>
      <c r="C13" s="10" t="s">
        <v>17</v>
      </c>
      <c r="D13" s="10" t="s">
        <v>264</v>
      </c>
      <c r="E13" s="14" t="s">
        <v>265</v>
      </c>
      <c r="F13" s="10" t="s">
        <v>266</v>
      </c>
      <c r="G13" s="15"/>
      <c r="H13" s="14">
        <v>37398.0</v>
      </c>
      <c r="I13" s="14">
        <v>45096.0</v>
      </c>
      <c r="J13" s="15"/>
      <c r="K13" s="7">
        <f t="shared" si="1"/>
        <v>31</v>
      </c>
      <c r="L13" s="8">
        <v>45352.0</v>
      </c>
      <c r="M13" s="8">
        <v>45382.0</v>
      </c>
      <c r="N13" s="9">
        <f t="shared" si="2"/>
        <v>320</v>
      </c>
      <c r="O13" s="9">
        <f t="shared" si="3"/>
        <v>1600</v>
      </c>
      <c r="P13" s="9">
        <f t="shared" si="4"/>
        <v>1920</v>
      </c>
    </row>
    <row r="14">
      <c r="A14" s="11" t="s">
        <v>16</v>
      </c>
      <c r="B14" s="11">
        <v>4320.0</v>
      </c>
      <c r="C14" s="11" t="s">
        <v>17</v>
      </c>
      <c r="D14" s="11" t="s">
        <v>319</v>
      </c>
      <c r="E14" s="12" t="s">
        <v>320</v>
      </c>
      <c r="F14" s="11" t="s">
        <v>321</v>
      </c>
      <c r="G14" s="13"/>
      <c r="H14" s="12">
        <v>36360.0</v>
      </c>
      <c r="I14" s="12">
        <v>45355.0</v>
      </c>
      <c r="J14" s="13"/>
      <c r="K14" s="7">
        <f t="shared" si="1"/>
        <v>28</v>
      </c>
      <c r="L14" s="8">
        <v>45352.0</v>
      </c>
      <c r="M14" s="8">
        <v>45382.0</v>
      </c>
      <c r="N14" s="9">
        <f t="shared" si="2"/>
        <v>290</v>
      </c>
      <c r="O14" s="9">
        <f t="shared" si="3"/>
        <v>1450</v>
      </c>
      <c r="P14" s="9">
        <f t="shared" si="4"/>
        <v>1740</v>
      </c>
    </row>
    <row r="15">
      <c r="A15" s="10" t="s">
        <v>16</v>
      </c>
      <c r="B15" s="10">
        <v>4320.0</v>
      </c>
      <c r="C15" s="10" t="s">
        <v>17</v>
      </c>
      <c r="D15" s="10" t="s">
        <v>322</v>
      </c>
      <c r="E15" s="14" t="s">
        <v>323</v>
      </c>
      <c r="F15" s="10" t="s">
        <v>324</v>
      </c>
      <c r="G15" s="15"/>
      <c r="H15" s="14">
        <v>37100.0</v>
      </c>
      <c r="I15" s="14">
        <v>45376.0</v>
      </c>
      <c r="J15" s="14"/>
      <c r="K15" s="7">
        <f t="shared" si="1"/>
        <v>7</v>
      </c>
      <c r="L15" s="8">
        <v>45352.0</v>
      </c>
      <c r="M15" s="8">
        <v>45382.0</v>
      </c>
      <c r="N15" s="9">
        <f t="shared" si="2"/>
        <v>73</v>
      </c>
      <c r="O15" s="9">
        <f t="shared" si="3"/>
        <v>365</v>
      </c>
      <c r="P15" s="9">
        <f t="shared" si="4"/>
        <v>438</v>
      </c>
    </row>
    <row r="16">
      <c r="A16" s="11" t="s">
        <v>16</v>
      </c>
      <c r="B16" s="11">
        <v>4320.0</v>
      </c>
      <c r="C16" s="11" t="s">
        <v>17</v>
      </c>
      <c r="D16" s="11" t="s">
        <v>282</v>
      </c>
      <c r="E16" s="12" t="s">
        <v>283</v>
      </c>
      <c r="F16" s="11" t="s">
        <v>284</v>
      </c>
      <c r="G16" s="13"/>
      <c r="H16" s="12">
        <v>35047.0</v>
      </c>
      <c r="I16" s="12">
        <v>45257.0</v>
      </c>
      <c r="J16" s="13"/>
      <c r="K16" s="7">
        <f t="shared" si="1"/>
        <v>31</v>
      </c>
      <c r="L16" s="8">
        <v>45352.0</v>
      </c>
      <c r="M16" s="8">
        <v>45382.0</v>
      </c>
      <c r="N16" s="9">
        <f t="shared" si="2"/>
        <v>320</v>
      </c>
      <c r="O16" s="9">
        <f t="shared" si="3"/>
        <v>1600</v>
      </c>
      <c r="P16" s="9">
        <f t="shared" si="4"/>
        <v>1920</v>
      </c>
    </row>
    <row r="17">
      <c r="A17" s="11" t="s">
        <v>16</v>
      </c>
      <c r="B17" s="11">
        <v>4320.0</v>
      </c>
      <c r="C17" s="11" t="s">
        <v>17</v>
      </c>
      <c r="D17" s="11" t="s">
        <v>45</v>
      </c>
      <c r="E17" s="12" t="s">
        <v>46</v>
      </c>
      <c r="F17" s="11" t="s">
        <v>47</v>
      </c>
      <c r="G17" s="13"/>
      <c r="H17" s="12">
        <v>37370.0</v>
      </c>
      <c r="I17" s="12">
        <v>44739.0</v>
      </c>
      <c r="J17" s="13"/>
      <c r="K17" s="7">
        <f t="shared" si="1"/>
        <v>31</v>
      </c>
      <c r="L17" s="8">
        <v>45352.0</v>
      </c>
      <c r="M17" s="8">
        <v>45382.0</v>
      </c>
      <c r="N17" s="9">
        <f t="shared" si="2"/>
        <v>320</v>
      </c>
      <c r="O17" s="9">
        <f t="shared" si="3"/>
        <v>1600</v>
      </c>
      <c r="P17" s="9">
        <f t="shared" si="4"/>
        <v>1920</v>
      </c>
    </row>
    <row r="18">
      <c r="A18" s="11" t="s">
        <v>16</v>
      </c>
      <c r="B18" s="11">
        <v>4320.0</v>
      </c>
      <c r="C18" s="11" t="s">
        <v>17</v>
      </c>
      <c r="D18" s="11" t="s">
        <v>48</v>
      </c>
      <c r="E18" s="12" t="s">
        <v>49</v>
      </c>
      <c r="F18" s="11" t="s">
        <v>50</v>
      </c>
      <c r="G18" s="13"/>
      <c r="H18" s="12">
        <v>36399.0</v>
      </c>
      <c r="I18" s="12">
        <v>45229.0</v>
      </c>
      <c r="J18" s="13"/>
      <c r="K18" s="7">
        <f t="shared" si="1"/>
        <v>31</v>
      </c>
      <c r="L18" s="8">
        <v>45352.0</v>
      </c>
      <c r="M18" s="8">
        <v>45382.0</v>
      </c>
      <c r="N18" s="9">
        <f t="shared" si="2"/>
        <v>320</v>
      </c>
      <c r="O18" s="9">
        <f t="shared" si="3"/>
        <v>1600</v>
      </c>
      <c r="P18" s="9">
        <f t="shared" si="4"/>
        <v>1920</v>
      </c>
    </row>
    <row r="19">
      <c r="A19" s="11" t="s">
        <v>16</v>
      </c>
      <c r="B19" s="11">
        <v>4320.0</v>
      </c>
      <c r="C19" s="11" t="s">
        <v>17</v>
      </c>
      <c r="D19" s="11" t="s">
        <v>325</v>
      </c>
      <c r="E19" s="12" t="s">
        <v>326</v>
      </c>
      <c r="F19" s="11" t="s">
        <v>327</v>
      </c>
      <c r="G19" s="13"/>
      <c r="H19" s="12">
        <v>36962.0</v>
      </c>
      <c r="I19" s="12">
        <v>45376.0</v>
      </c>
      <c r="J19" s="13"/>
      <c r="K19" s="7">
        <f t="shared" si="1"/>
        <v>7</v>
      </c>
      <c r="L19" s="8">
        <v>45352.0</v>
      </c>
      <c r="M19" s="8">
        <v>45382.0</v>
      </c>
      <c r="N19" s="9">
        <f t="shared" si="2"/>
        <v>73</v>
      </c>
      <c r="O19" s="9">
        <f t="shared" si="3"/>
        <v>365</v>
      </c>
      <c r="P19" s="9">
        <f t="shared" si="4"/>
        <v>438</v>
      </c>
    </row>
    <row r="20">
      <c r="A20" s="10" t="s">
        <v>16</v>
      </c>
      <c r="B20" s="10">
        <v>4320.0</v>
      </c>
      <c r="C20" s="10" t="s">
        <v>17</v>
      </c>
      <c r="D20" s="11" t="s">
        <v>285</v>
      </c>
      <c r="E20" s="12" t="s">
        <v>286</v>
      </c>
      <c r="F20" s="11" t="s">
        <v>287</v>
      </c>
      <c r="G20" s="13"/>
      <c r="H20" s="12">
        <v>37377.0</v>
      </c>
      <c r="I20" s="12">
        <v>45334.0</v>
      </c>
      <c r="J20" s="13"/>
      <c r="K20" s="7">
        <f t="shared" si="1"/>
        <v>31</v>
      </c>
      <c r="L20" s="8">
        <v>45352.0</v>
      </c>
      <c r="M20" s="8">
        <v>45382.0</v>
      </c>
      <c r="N20" s="9">
        <f t="shared" si="2"/>
        <v>320</v>
      </c>
      <c r="O20" s="9">
        <f t="shared" si="3"/>
        <v>1600</v>
      </c>
      <c r="P20" s="9">
        <f t="shared" si="4"/>
        <v>1920</v>
      </c>
    </row>
    <row r="21">
      <c r="A21" s="10" t="s">
        <v>16</v>
      </c>
      <c r="B21" s="10">
        <v>4320.0</v>
      </c>
      <c r="C21" s="10" t="s">
        <v>17</v>
      </c>
      <c r="D21" s="10" t="s">
        <v>51</v>
      </c>
      <c r="E21" s="14" t="s">
        <v>52</v>
      </c>
      <c r="F21" s="10" t="s">
        <v>53</v>
      </c>
      <c r="G21" s="15"/>
      <c r="H21" s="14">
        <v>34601.0</v>
      </c>
      <c r="I21" s="14">
        <v>44986.0</v>
      </c>
      <c r="J21" s="15"/>
      <c r="K21" s="7">
        <f t="shared" si="1"/>
        <v>31</v>
      </c>
      <c r="L21" s="8">
        <v>45352.0</v>
      </c>
      <c r="M21" s="8">
        <v>45382.0</v>
      </c>
      <c r="N21" s="9">
        <f t="shared" si="2"/>
        <v>320</v>
      </c>
      <c r="O21" s="9">
        <f t="shared" si="3"/>
        <v>1600</v>
      </c>
      <c r="P21" s="9">
        <f t="shared" si="4"/>
        <v>1920</v>
      </c>
    </row>
    <row r="22">
      <c r="A22" s="11" t="s">
        <v>16</v>
      </c>
      <c r="B22" s="11">
        <v>4320.0</v>
      </c>
      <c r="C22" s="11" t="s">
        <v>17</v>
      </c>
      <c r="D22" s="11" t="s">
        <v>249</v>
      </c>
      <c r="E22" s="12" t="s">
        <v>250</v>
      </c>
      <c r="F22" s="11" t="s">
        <v>251</v>
      </c>
      <c r="G22" s="13"/>
      <c r="H22" s="12">
        <v>37322.0</v>
      </c>
      <c r="I22" s="12">
        <v>45096.0</v>
      </c>
      <c r="J22" s="13"/>
      <c r="K22" s="7">
        <f t="shared" si="1"/>
        <v>31</v>
      </c>
      <c r="L22" s="8">
        <v>45352.0</v>
      </c>
      <c r="M22" s="8">
        <v>45382.0</v>
      </c>
      <c r="N22" s="9">
        <f t="shared" si="2"/>
        <v>320</v>
      </c>
      <c r="O22" s="9">
        <f t="shared" si="3"/>
        <v>1600</v>
      </c>
      <c r="P22" s="9">
        <f t="shared" si="4"/>
        <v>1920</v>
      </c>
    </row>
    <row r="23">
      <c r="A23" s="10" t="s">
        <v>16</v>
      </c>
      <c r="B23" s="10">
        <v>4320.0</v>
      </c>
      <c r="C23" s="10" t="s">
        <v>17</v>
      </c>
      <c r="D23" s="10" t="s">
        <v>57</v>
      </c>
      <c r="E23" s="14" t="s">
        <v>58</v>
      </c>
      <c r="F23" s="10" t="s">
        <v>59</v>
      </c>
      <c r="G23" s="15"/>
      <c r="H23" s="14">
        <v>35704.0</v>
      </c>
      <c r="I23" s="14">
        <v>44760.0</v>
      </c>
      <c r="J23" s="15"/>
      <c r="K23" s="7">
        <f t="shared" si="1"/>
        <v>31</v>
      </c>
      <c r="L23" s="8">
        <v>45352.0</v>
      </c>
      <c r="M23" s="8">
        <v>45382.0</v>
      </c>
      <c r="N23" s="9">
        <f t="shared" si="2"/>
        <v>320</v>
      </c>
      <c r="O23" s="9">
        <f t="shared" si="3"/>
        <v>1600</v>
      </c>
      <c r="P23" s="9">
        <f t="shared" si="4"/>
        <v>1920</v>
      </c>
    </row>
    <row r="24">
      <c r="A24" s="11" t="s">
        <v>16</v>
      </c>
      <c r="B24" s="11">
        <v>4320.0</v>
      </c>
      <c r="C24" s="11" t="s">
        <v>17</v>
      </c>
      <c r="D24" s="11" t="s">
        <v>291</v>
      </c>
      <c r="E24" s="12" t="s">
        <v>292</v>
      </c>
      <c r="F24" s="11" t="s">
        <v>293</v>
      </c>
      <c r="G24" s="13"/>
      <c r="H24" s="12">
        <v>37219.0</v>
      </c>
      <c r="I24" s="12">
        <v>45257.0</v>
      </c>
      <c r="J24" s="13"/>
      <c r="K24" s="7">
        <f t="shared" si="1"/>
        <v>31</v>
      </c>
      <c r="L24" s="8">
        <v>45352.0</v>
      </c>
      <c r="M24" s="8">
        <v>45382.0</v>
      </c>
      <c r="N24" s="9">
        <f t="shared" si="2"/>
        <v>320</v>
      </c>
      <c r="O24" s="9">
        <f t="shared" si="3"/>
        <v>1600</v>
      </c>
      <c r="P24" s="9">
        <f t="shared" si="4"/>
        <v>1920</v>
      </c>
    </row>
    <row r="25">
      <c r="A25" s="11" t="s">
        <v>16</v>
      </c>
      <c r="B25" s="11">
        <v>4320.0</v>
      </c>
      <c r="C25" s="11" t="s">
        <v>17</v>
      </c>
      <c r="D25" s="10" t="s">
        <v>328</v>
      </c>
      <c r="E25" s="14" t="s">
        <v>329</v>
      </c>
      <c r="F25" s="10" t="s">
        <v>330</v>
      </c>
      <c r="G25" s="15"/>
      <c r="H25" s="14">
        <v>35871.0</v>
      </c>
      <c r="I25" s="14">
        <v>45369.0</v>
      </c>
      <c r="J25" s="14"/>
      <c r="K25" s="7">
        <f t="shared" si="1"/>
        <v>14</v>
      </c>
      <c r="L25" s="8">
        <v>45352.0</v>
      </c>
      <c r="M25" s="8">
        <v>45382.0</v>
      </c>
      <c r="N25" s="9">
        <f t="shared" si="2"/>
        <v>145</v>
      </c>
      <c r="O25" s="9">
        <f t="shared" si="3"/>
        <v>725</v>
      </c>
      <c r="P25" s="9">
        <f t="shared" si="4"/>
        <v>870</v>
      </c>
    </row>
    <row r="26">
      <c r="A26" s="11" t="s">
        <v>16</v>
      </c>
      <c r="B26" s="11">
        <v>4320.0</v>
      </c>
      <c r="C26" s="11" t="s">
        <v>17</v>
      </c>
      <c r="D26" s="11" t="s">
        <v>60</v>
      </c>
      <c r="E26" s="12" t="s">
        <v>61</v>
      </c>
      <c r="F26" s="11" t="s">
        <v>62</v>
      </c>
      <c r="G26" s="13"/>
      <c r="H26" s="12">
        <v>36246.0</v>
      </c>
      <c r="I26" s="12">
        <v>44851.0</v>
      </c>
      <c r="J26" s="13"/>
      <c r="K26" s="7">
        <f t="shared" si="1"/>
        <v>31</v>
      </c>
      <c r="L26" s="8">
        <v>45352.0</v>
      </c>
      <c r="M26" s="8">
        <v>45382.0</v>
      </c>
      <c r="N26" s="9">
        <f t="shared" si="2"/>
        <v>320</v>
      </c>
      <c r="O26" s="9">
        <f t="shared" si="3"/>
        <v>1600</v>
      </c>
      <c r="P26" s="9">
        <f t="shared" si="4"/>
        <v>1920</v>
      </c>
    </row>
    <row r="27">
      <c r="A27" s="10" t="s">
        <v>16</v>
      </c>
      <c r="B27" s="10">
        <v>4320.0</v>
      </c>
      <c r="C27" s="10" t="s">
        <v>17</v>
      </c>
      <c r="D27" s="10" t="s">
        <v>63</v>
      </c>
      <c r="E27" s="14" t="s">
        <v>64</v>
      </c>
      <c r="F27" s="10" t="s">
        <v>65</v>
      </c>
      <c r="G27" s="15"/>
      <c r="H27" s="14">
        <v>35606.0</v>
      </c>
      <c r="I27" s="14">
        <v>44896.0</v>
      </c>
      <c r="J27" s="15"/>
      <c r="K27" s="7">
        <f t="shared" si="1"/>
        <v>31</v>
      </c>
      <c r="L27" s="8">
        <v>45352.0</v>
      </c>
      <c r="M27" s="8">
        <v>45382.0</v>
      </c>
      <c r="N27" s="9">
        <f t="shared" si="2"/>
        <v>320</v>
      </c>
      <c r="O27" s="9">
        <f t="shared" si="3"/>
        <v>1600</v>
      </c>
      <c r="P27" s="9">
        <f t="shared" si="4"/>
        <v>1920</v>
      </c>
    </row>
    <row r="28">
      <c r="A28" s="11" t="s">
        <v>16</v>
      </c>
      <c r="B28" s="11">
        <v>4320.0</v>
      </c>
      <c r="C28" s="11" t="s">
        <v>17</v>
      </c>
      <c r="D28" s="11" t="s">
        <v>66</v>
      </c>
      <c r="E28" s="12" t="s">
        <v>67</v>
      </c>
      <c r="F28" s="11" t="s">
        <v>68</v>
      </c>
      <c r="G28" s="13"/>
      <c r="H28" s="12">
        <v>34973.0</v>
      </c>
      <c r="I28" s="12">
        <v>44986.0</v>
      </c>
      <c r="J28" s="13"/>
      <c r="K28" s="7">
        <f t="shared" si="1"/>
        <v>31</v>
      </c>
      <c r="L28" s="8">
        <v>45352.0</v>
      </c>
      <c r="M28" s="8">
        <v>45382.0</v>
      </c>
      <c r="N28" s="9">
        <f t="shared" si="2"/>
        <v>320</v>
      </c>
      <c r="O28" s="9">
        <f t="shared" si="3"/>
        <v>1600</v>
      </c>
      <c r="P28" s="9">
        <f t="shared" si="4"/>
        <v>1920</v>
      </c>
    </row>
    <row r="29">
      <c r="A29" s="10" t="s">
        <v>16</v>
      </c>
      <c r="B29" s="10">
        <v>4320.0</v>
      </c>
      <c r="C29" s="10" t="s">
        <v>17</v>
      </c>
      <c r="D29" s="11" t="s">
        <v>267</v>
      </c>
      <c r="E29" s="12" t="s">
        <v>268</v>
      </c>
      <c r="F29" s="11" t="s">
        <v>269</v>
      </c>
      <c r="G29" s="13"/>
      <c r="H29" s="12">
        <v>34590.0</v>
      </c>
      <c r="I29" s="12">
        <v>45313.0</v>
      </c>
      <c r="J29" s="13"/>
      <c r="K29" s="7">
        <f t="shared" si="1"/>
        <v>31</v>
      </c>
      <c r="L29" s="8">
        <v>45352.0</v>
      </c>
      <c r="M29" s="8">
        <v>45382.0</v>
      </c>
      <c r="N29" s="9">
        <f t="shared" si="2"/>
        <v>320</v>
      </c>
      <c r="O29" s="9">
        <f t="shared" si="3"/>
        <v>1600</v>
      </c>
      <c r="P29" s="9">
        <f t="shared" si="4"/>
        <v>1920</v>
      </c>
    </row>
    <row r="30">
      <c r="A30" s="10" t="s">
        <v>16</v>
      </c>
      <c r="B30" s="10">
        <v>4320.0</v>
      </c>
      <c r="C30" s="10" t="s">
        <v>17</v>
      </c>
      <c r="D30" s="10" t="s">
        <v>69</v>
      </c>
      <c r="E30" s="14" t="s">
        <v>70</v>
      </c>
      <c r="F30" s="10" t="s">
        <v>71</v>
      </c>
      <c r="G30" s="15"/>
      <c r="H30" s="14">
        <v>36891.0</v>
      </c>
      <c r="I30" s="14">
        <v>44739.0</v>
      </c>
      <c r="J30" s="15"/>
      <c r="K30" s="7">
        <f t="shared" si="1"/>
        <v>31</v>
      </c>
      <c r="L30" s="8">
        <v>45352.0</v>
      </c>
      <c r="M30" s="8">
        <v>45382.0</v>
      </c>
      <c r="N30" s="9">
        <f t="shared" si="2"/>
        <v>320</v>
      </c>
      <c r="O30" s="9">
        <f t="shared" si="3"/>
        <v>1600</v>
      </c>
      <c r="P30" s="9">
        <f t="shared" si="4"/>
        <v>1920</v>
      </c>
    </row>
    <row r="31">
      <c r="A31" s="11" t="s">
        <v>16</v>
      </c>
      <c r="B31" s="11">
        <v>4320.0</v>
      </c>
      <c r="C31" s="11" t="s">
        <v>17</v>
      </c>
      <c r="D31" s="11" t="s">
        <v>252</v>
      </c>
      <c r="E31" s="12" t="s">
        <v>253</v>
      </c>
      <c r="F31" s="11" t="s">
        <v>254</v>
      </c>
      <c r="G31" s="13"/>
      <c r="H31" s="12">
        <v>37516.0</v>
      </c>
      <c r="I31" s="12">
        <v>45159.0</v>
      </c>
      <c r="J31" s="13"/>
      <c r="K31" s="7">
        <f t="shared" si="1"/>
        <v>31</v>
      </c>
      <c r="L31" s="8">
        <v>45352.0</v>
      </c>
      <c r="M31" s="8">
        <v>45382.0</v>
      </c>
      <c r="N31" s="9">
        <f t="shared" si="2"/>
        <v>320</v>
      </c>
      <c r="O31" s="9">
        <f t="shared" si="3"/>
        <v>1600</v>
      </c>
      <c r="P31" s="9">
        <f t="shared" si="4"/>
        <v>1920</v>
      </c>
    </row>
    <row r="32">
      <c r="A32" s="10" t="s">
        <v>16</v>
      </c>
      <c r="B32" s="10">
        <v>4320.0</v>
      </c>
      <c r="C32" s="10" t="s">
        <v>17</v>
      </c>
      <c r="D32" s="10" t="s">
        <v>72</v>
      </c>
      <c r="E32" s="14" t="s">
        <v>73</v>
      </c>
      <c r="F32" s="10" t="s">
        <v>74</v>
      </c>
      <c r="G32" s="15"/>
      <c r="H32" s="14">
        <v>37210.0</v>
      </c>
      <c r="I32" s="14">
        <v>44125.0</v>
      </c>
      <c r="J32" s="15"/>
      <c r="K32" s="7">
        <f t="shared" si="1"/>
        <v>31</v>
      </c>
      <c r="L32" s="8">
        <v>45352.0</v>
      </c>
      <c r="M32" s="8">
        <v>45382.0</v>
      </c>
      <c r="N32" s="9">
        <f t="shared" si="2"/>
        <v>320</v>
      </c>
      <c r="O32" s="9">
        <f t="shared" si="3"/>
        <v>1600</v>
      </c>
      <c r="P32" s="9">
        <f t="shared" si="4"/>
        <v>1920</v>
      </c>
    </row>
    <row r="33">
      <c r="A33" s="11" t="s">
        <v>16</v>
      </c>
      <c r="B33" s="11">
        <v>4320.0</v>
      </c>
      <c r="C33" s="11" t="s">
        <v>17</v>
      </c>
      <c r="D33" s="11" t="s">
        <v>78</v>
      </c>
      <c r="E33" s="12" t="s">
        <v>79</v>
      </c>
      <c r="F33" s="11" t="s">
        <v>80</v>
      </c>
      <c r="G33" s="13"/>
      <c r="H33" s="12">
        <v>36401.0</v>
      </c>
      <c r="I33" s="12">
        <v>45096.0</v>
      </c>
      <c r="J33" s="13"/>
      <c r="K33" s="7">
        <f t="shared" si="1"/>
        <v>31</v>
      </c>
      <c r="L33" s="8">
        <v>45352.0</v>
      </c>
      <c r="M33" s="8">
        <v>45382.0</v>
      </c>
      <c r="N33" s="9">
        <f t="shared" si="2"/>
        <v>320</v>
      </c>
      <c r="O33" s="9">
        <f t="shared" si="3"/>
        <v>1600</v>
      </c>
      <c r="P33" s="9">
        <f t="shared" si="4"/>
        <v>1920</v>
      </c>
    </row>
    <row r="34">
      <c r="A34" s="10" t="s">
        <v>16</v>
      </c>
      <c r="B34" s="10">
        <v>4320.0</v>
      </c>
      <c r="C34" s="10" t="s">
        <v>17</v>
      </c>
      <c r="D34" s="11" t="s">
        <v>331</v>
      </c>
      <c r="E34" s="12" t="s">
        <v>332</v>
      </c>
      <c r="F34" s="11" t="s">
        <v>333</v>
      </c>
      <c r="G34" s="13"/>
      <c r="H34" s="12">
        <v>37958.0</v>
      </c>
      <c r="I34" s="12">
        <v>45369.0</v>
      </c>
      <c r="J34" s="13"/>
      <c r="K34" s="7">
        <f t="shared" si="1"/>
        <v>14</v>
      </c>
      <c r="L34" s="8">
        <v>45352.0</v>
      </c>
      <c r="M34" s="8">
        <v>45382.0</v>
      </c>
      <c r="N34" s="9">
        <f t="shared" si="2"/>
        <v>145</v>
      </c>
      <c r="O34" s="9">
        <f t="shared" si="3"/>
        <v>725</v>
      </c>
      <c r="P34" s="9">
        <f t="shared" si="4"/>
        <v>870</v>
      </c>
    </row>
    <row r="35">
      <c r="A35" s="11" t="s">
        <v>16</v>
      </c>
      <c r="B35" s="11">
        <v>4320.0</v>
      </c>
      <c r="C35" s="11" t="s">
        <v>17</v>
      </c>
      <c r="D35" s="10" t="s">
        <v>270</v>
      </c>
      <c r="E35" s="14" t="s">
        <v>271</v>
      </c>
      <c r="F35" s="10" t="s">
        <v>272</v>
      </c>
      <c r="G35" s="15"/>
      <c r="H35" s="14">
        <v>36769.0</v>
      </c>
      <c r="I35" s="14">
        <v>45313.0</v>
      </c>
      <c r="J35" s="14"/>
      <c r="K35" s="7">
        <f t="shared" si="1"/>
        <v>31</v>
      </c>
      <c r="L35" s="8">
        <v>45352.0</v>
      </c>
      <c r="M35" s="8">
        <v>45382.0</v>
      </c>
      <c r="N35" s="9">
        <f t="shared" si="2"/>
        <v>320</v>
      </c>
      <c r="O35" s="9">
        <f t="shared" si="3"/>
        <v>1600</v>
      </c>
      <c r="P35" s="9">
        <f t="shared" si="4"/>
        <v>1920</v>
      </c>
    </row>
    <row r="36" ht="17.25" customHeight="1">
      <c r="A36" s="10" t="s">
        <v>16</v>
      </c>
      <c r="B36" s="10">
        <v>4320.0</v>
      </c>
      <c r="C36" s="10" t="s">
        <v>17</v>
      </c>
      <c r="D36" s="10" t="s">
        <v>87</v>
      </c>
      <c r="E36" s="14" t="s">
        <v>88</v>
      </c>
      <c r="F36" s="10" t="s">
        <v>89</v>
      </c>
      <c r="G36" s="15"/>
      <c r="H36" s="14">
        <v>33737.0</v>
      </c>
      <c r="I36" s="14">
        <v>45139.0</v>
      </c>
      <c r="J36" s="15"/>
      <c r="K36" s="7">
        <f t="shared" si="1"/>
        <v>31</v>
      </c>
      <c r="L36" s="8">
        <v>45352.0</v>
      </c>
      <c r="M36" s="8">
        <v>45382.0</v>
      </c>
      <c r="N36" s="9">
        <f t="shared" si="2"/>
        <v>320</v>
      </c>
      <c r="O36" s="9">
        <f t="shared" si="3"/>
        <v>1600</v>
      </c>
      <c r="P36" s="9">
        <f t="shared" si="4"/>
        <v>1920</v>
      </c>
    </row>
    <row r="37">
      <c r="A37" s="10" t="s">
        <v>16</v>
      </c>
      <c r="B37" s="10">
        <v>4320.0</v>
      </c>
      <c r="C37" s="10" t="s">
        <v>17</v>
      </c>
      <c r="D37" s="10" t="s">
        <v>334</v>
      </c>
      <c r="E37" s="14" t="s">
        <v>335</v>
      </c>
      <c r="F37" s="10" t="s">
        <v>336</v>
      </c>
      <c r="G37" s="15"/>
      <c r="H37" s="14">
        <v>35272.0</v>
      </c>
      <c r="I37" s="14">
        <v>45355.0</v>
      </c>
      <c r="J37" s="15"/>
      <c r="K37" s="7">
        <f t="shared" si="1"/>
        <v>28</v>
      </c>
      <c r="L37" s="8">
        <v>45352.0</v>
      </c>
      <c r="M37" s="8">
        <v>45382.0</v>
      </c>
      <c r="N37" s="9">
        <f t="shared" si="2"/>
        <v>290</v>
      </c>
      <c r="O37" s="9">
        <f t="shared" si="3"/>
        <v>1450</v>
      </c>
      <c r="P37" s="9">
        <f t="shared" si="4"/>
        <v>1740</v>
      </c>
    </row>
    <row r="38">
      <c r="A38" s="11" t="s">
        <v>16</v>
      </c>
      <c r="B38" s="11">
        <v>4320.0</v>
      </c>
      <c r="C38" s="11" t="s">
        <v>17</v>
      </c>
      <c r="D38" s="10" t="s">
        <v>337</v>
      </c>
      <c r="E38" s="14" t="s">
        <v>338</v>
      </c>
      <c r="F38" s="10" t="s">
        <v>339</v>
      </c>
      <c r="G38" s="15"/>
      <c r="H38" s="14">
        <v>37539.0</v>
      </c>
      <c r="I38" s="14">
        <v>45362.0</v>
      </c>
      <c r="J38" s="15"/>
      <c r="K38" s="7">
        <f t="shared" si="1"/>
        <v>21</v>
      </c>
      <c r="L38" s="8">
        <v>45352.0</v>
      </c>
      <c r="M38" s="8">
        <v>45382.0</v>
      </c>
      <c r="N38" s="9">
        <f t="shared" si="2"/>
        <v>217</v>
      </c>
      <c r="O38" s="9">
        <f t="shared" si="3"/>
        <v>1085</v>
      </c>
      <c r="P38" s="9">
        <f t="shared" si="4"/>
        <v>1302</v>
      </c>
    </row>
    <row r="39">
      <c r="A39" s="10" t="s">
        <v>16</v>
      </c>
      <c r="B39" s="10">
        <v>4320.0</v>
      </c>
      <c r="C39" s="10" t="s">
        <v>17</v>
      </c>
      <c r="D39" s="10" t="s">
        <v>96</v>
      </c>
      <c r="E39" s="14" t="s">
        <v>97</v>
      </c>
      <c r="F39" s="10" t="s">
        <v>98</v>
      </c>
      <c r="G39" s="15"/>
      <c r="H39" s="14">
        <v>36690.0</v>
      </c>
      <c r="I39" s="14">
        <v>44938.0</v>
      </c>
      <c r="J39" s="15"/>
      <c r="K39" s="7">
        <f t="shared" si="1"/>
        <v>31</v>
      </c>
      <c r="L39" s="8">
        <v>45352.0</v>
      </c>
      <c r="M39" s="8">
        <v>45382.0</v>
      </c>
      <c r="N39" s="9">
        <f t="shared" si="2"/>
        <v>320</v>
      </c>
      <c r="O39" s="9">
        <f t="shared" si="3"/>
        <v>1600</v>
      </c>
      <c r="P39" s="9">
        <f t="shared" si="4"/>
        <v>1920</v>
      </c>
    </row>
    <row r="40">
      <c r="A40" s="11" t="s">
        <v>16</v>
      </c>
      <c r="B40" s="11">
        <v>4320.0</v>
      </c>
      <c r="C40" s="11" t="s">
        <v>17</v>
      </c>
      <c r="D40" s="11" t="s">
        <v>99</v>
      </c>
      <c r="E40" s="12" t="s">
        <v>100</v>
      </c>
      <c r="F40" s="11" t="s">
        <v>101</v>
      </c>
      <c r="G40" s="13"/>
      <c r="H40" s="12">
        <v>37240.0</v>
      </c>
      <c r="I40" s="12">
        <v>45176.0</v>
      </c>
      <c r="J40" s="13"/>
      <c r="K40" s="7">
        <f t="shared" si="1"/>
        <v>31</v>
      </c>
      <c r="L40" s="8">
        <v>45352.0</v>
      </c>
      <c r="M40" s="8">
        <v>45382.0</v>
      </c>
      <c r="N40" s="9">
        <f t="shared" si="2"/>
        <v>320</v>
      </c>
      <c r="O40" s="9">
        <f t="shared" si="3"/>
        <v>1600</v>
      </c>
      <c r="P40" s="9">
        <f t="shared" si="4"/>
        <v>1920</v>
      </c>
    </row>
    <row r="41">
      <c r="A41" s="10" t="s">
        <v>16</v>
      </c>
      <c r="B41" s="10">
        <v>4320.0</v>
      </c>
      <c r="C41" s="10" t="s">
        <v>17</v>
      </c>
      <c r="D41" s="10" t="s">
        <v>102</v>
      </c>
      <c r="E41" s="14" t="s">
        <v>103</v>
      </c>
      <c r="F41" s="10" t="s">
        <v>104</v>
      </c>
      <c r="G41" s="15"/>
      <c r="H41" s="14">
        <v>33240.0</v>
      </c>
      <c r="I41" s="14">
        <v>44287.0</v>
      </c>
      <c r="J41" s="15"/>
      <c r="K41" s="7">
        <f t="shared" si="1"/>
        <v>31</v>
      </c>
      <c r="L41" s="8">
        <v>45352.0</v>
      </c>
      <c r="M41" s="8">
        <v>45382.0</v>
      </c>
      <c r="N41" s="9">
        <f t="shared" si="2"/>
        <v>320</v>
      </c>
      <c r="O41" s="9">
        <f t="shared" si="3"/>
        <v>1600</v>
      </c>
      <c r="P41" s="9">
        <f t="shared" si="4"/>
        <v>1920</v>
      </c>
    </row>
    <row r="42">
      <c r="A42" s="10" t="s">
        <v>16</v>
      </c>
      <c r="B42" s="10">
        <v>4320.0</v>
      </c>
      <c r="C42" s="10" t="s">
        <v>17</v>
      </c>
      <c r="D42" s="10" t="s">
        <v>255</v>
      </c>
      <c r="E42" s="14" t="s">
        <v>256</v>
      </c>
      <c r="F42" s="10" t="s">
        <v>257</v>
      </c>
      <c r="G42" s="15"/>
      <c r="H42" s="14">
        <v>35173.0</v>
      </c>
      <c r="I42" s="14">
        <v>45264.0</v>
      </c>
      <c r="J42" s="15"/>
      <c r="K42" s="7">
        <f t="shared" si="1"/>
        <v>31</v>
      </c>
      <c r="L42" s="8">
        <v>45352.0</v>
      </c>
      <c r="M42" s="8">
        <v>45382.0</v>
      </c>
      <c r="N42" s="9">
        <f t="shared" si="2"/>
        <v>320</v>
      </c>
      <c r="O42" s="9">
        <f t="shared" si="3"/>
        <v>1600</v>
      </c>
      <c r="P42" s="9">
        <f t="shared" si="4"/>
        <v>1920</v>
      </c>
    </row>
    <row r="43">
      <c r="A43" s="11" t="s">
        <v>16</v>
      </c>
      <c r="B43" s="11">
        <v>4320.0</v>
      </c>
      <c r="C43" s="11" t="s">
        <v>17</v>
      </c>
      <c r="D43" s="11" t="s">
        <v>340</v>
      </c>
      <c r="E43" s="12" t="s">
        <v>341</v>
      </c>
      <c r="F43" s="11" t="s">
        <v>342</v>
      </c>
      <c r="G43" s="13"/>
      <c r="H43" s="12">
        <v>37964.0</v>
      </c>
      <c r="I43" s="12">
        <v>45355.0</v>
      </c>
      <c r="J43" s="13"/>
      <c r="K43" s="7">
        <f t="shared" si="1"/>
        <v>28</v>
      </c>
      <c r="L43" s="8">
        <v>45352.0</v>
      </c>
      <c r="M43" s="8">
        <v>45382.0</v>
      </c>
      <c r="N43" s="9">
        <f t="shared" si="2"/>
        <v>290</v>
      </c>
      <c r="O43" s="9">
        <f t="shared" si="3"/>
        <v>1450</v>
      </c>
      <c r="P43" s="9">
        <f t="shared" si="4"/>
        <v>1740</v>
      </c>
    </row>
    <row r="44">
      <c r="A44" s="10" t="s">
        <v>16</v>
      </c>
      <c r="B44" s="10">
        <v>4320.0</v>
      </c>
      <c r="C44" s="10" t="s">
        <v>17</v>
      </c>
      <c r="D44" s="10" t="s">
        <v>105</v>
      </c>
      <c r="E44" s="14" t="s">
        <v>106</v>
      </c>
      <c r="F44" s="10" t="s">
        <v>107</v>
      </c>
      <c r="G44" s="15"/>
      <c r="H44" s="14">
        <v>37136.0</v>
      </c>
      <c r="I44" s="14">
        <v>45201.0</v>
      </c>
      <c r="J44" s="14"/>
      <c r="K44" s="7">
        <f t="shared" si="1"/>
        <v>31</v>
      </c>
      <c r="L44" s="8">
        <v>45352.0</v>
      </c>
      <c r="M44" s="8">
        <v>45382.0</v>
      </c>
      <c r="N44" s="9">
        <f t="shared" si="2"/>
        <v>320</v>
      </c>
      <c r="O44" s="9">
        <f t="shared" si="3"/>
        <v>1600</v>
      </c>
      <c r="P44" s="9">
        <f t="shared" si="4"/>
        <v>1920</v>
      </c>
    </row>
    <row r="45">
      <c r="A45" s="10" t="s">
        <v>16</v>
      </c>
      <c r="B45" s="10">
        <v>4320.0</v>
      </c>
      <c r="C45" s="10" t="s">
        <v>17</v>
      </c>
      <c r="D45" s="10" t="s">
        <v>108</v>
      </c>
      <c r="E45" s="14" t="s">
        <v>109</v>
      </c>
      <c r="F45" s="10" t="s">
        <v>110</v>
      </c>
      <c r="G45" s="15"/>
      <c r="H45" s="14">
        <v>35943.0</v>
      </c>
      <c r="I45" s="14">
        <v>45215.0</v>
      </c>
      <c r="J45" s="15"/>
      <c r="K45" s="7">
        <f t="shared" si="1"/>
        <v>31</v>
      </c>
      <c r="L45" s="8">
        <v>45352.0</v>
      </c>
      <c r="M45" s="8">
        <v>45382.0</v>
      </c>
      <c r="N45" s="9">
        <f t="shared" si="2"/>
        <v>320</v>
      </c>
      <c r="O45" s="9">
        <f t="shared" si="3"/>
        <v>1600</v>
      </c>
      <c r="P45" s="9">
        <f t="shared" si="4"/>
        <v>1920</v>
      </c>
    </row>
    <row r="46">
      <c r="A46" s="22" t="s">
        <v>16</v>
      </c>
      <c r="B46" s="22">
        <v>4320.0</v>
      </c>
      <c r="C46" s="22" t="s">
        <v>17</v>
      </c>
      <c r="D46" s="22" t="s">
        <v>111</v>
      </c>
      <c r="E46" s="23" t="s">
        <v>112</v>
      </c>
      <c r="F46" s="22" t="s">
        <v>113</v>
      </c>
      <c r="G46" s="24"/>
      <c r="H46" s="23">
        <v>36898.0</v>
      </c>
      <c r="I46" s="23">
        <v>44988.0</v>
      </c>
      <c r="J46" s="24"/>
      <c r="K46" s="25">
        <f t="shared" si="1"/>
        <v>31</v>
      </c>
      <c r="L46" s="26">
        <v>45352.0</v>
      </c>
      <c r="M46" s="26">
        <v>45382.0</v>
      </c>
      <c r="N46" s="27">
        <f t="shared" si="2"/>
        <v>320</v>
      </c>
      <c r="O46" s="27">
        <f t="shared" si="3"/>
        <v>1600</v>
      </c>
      <c r="P46" s="27">
        <f t="shared" si="4"/>
        <v>1920</v>
      </c>
    </row>
    <row r="47">
      <c r="A47" s="10" t="s">
        <v>16</v>
      </c>
      <c r="B47" s="10">
        <v>4320.0</v>
      </c>
      <c r="C47" s="10" t="s">
        <v>17</v>
      </c>
      <c r="D47" s="10" t="s">
        <v>120</v>
      </c>
      <c r="E47" s="14" t="s">
        <v>121</v>
      </c>
      <c r="F47" s="10" t="s">
        <v>122</v>
      </c>
      <c r="G47" s="15"/>
      <c r="H47" s="14">
        <v>36794.0</v>
      </c>
      <c r="I47" s="14">
        <v>44915.0</v>
      </c>
      <c r="J47" s="15"/>
      <c r="K47" s="7">
        <f t="shared" si="1"/>
        <v>31</v>
      </c>
      <c r="L47" s="8">
        <v>45352.0</v>
      </c>
      <c r="M47" s="8">
        <v>45382.0</v>
      </c>
      <c r="N47" s="9">
        <f t="shared" si="2"/>
        <v>320</v>
      </c>
      <c r="O47" s="9">
        <f t="shared" si="3"/>
        <v>1600</v>
      </c>
      <c r="P47" s="9">
        <f t="shared" si="4"/>
        <v>1920</v>
      </c>
    </row>
    <row r="48">
      <c r="A48" s="11" t="s">
        <v>16</v>
      </c>
      <c r="B48" s="11">
        <v>4320.0</v>
      </c>
      <c r="C48" s="11" t="s">
        <v>17</v>
      </c>
      <c r="D48" s="11" t="s">
        <v>123</v>
      </c>
      <c r="E48" s="12" t="s">
        <v>124</v>
      </c>
      <c r="F48" s="11" t="s">
        <v>125</v>
      </c>
      <c r="G48" s="13"/>
      <c r="H48" s="12">
        <v>37149.0</v>
      </c>
      <c r="I48" s="12">
        <v>45124.0</v>
      </c>
      <c r="J48" s="13"/>
      <c r="K48" s="7">
        <f t="shared" si="1"/>
        <v>31</v>
      </c>
      <c r="L48" s="8">
        <v>45352.0</v>
      </c>
      <c r="M48" s="8">
        <v>45382.0</v>
      </c>
      <c r="N48" s="9">
        <f t="shared" si="2"/>
        <v>320</v>
      </c>
      <c r="O48" s="9">
        <f t="shared" si="3"/>
        <v>1600</v>
      </c>
      <c r="P48" s="9">
        <f t="shared" si="4"/>
        <v>1920</v>
      </c>
    </row>
    <row r="49">
      <c r="A49" s="10" t="s">
        <v>16</v>
      </c>
      <c r="B49" s="10">
        <v>4320.0</v>
      </c>
      <c r="C49" s="10" t="s">
        <v>17</v>
      </c>
      <c r="D49" s="11" t="s">
        <v>343</v>
      </c>
      <c r="E49" s="12" t="s">
        <v>344</v>
      </c>
      <c r="F49" s="11" t="s">
        <v>345</v>
      </c>
      <c r="G49" s="13"/>
      <c r="H49" s="12">
        <v>36821.0</v>
      </c>
      <c r="I49" s="12">
        <v>45362.0</v>
      </c>
      <c r="J49" s="13"/>
      <c r="K49" s="7">
        <f t="shared" si="1"/>
        <v>21</v>
      </c>
      <c r="L49" s="8">
        <v>45352.0</v>
      </c>
      <c r="M49" s="8">
        <v>45382.0</v>
      </c>
      <c r="N49" s="9">
        <f t="shared" si="2"/>
        <v>217</v>
      </c>
      <c r="O49" s="9">
        <f t="shared" si="3"/>
        <v>1085</v>
      </c>
      <c r="P49" s="9">
        <f t="shared" si="4"/>
        <v>1302</v>
      </c>
    </row>
    <row r="50">
      <c r="A50" s="10" t="s">
        <v>16</v>
      </c>
      <c r="B50" s="10">
        <v>4320.0</v>
      </c>
      <c r="C50" s="10" t="s">
        <v>17</v>
      </c>
      <c r="D50" s="11" t="s">
        <v>346</v>
      </c>
      <c r="E50" s="12" t="s">
        <v>347</v>
      </c>
      <c r="F50" s="11" t="s">
        <v>348</v>
      </c>
      <c r="G50" s="13"/>
      <c r="H50" s="12">
        <v>36778.0</v>
      </c>
      <c r="I50" s="12">
        <v>45369.0</v>
      </c>
      <c r="J50" s="13"/>
      <c r="K50" s="7">
        <f t="shared" si="1"/>
        <v>14</v>
      </c>
      <c r="L50" s="8">
        <v>45352.0</v>
      </c>
      <c r="M50" s="8">
        <v>45382.0</v>
      </c>
      <c r="N50" s="9">
        <f t="shared" si="2"/>
        <v>145</v>
      </c>
      <c r="O50" s="9">
        <f t="shared" si="3"/>
        <v>725</v>
      </c>
      <c r="P50" s="9">
        <f t="shared" si="4"/>
        <v>870</v>
      </c>
    </row>
    <row r="51">
      <c r="A51" s="11" t="s">
        <v>16</v>
      </c>
      <c r="B51" s="11">
        <v>4320.0</v>
      </c>
      <c r="C51" s="11" t="s">
        <v>17</v>
      </c>
      <c r="D51" s="11" t="s">
        <v>349</v>
      </c>
      <c r="E51" s="12" t="s">
        <v>350</v>
      </c>
      <c r="F51" s="11" t="s">
        <v>351</v>
      </c>
      <c r="G51" s="13"/>
      <c r="H51" s="12">
        <v>37647.0</v>
      </c>
      <c r="I51" s="12">
        <v>45355.0</v>
      </c>
      <c r="J51" s="13"/>
      <c r="K51" s="7">
        <f t="shared" si="1"/>
        <v>28</v>
      </c>
      <c r="L51" s="8">
        <v>45352.0</v>
      </c>
      <c r="M51" s="8">
        <v>45382.0</v>
      </c>
      <c r="N51" s="9">
        <f t="shared" si="2"/>
        <v>290</v>
      </c>
      <c r="O51" s="9">
        <f t="shared" si="3"/>
        <v>1450</v>
      </c>
      <c r="P51" s="9">
        <f t="shared" si="4"/>
        <v>1740</v>
      </c>
    </row>
    <row r="52">
      <c r="A52" s="11" t="s">
        <v>16</v>
      </c>
      <c r="B52" s="11">
        <v>4320.0</v>
      </c>
      <c r="C52" s="11" t="s">
        <v>17</v>
      </c>
      <c r="D52" s="11" t="s">
        <v>141</v>
      </c>
      <c r="E52" s="12" t="s">
        <v>142</v>
      </c>
      <c r="F52" s="11" t="s">
        <v>143</v>
      </c>
      <c r="G52" s="13"/>
      <c r="H52" s="12">
        <v>34300.0</v>
      </c>
      <c r="I52" s="12">
        <v>45183.0</v>
      </c>
      <c r="J52" s="13"/>
      <c r="K52" s="7">
        <f t="shared" si="1"/>
        <v>31</v>
      </c>
      <c r="L52" s="8">
        <v>45352.0</v>
      </c>
      <c r="M52" s="8">
        <v>45382.0</v>
      </c>
      <c r="N52" s="9">
        <f t="shared" si="2"/>
        <v>320</v>
      </c>
      <c r="O52" s="9">
        <f t="shared" si="3"/>
        <v>1600</v>
      </c>
      <c r="P52" s="9">
        <f t="shared" si="4"/>
        <v>1920</v>
      </c>
    </row>
    <row r="53">
      <c r="A53" s="10" t="s">
        <v>16</v>
      </c>
      <c r="B53" s="10">
        <v>4320.0</v>
      </c>
      <c r="C53" s="10" t="s">
        <v>17</v>
      </c>
      <c r="D53" s="10" t="s">
        <v>352</v>
      </c>
      <c r="E53" s="14" t="s">
        <v>353</v>
      </c>
      <c r="F53" s="10" t="s">
        <v>354</v>
      </c>
      <c r="G53" s="15"/>
      <c r="H53" s="14">
        <v>36412.0</v>
      </c>
      <c r="I53" s="14">
        <v>45355.0</v>
      </c>
      <c r="J53" s="15"/>
      <c r="K53" s="7">
        <f t="shared" si="1"/>
        <v>28</v>
      </c>
      <c r="L53" s="8">
        <v>45352.0</v>
      </c>
      <c r="M53" s="8">
        <v>45382.0</v>
      </c>
      <c r="N53" s="9">
        <f t="shared" si="2"/>
        <v>290</v>
      </c>
      <c r="O53" s="9">
        <f t="shared" si="3"/>
        <v>1450</v>
      </c>
      <c r="P53" s="9">
        <f t="shared" si="4"/>
        <v>1740</v>
      </c>
    </row>
    <row r="54">
      <c r="A54" s="29" t="s">
        <v>16</v>
      </c>
      <c r="B54" s="29">
        <v>4320.0</v>
      </c>
      <c r="C54" s="29" t="s">
        <v>17</v>
      </c>
      <c r="D54" s="47" t="s">
        <v>300</v>
      </c>
      <c r="E54" s="30"/>
      <c r="F54" s="29"/>
      <c r="G54" s="31"/>
      <c r="H54" s="30"/>
      <c r="I54" s="30"/>
      <c r="J54" s="30"/>
      <c r="K54" s="32"/>
      <c r="L54" s="33"/>
      <c r="M54" s="33"/>
      <c r="N54" s="34"/>
      <c r="O54" s="34"/>
      <c r="P54" s="34"/>
    </row>
    <row r="55">
      <c r="A55" s="10" t="s">
        <v>16</v>
      </c>
      <c r="B55" s="10">
        <v>4320.0</v>
      </c>
      <c r="C55" s="10" t="s">
        <v>17</v>
      </c>
      <c r="D55" s="10" t="s">
        <v>147</v>
      </c>
      <c r="E55" s="14" t="s">
        <v>148</v>
      </c>
      <c r="F55" s="10" t="s">
        <v>149</v>
      </c>
      <c r="G55" s="15"/>
      <c r="H55" s="14">
        <v>36541.0</v>
      </c>
      <c r="I55" s="14">
        <v>44755.0</v>
      </c>
      <c r="J55" s="14"/>
      <c r="K55" s="7">
        <f t="shared" ref="K55:K81" si="5">MAX(0, MIN(M55, J55) - MAX(L55, I55) + 1)</f>
        <v>31</v>
      </c>
      <c r="L55" s="8">
        <v>45352.0</v>
      </c>
      <c r="M55" s="8">
        <v>45382.0</v>
      </c>
      <c r="N55" s="9">
        <f t="shared" ref="N55:N81" si="6">ROUNDUP(K55/31*320,0)</f>
        <v>320</v>
      </c>
      <c r="O55" s="9">
        <f t="shared" ref="O55:O81" si="7">N55*5</f>
        <v>1600</v>
      </c>
      <c r="P55" s="9">
        <f t="shared" ref="P55:P81" si="8">N55+O55</f>
        <v>1920</v>
      </c>
    </row>
    <row r="56">
      <c r="A56" s="11" t="s">
        <v>16</v>
      </c>
      <c r="B56" s="11">
        <v>4320.0</v>
      </c>
      <c r="C56" s="11" t="s">
        <v>17</v>
      </c>
      <c r="D56" s="11" t="s">
        <v>150</v>
      </c>
      <c r="E56" s="12" t="s">
        <v>151</v>
      </c>
      <c r="F56" s="11" t="s">
        <v>152</v>
      </c>
      <c r="G56" s="13"/>
      <c r="H56" s="12">
        <v>34335.0</v>
      </c>
      <c r="I56" s="12">
        <v>45078.0</v>
      </c>
      <c r="J56" s="12"/>
      <c r="K56" s="7">
        <f t="shared" si="5"/>
        <v>31</v>
      </c>
      <c r="L56" s="8">
        <v>45352.0</v>
      </c>
      <c r="M56" s="8">
        <v>45382.0</v>
      </c>
      <c r="N56" s="9">
        <f t="shared" si="6"/>
        <v>320</v>
      </c>
      <c r="O56" s="9">
        <f t="shared" si="7"/>
        <v>1600</v>
      </c>
      <c r="P56" s="9">
        <f t="shared" si="8"/>
        <v>1920</v>
      </c>
    </row>
    <row r="57">
      <c r="A57" s="10" t="s">
        <v>16</v>
      </c>
      <c r="B57" s="10">
        <v>4320.0</v>
      </c>
      <c r="C57" s="10" t="s">
        <v>17</v>
      </c>
      <c r="D57" s="10" t="s">
        <v>153</v>
      </c>
      <c r="E57" s="14" t="s">
        <v>154</v>
      </c>
      <c r="F57" s="10" t="s">
        <v>155</v>
      </c>
      <c r="G57" s="15"/>
      <c r="H57" s="14">
        <v>31014.0</v>
      </c>
      <c r="I57" s="14">
        <v>44805.0</v>
      </c>
      <c r="J57" s="15"/>
      <c r="K57" s="7">
        <f t="shared" si="5"/>
        <v>31</v>
      </c>
      <c r="L57" s="8">
        <v>45352.0</v>
      </c>
      <c r="M57" s="8">
        <v>45382.0</v>
      </c>
      <c r="N57" s="9">
        <f t="shared" si="6"/>
        <v>320</v>
      </c>
      <c r="O57" s="9">
        <f t="shared" si="7"/>
        <v>1600</v>
      </c>
      <c r="P57" s="9">
        <f t="shared" si="8"/>
        <v>1920</v>
      </c>
    </row>
    <row r="58">
      <c r="A58" s="10" t="s">
        <v>16</v>
      </c>
      <c r="B58" s="10">
        <v>4320.0</v>
      </c>
      <c r="C58" s="10" t="s">
        <v>17</v>
      </c>
      <c r="D58" s="10" t="s">
        <v>273</v>
      </c>
      <c r="E58" s="14" t="s">
        <v>274</v>
      </c>
      <c r="F58" s="10" t="s">
        <v>275</v>
      </c>
      <c r="G58" s="15"/>
      <c r="H58" s="14">
        <v>34522.0</v>
      </c>
      <c r="I58" s="14">
        <v>45292.0</v>
      </c>
      <c r="J58" s="15"/>
      <c r="K58" s="7">
        <f t="shared" si="5"/>
        <v>31</v>
      </c>
      <c r="L58" s="8">
        <v>45352.0</v>
      </c>
      <c r="M58" s="8">
        <v>45382.0</v>
      </c>
      <c r="N58" s="9">
        <f t="shared" si="6"/>
        <v>320</v>
      </c>
      <c r="O58" s="9">
        <f t="shared" si="7"/>
        <v>1600</v>
      </c>
      <c r="P58" s="9">
        <f t="shared" si="8"/>
        <v>1920</v>
      </c>
    </row>
    <row r="59">
      <c r="A59" s="10" t="s">
        <v>16</v>
      </c>
      <c r="B59" s="10">
        <v>4320.0</v>
      </c>
      <c r="C59" s="10" t="s">
        <v>17</v>
      </c>
      <c r="D59" s="10" t="s">
        <v>162</v>
      </c>
      <c r="E59" s="14" t="s">
        <v>163</v>
      </c>
      <c r="F59" s="10" t="s">
        <v>164</v>
      </c>
      <c r="G59" s="15"/>
      <c r="H59" s="14">
        <v>34732.0</v>
      </c>
      <c r="I59" s="14">
        <v>44986.0</v>
      </c>
      <c r="J59" s="15"/>
      <c r="K59" s="7">
        <f t="shared" si="5"/>
        <v>31</v>
      </c>
      <c r="L59" s="8">
        <v>45352.0</v>
      </c>
      <c r="M59" s="8">
        <v>45382.0</v>
      </c>
      <c r="N59" s="9">
        <f t="shared" si="6"/>
        <v>320</v>
      </c>
      <c r="O59" s="9">
        <f t="shared" si="7"/>
        <v>1600</v>
      </c>
      <c r="P59" s="9">
        <f t="shared" si="8"/>
        <v>1920</v>
      </c>
    </row>
    <row r="60">
      <c r="A60" s="22" t="s">
        <v>16</v>
      </c>
      <c r="B60" s="22">
        <v>4320.0</v>
      </c>
      <c r="C60" s="22" t="s">
        <v>17</v>
      </c>
      <c r="D60" s="22" t="s">
        <v>240</v>
      </c>
      <c r="E60" s="23" t="s">
        <v>241</v>
      </c>
      <c r="F60" s="22" t="s">
        <v>242</v>
      </c>
      <c r="G60" s="24"/>
      <c r="H60" s="23">
        <v>33762.0</v>
      </c>
      <c r="I60" s="23">
        <v>45229.0</v>
      </c>
      <c r="J60" s="24"/>
      <c r="K60" s="25">
        <f t="shared" si="5"/>
        <v>31</v>
      </c>
      <c r="L60" s="26">
        <v>45261.0</v>
      </c>
      <c r="M60" s="26">
        <v>45291.0</v>
      </c>
      <c r="N60" s="27">
        <f t="shared" si="6"/>
        <v>320</v>
      </c>
      <c r="O60" s="27">
        <f t="shared" si="7"/>
        <v>1600</v>
      </c>
      <c r="P60" s="27">
        <f t="shared" si="8"/>
        <v>1920</v>
      </c>
    </row>
    <row r="61">
      <c r="A61" s="11" t="s">
        <v>16</v>
      </c>
      <c r="B61" s="11">
        <v>4320.0</v>
      </c>
      <c r="C61" s="11" t="s">
        <v>17</v>
      </c>
      <c r="D61" s="11" t="s">
        <v>355</v>
      </c>
      <c r="E61" s="12" t="s">
        <v>356</v>
      </c>
      <c r="F61" s="11" t="s">
        <v>357</v>
      </c>
      <c r="G61" s="13"/>
      <c r="H61" s="12">
        <v>35395.0</v>
      </c>
      <c r="I61" s="12">
        <v>45376.0</v>
      </c>
      <c r="J61" s="13"/>
      <c r="K61" s="7">
        <f t="shared" si="5"/>
        <v>7</v>
      </c>
      <c r="L61" s="8">
        <v>45352.0</v>
      </c>
      <c r="M61" s="8">
        <v>45382.0</v>
      </c>
      <c r="N61" s="9">
        <f t="shared" si="6"/>
        <v>73</v>
      </c>
      <c r="O61" s="9">
        <f t="shared" si="7"/>
        <v>365</v>
      </c>
      <c r="P61" s="9">
        <f t="shared" si="8"/>
        <v>438</v>
      </c>
    </row>
    <row r="62">
      <c r="A62" s="11" t="s">
        <v>16</v>
      </c>
      <c r="B62" s="11">
        <v>4320.0</v>
      </c>
      <c r="C62" s="11" t="s">
        <v>17</v>
      </c>
      <c r="D62" s="10" t="s">
        <v>358</v>
      </c>
      <c r="E62" s="14" t="s">
        <v>359</v>
      </c>
      <c r="F62" s="10" t="s">
        <v>360</v>
      </c>
      <c r="G62" s="15"/>
      <c r="H62" s="14">
        <v>37397.0</v>
      </c>
      <c r="I62" s="14">
        <v>45377.0</v>
      </c>
      <c r="J62" s="15"/>
      <c r="K62" s="7">
        <f t="shared" si="5"/>
        <v>6</v>
      </c>
      <c r="L62" s="8">
        <v>45352.0</v>
      </c>
      <c r="M62" s="8">
        <v>45382.0</v>
      </c>
      <c r="N62" s="9">
        <f t="shared" si="6"/>
        <v>62</v>
      </c>
      <c r="O62" s="9">
        <f t="shared" si="7"/>
        <v>310</v>
      </c>
      <c r="P62" s="9">
        <f t="shared" si="8"/>
        <v>372</v>
      </c>
    </row>
    <row r="63">
      <c r="A63" s="11" t="s">
        <v>16</v>
      </c>
      <c r="B63" s="11">
        <v>4320.0</v>
      </c>
      <c r="C63" s="11" t="s">
        <v>17</v>
      </c>
      <c r="D63" s="11" t="s">
        <v>276</v>
      </c>
      <c r="E63" s="12" t="s">
        <v>277</v>
      </c>
      <c r="F63" s="11" t="s">
        <v>278</v>
      </c>
      <c r="G63" s="13"/>
      <c r="H63" s="12">
        <v>37479.0</v>
      </c>
      <c r="I63" s="12">
        <v>45320.0</v>
      </c>
      <c r="J63" s="13"/>
      <c r="K63" s="7">
        <f t="shared" si="5"/>
        <v>31</v>
      </c>
      <c r="L63" s="8">
        <v>45352.0</v>
      </c>
      <c r="M63" s="8">
        <v>45382.0</v>
      </c>
      <c r="N63" s="9">
        <f t="shared" si="6"/>
        <v>320</v>
      </c>
      <c r="O63" s="9">
        <f t="shared" si="7"/>
        <v>1600</v>
      </c>
      <c r="P63" s="9">
        <f t="shared" si="8"/>
        <v>1920</v>
      </c>
    </row>
    <row r="64">
      <c r="A64" s="10" t="s">
        <v>16</v>
      </c>
      <c r="B64" s="10">
        <v>4320.0</v>
      </c>
      <c r="C64" s="10" t="s">
        <v>17</v>
      </c>
      <c r="D64" s="11" t="s">
        <v>279</v>
      </c>
      <c r="E64" s="12" t="s">
        <v>280</v>
      </c>
      <c r="F64" s="11" t="s">
        <v>281</v>
      </c>
      <c r="G64" s="13"/>
      <c r="H64" s="12">
        <v>33003.0</v>
      </c>
      <c r="I64" s="12">
        <v>45313.0</v>
      </c>
      <c r="J64" s="13"/>
      <c r="K64" s="7">
        <f t="shared" si="5"/>
        <v>31</v>
      </c>
      <c r="L64" s="8">
        <v>45352.0</v>
      </c>
      <c r="M64" s="8">
        <v>45382.0</v>
      </c>
      <c r="N64" s="9">
        <f t="shared" si="6"/>
        <v>320</v>
      </c>
      <c r="O64" s="9">
        <f t="shared" si="7"/>
        <v>1600</v>
      </c>
      <c r="P64" s="9">
        <f t="shared" si="8"/>
        <v>1920</v>
      </c>
    </row>
    <row r="65">
      <c r="A65" s="11" t="s">
        <v>16</v>
      </c>
      <c r="B65" s="11">
        <v>4320.0</v>
      </c>
      <c r="C65" s="11" t="s">
        <v>17</v>
      </c>
      <c r="D65" s="10" t="s">
        <v>243</v>
      </c>
      <c r="E65" s="14" t="s">
        <v>244</v>
      </c>
      <c r="F65" s="10" t="s">
        <v>245</v>
      </c>
      <c r="G65" s="15"/>
      <c r="H65" s="14">
        <v>36109.0</v>
      </c>
      <c r="I65" s="14">
        <v>45250.0</v>
      </c>
      <c r="J65" s="41"/>
      <c r="K65" s="7">
        <f t="shared" si="5"/>
        <v>31</v>
      </c>
      <c r="L65" s="8">
        <v>45352.0</v>
      </c>
      <c r="M65" s="8">
        <v>45382.0</v>
      </c>
      <c r="N65" s="9">
        <f t="shared" si="6"/>
        <v>320</v>
      </c>
      <c r="O65" s="9">
        <f t="shared" si="7"/>
        <v>1600</v>
      </c>
      <c r="P65" s="9">
        <f t="shared" si="8"/>
        <v>1920</v>
      </c>
    </row>
    <row r="66">
      <c r="A66" s="10" t="s">
        <v>16</v>
      </c>
      <c r="B66" s="10">
        <v>4320.0</v>
      </c>
      <c r="C66" s="10" t="s">
        <v>17</v>
      </c>
      <c r="D66" s="10" t="s">
        <v>177</v>
      </c>
      <c r="E66" s="14" t="s">
        <v>178</v>
      </c>
      <c r="F66" s="10" t="s">
        <v>179</v>
      </c>
      <c r="G66" s="15"/>
      <c r="H66" s="14">
        <v>35976.0</v>
      </c>
      <c r="I66" s="14">
        <v>45042.0</v>
      </c>
      <c r="J66" s="15"/>
      <c r="K66" s="7">
        <f t="shared" si="5"/>
        <v>31</v>
      </c>
      <c r="L66" s="8">
        <v>45352.0</v>
      </c>
      <c r="M66" s="8">
        <v>45382.0</v>
      </c>
      <c r="N66" s="9">
        <f t="shared" si="6"/>
        <v>320</v>
      </c>
      <c r="O66" s="9">
        <f t="shared" si="7"/>
        <v>1600</v>
      </c>
      <c r="P66" s="9">
        <f t="shared" si="8"/>
        <v>1920</v>
      </c>
    </row>
    <row r="67">
      <c r="A67" s="10" t="s">
        <v>16</v>
      </c>
      <c r="B67" s="10">
        <v>4320.0</v>
      </c>
      <c r="C67" s="10" t="s">
        <v>17</v>
      </c>
      <c r="D67" s="10" t="s">
        <v>180</v>
      </c>
      <c r="E67" s="14" t="s">
        <v>181</v>
      </c>
      <c r="F67" s="10" t="s">
        <v>182</v>
      </c>
      <c r="G67" s="15"/>
      <c r="H67" s="14">
        <v>36297.0</v>
      </c>
      <c r="I67" s="14">
        <v>45001.0</v>
      </c>
      <c r="J67" s="14">
        <v>45359.0</v>
      </c>
      <c r="K67" s="7">
        <f t="shared" si="5"/>
        <v>8</v>
      </c>
      <c r="L67" s="8">
        <v>45352.0</v>
      </c>
      <c r="M67" s="8">
        <v>45382.0</v>
      </c>
      <c r="N67" s="9">
        <f t="shared" si="6"/>
        <v>83</v>
      </c>
      <c r="O67" s="9">
        <f t="shared" si="7"/>
        <v>415</v>
      </c>
      <c r="P67" s="9">
        <f t="shared" si="8"/>
        <v>498</v>
      </c>
    </row>
    <row r="68">
      <c r="A68" s="11" t="s">
        <v>16</v>
      </c>
      <c r="B68" s="11">
        <v>4320.0</v>
      </c>
      <c r="C68" s="11" t="s">
        <v>17</v>
      </c>
      <c r="D68" s="11" t="s">
        <v>183</v>
      </c>
      <c r="E68" s="12" t="s">
        <v>184</v>
      </c>
      <c r="F68" s="11" t="s">
        <v>185</v>
      </c>
      <c r="G68" s="13"/>
      <c r="H68" s="12">
        <v>36979.0</v>
      </c>
      <c r="I68" s="12">
        <v>44907.0</v>
      </c>
      <c r="J68" s="13"/>
      <c r="K68" s="7">
        <f t="shared" si="5"/>
        <v>31</v>
      </c>
      <c r="L68" s="8">
        <v>45352.0</v>
      </c>
      <c r="M68" s="8">
        <v>45382.0</v>
      </c>
      <c r="N68" s="9">
        <f t="shared" si="6"/>
        <v>320</v>
      </c>
      <c r="O68" s="9">
        <f t="shared" si="7"/>
        <v>1600</v>
      </c>
      <c r="P68" s="9">
        <f t="shared" si="8"/>
        <v>1920</v>
      </c>
    </row>
    <row r="69">
      <c r="A69" s="10" t="s">
        <v>16</v>
      </c>
      <c r="B69" s="10">
        <v>4320.0</v>
      </c>
      <c r="C69" s="10" t="s">
        <v>17</v>
      </c>
      <c r="D69" s="10" t="s">
        <v>189</v>
      </c>
      <c r="E69" s="14" t="s">
        <v>190</v>
      </c>
      <c r="F69" s="10" t="s">
        <v>191</v>
      </c>
      <c r="G69" s="15"/>
      <c r="H69" s="14">
        <v>36421.0</v>
      </c>
      <c r="I69" s="14">
        <v>45208.0</v>
      </c>
      <c r="J69" s="15"/>
      <c r="K69" s="7">
        <f t="shared" si="5"/>
        <v>31</v>
      </c>
      <c r="L69" s="8">
        <v>45352.0</v>
      </c>
      <c r="M69" s="8">
        <v>45382.0</v>
      </c>
      <c r="N69" s="9">
        <f t="shared" si="6"/>
        <v>320</v>
      </c>
      <c r="O69" s="9">
        <f t="shared" si="7"/>
        <v>1600</v>
      </c>
      <c r="P69" s="9">
        <f t="shared" si="8"/>
        <v>1920</v>
      </c>
    </row>
    <row r="70">
      <c r="A70" s="11" t="s">
        <v>16</v>
      </c>
      <c r="B70" s="11">
        <v>4320.0</v>
      </c>
      <c r="C70" s="11" t="s">
        <v>17</v>
      </c>
      <c r="D70" s="11" t="s">
        <v>258</v>
      </c>
      <c r="E70" s="12" t="s">
        <v>259</v>
      </c>
      <c r="F70" s="11" t="s">
        <v>260</v>
      </c>
      <c r="G70" s="13"/>
      <c r="H70" s="12">
        <v>35447.0</v>
      </c>
      <c r="I70" s="12">
        <v>45273.0</v>
      </c>
      <c r="J70" s="13"/>
      <c r="K70" s="7">
        <f t="shared" si="5"/>
        <v>31</v>
      </c>
      <c r="L70" s="8">
        <v>45352.0</v>
      </c>
      <c r="M70" s="8">
        <v>45382.0</v>
      </c>
      <c r="N70" s="9">
        <f t="shared" si="6"/>
        <v>320</v>
      </c>
      <c r="O70" s="9">
        <f t="shared" si="7"/>
        <v>1600</v>
      </c>
      <c r="P70" s="9">
        <f t="shared" si="8"/>
        <v>1920</v>
      </c>
    </row>
    <row r="71">
      <c r="A71" s="11" t="s">
        <v>16</v>
      </c>
      <c r="B71" s="11">
        <v>4320.0</v>
      </c>
      <c r="C71" s="11" t="s">
        <v>17</v>
      </c>
      <c r="D71" s="11" t="s">
        <v>201</v>
      </c>
      <c r="E71" s="12" t="s">
        <v>202</v>
      </c>
      <c r="F71" s="11" t="s">
        <v>203</v>
      </c>
      <c r="G71" s="13"/>
      <c r="H71" s="12">
        <v>36574.0</v>
      </c>
      <c r="I71" s="12">
        <v>45187.0</v>
      </c>
      <c r="J71" s="13"/>
      <c r="K71" s="7">
        <f t="shared" si="5"/>
        <v>31</v>
      </c>
      <c r="L71" s="8">
        <v>45352.0</v>
      </c>
      <c r="M71" s="8">
        <v>45382.0</v>
      </c>
      <c r="N71" s="9">
        <f t="shared" si="6"/>
        <v>320</v>
      </c>
      <c r="O71" s="9">
        <f t="shared" si="7"/>
        <v>1600</v>
      </c>
      <c r="P71" s="9">
        <f t="shared" si="8"/>
        <v>1920</v>
      </c>
    </row>
    <row r="72">
      <c r="A72" s="11" t="s">
        <v>16</v>
      </c>
      <c r="B72" s="11">
        <v>4320.0</v>
      </c>
      <c r="C72" s="11" t="s">
        <v>17</v>
      </c>
      <c r="D72" s="11" t="s">
        <v>301</v>
      </c>
      <c r="E72" s="12" t="s">
        <v>302</v>
      </c>
      <c r="F72" s="11" t="s">
        <v>303</v>
      </c>
      <c r="G72" s="13"/>
      <c r="H72" s="12">
        <v>36991.0</v>
      </c>
      <c r="I72" s="12">
        <v>45205.0</v>
      </c>
      <c r="J72" s="13"/>
      <c r="K72" s="7">
        <f t="shared" si="5"/>
        <v>31</v>
      </c>
      <c r="L72" s="8">
        <v>45352.0</v>
      </c>
      <c r="M72" s="8">
        <v>45382.0</v>
      </c>
      <c r="N72" s="9">
        <f t="shared" si="6"/>
        <v>320</v>
      </c>
      <c r="O72" s="9">
        <f t="shared" si="7"/>
        <v>1600</v>
      </c>
      <c r="P72" s="9">
        <f t="shared" si="8"/>
        <v>1920</v>
      </c>
    </row>
    <row r="73">
      <c r="A73" s="11" t="s">
        <v>16</v>
      </c>
      <c r="B73" s="11">
        <v>4320.0</v>
      </c>
      <c r="C73" s="11" t="s">
        <v>17</v>
      </c>
      <c r="D73" s="11" t="s">
        <v>207</v>
      </c>
      <c r="E73" s="12" t="s">
        <v>208</v>
      </c>
      <c r="F73" s="11" t="s">
        <v>209</v>
      </c>
      <c r="G73" s="13"/>
      <c r="H73" s="12">
        <v>33156.0</v>
      </c>
      <c r="I73" s="12">
        <v>44285.0</v>
      </c>
      <c r="J73" s="13"/>
      <c r="K73" s="7">
        <f t="shared" si="5"/>
        <v>31</v>
      </c>
      <c r="L73" s="8">
        <v>45352.0</v>
      </c>
      <c r="M73" s="8">
        <v>45382.0</v>
      </c>
      <c r="N73" s="9">
        <f t="shared" si="6"/>
        <v>320</v>
      </c>
      <c r="O73" s="9">
        <f t="shared" si="7"/>
        <v>1600</v>
      </c>
      <c r="P73" s="9">
        <f t="shared" si="8"/>
        <v>1920</v>
      </c>
    </row>
    <row r="74">
      <c r="A74" s="11" t="s">
        <v>16</v>
      </c>
      <c r="B74" s="11">
        <v>4320.0</v>
      </c>
      <c r="C74" s="11" t="s">
        <v>17</v>
      </c>
      <c r="D74" s="10" t="s">
        <v>304</v>
      </c>
      <c r="E74" s="14" t="s">
        <v>305</v>
      </c>
      <c r="F74" s="10" t="s">
        <v>306</v>
      </c>
      <c r="G74" s="15"/>
      <c r="H74" s="14">
        <v>35697.0</v>
      </c>
      <c r="I74" s="14">
        <v>45348.0</v>
      </c>
      <c r="J74" s="15"/>
      <c r="K74" s="7">
        <f t="shared" si="5"/>
        <v>31</v>
      </c>
      <c r="L74" s="8">
        <v>45352.0</v>
      </c>
      <c r="M74" s="8">
        <v>45382.0</v>
      </c>
      <c r="N74" s="9">
        <f t="shared" si="6"/>
        <v>320</v>
      </c>
      <c r="O74" s="9">
        <f t="shared" si="7"/>
        <v>1600</v>
      </c>
      <c r="P74" s="9">
        <f t="shared" si="8"/>
        <v>1920</v>
      </c>
    </row>
    <row r="75">
      <c r="A75" s="10" t="s">
        <v>16</v>
      </c>
      <c r="B75" s="10">
        <v>4320.0</v>
      </c>
      <c r="C75" s="10" t="s">
        <v>17</v>
      </c>
      <c r="D75" s="10" t="s">
        <v>213</v>
      </c>
      <c r="E75" s="14" t="s">
        <v>214</v>
      </c>
      <c r="F75" s="10" t="s">
        <v>215</v>
      </c>
      <c r="G75" s="15"/>
      <c r="H75" s="14">
        <v>36797.0</v>
      </c>
      <c r="I75" s="28">
        <v>44886.0</v>
      </c>
      <c r="J75" s="38"/>
      <c r="K75" s="7">
        <f t="shared" si="5"/>
        <v>31</v>
      </c>
      <c r="L75" s="8">
        <v>45352.0</v>
      </c>
      <c r="M75" s="8">
        <v>45382.0</v>
      </c>
      <c r="N75" s="9">
        <f t="shared" si="6"/>
        <v>320</v>
      </c>
      <c r="O75" s="9">
        <f t="shared" si="7"/>
        <v>1600</v>
      </c>
      <c r="P75" s="9">
        <f t="shared" si="8"/>
        <v>1920</v>
      </c>
    </row>
    <row r="76">
      <c r="A76" s="10" t="s">
        <v>16</v>
      </c>
      <c r="B76" s="10">
        <v>4320.0</v>
      </c>
      <c r="C76" s="10" t="s">
        <v>17</v>
      </c>
      <c r="D76" s="10" t="s">
        <v>216</v>
      </c>
      <c r="E76" s="14" t="s">
        <v>217</v>
      </c>
      <c r="F76" s="10" t="s">
        <v>218</v>
      </c>
      <c r="G76" s="15"/>
      <c r="H76" s="14">
        <v>33769.0</v>
      </c>
      <c r="I76" s="14">
        <v>44816.0</v>
      </c>
      <c r="J76" s="15"/>
      <c r="K76" s="7">
        <f t="shared" si="5"/>
        <v>31</v>
      </c>
      <c r="L76" s="8">
        <v>45352.0</v>
      </c>
      <c r="M76" s="8">
        <v>45382.0</v>
      </c>
      <c r="N76" s="9">
        <f t="shared" si="6"/>
        <v>320</v>
      </c>
      <c r="O76" s="9">
        <f t="shared" si="7"/>
        <v>1600</v>
      </c>
      <c r="P76" s="9">
        <f t="shared" si="8"/>
        <v>1920</v>
      </c>
    </row>
    <row r="77">
      <c r="A77" s="11" t="s">
        <v>16</v>
      </c>
      <c r="B77" s="11">
        <v>4320.0</v>
      </c>
      <c r="C77" s="11" t="s">
        <v>17</v>
      </c>
      <c r="D77" s="37" t="s">
        <v>219</v>
      </c>
      <c r="E77" s="12" t="s">
        <v>220</v>
      </c>
      <c r="F77" s="11" t="s">
        <v>221</v>
      </c>
      <c r="G77" s="13"/>
      <c r="H77" s="12">
        <v>36408.0</v>
      </c>
      <c r="I77" s="12">
        <v>45173.0</v>
      </c>
      <c r="J77" s="12"/>
      <c r="K77" s="7">
        <f t="shared" si="5"/>
        <v>31</v>
      </c>
      <c r="L77" s="8">
        <v>45352.0</v>
      </c>
      <c r="M77" s="8">
        <v>45382.0</v>
      </c>
      <c r="N77" s="9">
        <f t="shared" si="6"/>
        <v>320</v>
      </c>
      <c r="O77" s="9">
        <f t="shared" si="7"/>
        <v>1600</v>
      </c>
      <c r="P77" s="9">
        <f t="shared" si="8"/>
        <v>1920</v>
      </c>
    </row>
    <row r="78">
      <c r="A78" s="10" t="s">
        <v>16</v>
      </c>
      <c r="B78" s="10">
        <v>4320.0</v>
      </c>
      <c r="C78" s="10" t="s">
        <v>17</v>
      </c>
      <c r="D78" s="10" t="s">
        <v>222</v>
      </c>
      <c r="E78" s="14" t="s">
        <v>223</v>
      </c>
      <c r="F78" s="10" t="s">
        <v>224</v>
      </c>
      <c r="G78" s="15"/>
      <c r="H78" s="14">
        <v>35818.0</v>
      </c>
      <c r="I78" s="14">
        <v>45089.0</v>
      </c>
      <c r="J78" s="15"/>
      <c r="K78" s="7">
        <f t="shared" si="5"/>
        <v>31</v>
      </c>
      <c r="L78" s="8">
        <v>45352.0</v>
      </c>
      <c r="M78" s="8">
        <v>45382.0</v>
      </c>
      <c r="N78" s="9">
        <f t="shared" si="6"/>
        <v>320</v>
      </c>
      <c r="O78" s="9">
        <f t="shared" si="7"/>
        <v>1600</v>
      </c>
      <c r="P78" s="9">
        <f t="shared" si="8"/>
        <v>1920</v>
      </c>
    </row>
    <row r="79">
      <c r="A79" s="10" t="s">
        <v>16</v>
      </c>
      <c r="B79" s="10">
        <v>4320.0</v>
      </c>
      <c r="C79" s="10" t="s">
        <v>17</v>
      </c>
      <c r="D79" s="10" t="s">
        <v>225</v>
      </c>
      <c r="E79" s="14" t="s">
        <v>226</v>
      </c>
      <c r="F79" s="10" t="s">
        <v>227</v>
      </c>
      <c r="G79" s="15"/>
      <c r="H79" s="14">
        <v>36177.0</v>
      </c>
      <c r="I79" s="14">
        <v>45320.0</v>
      </c>
      <c r="J79" s="15"/>
      <c r="K79" s="7">
        <f t="shared" si="5"/>
        <v>31</v>
      </c>
      <c r="L79" s="8">
        <v>45352.0</v>
      </c>
      <c r="M79" s="8">
        <v>45382.0</v>
      </c>
      <c r="N79" s="9">
        <f t="shared" si="6"/>
        <v>320</v>
      </c>
      <c r="O79" s="9">
        <f t="shared" si="7"/>
        <v>1600</v>
      </c>
      <c r="P79" s="9">
        <f t="shared" si="8"/>
        <v>1920</v>
      </c>
    </row>
    <row r="80">
      <c r="A80" s="11" t="s">
        <v>16</v>
      </c>
      <c r="B80" s="11">
        <v>4320.0</v>
      </c>
      <c r="C80" s="11" t="s">
        <v>17</v>
      </c>
      <c r="D80" s="11" t="s">
        <v>307</v>
      </c>
      <c r="E80" s="12" t="s">
        <v>308</v>
      </c>
      <c r="F80" s="11" t="s">
        <v>309</v>
      </c>
      <c r="G80" s="13"/>
      <c r="H80" s="12">
        <v>36522.0</v>
      </c>
      <c r="I80" s="12">
        <v>45328.0</v>
      </c>
      <c r="J80" s="13"/>
      <c r="K80" s="7">
        <f t="shared" si="5"/>
        <v>31</v>
      </c>
      <c r="L80" s="8">
        <v>45352.0</v>
      </c>
      <c r="M80" s="8">
        <v>45382.0</v>
      </c>
      <c r="N80" s="9">
        <f t="shared" si="6"/>
        <v>320</v>
      </c>
      <c r="O80" s="9">
        <f t="shared" si="7"/>
        <v>1600</v>
      </c>
      <c r="P80" s="9">
        <f t="shared" si="8"/>
        <v>1920</v>
      </c>
    </row>
    <row r="81">
      <c r="A81" s="11" t="s">
        <v>16</v>
      </c>
      <c r="B81" s="11">
        <v>4320.0</v>
      </c>
      <c r="C81" s="11" t="s">
        <v>17</v>
      </c>
      <c r="D81" s="11" t="s">
        <v>228</v>
      </c>
      <c r="E81" s="12" t="s">
        <v>229</v>
      </c>
      <c r="F81" s="11" t="s">
        <v>230</v>
      </c>
      <c r="G81" s="13"/>
      <c r="H81" s="12">
        <v>35743.0</v>
      </c>
      <c r="I81" s="12">
        <v>45222.0</v>
      </c>
      <c r="J81" s="13"/>
      <c r="K81" s="7">
        <f t="shared" si="5"/>
        <v>31</v>
      </c>
      <c r="L81" s="8">
        <v>45352.0</v>
      </c>
      <c r="M81" s="8">
        <v>45382.0</v>
      </c>
      <c r="N81" s="9">
        <f t="shared" si="6"/>
        <v>320</v>
      </c>
      <c r="O81" s="9">
        <f t="shared" si="7"/>
        <v>1600</v>
      </c>
      <c r="P81" s="9">
        <f t="shared" si="8"/>
        <v>1920</v>
      </c>
    </row>
    <row r="82">
      <c r="P82" s="40">
        <f>sum(P2:P81)</f>
        <v>134466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75"/>
  </cols>
  <sheetData>
    <row r="1">
      <c r="A1" s="1" t="s">
        <v>0</v>
      </c>
      <c r="B1" s="1" t="s">
        <v>1</v>
      </c>
      <c r="C1" s="1" t="s">
        <v>2</v>
      </c>
      <c r="D1" s="1" t="s">
        <v>3</v>
      </c>
      <c r="E1" s="1" t="s">
        <v>4</v>
      </c>
      <c r="F1" s="2" t="s">
        <v>5</v>
      </c>
      <c r="G1" s="1" t="s">
        <v>6</v>
      </c>
      <c r="H1" s="1" t="s">
        <v>7</v>
      </c>
      <c r="I1" s="2" t="s">
        <v>8</v>
      </c>
      <c r="J1" s="2" t="s">
        <v>9</v>
      </c>
      <c r="K1" s="3" t="s">
        <v>10</v>
      </c>
      <c r="L1" s="3" t="s">
        <v>11</v>
      </c>
      <c r="M1" s="3" t="s">
        <v>12</v>
      </c>
      <c r="N1" s="3" t="s">
        <v>13</v>
      </c>
      <c r="O1" s="3" t="s">
        <v>14</v>
      </c>
      <c r="P1" s="3" t="s">
        <v>15</v>
      </c>
    </row>
    <row r="2">
      <c r="A2" s="10" t="s">
        <v>16</v>
      </c>
      <c r="B2" s="10">
        <v>4320.0</v>
      </c>
      <c r="C2" s="10" t="s">
        <v>17</v>
      </c>
      <c r="D2" s="10" t="s">
        <v>261</v>
      </c>
      <c r="E2" s="14" t="s">
        <v>262</v>
      </c>
      <c r="F2" s="10" t="s">
        <v>263</v>
      </c>
      <c r="G2" s="15"/>
      <c r="H2" s="14">
        <v>36617.0</v>
      </c>
      <c r="I2" s="14">
        <v>45299.0</v>
      </c>
      <c r="J2" s="15"/>
      <c r="K2" s="16">
        <f t="shared" ref="K2:K56" si="1">MAX(0, MIN(M2, J2) - MAX(L2, I2) + 1)</f>
        <v>30</v>
      </c>
      <c r="L2" s="17">
        <v>45383.0</v>
      </c>
      <c r="M2" s="17">
        <v>45412.0</v>
      </c>
      <c r="N2" s="18">
        <f t="shared" ref="N2:N56" si="2">ROUNDUP(K2/30*320,0)</f>
        <v>320</v>
      </c>
      <c r="O2" s="18">
        <f t="shared" ref="O2:O56" si="3">N2*5</f>
        <v>1600</v>
      </c>
      <c r="P2" s="18">
        <f t="shared" ref="P2:P56" si="4">N2+O2</f>
        <v>1920</v>
      </c>
    </row>
    <row r="3">
      <c r="A3" s="10" t="s">
        <v>16</v>
      </c>
      <c r="B3" s="10">
        <v>4320.0</v>
      </c>
      <c r="C3" s="10" t="s">
        <v>17</v>
      </c>
      <c r="D3" s="20" t="s">
        <v>361</v>
      </c>
      <c r="E3" s="14" t="s">
        <v>362</v>
      </c>
      <c r="F3" s="20" t="s">
        <v>363</v>
      </c>
      <c r="G3" s="15"/>
      <c r="H3" s="14">
        <v>37149.0</v>
      </c>
      <c r="I3" s="14">
        <v>45397.0</v>
      </c>
      <c r="J3" s="15"/>
      <c r="K3" s="7">
        <f t="shared" si="1"/>
        <v>16</v>
      </c>
      <c r="L3" s="8">
        <v>45383.0</v>
      </c>
      <c r="M3" s="8">
        <v>45412.0</v>
      </c>
      <c r="N3" s="9">
        <f t="shared" si="2"/>
        <v>171</v>
      </c>
      <c r="O3" s="9">
        <f t="shared" si="3"/>
        <v>855</v>
      </c>
      <c r="P3" s="9">
        <f t="shared" si="4"/>
        <v>1026</v>
      </c>
    </row>
    <row r="4">
      <c r="A4" s="10" t="s">
        <v>16</v>
      </c>
      <c r="B4" s="10">
        <v>4320.0</v>
      </c>
      <c r="C4" s="10" t="s">
        <v>17</v>
      </c>
      <c r="D4" s="10" t="s">
        <v>310</v>
      </c>
      <c r="E4" s="14" t="s">
        <v>311</v>
      </c>
      <c r="F4" s="10" t="s">
        <v>312</v>
      </c>
      <c r="G4" s="15"/>
      <c r="H4" s="14">
        <v>37282.0</v>
      </c>
      <c r="I4" s="14">
        <v>45362.0</v>
      </c>
      <c r="J4" s="15"/>
      <c r="K4" s="7">
        <f t="shared" si="1"/>
        <v>30</v>
      </c>
      <c r="L4" s="8">
        <v>45383.0</v>
      </c>
      <c r="M4" s="8">
        <v>45412.0</v>
      </c>
      <c r="N4" s="9">
        <f t="shared" si="2"/>
        <v>320</v>
      </c>
      <c r="O4" s="9">
        <f t="shared" si="3"/>
        <v>1600</v>
      </c>
      <c r="P4" s="9">
        <f t="shared" si="4"/>
        <v>1920</v>
      </c>
    </row>
    <row r="5">
      <c r="A5" s="10" t="s">
        <v>16</v>
      </c>
      <c r="B5" s="10">
        <v>4320.0</v>
      </c>
      <c r="C5" s="10" t="s">
        <v>17</v>
      </c>
      <c r="D5" s="11" t="s">
        <v>21</v>
      </c>
      <c r="E5" s="12" t="s">
        <v>22</v>
      </c>
      <c r="F5" s="11" t="s">
        <v>23</v>
      </c>
      <c r="G5" s="13"/>
      <c r="H5" s="12">
        <v>36358.0</v>
      </c>
      <c r="I5" s="12">
        <v>45027.0</v>
      </c>
      <c r="J5" s="13"/>
      <c r="K5" s="7">
        <f t="shared" si="1"/>
        <v>30</v>
      </c>
      <c r="L5" s="8">
        <v>45383.0</v>
      </c>
      <c r="M5" s="8">
        <v>45412.0</v>
      </c>
      <c r="N5" s="9">
        <f t="shared" si="2"/>
        <v>320</v>
      </c>
      <c r="O5" s="9">
        <f t="shared" si="3"/>
        <v>1600</v>
      </c>
      <c r="P5" s="9">
        <f t="shared" si="4"/>
        <v>1920</v>
      </c>
    </row>
    <row r="6">
      <c r="A6" s="11" t="s">
        <v>16</v>
      </c>
      <c r="B6" s="11">
        <v>4320.0</v>
      </c>
      <c r="C6" s="11" t="s">
        <v>17</v>
      </c>
      <c r="D6" s="10" t="s">
        <v>24</v>
      </c>
      <c r="E6" s="14" t="s">
        <v>25</v>
      </c>
      <c r="F6" s="10" t="s">
        <v>26</v>
      </c>
      <c r="G6" s="15"/>
      <c r="H6" s="14">
        <v>36860.0</v>
      </c>
      <c r="I6" s="14">
        <v>45124.0</v>
      </c>
      <c r="J6" s="15"/>
      <c r="K6" s="7">
        <f t="shared" si="1"/>
        <v>30</v>
      </c>
      <c r="L6" s="8">
        <v>45383.0</v>
      </c>
      <c r="M6" s="8">
        <v>45412.0</v>
      </c>
      <c r="N6" s="9">
        <f t="shared" si="2"/>
        <v>320</v>
      </c>
      <c r="O6" s="9">
        <f t="shared" si="3"/>
        <v>1600</v>
      </c>
      <c r="P6" s="9">
        <f t="shared" si="4"/>
        <v>1920</v>
      </c>
    </row>
    <row r="7">
      <c r="A7" s="11" t="s">
        <v>16</v>
      </c>
      <c r="B7" s="11">
        <v>4320.0</v>
      </c>
      <c r="C7" s="11" t="s">
        <v>17</v>
      </c>
      <c r="D7" s="11" t="s">
        <v>313</v>
      </c>
      <c r="E7" s="12" t="s">
        <v>314</v>
      </c>
      <c r="F7" s="11" t="s">
        <v>315</v>
      </c>
      <c r="G7" s="13"/>
      <c r="H7" s="12">
        <v>35619.0</v>
      </c>
      <c r="I7" s="12">
        <v>45369.0</v>
      </c>
      <c r="J7" s="12">
        <v>45399.0</v>
      </c>
      <c r="K7" s="7">
        <f t="shared" si="1"/>
        <v>17</v>
      </c>
      <c r="L7" s="8">
        <v>45383.0</v>
      </c>
      <c r="M7" s="8">
        <v>45412.0</v>
      </c>
      <c r="N7" s="9">
        <f t="shared" si="2"/>
        <v>182</v>
      </c>
      <c r="O7" s="9">
        <f t="shared" si="3"/>
        <v>910</v>
      </c>
      <c r="P7" s="9">
        <f t="shared" si="4"/>
        <v>1092</v>
      </c>
    </row>
    <row r="8">
      <c r="A8" s="10" t="s">
        <v>16</v>
      </c>
      <c r="B8" s="10">
        <v>4320.0</v>
      </c>
      <c r="C8" s="10" t="s">
        <v>17</v>
      </c>
      <c r="D8" s="11" t="s">
        <v>30</v>
      </c>
      <c r="E8" s="12" t="s">
        <v>31</v>
      </c>
      <c r="F8" s="11" t="s">
        <v>32</v>
      </c>
      <c r="G8" s="13"/>
      <c r="H8" s="12">
        <v>35997.0</v>
      </c>
      <c r="I8" s="12">
        <v>45061.0</v>
      </c>
      <c r="J8" s="13"/>
      <c r="K8" s="7">
        <f t="shared" si="1"/>
        <v>30</v>
      </c>
      <c r="L8" s="8">
        <v>45383.0</v>
      </c>
      <c r="M8" s="8">
        <v>45412.0</v>
      </c>
      <c r="N8" s="9">
        <f t="shared" si="2"/>
        <v>320</v>
      </c>
      <c r="O8" s="9">
        <f t="shared" si="3"/>
        <v>1600</v>
      </c>
      <c r="P8" s="9">
        <f t="shared" si="4"/>
        <v>1920</v>
      </c>
    </row>
    <row r="9">
      <c r="A9" s="11" t="s">
        <v>16</v>
      </c>
      <c r="B9" s="11">
        <v>4320.0</v>
      </c>
      <c r="C9" s="11" t="s">
        <v>17</v>
      </c>
      <c r="D9" s="11" t="s">
        <v>246</v>
      </c>
      <c r="E9" s="12" t="s">
        <v>247</v>
      </c>
      <c r="F9" s="11" t="s">
        <v>248</v>
      </c>
      <c r="G9" s="13"/>
      <c r="H9" s="12">
        <v>36353.0</v>
      </c>
      <c r="I9" s="12">
        <v>45278.0</v>
      </c>
      <c r="J9" s="13"/>
      <c r="K9" s="7">
        <f t="shared" si="1"/>
        <v>30</v>
      </c>
      <c r="L9" s="8">
        <v>45383.0</v>
      </c>
      <c r="M9" s="8">
        <v>45412.0</v>
      </c>
      <c r="N9" s="9">
        <f t="shared" si="2"/>
        <v>320</v>
      </c>
      <c r="O9" s="9">
        <f t="shared" si="3"/>
        <v>1600</v>
      </c>
      <c r="P9" s="9">
        <f t="shared" si="4"/>
        <v>1920</v>
      </c>
    </row>
    <row r="10">
      <c r="A10" s="11" t="s">
        <v>16</v>
      </c>
      <c r="B10" s="11">
        <v>4320.0</v>
      </c>
      <c r="C10" s="11" t="s">
        <v>17</v>
      </c>
      <c r="D10" s="11" t="s">
        <v>231</v>
      </c>
      <c r="E10" s="12" t="s">
        <v>232</v>
      </c>
      <c r="F10" s="11" t="s">
        <v>233</v>
      </c>
      <c r="G10" s="13"/>
      <c r="H10" s="12">
        <v>36634.0</v>
      </c>
      <c r="I10" s="12">
        <v>45251.0</v>
      </c>
      <c r="J10" s="13"/>
      <c r="K10" s="7">
        <f t="shared" si="1"/>
        <v>30</v>
      </c>
      <c r="L10" s="8">
        <v>45383.0</v>
      </c>
      <c r="M10" s="8">
        <v>45412.0</v>
      </c>
      <c r="N10" s="9">
        <f t="shared" si="2"/>
        <v>320</v>
      </c>
      <c r="O10" s="9">
        <f t="shared" si="3"/>
        <v>1600</v>
      </c>
      <c r="P10" s="9">
        <f t="shared" si="4"/>
        <v>1920</v>
      </c>
    </row>
    <row r="11">
      <c r="A11" s="11" t="s">
        <v>16</v>
      </c>
      <c r="B11" s="11">
        <v>4320.0</v>
      </c>
      <c r="C11" s="11" t="s">
        <v>17</v>
      </c>
      <c r="D11" s="35" t="s">
        <v>364</v>
      </c>
      <c r="E11" s="12" t="s">
        <v>365</v>
      </c>
      <c r="F11" s="35" t="s">
        <v>366</v>
      </c>
      <c r="G11" s="13"/>
      <c r="H11" s="12">
        <v>36703.0</v>
      </c>
      <c r="I11" s="12">
        <v>45411.0</v>
      </c>
      <c r="J11" s="12">
        <v>45432.0</v>
      </c>
      <c r="K11" s="7">
        <f t="shared" si="1"/>
        <v>2</v>
      </c>
      <c r="L11" s="8">
        <v>45383.0</v>
      </c>
      <c r="M11" s="8">
        <v>45412.0</v>
      </c>
      <c r="N11" s="9">
        <f t="shared" si="2"/>
        <v>22</v>
      </c>
      <c r="O11" s="9">
        <f t="shared" si="3"/>
        <v>110</v>
      </c>
      <c r="P11" s="9">
        <f t="shared" si="4"/>
        <v>132</v>
      </c>
    </row>
    <row r="12">
      <c r="A12" s="11" t="s">
        <v>16</v>
      </c>
      <c r="B12" s="11">
        <v>4320.0</v>
      </c>
      <c r="C12" s="11" t="s">
        <v>17</v>
      </c>
      <c r="D12" s="11" t="s">
        <v>316</v>
      </c>
      <c r="E12" s="12" t="s">
        <v>317</v>
      </c>
      <c r="F12" s="11" t="s">
        <v>318</v>
      </c>
      <c r="G12" s="13"/>
      <c r="H12" s="12">
        <v>37274.0</v>
      </c>
      <c r="I12" s="12">
        <v>45362.0</v>
      </c>
      <c r="J12" s="13"/>
      <c r="K12" s="7">
        <f t="shared" si="1"/>
        <v>30</v>
      </c>
      <c r="L12" s="8">
        <v>45383.0</v>
      </c>
      <c r="M12" s="8">
        <v>45412.0</v>
      </c>
      <c r="N12" s="9">
        <f t="shared" si="2"/>
        <v>320</v>
      </c>
      <c r="O12" s="9">
        <f t="shared" si="3"/>
        <v>1600</v>
      </c>
      <c r="P12" s="9">
        <f t="shared" si="4"/>
        <v>1920</v>
      </c>
    </row>
    <row r="13">
      <c r="A13" s="11" t="s">
        <v>16</v>
      </c>
      <c r="B13" s="11">
        <v>4320.0</v>
      </c>
      <c r="C13" s="11" t="s">
        <v>17</v>
      </c>
      <c r="D13" s="10" t="s">
        <v>264</v>
      </c>
      <c r="E13" s="14" t="s">
        <v>265</v>
      </c>
      <c r="F13" s="10" t="s">
        <v>266</v>
      </c>
      <c r="G13" s="15"/>
      <c r="H13" s="14">
        <v>37398.0</v>
      </c>
      <c r="I13" s="14">
        <v>45096.0</v>
      </c>
      <c r="J13" s="15"/>
      <c r="K13" s="7">
        <f t="shared" si="1"/>
        <v>30</v>
      </c>
      <c r="L13" s="8">
        <v>45383.0</v>
      </c>
      <c r="M13" s="8">
        <v>45412.0</v>
      </c>
      <c r="N13" s="9">
        <f t="shared" si="2"/>
        <v>320</v>
      </c>
      <c r="O13" s="9">
        <f t="shared" si="3"/>
        <v>1600</v>
      </c>
      <c r="P13" s="9">
        <f t="shared" si="4"/>
        <v>1920</v>
      </c>
    </row>
    <row r="14">
      <c r="A14" s="11" t="s">
        <v>16</v>
      </c>
      <c r="B14" s="11">
        <v>4320.0</v>
      </c>
      <c r="C14" s="11" t="s">
        <v>17</v>
      </c>
      <c r="D14" s="11" t="s">
        <v>319</v>
      </c>
      <c r="E14" s="12" t="s">
        <v>320</v>
      </c>
      <c r="F14" s="11" t="s">
        <v>321</v>
      </c>
      <c r="G14" s="13"/>
      <c r="H14" s="12">
        <v>36360.0</v>
      </c>
      <c r="I14" s="12">
        <v>45355.0</v>
      </c>
      <c r="J14" s="13"/>
      <c r="K14" s="7">
        <f t="shared" si="1"/>
        <v>30</v>
      </c>
      <c r="L14" s="8">
        <v>45383.0</v>
      </c>
      <c r="M14" s="8">
        <v>45412.0</v>
      </c>
      <c r="N14" s="9">
        <f t="shared" si="2"/>
        <v>320</v>
      </c>
      <c r="O14" s="9">
        <f t="shared" si="3"/>
        <v>1600</v>
      </c>
      <c r="P14" s="9">
        <f t="shared" si="4"/>
        <v>1920</v>
      </c>
    </row>
    <row r="15">
      <c r="A15" s="11" t="s">
        <v>16</v>
      </c>
      <c r="B15" s="11">
        <v>4320.0</v>
      </c>
      <c r="C15" s="11" t="s">
        <v>17</v>
      </c>
      <c r="D15" s="10" t="s">
        <v>322</v>
      </c>
      <c r="E15" s="14" t="s">
        <v>323</v>
      </c>
      <c r="F15" s="10" t="s">
        <v>324</v>
      </c>
      <c r="G15" s="15"/>
      <c r="H15" s="14">
        <v>37100.0</v>
      </c>
      <c r="I15" s="14">
        <v>45376.0</v>
      </c>
      <c r="J15" s="14">
        <v>45425.0</v>
      </c>
      <c r="K15" s="7">
        <f t="shared" si="1"/>
        <v>30</v>
      </c>
      <c r="L15" s="8">
        <v>45383.0</v>
      </c>
      <c r="M15" s="8">
        <v>45412.0</v>
      </c>
      <c r="N15" s="9">
        <f t="shared" si="2"/>
        <v>320</v>
      </c>
      <c r="O15" s="9">
        <f t="shared" si="3"/>
        <v>1600</v>
      </c>
      <c r="P15" s="9">
        <f t="shared" si="4"/>
        <v>1920</v>
      </c>
    </row>
    <row r="16">
      <c r="A16" s="10" t="s">
        <v>16</v>
      </c>
      <c r="B16" s="10">
        <v>4320.0</v>
      </c>
      <c r="C16" s="10" t="s">
        <v>17</v>
      </c>
      <c r="D16" s="11" t="s">
        <v>282</v>
      </c>
      <c r="E16" s="12" t="s">
        <v>283</v>
      </c>
      <c r="F16" s="11" t="s">
        <v>284</v>
      </c>
      <c r="G16" s="13"/>
      <c r="H16" s="12">
        <v>35047.0</v>
      </c>
      <c r="I16" s="12">
        <v>45257.0</v>
      </c>
      <c r="J16" s="13"/>
      <c r="K16" s="7">
        <f t="shared" si="1"/>
        <v>30</v>
      </c>
      <c r="L16" s="8">
        <v>45383.0</v>
      </c>
      <c r="M16" s="8">
        <v>45412.0</v>
      </c>
      <c r="N16" s="9">
        <f t="shared" si="2"/>
        <v>320</v>
      </c>
      <c r="O16" s="9">
        <f t="shared" si="3"/>
        <v>1600</v>
      </c>
      <c r="P16" s="9">
        <f t="shared" si="4"/>
        <v>1920</v>
      </c>
    </row>
    <row r="17">
      <c r="A17" s="10" t="s">
        <v>16</v>
      </c>
      <c r="B17" s="10">
        <v>4320.0</v>
      </c>
      <c r="C17" s="10" t="s">
        <v>17</v>
      </c>
      <c r="D17" s="11" t="s">
        <v>45</v>
      </c>
      <c r="E17" s="12" t="s">
        <v>46</v>
      </c>
      <c r="F17" s="11" t="s">
        <v>47</v>
      </c>
      <c r="G17" s="13"/>
      <c r="H17" s="12">
        <v>37370.0</v>
      </c>
      <c r="I17" s="12">
        <v>44739.0</v>
      </c>
      <c r="J17" s="13"/>
      <c r="K17" s="7">
        <f t="shared" si="1"/>
        <v>30</v>
      </c>
      <c r="L17" s="8">
        <v>45383.0</v>
      </c>
      <c r="M17" s="8">
        <v>45412.0</v>
      </c>
      <c r="N17" s="9">
        <f t="shared" si="2"/>
        <v>320</v>
      </c>
      <c r="O17" s="9">
        <f t="shared" si="3"/>
        <v>1600</v>
      </c>
      <c r="P17" s="9">
        <f t="shared" si="4"/>
        <v>1920</v>
      </c>
    </row>
    <row r="18">
      <c r="A18" s="11" t="s">
        <v>16</v>
      </c>
      <c r="B18" s="11">
        <v>4320.0</v>
      </c>
      <c r="C18" s="11" t="s">
        <v>17</v>
      </c>
      <c r="D18" s="11" t="s">
        <v>48</v>
      </c>
      <c r="E18" s="12" t="s">
        <v>49</v>
      </c>
      <c r="F18" s="11" t="s">
        <v>50</v>
      </c>
      <c r="G18" s="13"/>
      <c r="H18" s="12">
        <v>36399.0</v>
      </c>
      <c r="I18" s="12">
        <v>45229.0</v>
      </c>
      <c r="J18" s="13"/>
      <c r="K18" s="7">
        <f t="shared" si="1"/>
        <v>30</v>
      </c>
      <c r="L18" s="8">
        <v>45383.0</v>
      </c>
      <c r="M18" s="8">
        <v>45412.0</v>
      </c>
      <c r="N18" s="9">
        <f t="shared" si="2"/>
        <v>320</v>
      </c>
      <c r="O18" s="9">
        <f t="shared" si="3"/>
        <v>1600</v>
      </c>
      <c r="P18" s="9">
        <f t="shared" si="4"/>
        <v>1920</v>
      </c>
    </row>
    <row r="19">
      <c r="A19" s="10" t="s">
        <v>16</v>
      </c>
      <c r="B19" s="10">
        <v>4320.0</v>
      </c>
      <c r="C19" s="10" t="s">
        <v>17</v>
      </c>
      <c r="D19" s="11" t="s">
        <v>325</v>
      </c>
      <c r="E19" s="12" t="s">
        <v>326</v>
      </c>
      <c r="F19" s="11" t="s">
        <v>327</v>
      </c>
      <c r="G19" s="13"/>
      <c r="H19" s="12">
        <v>36962.0</v>
      </c>
      <c r="I19" s="12">
        <v>45376.0</v>
      </c>
      <c r="J19" s="13"/>
      <c r="K19" s="7">
        <f t="shared" si="1"/>
        <v>30</v>
      </c>
      <c r="L19" s="8">
        <v>45383.0</v>
      </c>
      <c r="M19" s="8">
        <v>45412.0</v>
      </c>
      <c r="N19" s="9">
        <f t="shared" si="2"/>
        <v>320</v>
      </c>
      <c r="O19" s="9">
        <f t="shared" si="3"/>
        <v>1600</v>
      </c>
      <c r="P19" s="9">
        <f t="shared" si="4"/>
        <v>1920</v>
      </c>
    </row>
    <row r="20">
      <c r="A20" s="11" t="s">
        <v>16</v>
      </c>
      <c r="B20" s="11">
        <v>4320.0</v>
      </c>
      <c r="C20" s="11" t="s">
        <v>17</v>
      </c>
      <c r="D20" s="11" t="s">
        <v>285</v>
      </c>
      <c r="E20" s="12" t="s">
        <v>286</v>
      </c>
      <c r="F20" s="11" t="s">
        <v>287</v>
      </c>
      <c r="G20" s="13"/>
      <c r="H20" s="12">
        <v>37377.0</v>
      </c>
      <c r="I20" s="12">
        <v>45334.0</v>
      </c>
      <c r="J20" s="13"/>
      <c r="K20" s="7">
        <f t="shared" si="1"/>
        <v>30</v>
      </c>
      <c r="L20" s="8">
        <v>45383.0</v>
      </c>
      <c r="M20" s="8">
        <v>45412.0</v>
      </c>
      <c r="N20" s="9">
        <f t="shared" si="2"/>
        <v>320</v>
      </c>
      <c r="O20" s="9">
        <f t="shared" si="3"/>
        <v>1600</v>
      </c>
      <c r="P20" s="9">
        <f t="shared" si="4"/>
        <v>1920</v>
      </c>
    </row>
    <row r="21">
      <c r="A21" s="11" t="s">
        <v>16</v>
      </c>
      <c r="B21" s="11">
        <v>4320.0</v>
      </c>
      <c r="C21" s="11" t="s">
        <v>17</v>
      </c>
      <c r="D21" s="10" t="s">
        <v>51</v>
      </c>
      <c r="E21" s="14" t="s">
        <v>52</v>
      </c>
      <c r="F21" s="10" t="s">
        <v>53</v>
      </c>
      <c r="G21" s="15"/>
      <c r="H21" s="14">
        <v>34601.0</v>
      </c>
      <c r="I21" s="14">
        <v>44986.0</v>
      </c>
      <c r="J21" s="15"/>
      <c r="K21" s="7">
        <f t="shared" si="1"/>
        <v>30</v>
      </c>
      <c r="L21" s="8">
        <v>45383.0</v>
      </c>
      <c r="M21" s="8">
        <v>45412.0</v>
      </c>
      <c r="N21" s="9">
        <f t="shared" si="2"/>
        <v>320</v>
      </c>
      <c r="O21" s="9">
        <f t="shared" si="3"/>
        <v>1600</v>
      </c>
      <c r="P21" s="9">
        <f t="shared" si="4"/>
        <v>1920</v>
      </c>
    </row>
    <row r="22">
      <c r="A22" s="10" t="s">
        <v>16</v>
      </c>
      <c r="B22" s="10">
        <v>4320.0</v>
      </c>
      <c r="C22" s="10" t="s">
        <v>17</v>
      </c>
      <c r="D22" s="11" t="s">
        <v>249</v>
      </c>
      <c r="E22" s="12" t="s">
        <v>250</v>
      </c>
      <c r="F22" s="11" t="s">
        <v>251</v>
      </c>
      <c r="G22" s="13"/>
      <c r="H22" s="12">
        <v>37322.0</v>
      </c>
      <c r="I22" s="12">
        <v>45096.0</v>
      </c>
      <c r="J22" s="13"/>
      <c r="K22" s="7">
        <f t="shared" si="1"/>
        <v>30</v>
      </c>
      <c r="L22" s="8">
        <v>45383.0</v>
      </c>
      <c r="M22" s="8">
        <v>45412.0</v>
      </c>
      <c r="N22" s="9">
        <f t="shared" si="2"/>
        <v>320</v>
      </c>
      <c r="O22" s="9">
        <f t="shared" si="3"/>
        <v>1600</v>
      </c>
      <c r="P22" s="9">
        <f t="shared" si="4"/>
        <v>1920</v>
      </c>
    </row>
    <row r="23">
      <c r="A23" s="11" t="s">
        <v>16</v>
      </c>
      <c r="B23" s="11">
        <v>4320.0</v>
      </c>
      <c r="C23" s="11" t="s">
        <v>17</v>
      </c>
      <c r="D23" s="10" t="s">
        <v>57</v>
      </c>
      <c r="E23" s="14" t="s">
        <v>58</v>
      </c>
      <c r="F23" s="10" t="s">
        <v>59</v>
      </c>
      <c r="G23" s="15"/>
      <c r="H23" s="14">
        <v>35704.0</v>
      </c>
      <c r="I23" s="14">
        <v>44760.0</v>
      </c>
      <c r="J23" s="15"/>
      <c r="K23" s="7">
        <f t="shared" si="1"/>
        <v>30</v>
      </c>
      <c r="L23" s="8">
        <v>45383.0</v>
      </c>
      <c r="M23" s="8">
        <v>45412.0</v>
      </c>
      <c r="N23" s="9">
        <f t="shared" si="2"/>
        <v>320</v>
      </c>
      <c r="O23" s="9">
        <f t="shared" si="3"/>
        <v>1600</v>
      </c>
      <c r="P23" s="9">
        <f t="shared" si="4"/>
        <v>1920</v>
      </c>
    </row>
    <row r="24">
      <c r="A24" s="10" t="s">
        <v>16</v>
      </c>
      <c r="B24" s="10">
        <v>4320.0</v>
      </c>
      <c r="C24" s="10" t="s">
        <v>17</v>
      </c>
      <c r="D24" s="11" t="s">
        <v>291</v>
      </c>
      <c r="E24" s="12" t="s">
        <v>292</v>
      </c>
      <c r="F24" s="11" t="s">
        <v>293</v>
      </c>
      <c r="G24" s="13"/>
      <c r="H24" s="12">
        <v>37219.0</v>
      </c>
      <c r="I24" s="12">
        <v>45257.0</v>
      </c>
      <c r="J24" s="13"/>
      <c r="K24" s="7">
        <f t="shared" si="1"/>
        <v>30</v>
      </c>
      <c r="L24" s="8">
        <v>45383.0</v>
      </c>
      <c r="M24" s="8">
        <v>45412.0</v>
      </c>
      <c r="N24" s="9">
        <f t="shared" si="2"/>
        <v>320</v>
      </c>
      <c r="O24" s="9">
        <f t="shared" si="3"/>
        <v>1600</v>
      </c>
      <c r="P24" s="9">
        <f t="shared" si="4"/>
        <v>1920</v>
      </c>
    </row>
    <row r="25">
      <c r="A25" s="11" t="s">
        <v>16</v>
      </c>
      <c r="B25" s="11">
        <v>4320.0</v>
      </c>
      <c r="C25" s="11" t="s">
        <v>17</v>
      </c>
      <c r="D25" s="10" t="s">
        <v>328</v>
      </c>
      <c r="E25" s="14" t="s">
        <v>329</v>
      </c>
      <c r="F25" s="10" t="s">
        <v>330</v>
      </c>
      <c r="G25" s="15"/>
      <c r="H25" s="14">
        <v>35871.0</v>
      </c>
      <c r="I25" s="14">
        <v>45369.0</v>
      </c>
      <c r="J25" s="14">
        <v>45419.0</v>
      </c>
      <c r="K25" s="7">
        <f t="shared" si="1"/>
        <v>30</v>
      </c>
      <c r="L25" s="8">
        <v>45383.0</v>
      </c>
      <c r="M25" s="8">
        <v>45412.0</v>
      </c>
      <c r="N25" s="9">
        <f t="shared" si="2"/>
        <v>320</v>
      </c>
      <c r="O25" s="9">
        <f t="shared" si="3"/>
        <v>1600</v>
      </c>
      <c r="P25" s="9">
        <f t="shared" si="4"/>
        <v>1920</v>
      </c>
    </row>
    <row r="26">
      <c r="A26" s="11" t="s">
        <v>16</v>
      </c>
      <c r="B26" s="11">
        <v>4320.0</v>
      </c>
      <c r="C26" s="11" t="s">
        <v>17</v>
      </c>
      <c r="D26" s="35" t="s">
        <v>367</v>
      </c>
      <c r="E26" s="12" t="s">
        <v>368</v>
      </c>
      <c r="F26" s="35" t="s">
        <v>369</v>
      </c>
      <c r="G26" s="13"/>
      <c r="H26" s="12">
        <v>36718.0</v>
      </c>
      <c r="I26" s="12">
        <v>45397.0</v>
      </c>
      <c r="J26" s="13"/>
      <c r="K26" s="7">
        <f t="shared" si="1"/>
        <v>16</v>
      </c>
      <c r="L26" s="8">
        <v>45383.0</v>
      </c>
      <c r="M26" s="8">
        <v>45412.0</v>
      </c>
      <c r="N26" s="9">
        <f t="shared" si="2"/>
        <v>171</v>
      </c>
      <c r="O26" s="9">
        <f t="shared" si="3"/>
        <v>855</v>
      </c>
      <c r="P26" s="9">
        <f t="shared" si="4"/>
        <v>1026</v>
      </c>
    </row>
    <row r="27">
      <c r="A27" s="10" t="s">
        <v>16</v>
      </c>
      <c r="B27" s="10">
        <v>4320.0</v>
      </c>
      <c r="C27" s="10" t="s">
        <v>17</v>
      </c>
      <c r="D27" s="11" t="s">
        <v>60</v>
      </c>
      <c r="E27" s="12" t="s">
        <v>61</v>
      </c>
      <c r="F27" s="11" t="s">
        <v>62</v>
      </c>
      <c r="G27" s="13"/>
      <c r="H27" s="12">
        <v>36246.0</v>
      </c>
      <c r="I27" s="12">
        <v>44851.0</v>
      </c>
      <c r="J27" s="13"/>
      <c r="K27" s="7">
        <f t="shared" si="1"/>
        <v>30</v>
      </c>
      <c r="L27" s="8">
        <v>45383.0</v>
      </c>
      <c r="M27" s="8">
        <v>45412.0</v>
      </c>
      <c r="N27" s="9">
        <f t="shared" si="2"/>
        <v>320</v>
      </c>
      <c r="O27" s="9">
        <f t="shared" si="3"/>
        <v>1600</v>
      </c>
      <c r="P27" s="9">
        <f t="shared" si="4"/>
        <v>1920</v>
      </c>
    </row>
    <row r="28">
      <c r="A28" s="11" t="s">
        <v>16</v>
      </c>
      <c r="B28" s="11">
        <v>4320.0</v>
      </c>
      <c r="C28" s="11" t="s">
        <v>17</v>
      </c>
      <c r="D28" s="10" t="s">
        <v>63</v>
      </c>
      <c r="E28" s="14" t="s">
        <v>64</v>
      </c>
      <c r="F28" s="10" t="s">
        <v>65</v>
      </c>
      <c r="G28" s="15"/>
      <c r="H28" s="14">
        <v>35606.0</v>
      </c>
      <c r="I28" s="14">
        <v>44896.0</v>
      </c>
      <c r="J28" s="15"/>
      <c r="K28" s="7">
        <f t="shared" si="1"/>
        <v>30</v>
      </c>
      <c r="L28" s="8">
        <v>45383.0</v>
      </c>
      <c r="M28" s="8">
        <v>45412.0</v>
      </c>
      <c r="N28" s="9">
        <f t="shared" si="2"/>
        <v>320</v>
      </c>
      <c r="O28" s="9">
        <f t="shared" si="3"/>
        <v>1600</v>
      </c>
      <c r="P28" s="9">
        <f t="shared" si="4"/>
        <v>1920</v>
      </c>
    </row>
    <row r="29">
      <c r="A29" s="10" t="s">
        <v>16</v>
      </c>
      <c r="B29" s="10">
        <v>4320.0</v>
      </c>
      <c r="C29" s="10" t="s">
        <v>17</v>
      </c>
      <c r="D29" s="11" t="s">
        <v>66</v>
      </c>
      <c r="E29" s="12" t="s">
        <v>67</v>
      </c>
      <c r="F29" s="11" t="s">
        <v>68</v>
      </c>
      <c r="G29" s="13"/>
      <c r="H29" s="12">
        <v>34973.0</v>
      </c>
      <c r="I29" s="12">
        <v>44986.0</v>
      </c>
      <c r="J29" s="13"/>
      <c r="K29" s="7">
        <f t="shared" si="1"/>
        <v>30</v>
      </c>
      <c r="L29" s="8">
        <v>45383.0</v>
      </c>
      <c r="M29" s="8">
        <v>45412.0</v>
      </c>
      <c r="N29" s="9">
        <f t="shared" si="2"/>
        <v>320</v>
      </c>
      <c r="O29" s="9">
        <f t="shared" si="3"/>
        <v>1600</v>
      </c>
      <c r="P29" s="9">
        <f t="shared" si="4"/>
        <v>1920</v>
      </c>
    </row>
    <row r="30">
      <c r="A30" s="11" t="s">
        <v>16</v>
      </c>
      <c r="B30" s="11">
        <v>4320.0</v>
      </c>
      <c r="C30" s="11" t="s">
        <v>17</v>
      </c>
      <c r="D30" s="11" t="s">
        <v>267</v>
      </c>
      <c r="E30" s="12" t="s">
        <v>268</v>
      </c>
      <c r="F30" s="11" t="s">
        <v>269</v>
      </c>
      <c r="G30" s="13"/>
      <c r="H30" s="12">
        <v>34590.0</v>
      </c>
      <c r="I30" s="12">
        <v>45313.0</v>
      </c>
      <c r="J30" s="13"/>
      <c r="K30" s="7">
        <f t="shared" si="1"/>
        <v>30</v>
      </c>
      <c r="L30" s="8">
        <v>45383.0</v>
      </c>
      <c r="M30" s="8">
        <v>45412.0</v>
      </c>
      <c r="N30" s="9">
        <f t="shared" si="2"/>
        <v>320</v>
      </c>
      <c r="O30" s="9">
        <f t="shared" si="3"/>
        <v>1600</v>
      </c>
      <c r="P30" s="9">
        <f t="shared" si="4"/>
        <v>1920</v>
      </c>
    </row>
    <row r="31">
      <c r="A31" s="11" t="s">
        <v>16</v>
      </c>
      <c r="B31" s="11">
        <v>4320.0</v>
      </c>
      <c r="C31" s="11" t="s">
        <v>17</v>
      </c>
      <c r="D31" s="10" t="s">
        <v>69</v>
      </c>
      <c r="E31" s="14" t="s">
        <v>70</v>
      </c>
      <c r="F31" s="10" t="s">
        <v>71</v>
      </c>
      <c r="G31" s="15"/>
      <c r="H31" s="14">
        <v>36891.0</v>
      </c>
      <c r="I31" s="14">
        <v>44739.0</v>
      </c>
      <c r="J31" s="15"/>
      <c r="K31" s="7">
        <f t="shared" si="1"/>
        <v>30</v>
      </c>
      <c r="L31" s="8">
        <v>45383.0</v>
      </c>
      <c r="M31" s="8">
        <v>45412.0</v>
      </c>
      <c r="N31" s="9">
        <f t="shared" si="2"/>
        <v>320</v>
      </c>
      <c r="O31" s="9">
        <f t="shared" si="3"/>
        <v>1600</v>
      </c>
      <c r="P31" s="9">
        <f t="shared" si="4"/>
        <v>1920</v>
      </c>
    </row>
    <row r="32">
      <c r="A32" s="10" t="s">
        <v>16</v>
      </c>
      <c r="B32" s="10">
        <v>4320.0</v>
      </c>
      <c r="C32" s="10" t="s">
        <v>17</v>
      </c>
      <c r="D32" s="11" t="s">
        <v>252</v>
      </c>
      <c r="E32" s="12" t="s">
        <v>253</v>
      </c>
      <c r="F32" s="11" t="s">
        <v>254</v>
      </c>
      <c r="G32" s="13"/>
      <c r="H32" s="12">
        <v>37516.0</v>
      </c>
      <c r="I32" s="12">
        <v>45159.0</v>
      </c>
      <c r="J32" s="13"/>
      <c r="K32" s="7">
        <f t="shared" si="1"/>
        <v>30</v>
      </c>
      <c r="L32" s="8">
        <v>45383.0</v>
      </c>
      <c r="M32" s="8">
        <v>45412.0</v>
      </c>
      <c r="N32" s="9">
        <f t="shared" si="2"/>
        <v>320</v>
      </c>
      <c r="O32" s="9">
        <f t="shared" si="3"/>
        <v>1600</v>
      </c>
      <c r="P32" s="9">
        <f t="shared" si="4"/>
        <v>1920</v>
      </c>
    </row>
    <row r="33">
      <c r="A33" s="11" t="s">
        <v>16</v>
      </c>
      <c r="B33" s="11">
        <v>4320.0</v>
      </c>
      <c r="C33" s="11" t="s">
        <v>17</v>
      </c>
      <c r="D33" s="10" t="s">
        <v>72</v>
      </c>
      <c r="E33" s="14" t="s">
        <v>73</v>
      </c>
      <c r="F33" s="10" t="s">
        <v>74</v>
      </c>
      <c r="G33" s="15"/>
      <c r="H33" s="14">
        <v>37210.0</v>
      </c>
      <c r="I33" s="14">
        <v>44125.0</v>
      </c>
      <c r="J33" s="15"/>
      <c r="K33" s="7">
        <f t="shared" si="1"/>
        <v>30</v>
      </c>
      <c r="L33" s="8">
        <v>45383.0</v>
      </c>
      <c r="M33" s="8">
        <v>45412.0</v>
      </c>
      <c r="N33" s="9">
        <f t="shared" si="2"/>
        <v>320</v>
      </c>
      <c r="O33" s="9">
        <f t="shared" si="3"/>
        <v>1600</v>
      </c>
      <c r="P33" s="9">
        <f t="shared" si="4"/>
        <v>1920</v>
      </c>
    </row>
    <row r="34">
      <c r="A34" s="10" t="s">
        <v>16</v>
      </c>
      <c r="B34" s="10">
        <v>4320.0</v>
      </c>
      <c r="C34" s="10" t="s">
        <v>17</v>
      </c>
      <c r="D34" s="11" t="s">
        <v>78</v>
      </c>
      <c r="E34" s="12" t="s">
        <v>79</v>
      </c>
      <c r="F34" s="11" t="s">
        <v>80</v>
      </c>
      <c r="G34" s="13"/>
      <c r="H34" s="12">
        <v>36401.0</v>
      </c>
      <c r="I34" s="12">
        <v>45096.0</v>
      </c>
      <c r="J34" s="13"/>
      <c r="K34" s="7">
        <f t="shared" si="1"/>
        <v>30</v>
      </c>
      <c r="L34" s="8">
        <v>45383.0</v>
      </c>
      <c r="M34" s="8">
        <v>45412.0</v>
      </c>
      <c r="N34" s="9">
        <f t="shared" si="2"/>
        <v>320</v>
      </c>
      <c r="O34" s="9">
        <f t="shared" si="3"/>
        <v>1600</v>
      </c>
      <c r="P34" s="9">
        <f t="shared" si="4"/>
        <v>1920</v>
      </c>
    </row>
    <row r="35" ht="18.0" customHeight="1">
      <c r="A35" s="10" t="s">
        <v>16</v>
      </c>
      <c r="B35" s="10">
        <v>4320.0</v>
      </c>
      <c r="C35" s="10" t="s">
        <v>17</v>
      </c>
      <c r="D35" s="11" t="s">
        <v>331</v>
      </c>
      <c r="E35" s="12" t="s">
        <v>332</v>
      </c>
      <c r="F35" s="11" t="s">
        <v>333</v>
      </c>
      <c r="G35" s="13"/>
      <c r="H35" s="12">
        <v>37958.0</v>
      </c>
      <c r="I35" s="12">
        <v>45369.0</v>
      </c>
      <c r="J35" s="13"/>
      <c r="K35" s="7">
        <f t="shared" si="1"/>
        <v>30</v>
      </c>
      <c r="L35" s="8">
        <v>45383.0</v>
      </c>
      <c r="M35" s="8">
        <v>45412.0</v>
      </c>
      <c r="N35" s="9">
        <f t="shared" si="2"/>
        <v>320</v>
      </c>
      <c r="O35" s="9">
        <f t="shared" si="3"/>
        <v>1600</v>
      </c>
      <c r="P35" s="9">
        <f t="shared" si="4"/>
        <v>1920</v>
      </c>
    </row>
    <row r="36">
      <c r="A36" s="10" t="s">
        <v>16</v>
      </c>
      <c r="B36" s="10">
        <v>4320.0</v>
      </c>
      <c r="C36" s="10" t="s">
        <v>17</v>
      </c>
      <c r="D36" s="10" t="s">
        <v>270</v>
      </c>
      <c r="E36" s="14" t="s">
        <v>271</v>
      </c>
      <c r="F36" s="10" t="s">
        <v>272</v>
      </c>
      <c r="G36" s="15"/>
      <c r="H36" s="14">
        <v>36769.0</v>
      </c>
      <c r="I36" s="14">
        <v>45313.0</v>
      </c>
      <c r="J36" s="14">
        <v>45415.0</v>
      </c>
      <c r="K36" s="7">
        <f t="shared" si="1"/>
        <v>30</v>
      </c>
      <c r="L36" s="8">
        <v>45383.0</v>
      </c>
      <c r="M36" s="8">
        <v>45412.0</v>
      </c>
      <c r="N36" s="9">
        <f t="shared" si="2"/>
        <v>320</v>
      </c>
      <c r="O36" s="9">
        <f t="shared" si="3"/>
        <v>1600</v>
      </c>
      <c r="P36" s="9">
        <f t="shared" si="4"/>
        <v>1920</v>
      </c>
    </row>
    <row r="37">
      <c r="A37" s="11" t="s">
        <v>16</v>
      </c>
      <c r="B37" s="11">
        <v>4320.0</v>
      </c>
      <c r="C37" s="11" t="s">
        <v>17</v>
      </c>
      <c r="D37" s="10" t="s">
        <v>87</v>
      </c>
      <c r="E37" s="14" t="s">
        <v>88</v>
      </c>
      <c r="F37" s="10" t="s">
        <v>89</v>
      </c>
      <c r="G37" s="15"/>
      <c r="H37" s="14">
        <v>33737.0</v>
      </c>
      <c r="I37" s="14">
        <v>45139.0</v>
      </c>
      <c r="J37" s="15"/>
      <c r="K37" s="7">
        <f t="shared" si="1"/>
        <v>30</v>
      </c>
      <c r="L37" s="8">
        <v>45383.0</v>
      </c>
      <c r="M37" s="8">
        <v>45412.0</v>
      </c>
      <c r="N37" s="9">
        <f t="shared" si="2"/>
        <v>320</v>
      </c>
      <c r="O37" s="9">
        <f t="shared" si="3"/>
        <v>1600</v>
      </c>
      <c r="P37" s="9">
        <f t="shared" si="4"/>
        <v>1920</v>
      </c>
    </row>
    <row r="38">
      <c r="A38" s="10" t="s">
        <v>16</v>
      </c>
      <c r="B38" s="10">
        <v>4320.0</v>
      </c>
      <c r="C38" s="10" t="s">
        <v>17</v>
      </c>
      <c r="D38" s="10" t="s">
        <v>334</v>
      </c>
      <c r="E38" s="14" t="s">
        <v>335</v>
      </c>
      <c r="F38" s="10" t="s">
        <v>336</v>
      </c>
      <c r="G38" s="15"/>
      <c r="H38" s="14">
        <v>35272.0</v>
      </c>
      <c r="I38" s="14">
        <v>45355.0</v>
      </c>
      <c r="J38" s="15"/>
      <c r="K38" s="7">
        <f t="shared" si="1"/>
        <v>30</v>
      </c>
      <c r="L38" s="8">
        <v>45383.0</v>
      </c>
      <c r="M38" s="8">
        <v>45412.0</v>
      </c>
      <c r="N38" s="9">
        <f t="shared" si="2"/>
        <v>320</v>
      </c>
      <c r="O38" s="9">
        <f t="shared" si="3"/>
        <v>1600</v>
      </c>
      <c r="P38" s="9">
        <f t="shared" si="4"/>
        <v>1920</v>
      </c>
    </row>
    <row r="39">
      <c r="A39" s="10" t="s">
        <v>16</v>
      </c>
      <c r="B39" s="10">
        <v>4320.0</v>
      </c>
      <c r="C39" s="10" t="s">
        <v>17</v>
      </c>
      <c r="D39" s="10" t="s">
        <v>337</v>
      </c>
      <c r="E39" s="14" t="s">
        <v>338</v>
      </c>
      <c r="F39" s="10" t="s">
        <v>339</v>
      </c>
      <c r="G39" s="15"/>
      <c r="H39" s="14">
        <v>37539.0</v>
      </c>
      <c r="I39" s="14">
        <v>45362.0</v>
      </c>
      <c r="J39" s="15"/>
      <c r="K39" s="7">
        <f t="shared" si="1"/>
        <v>30</v>
      </c>
      <c r="L39" s="8">
        <v>45383.0</v>
      </c>
      <c r="M39" s="8">
        <v>45412.0</v>
      </c>
      <c r="N39" s="9">
        <f t="shared" si="2"/>
        <v>320</v>
      </c>
      <c r="O39" s="9">
        <f t="shared" si="3"/>
        <v>1600</v>
      </c>
      <c r="P39" s="9">
        <f t="shared" si="4"/>
        <v>1920</v>
      </c>
    </row>
    <row r="40">
      <c r="A40" s="11" t="s">
        <v>16</v>
      </c>
      <c r="B40" s="11">
        <v>4320.0</v>
      </c>
      <c r="C40" s="11" t="s">
        <v>17</v>
      </c>
      <c r="D40" s="10" t="s">
        <v>96</v>
      </c>
      <c r="E40" s="14" t="s">
        <v>97</v>
      </c>
      <c r="F40" s="10" t="s">
        <v>98</v>
      </c>
      <c r="G40" s="15"/>
      <c r="H40" s="14">
        <v>36690.0</v>
      </c>
      <c r="I40" s="14">
        <v>44938.0</v>
      </c>
      <c r="J40" s="15"/>
      <c r="K40" s="7">
        <f t="shared" si="1"/>
        <v>30</v>
      </c>
      <c r="L40" s="8">
        <v>45383.0</v>
      </c>
      <c r="M40" s="8">
        <v>45412.0</v>
      </c>
      <c r="N40" s="9">
        <f t="shared" si="2"/>
        <v>320</v>
      </c>
      <c r="O40" s="9">
        <f t="shared" si="3"/>
        <v>1600</v>
      </c>
      <c r="P40" s="9">
        <f t="shared" si="4"/>
        <v>1920</v>
      </c>
    </row>
    <row r="41">
      <c r="A41" s="10" t="s">
        <v>16</v>
      </c>
      <c r="B41" s="10">
        <v>4320.0</v>
      </c>
      <c r="C41" s="10" t="s">
        <v>17</v>
      </c>
      <c r="D41" s="11" t="s">
        <v>99</v>
      </c>
      <c r="E41" s="12" t="s">
        <v>100</v>
      </c>
      <c r="F41" s="11" t="s">
        <v>101</v>
      </c>
      <c r="G41" s="13"/>
      <c r="H41" s="12">
        <v>37240.0</v>
      </c>
      <c r="I41" s="12">
        <v>45176.0</v>
      </c>
      <c r="J41" s="13"/>
      <c r="K41" s="7">
        <f t="shared" si="1"/>
        <v>30</v>
      </c>
      <c r="L41" s="8">
        <v>45383.0</v>
      </c>
      <c r="M41" s="8">
        <v>45412.0</v>
      </c>
      <c r="N41" s="9">
        <f t="shared" si="2"/>
        <v>320</v>
      </c>
      <c r="O41" s="9">
        <f t="shared" si="3"/>
        <v>1600</v>
      </c>
      <c r="P41" s="9">
        <f t="shared" si="4"/>
        <v>1920</v>
      </c>
    </row>
    <row r="42">
      <c r="A42" s="11" t="s">
        <v>16</v>
      </c>
      <c r="B42" s="11">
        <v>4320.0</v>
      </c>
      <c r="C42" s="11" t="s">
        <v>17</v>
      </c>
      <c r="D42" s="10" t="s">
        <v>102</v>
      </c>
      <c r="E42" s="14" t="s">
        <v>103</v>
      </c>
      <c r="F42" s="10" t="s">
        <v>104</v>
      </c>
      <c r="G42" s="15"/>
      <c r="H42" s="14">
        <v>33240.0</v>
      </c>
      <c r="I42" s="14">
        <v>44287.0</v>
      </c>
      <c r="J42" s="15"/>
      <c r="K42" s="7">
        <f t="shared" si="1"/>
        <v>30</v>
      </c>
      <c r="L42" s="8">
        <v>45383.0</v>
      </c>
      <c r="M42" s="8">
        <v>45412.0</v>
      </c>
      <c r="N42" s="9">
        <f t="shared" si="2"/>
        <v>320</v>
      </c>
      <c r="O42" s="9">
        <f t="shared" si="3"/>
        <v>1600</v>
      </c>
      <c r="P42" s="9">
        <f t="shared" si="4"/>
        <v>1920</v>
      </c>
    </row>
    <row r="43">
      <c r="A43" s="11" t="s">
        <v>16</v>
      </c>
      <c r="B43" s="11">
        <v>4320.0</v>
      </c>
      <c r="C43" s="11" t="s">
        <v>17</v>
      </c>
      <c r="D43" s="10" t="s">
        <v>255</v>
      </c>
      <c r="E43" s="14" t="s">
        <v>256</v>
      </c>
      <c r="F43" s="10" t="s">
        <v>257</v>
      </c>
      <c r="G43" s="15"/>
      <c r="H43" s="14">
        <v>35173.0</v>
      </c>
      <c r="I43" s="14">
        <v>45264.0</v>
      </c>
      <c r="J43" s="15"/>
      <c r="K43" s="7">
        <f t="shared" si="1"/>
        <v>30</v>
      </c>
      <c r="L43" s="8">
        <v>45383.0</v>
      </c>
      <c r="M43" s="8">
        <v>45412.0</v>
      </c>
      <c r="N43" s="9">
        <f t="shared" si="2"/>
        <v>320</v>
      </c>
      <c r="O43" s="9">
        <f t="shared" si="3"/>
        <v>1600</v>
      </c>
      <c r="P43" s="9">
        <f t="shared" si="4"/>
        <v>1920</v>
      </c>
    </row>
    <row r="44">
      <c r="A44" s="11" t="s">
        <v>16</v>
      </c>
      <c r="B44" s="11">
        <v>4320.0</v>
      </c>
      <c r="C44" s="11" t="s">
        <v>17</v>
      </c>
      <c r="D44" s="11" t="s">
        <v>340</v>
      </c>
      <c r="E44" s="12" t="s">
        <v>341</v>
      </c>
      <c r="F44" s="11" t="s">
        <v>342</v>
      </c>
      <c r="G44" s="13"/>
      <c r="H44" s="12">
        <v>37964.0</v>
      </c>
      <c r="I44" s="12">
        <v>45355.0</v>
      </c>
      <c r="J44" s="13"/>
      <c r="K44" s="7">
        <f t="shared" si="1"/>
        <v>30</v>
      </c>
      <c r="L44" s="8">
        <v>45383.0</v>
      </c>
      <c r="M44" s="8">
        <v>45412.0</v>
      </c>
      <c r="N44" s="9">
        <f t="shared" si="2"/>
        <v>320</v>
      </c>
      <c r="O44" s="9">
        <f t="shared" si="3"/>
        <v>1600</v>
      </c>
      <c r="P44" s="9">
        <f t="shared" si="4"/>
        <v>1920</v>
      </c>
    </row>
    <row r="45">
      <c r="A45" s="11" t="s">
        <v>16</v>
      </c>
      <c r="B45" s="11">
        <v>4320.0</v>
      </c>
      <c r="C45" s="11" t="s">
        <v>17</v>
      </c>
      <c r="D45" s="10" t="s">
        <v>105</v>
      </c>
      <c r="E45" s="14" t="s">
        <v>106</v>
      </c>
      <c r="F45" s="10" t="s">
        <v>107</v>
      </c>
      <c r="G45" s="15"/>
      <c r="H45" s="14">
        <v>37136.0</v>
      </c>
      <c r="I45" s="14">
        <v>45201.0</v>
      </c>
      <c r="J45" s="14">
        <v>45390.0</v>
      </c>
      <c r="K45" s="7">
        <f t="shared" si="1"/>
        <v>8</v>
      </c>
      <c r="L45" s="8">
        <v>45383.0</v>
      </c>
      <c r="M45" s="8">
        <v>45412.0</v>
      </c>
      <c r="N45" s="9">
        <f t="shared" si="2"/>
        <v>86</v>
      </c>
      <c r="O45" s="9">
        <f t="shared" si="3"/>
        <v>430</v>
      </c>
      <c r="P45" s="9">
        <f t="shared" si="4"/>
        <v>516</v>
      </c>
    </row>
    <row r="46">
      <c r="A46" s="10" t="s">
        <v>16</v>
      </c>
      <c r="B46" s="10">
        <v>4320.0</v>
      </c>
      <c r="C46" s="10" t="s">
        <v>17</v>
      </c>
      <c r="D46" s="10" t="s">
        <v>108</v>
      </c>
      <c r="E46" s="14" t="s">
        <v>109</v>
      </c>
      <c r="F46" s="10" t="s">
        <v>110</v>
      </c>
      <c r="G46" s="15"/>
      <c r="H46" s="14">
        <v>35943.0</v>
      </c>
      <c r="I46" s="14">
        <v>45215.0</v>
      </c>
      <c r="J46" s="15"/>
      <c r="K46" s="7">
        <f t="shared" si="1"/>
        <v>30</v>
      </c>
      <c r="L46" s="8">
        <v>45383.0</v>
      </c>
      <c r="M46" s="8">
        <v>45412.0</v>
      </c>
      <c r="N46" s="9">
        <f t="shared" si="2"/>
        <v>320</v>
      </c>
      <c r="O46" s="9">
        <f t="shared" si="3"/>
        <v>1600</v>
      </c>
      <c r="P46" s="9">
        <f t="shared" si="4"/>
        <v>1920</v>
      </c>
    </row>
    <row r="47">
      <c r="A47" s="10" t="s">
        <v>16</v>
      </c>
      <c r="B47" s="10">
        <v>4320.0</v>
      </c>
      <c r="C47" s="10" t="s">
        <v>17</v>
      </c>
      <c r="D47" s="10" t="s">
        <v>370</v>
      </c>
      <c r="E47" s="14" t="s">
        <v>371</v>
      </c>
      <c r="F47" s="10" t="s">
        <v>372</v>
      </c>
      <c r="G47" s="15"/>
      <c r="H47" s="14">
        <v>35551.0</v>
      </c>
      <c r="I47" s="41">
        <v>45383.0</v>
      </c>
      <c r="J47" s="15"/>
      <c r="K47" s="7">
        <f t="shared" si="1"/>
        <v>30</v>
      </c>
      <c r="L47" s="8">
        <v>45383.0</v>
      </c>
      <c r="M47" s="8">
        <v>45412.0</v>
      </c>
      <c r="N47" s="9">
        <f t="shared" si="2"/>
        <v>320</v>
      </c>
      <c r="O47" s="9">
        <f t="shared" si="3"/>
        <v>1600</v>
      </c>
      <c r="P47" s="9">
        <f t="shared" si="4"/>
        <v>1920</v>
      </c>
    </row>
    <row r="48">
      <c r="A48" s="22" t="s">
        <v>16</v>
      </c>
      <c r="B48" s="22">
        <v>4320.0</v>
      </c>
      <c r="C48" s="22" t="s">
        <v>17</v>
      </c>
      <c r="D48" s="22" t="s">
        <v>111</v>
      </c>
      <c r="E48" s="23" t="s">
        <v>112</v>
      </c>
      <c r="F48" s="22" t="s">
        <v>113</v>
      </c>
      <c r="G48" s="24"/>
      <c r="H48" s="23">
        <v>36898.0</v>
      </c>
      <c r="I48" s="23">
        <v>44988.0</v>
      </c>
      <c r="J48" s="24"/>
      <c r="K48" s="25">
        <f t="shared" si="1"/>
        <v>30</v>
      </c>
      <c r="L48" s="26">
        <v>45383.0</v>
      </c>
      <c r="M48" s="26">
        <v>45412.0</v>
      </c>
      <c r="N48" s="27">
        <f t="shared" si="2"/>
        <v>320</v>
      </c>
      <c r="O48" s="27">
        <f t="shared" si="3"/>
        <v>1600</v>
      </c>
      <c r="P48" s="27">
        <f t="shared" si="4"/>
        <v>1920</v>
      </c>
    </row>
    <row r="49">
      <c r="A49" s="11" t="s">
        <v>16</v>
      </c>
      <c r="B49" s="11">
        <v>4320.0</v>
      </c>
      <c r="C49" s="11" t="s">
        <v>17</v>
      </c>
      <c r="D49" s="10" t="s">
        <v>120</v>
      </c>
      <c r="E49" s="14" t="s">
        <v>121</v>
      </c>
      <c r="F49" s="10" t="s">
        <v>122</v>
      </c>
      <c r="G49" s="15"/>
      <c r="H49" s="14">
        <v>36794.0</v>
      </c>
      <c r="I49" s="14">
        <v>44915.0</v>
      </c>
      <c r="J49" s="15"/>
      <c r="K49" s="7">
        <f t="shared" si="1"/>
        <v>30</v>
      </c>
      <c r="L49" s="8">
        <v>45383.0</v>
      </c>
      <c r="M49" s="8">
        <v>45412.0</v>
      </c>
      <c r="N49" s="9">
        <f t="shared" si="2"/>
        <v>320</v>
      </c>
      <c r="O49" s="9">
        <f t="shared" si="3"/>
        <v>1600</v>
      </c>
      <c r="P49" s="9">
        <f t="shared" si="4"/>
        <v>1920</v>
      </c>
    </row>
    <row r="50">
      <c r="A50" s="10" t="s">
        <v>16</v>
      </c>
      <c r="B50" s="10">
        <v>4320.0</v>
      </c>
      <c r="C50" s="10" t="s">
        <v>17</v>
      </c>
      <c r="D50" s="11" t="s">
        <v>123</v>
      </c>
      <c r="E50" s="12" t="s">
        <v>124</v>
      </c>
      <c r="F50" s="11" t="s">
        <v>125</v>
      </c>
      <c r="G50" s="13"/>
      <c r="H50" s="12">
        <v>37149.0</v>
      </c>
      <c r="I50" s="12">
        <v>45124.0</v>
      </c>
      <c r="J50" s="13"/>
      <c r="K50" s="7">
        <f t="shared" si="1"/>
        <v>30</v>
      </c>
      <c r="L50" s="8">
        <v>45383.0</v>
      </c>
      <c r="M50" s="8">
        <v>45412.0</v>
      </c>
      <c r="N50" s="9">
        <f t="shared" si="2"/>
        <v>320</v>
      </c>
      <c r="O50" s="9">
        <f t="shared" si="3"/>
        <v>1600</v>
      </c>
      <c r="P50" s="9">
        <f t="shared" si="4"/>
        <v>1920</v>
      </c>
    </row>
    <row r="51">
      <c r="A51" s="11" t="s">
        <v>16</v>
      </c>
      <c r="B51" s="11">
        <v>4320.0</v>
      </c>
      <c r="C51" s="11" t="s">
        <v>17</v>
      </c>
      <c r="D51" s="11" t="s">
        <v>343</v>
      </c>
      <c r="E51" s="12" t="s">
        <v>344</v>
      </c>
      <c r="F51" s="11" t="s">
        <v>345</v>
      </c>
      <c r="G51" s="13"/>
      <c r="H51" s="12">
        <v>36821.0</v>
      </c>
      <c r="I51" s="12">
        <v>45362.0</v>
      </c>
      <c r="J51" s="13"/>
      <c r="K51" s="7">
        <f t="shared" si="1"/>
        <v>30</v>
      </c>
      <c r="L51" s="8">
        <v>45383.0</v>
      </c>
      <c r="M51" s="8">
        <v>45412.0</v>
      </c>
      <c r="N51" s="9">
        <f t="shared" si="2"/>
        <v>320</v>
      </c>
      <c r="O51" s="9">
        <f t="shared" si="3"/>
        <v>1600</v>
      </c>
      <c r="P51" s="9">
        <f t="shared" si="4"/>
        <v>1920</v>
      </c>
    </row>
    <row r="52">
      <c r="A52" s="10" t="s">
        <v>16</v>
      </c>
      <c r="B52" s="10">
        <v>4320.0</v>
      </c>
      <c r="C52" s="10" t="s">
        <v>17</v>
      </c>
      <c r="D52" s="11" t="s">
        <v>346</v>
      </c>
      <c r="E52" s="12" t="s">
        <v>347</v>
      </c>
      <c r="F52" s="11" t="s">
        <v>348</v>
      </c>
      <c r="G52" s="13"/>
      <c r="H52" s="12">
        <v>36778.0</v>
      </c>
      <c r="I52" s="12">
        <v>45369.0</v>
      </c>
      <c r="J52" s="13"/>
      <c r="K52" s="7">
        <f t="shared" si="1"/>
        <v>30</v>
      </c>
      <c r="L52" s="8">
        <v>45383.0</v>
      </c>
      <c r="M52" s="8">
        <v>45412.0</v>
      </c>
      <c r="N52" s="9">
        <f t="shared" si="2"/>
        <v>320</v>
      </c>
      <c r="O52" s="9">
        <f t="shared" si="3"/>
        <v>1600</v>
      </c>
      <c r="P52" s="9">
        <f t="shared" si="4"/>
        <v>1920</v>
      </c>
    </row>
    <row r="53">
      <c r="A53" s="11" t="s">
        <v>16</v>
      </c>
      <c r="B53" s="11">
        <v>4320.0</v>
      </c>
      <c r="C53" s="11" t="s">
        <v>17</v>
      </c>
      <c r="D53" s="35" t="s">
        <v>373</v>
      </c>
      <c r="E53" s="12" t="s">
        <v>374</v>
      </c>
      <c r="F53" s="35" t="s">
        <v>375</v>
      </c>
      <c r="G53" s="13"/>
      <c r="H53" s="12">
        <v>37085.0</v>
      </c>
      <c r="I53" s="12">
        <v>45400.0</v>
      </c>
      <c r="J53" s="13"/>
      <c r="K53" s="7">
        <f t="shared" si="1"/>
        <v>13</v>
      </c>
      <c r="L53" s="8">
        <v>45383.0</v>
      </c>
      <c r="M53" s="8">
        <v>45412.0</v>
      </c>
      <c r="N53" s="9">
        <f t="shared" si="2"/>
        <v>139</v>
      </c>
      <c r="O53" s="9">
        <f t="shared" si="3"/>
        <v>695</v>
      </c>
      <c r="P53" s="9">
        <f t="shared" si="4"/>
        <v>834</v>
      </c>
    </row>
    <row r="54">
      <c r="A54" s="11" t="s">
        <v>16</v>
      </c>
      <c r="B54" s="11">
        <v>4320.0</v>
      </c>
      <c r="C54" s="11" t="s">
        <v>17</v>
      </c>
      <c r="D54" s="11" t="s">
        <v>349</v>
      </c>
      <c r="E54" s="12" t="s">
        <v>350</v>
      </c>
      <c r="F54" s="11" t="s">
        <v>351</v>
      </c>
      <c r="G54" s="13"/>
      <c r="H54" s="12">
        <v>37647.0</v>
      </c>
      <c r="I54" s="12">
        <v>45355.0</v>
      </c>
      <c r="J54" s="13"/>
      <c r="K54" s="7">
        <f t="shared" si="1"/>
        <v>30</v>
      </c>
      <c r="L54" s="8">
        <v>45383.0</v>
      </c>
      <c r="M54" s="8">
        <v>45412.0</v>
      </c>
      <c r="N54" s="9">
        <f t="shared" si="2"/>
        <v>320</v>
      </c>
      <c r="O54" s="9">
        <f t="shared" si="3"/>
        <v>1600</v>
      </c>
      <c r="P54" s="9">
        <f t="shared" si="4"/>
        <v>1920</v>
      </c>
    </row>
    <row r="55">
      <c r="A55" s="10" t="s">
        <v>16</v>
      </c>
      <c r="B55" s="10">
        <v>4320.0</v>
      </c>
      <c r="C55" s="10" t="s">
        <v>17</v>
      </c>
      <c r="D55" s="11" t="s">
        <v>141</v>
      </c>
      <c r="E55" s="12" t="s">
        <v>142</v>
      </c>
      <c r="F55" s="11" t="s">
        <v>143</v>
      </c>
      <c r="G55" s="13"/>
      <c r="H55" s="12">
        <v>34300.0</v>
      </c>
      <c r="I55" s="12">
        <v>45183.0</v>
      </c>
      <c r="J55" s="13"/>
      <c r="K55" s="7">
        <f t="shared" si="1"/>
        <v>30</v>
      </c>
      <c r="L55" s="8">
        <v>45383.0</v>
      </c>
      <c r="M55" s="8">
        <v>45412.0</v>
      </c>
      <c r="N55" s="9">
        <f t="shared" si="2"/>
        <v>320</v>
      </c>
      <c r="O55" s="9">
        <f t="shared" si="3"/>
        <v>1600</v>
      </c>
      <c r="P55" s="9">
        <f t="shared" si="4"/>
        <v>1920</v>
      </c>
    </row>
    <row r="56">
      <c r="A56" s="10" t="s">
        <v>16</v>
      </c>
      <c r="B56" s="10">
        <v>4320.0</v>
      </c>
      <c r="C56" s="10" t="s">
        <v>17</v>
      </c>
      <c r="D56" s="10" t="s">
        <v>352</v>
      </c>
      <c r="E56" s="14" t="s">
        <v>353</v>
      </c>
      <c r="F56" s="10" t="s">
        <v>354</v>
      </c>
      <c r="G56" s="15"/>
      <c r="H56" s="14">
        <v>36412.0</v>
      </c>
      <c r="I56" s="14">
        <v>45355.0</v>
      </c>
      <c r="J56" s="15"/>
      <c r="K56" s="7">
        <f t="shared" si="1"/>
        <v>30</v>
      </c>
      <c r="L56" s="8">
        <v>45383.0</v>
      </c>
      <c r="M56" s="8">
        <v>45412.0</v>
      </c>
      <c r="N56" s="9">
        <f t="shared" si="2"/>
        <v>320</v>
      </c>
      <c r="O56" s="9">
        <f t="shared" si="3"/>
        <v>1600</v>
      </c>
      <c r="P56" s="9">
        <f t="shared" si="4"/>
        <v>1920</v>
      </c>
    </row>
    <row r="57">
      <c r="A57" s="29" t="s">
        <v>16</v>
      </c>
      <c r="B57" s="29">
        <v>4320.0</v>
      </c>
      <c r="C57" s="29" t="s">
        <v>17</v>
      </c>
      <c r="D57" s="47" t="s">
        <v>300</v>
      </c>
      <c r="E57" s="30"/>
      <c r="F57" s="29"/>
      <c r="G57" s="31"/>
      <c r="H57" s="30"/>
      <c r="I57" s="30"/>
      <c r="J57" s="30"/>
      <c r="K57" s="32"/>
      <c r="L57" s="33"/>
      <c r="M57" s="33"/>
      <c r="N57" s="34"/>
      <c r="O57" s="34"/>
      <c r="P57" s="34"/>
    </row>
    <row r="58">
      <c r="A58" s="10" t="s">
        <v>16</v>
      </c>
      <c r="B58" s="10">
        <v>4320.0</v>
      </c>
      <c r="C58" s="10" t="s">
        <v>17</v>
      </c>
      <c r="D58" s="10" t="s">
        <v>147</v>
      </c>
      <c r="E58" s="14" t="s">
        <v>148</v>
      </c>
      <c r="F58" s="10" t="s">
        <v>149</v>
      </c>
      <c r="G58" s="15"/>
      <c r="H58" s="14">
        <v>36541.0</v>
      </c>
      <c r="I58" s="14">
        <v>44755.0</v>
      </c>
      <c r="J58" s="14">
        <v>45386.0</v>
      </c>
      <c r="K58" s="7">
        <f t="shared" ref="K58:K84" si="5">MAX(0, MIN(M58, J58) - MAX(L58, I58) + 1)</f>
        <v>4</v>
      </c>
      <c r="L58" s="8">
        <v>45383.0</v>
      </c>
      <c r="M58" s="8">
        <v>45412.0</v>
      </c>
      <c r="N58" s="9">
        <f t="shared" ref="N58:N62" si="6">ROUNDUP(K58/30*320,0)</f>
        <v>43</v>
      </c>
      <c r="O58" s="9">
        <f t="shared" ref="O58:O84" si="7">N58*5</f>
        <v>215</v>
      </c>
      <c r="P58" s="9">
        <f t="shared" ref="P58:P84" si="8">N58+O58</f>
        <v>258</v>
      </c>
    </row>
    <row r="59">
      <c r="A59" s="10" t="s">
        <v>16</v>
      </c>
      <c r="B59" s="10">
        <v>4320.0</v>
      </c>
      <c r="C59" s="10" t="s">
        <v>17</v>
      </c>
      <c r="D59" s="11" t="s">
        <v>150</v>
      </c>
      <c r="E59" s="12" t="s">
        <v>151</v>
      </c>
      <c r="F59" s="11" t="s">
        <v>152</v>
      </c>
      <c r="G59" s="13"/>
      <c r="H59" s="12">
        <v>34335.0</v>
      </c>
      <c r="I59" s="12">
        <v>45078.0</v>
      </c>
      <c r="J59" s="12">
        <v>45400.0</v>
      </c>
      <c r="K59" s="7">
        <f t="shared" si="5"/>
        <v>18</v>
      </c>
      <c r="L59" s="8">
        <v>45383.0</v>
      </c>
      <c r="M59" s="8">
        <v>45412.0</v>
      </c>
      <c r="N59" s="9">
        <f t="shared" si="6"/>
        <v>192</v>
      </c>
      <c r="O59" s="9">
        <f t="shared" si="7"/>
        <v>960</v>
      </c>
      <c r="P59" s="9">
        <f t="shared" si="8"/>
        <v>1152</v>
      </c>
    </row>
    <row r="60">
      <c r="A60" s="11" t="s">
        <v>16</v>
      </c>
      <c r="B60" s="11">
        <v>4320.0</v>
      </c>
      <c r="C60" s="11" t="s">
        <v>17</v>
      </c>
      <c r="D60" s="10" t="s">
        <v>153</v>
      </c>
      <c r="E60" s="14" t="s">
        <v>154</v>
      </c>
      <c r="F60" s="10" t="s">
        <v>155</v>
      </c>
      <c r="G60" s="15"/>
      <c r="H60" s="14">
        <v>31014.0</v>
      </c>
      <c r="I60" s="14">
        <v>44805.0</v>
      </c>
      <c r="J60" s="15"/>
      <c r="K60" s="7">
        <f t="shared" si="5"/>
        <v>30</v>
      </c>
      <c r="L60" s="8">
        <v>45383.0</v>
      </c>
      <c r="M60" s="8">
        <v>45412.0</v>
      </c>
      <c r="N60" s="9">
        <f t="shared" si="6"/>
        <v>320</v>
      </c>
      <c r="O60" s="9">
        <f t="shared" si="7"/>
        <v>1600</v>
      </c>
      <c r="P60" s="9">
        <f t="shared" si="8"/>
        <v>1920</v>
      </c>
    </row>
    <row r="61">
      <c r="A61" s="11" t="s">
        <v>16</v>
      </c>
      <c r="B61" s="11">
        <v>4320.0</v>
      </c>
      <c r="C61" s="11" t="s">
        <v>17</v>
      </c>
      <c r="D61" s="10" t="s">
        <v>273</v>
      </c>
      <c r="E61" s="14" t="s">
        <v>274</v>
      </c>
      <c r="F61" s="10" t="s">
        <v>275</v>
      </c>
      <c r="G61" s="15"/>
      <c r="H61" s="14">
        <v>34522.0</v>
      </c>
      <c r="I61" s="14">
        <v>45292.0</v>
      </c>
      <c r="J61" s="15"/>
      <c r="K61" s="7">
        <f t="shared" si="5"/>
        <v>30</v>
      </c>
      <c r="L61" s="8">
        <v>45383.0</v>
      </c>
      <c r="M61" s="8">
        <v>45412.0</v>
      </c>
      <c r="N61" s="9">
        <f t="shared" si="6"/>
        <v>320</v>
      </c>
      <c r="O61" s="9">
        <f t="shared" si="7"/>
        <v>1600</v>
      </c>
      <c r="P61" s="9">
        <f t="shared" si="8"/>
        <v>1920</v>
      </c>
    </row>
    <row r="62">
      <c r="A62" s="11" t="s">
        <v>16</v>
      </c>
      <c r="B62" s="11">
        <v>4320.0</v>
      </c>
      <c r="C62" s="11" t="s">
        <v>17</v>
      </c>
      <c r="D62" s="10" t="s">
        <v>162</v>
      </c>
      <c r="E62" s="14" t="s">
        <v>163</v>
      </c>
      <c r="F62" s="10" t="s">
        <v>164</v>
      </c>
      <c r="G62" s="15"/>
      <c r="H62" s="14">
        <v>34732.0</v>
      </c>
      <c r="I62" s="14">
        <v>44986.0</v>
      </c>
      <c r="J62" s="15"/>
      <c r="K62" s="7">
        <f t="shared" si="5"/>
        <v>30</v>
      </c>
      <c r="L62" s="8">
        <v>45383.0</v>
      </c>
      <c r="M62" s="8">
        <v>45412.0</v>
      </c>
      <c r="N62" s="9">
        <f t="shared" si="6"/>
        <v>320</v>
      </c>
      <c r="O62" s="9">
        <f t="shared" si="7"/>
        <v>1600</v>
      </c>
      <c r="P62" s="9">
        <f t="shared" si="8"/>
        <v>1920</v>
      </c>
    </row>
    <row r="63">
      <c r="A63" s="22" t="s">
        <v>16</v>
      </c>
      <c r="B63" s="22">
        <v>4320.0</v>
      </c>
      <c r="C63" s="22" t="s">
        <v>17</v>
      </c>
      <c r="D63" s="22" t="s">
        <v>240</v>
      </c>
      <c r="E63" s="23" t="s">
        <v>241</v>
      </c>
      <c r="F63" s="22" t="s">
        <v>242</v>
      </c>
      <c r="G63" s="24"/>
      <c r="H63" s="23">
        <v>33762.0</v>
      </c>
      <c r="I63" s="23">
        <v>45229.0</v>
      </c>
      <c r="J63" s="24"/>
      <c r="K63" s="25">
        <f t="shared" si="5"/>
        <v>31</v>
      </c>
      <c r="L63" s="26">
        <v>45261.0</v>
      </c>
      <c r="M63" s="26">
        <v>45291.0</v>
      </c>
      <c r="N63" s="27">
        <f>ROUNDUP(K63/31*320,0)</f>
        <v>320</v>
      </c>
      <c r="O63" s="27">
        <f t="shared" si="7"/>
        <v>1600</v>
      </c>
      <c r="P63" s="27">
        <f t="shared" si="8"/>
        <v>1920</v>
      </c>
    </row>
    <row r="64">
      <c r="A64" s="10" t="s">
        <v>16</v>
      </c>
      <c r="B64" s="10">
        <v>4320.0</v>
      </c>
      <c r="C64" s="10" t="s">
        <v>17</v>
      </c>
      <c r="D64" s="11" t="s">
        <v>355</v>
      </c>
      <c r="E64" s="12" t="s">
        <v>356</v>
      </c>
      <c r="F64" s="11" t="s">
        <v>357</v>
      </c>
      <c r="G64" s="13"/>
      <c r="H64" s="12">
        <v>35395.0</v>
      </c>
      <c r="I64" s="12">
        <v>45376.0</v>
      </c>
      <c r="J64" s="13"/>
      <c r="K64" s="7">
        <f t="shared" si="5"/>
        <v>30</v>
      </c>
      <c r="L64" s="8">
        <v>45383.0</v>
      </c>
      <c r="M64" s="8">
        <v>45412.0</v>
      </c>
      <c r="N64" s="9">
        <f t="shared" ref="N64:N84" si="9">ROUNDUP(K64/30*320,0)</f>
        <v>320</v>
      </c>
      <c r="O64" s="9">
        <f t="shared" si="7"/>
        <v>1600</v>
      </c>
      <c r="P64" s="9">
        <f t="shared" si="8"/>
        <v>1920</v>
      </c>
    </row>
    <row r="65">
      <c r="A65" s="11" t="s">
        <v>16</v>
      </c>
      <c r="B65" s="11">
        <v>4320.0</v>
      </c>
      <c r="C65" s="11" t="s">
        <v>17</v>
      </c>
      <c r="D65" s="10" t="s">
        <v>358</v>
      </c>
      <c r="E65" s="14" t="s">
        <v>359</v>
      </c>
      <c r="F65" s="10" t="s">
        <v>360</v>
      </c>
      <c r="G65" s="15"/>
      <c r="H65" s="14">
        <v>37397.0</v>
      </c>
      <c r="I65" s="14">
        <v>45377.0</v>
      </c>
      <c r="J65" s="15"/>
      <c r="K65" s="7">
        <f t="shared" si="5"/>
        <v>30</v>
      </c>
      <c r="L65" s="8">
        <v>45383.0</v>
      </c>
      <c r="M65" s="8">
        <v>45412.0</v>
      </c>
      <c r="N65" s="9">
        <f t="shared" si="9"/>
        <v>320</v>
      </c>
      <c r="O65" s="9">
        <f t="shared" si="7"/>
        <v>1600</v>
      </c>
      <c r="P65" s="9">
        <f t="shared" si="8"/>
        <v>1920</v>
      </c>
    </row>
    <row r="66">
      <c r="A66" s="10" t="s">
        <v>16</v>
      </c>
      <c r="B66" s="10">
        <v>4320.0</v>
      </c>
      <c r="C66" s="10" t="s">
        <v>17</v>
      </c>
      <c r="D66" s="11" t="s">
        <v>276</v>
      </c>
      <c r="E66" s="12" t="s">
        <v>277</v>
      </c>
      <c r="F66" s="11" t="s">
        <v>278</v>
      </c>
      <c r="G66" s="13"/>
      <c r="H66" s="12">
        <v>37479.0</v>
      </c>
      <c r="I66" s="12">
        <v>45320.0</v>
      </c>
      <c r="J66" s="13"/>
      <c r="K66" s="7">
        <f t="shared" si="5"/>
        <v>30</v>
      </c>
      <c r="L66" s="8">
        <v>45383.0</v>
      </c>
      <c r="M66" s="8">
        <v>45412.0</v>
      </c>
      <c r="N66" s="9">
        <f t="shared" si="9"/>
        <v>320</v>
      </c>
      <c r="O66" s="9">
        <f t="shared" si="7"/>
        <v>1600</v>
      </c>
      <c r="P66" s="9">
        <f t="shared" si="8"/>
        <v>1920</v>
      </c>
    </row>
    <row r="67">
      <c r="A67" s="11" t="s">
        <v>16</v>
      </c>
      <c r="B67" s="11">
        <v>4320.0</v>
      </c>
      <c r="C67" s="11" t="s">
        <v>17</v>
      </c>
      <c r="D67" s="11" t="s">
        <v>279</v>
      </c>
      <c r="E67" s="12" t="s">
        <v>280</v>
      </c>
      <c r="F67" s="11" t="s">
        <v>281</v>
      </c>
      <c r="G67" s="13"/>
      <c r="H67" s="12">
        <v>33003.0</v>
      </c>
      <c r="I67" s="12">
        <v>45313.0</v>
      </c>
      <c r="J67" s="13"/>
      <c r="K67" s="7">
        <f t="shared" si="5"/>
        <v>30</v>
      </c>
      <c r="L67" s="8">
        <v>45383.0</v>
      </c>
      <c r="M67" s="8">
        <v>45412.0</v>
      </c>
      <c r="N67" s="9">
        <f t="shared" si="9"/>
        <v>320</v>
      </c>
      <c r="O67" s="9">
        <f t="shared" si="7"/>
        <v>1600</v>
      </c>
      <c r="P67" s="9">
        <f t="shared" si="8"/>
        <v>1920</v>
      </c>
    </row>
    <row r="68">
      <c r="A68" s="10" t="s">
        <v>16</v>
      </c>
      <c r="B68" s="10">
        <v>4320.0</v>
      </c>
      <c r="C68" s="10" t="s">
        <v>17</v>
      </c>
      <c r="D68" s="10" t="s">
        <v>243</v>
      </c>
      <c r="E68" s="14" t="s">
        <v>244</v>
      </c>
      <c r="F68" s="10" t="s">
        <v>245</v>
      </c>
      <c r="G68" s="15"/>
      <c r="H68" s="14">
        <v>36109.0</v>
      </c>
      <c r="I68" s="14">
        <v>45250.0</v>
      </c>
      <c r="J68" s="41"/>
      <c r="K68" s="7">
        <f t="shared" si="5"/>
        <v>30</v>
      </c>
      <c r="L68" s="8">
        <v>45383.0</v>
      </c>
      <c r="M68" s="8">
        <v>45412.0</v>
      </c>
      <c r="N68" s="9">
        <f t="shared" si="9"/>
        <v>320</v>
      </c>
      <c r="O68" s="9">
        <f t="shared" si="7"/>
        <v>1600</v>
      </c>
      <c r="P68" s="9">
        <f t="shared" si="8"/>
        <v>1920</v>
      </c>
    </row>
    <row r="69">
      <c r="A69" s="11" t="s">
        <v>16</v>
      </c>
      <c r="B69" s="11">
        <v>4320.0</v>
      </c>
      <c r="C69" s="11" t="s">
        <v>17</v>
      </c>
      <c r="D69" s="10" t="s">
        <v>177</v>
      </c>
      <c r="E69" s="14" t="s">
        <v>178</v>
      </c>
      <c r="F69" s="10" t="s">
        <v>179</v>
      </c>
      <c r="G69" s="15"/>
      <c r="H69" s="14">
        <v>35976.0</v>
      </c>
      <c r="I69" s="14">
        <v>45042.0</v>
      </c>
      <c r="J69" s="15"/>
      <c r="K69" s="7">
        <f t="shared" si="5"/>
        <v>30</v>
      </c>
      <c r="L69" s="8">
        <v>45383.0</v>
      </c>
      <c r="M69" s="8">
        <v>45412.0</v>
      </c>
      <c r="N69" s="9">
        <f t="shared" si="9"/>
        <v>320</v>
      </c>
      <c r="O69" s="9">
        <f t="shared" si="7"/>
        <v>1600</v>
      </c>
      <c r="P69" s="9">
        <f t="shared" si="8"/>
        <v>1920</v>
      </c>
    </row>
    <row r="70">
      <c r="A70" s="11" t="s">
        <v>16</v>
      </c>
      <c r="B70" s="11">
        <v>4320.0</v>
      </c>
      <c r="C70" s="11" t="s">
        <v>17</v>
      </c>
      <c r="D70" s="11" t="s">
        <v>376</v>
      </c>
      <c r="E70" s="12" t="s">
        <v>377</v>
      </c>
      <c r="F70" s="11" t="s">
        <v>378</v>
      </c>
      <c r="G70" s="13"/>
      <c r="H70" s="12">
        <v>36289.0</v>
      </c>
      <c r="I70" s="12">
        <v>45383.0</v>
      </c>
      <c r="J70" s="13"/>
      <c r="K70" s="7">
        <f t="shared" si="5"/>
        <v>30</v>
      </c>
      <c r="L70" s="8">
        <v>45383.0</v>
      </c>
      <c r="M70" s="8">
        <v>45412.0</v>
      </c>
      <c r="N70" s="9">
        <f t="shared" si="9"/>
        <v>320</v>
      </c>
      <c r="O70" s="9">
        <f t="shared" si="7"/>
        <v>1600</v>
      </c>
      <c r="P70" s="9">
        <f t="shared" si="8"/>
        <v>1920</v>
      </c>
    </row>
    <row r="71">
      <c r="A71" s="10" t="s">
        <v>16</v>
      </c>
      <c r="B71" s="10">
        <v>4320.0</v>
      </c>
      <c r="C71" s="10" t="s">
        <v>17</v>
      </c>
      <c r="D71" s="11" t="s">
        <v>183</v>
      </c>
      <c r="E71" s="12" t="s">
        <v>184</v>
      </c>
      <c r="F71" s="11" t="s">
        <v>185</v>
      </c>
      <c r="G71" s="13"/>
      <c r="H71" s="12">
        <v>36979.0</v>
      </c>
      <c r="I71" s="12">
        <v>44907.0</v>
      </c>
      <c r="J71" s="13"/>
      <c r="K71" s="7">
        <f t="shared" si="5"/>
        <v>30</v>
      </c>
      <c r="L71" s="8">
        <v>45383.0</v>
      </c>
      <c r="M71" s="8">
        <v>45412.0</v>
      </c>
      <c r="N71" s="9">
        <f t="shared" si="9"/>
        <v>320</v>
      </c>
      <c r="O71" s="9">
        <f t="shared" si="7"/>
        <v>1600</v>
      </c>
      <c r="P71" s="9">
        <f t="shared" si="8"/>
        <v>1920</v>
      </c>
    </row>
    <row r="72">
      <c r="A72" s="11" t="s">
        <v>16</v>
      </c>
      <c r="B72" s="11">
        <v>4320.0</v>
      </c>
      <c r="C72" s="11" t="s">
        <v>17</v>
      </c>
      <c r="D72" s="10" t="s">
        <v>189</v>
      </c>
      <c r="E72" s="14" t="s">
        <v>190</v>
      </c>
      <c r="F72" s="10" t="s">
        <v>191</v>
      </c>
      <c r="G72" s="15"/>
      <c r="H72" s="14">
        <v>36421.0</v>
      </c>
      <c r="I72" s="14">
        <v>45208.0</v>
      </c>
      <c r="J72" s="15"/>
      <c r="K72" s="7">
        <f t="shared" si="5"/>
        <v>30</v>
      </c>
      <c r="L72" s="8">
        <v>45383.0</v>
      </c>
      <c r="M72" s="8">
        <v>45412.0</v>
      </c>
      <c r="N72" s="9">
        <f t="shared" si="9"/>
        <v>320</v>
      </c>
      <c r="O72" s="9">
        <f t="shared" si="7"/>
        <v>1600</v>
      </c>
      <c r="P72" s="9">
        <f t="shared" si="8"/>
        <v>1920</v>
      </c>
    </row>
    <row r="73">
      <c r="A73" s="10" t="s">
        <v>16</v>
      </c>
      <c r="B73" s="10">
        <v>4320.0</v>
      </c>
      <c r="C73" s="10" t="s">
        <v>17</v>
      </c>
      <c r="D73" s="11" t="s">
        <v>258</v>
      </c>
      <c r="E73" s="12" t="s">
        <v>259</v>
      </c>
      <c r="F73" s="11" t="s">
        <v>260</v>
      </c>
      <c r="G73" s="13"/>
      <c r="H73" s="12">
        <v>35447.0</v>
      </c>
      <c r="I73" s="12">
        <v>45273.0</v>
      </c>
      <c r="J73" s="13"/>
      <c r="K73" s="7">
        <f t="shared" si="5"/>
        <v>30</v>
      </c>
      <c r="L73" s="8">
        <v>45383.0</v>
      </c>
      <c r="M73" s="8">
        <v>45412.0</v>
      </c>
      <c r="N73" s="9">
        <f t="shared" si="9"/>
        <v>320</v>
      </c>
      <c r="O73" s="9">
        <f t="shared" si="7"/>
        <v>1600</v>
      </c>
      <c r="P73" s="9">
        <f t="shared" si="8"/>
        <v>1920</v>
      </c>
    </row>
    <row r="74">
      <c r="A74" s="10" t="s">
        <v>16</v>
      </c>
      <c r="B74" s="10">
        <v>4320.0</v>
      </c>
      <c r="C74" s="10" t="s">
        <v>17</v>
      </c>
      <c r="D74" s="11" t="s">
        <v>201</v>
      </c>
      <c r="E74" s="12" t="s">
        <v>202</v>
      </c>
      <c r="F74" s="11" t="s">
        <v>203</v>
      </c>
      <c r="G74" s="13"/>
      <c r="H74" s="12">
        <v>36574.0</v>
      </c>
      <c r="I74" s="12">
        <v>45187.0</v>
      </c>
      <c r="J74" s="13"/>
      <c r="K74" s="7">
        <f t="shared" si="5"/>
        <v>30</v>
      </c>
      <c r="L74" s="8">
        <v>45383.0</v>
      </c>
      <c r="M74" s="8">
        <v>45412.0</v>
      </c>
      <c r="N74" s="9">
        <f t="shared" si="9"/>
        <v>320</v>
      </c>
      <c r="O74" s="9">
        <f t="shared" si="7"/>
        <v>1600</v>
      </c>
      <c r="P74" s="9">
        <f t="shared" si="8"/>
        <v>1920</v>
      </c>
    </row>
    <row r="75">
      <c r="A75" s="10" t="s">
        <v>16</v>
      </c>
      <c r="B75" s="10">
        <v>4320.0</v>
      </c>
      <c r="C75" s="10" t="s">
        <v>17</v>
      </c>
      <c r="D75" s="11" t="s">
        <v>301</v>
      </c>
      <c r="E75" s="12" t="s">
        <v>302</v>
      </c>
      <c r="F75" s="11" t="s">
        <v>303</v>
      </c>
      <c r="G75" s="13"/>
      <c r="H75" s="12">
        <v>36991.0</v>
      </c>
      <c r="I75" s="12">
        <v>45205.0</v>
      </c>
      <c r="J75" s="13"/>
      <c r="K75" s="7">
        <f t="shared" si="5"/>
        <v>30</v>
      </c>
      <c r="L75" s="8">
        <v>45383.0</v>
      </c>
      <c r="M75" s="8">
        <v>45412.0</v>
      </c>
      <c r="N75" s="9">
        <f t="shared" si="9"/>
        <v>320</v>
      </c>
      <c r="O75" s="9">
        <f t="shared" si="7"/>
        <v>1600</v>
      </c>
      <c r="P75" s="9">
        <f t="shared" si="8"/>
        <v>1920</v>
      </c>
    </row>
    <row r="76">
      <c r="A76" s="10" t="s">
        <v>16</v>
      </c>
      <c r="B76" s="10">
        <v>4320.0</v>
      </c>
      <c r="C76" s="10" t="s">
        <v>17</v>
      </c>
      <c r="D76" s="11" t="s">
        <v>207</v>
      </c>
      <c r="E76" s="12" t="s">
        <v>208</v>
      </c>
      <c r="F76" s="11" t="s">
        <v>209</v>
      </c>
      <c r="G76" s="13"/>
      <c r="H76" s="12">
        <v>33156.0</v>
      </c>
      <c r="I76" s="12">
        <v>44285.0</v>
      </c>
      <c r="J76" s="13"/>
      <c r="K76" s="7">
        <f t="shared" si="5"/>
        <v>30</v>
      </c>
      <c r="L76" s="8">
        <v>45383.0</v>
      </c>
      <c r="M76" s="8">
        <v>45412.0</v>
      </c>
      <c r="N76" s="9">
        <f t="shared" si="9"/>
        <v>320</v>
      </c>
      <c r="O76" s="9">
        <f t="shared" si="7"/>
        <v>1600</v>
      </c>
      <c r="P76" s="9">
        <f t="shared" si="8"/>
        <v>1920</v>
      </c>
    </row>
    <row r="77">
      <c r="A77" s="10" t="s">
        <v>16</v>
      </c>
      <c r="B77" s="10">
        <v>4320.0</v>
      </c>
      <c r="C77" s="10" t="s">
        <v>17</v>
      </c>
      <c r="D77" s="10" t="s">
        <v>304</v>
      </c>
      <c r="E77" s="14" t="s">
        <v>305</v>
      </c>
      <c r="F77" s="10" t="s">
        <v>306</v>
      </c>
      <c r="G77" s="15"/>
      <c r="H77" s="14">
        <v>35697.0</v>
      </c>
      <c r="I77" s="14">
        <v>45348.0</v>
      </c>
      <c r="J77" s="15"/>
      <c r="K77" s="7">
        <f t="shared" si="5"/>
        <v>30</v>
      </c>
      <c r="L77" s="8">
        <v>45383.0</v>
      </c>
      <c r="M77" s="8">
        <v>45412.0</v>
      </c>
      <c r="N77" s="9">
        <f t="shared" si="9"/>
        <v>320</v>
      </c>
      <c r="O77" s="9">
        <f t="shared" si="7"/>
        <v>1600</v>
      </c>
      <c r="P77" s="9">
        <f t="shared" si="8"/>
        <v>1920</v>
      </c>
    </row>
    <row r="78">
      <c r="A78" s="11" t="s">
        <v>16</v>
      </c>
      <c r="B78" s="11">
        <v>4320.0</v>
      </c>
      <c r="C78" s="11" t="s">
        <v>17</v>
      </c>
      <c r="D78" s="10" t="s">
        <v>213</v>
      </c>
      <c r="E78" s="14" t="s">
        <v>214</v>
      </c>
      <c r="F78" s="10" t="s">
        <v>215</v>
      </c>
      <c r="G78" s="15"/>
      <c r="H78" s="14">
        <v>36797.0</v>
      </c>
      <c r="I78" s="28">
        <v>44886.0</v>
      </c>
      <c r="J78" s="38"/>
      <c r="K78" s="7">
        <f t="shared" si="5"/>
        <v>30</v>
      </c>
      <c r="L78" s="8">
        <v>45383.0</v>
      </c>
      <c r="M78" s="8">
        <v>45412.0</v>
      </c>
      <c r="N78" s="9">
        <f t="shared" si="9"/>
        <v>320</v>
      </c>
      <c r="O78" s="9">
        <f t="shared" si="7"/>
        <v>1600</v>
      </c>
      <c r="P78" s="9">
        <f t="shared" si="8"/>
        <v>1920</v>
      </c>
    </row>
    <row r="79">
      <c r="A79" s="11" t="s">
        <v>16</v>
      </c>
      <c r="B79" s="11">
        <v>4320.0</v>
      </c>
      <c r="C79" s="11" t="s">
        <v>17</v>
      </c>
      <c r="D79" s="10" t="s">
        <v>216</v>
      </c>
      <c r="E79" s="14" t="s">
        <v>217</v>
      </c>
      <c r="F79" s="10" t="s">
        <v>218</v>
      </c>
      <c r="G79" s="15"/>
      <c r="H79" s="14">
        <v>33769.0</v>
      </c>
      <c r="I79" s="14">
        <v>44816.0</v>
      </c>
      <c r="J79" s="15"/>
      <c r="K79" s="7">
        <f t="shared" si="5"/>
        <v>30</v>
      </c>
      <c r="L79" s="8">
        <v>45383.0</v>
      </c>
      <c r="M79" s="8">
        <v>45412.0</v>
      </c>
      <c r="N79" s="9">
        <f t="shared" si="9"/>
        <v>320</v>
      </c>
      <c r="O79" s="9">
        <f t="shared" si="7"/>
        <v>1600</v>
      </c>
      <c r="P79" s="9">
        <f t="shared" si="8"/>
        <v>1920</v>
      </c>
    </row>
    <row r="80">
      <c r="A80" s="10" t="s">
        <v>16</v>
      </c>
      <c r="B80" s="10">
        <v>4320.0</v>
      </c>
      <c r="C80" s="10" t="s">
        <v>17</v>
      </c>
      <c r="D80" s="37" t="s">
        <v>219</v>
      </c>
      <c r="E80" s="12" t="s">
        <v>220</v>
      </c>
      <c r="F80" s="11" t="s">
        <v>221</v>
      </c>
      <c r="G80" s="13"/>
      <c r="H80" s="12">
        <v>36408.0</v>
      </c>
      <c r="I80" s="12">
        <v>45173.0</v>
      </c>
      <c r="J80" s="12">
        <v>45412.0</v>
      </c>
      <c r="K80" s="7">
        <f t="shared" si="5"/>
        <v>30</v>
      </c>
      <c r="L80" s="8">
        <v>45383.0</v>
      </c>
      <c r="M80" s="8">
        <v>45412.0</v>
      </c>
      <c r="N80" s="9">
        <f t="shared" si="9"/>
        <v>320</v>
      </c>
      <c r="O80" s="9">
        <f t="shared" si="7"/>
        <v>1600</v>
      </c>
      <c r="P80" s="9">
        <f t="shared" si="8"/>
        <v>1920</v>
      </c>
    </row>
    <row r="81">
      <c r="A81" s="11" t="s">
        <v>16</v>
      </c>
      <c r="B81" s="11">
        <v>4320.0</v>
      </c>
      <c r="C81" s="11" t="s">
        <v>17</v>
      </c>
      <c r="D81" s="10" t="s">
        <v>222</v>
      </c>
      <c r="E81" s="14" t="s">
        <v>223</v>
      </c>
      <c r="F81" s="10" t="s">
        <v>224</v>
      </c>
      <c r="G81" s="15"/>
      <c r="H81" s="14">
        <v>35818.0</v>
      </c>
      <c r="I81" s="14">
        <v>45089.0</v>
      </c>
      <c r="J81" s="15"/>
      <c r="K81" s="7">
        <f t="shared" si="5"/>
        <v>30</v>
      </c>
      <c r="L81" s="8">
        <v>45383.0</v>
      </c>
      <c r="M81" s="8">
        <v>45412.0</v>
      </c>
      <c r="N81" s="9">
        <f t="shared" si="9"/>
        <v>320</v>
      </c>
      <c r="O81" s="9">
        <f t="shared" si="7"/>
        <v>1600</v>
      </c>
      <c r="P81" s="9">
        <f t="shared" si="8"/>
        <v>1920</v>
      </c>
    </row>
    <row r="82">
      <c r="A82" s="11" t="s">
        <v>16</v>
      </c>
      <c r="B82" s="11">
        <v>4320.0</v>
      </c>
      <c r="C82" s="11" t="s">
        <v>17</v>
      </c>
      <c r="D82" s="10" t="s">
        <v>225</v>
      </c>
      <c r="E82" s="14" t="s">
        <v>226</v>
      </c>
      <c r="F82" s="10" t="s">
        <v>227</v>
      </c>
      <c r="G82" s="15"/>
      <c r="H82" s="14">
        <v>36177.0</v>
      </c>
      <c r="I82" s="14">
        <v>45320.0</v>
      </c>
      <c r="J82" s="15"/>
      <c r="K82" s="7">
        <f t="shared" si="5"/>
        <v>30</v>
      </c>
      <c r="L82" s="8">
        <v>45383.0</v>
      </c>
      <c r="M82" s="8">
        <v>45412.0</v>
      </c>
      <c r="N82" s="9">
        <f t="shared" si="9"/>
        <v>320</v>
      </c>
      <c r="O82" s="9">
        <f t="shared" si="7"/>
        <v>1600</v>
      </c>
      <c r="P82" s="9">
        <f t="shared" si="8"/>
        <v>1920</v>
      </c>
    </row>
    <row r="83">
      <c r="A83" s="10" t="s">
        <v>16</v>
      </c>
      <c r="B83" s="10">
        <v>4320.0</v>
      </c>
      <c r="C83" s="10" t="s">
        <v>17</v>
      </c>
      <c r="D83" s="11" t="s">
        <v>307</v>
      </c>
      <c r="E83" s="12" t="s">
        <v>308</v>
      </c>
      <c r="F83" s="11" t="s">
        <v>309</v>
      </c>
      <c r="G83" s="13"/>
      <c r="H83" s="12">
        <v>36522.0</v>
      </c>
      <c r="I83" s="12">
        <v>45328.0</v>
      </c>
      <c r="J83" s="13"/>
      <c r="K83" s="7">
        <f t="shared" si="5"/>
        <v>30</v>
      </c>
      <c r="L83" s="8">
        <v>45383.0</v>
      </c>
      <c r="M83" s="8">
        <v>45412.0</v>
      </c>
      <c r="N83" s="9">
        <f t="shared" si="9"/>
        <v>320</v>
      </c>
      <c r="O83" s="9">
        <f t="shared" si="7"/>
        <v>1600</v>
      </c>
      <c r="P83" s="9">
        <f t="shared" si="8"/>
        <v>1920</v>
      </c>
    </row>
    <row r="84">
      <c r="A84" s="10" t="s">
        <v>16</v>
      </c>
      <c r="B84" s="10">
        <v>4320.0</v>
      </c>
      <c r="C84" s="10" t="s">
        <v>17</v>
      </c>
      <c r="D84" s="11" t="s">
        <v>228</v>
      </c>
      <c r="E84" s="12" t="s">
        <v>229</v>
      </c>
      <c r="F84" s="11" t="s">
        <v>230</v>
      </c>
      <c r="G84" s="13"/>
      <c r="H84" s="12">
        <v>35743.0</v>
      </c>
      <c r="I84" s="12">
        <v>45222.0</v>
      </c>
      <c r="J84" s="13"/>
      <c r="K84" s="7">
        <f t="shared" si="5"/>
        <v>30</v>
      </c>
      <c r="L84" s="8">
        <v>45383.0</v>
      </c>
      <c r="M84" s="8">
        <v>45412.0</v>
      </c>
      <c r="N84" s="9">
        <f t="shared" si="9"/>
        <v>320</v>
      </c>
      <c r="O84" s="9">
        <f t="shared" si="7"/>
        <v>1600</v>
      </c>
      <c r="P84" s="9">
        <f t="shared" si="8"/>
        <v>1920</v>
      </c>
    </row>
    <row r="85">
      <c r="P85" s="40">
        <f>SUM(P2:P84)</f>
        <v>148116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88"/>
  </cols>
  <sheetData>
    <row r="1">
      <c r="A1" s="1" t="s">
        <v>0</v>
      </c>
      <c r="B1" s="1" t="s">
        <v>1</v>
      </c>
      <c r="C1" s="1" t="s">
        <v>2</v>
      </c>
      <c r="D1" s="1" t="s">
        <v>3</v>
      </c>
      <c r="E1" s="1" t="s">
        <v>4</v>
      </c>
      <c r="F1" s="2" t="s">
        <v>5</v>
      </c>
      <c r="G1" s="1" t="s">
        <v>6</v>
      </c>
      <c r="H1" s="1" t="s">
        <v>7</v>
      </c>
      <c r="I1" s="2" t="s">
        <v>8</v>
      </c>
      <c r="J1" s="2" t="s">
        <v>9</v>
      </c>
      <c r="K1" s="3" t="s">
        <v>10</v>
      </c>
      <c r="L1" s="3" t="s">
        <v>11</v>
      </c>
      <c r="M1" s="3" t="s">
        <v>12</v>
      </c>
      <c r="N1" s="3" t="s">
        <v>379</v>
      </c>
      <c r="O1" s="3"/>
      <c r="P1" s="3" t="s">
        <v>14</v>
      </c>
      <c r="Q1" s="3" t="s">
        <v>15</v>
      </c>
    </row>
    <row r="2">
      <c r="A2" s="11" t="s">
        <v>16</v>
      </c>
      <c r="B2" s="11">
        <v>4320.0</v>
      </c>
      <c r="C2" s="11" t="s">
        <v>17</v>
      </c>
      <c r="D2" s="10" t="s">
        <v>261</v>
      </c>
      <c r="E2" s="14" t="s">
        <v>262</v>
      </c>
      <c r="F2" s="10" t="s">
        <v>263</v>
      </c>
      <c r="G2" s="15"/>
      <c r="H2" s="14">
        <v>36617.0</v>
      </c>
      <c r="I2" s="14">
        <v>45299.0</v>
      </c>
      <c r="J2" s="15"/>
      <c r="K2" s="16">
        <f t="shared" ref="K2:K85" si="1">MAX(0, MIN(M2, J2) - MAX(L2, I2) + 1)</f>
        <v>31</v>
      </c>
      <c r="L2" s="17">
        <v>45413.0</v>
      </c>
      <c r="M2" s="17">
        <v>45443.0</v>
      </c>
      <c r="N2" s="18">
        <f t="shared" ref="N2:N10" si="2">ROUNDUP(K2/31*320,0)</f>
        <v>320</v>
      </c>
      <c r="O2" s="49">
        <v>320.0</v>
      </c>
      <c r="P2" s="18">
        <f t="shared" ref="P2:P85" si="3">N2*5</f>
        <v>1600</v>
      </c>
      <c r="Q2" s="18">
        <f t="shared" ref="Q2:Q85" si="4">N2+P2</f>
        <v>1920</v>
      </c>
    </row>
    <row r="3">
      <c r="A3" s="11" t="s">
        <v>16</v>
      </c>
      <c r="B3" s="11">
        <v>4320.0</v>
      </c>
      <c r="C3" s="11" t="s">
        <v>17</v>
      </c>
      <c r="D3" s="20" t="s">
        <v>361</v>
      </c>
      <c r="E3" s="14" t="s">
        <v>362</v>
      </c>
      <c r="F3" s="20" t="s">
        <v>363</v>
      </c>
      <c r="G3" s="15"/>
      <c r="H3" s="14">
        <v>37149.0</v>
      </c>
      <c r="I3" s="14">
        <v>45397.0</v>
      </c>
      <c r="J3" s="15"/>
      <c r="K3" s="7">
        <f t="shared" si="1"/>
        <v>31</v>
      </c>
      <c r="L3" s="8">
        <v>45413.0</v>
      </c>
      <c r="M3" s="8">
        <v>45443.0</v>
      </c>
      <c r="N3" s="9">
        <f t="shared" si="2"/>
        <v>320</v>
      </c>
      <c r="O3" s="49">
        <v>320.0</v>
      </c>
      <c r="P3" s="9">
        <f t="shared" si="3"/>
        <v>1600</v>
      </c>
      <c r="Q3" s="9">
        <f t="shared" si="4"/>
        <v>1920</v>
      </c>
    </row>
    <row r="4">
      <c r="A4" s="10" t="s">
        <v>16</v>
      </c>
      <c r="B4" s="10">
        <v>4320.0</v>
      </c>
      <c r="C4" s="10" t="s">
        <v>17</v>
      </c>
      <c r="D4" s="11" t="s">
        <v>310</v>
      </c>
      <c r="E4" s="12" t="s">
        <v>311</v>
      </c>
      <c r="F4" s="11" t="s">
        <v>312</v>
      </c>
      <c r="G4" s="13"/>
      <c r="H4" s="12">
        <v>37282.0</v>
      </c>
      <c r="I4" s="12">
        <v>45362.0</v>
      </c>
      <c r="J4" s="13"/>
      <c r="K4" s="7">
        <f t="shared" si="1"/>
        <v>31</v>
      </c>
      <c r="L4" s="8">
        <v>45413.0</v>
      </c>
      <c r="M4" s="8">
        <v>45443.0</v>
      </c>
      <c r="N4" s="9">
        <f t="shared" si="2"/>
        <v>320</v>
      </c>
      <c r="O4" s="49">
        <v>320.0</v>
      </c>
      <c r="P4" s="9">
        <f t="shared" si="3"/>
        <v>1600</v>
      </c>
      <c r="Q4" s="9">
        <f t="shared" si="4"/>
        <v>1920</v>
      </c>
    </row>
    <row r="5">
      <c r="A5" s="10" t="s">
        <v>16</v>
      </c>
      <c r="B5" s="10">
        <v>4320.0</v>
      </c>
      <c r="C5" s="10" t="s">
        <v>17</v>
      </c>
      <c r="D5" s="11" t="s">
        <v>21</v>
      </c>
      <c r="E5" s="12" t="s">
        <v>22</v>
      </c>
      <c r="F5" s="11" t="s">
        <v>23</v>
      </c>
      <c r="G5" s="13"/>
      <c r="H5" s="12">
        <v>36358.0</v>
      </c>
      <c r="I5" s="12">
        <v>45027.0</v>
      </c>
      <c r="J5" s="13"/>
      <c r="K5" s="7">
        <f t="shared" si="1"/>
        <v>31</v>
      </c>
      <c r="L5" s="8">
        <v>45413.0</v>
      </c>
      <c r="M5" s="8">
        <v>45443.0</v>
      </c>
      <c r="N5" s="9">
        <f t="shared" si="2"/>
        <v>320</v>
      </c>
      <c r="O5" s="49">
        <v>320.0</v>
      </c>
      <c r="P5" s="9">
        <f t="shared" si="3"/>
        <v>1600</v>
      </c>
      <c r="Q5" s="9">
        <f t="shared" si="4"/>
        <v>1920</v>
      </c>
    </row>
    <row r="6">
      <c r="A6" s="11" t="s">
        <v>16</v>
      </c>
      <c r="B6" s="11">
        <v>4320.0</v>
      </c>
      <c r="C6" s="11" t="s">
        <v>17</v>
      </c>
      <c r="D6" s="10" t="s">
        <v>24</v>
      </c>
      <c r="E6" s="14" t="s">
        <v>25</v>
      </c>
      <c r="F6" s="10" t="s">
        <v>26</v>
      </c>
      <c r="G6" s="15"/>
      <c r="H6" s="14">
        <v>36860.0</v>
      </c>
      <c r="I6" s="14">
        <v>45124.0</v>
      </c>
      <c r="J6" s="15"/>
      <c r="K6" s="7">
        <f t="shared" si="1"/>
        <v>31</v>
      </c>
      <c r="L6" s="8">
        <v>45413.0</v>
      </c>
      <c r="M6" s="8">
        <v>45443.0</v>
      </c>
      <c r="N6" s="9">
        <f t="shared" si="2"/>
        <v>320</v>
      </c>
      <c r="O6" s="49">
        <v>320.0</v>
      </c>
      <c r="P6" s="9">
        <f t="shared" si="3"/>
        <v>1600</v>
      </c>
      <c r="Q6" s="9">
        <f t="shared" si="4"/>
        <v>1920</v>
      </c>
    </row>
    <row r="7">
      <c r="A7" s="10" t="s">
        <v>16</v>
      </c>
      <c r="B7" s="10">
        <v>4320.0</v>
      </c>
      <c r="C7" s="10" t="s">
        <v>17</v>
      </c>
      <c r="D7" s="11" t="s">
        <v>30</v>
      </c>
      <c r="E7" s="12" t="s">
        <v>31</v>
      </c>
      <c r="F7" s="11" t="s">
        <v>32</v>
      </c>
      <c r="G7" s="13"/>
      <c r="H7" s="12">
        <v>35997.0</v>
      </c>
      <c r="I7" s="12">
        <v>45061.0</v>
      </c>
      <c r="J7" s="13"/>
      <c r="K7" s="7">
        <f t="shared" si="1"/>
        <v>31</v>
      </c>
      <c r="L7" s="8">
        <v>45413.0</v>
      </c>
      <c r="M7" s="8">
        <v>45443.0</v>
      </c>
      <c r="N7" s="9">
        <f t="shared" si="2"/>
        <v>320</v>
      </c>
      <c r="O7" s="49">
        <v>320.0</v>
      </c>
      <c r="P7" s="9">
        <f t="shared" si="3"/>
        <v>1600</v>
      </c>
      <c r="Q7" s="9">
        <f t="shared" si="4"/>
        <v>1920</v>
      </c>
    </row>
    <row r="8">
      <c r="A8" s="10" t="s">
        <v>16</v>
      </c>
      <c r="B8" s="10">
        <v>4320.0</v>
      </c>
      <c r="C8" s="10" t="s">
        <v>17</v>
      </c>
      <c r="D8" s="11" t="s">
        <v>246</v>
      </c>
      <c r="E8" s="12" t="s">
        <v>247</v>
      </c>
      <c r="F8" s="11" t="s">
        <v>248</v>
      </c>
      <c r="G8" s="13"/>
      <c r="H8" s="12">
        <v>36353.0</v>
      </c>
      <c r="I8" s="12">
        <v>45278.0</v>
      </c>
      <c r="J8" s="13"/>
      <c r="K8" s="7">
        <f t="shared" si="1"/>
        <v>31</v>
      </c>
      <c r="L8" s="8">
        <v>45413.0</v>
      </c>
      <c r="M8" s="8">
        <v>45443.0</v>
      </c>
      <c r="N8" s="9">
        <f t="shared" si="2"/>
        <v>320</v>
      </c>
      <c r="O8" s="49">
        <v>320.0</v>
      </c>
      <c r="P8" s="9">
        <f t="shared" si="3"/>
        <v>1600</v>
      </c>
      <c r="Q8" s="9">
        <f t="shared" si="4"/>
        <v>1920</v>
      </c>
    </row>
    <row r="9">
      <c r="A9" s="10" t="s">
        <v>16</v>
      </c>
      <c r="B9" s="10">
        <v>4320.0</v>
      </c>
      <c r="C9" s="10" t="s">
        <v>17</v>
      </c>
      <c r="D9" s="20" t="s">
        <v>380</v>
      </c>
      <c r="E9" s="14" t="s">
        <v>381</v>
      </c>
      <c r="F9" s="10" t="s">
        <v>382</v>
      </c>
      <c r="G9" s="15"/>
      <c r="H9" s="14">
        <v>35669.0</v>
      </c>
      <c r="I9" s="14">
        <v>45418.0</v>
      </c>
      <c r="J9" s="15"/>
      <c r="K9" s="7">
        <f t="shared" si="1"/>
        <v>26</v>
      </c>
      <c r="L9" s="8">
        <v>45413.0</v>
      </c>
      <c r="M9" s="8">
        <v>45443.0</v>
      </c>
      <c r="N9" s="9">
        <f t="shared" si="2"/>
        <v>269</v>
      </c>
      <c r="O9" s="49">
        <v>268.38709677419354</v>
      </c>
      <c r="P9" s="9">
        <f t="shared" si="3"/>
        <v>1345</v>
      </c>
      <c r="Q9" s="9">
        <f t="shared" si="4"/>
        <v>1614</v>
      </c>
    </row>
    <row r="10">
      <c r="A10" s="10" t="s">
        <v>16</v>
      </c>
      <c r="B10" s="10">
        <v>4320.0</v>
      </c>
      <c r="C10" s="10" t="s">
        <v>17</v>
      </c>
      <c r="D10" s="10" t="s">
        <v>231</v>
      </c>
      <c r="E10" s="14" t="s">
        <v>232</v>
      </c>
      <c r="F10" s="10" t="s">
        <v>233</v>
      </c>
      <c r="G10" s="15"/>
      <c r="H10" s="14">
        <v>36634.0</v>
      </c>
      <c r="I10" s="14">
        <v>45251.0</v>
      </c>
      <c r="J10" s="14">
        <v>45422.0</v>
      </c>
      <c r="K10" s="7">
        <f t="shared" si="1"/>
        <v>10</v>
      </c>
      <c r="L10" s="8">
        <v>45413.0</v>
      </c>
      <c r="M10" s="8">
        <v>45443.0</v>
      </c>
      <c r="N10" s="9">
        <f t="shared" si="2"/>
        <v>104</v>
      </c>
      <c r="O10" s="49">
        <v>103.2258064516129</v>
      </c>
      <c r="P10" s="9">
        <f t="shared" si="3"/>
        <v>520</v>
      </c>
      <c r="Q10" s="9">
        <f t="shared" si="4"/>
        <v>624</v>
      </c>
    </row>
    <row r="11">
      <c r="A11" s="11" t="s">
        <v>16</v>
      </c>
      <c r="B11" s="11">
        <v>4320.0</v>
      </c>
      <c r="C11" s="11" t="s">
        <v>17</v>
      </c>
      <c r="D11" s="20" t="s">
        <v>364</v>
      </c>
      <c r="E11" s="14" t="s">
        <v>365</v>
      </c>
      <c r="F11" s="20" t="s">
        <v>366</v>
      </c>
      <c r="G11" s="15"/>
      <c r="H11" s="14">
        <v>36703.0</v>
      </c>
      <c r="I11" s="14">
        <v>45411.0</v>
      </c>
      <c r="J11" s="44">
        <v>45434.0</v>
      </c>
      <c r="K11" s="7">
        <f t="shared" si="1"/>
        <v>22</v>
      </c>
      <c r="L11" s="8">
        <v>45413.0</v>
      </c>
      <c r="M11" s="8">
        <v>45443.0</v>
      </c>
      <c r="N11" s="50">
        <v>227.0</v>
      </c>
      <c r="O11" s="49">
        <v>227.09677419354838</v>
      </c>
      <c r="P11" s="9">
        <f t="shared" si="3"/>
        <v>1135</v>
      </c>
      <c r="Q11" s="9">
        <f t="shared" si="4"/>
        <v>1362</v>
      </c>
    </row>
    <row r="12">
      <c r="A12" s="11" t="s">
        <v>16</v>
      </c>
      <c r="B12" s="11">
        <v>4320.0</v>
      </c>
      <c r="C12" s="11" t="s">
        <v>17</v>
      </c>
      <c r="D12" s="10" t="s">
        <v>316</v>
      </c>
      <c r="E12" s="14" t="s">
        <v>317</v>
      </c>
      <c r="F12" s="10" t="s">
        <v>318</v>
      </c>
      <c r="G12" s="15"/>
      <c r="H12" s="14">
        <v>37274.0</v>
      </c>
      <c r="I12" s="14">
        <v>45362.0</v>
      </c>
      <c r="J12" s="15"/>
      <c r="K12" s="7">
        <f t="shared" si="1"/>
        <v>31</v>
      </c>
      <c r="L12" s="8">
        <v>45413.0</v>
      </c>
      <c r="M12" s="8">
        <v>45443.0</v>
      </c>
      <c r="N12" s="9">
        <f t="shared" ref="N12:N85" si="5">ROUNDUP(K12/31*320,0)</f>
        <v>320</v>
      </c>
      <c r="O12" s="49">
        <v>320.0</v>
      </c>
      <c r="P12" s="9">
        <f t="shared" si="3"/>
        <v>1600</v>
      </c>
      <c r="Q12" s="9">
        <f t="shared" si="4"/>
        <v>1920</v>
      </c>
    </row>
    <row r="13">
      <c r="A13" s="11" t="s">
        <v>16</v>
      </c>
      <c r="B13" s="11">
        <v>4320.0</v>
      </c>
      <c r="C13" s="11" t="s">
        <v>17</v>
      </c>
      <c r="D13" s="10" t="s">
        <v>264</v>
      </c>
      <c r="E13" s="14" t="s">
        <v>265</v>
      </c>
      <c r="F13" s="10" t="s">
        <v>266</v>
      </c>
      <c r="G13" s="15"/>
      <c r="H13" s="14">
        <v>37398.0</v>
      </c>
      <c r="I13" s="14">
        <v>45096.0</v>
      </c>
      <c r="J13" s="15"/>
      <c r="K13" s="7">
        <f t="shared" si="1"/>
        <v>31</v>
      </c>
      <c r="L13" s="8">
        <v>45413.0</v>
      </c>
      <c r="M13" s="8">
        <v>45443.0</v>
      </c>
      <c r="N13" s="9">
        <f t="shared" si="5"/>
        <v>320</v>
      </c>
      <c r="O13" s="49">
        <v>320.0</v>
      </c>
      <c r="P13" s="9">
        <f t="shared" si="3"/>
        <v>1600</v>
      </c>
      <c r="Q13" s="9">
        <f t="shared" si="4"/>
        <v>1920</v>
      </c>
    </row>
    <row r="14">
      <c r="A14" s="11" t="s">
        <v>16</v>
      </c>
      <c r="B14" s="11">
        <v>4320.0</v>
      </c>
      <c r="C14" s="11" t="s">
        <v>17</v>
      </c>
      <c r="D14" s="10" t="s">
        <v>319</v>
      </c>
      <c r="E14" s="14" t="s">
        <v>320</v>
      </c>
      <c r="F14" s="10" t="s">
        <v>321</v>
      </c>
      <c r="G14" s="15"/>
      <c r="H14" s="14">
        <v>36360.0</v>
      </c>
      <c r="I14" s="14">
        <v>45355.0</v>
      </c>
      <c r="J14" s="15"/>
      <c r="K14" s="7">
        <f t="shared" si="1"/>
        <v>31</v>
      </c>
      <c r="L14" s="8">
        <v>45413.0</v>
      </c>
      <c r="M14" s="8">
        <v>45443.0</v>
      </c>
      <c r="N14" s="9">
        <f t="shared" si="5"/>
        <v>320</v>
      </c>
      <c r="O14" s="49">
        <v>320.0</v>
      </c>
      <c r="P14" s="9">
        <f t="shared" si="3"/>
        <v>1600</v>
      </c>
      <c r="Q14" s="9">
        <f t="shared" si="4"/>
        <v>1920</v>
      </c>
    </row>
    <row r="15">
      <c r="A15" s="11" t="s">
        <v>16</v>
      </c>
      <c r="B15" s="11">
        <v>4320.0</v>
      </c>
      <c r="C15" s="11" t="s">
        <v>17</v>
      </c>
      <c r="D15" s="11" t="s">
        <v>322</v>
      </c>
      <c r="E15" s="12" t="s">
        <v>323</v>
      </c>
      <c r="F15" s="11" t="s">
        <v>324</v>
      </c>
      <c r="G15" s="13"/>
      <c r="H15" s="12">
        <v>37100.0</v>
      </c>
      <c r="I15" s="12">
        <v>45376.0</v>
      </c>
      <c r="J15" s="12">
        <v>45425.0</v>
      </c>
      <c r="K15" s="7">
        <f t="shared" si="1"/>
        <v>13</v>
      </c>
      <c r="L15" s="8">
        <v>45413.0</v>
      </c>
      <c r="M15" s="8">
        <v>45443.0</v>
      </c>
      <c r="N15" s="9">
        <f t="shared" si="5"/>
        <v>135</v>
      </c>
      <c r="O15" s="49">
        <v>134.19354838709677</v>
      </c>
      <c r="P15" s="9">
        <f t="shared" si="3"/>
        <v>675</v>
      </c>
      <c r="Q15" s="9">
        <f t="shared" si="4"/>
        <v>810</v>
      </c>
    </row>
    <row r="16">
      <c r="A16" s="11" t="s">
        <v>16</v>
      </c>
      <c r="B16" s="11">
        <v>4320.0</v>
      </c>
      <c r="C16" s="11" t="s">
        <v>17</v>
      </c>
      <c r="D16" s="10" t="s">
        <v>282</v>
      </c>
      <c r="E16" s="14" t="s">
        <v>283</v>
      </c>
      <c r="F16" s="10" t="s">
        <v>284</v>
      </c>
      <c r="G16" s="15"/>
      <c r="H16" s="14">
        <v>35047.0</v>
      </c>
      <c r="I16" s="14">
        <v>45257.0</v>
      </c>
      <c r="J16" s="15"/>
      <c r="K16" s="7">
        <f t="shared" si="1"/>
        <v>31</v>
      </c>
      <c r="L16" s="8">
        <v>45413.0</v>
      </c>
      <c r="M16" s="8">
        <v>45443.0</v>
      </c>
      <c r="N16" s="9">
        <f t="shared" si="5"/>
        <v>320</v>
      </c>
      <c r="O16" s="49">
        <v>320.0</v>
      </c>
      <c r="P16" s="9">
        <f t="shared" si="3"/>
        <v>1600</v>
      </c>
      <c r="Q16" s="9">
        <f t="shared" si="4"/>
        <v>1920</v>
      </c>
    </row>
    <row r="17">
      <c r="A17" s="10" t="s">
        <v>16</v>
      </c>
      <c r="B17" s="10">
        <v>4320.0</v>
      </c>
      <c r="C17" s="10" t="s">
        <v>17</v>
      </c>
      <c r="D17" s="11" t="s">
        <v>45</v>
      </c>
      <c r="E17" s="12" t="s">
        <v>46</v>
      </c>
      <c r="F17" s="11" t="s">
        <v>47</v>
      </c>
      <c r="G17" s="13"/>
      <c r="H17" s="12">
        <v>37370.0</v>
      </c>
      <c r="I17" s="12">
        <v>44739.0</v>
      </c>
      <c r="J17" s="13"/>
      <c r="K17" s="7">
        <f t="shared" si="1"/>
        <v>31</v>
      </c>
      <c r="L17" s="8">
        <v>45413.0</v>
      </c>
      <c r="M17" s="8">
        <v>45443.0</v>
      </c>
      <c r="N17" s="9">
        <f t="shared" si="5"/>
        <v>320</v>
      </c>
      <c r="O17" s="49">
        <v>320.0</v>
      </c>
      <c r="P17" s="9">
        <f t="shared" si="3"/>
        <v>1600</v>
      </c>
      <c r="Q17" s="9">
        <f t="shared" si="4"/>
        <v>1920</v>
      </c>
    </row>
    <row r="18">
      <c r="A18" s="10" t="s">
        <v>16</v>
      </c>
      <c r="B18" s="10">
        <v>4320.0</v>
      </c>
      <c r="C18" s="10" t="s">
        <v>17</v>
      </c>
      <c r="D18" s="11" t="s">
        <v>48</v>
      </c>
      <c r="E18" s="12" t="s">
        <v>49</v>
      </c>
      <c r="F18" s="11" t="s">
        <v>50</v>
      </c>
      <c r="G18" s="13"/>
      <c r="H18" s="12">
        <v>36399.0</v>
      </c>
      <c r="I18" s="12">
        <v>45229.0</v>
      </c>
      <c r="J18" s="13"/>
      <c r="K18" s="7">
        <f t="shared" si="1"/>
        <v>31</v>
      </c>
      <c r="L18" s="8">
        <v>45413.0</v>
      </c>
      <c r="M18" s="8">
        <v>45443.0</v>
      </c>
      <c r="N18" s="9">
        <f t="shared" si="5"/>
        <v>320</v>
      </c>
      <c r="O18" s="49">
        <v>320.0</v>
      </c>
      <c r="P18" s="9">
        <f t="shared" si="3"/>
        <v>1600</v>
      </c>
      <c r="Q18" s="9">
        <f t="shared" si="4"/>
        <v>1920</v>
      </c>
    </row>
    <row r="19">
      <c r="A19" s="11" t="s">
        <v>16</v>
      </c>
      <c r="B19" s="11">
        <v>4320.0</v>
      </c>
      <c r="C19" s="11" t="s">
        <v>17</v>
      </c>
      <c r="D19" s="11" t="s">
        <v>383</v>
      </c>
      <c r="E19" s="12" t="s">
        <v>384</v>
      </c>
      <c r="F19" s="11" t="s">
        <v>385</v>
      </c>
      <c r="G19" s="13"/>
      <c r="H19" s="12">
        <v>36183.0</v>
      </c>
      <c r="I19" s="43">
        <v>45413.0</v>
      </c>
      <c r="J19" s="13"/>
      <c r="K19" s="7">
        <f t="shared" si="1"/>
        <v>31</v>
      </c>
      <c r="L19" s="8">
        <v>45413.0</v>
      </c>
      <c r="M19" s="8">
        <v>45443.0</v>
      </c>
      <c r="N19" s="9">
        <f t="shared" si="5"/>
        <v>320</v>
      </c>
      <c r="O19" s="49">
        <v>320.0</v>
      </c>
      <c r="P19" s="9">
        <f t="shared" si="3"/>
        <v>1600</v>
      </c>
      <c r="Q19" s="9">
        <f t="shared" si="4"/>
        <v>1920</v>
      </c>
    </row>
    <row r="20">
      <c r="A20" s="11" t="s">
        <v>16</v>
      </c>
      <c r="B20" s="11">
        <v>4320.0</v>
      </c>
      <c r="C20" s="11" t="s">
        <v>17</v>
      </c>
      <c r="D20" s="35" t="s">
        <v>386</v>
      </c>
      <c r="E20" s="12" t="s">
        <v>387</v>
      </c>
      <c r="F20" s="11" t="s">
        <v>388</v>
      </c>
      <c r="G20" s="13"/>
      <c r="H20" s="12">
        <v>37144.0</v>
      </c>
      <c r="I20" s="12">
        <v>45418.0</v>
      </c>
      <c r="J20" s="13"/>
      <c r="K20" s="7">
        <f t="shared" si="1"/>
        <v>26</v>
      </c>
      <c r="L20" s="8">
        <v>45413.0</v>
      </c>
      <c r="M20" s="8">
        <v>45443.0</v>
      </c>
      <c r="N20" s="9">
        <f t="shared" si="5"/>
        <v>269</v>
      </c>
      <c r="O20" s="49">
        <v>268.38709677419354</v>
      </c>
      <c r="P20" s="9">
        <f t="shared" si="3"/>
        <v>1345</v>
      </c>
      <c r="Q20" s="9">
        <f t="shared" si="4"/>
        <v>1614</v>
      </c>
    </row>
    <row r="21">
      <c r="A21" s="10" t="s">
        <v>16</v>
      </c>
      <c r="B21" s="10">
        <v>4320.0</v>
      </c>
      <c r="C21" s="10" t="s">
        <v>17</v>
      </c>
      <c r="D21" s="11" t="s">
        <v>325</v>
      </c>
      <c r="E21" s="12" t="s">
        <v>326</v>
      </c>
      <c r="F21" s="11" t="s">
        <v>327</v>
      </c>
      <c r="G21" s="13"/>
      <c r="H21" s="12">
        <v>36962.0</v>
      </c>
      <c r="I21" s="12">
        <v>45376.0</v>
      </c>
      <c r="J21" s="13"/>
      <c r="K21" s="7">
        <f t="shared" si="1"/>
        <v>31</v>
      </c>
      <c r="L21" s="8">
        <v>45413.0</v>
      </c>
      <c r="M21" s="8">
        <v>45443.0</v>
      </c>
      <c r="N21" s="9">
        <f t="shared" si="5"/>
        <v>320</v>
      </c>
      <c r="O21" s="49">
        <v>320.0</v>
      </c>
      <c r="P21" s="9">
        <f t="shared" si="3"/>
        <v>1600</v>
      </c>
      <c r="Q21" s="9">
        <f t="shared" si="4"/>
        <v>1920</v>
      </c>
    </row>
    <row r="22">
      <c r="A22" s="11" t="s">
        <v>16</v>
      </c>
      <c r="B22" s="11">
        <v>4320.0</v>
      </c>
      <c r="C22" s="11" t="s">
        <v>17</v>
      </c>
      <c r="D22" s="10" t="s">
        <v>285</v>
      </c>
      <c r="E22" s="14" t="s">
        <v>286</v>
      </c>
      <c r="F22" s="10" t="s">
        <v>287</v>
      </c>
      <c r="G22" s="15"/>
      <c r="H22" s="14">
        <v>37377.0</v>
      </c>
      <c r="I22" s="14">
        <v>45334.0</v>
      </c>
      <c r="J22" s="15"/>
      <c r="K22" s="7">
        <f t="shared" si="1"/>
        <v>31</v>
      </c>
      <c r="L22" s="8">
        <v>45413.0</v>
      </c>
      <c r="M22" s="8">
        <v>45443.0</v>
      </c>
      <c r="N22" s="9">
        <f t="shared" si="5"/>
        <v>320</v>
      </c>
      <c r="O22" s="49">
        <v>320.0</v>
      </c>
      <c r="P22" s="9">
        <f t="shared" si="3"/>
        <v>1600</v>
      </c>
      <c r="Q22" s="9">
        <f t="shared" si="4"/>
        <v>1920</v>
      </c>
    </row>
    <row r="23">
      <c r="A23" s="11" t="s">
        <v>16</v>
      </c>
      <c r="B23" s="11">
        <v>4320.0</v>
      </c>
      <c r="C23" s="11" t="s">
        <v>17</v>
      </c>
      <c r="D23" s="10" t="s">
        <v>51</v>
      </c>
      <c r="E23" s="14" t="s">
        <v>52</v>
      </c>
      <c r="F23" s="10" t="s">
        <v>53</v>
      </c>
      <c r="G23" s="15"/>
      <c r="H23" s="14">
        <v>34601.0</v>
      </c>
      <c r="I23" s="14">
        <v>44986.0</v>
      </c>
      <c r="J23" s="15"/>
      <c r="K23" s="7">
        <f t="shared" si="1"/>
        <v>31</v>
      </c>
      <c r="L23" s="8">
        <v>45413.0</v>
      </c>
      <c r="M23" s="8">
        <v>45443.0</v>
      </c>
      <c r="N23" s="9">
        <f t="shared" si="5"/>
        <v>320</v>
      </c>
      <c r="O23" s="49">
        <v>320.0</v>
      </c>
      <c r="P23" s="9">
        <f t="shared" si="3"/>
        <v>1600</v>
      </c>
      <c r="Q23" s="9">
        <f t="shared" si="4"/>
        <v>1920</v>
      </c>
    </row>
    <row r="24">
      <c r="A24" s="10" t="s">
        <v>16</v>
      </c>
      <c r="B24" s="10">
        <v>4320.0</v>
      </c>
      <c r="C24" s="10" t="s">
        <v>17</v>
      </c>
      <c r="D24" s="11" t="s">
        <v>249</v>
      </c>
      <c r="E24" s="12" t="s">
        <v>250</v>
      </c>
      <c r="F24" s="11" t="s">
        <v>251</v>
      </c>
      <c r="G24" s="13"/>
      <c r="H24" s="12">
        <v>37322.0</v>
      </c>
      <c r="I24" s="12">
        <v>45096.0</v>
      </c>
      <c r="J24" s="13"/>
      <c r="K24" s="7">
        <f t="shared" si="1"/>
        <v>31</v>
      </c>
      <c r="L24" s="8">
        <v>45413.0</v>
      </c>
      <c r="M24" s="8">
        <v>45443.0</v>
      </c>
      <c r="N24" s="9">
        <f t="shared" si="5"/>
        <v>320</v>
      </c>
      <c r="O24" s="49">
        <v>320.0</v>
      </c>
      <c r="P24" s="9">
        <f t="shared" si="3"/>
        <v>1600</v>
      </c>
      <c r="Q24" s="9">
        <f t="shared" si="4"/>
        <v>1920</v>
      </c>
    </row>
    <row r="25">
      <c r="A25" s="11" t="s">
        <v>16</v>
      </c>
      <c r="B25" s="11">
        <v>4320.0</v>
      </c>
      <c r="C25" s="11" t="s">
        <v>17</v>
      </c>
      <c r="D25" s="10" t="s">
        <v>57</v>
      </c>
      <c r="E25" s="14" t="s">
        <v>58</v>
      </c>
      <c r="F25" s="10" t="s">
        <v>59</v>
      </c>
      <c r="G25" s="15"/>
      <c r="H25" s="14">
        <v>35704.0</v>
      </c>
      <c r="I25" s="14">
        <v>44760.0</v>
      </c>
      <c r="J25" s="15"/>
      <c r="K25" s="7">
        <f t="shared" si="1"/>
        <v>31</v>
      </c>
      <c r="L25" s="8">
        <v>45413.0</v>
      </c>
      <c r="M25" s="8">
        <v>45443.0</v>
      </c>
      <c r="N25" s="9">
        <f t="shared" si="5"/>
        <v>320</v>
      </c>
      <c r="O25" s="49">
        <v>320.0</v>
      </c>
      <c r="P25" s="9">
        <f t="shared" si="3"/>
        <v>1600</v>
      </c>
      <c r="Q25" s="9">
        <f t="shared" si="4"/>
        <v>1920</v>
      </c>
    </row>
    <row r="26">
      <c r="A26" s="11" t="s">
        <v>16</v>
      </c>
      <c r="B26" s="11">
        <v>4320.0</v>
      </c>
      <c r="C26" s="11" t="s">
        <v>17</v>
      </c>
      <c r="D26" s="10" t="s">
        <v>291</v>
      </c>
      <c r="E26" s="14" t="s">
        <v>292</v>
      </c>
      <c r="F26" s="10" t="s">
        <v>293</v>
      </c>
      <c r="G26" s="15"/>
      <c r="H26" s="14">
        <v>37219.0</v>
      </c>
      <c r="I26" s="14">
        <v>45257.0</v>
      </c>
      <c r="J26" s="15"/>
      <c r="K26" s="7">
        <f t="shared" si="1"/>
        <v>31</v>
      </c>
      <c r="L26" s="8">
        <v>45413.0</v>
      </c>
      <c r="M26" s="8">
        <v>45443.0</v>
      </c>
      <c r="N26" s="9">
        <f t="shared" si="5"/>
        <v>320</v>
      </c>
      <c r="O26" s="49">
        <v>320.0</v>
      </c>
      <c r="P26" s="9">
        <f t="shared" si="3"/>
        <v>1600</v>
      </c>
      <c r="Q26" s="9">
        <f t="shared" si="4"/>
        <v>1920</v>
      </c>
    </row>
    <row r="27">
      <c r="A27" s="11" t="s">
        <v>16</v>
      </c>
      <c r="B27" s="11">
        <v>4320.0</v>
      </c>
      <c r="C27" s="11" t="s">
        <v>17</v>
      </c>
      <c r="D27" s="11" t="s">
        <v>328</v>
      </c>
      <c r="E27" s="12" t="s">
        <v>329</v>
      </c>
      <c r="F27" s="11" t="s">
        <v>330</v>
      </c>
      <c r="G27" s="13"/>
      <c r="H27" s="12">
        <v>35871.0</v>
      </c>
      <c r="I27" s="12">
        <v>45369.0</v>
      </c>
      <c r="J27" s="12">
        <v>45419.0</v>
      </c>
      <c r="K27" s="7">
        <f t="shared" si="1"/>
        <v>7</v>
      </c>
      <c r="L27" s="8">
        <v>45413.0</v>
      </c>
      <c r="M27" s="8">
        <v>45443.0</v>
      </c>
      <c r="N27" s="9">
        <f t="shared" si="5"/>
        <v>73</v>
      </c>
      <c r="O27" s="49">
        <v>72.25806451612902</v>
      </c>
      <c r="P27" s="9">
        <f t="shared" si="3"/>
        <v>365</v>
      </c>
      <c r="Q27" s="9">
        <f t="shared" si="4"/>
        <v>438</v>
      </c>
    </row>
    <row r="28">
      <c r="A28" s="10" t="s">
        <v>16</v>
      </c>
      <c r="B28" s="10">
        <v>4320.0</v>
      </c>
      <c r="C28" s="10" t="s">
        <v>17</v>
      </c>
      <c r="D28" s="35" t="s">
        <v>367</v>
      </c>
      <c r="E28" s="12" t="s">
        <v>368</v>
      </c>
      <c r="F28" s="35" t="s">
        <v>369</v>
      </c>
      <c r="G28" s="13"/>
      <c r="H28" s="12">
        <v>36718.0</v>
      </c>
      <c r="I28" s="12">
        <v>45397.0</v>
      </c>
      <c r="J28" s="13"/>
      <c r="K28" s="7">
        <f t="shared" si="1"/>
        <v>31</v>
      </c>
      <c r="L28" s="8">
        <v>45413.0</v>
      </c>
      <c r="M28" s="8">
        <v>45443.0</v>
      </c>
      <c r="N28" s="9">
        <f t="shared" si="5"/>
        <v>320</v>
      </c>
      <c r="O28" s="49">
        <v>320.0</v>
      </c>
      <c r="P28" s="9">
        <f t="shared" si="3"/>
        <v>1600</v>
      </c>
      <c r="Q28" s="9">
        <f t="shared" si="4"/>
        <v>1920</v>
      </c>
    </row>
    <row r="29">
      <c r="A29" s="10" t="s">
        <v>16</v>
      </c>
      <c r="B29" s="10">
        <v>4320.0</v>
      </c>
      <c r="C29" s="10" t="s">
        <v>17</v>
      </c>
      <c r="D29" s="11" t="s">
        <v>60</v>
      </c>
      <c r="E29" s="12" t="s">
        <v>61</v>
      </c>
      <c r="F29" s="11" t="s">
        <v>62</v>
      </c>
      <c r="G29" s="13"/>
      <c r="H29" s="12">
        <v>36246.0</v>
      </c>
      <c r="I29" s="12">
        <v>44851.0</v>
      </c>
      <c r="J29" s="13"/>
      <c r="K29" s="7">
        <f t="shared" si="1"/>
        <v>31</v>
      </c>
      <c r="L29" s="8">
        <v>45413.0</v>
      </c>
      <c r="M29" s="8">
        <v>45443.0</v>
      </c>
      <c r="N29" s="9">
        <f t="shared" si="5"/>
        <v>320</v>
      </c>
      <c r="O29" s="49">
        <v>320.0</v>
      </c>
      <c r="P29" s="9">
        <f t="shared" si="3"/>
        <v>1600</v>
      </c>
      <c r="Q29" s="9">
        <f t="shared" si="4"/>
        <v>1920</v>
      </c>
    </row>
    <row r="30">
      <c r="A30" s="11" t="s">
        <v>16</v>
      </c>
      <c r="B30" s="11">
        <v>4320.0</v>
      </c>
      <c r="C30" s="11" t="s">
        <v>17</v>
      </c>
      <c r="D30" s="10" t="s">
        <v>63</v>
      </c>
      <c r="E30" s="14" t="s">
        <v>64</v>
      </c>
      <c r="F30" s="10" t="s">
        <v>65</v>
      </c>
      <c r="G30" s="15"/>
      <c r="H30" s="14">
        <v>35606.0</v>
      </c>
      <c r="I30" s="14">
        <v>44896.0</v>
      </c>
      <c r="J30" s="15"/>
      <c r="K30" s="7">
        <f t="shared" si="1"/>
        <v>31</v>
      </c>
      <c r="L30" s="8">
        <v>45413.0</v>
      </c>
      <c r="M30" s="8">
        <v>45443.0</v>
      </c>
      <c r="N30" s="9">
        <f t="shared" si="5"/>
        <v>320</v>
      </c>
      <c r="O30" s="49">
        <v>320.0</v>
      </c>
      <c r="P30" s="9">
        <f t="shared" si="3"/>
        <v>1600</v>
      </c>
      <c r="Q30" s="9">
        <f t="shared" si="4"/>
        <v>1920</v>
      </c>
    </row>
    <row r="31">
      <c r="A31" s="11" t="s">
        <v>16</v>
      </c>
      <c r="B31" s="11">
        <v>4320.0</v>
      </c>
      <c r="C31" s="11" t="s">
        <v>17</v>
      </c>
      <c r="D31" s="11" t="s">
        <v>389</v>
      </c>
      <c r="E31" s="12" t="s">
        <v>390</v>
      </c>
      <c r="F31" s="11" t="s">
        <v>391</v>
      </c>
      <c r="G31" s="13"/>
      <c r="H31" s="12">
        <v>36111.0</v>
      </c>
      <c r="I31" s="12">
        <v>45418.0</v>
      </c>
      <c r="J31" s="13"/>
      <c r="K31" s="7">
        <f t="shared" si="1"/>
        <v>26</v>
      </c>
      <c r="L31" s="8">
        <v>45413.0</v>
      </c>
      <c r="M31" s="8">
        <v>45443.0</v>
      </c>
      <c r="N31" s="9">
        <f t="shared" si="5"/>
        <v>269</v>
      </c>
      <c r="O31" s="49">
        <v>268.38709677419354</v>
      </c>
      <c r="P31" s="9">
        <f t="shared" si="3"/>
        <v>1345</v>
      </c>
      <c r="Q31" s="9">
        <f t="shared" si="4"/>
        <v>1614</v>
      </c>
    </row>
    <row r="32">
      <c r="A32" s="10" t="s">
        <v>16</v>
      </c>
      <c r="B32" s="10">
        <v>4320.0</v>
      </c>
      <c r="C32" s="10" t="s">
        <v>17</v>
      </c>
      <c r="D32" s="11" t="s">
        <v>66</v>
      </c>
      <c r="E32" s="12" t="s">
        <v>67</v>
      </c>
      <c r="F32" s="11" t="s">
        <v>68</v>
      </c>
      <c r="G32" s="13"/>
      <c r="H32" s="12">
        <v>34973.0</v>
      </c>
      <c r="I32" s="12">
        <v>44986.0</v>
      </c>
      <c r="J32" s="13"/>
      <c r="K32" s="7">
        <f t="shared" si="1"/>
        <v>31</v>
      </c>
      <c r="L32" s="8">
        <v>45413.0</v>
      </c>
      <c r="M32" s="8">
        <v>45443.0</v>
      </c>
      <c r="N32" s="9">
        <f t="shared" si="5"/>
        <v>320</v>
      </c>
      <c r="O32" s="49">
        <v>320.0</v>
      </c>
      <c r="P32" s="9">
        <f t="shared" si="3"/>
        <v>1600</v>
      </c>
      <c r="Q32" s="9">
        <f t="shared" si="4"/>
        <v>1920</v>
      </c>
    </row>
    <row r="33">
      <c r="A33" s="10" t="s">
        <v>16</v>
      </c>
      <c r="B33" s="10">
        <v>4320.0</v>
      </c>
      <c r="C33" s="10" t="s">
        <v>17</v>
      </c>
      <c r="D33" s="11" t="s">
        <v>267</v>
      </c>
      <c r="E33" s="12" t="s">
        <v>268</v>
      </c>
      <c r="F33" s="11" t="s">
        <v>269</v>
      </c>
      <c r="G33" s="13"/>
      <c r="H33" s="12">
        <v>34590.0</v>
      </c>
      <c r="I33" s="12">
        <v>45313.0</v>
      </c>
      <c r="J33" s="13"/>
      <c r="K33" s="7">
        <f t="shared" si="1"/>
        <v>31</v>
      </c>
      <c r="L33" s="8">
        <v>45413.0</v>
      </c>
      <c r="M33" s="8">
        <v>45443.0</v>
      </c>
      <c r="N33" s="9">
        <f t="shared" si="5"/>
        <v>320</v>
      </c>
      <c r="O33" s="49">
        <v>320.0</v>
      </c>
      <c r="P33" s="9">
        <f t="shared" si="3"/>
        <v>1600</v>
      </c>
      <c r="Q33" s="9">
        <f t="shared" si="4"/>
        <v>1920</v>
      </c>
    </row>
    <row r="34">
      <c r="A34" s="11" t="s">
        <v>16</v>
      </c>
      <c r="B34" s="11">
        <v>4320.0</v>
      </c>
      <c r="C34" s="11" t="s">
        <v>17</v>
      </c>
      <c r="D34" s="10" t="s">
        <v>69</v>
      </c>
      <c r="E34" s="14" t="s">
        <v>70</v>
      </c>
      <c r="F34" s="10" t="s">
        <v>71</v>
      </c>
      <c r="G34" s="15"/>
      <c r="H34" s="14">
        <v>36891.0</v>
      </c>
      <c r="I34" s="14">
        <v>44739.0</v>
      </c>
      <c r="J34" s="15"/>
      <c r="K34" s="7">
        <f t="shared" si="1"/>
        <v>31</v>
      </c>
      <c r="L34" s="8">
        <v>45413.0</v>
      </c>
      <c r="M34" s="8">
        <v>45443.0</v>
      </c>
      <c r="N34" s="9">
        <f t="shared" si="5"/>
        <v>320</v>
      </c>
      <c r="O34" s="49">
        <v>320.0</v>
      </c>
      <c r="P34" s="9">
        <f t="shared" si="3"/>
        <v>1600</v>
      </c>
      <c r="Q34" s="9">
        <f t="shared" si="4"/>
        <v>1920</v>
      </c>
    </row>
    <row r="35">
      <c r="A35" s="10" t="s">
        <v>16</v>
      </c>
      <c r="B35" s="10">
        <v>4320.0</v>
      </c>
      <c r="C35" s="10" t="s">
        <v>17</v>
      </c>
      <c r="D35" s="11" t="s">
        <v>252</v>
      </c>
      <c r="E35" s="12" t="s">
        <v>253</v>
      </c>
      <c r="F35" s="11" t="s">
        <v>254</v>
      </c>
      <c r="G35" s="13"/>
      <c r="H35" s="12">
        <v>37516.0</v>
      </c>
      <c r="I35" s="12">
        <v>45159.0</v>
      </c>
      <c r="J35" s="13"/>
      <c r="K35" s="7">
        <f t="shared" si="1"/>
        <v>31</v>
      </c>
      <c r="L35" s="8">
        <v>45413.0</v>
      </c>
      <c r="M35" s="8">
        <v>45443.0</v>
      </c>
      <c r="N35" s="9">
        <f t="shared" si="5"/>
        <v>320</v>
      </c>
      <c r="O35" s="49">
        <v>320.0</v>
      </c>
      <c r="P35" s="9">
        <f t="shared" si="3"/>
        <v>1600</v>
      </c>
      <c r="Q35" s="9">
        <f t="shared" si="4"/>
        <v>1920</v>
      </c>
    </row>
    <row r="36">
      <c r="A36" s="10" t="s">
        <v>16</v>
      </c>
      <c r="B36" s="10">
        <v>4320.0</v>
      </c>
      <c r="C36" s="10" t="s">
        <v>17</v>
      </c>
      <c r="D36" s="10" t="s">
        <v>72</v>
      </c>
      <c r="E36" s="14" t="s">
        <v>73</v>
      </c>
      <c r="F36" s="10" t="s">
        <v>74</v>
      </c>
      <c r="G36" s="15"/>
      <c r="H36" s="14">
        <v>37210.0</v>
      </c>
      <c r="I36" s="14">
        <v>44125.0</v>
      </c>
      <c r="J36" s="14">
        <v>45442.0</v>
      </c>
      <c r="K36" s="7">
        <f t="shared" si="1"/>
        <v>30</v>
      </c>
      <c r="L36" s="8">
        <v>45413.0</v>
      </c>
      <c r="M36" s="8">
        <v>45443.0</v>
      </c>
      <c r="N36" s="9">
        <f t="shared" si="5"/>
        <v>310</v>
      </c>
      <c r="O36" s="49">
        <v>309.6774193548387</v>
      </c>
      <c r="P36" s="9">
        <f t="shared" si="3"/>
        <v>1550</v>
      </c>
      <c r="Q36" s="9">
        <f t="shared" si="4"/>
        <v>1860</v>
      </c>
    </row>
    <row r="37">
      <c r="A37" s="11" t="s">
        <v>16</v>
      </c>
      <c r="B37" s="11">
        <v>4320.0</v>
      </c>
      <c r="C37" s="11" t="s">
        <v>17</v>
      </c>
      <c r="D37" s="10" t="s">
        <v>78</v>
      </c>
      <c r="E37" s="14" t="s">
        <v>79</v>
      </c>
      <c r="F37" s="10" t="s">
        <v>80</v>
      </c>
      <c r="G37" s="15"/>
      <c r="H37" s="14">
        <v>36401.0</v>
      </c>
      <c r="I37" s="14">
        <v>45096.0</v>
      </c>
      <c r="J37" s="15"/>
      <c r="K37" s="7">
        <f t="shared" si="1"/>
        <v>31</v>
      </c>
      <c r="L37" s="8">
        <v>45413.0</v>
      </c>
      <c r="M37" s="8">
        <v>45443.0</v>
      </c>
      <c r="N37" s="9">
        <f t="shared" si="5"/>
        <v>320</v>
      </c>
      <c r="O37" s="49">
        <v>320.0</v>
      </c>
      <c r="P37" s="9">
        <f t="shared" si="3"/>
        <v>1600</v>
      </c>
      <c r="Q37" s="9">
        <f t="shared" si="4"/>
        <v>1920</v>
      </c>
    </row>
    <row r="38">
      <c r="A38" s="11" t="s">
        <v>16</v>
      </c>
      <c r="B38" s="11">
        <v>4320.0</v>
      </c>
      <c r="C38" s="11" t="s">
        <v>17</v>
      </c>
      <c r="D38" s="10" t="s">
        <v>331</v>
      </c>
      <c r="E38" s="14" t="s">
        <v>332</v>
      </c>
      <c r="F38" s="10" t="s">
        <v>333</v>
      </c>
      <c r="G38" s="15"/>
      <c r="H38" s="14">
        <v>37958.0</v>
      </c>
      <c r="I38" s="14">
        <v>45369.0</v>
      </c>
      <c r="J38" s="15"/>
      <c r="K38" s="7">
        <f t="shared" si="1"/>
        <v>31</v>
      </c>
      <c r="L38" s="8">
        <v>45413.0</v>
      </c>
      <c r="M38" s="8">
        <v>45443.0</v>
      </c>
      <c r="N38" s="9">
        <f t="shared" si="5"/>
        <v>320</v>
      </c>
      <c r="O38" s="49">
        <v>320.0</v>
      </c>
      <c r="P38" s="9">
        <f t="shared" si="3"/>
        <v>1600</v>
      </c>
      <c r="Q38" s="9">
        <f t="shared" si="4"/>
        <v>1920</v>
      </c>
    </row>
    <row r="39">
      <c r="A39" s="10" t="s">
        <v>16</v>
      </c>
      <c r="B39" s="10">
        <v>4320.0</v>
      </c>
      <c r="C39" s="10" t="s">
        <v>17</v>
      </c>
      <c r="D39" s="20" t="s">
        <v>392</v>
      </c>
      <c r="E39" s="14" t="s">
        <v>393</v>
      </c>
      <c r="F39" s="10" t="s">
        <v>394</v>
      </c>
      <c r="G39" s="15"/>
      <c r="H39" s="14">
        <v>34922.0</v>
      </c>
      <c r="I39" s="14">
        <v>45418.0</v>
      </c>
      <c r="J39" s="15"/>
      <c r="K39" s="7">
        <f t="shared" si="1"/>
        <v>26</v>
      </c>
      <c r="L39" s="8">
        <v>45413.0</v>
      </c>
      <c r="M39" s="8">
        <v>45443.0</v>
      </c>
      <c r="N39" s="9">
        <f t="shared" si="5"/>
        <v>269</v>
      </c>
      <c r="O39" s="49">
        <v>268.38709677419354</v>
      </c>
      <c r="P39" s="9">
        <f t="shared" si="3"/>
        <v>1345</v>
      </c>
      <c r="Q39" s="9">
        <f t="shared" si="4"/>
        <v>1614</v>
      </c>
    </row>
    <row r="40">
      <c r="A40" s="11" t="s">
        <v>16</v>
      </c>
      <c r="B40" s="11">
        <v>4320.0</v>
      </c>
      <c r="C40" s="11" t="s">
        <v>17</v>
      </c>
      <c r="D40" s="11" t="s">
        <v>270</v>
      </c>
      <c r="E40" s="12" t="s">
        <v>271</v>
      </c>
      <c r="F40" s="11" t="s">
        <v>272</v>
      </c>
      <c r="G40" s="13"/>
      <c r="H40" s="12">
        <v>36769.0</v>
      </c>
      <c r="I40" s="12">
        <v>45313.0</v>
      </c>
      <c r="J40" s="12">
        <v>45415.0</v>
      </c>
      <c r="K40" s="7">
        <f t="shared" si="1"/>
        <v>3</v>
      </c>
      <c r="L40" s="8">
        <v>45413.0</v>
      </c>
      <c r="M40" s="8">
        <v>45443.0</v>
      </c>
      <c r="N40" s="9">
        <f t="shared" si="5"/>
        <v>31</v>
      </c>
      <c r="O40" s="49">
        <v>30.967741935483872</v>
      </c>
      <c r="P40" s="9">
        <f t="shared" si="3"/>
        <v>155</v>
      </c>
      <c r="Q40" s="9">
        <f t="shared" si="4"/>
        <v>186</v>
      </c>
    </row>
    <row r="41">
      <c r="A41" s="10" t="s">
        <v>16</v>
      </c>
      <c r="B41" s="10">
        <v>4320.0</v>
      </c>
      <c r="C41" s="10" t="s">
        <v>17</v>
      </c>
      <c r="D41" s="11" t="s">
        <v>87</v>
      </c>
      <c r="E41" s="12" t="s">
        <v>88</v>
      </c>
      <c r="F41" s="11" t="s">
        <v>89</v>
      </c>
      <c r="G41" s="13"/>
      <c r="H41" s="12">
        <v>33737.0</v>
      </c>
      <c r="I41" s="12">
        <v>45139.0</v>
      </c>
      <c r="J41" s="13"/>
      <c r="K41" s="7">
        <f t="shared" si="1"/>
        <v>31</v>
      </c>
      <c r="L41" s="8">
        <v>45413.0</v>
      </c>
      <c r="M41" s="8">
        <v>45443.0</v>
      </c>
      <c r="N41" s="9">
        <f t="shared" si="5"/>
        <v>320</v>
      </c>
      <c r="O41" s="49">
        <v>320.0</v>
      </c>
      <c r="P41" s="9">
        <f t="shared" si="3"/>
        <v>1600</v>
      </c>
      <c r="Q41" s="9">
        <f t="shared" si="4"/>
        <v>1920</v>
      </c>
    </row>
    <row r="42">
      <c r="A42" s="10" t="s">
        <v>16</v>
      </c>
      <c r="B42" s="10">
        <v>4320.0</v>
      </c>
      <c r="C42" s="10" t="s">
        <v>17</v>
      </c>
      <c r="D42" s="11" t="s">
        <v>334</v>
      </c>
      <c r="E42" s="12" t="s">
        <v>335</v>
      </c>
      <c r="F42" s="11" t="s">
        <v>336</v>
      </c>
      <c r="G42" s="13"/>
      <c r="H42" s="12">
        <v>35272.0</v>
      </c>
      <c r="I42" s="12">
        <v>45355.0</v>
      </c>
      <c r="J42" s="13"/>
      <c r="K42" s="7">
        <f t="shared" si="1"/>
        <v>31</v>
      </c>
      <c r="L42" s="8">
        <v>45413.0</v>
      </c>
      <c r="M42" s="8">
        <v>45443.0</v>
      </c>
      <c r="N42" s="9">
        <f t="shared" si="5"/>
        <v>320</v>
      </c>
      <c r="O42" s="49">
        <v>320.0</v>
      </c>
      <c r="P42" s="9">
        <f t="shared" si="3"/>
        <v>1600</v>
      </c>
      <c r="Q42" s="9">
        <f t="shared" si="4"/>
        <v>1920</v>
      </c>
    </row>
    <row r="43">
      <c r="A43" s="10" t="s">
        <v>16</v>
      </c>
      <c r="B43" s="10">
        <v>4320.0</v>
      </c>
      <c r="C43" s="10" t="s">
        <v>17</v>
      </c>
      <c r="D43" s="11" t="s">
        <v>337</v>
      </c>
      <c r="E43" s="12" t="s">
        <v>338</v>
      </c>
      <c r="F43" s="11" t="s">
        <v>339</v>
      </c>
      <c r="G43" s="13"/>
      <c r="H43" s="12">
        <v>37539.0</v>
      </c>
      <c r="I43" s="12">
        <v>45362.0</v>
      </c>
      <c r="J43" s="13"/>
      <c r="K43" s="7">
        <f t="shared" si="1"/>
        <v>31</v>
      </c>
      <c r="L43" s="8">
        <v>45413.0</v>
      </c>
      <c r="M43" s="8">
        <v>45443.0</v>
      </c>
      <c r="N43" s="9">
        <f t="shared" si="5"/>
        <v>320</v>
      </c>
      <c r="O43" s="49">
        <v>320.0</v>
      </c>
      <c r="P43" s="9">
        <f t="shared" si="3"/>
        <v>1600</v>
      </c>
      <c r="Q43" s="9">
        <f t="shared" si="4"/>
        <v>1920</v>
      </c>
    </row>
    <row r="44">
      <c r="A44" s="10" t="s">
        <v>16</v>
      </c>
      <c r="B44" s="10">
        <v>4320.0</v>
      </c>
      <c r="C44" s="10" t="s">
        <v>17</v>
      </c>
      <c r="D44" s="11" t="s">
        <v>96</v>
      </c>
      <c r="E44" s="12" t="s">
        <v>97</v>
      </c>
      <c r="F44" s="11" t="s">
        <v>98</v>
      </c>
      <c r="G44" s="13"/>
      <c r="H44" s="12">
        <v>36690.0</v>
      </c>
      <c r="I44" s="12">
        <v>44938.0</v>
      </c>
      <c r="J44" s="13"/>
      <c r="K44" s="7">
        <f t="shared" si="1"/>
        <v>31</v>
      </c>
      <c r="L44" s="8">
        <v>45413.0</v>
      </c>
      <c r="M44" s="8">
        <v>45443.0</v>
      </c>
      <c r="N44" s="9">
        <f t="shared" si="5"/>
        <v>320</v>
      </c>
      <c r="O44" s="49">
        <v>320.0</v>
      </c>
      <c r="P44" s="9">
        <f t="shared" si="3"/>
        <v>1600</v>
      </c>
      <c r="Q44" s="9">
        <f t="shared" si="4"/>
        <v>1920</v>
      </c>
    </row>
    <row r="45">
      <c r="A45" s="11" t="s">
        <v>16</v>
      </c>
      <c r="B45" s="11">
        <v>4320.0</v>
      </c>
      <c r="C45" s="11" t="s">
        <v>17</v>
      </c>
      <c r="D45" s="10" t="s">
        <v>99</v>
      </c>
      <c r="E45" s="14" t="s">
        <v>100</v>
      </c>
      <c r="F45" s="10" t="s">
        <v>101</v>
      </c>
      <c r="G45" s="15"/>
      <c r="H45" s="14">
        <v>37240.0</v>
      </c>
      <c r="I45" s="14">
        <v>45176.0</v>
      </c>
      <c r="J45" s="15"/>
      <c r="K45" s="7">
        <f t="shared" si="1"/>
        <v>31</v>
      </c>
      <c r="L45" s="8">
        <v>45413.0</v>
      </c>
      <c r="M45" s="8">
        <v>45443.0</v>
      </c>
      <c r="N45" s="9">
        <f t="shared" si="5"/>
        <v>320</v>
      </c>
      <c r="O45" s="49">
        <v>320.0</v>
      </c>
      <c r="P45" s="9">
        <f t="shared" si="3"/>
        <v>1600</v>
      </c>
      <c r="Q45" s="9">
        <f t="shared" si="4"/>
        <v>1920</v>
      </c>
    </row>
    <row r="46">
      <c r="A46" s="10" t="s">
        <v>16</v>
      </c>
      <c r="B46" s="10">
        <v>4320.0</v>
      </c>
      <c r="C46" s="10" t="s">
        <v>17</v>
      </c>
      <c r="D46" s="11" t="s">
        <v>102</v>
      </c>
      <c r="E46" s="12" t="s">
        <v>103</v>
      </c>
      <c r="F46" s="11" t="s">
        <v>104</v>
      </c>
      <c r="G46" s="13"/>
      <c r="H46" s="12">
        <v>33240.0</v>
      </c>
      <c r="I46" s="12">
        <v>44287.0</v>
      </c>
      <c r="J46" s="13"/>
      <c r="K46" s="7">
        <f t="shared" si="1"/>
        <v>31</v>
      </c>
      <c r="L46" s="8">
        <v>45413.0</v>
      </c>
      <c r="M46" s="8">
        <v>45443.0</v>
      </c>
      <c r="N46" s="9">
        <f t="shared" si="5"/>
        <v>320</v>
      </c>
      <c r="O46" s="49">
        <v>320.0</v>
      </c>
      <c r="P46" s="9">
        <f t="shared" si="3"/>
        <v>1600</v>
      </c>
      <c r="Q46" s="9">
        <f t="shared" si="4"/>
        <v>1920</v>
      </c>
    </row>
    <row r="47">
      <c r="A47" s="10" t="s">
        <v>16</v>
      </c>
      <c r="B47" s="10">
        <v>4320.0</v>
      </c>
      <c r="C47" s="10" t="s">
        <v>17</v>
      </c>
      <c r="D47" s="11" t="s">
        <v>255</v>
      </c>
      <c r="E47" s="12" t="s">
        <v>256</v>
      </c>
      <c r="F47" s="11" t="s">
        <v>257</v>
      </c>
      <c r="G47" s="13"/>
      <c r="H47" s="12">
        <v>35173.0</v>
      </c>
      <c r="I47" s="12">
        <v>45264.0</v>
      </c>
      <c r="J47" s="13"/>
      <c r="K47" s="7">
        <f t="shared" si="1"/>
        <v>31</v>
      </c>
      <c r="L47" s="8">
        <v>45413.0</v>
      </c>
      <c r="M47" s="8">
        <v>45443.0</v>
      </c>
      <c r="N47" s="9">
        <f t="shared" si="5"/>
        <v>320</v>
      </c>
      <c r="O47" s="49">
        <v>320.0</v>
      </c>
      <c r="P47" s="9">
        <f t="shared" si="3"/>
        <v>1600</v>
      </c>
      <c r="Q47" s="9">
        <f t="shared" si="4"/>
        <v>1920</v>
      </c>
    </row>
    <row r="48">
      <c r="A48" s="11" t="s">
        <v>16</v>
      </c>
      <c r="B48" s="11">
        <v>4320.0</v>
      </c>
      <c r="C48" s="11" t="s">
        <v>17</v>
      </c>
      <c r="D48" s="10" t="s">
        <v>340</v>
      </c>
      <c r="E48" s="14" t="s">
        <v>341</v>
      </c>
      <c r="F48" s="10" t="s">
        <v>342</v>
      </c>
      <c r="G48" s="15"/>
      <c r="H48" s="14">
        <v>37964.0</v>
      </c>
      <c r="I48" s="14">
        <v>45355.0</v>
      </c>
      <c r="J48" s="15"/>
      <c r="K48" s="7">
        <f t="shared" si="1"/>
        <v>31</v>
      </c>
      <c r="L48" s="8">
        <v>45413.0</v>
      </c>
      <c r="M48" s="8">
        <v>45443.0</v>
      </c>
      <c r="N48" s="9">
        <f t="shared" si="5"/>
        <v>320</v>
      </c>
      <c r="O48" s="49">
        <v>320.0</v>
      </c>
      <c r="P48" s="9">
        <f t="shared" si="3"/>
        <v>1600</v>
      </c>
      <c r="Q48" s="9">
        <f t="shared" si="4"/>
        <v>1920</v>
      </c>
    </row>
    <row r="49">
      <c r="A49" s="11" t="s">
        <v>16</v>
      </c>
      <c r="B49" s="11">
        <v>4320.0</v>
      </c>
      <c r="C49" s="11" t="s">
        <v>17</v>
      </c>
      <c r="D49" s="10" t="s">
        <v>108</v>
      </c>
      <c r="E49" s="14" t="s">
        <v>109</v>
      </c>
      <c r="F49" s="10" t="s">
        <v>110</v>
      </c>
      <c r="G49" s="15"/>
      <c r="H49" s="14">
        <v>35943.0</v>
      </c>
      <c r="I49" s="14">
        <v>45215.0</v>
      </c>
      <c r="J49" s="15"/>
      <c r="K49" s="7">
        <f t="shared" si="1"/>
        <v>31</v>
      </c>
      <c r="L49" s="8">
        <v>45413.0</v>
      </c>
      <c r="M49" s="8">
        <v>45443.0</v>
      </c>
      <c r="N49" s="9">
        <f t="shared" si="5"/>
        <v>320</v>
      </c>
      <c r="O49" s="49">
        <v>320.0</v>
      </c>
      <c r="P49" s="9">
        <f t="shared" si="3"/>
        <v>1600</v>
      </c>
      <c r="Q49" s="9">
        <f t="shared" si="4"/>
        <v>1920</v>
      </c>
    </row>
    <row r="50">
      <c r="A50" s="11" t="s">
        <v>16</v>
      </c>
      <c r="B50" s="11">
        <v>4320.0</v>
      </c>
      <c r="C50" s="11" t="s">
        <v>17</v>
      </c>
      <c r="D50" s="35" t="s">
        <v>395</v>
      </c>
      <c r="E50" s="12" t="s">
        <v>396</v>
      </c>
      <c r="F50" s="11" t="s">
        <v>397</v>
      </c>
      <c r="G50" s="13"/>
      <c r="H50" s="12">
        <v>36557.0</v>
      </c>
      <c r="I50" s="12">
        <v>45432.0</v>
      </c>
      <c r="J50" s="13"/>
      <c r="K50" s="7">
        <f t="shared" si="1"/>
        <v>12</v>
      </c>
      <c r="L50" s="8">
        <v>45413.0</v>
      </c>
      <c r="M50" s="8">
        <v>45443.0</v>
      </c>
      <c r="N50" s="9">
        <f t="shared" si="5"/>
        <v>124</v>
      </c>
      <c r="O50" s="49">
        <v>123.87096774193549</v>
      </c>
      <c r="P50" s="9">
        <f t="shared" si="3"/>
        <v>620</v>
      </c>
      <c r="Q50" s="9">
        <f t="shared" si="4"/>
        <v>744</v>
      </c>
    </row>
    <row r="51">
      <c r="A51" s="10" t="s">
        <v>16</v>
      </c>
      <c r="B51" s="10">
        <v>4320.0</v>
      </c>
      <c r="C51" s="10" t="s">
        <v>17</v>
      </c>
      <c r="D51" s="11" t="s">
        <v>370</v>
      </c>
      <c r="E51" s="12" t="s">
        <v>371</v>
      </c>
      <c r="F51" s="11" t="s">
        <v>372</v>
      </c>
      <c r="G51" s="13"/>
      <c r="H51" s="12">
        <v>35551.0</v>
      </c>
      <c r="I51" s="36">
        <v>45383.0</v>
      </c>
      <c r="J51" s="13"/>
      <c r="K51" s="7">
        <f t="shared" si="1"/>
        <v>31</v>
      </c>
      <c r="L51" s="8">
        <v>45413.0</v>
      </c>
      <c r="M51" s="8">
        <v>45443.0</v>
      </c>
      <c r="N51" s="9">
        <f t="shared" si="5"/>
        <v>320</v>
      </c>
      <c r="O51" s="49">
        <v>320.0</v>
      </c>
      <c r="P51" s="9">
        <f t="shared" si="3"/>
        <v>1600</v>
      </c>
      <c r="Q51" s="9">
        <f t="shared" si="4"/>
        <v>1920</v>
      </c>
    </row>
    <row r="52">
      <c r="A52" s="10" t="s">
        <v>16</v>
      </c>
      <c r="B52" s="10">
        <v>4320.0</v>
      </c>
      <c r="C52" s="10" t="s">
        <v>17</v>
      </c>
      <c r="D52" s="11" t="s">
        <v>120</v>
      </c>
      <c r="E52" s="12" t="s">
        <v>121</v>
      </c>
      <c r="F52" s="11" t="s">
        <v>122</v>
      </c>
      <c r="G52" s="13"/>
      <c r="H52" s="12">
        <v>36794.0</v>
      </c>
      <c r="I52" s="12">
        <v>44915.0</v>
      </c>
      <c r="J52" s="13"/>
      <c r="K52" s="7">
        <f t="shared" si="1"/>
        <v>31</v>
      </c>
      <c r="L52" s="8">
        <v>45413.0</v>
      </c>
      <c r="M52" s="8">
        <v>45443.0</v>
      </c>
      <c r="N52" s="9">
        <f t="shared" si="5"/>
        <v>320</v>
      </c>
      <c r="O52" s="49">
        <v>320.0</v>
      </c>
      <c r="P52" s="9">
        <f t="shared" si="3"/>
        <v>1600</v>
      </c>
      <c r="Q52" s="9">
        <f t="shared" si="4"/>
        <v>1920</v>
      </c>
    </row>
    <row r="53">
      <c r="A53" s="11" t="s">
        <v>16</v>
      </c>
      <c r="B53" s="11">
        <v>4320.0</v>
      </c>
      <c r="C53" s="11" t="s">
        <v>17</v>
      </c>
      <c r="D53" s="10" t="s">
        <v>123</v>
      </c>
      <c r="E53" s="14" t="s">
        <v>124</v>
      </c>
      <c r="F53" s="10" t="s">
        <v>125</v>
      </c>
      <c r="G53" s="15"/>
      <c r="H53" s="14">
        <v>37149.0</v>
      </c>
      <c r="I53" s="14">
        <v>45124.0</v>
      </c>
      <c r="J53" s="15"/>
      <c r="K53" s="7">
        <f t="shared" si="1"/>
        <v>31</v>
      </c>
      <c r="L53" s="8">
        <v>45413.0</v>
      </c>
      <c r="M53" s="8">
        <v>45443.0</v>
      </c>
      <c r="N53" s="9">
        <f t="shared" si="5"/>
        <v>320</v>
      </c>
      <c r="O53" s="49">
        <v>320.0</v>
      </c>
      <c r="P53" s="9">
        <f t="shared" si="3"/>
        <v>1600</v>
      </c>
      <c r="Q53" s="9">
        <f t="shared" si="4"/>
        <v>1920</v>
      </c>
    </row>
    <row r="54">
      <c r="A54" s="11" t="s">
        <v>16</v>
      </c>
      <c r="B54" s="11">
        <v>4320.0</v>
      </c>
      <c r="C54" s="11" t="s">
        <v>17</v>
      </c>
      <c r="D54" s="10" t="s">
        <v>343</v>
      </c>
      <c r="E54" s="14" t="s">
        <v>344</v>
      </c>
      <c r="F54" s="10" t="s">
        <v>345</v>
      </c>
      <c r="G54" s="15"/>
      <c r="H54" s="14">
        <v>36821.0</v>
      </c>
      <c r="I54" s="14">
        <v>45362.0</v>
      </c>
      <c r="J54" s="15"/>
      <c r="K54" s="7">
        <f t="shared" si="1"/>
        <v>31</v>
      </c>
      <c r="L54" s="8">
        <v>45413.0</v>
      </c>
      <c r="M54" s="8">
        <v>45443.0</v>
      </c>
      <c r="N54" s="9">
        <f t="shared" si="5"/>
        <v>320</v>
      </c>
      <c r="O54" s="49">
        <v>320.0</v>
      </c>
      <c r="P54" s="9">
        <f t="shared" si="3"/>
        <v>1600</v>
      </c>
      <c r="Q54" s="9">
        <f t="shared" si="4"/>
        <v>1920</v>
      </c>
    </row>
    <row r="55">
      <c r="A55" s="11" t="s">
        <v>16</v>
      </c>
      <c r="B55" s="11">
        <v>4320.0</v>
      </c>
      <c r="C55" s="11" t="s">
        <v>17</v>
      </c>
      <c r="D55" s="10" t="s">
        <v>346</v>
      </c>
      <c r="E55" s="14" t="s">
        <v>347</v>
      </c>
      <c r="F55" s="10" t="s">
        <v>348</v>
      </c>
      <c r="G55" s="15"/>
      <c r="H55" s="14">
        <v>36778.0</v>
      </c>
      <c r="I55" s="14">
        <v>45369.0</v>
      </c>
      <c r="J55" s="15"/>
      <c r="K55" s="7">
        <f t="shared" si="1"/>
        <v>31</v>
      </c>
      <c r="L55" s="8">
        <v>45413.0</v>
      </c>
      <c r="M55" s="8">
        <v>45443.0</v>
      </c>
      <c r="N55" s="9">
        <f t="shared" si="5"/>
        <v>320</v>
      </c>
      <c r="O55" s="49">
        <v>320.0</v>
      </c>
      <c r="P55" s="9">
        <f t="shared" si="3"/>
        <v>1600</v>
      </c>
      <c r="Q55" s="9">
        <f t="shared" si="4"/>
        <v>1920</v>
      </c>
    </row>
    <row r="56">
      <c r="A56" s="10" t="s">
        <v>16</v>
      </c>
      <c r="B56" s="10">
        <v>4320.0</v>
      </c>
      <c r="C56" s="10" t="s">
        <v>17</v>
      </c>
      <c r="D56" s="35" t="s">
        <v>373</v>
      </c>
      <c r="E56" s="12" t="s">
        <v>374</v>
      </c>
      <c r="F56" s="35" t="s">
        <v>375</v>
      </c>
      <c r="G56" s="13"/>
      <c r="H56" s="12">
        <v>37085.0</v>
      </c>
      <c r="I56" s="12">
        <v>45400.0</v>
      </c>
      <c r="J56" s="13"/>
      <c r="K56" s="7">
        <f t="shared" si="1"/>
        <v>31</v>
      </c>
      <c r="L56" s="8">
        <v>45413.0</v>
      </c>
      <c r="M56" s="8">
        <v>45443.0</v>
      </c>
      <c r="N56" s="9">
        <f t="shared" si="5"/>
        <v>320</v>
      </c>
      <c r="O56" s="49">
        <v>320.0</v>
      </c>
      <c r="P56" s="9">
        <f t="shared" si="3"/>
        <v>1600</v>
      </c>
      <c r="Q56" s="9">
        <f t="shared" si="4"/>
        <v>1920</v>
      </c>
    </row>
    <row r="57">
      <c r="A57" s="11" t="s">
        <v>16</v>
      </c>
      <c r="B57" s="11">
        <v>4320.0</v>
      </c>
      <c r="C57" s="11" t="s">
        <v>17</v>
      </c>
      <c r="D57" s="10" t="s">
        <v>349</v>
      </c>
      <c r="E57" s="14" t="s">
        <v>350</v>
      </c>
      <c r="F57" s="10" t="s">
        <v>351</v>
      </c>
      <c r="G57" s="15"/>
      <c r="H57" s="14">
        <v>37647.0</v>
      </c>
      <c r="I57" s="14">
        <v>45355.0</v>
      </c>
      <c r="J57" s="15"/>
      <c r="K57" s="7">
        <f t="shared" si="1"/>
        <v>31</v>
      </c>
      <c r="L57" s="8">
        <v>45413.0</v>
      </c>
      <c r="M57" s="8">
        <v>45443.0</v>
      </c>
      <c r="N57" s="9">
        <f t="shared" si="5"/>
        <v>320</v>
      </c>
      <c r="O57" s="49">
        <v>320.0</v>
      </c>
      <c r="P57" s="9">
        <f t="shared" si="3"/>
        <v>1600</v>
      </c>
      <c r="Q57" s="9">
        <f t="shared" si="4"/>
        <v>1920</v>
      </c>
    </row>
    <row r="58">
      <c r="A58" s="10" t="s">
        <v>16</v>
      </c>
      <c r="B58" s="10">
        <v>4320.0</v>
      </c>
      <c r="C58" s="10" t="s">
        <v>17</v>
      </c>
      <c r="D58" s="11" t="s">
        <v>141</v>
      </c>
      <c r="E58" s="12" t="s">
        <v>142</v>
      </c>
      <c r="F58" s="11" t="s">
        <v>143</v>
      </c>
      <c r="G58" s="13"/>
      <c r="H58" s="12">
        <v>34300.0</v>
      </c>
      <c r="I58" s="12">
        <v>45183.0</v>
      </c>
      <c r="J58" s="13"/>
      <c r="K58" s="7">
        <f t="shared" si="1"/>
        <v>31</v>
      </c>
      <c r="L58" s="8">
        <v>45413.0</v>
      </c>
      <c r="M58" s="8">
        <v>45443.0</v>
      </c>
      <c r="N58" s="9">
        <f t="shared" si="5"/>
        <v>320</v>
      </c>
      <c r="O58" s="49">
        <v>320.0</v>
      </c>
      <c r="P58" s="9">
        <f t="shared" si="3"/>
        <v>1600</v>
      </c>
      <c r="Q58" s="9">
        <f t="shared" si="4"/>
        <v>1920</v>
      </c>
    </row>
    <row r="59">
      <c r="A59" s="10" t="s">
        <v>16</v>
      </c>
      <c r="B59" s="10">
        <v>4320.0</v>
      </c>
      <c r="C59" s="10" t="s">
        <v>17</v>
      </c>
      <c r="D59" s="11" t="s">
        <v>352</v>
      </c>
      <c r="E59" s="12" t="s">
        <v>353</v>
      </c>
      <c r="F59" s="11" t="s">
        <v>354</v>
      </c>
      <c r="G59" s="13"/>
      <c r="H59" s="12">
        <v>36412.0</v>
      </c>
      <c r="I59" s="12">
        <v>45355.0</v>
      </c>
      <c r="J59" s="13"/>
      <c r="K59" s="7">
        <f t="shared" si="1"/>
        <v>31</v>
      </c>
      <c r="L59" s="8">
        <v>45413.0</v>
      </c>
      <c r="M59" s="8">
        <v>45443.0</v>
      </c>
      <c r="N59" s="9">
        <f t="shared" si="5"/>
        <v>320</v>
      </c>
      <c r="O59" s="49">
        <v>320.0</v>
      </c>
      <c r="P59" s="9">
        <f t="shared" si="3"/>
        <v>1600</v>
      </c>
      <c r="Q59" s="9">
        <f t="shared" si="4"/>
        <v>1920</v>
      </c>
    </row>
    <row r="60">
      <c r="A60" s="10" t="s">
        <v>16</v>
      </c>
      <c r="B60" s="10">
        <v>4320.0</v>
      </c>
      <c r="C60" s="10" t="s">
        <v>17</v>
      </c>
      <c r="D60" s="20" t="s">
        <v>398</v>
      </c>
      <c r="E60" s="14" t="s">
        <v>399</v>
      </c>
      <c r="F60" s="10" t="s">
        <v>400</v>
      </c>
      <c r="G60" s="15"/>
      <c r="H60" s="14">
        <v>36655.0</v>
      </c>
      <c r="I60" s="14">
        <v>45418.0</v>
      </c>
      <c r="J60" s="15"/>
      <c r="K60" s="7">
        <f t="shared" si="1"/>
        <v>26</v>
      </c>
      <c r="L60" s="8">
        <v>45413.0</v>
      </c>
      <c r="M60" s="8">
        <v>45443.0</v>
      </c>
      <c r="N60" s="9">
        <f t="shared" si="5"/>
        <v>269</v>
      </c>
      <c r="O60" s="49">
        <v>268.38709677419354</v>
      </c>
      <c r="P60" s="9">
        <f t="shared" si="3"/>
        <v>1345</v>
      </c>
      <c r="Q60" s="9">
        <f t="shared" si="4"/>
        <v>1614</v>
      </c>
    </row>
    <row r="61">
      <c r="A61" s="11" t="s">
        <v>16</v>
      </c>
      <c r="B61" s="11">
        <v>4320.0</v>
      </c>
      <c r="C61" s="11" t="s">
        <v>17</v>
      </c>
      <c r="D61" s="10" t="s">
        <v>153</v>
      </c>
      <c r="E61" s="14" t="s">
        <v>154</v>
      </c>
      <c r="F61" s="10" t="s">
        <v>155</v>
      </c>
      <c r="G61" s="15"/>
      <c r="H61" s="14">
        <v>31014.0</v>
      </c>
      <c r="I61" s="14">
        <v>44805.0</v>
      </c>
      <c r="J61" s="15"/>
      <c r="K61" s="7">
        <f t="shared" si="1"/>
        <v>31</v>
      </c>
      <c r="L61" s="8">
        <v>45413.0</v>
      </c>
      <c r="M61" s="8">
        <v>45443.0</v>
      </c>
      <c r="N61" s="9">
        <f t="shared" si="5"/>
        <v>320</v>
      </c>
      <c r="O61" s="49">
        <v>320.0</v>
      </c>
      <c r="P61" s="9">
        <f t="shared" si="3"/>
        <v>1600</v>
      </c>
      <c r="Q61" s="9">
        <f t="shared" si="4"/>
        <v>1920</v>
      </c>
    </row>
    <row r="62">
      <c r="A62" s="10" t="s">
        <v>16</v>
      </c>
      <c r="B62" s="10">
        <v>4320.0</v>
      </c>
      <c r="C62" s="10" t="s">
        <v>17</v>
      </c>
      <c r="D62" s="11" t="s">
        <v>273</v>
      </c>
      <c r="E62" s="12" t="s">
        <v>274</v>
      </c>
      <c r="F62" s="11" t="s">
        <v>275</v>
      </c>
      <c r="G62" s="13"/>
      <c r="H62" s="12">
        <v>34522.0</v>
      </c>
      <c r="I62" s="12">
        <v>45292.0</v>
      </c>
      <c r="J62" s="13"/>
      <c r="K62" s="7">
        <f t="shared" si="1"/>
        <v>31</v>
      </c>
      <c r="L62" s="8">
        <v>45413.0</v>
      </c>
      <c r="M62" s="8">
        <v>45443.0</v>
      </c>
      <c r="N62" s="9">
        <f t="shared" si="5"/>
        <v>320</v>
      </c>
      <c r="O62" s="49">
        <v>320.0</v>
      </c>
      <c r="P62" s="9">
        <f t="shared" si="3"/>
        <v>1600</v>
      </c>
      <c r="Q62" s="9">
        <f t="shared" si="4"/>
        <v>1920</v>
      </c>
    </row>
    <row r="63">
      <c r="A63" s="11" t="s">
        <v>16</v>
      </c>
      <c r="B63" s="11">
        <v>4320.0</v>
      </c>
      <c r="C63" s="11" t="s">
        <v>17</v>
      </c>
      <c r="D63" s="10" t="s">
        <v>162</v>
      </c>
      <c r="E63" s="14" t="s">
        <v>163</v>
      </c>
      <c r="F63" s="10" t="s">
        <v>164</v>
      </c>
      <c r="G63" s="15"/>
      <c r="H63" s="14">
        <v>34732.0</v>
      </c>
      <c r="I63" s="14">
        <v>44986.0</v>
      </c>
      <c r="J63" s="15"/>
      <c r="K63" s="7">
        <f t="shared" si="1"/>
        <v>31</v>
      </c>
      <c r="L63" s="8">
        <v>45413.0</v>
      </c>
      <c r="M63" s="8">
        <v>45443.0</v>
      </c>
      <c r="N63" s="9">
        <f t="shared" si="5"/>
        <v>320</v>
      </c>
      <c r="O63" s="49">
        <v>320.0</v>
      </c>
      <c r="P63" s="9">
        <f t="shared" si="3"/>
        <v>1600</v>
      </c>
      <c r="Q63" s="9">
        <f t="shared" si="4"/>
        <v>1920</v>
      </c>
    </row>
    <row r="64">
      <c r="A64" s="10" t="s">
        <v>16</v>
      </c>
      <c r="B64" s="10">
        <v>4320.0</v>
      </c>
      <c r="C64" s="10" t="s">
        <v>17</v>
      </c>
      <c r="D64" s="11" t="s">
        <v>355</v>
      </c>
      <c r="E64" s="12" t="s">
        <v>356</v>
      </c>
      <c r="F64" s="11" t="s">
        <v>357</v>
      </c>
      <c r="G64" s="13"/>
      <c r="H64" s="12">
        <v>35395.0</v>
      </c>
      <c r="I64" s="12">
        <v>45376.0</v>
      </c>
      <c r="J64" s="13"/>
      <c r="K64" s="7">
        <f t="shared" si="1"/>
        <v>31</v>
      </c>
      <c r="L64" s="8">
        <v>45413.0</v>
      </c>
      <c r="M64" s="8">
        <v>45443.0</v>
      </c>
      <c r="N64" s="9">
        <f t="shared" si="5"/>
        <v>320</v>
      </c>
      <c r="O64" s="49">
        <v>320.0</v>
      </c>
      <c r="P64" s="9">
        <f t="shared" si="3"/>
        <v>1600</v>
      </c>
      <c r="Q64" s="9">
        <f t="shared" si="4"/>
        <v>1920</v>
      </c>
    </row>
    <row r="65">
      <c r="A65" s="11" t="s">
        <v>16</v>
      </c>
      <c r="B65" s="11">
        <v>4320.0</v>
      </c>
      <c r="C65" s="11" t="s">
        <v>17</v>
      </c>
      <c r="D65" s="10" t="s">
        <v>358</v>
      </c>
      <c r="E65" s="14" t="s">
        <v>359</v>
      </c>
      <c r="F65" s="10" t="s">
        <v>360</v>
      </c>
      <c r="G65" s="15"/>
      <c r="H65" s="14">
        <v>37397.0</v>
      </c>
      <c r="I65" s="14">
        <v>45377.0</v>
      </c>
      <c r="J65" s="15"/>
      <c r="K65" s="7">
        <f t="shared" si="1"/>
        <v>31</v>
      </c>
      <c r="L65" s="8">
        <v>45413.0</v>
      </c>
      <c r="M65" s="8">
        <v>45443.0</v>
      </c>
      <c r="N65" s="9">
        <f t="shared" si="5"/>
        <v>320</v>
      </c>
      <c r="O65" s="49">
        <v>320.0</v>
      </c>
      <c r="P65" s="9">
        <f t="shared" si="3"/>
        <v>1600</v>
      </c>
      <c r="Q65" s="9">
        <f t="shared" si="4"/>
        <v>1920</v>
      </c>
    </row>
    <row r="66">
      <c r="A66" s="10" t="s">
        <v>16</v>
      </c>
      <c r="B66" s="10">
        <v>4320.0</v>
      </c>
      <c r="C66" s="10" t="s">
        <v>17</v>
      </c>
      <c r="D66" s="11" t="s">
        <v>276</v>
      </c>
      <c r="E66" s="12" t="s">
        <v>277</v>
      </c>
      <c r="F66" s="11" t="s">
        <v>278</v>
      </c>
      <c r="G66" s="13"/>
      <c r="H66" s="12">
        <v>37479.0</v>
      </c>
      <c r="I66" s="12">
        <v>45320.0</v>
      </c>
      <c r="J66" s="13"/>
      <c r="K66" s="7">
        <f t="shared" si="1"/>
        <v>31</v>
      </c>
      <c r="L66" s="8">
        <v>45413.0</v>
      </c>
      <c r="M66" s="8">
        <v>45443.0</v>
      </c>
      <c r="N66" s="9">
        <f t="shared" si="5"/>
        <v>320</v>
      </c>
      <c r="O66" s="49">
        <v>320.0</v>
      </c>
      <c r="P66" s="9">
        <f t="shared" si="3"/>
        <v>1600</v>
      </c>
      <c r="Q66" s="9">
        <f t="shared" si="4"/>
        <v>1920</v>
      </c>
    </row>
    <row r="67">
      <c r="A67" s="11" t="s">
        <v>16</v>
      </c>
      <c r="B67" s="11">
        <v>4320.0</v>
      </c>
      <c r="C67" s="11" t="s">
        <v>17</v>
      </c>
      <c r="D67" s="10" t="s">
        <v>279</v>
      </c>
      <c r="E67" s="14" t="s">
        <v>280</v>
      </c>
      <c r="F67" s="10" t="s">
        <v>281</v>
      </c>
      <c r="G67" s="15"/>
      <c r="H67" s="14">
        <v>33003.0</v>
      </c>
      <c r="I67" s="14">
        <v>45313.0</v>
      </c>
      <c r="J67" s="44">
        <v>45434.0</v>
      </c>
      <c r="K67" s="7">
        <f t="shared" si="1"/>
        <v>22</v>
      </c>
      <c r="L67" s="8">
        <v>45413.0</v>
      </c>
      <c r="M67" s="8">
        <v>45443.0</v>
      </c>
      <c r="N67" s="9">
        <f t="shared" si="5"/>
        <v>228</v>
      </c>
      <c r="O67" s="49">
        <v>227.09677419354838</v>
      </c>
      <c r="P67" s="9">
        <f t="shared" si="3"/>
        <v>1140</v>
      </c>
      <c r="Q67" s="9">
        <f t="shared" si="4"/>
        <v>1368</v>
      </c>
    </row>
    <row r="68">
      <c r="A68" s="10" t="s">
        <v>16</v>
      </c>
      <c r="B68" s="10">
        <v>4320.0</v>
      </c>
      <c r="C68" s="10" t="s">
        <v>17</v>
      </c>
      <c r="D68" s="10" t="s">
        <v>243</v>
      </c>
      <c r="E68" s="14" t="s">
        <v>244</v>
      </c>
      <c r="F68" s="10" t="s">
        <v>245</v>
      </c>
      <c r="G68" s="15"/>
      <c r="H68" s="14">
        <v>36109.0</v>
      </c>
      <c r="I68" s="14">
        <v>45250.0</v>
      </c>
      <c r="J68" s="41">
        <v>45416.0</v>
      </c>
      <c r="K68" s="7">
        <f t="shared" si="1"/>
        <v>4</v>
      </c>
      <c r="L68" s="8">
        <v>45413.0</v>
      </c>
      <c r="M68" s="8">
        <v>45443.0</v>
      </c>
      <c r="N68" s="9">
        <f t="shared" si="5"/>
        <v>42</v>
      </c>
      <c r="O68" s="49">
        <v>41.29032258064516</v>
      </c>
      <c r="P68" s="9">
        <f t="shared" si="3"/>
        <v>210</v>
      </c>
      <c r="Q68" s="9">
        <f t="shared" si="4"/>
        <v>252</v>
      </c>
    </row>
    <row r="69">
      <c r="A69" s="11" t="s">
        <v>16</v>
      </c>
      <c r="B69" s="11">
        <v>4320.0</v>
      </c>
      <c r="C69" s="11" t="s">
        <v>17</v>
      </c>
      <c r="D69" s="10" t="s">
        <v>177</v>
      </c>
      <c r="E69" s="14" t="s">
        <v>178</v>
      </c>
      <c r="F69" s="10" t="s">
        <v>179</v>
      </c>
      <c r="G69" s="15"/>
      <c r="H69" s="14">
        <v>35976.0</v>
      </c>
      <c r="I69" s="14">
        <v>45042.0</v>
      </c>
      <c r="J69" s="15"/>
      <c r="K69" s="7">
        <f t="shared" si="1"/>
        <v>31</v>
      </c>
      <c r="L69" s="8">
        <v>45413.0</v>
      </c>
      <c r="M69" s="8">
        <v>45443.0</v>
      </c>
      <c r="N69" s="9">
        <f t="shared" si="5"/>
        <v>320</v>
      </c>
      <c r="O69" s="49">
        <v>320.0</v>
      </c>
      <c r="P69" s="9">
        <f t="shared" si="3"/>
        <v>1600</v>
      </c>
      <c r="Q69" s="9">
        <f t="shared" si="4"/>
        <v>1920</v>
      </c>
    </row>
    <row r="70">
      <c r="A70" s="10" t="s">
        <v>16</v>
      </c>
      <c r="B70" s="10">
        <v>4320.0</v>
      </c>
      <c r="C70" s="10" t="s">
        <v>17</v>
      </c>
      <c r="D70" s="11" t="s">
        <v>376</v>
      </c>
      <c r="E70" s="12" t="s">
        <v>377</v>
      </c>
      <c r="F70" s="11" t="s">
        <v>378</v>
      </c>
      <c r="G70" s="13"/>
      <c r="H70" s="12">
        <v>36289.0</v>
      </c>
      <c r="I70" s="12">
        <v>45383.0</v>
      </c>
      <c r="J70" s="12">
        <v>45433.0</v>
      </c>
      <c r="K70" s="7">
        <f t="shared" si="1"/>
        <v>21</v>
      </c>
      <c r="L70" s="8">
        <v>45413.0</v>
      </c>
      <c r="M70" s="8">
        <v>45443.0</v>
      </c>
      <c r="N70" s="9">
        <f t="shared" si="5"/>
        <v>217</v>
      </c>
      <c r="O70" s="49">
        <v>216.7741935483871</v>
      </c>
      <c r="P70" s="9">
        <f t="shared" si="3"/>
        <v>1085</v>
      </c>
      <c r="Q70" s="9">
        <f t="shared" si="4"/>
        <v>1302</v>
      </c>
    </row>
    <row r="71">
      <c r="A71" s="10" t="s">
        <v>16</v>
      </c>
      <c r="B71" s="10">
        <v>4320.0</v>
      </c>
      <c r="C71" s="10" t="s">
        <v>17</v>
      </c>
      <c r="D71" s="11" t="s">
        <v>183</v>
      </c>
      <c r="E71" s="12" t="s">
        <v>184</v>
      </c>
      <c r="F71" s="11" t="s">
        <v>185</v>
      </c>
      <c r="G71" s="13"/>
      <c r="H71" s="12">
        <v>36979.0</v>
      </c>
      <c r="I71" s="12">
        <v>44907.0</v>
      </c>
      <c r="J71" s="13"/>
      <c r="K71" s="7">
        <f t="shared" si="1"/>
        <v>31</v>
      </c>
      <c r="L71" s="8">
        <v>45413.0</v>
      </c>
      <c r="M71" s="8">
        <v>45443.0</v>
      </c>
      <c r="N71" s="9">
        <f t="shared" si="5"/>
        <v>320</v>
      </c>
      <c r="O71" s="49">
        <v>320.0</v>
      </c>
      <c r="P71" s="9">
        <f t="shared" si="3"/>
        <v>1600</v>
      </c>
      <c r="Q71" s="9">
        <f t="shared" si="4"/>
        <v>1920</v>
      </c>
    </row>
    <row r="72">
      <c r="A72" s="10" t="s">
        <v>16</v>
      </c>
      <c r="B72" s="10">
        <v>4320.0</v>
      </c>
      <c r="C72" s="10" t="s">
        <v>17</v>
      </c>
      <c r="D72" s="11" t="s">
        <v>189</v>
      </c>
      <c r="E72" s="12" t="s">
        <v>190</v>
      </c>
      <c r="F72" s="11" t="s">
        <v>191</v>
      </c>
      <c r="G72" s="13"/>
      <c r="H72" s="12">
        <v>36421.0</v>
      </c>
      <c r="I72" s="12">
        <v>45208.0</v>
      </c>
      <c r="J72" s="13"/>
      <c r="K72" s="7">
        <f t="shared" si="1"/>
        <v>31</v>
      </c>
      <c r="L72" s="8">
        <v>45413.0</v>
      </c>
      <c r="M72" s="8">
        <v>45443.0</v>
      </c>
      <c r="N72" s="9">
        <f t="shared" si="5"/>
        <v>320</v>
      </c>
      <c r="O72" s="49">
        <v>320.0</v>
      </c>
      <c r="P72" s="9">
        <f t="shared" si="3"/>
        <v>1600</v>
      </c>
      <c r="Q72" s="9">
        <f t="shared" si="4"/>
        <v>1920</v>
      </c>
    </row>
    <row r="73">
      <c r="A73" s="11" t="s">
        <v>16</v>
      </c>
      <c r="B73" s="11">
        <v>4320.0</v>
      </c>
      <c r="C73" s="11" t="s">
        <v>17</v>
      </c>
      <c r="D73" s="10" t="s">
        <v>258</v>
      </c>
      <c r="E73" s="14" t="s">
        <v>259</v>
      </c>
      <c r="F73" s="10" t="s">
        <v>260</v>
      </c>
      <c r="G73" s="15"/>
      <c r="H73" s="14">
        <v>35447.0</v>
      </c>
      <c r="I73" s="14">
        <v>45273.0</v>
      </c>
      <c r="J73" s="15"/>
      <c r="K73" s="7">
        <f t="shared" si="1"/>
        <v>31</v>
      </c>
      <c r="L73" s="8">
        <v>45413.0</v>
      </c>
      <c r="M73" s="8">
        <v>45443.0</v>
      </c>
      <c r="N73" s="9">
        <f t="shared" si="5"/>
        <v>320</v>
      </c>
      <c r="O73" s="49">
        <v>320.0</v>
      </c>
      <c r="P73" s="9">
        <f t="shared" si="3"/>
        <v>1600</v>
      </c>
      <c r="Q73" s="9">
        <f t="shared" si="4"/>
        <v>1920</v>
      </c>
    </row>
    <row r="74">
      <c r="A74" s="10" t="s">
        <v>16</v>
      </c>
      <c r="B74" s="10">
        <v>4320.0</v>
      </c>
      <c r="C74" s="10" t="s">
        <v>17</v>
      </c>
      <c r="D74" s="11" t="s">
        <v>201</v>
      </c>
      <c r="E74" s="12" t="s">
        <v>202</v>
      </c>
      <c r="F74" s="11" t="s">
        <v>203</v>
      </c>
      <c r="G74" s="13"/>
      <c r="H74" s="12">
        <v>36574.0</v>
      </c>
      <c r="I74" s="12">
        <v>45187.0</v>
      </c>
      <c r="J74" s="13"/>
      <c r="K74" s="7">
        <f t="shared" si="1"/>
        <v>31</v>
      </c>
      <c r="L74" s="8">
        <v>45413.0</v>
      </c>
      <c r="M74" s="8">
        <v>45443.0</v>
      </c>
      <c r="N74" s="9">
        <f t="shared" si="5"/>
        <v>320</v>
      </c>
      <c r="O74" s="49">
        <v>320.0</v>
      </c>
      <c r="P74" s="9">
        <f t="shared" si="3"/>
        <v>1600</v>
      </c>
      <c r="Q74" s="9">
        <f t="shared" si="4"/>
        <v>1920</v>
      </c>
    </row>
    <row r="75">
      <c r="A75" s="11" t="s">
        <v>16</v>
      </c>
      <c r="B75" s="11">
        <v>4320.0</v>
      </c>
      <c r="C75" s="11" t="s">
        <v>17</v>
      </c>
      <c r="D75" s="10" t="s">
        <v>301</v>
      </c>
      <c r="E75" s="14" t="s">
        <v>302</v>
      </c>
      <c r="F75" s="10" t="s">
        <v>303</v>
      </c>
      <c r="G75" s="15"/>
      <c r="H75" s="14">
        <v>36991.0</v>
      </c>
      <c r="I75" s="14">
        <v>45205.0</v>
      </c>
      <c r="J75" s="15"/>
      <c r="K75" s="7">
        <f t="shared" si="1"/>
        <v>31</v>
      </c>
      <c r="L75" s="8">
        <v>45413.0</v>
      </c>
      <c r="M75" s="8">
        <v>45443.0</v>
      </c>
      <c r="N75" s="9">
        <f t="shared" si="5"/>
        <v>320</v>
      </c>
      <c r="O75" s="49">
        <v>320.0</v>
      </c>
      <c r="P75" s="9">
        <f t="shared" si="3"/>
        <v>1600</v>
      </c>
      <c r="Q75" s="9">
        <f t="shared" si="4"/>
        <v>1920</v>
      </c>
    </row>
    <row r="76">
      <c r="A76" s="10" t="s">
        <v>16</v>
      </c>
      <c r="B76" s="10">
        <v>4320.0</v>
      </c>
      <c r="C76" s="10" t="s">
        <v>17</v>
      </c>
      <c r="D76" s="35" t="s">
        <v>401</v>
      </c>
      <c r="E76" s="14" t="s">
        <v>402</v>
      </c>
      <c r="F76" s="10" t="s">
        <v>403</v>
      </c>
      <c r="G76" s="15"/>
      <c r="H76" s="14">
        <v>36433.0</v>
      </c>
      <c r="I76" s="14">
        <v>45432.0</v>
      </c>
      <c r="J76" s="15"/>
      <c r="K76" s="7">
        <f t="shared" si="1"/>
        <v>12</v>
      </c>
      <c r="L76" s="8">
        <v>45413.0</v>
      </c>
      <c r="M76" s="8">
        <v>45443.0</v>
      </c>
      <c r="N76" s="9">
        <f t="shared" si="5"/>
        <v>124</v>
      </c>
      <c r="O76" s="49">
        <v>123.87096774193549</v>
      </c>
      <c r="P76" s="9">
        <f t="shared" si="3"/>
        <v>620</v>
      </c>
      <c r="Q76" s="9">
        <f t="shared" si="4"/>
        <v>744</v>
      </c>
    </row>
    <row r="77">
      <c r="A77" s="10" t="s">
        <v>16</v>
      </c>
      <c r="B77" s="10">
        <v>4320.0</v>
      </c>
      <c r="C77" s="10" t="s">
        <v>17</v>
      </c>
      <c r="D77" s="11" t="s">
        <v>207</v>
      </c>
      <c r="E77" s="12" t="s">
        <v>208</v>
      </c>
      <c r="F77" s="11" t="s">
        <v>209</v>
      </c>
      <c r="G77" s="13"/>
      <c r="H77" s="12">
        <v>33156.0</v>
      </c>
      <c r="I77" s="12">
        <v>44285.0</v>
      </c>
      <c r="J77" s="13"/>
      <c r="K77" s="7">
        <f t="shared" si="1"/>
        <v>31</v>
      </c>
      <c r="L77" s="8">
        <v>45413.0</v>
      </c>
      <c r="M77" s="8">
        <v>45443.0</v>
      </c>
      <c r="N77" s="9">
        <f t="shared" si="5"/>
        <v>320</v>
      </c>
      <c r="O77" s="49">
        <v>320.0</v>
      </c>
      <c r="P77" s="9">
        <f t="shared" si="3"/>
        <v>1600</v>
      </c>
      <c r="Q77" s="9">
        <f t="shared" si="4"/>
        <v>1920</v>
      </c>
    </row>
    <row r="78">
      <c r="A78" s="10" t="s">
        <v>16</v>
      </c>
      <c r="B78" s="10">
        <v>4320.0</v>
      </c>
      <c r="C78" s="10" t="s">
        <v>17</v>
      </c>
      <c r="D78" s="11" t="s">
        <v>304</v>
      </c>
      <c r="E78" s="12" t="s">
        <v>305</v>
      </c>
      <c r="F78" s="11" t="s">
        <v>306</v>
      </c>
      <c r="G78" s="13"/>
      <c r="H78" s="12">
        <v>35697.0</v>
      </c>
      <c r="I78" s="12">
        <v>45348.0</v>
      </c>
      <c r="J78" s="13"/>
      <c r="K78" s="7">
        <f t="shared" si="1"/>
        <v>31</v>
      </c>
      <c r="L78" s="8">
        <v>45413.0</v>
      </c>
      <c r="M78" s="8">
        <v>45443.0</v>
      </c>
      <c r="N78" s="9">
        <f t="shared" si="5"/>
        <v>320</v>
      </c>
      <c r="O78" s="49">
        <v>320.0</v>
      </c>
      <c r="P78" s="9">
        <f t="shared" si="3"/>
        <v>1600</v>
      </c>
      <c r="Q78" s="9">
        <f t="shared" si="4"/>
        <v>1920</v>
      </c>
    </row>
    <row r="79">
      <c r="A79" s="11" t="s">
        <v>16</v>
      </c>
      <c r="B79" s="11">
        <v>4320.0</v>
      </c>
      <c r="C79" s="11" t="s">
        <v>17</v>
      </c>
      <c r="D79" s="10" t="s">
        <v>213</v>
      </c>
      <c r="E79" s="14" t="s">
        <v>214</v>
      </c>
      <c r="F79" s="10" t="s">
        <v>215</v>
      </c>
      <c r="G79" s="15"/>
      <c r="H79" s="14">
        <v>36797.0</v>
      </c>
      <c r="I79" s="28">
        <v>44886.0</v>
      </c>
      <c r="J79" s="38"/>
      <c r="K79" s="7">
        <f t="shared" si="1"/>
        <v>31</v>
      </c>
      <c r="L79" s="8">
        <v>45413.0</v>
      </c>
      <c r="M79" s="8">
        <v>45443.0</v>
      </c>
      <c r="N79" s="9">
        <f t="shared" si="5"/>
        <v>320</v>
      </c>
      <c r="O79" s="49">
        <v>320.0</v>
      </c>
      <c r="P79" s="9">
        <f t="shared" si="3"/>
        <v>1600</v>
      </c>
      <c r="Q79" s="9">
        <f t="shared" si="4"/>
        <v>1920</v>
      </c>
    </row>
    <row r="80">
      <c r="A80" s="11" t="s">
        <v>16</v>
      </c>
      <c r="B80" s="11">
        <v>4320.0</v>
      </c>
      <c r="C80" s="11" t="s">
        <v>17</v>
      </c>
      <c r="D80" s="10" t="s">
        <v>216</v>
      </c>
      <c r="E80" s="14" t="s">
        <v>217</v>
      </c>
      <c r="F80" s="10" t="s">
        <v>218</v>
      </c>
      <c r="G80" s="15"/>
      <c r="H80" s="14">
        <v>33769.0</v>
      </c>
      <c r="I80" s="14">
        <v>44816.0</v>
      </c>
      <c r="J80" s="15"/>
      <c r="K80" s="7">
        <f t="shared" si="1"/>
        <v>31</v>
      </c>
      <c r="L80" s="8">
        <v>45413.0</v>
      </c>
      <c r="M80" s="8">
        <v>45443.0</v>
      </c>
      <c r="N80" s="9">
        <f t="shared" si="5"/>
        <v>320</v>
      </c>
      <c r="O80" s="49">
        <v>320.0</v>
      </c>
      <c r="P80" s="9">
        <f t="shared" si="3"/>
        <v>1600</v>
      </c>
      <c r="Q80" s="9">
        <f t="shared" si="4"/>
        <v>1920</v>
      </c>
    </row>
    <row r="81">
      <c r="A81" s="11" t="s">
        <v>16</v>
      </c>
      <c r="B81" s="11">
        <v>4320.0</v>
      </c>
      <c r="C81" s="11" t="s">
        <v>17</v>
      </c>
      <c r="D81" s="20" t="s">
        <v>404</v>
      </c>
      <c r="E81" s="14" t="s">
        <v>405</v>
      </c>
      <c r="F81" s="10" t="s">
        <v>406</v>
      </c>
      <c r="G81" s="15"/>
      <c r="H81" s="14">
        <v>35973.0</v>
      </c>
      <c r="I81" s="14">
        <v>45414.0</v>
      </c>
      <c r="J81" s="15"/>
      <c r="K81" s="7">
        <f t="shared" si="1"/>
        <v>30</v>
      </c>
      <c r="L81" s="8">
        <v>45413.0</v>
      </c>
      <c r="M81" s="8">
        <v>45443.0</v>
      </c>
      <c r="N81" s="9">
        <f t="shared" si="5"/>
        <v>310</v>
      </c>
      <c r="O81" s="49">
        <v>309.6774193548387</v>
      </c>
      <c r="P81" s="9">
        <f t="shared" si="3"/>
        <v>1550</v>
      </c>
      <c r="Q81" s="9">
        <f t="shared" si="4"/>
        <v>1860</v>
      </c>
    </row>
    <row r="82">
      <c r="A82" s="10" t="s">
        <v>16</v>
      </c>
      <c r="B82" s="10">
        <v>4320.0</v>
      </c>
      <c r="C82" s="10" t="s">
        <v>17</v>
      </c>
      <c r="D82" s="11" t="s">
        <v>222</v>
      </c>
      <c r="E82" s="12" t="s">
        <v>223</v>
      </c>
      <c r="F82" s="11" t="s">
        <v>224</v>
      </c>
      <c r="G82" s="13"/>
      <c r="H82" s="12">
        <v>35818.0</v>
      </c>
      <c r="I82" s="12">
        <v>45089.0</v>
      </c>
      <c r="J82" s="13"/>
      <c r="K82" s="7">
        <f t="shared" si="1"/>
        <v>31</v>
      </c>
      <c r="L82" s="8">
        <v>45413.0</v>
      </c>
      <c r="M82" s="8">
        <v>45443.0</v>
      </c>
      <c r="N82" s="9">
        <f t="shared" si="5"/>
        <v>320</v>
      </c>
      <c r="O82" s="49">
        <v>320.0</v>
      </c>
      <c r="P82" s="9">
        <f t="shared" si="3"/>
        <v>1600</v>
      </c>
      <c r="Q82" s="9">
        <f t="shared" si="4"/>
        <v>1920</v>
      </c>
    </row>
    <row r="83">
      <c r="A83" s="11" t="s">
        <v>16</v>
      </c>
      <c r="B83" s="11">
        <v>4320.0</v>
      </c>
      <c r="C83" s="11" t="s">
        <v>17</v>
      </c>
      <c r="D83" s="10" t="s">
        <v>225</v>
      </c>
      <c r="E83" s="14" t="s">
        <v>226</v>
      </c>
      <c r="F83" s="10" t="s">
        <v>227</v>
      </c>
      <c r="G83" s="15"/>
      <c r="H83" s="14">
        <v>36177.0</v>
      </c>
      <c r="I83" s="14">
        <v>45320.0</v>
      </c>
      <c r="J83" s="15"/>
      <c r="K83" s="7">
        <f t="shared" si="1"/>
        <v>31</v>
      </c>
      <c r="L83" s="8">
        <v>45413.0</v>
      </c>
      <c r="M83" s="8">
        <v>45443.0</v>
      </c>
      <c r="N83" s="9">
        <f t="shared" si="5"/>
        <v>320</v>
      </c>
      <c r="O83" s="49">
        <v>320.0</v>
      </c>
      <c r="P83" s="9">
        <f t="shared" si="3"/>
        <v>1600</v>
      </c>
      <c r="Q83" s="9">
        <f t="shared" si="4"/>
        <v>1920</v>
      </c>
    </row>
    <row r="84">
      <c r="A84" s="10" t="s">
        <v>16</v>
      </c>
      <c r="B84" s="10">
        <v>4320.0</v>
      </c>
      <c r="C84" s="10" t="s">
        <v>17</v>
      </c>
      <c r="D84" s="11" t="s">
        <v>307</v>
      </c>
      <c r="E84" s="12" t="s">
        <v>308</v>
      </c>
      <c r="F84" s="11" t="s">
        <v>309</v>
      </c>
      <c r="G84" s="13"/>
      <c r="H84" s="12">
        <v>36522.0</v>
      </c>
      <c r="I84" s="12">
        <v>45328.0</v>
      </c>
      <c r="J84" s="13"/>
      <c r="K84" s="7">
        <f t="shared" si="1"/>
        <v>31</v>
      </c>
      <c r="L84" s="8">
        <v>45413.0</v>
      </c>
      <c r="M84" s="8">
        <v>45443.0</v>
      </c>
      <c r="N84" s="9">
        <f t="shared" si="5"/>
        <v>320</v>
      </c>
      <c r="O84" s="49">
        <v>320.0</v>
      </c>
      <c r="P84" s="9">
        <f t="shared" si="3"/>
        <v>1600</v>
      </c>
      <c r="Q84" s="9">
        <f t="shared" si="4"/>
        <v>1920</v>
      </c>
    </row>
    <row r="85">
      <c r="A85" s="11" t="s">
        <v>16</v>
      </c>
      <c r="B85" s="11">
        <v>4320.0</v>
      </c>
      <c r="C85" s="11" t="s">
        <v>17</v>
      </c>
      <c r="D85" s="10" t="s">
        <v>228</v>
      </c>
      <c r="E85" s="14" t="s">
        <v>229</v>
      </c>
      <c r="F85" s="10" t="s">
        <v>230</v>
      </c>
      <c r="G85" s="15"/>
      <c r="H85" s="14">
        <v>35743.0</v>
      </c>
      <c r="I85" s="14">
        <v>45222.0</v>
      </c>
      <c r="J85" s="15"/>
      <c r="K85" s="7">
        <f t="shared" si="1"/>
        <v>31</v>
      </c>
      <c r="L85" s="8">
        <v>45413.0</v>
      </c>
      <c r="M85" s="8">
        <v>45443.0</v>
      </c>
      <c r="N85" s="9">
        <f t="shared" si="5"/>
        <v>320</v>
      </c>
      <c r="O85" s="49">
        <v>320.0</v>
      </c>
      <c r="P85" s="9">
        <f t="shared" si="3"/>
        <v>1600</v>
      </c>
      <c r="Q85" s="9">
        <f t="shared" si="4"/>
        <v>1920</v>
      </c>
    </row>
    <row r="86">
      <c r="Q86" s="40">
        <f>SUM(Q2:Q85)</f>
        <v>148260</v>
      </c>
    </row>
    <row r="90">
      <c r="D90" s="51"/>
      <c r="E90" s="49"/>
      <c r="F90" s="49"/>
    </row>
    <row r="91">
      <c r="D91" s="52"/>
      <c r="E91" s="53"/>
      <c r="F91" s="49"/>
    </row>
    <row r="92">
      <c r="D92" s="51"/>
      <c r="E92" s="49"/>
      <c r="F92" s="49"/>
    </row>
    <row r="93">
      <c r="D93" s="51"/>
      <c r="E93" s="49"/>
      <c r="F93" s="49"/>
    </row>
    <row r="94">
      <c r="D94" s="51"/>
      <c r="E94" s="49"/>
      <c r="F94" s="49"/>
    </row>
    <row r="95">
      <c r="D95" s="51"/>
      <c r="E95" s="49"/>
      <c r="F95" s="49"/>
    </row>
    <row r="96">
      <c r="D96" s="51"/>
      <c r="E96" s="49"/>
      <c r="F96" s="49"/>
    </row>
    <row r="97">
      <c r="D97" s="51"/>
      <c r="E97" s="53"/>
      <c r="F97" s="49"/>
    </row>
    <row r="98">
      <c r="D98" s="52"/>
      <c r="E98" s="49"/>
      <c r="F98" s="49"/>
    </row>
    <row r="99">
      <c r="D99" s="51"/>
      <c r="E99" s="53"/>
      <c r="F99" s="49"/>
    </row>
    <row r="100">
      <c r="D100" s="52"/>
      <c r="E100" s="49"/>
      <c r="F100" s="49"/>
    </row>
    <row r="101">
      <c r="D101" s="51"/>
      <c r="E101" s="49"/>
      <c r="F101" s="49"/>
    </row>
    <row r="102">
      <c r="D102" s="54"/>
      <c r="E102" s="49"/>
      <c r="F102" s="49"/>
    </row>
    <row r="103">
      <c r="D103" s="51"/>
      <c r="E103" s="49"/>
      <c r="F103" s="49"/>
    </row>
    <row r="104">
      <c r="D104" s="51"/>
      <c r="E104" s="49"/>
      <c r="F104" s="49"/>
    </row>
    <row r="105">
      <c r="D105" s="51"/>
      <c r="E105" s="49"/>
      <c r="F105" s="49"/>
    </row>
    <row r="106">
      <c r="D106" s="51"/>
      <c r="E106" s="49"/>
      <c r="F106" s="49"/>
    </row>
    <row r="107">
      <c r="D107" s="51"/>
      <c r="E107" s="53"/>
      <c r="F107" s="49"/>
    </row>
    <row r="108">
      <c r="D108" s="55"/>
      <c r="E108" s="53"/>
      <c r="F108" s="49"/>
    </row>
    <row r="109">
      <c r="D109" s="52"/>
      <c r="E109" s="49"/>
      <c r="F109" s="49"/>
    </row>
    <row r="110">
      <c r="D110" s="51"/>
      <c r="E110" s="49"/>
      <c r="F110" s="49"/>
    </row>
    <row r="111">
      <c r="D111" s="51"/>
      <c r="E111" s="49"/>
      <c r="F111" s="49"/>
    </row>
    <row r="112">
      <c r="D112" s="51"/>
      <c r="E112" s="49"/>
      <c r="F112" s="49"/>
    </row>
    <row r="113">
      <c r="D113" s="56"/>
      <c r="E113" s="49"/>
      <c r="F113" s="49"/>
    </row>
    <row r="114">
      <c r="D114" s="56"/>
      <c r="E114" s="49"/>
      <c r="F114" s="49"/>
    </row>
    <row r="115">
      <c r="D115" s="56"/>
      <c r="E115" s="49"/>
      <c r="F115" s="49"/>
    </row>
    <row r="116">
      <c r="D116" s="56"/>
      <c r="E116" s="49"/>
      <c r="F116" s="49"/>
    </row>
    <row r="117">
      <c r="D117" s="57"/>
      <c r="E117" s="49"/>
      <c r="F117" s="49"/>
    </row>
    <row r="118">
      <c r="D118" s="56"/>
      <c r="E118" s="49"/>
      <c r="F118" s="49"/>
    </row>
    <row r="119">
      <c r="D119" s="56"/>
      <c r="E119" s="53"/>
      <c r="F119" s="49"/>
    </row>
    <row r="120">
      <c r="D120" s="58"/>
      <c r="E120" s="49"/>
      <c r="F120" s="49"/>
    </row>
    <row r="121">
      <c r="D121" s="56"/>
      <c r="E121" s="49"/>
      <c r="F121" s="49"/>
    </row>
    <row r="122">
      <c r="D122" s="56"/>
      <c r="E122" s="49"/>
      <c r="F122" s="49"/>
    </row>
    <row r="123">
      <c r="D123" s="56"/>
      <c r="E123" s="49"/>
      <c r="F123" s="49"/>
    </row>
    <row r="124">
      <c r="D124" s="56"/>
      <c r="E124" s="49"/>
      <c r="F124" s="49"/>
    </row>
    <row r="125">
      <c r="D125" s="56"/>
      <c r="E125" s="49"/>
      <c r="F125" s="49"/>
    </row>
    <row r="126">
      <c r="D126" s="56"/>
      <c r="E126" s="49"/>
      <c r="F126" s="49"/>
    </row>
    <row r="127">
      <c r="D127" s="56"/>
      <c r="E127" s="53"/>
      <c r="F127" s="49"/>
    </row>
    <row r="128">
      <c r="D128" s="57"/>
      <c r="E128" s="49"/>
      <c r="F128" s="49"/>
    </row>
    <row r="129">
      <c r="D129" s="56"/>
      <c r="E129" s="49"/>
      <c r="F129" s="49"/>
    </row>
    <row r="130">
      <c r="D130" s="56"/>
      <c r="E130" s="49"/>
      <c r="F130" s="49"/>
    </row>
    <row r="131">
      <c r="D131" s="56"/>
      <c r="E131" s="49"/>
      <c r="F131" s="49"/>
    </row>
    <row r="132">
      <c r="D132" s="59"/>
      <c r="E132" s="49"/>
      <c r="F132" s="49"/>
    </row>
    <row r="133">
      <c r="D133" s="56"/>
      <c r="E133" s="49"/>
      <c r="F133" s="49"/>
    </row>
    <row r="134">
      <c r="D134" s="56"/>
      <c r="E134" s="49"/>
      <c r="F134" s="49"/>
    </row>
    <row r="135">
      <c r="D135" s="56"/>
      <c r="E135" s="49"/>
      <c r="F135" s="49"/>
    </row>
    <row r="136">
      <c r="D136" s="56"/>
      <c r="E136" s="49"/>
      <c r="F136" s="49"/>
    </row>
    <row r="137">
      <c r="D137" s="56"/>
      <c r="E137" s="49"/>
      <c r="F137" s="49"/>
    </row>
    <row r="138">
      <c r="D138" s="52"/>
      <c r="E138" s="53"/>
      <c r="F138" s="49"/>
    </row>
    <row r="139">
      <c r="D139" s="52"/>
      <c r="E139" s="49"/>
      <c r="F139" s="49"/>
    </row>
    <row r="140">
      <c r="D140" s="51"/>
      <c r="E140" s="49"/>
      <c r="F140" s="49"/>
    </row>
    <row r="141">
      <c r="D141" s="51"/>
      <c r="E141" s="49"/>
      <c r="F141" s="49"/>
    </row>
    <row r="142">
      <c r="D142" s="51"/>
      <c r="E142" s="49"/>
      <c r="F142" s="49"/>
    </row>
    <row r="143">
      <c r="D143" s="60"/>
      <c r="E143" s="49"/>
      <c r="F143" s="49"/>
    </row>
    <row r="144">
      <c r="D144" s="52"/>
      <c r="E144" s="49"/>
      <c r="F144" s="49"/>
    </row>
    <row r="145">
      <c r="D145" s="51"/>
      <c r="E145" s="49"/>
      <c r="F145" s="49"/>
    </row>
    <row r="146">
      <c r="D146" s="51"/>
      <c r="E146" s="49"/>
      <c r="F146" s="49"/>
    </row>
    <row r="147">
      <c r="D147" s="51"/>
      <c r="E147" s="49"/>
      <c r="F147" s="49"/>
    </row>
    <row r="148">
      <c r="D148" s="52"/>
      <c r="E148" s="53"/>
      <c r="F148" s="49"/>
    </row>
    <row r="149">
      <c r="D149" s="51"/>
      <c r="E149" s="49"/>
      <c r="F149" s="49"/>
    </row>
    <row r="150">
      <c r="D150" s="51"/>
      <c r="E150" s="49"/>
      <c r="F150" s="49"/>
    </row>
    <row r="151">
      <c r="D151" s="51"/>
      <c r="E151" s="49"/>
      <c r="F151" s="49"/>
    </row>
    <row r="152">
      <c r="D152" s="51"/>
      <c r="E152" s="49"/>
      <c r="F152" s="49"/>
    </row>
    <row r="153">
      <c r="D153" s="52"/>
      <c r="E153" s="49"/>
      <c r="F153" s="49"/>
    </row>
    <row r="154">
      <c r="D154" s="51"/>
      <c r="E154" s="49"/>
      <c r="F154" s="49"/>
    </row>
    <row r="155">
      <c r="D155" s="51"/>
      <c r="E155" s="49"/>
      <c r="F155" s="49"/>
    </row>
    <row r="156">
      <c r="D156" s="51"/>
      <c r="E156" s="49"/>
      <c r="F156" s="49"/>
    </row>
    <row r="157">
      <c r="D157" s="51"/>
      <c r="E157" s="49"/>
      <c r="F157" s="49"/>
    </row>
    <row r="158">
      <c r="D158" s="52"/>
      <c r="E158" s="49"/>
      <c r="F158" s="49"/>
    </row>
    <row r="159">
      <c r="D159" s="51"/>
      <c r="E159" s="49"/>
      <c r="F159" s="49"/>
    </row>
    <row r="160">
      <c r="D160" s="51"/>
      <c r="E160" s="49"/>
      <c r="F160" s="49"/>
    </row>
    <row r="161">
      <c r="D161" s="51"/>
      <c r="E161" s="49"/>
      <c r="F161" s="49"/>
    </row>
    <row r="162">
      <c r="D162" s="51"/>
      <c r="E162" s="49"/>
      <c r="F162" s="49"/>
    </row>
    <row r="163">
      <c r="D163" s="51"/>
      <c r="E163" s="49"/>
      <c r="F163" s="49"/>
    </row>
    <row r="164">
      <c r="D164" s="52"/>
      <c r="E164" s="53"/>
      <c r="F164" s="49"/>
    </row>
    <row r="165">
      <c r="D165" s="61"/>
      <c r="E165" s="49"/>
      <c r="F165" s="49"/>
    </row>
    <row r="166">
      <c r="D166" s="54"/>
      <c r="E166" s="49"/>
      <c r="F166" s="49"/>
    </row>
    <row r="167">
      <c r="D167" s="54"/>
      <c r="E167" s="49"/>
      <c r="F167" s="49"/>
    </row>
    <row r="168">
      <c r="D168" s="54"/>
      <c r="E168" s="49"/>
      <c r="F168" s="49"/>
    </row>
    <row r="169">
      <c r="D169" s="61"/>
      <c r="E169" s="53"/>
      <c r="F169" s="49"/>
    </row>
    <row r="170">
      <c r="D170" s="54"/>
      <c r="E170" s="49"/>
      <c r="F170" s="49"/>
    </row>
    <row r="171">
      <c r="D171" s="54"/>
      <c r="E171" s="49"/>
      <c r="F171" s="49"/>
    </row>
    <row r="172">
      <c r="D172" s="54"/>
      <c r="E172" s="49"/>
      <c r="F172" s="49"/>
    </row>
    <row r="173">
      <c r="D173" s="54"/>
      <c r="E173" s="49"/>
      <c r="F173" s="4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88"/>
  </cols>
  <sheetData>
    <row r="1">
      <c r="A1" s="1" t="s">
        <v>0</v>
      </c>
      <c r="B1" s="1" t="s">
        <v>1</v>
      </c>
      <c r="C1" s="1" t="s">
        <v>2</v>
      </c>
      <c r="D1" s="1" t="s">
        <v>3</v>
      </c>
      <c r="E1" s="62" t="s">
        <v>4</v>
      </c>
      <c r="F1" s="2" t="s">
        <v>5</v>
      </c>
      <c r="G1" s="62" t="s">
        <v>6</v>
      </c>
      <c r="H1" s="62" t="s">
        <v>7</v>
      </c>
      <c r="I1" s="63" t="s">
        <v>8</v>
      </c>
      <c r="J1" s="63" t="s">
        <v>9</v>
      </c>
      <c r="K1" s="3" t="s">
        <v>10</v>
      </c>
      <c r="L1" s="64" t="s">
        <v>11</v>
      </c>
      <c r="M1" s="64" t="s">
        <v>12</v>
      </c>
      <c r="N1" s="65" t="s">
        <v>379</v>
      </c>
      <c r="O1" s="65" t="s">
        <v>14</v>
      </c>
      <c r="P1" s="65" t="s">
        <v>15</v>
      </c>
      <c r="Q1" s="66"/>
      <c r="R1" s="66"/>
      <c r="S1" s="66"/>
      <c r="T1" s="66"/>
      <c r="U1" s="66"/>
      <c r="V1" s="66"/>
      <c r="W1" s="66"/>
      <c r="X1" s="66"/>
      <c r="Y1" s="66"/>
      <c r="Z1" s="66"/>
    </row>
    <row r="2">
      <c r="A2" s="11" t="s">
        <v>16</v>
      </c>
      <c r="B2" s="11">
        <v>4320.0</v>
      </c>
      <c r="C2" s="11" t="s">
        <v>17</v>
      </c>
      <c r="D2" s="10" t="s">
        <v>261</v>
      </c>
      <c r="E2" s="14" t="s">
        <v>262</v>
      </c>
      <c r="F2" s="10" t="s">
        <v>263</v>
      </c>
      <c r="G2" s="15"/>
      <c r="H2" s="14">
        <v>36617.0</v>
      </c>
      <c r="I2" s="14">
        <v>45299.0</v>
      </c>
      <c r="J2" s="15"/>
      <c r="K2" s="7">
        <f t="shared" ref="K2:K6" si="1">MAX(0, MIN(M2, J2) - MAX(L2, I2) + 1)</f>
        <v>30</v>
      </c>
      <c r="L2" s="8">
        <v>45444.0</v>
      </c>
      <c r="M2" s="8">
        <v>45473.0</v>
      </c>
      <c r="N2" s="9">
        <f t="shared" ref="N2:N86" si="2">ROUNDUP(K2/30*320,0)</f>
        <v>320</v>
      </c>
      <c r="O2" s="9">
        <f t="shared" ref="O2:O86" si="3">N2*5</f>
        <v>1600</v>
      </c>
      <c r="P2" s="9">
        <f t="shared" ref="P2:P86" si="4">N2+O2</f>
        <v>1920</v>
      </c>
    </row>
    <row r="3">
      <c r="A3" s="11" t="s">
        <v>16</v>
      </c>
      <c r="B3" s="11">
        <v>4320.0</v>
      </c>
      <c r="C3" s="11" t="s">
        <v>17</v>
      </c>
      <c r="D3" s="20" t="s">
        <v>361</v>
      </c>
      <c r="E3" s="14" t="s">
        <v>362</v>
      </c>
      <c r="F3" s="20" t="s">
        <v>363</v>
      </c>
      <c r="G3" s="15"/>
      <c r="H3" s="14">
        <v>37149.0</v>
      </c>
      <c r="I3" s="14">
        <v>45397.0</v>
      </c>
      <c r="J3" s="15"/>
      <c r="K3" s="16">
        <f t="shared" si="1"/>
        <v>30</v>
      </c>
      <c r="L3" s="17">
        <v>45444.0</v>
      </c>
      <c r="M3" s="17">
        <v>45473.0</v>
      </c>
      <c r="N3" s="18">
        <f t="shared" si="2"/>
        <v>320</v>
      </c>
      <c r="O3" s="18">
        <f t="shared" si="3"/>
        <v>1600</v>
      </c>
      <c r="P3" s="18">
        <f t="shared" si="4"/>
        <v>1920</v>
      </c>
    </row>
    <row r="4">
      <c r="A4" s="10" t="s">
        <v>16</v>
      </c>
      <c r="B4" s="10">
        <v>4320.0</v>
      </c>
      <c r="C4" s="10" t="s">
        <v>17</v>
      </c>
      <c r="D4" s="11" t="s">
        <v>21</v>
      </c>
      <c r="E4" s="12" t="s">
        <v>22</v>
      </c>
      <c r="F4" s="11" t="s">
        <v>23</v>
      </c>
      <c r="G4" s="13"/>
      <c r="H4" s="12">
        <v>36358.0</v>
      </c>
      <c r="I4" s="12">
        <v>45027.0</v>
      </c>
      <c r="J4" s="13"/>
      <c r="K4" s="7">
        <f t="shared" si="1"/>
        <v>30</v>
      </c>
      <c r="L4" s="8">
        <v>45444.0</v>
      </c>
      <c r="M4" s="8">
        <v>45473.0</v>
      </c>
      <c r="N4" s="9">
        <f t="shared" si="2"/>
        <v>320</v>
      </c>
      <c r="O4" s="9">
        <f t="shared" si="3"/>
        <v>1600</v>
      </c>
      <c r="P4" s="9">
        <f t="shared" si="4"/>
        <v>1920</v>
      </c>
    </row>
    <row r="5">
      <c r="A5" s="11" t="s">
        <v>16</v>
      </c>
      <c r="B5" s="11">
        <v>4320.0</v>
      </c>
      <c r="C5" s="11" t="s">
        <v>17</v>
      </c>
      <c r="D5" s="10" t="s">
        <v>24</v>
      </c>
      <c r="E5" s="14" t="s">
        <v>25</v>
      </c>
      <c r="F5" s="10" t="s">
        <v>26</v>
      </c>
      <c r="G5" s="15"/>
      <c r="H5" s="14">
        <v>36860.0</v>
      </c>
      <c r="I5" s="14">
        <v>45124.0</v>
      </c>
      <c r="J5" s="15"/>
      <c r="K5" s="7">
        <f t="shared" si="1"/>
        <v>30</v>
      </c>
      <c r="L5" s="8">
        <v>45444.0</v>
      </c>
      <c r="M5" s="8">
        <v>45473.0</v>
      </c>
      <c r="N5" s="9">
        <f t="shared" si="2"/>
        <v>320</v>
      </c>
      <c r="O5" s="9">
        <f t="shared" si="3"/>
        <v>1600</v>
      </c>
      <c r="P5" s="9">
        <f t="shared" si="4"/>
        <v>1920</v>
      </c>
    </row>
    <row r="6">
      <c r="A6" s="10" t="s">
        <v>16</v>
      </c>
      <c r="B6" s="10">
        <v>4320.0</v>
      </c>
      <c r="C6" s="10" t="s">
        <v>17</v>
      </c>
      <c r="D6" s="67" t="s">
        <v>407</v>
      </c>
      <c r="E6" s="12" t="s">
        <v>97</v>
      </c>
      <c r="F6" s="11" t="s">
        <v>98</v>
      </c>
      <c r="G6" s="13"/>
      <c r="H6" s="12">
        <v>36690.0</v>
      </c>
      <c r="I6" s="12">
        <v>44938.0</v>
      </c>
      <c r="J6" s="13"/>
      <c r="K6" s="7">
        <f t="shared" si="1"/>
        <v>30</v>
      </c>
      <c r="L6" s="8">
        <v>45444.0</v>
      </c>
      <c r="M6" s="8">
        <v>45473.0</v>
      </c>
      <c r="N6" s="9">
        <f t="shared" si="2"/>
        <v>320</v>
      </c>
      <c r="O6" s="9">
        <f t="shared" si="3"/>
        <v>1600</v>
      </c>
      <c r="P6" s="9">
        <f t="shared" si="4"/>
        <v>1920</v>
      </c>
    </row>
    <row r="7">
      <c r="A7" s="11" t="s">
        <v>16</v>
      </c>
      <c r="B7" s="11">
        <v>4320.0</v>
      </c>
      <c r="C7" s="11" t="s">
        <v>17</v>
      </c>
      <c r="D7" s="68" t="s">
        <v>408</v>
      </c>
      <c r="E7" s="69" t="s">
        <v>409</v>
      </c>
      <c r="F7" s="70" t="s">
        <v>410</v>
      </c>
      <c r="G7" s="13"/>
      <c r="H7" s="71">
        <v>37978.0</v>
      </c>
      <c r="I7" s="71">
        <v>45453.0</v>
      </c>
      <c r="J7" s="13"/>
      <c r="K7" s="72">
        <v>21.0</v>
      </c>
      <c r="L7" s="73">
        <v>45453.0</v>
      </c>
      <c r="M7" s="74">
        <v>45473.0</v>
      </c>
      <c r="N7" s="75">
        <f t="shared" si="2"/>
        <v>224</v>
      </c>
      <c r="O7" s="75">
        <f t="shared" si="3"/>
        <v>1120</v>
      </c>
      <c r="P7" s="75">
        <f t="shared" si="4"/>
        <v>1344</v>
      </c>
      <c r="Q7" s="76"/>
      <c r="R7" s="76"/>
      <c r="S7" s="76"/>
      <c r="T7" s="76"/>
      <c r="U7" s="76"/>
      <c r="V7" s="76"/>
      <c r="W7" s="76"/>
      <c r="X7" s="76"/>
      <c r="Y7" s="76"/>
      <c r="Z7" s="76"/>
    </row>
    <row r="8">
      <c r="A8" s="10" t="s">
        <v>16</v>
      </c>
      <c r="B8" s="10">
        <v>4320.0</v>
      </c>
      <c r="C8" s="10" t="s">
        <v>17</v>
      </c>
      <c r="D8" s="11" t="s">
        <v>30</v>
      </c>
      <c r="E8" s="12" t="s">
        <v>31</v>
      </c>
      <c r="F8" s="11" t="s">
        <v>32</v>
      </c>
      <c r="G8" s="13"/>
      <c r="H8" s="12">
        <v>35997.0</v>
      </c>
      <c r="I8" s="12">
        <v>45061.0</v>
      </c>
      <c r="J8" s="13"/>
      <c r="K8" s="7">
        <f t="shared" ref="K8:K13" si="5">MAX(0, MIN(M8, J8) - MAX(L8, I8) + 1)</f>
        <v>30</v>
      </c>
      <c r="L8" s="8">
        <v>45444.0</v>
      </c>
      <c r="M8" s="8">
        <v>45473.0</v>
      </c>
      <c r="N8" s="9">
        <f t="shared" si="2"/>
        <v>320</v>
      </c>
      <c r="O8" s="9">
        <f t="shared" si="3"/>
        <v>1600</v>
      </c>
      <c r="P8" s="9">
        <f t="shared" si="4"/>
        <v>1920</v>
      </c>
    </row>
    <row r="9">
      <c r="A9" s="10" t="s">
        <v>16</v>
      </c>
      <c r="B9" s="10">
        <v>4320.0</v>
      </c>
      <c r="C9" s="10" t="s">
        <v>17</v>
      </c>
      <c r="D9" s="11" t="s">
        <v>246</v>
      </c>
      <c r="E9" s="12" t="s">
        <v>247</v>
      </c>
      <c r="F9" s="11" t="s">
        <v>248</v>
      </c>
      <c r="G9" s="13"/>
      <c r="H9" s="12">
        <v>36353.0</v>
      </c>
      <c r="I9" s="12">
        <v>45278.0</v>
      </c>
      <c r="J9" s="13"/>
      <c r="K9" s="7">
        <f t="shared" si="5"/>
        <v>30</v>
      </c>
      <c r="L9" s="8">
        <v>45444.0</v>
      </c>
      <c r="M9" s="8">
        <v>45473.0</v>
      </c>
      <c r="N9" s="9">
        <f t="shared" si="2"/>
        <v>320</v>
      </c>
      <c r="O9" s="9">
        <f t="shared" si="3"/>
        <v>1600</v>
      </c>
      <c r="P9" s="9">
        <f t="shared" si="4"/>
        <v>1920</v>
      </c>
    </row>
    <row r="10">
      <c r="A10" s="10" t="s">
        <v>16</v>
      </c>
      <c r="B10" s="10">
        <v>4320.0</v>
      </c>
      <c r="C10" s="10" t="s">
        <v>17</v>
      </c>
      <c r="D10" s="20" t="s">
        <v>380</v>
      </c>
      <c r="E10" s="14" t="s">
        <v>381</v>
      </c>
      <c r="F10" s="10" t="s">
        <v>382</v>
      </c>
      <c r="G10" s="15"/>
      <c r="H10" s="14">
        <v>35669.0</v>
      </c>
      <c r="I10" s="14">
        <v>45418.0</v>
      </c>
      <c r="J10" s="15"/>
      <c r="K10" s="7">
        <f t="shared" si="5"/>
        <v>30</v>
      </c>
      <c r="L10" s="8">
        <v>45444.0</v>
      </c>
      <c r="M10" s="8">
        <v>45473.0</v>
      </c>
      <c r="N10" s="9">
        <f t="shared" si="2"/>
        <v>320</v>
      </c>
      <c r="O10" s="9">
        <f t="shared" si="3"/>
        <v>1600</v>
      </c>
      <c r="P10" s="9">
        <f t="shared" si="4"/>
        <v>1920</v>
      </c>
    </row>
    <row r="11">
      <c r="A11" s="11" t="s">
        <v>16</v>
      </c>
      <c r="B11" s="11">
        <v>4320.0</v>
      </c>
      <c r="C11" s="11" t="s">
        <v>17</v>
      </c>
      <c r="D11" s="10" t="s">
        <v>316</v>
      </c>
      <c r="E11" s="14" t="s">
        <v>317</v>
      </c>
      <c r="F11" s="10" t="s">
        <v>318</v>
      </c>
      <c r="G11" s="15"/>
      <c r="H11" s="14">
        <v>37274.0</v>
      </c>
      <c r="I11" s="14">
        <v>45362.0</v>
      </c>
      <c r="J11" s="15"/>
      <c r="K11" s="7">
        <f t="shared" si="5"/>
        <v>30</v>
      </c>
      <c r="L11" s="8">
        <v>45444.0</v>
      </c>
      <c r="M11" s="8">
        <v>45473.0</v>
      </c>
      <c r="N11" s="9">
        <f t="shared" si="2"/>
        <v>320</v>
      </c>
      <c r="O11" s="9">
        <f t="shared" si="3"/>
        <v>1600</v>
      </c>
      <c r="P11" s="9">
        <f t="shared" si="4"/>
        <v>1920</v>
      </c>
    </row>
    <row r="12">
      <c r="A12" s="11" t="s">
        <v>16</v>
      </c>
      <c r="B12" s="11">
        <v>4320.0</v>
      </c>
      <c r="C12" s="11" t="s">
        <v>17</v>
      </c>
      <c r="D12" s="10" t="s">
        <v>264</v>
      </c>
      <c r="E12" s="14" t="s">
        <v>265</v>
      </c>
      <c r="F12" s="10" t="s">
        <v>266</v>
      </c>
      <c r="G12" s="15"/>
      <c r="H12" s="14">
        <v>37398.0</v>
      </c>
      <c r="I12" s="14">
        <v>45096.0</v>
      </c>
      <c r="J12" s="15"/>
      <c r="K12" s="7">
        <f t="shared" si="5"/>
        <v>30</v>
      </c>
      <c r="L12" s="8">
        <v>45444.0</v>
      </c>
      <c r="M12" s="8">
        <v>45473.0</v>
      </c>
      <c r="N12" s="9">
        <f t="shared" si="2"/>
        <v>320</v>
      </c>
      <c r="O12" s="9">
        <f t="shared" si="3"/>
        <v>1600</v>
      </c>
      <c r="P12" s="9">
        <f t="shared" si="4"/>
        <v>1920</v>
      </c>
    </row>
    <row r="13">
      <c r="A13" s="11" t="s">
        <v>16</v>
      </c>
      <c r="B13" s="11">
        <v>4320.0</v>
      </c>
      <c r="C13" s="11" t="s">
        <v>17</v>
      </c>
      <c r="D13" s="10" t="s">
        <v>319</v>
      </c>
      <c r="E13" s="14" t="s">
        <v>320</v>
      </c>
      <c r="F13" s="10" t="s">
        <v>321</v>
      </c>
      <c r="G13" s="15"/>
      <c r="H13" s="14">
        <v>36360.0</v>
      </c>
      <c r="I13" s="14">
        <v>45355.0</v>
      </c>
      <c r="J13" s="15"/>
      <c r="K13" s="7">
        <f t="shared" si="5"/>
        <v>30</v>
      </c>
      <c r="L13" s="8">
        <v>45444.0</v>
      </c>
      <c r="M13" s="8">
        <v>45473.0</v>
      </c>
      <c r="N13" s="9">
        <f t="shared" si="2"/>
        <v>320</v>
      </c>
      <c r="O13" s="9">
        <f t="shared" si="3"/>
        <v>1600</v>
      </c>
      <c r="P13" s="9">
        <f t="shared" si="4"/>
        <v>1920</v>
      </c>
    </row>
    <row r="14">
      <c r="A14" s="10" t="s">
        <v>16</v>
      </c>
      <c r="B14" s="10">
        <v>4320.0</v>
      </c>
      <c r="C14" s="10" t="s">
        <v>17</v>
      </c>
      <c r="D14" s="77" t="s">
        <v>411</v>
      </c>
      <c r="E14" s="69" t="s">
        <v>412</v>
      </c>
      <c r="F14" s="78" t="s">
        <v>413</v>
      </c>
      <c r="G14" s="13"/>
      <c r="H14" s="79">
        <v>33230.0</v>
      </c>
      <c r="I14" s="79">
        <v>45453.0</v>
      </c>
      <c r="J14" s="13"/>
      <c r="K14" s="7">
        <v>21.0</v>
      </c>
      <c r="L14" s="80">
        <v>45453.0</v>
      </c>
      <c r="M14" s="8">
        <v>45473.0</v>
      </c>
      <c r="N14" s="9">
        <f t="shared" si="2"/>
        <v>224</v>
      </c>
      <c r="O14" s="9">
        <f t="shared" si="3"/>
        <v>1120</v>
      </c>
      <c r="P14" s="9">
        <f t="shared" si="4"/>
        <v>1344</v>
      </c>
    </row>
    <row r="15">
      <c r="A15" s="11" t="s">
        <v>16</v>
      </c>
      <c r="B15" s="11">
        <v>4320.0</v>
      </c>
      <c r="C15" s="11" t="s">
        <v>17</v>
      </c>
      <c r="D15" s="10" t="s">
        <v>282</v>
      </c>
      <c r="E15" s="14" t="s">
        <v>283</v>
      </c>
      <c r="F15" s="10" t="s">
        <v>284</v>
      </c>
      <c r="G15" s="15"/>
      <c r="H15" s="14">
        <v>35047.0</v>
      </c>
      <c r="I15" s="14">
        <v>45257.0</v>
      </c>
      <c r="J15" s="15"/>
      <c r="K15" s="7">
        <f t="shared" ref="K15:K37" si="6">MAX(0, MIN(M15, J15) - MAX(L15, I15) + 1)</f>
        <v>30</v>
      </c>
      <c r="L15" s="8">
        <v>45444.0</v>
      </c>
      <c r="M15" s="8">
        <v>45473.0</v>
      </c>
      <c r="N15" s="9">
        <f t="shared" si="2"/>
        <v>320</v>
      </c>
      <c r="O15" s="9">
        <f t="shared" si="3"/>
        <v>1600</v>
      </c>
      <c r="P15" s="9">
        <f t="shared" si="4"/>
        <v>1920</v>
      </c>
    </row>
    <row r="16">
      <c r="A16" s="10" t="s">
        <v>16</v>
      </c>
      <c r="B16" s="10">
        <v>4320.0</v>
      </c>
      <c r="C16" s="10" t="s">
        <v>17</v>
      </c>
      <c r="D16" s="11" t="s">
        <v>45</v>
      </c>
      <c r="E16" s="12" t="s">
        <v>46</v>
      </c>
      <c r="F16" s="11" t="s">
        <v>47</v>
      </c>
      <c r="G16" s="13"/>
      <c r="H16" s="12">
        <v>37370.0</v>
      </c>
      <c r="I16" s="12">
        <v>44739.0</v>
      </c>
      <c r="J16" s="13"/>
      <c r="K16" s="7">
        <f t="shared" si="6"/>
        <v>30</v>
      </c>
      <c r="L16" s="8">
        <v>45444.0</v>
      </c>
      <c r="M16" s="8">
        <v>45473.0</v>
      </c>
      <c r="N16" s="9">
        <f t="shared" si="2"/>
        <v>320</v>
      </c>
      <c r="O16" s="9">
        <f t="shared" si="3"/>
        <v>1600</v>
      </c>
      <c r="P16" s="9">
        <f t="shared" si="4"/>
        <v>1920</v>
      </c>
    </row>
    <row r="17">
      <c r="A17" s="10" t="s">
        <v>16</v>
      </c>
      <c r="B17" s="10">
        <v>4320.0</v>
      </c>
      <c r="C17" s="10" t="s">
        <v>17</v>
      </c>
      <c r="D17" s="11" t="s">
        <v>48</v>
      </c>
      <c r="E17" s="12" t="s">
        <v>49</v>
      </c>
      <c r="F17" s="11" t="s">
        <v>50</v>
      </c>
      <c r="G17" s="13"/>
      <c r="H17" s="12">
        <v>36399.0</v>
      </c>
      <c r="I17" s="12">
        <v>45229.0</v>
      </c>
      <c r="J17" s="13"/>
      <c r="K17" s="7">
        <f t="shared" si="6"/>
        <v>30</v>
      </c>
      <c r="L17" s="8">
        <v>45444.0</v>
      </c>
      <c r="M17" s="8">
        <v>45473.0</v>
      </c>
      <c r="N17" s="9">
        <f t="shared" si="2"/>
        <v>320</v>
      </c>
      <c r="O17" s="9">
        <f t="shared" si="3"/>
        <v>1600</v>
      </c>
      <c r="P17" s="9">
        <f t="shared" si="4"/>
        <v>1920</v>
      </c>
    </row>
    <row r="18">
      <c r="A18" s="11" t="s">
        <v>16</v>
      </c>
      <c r="B18" s="11">
        <v>4320.0</v>
      </c>
      <c r="C18" s="11" t="s">
        <v>17</v>
      </c>
      <c r="D18" s="11" t="s">
        <v>383</v>
      </c>
      <c r="E18" s="12" t="s">
        <v>384</v>
      </c>
      <c r="F18" s="11" t="s">
        <v>385</v>
      </c>
      <c r="G18" s="13"/>
      <c r="H18" s="12">
        <v>36183.0</v>
      </c>
      <c r="I18" s="12">
        <v>45418.0</v>
      </c>
      <c r="J18" s="13"/>
      <c r="K18" s="7">
        <f t="shared" si="6"/>
        <v>30</v>
      </c>
      <c r="L18" s="8">
        <v>45444.0</v>
      </c>
      <c r="M18" s="8">
        <v>45473.0</v>
      </c>
      <c r="N18" s="9">
        <f t="shared" si="2"/>
        <v>320</v>
      </c>
      <c r="O18" s="9">
        <f t="shared" si="3"/>
        <v>1600</v>
      </c>
      <c r="P18" s="9">
        <f t="shared" si="4"/>
        <v>1920</v>
      </c>
    </row>
    <row r="19">
      <c r="A19" s="11" t="s">
        <v>16</v>
      </c>
      <c r="B19" s="11">
        <v>4320.0</v>
      </c>
      <c r="C19" s="11" t="s">
        <v>17</v>
      </c>
      <c r="D19" s="35" t="s">
        <v>386</v>
      </c>
      <c r="E19" s="12" t="s">
        <v>387</v>
      </c>
      <c r="F19" s="11" t="s">
        <v>388</v>
      </c>
      <c r="G19" s="13"/>
      <c r="H19" s="12">
        <v>37144.0</v>
      </c>
      <c r="I19" s="12">
        <v>45418.0</v>
      </c>
      <c r="J19" s="13"/>
      <c r="K19" s="7">
        <f t="shared" si="6"/>
        <v>30</v>
      </c>
      <c r="L19" s="8">
        <v>45444.0</v>
      </c>
      <c r="M19" s="8">
        <v>45473.0</v>
      </c>
      <c r="N19" s="9">
        <f t="shared" si="2"/>
        <v>320</v>
      </c>
      <c r="O19" s="9">
        <f t="shared" si="3"/>
        <v>1600</v>
      </c>
      <c r="P19" s="9">
        <f t="shared" si="4"/>
        <v>1920</v>
      </c>
    </row>
    <row r="20">
      <c r="A20" s="10" t="s">
        <v>16</v>
      </c>
      <c r="B20" s="10">
        <v>4320.0</v>
      </c>
      <c r="C20" s="10" t="s">
        <v>17</v>
      </c>
      <c r="D20" s="11" t="s">
        <v>325</v>
      </c>
      <c r="E20" s="12" t="s">
        <v>326</v>
      </c>
      <c r="F20" s="11" t="s">
        <v>327</v>
      </c>
      <c r="G20" s="13"/>
      <c r="H20" s="12">
        <v>36962.0</v>
      </c>
      <c r="I20" s="12">
        <v>45376.0</v>
      </c>
      <c r="J20" s="13"/>
      <c r="K20" s="7">
        <f t="shared" si="6"/>
        <v>30</v>
      </c>
      <c r="L20" s="8">
        <v>45444.0</v>
      </c>
      <c r="M20" s="8">
        <v>45473.0</v>
      </c>
      <c r="N20" s="9">
        <f t="shared" si="2"/>
        <v>320</v>
      </c>
      <c r="O20" s="9">
        <f t="shared" si="3"/>
        <v>1600</v>
      </c>
      <c r="P20" s="9">
        <f t="shared" si="4"/>
        <v>1920</v>
      </c>
    </row>
    <row r="21">
      <c r="A21" s="11" t="s">
        <v>16</v>
      </c>
      <c r="B21" s="11">
        <v>4320.0</v>
      </c>
      <c r="C21" s="11" t="s">
        <v>17</v>
      </c>
      <c r="D21" s="10" t="s">
        <v>285</v>
      </c>
      <c r="E21" s="14" t="s">
        <v>286</v>
      </c>
      <c r="F21" s="10" t="s">
        <v>287</v>
      </c>
      <c r="G21" s="15"/>
      <c r="H21" s="14">
        <v>37377.0</v>
      </c>
      <c r="I21" s="14">
        <v>45334.0</v>
      </c>
      <c r="J21" s="15"/>
      <c r="K21" s="7">
        <f t="shared" si="6"/>
        <v>30</v>
      </c>
      <c r="L21" s="8">
        <v>45444.0</v>
      </c>
      <c r="M21" s="8">
        <v>45473.0</v>
      </c>
      <c r="N21" s="9">
        <f t="shared" si="2"/>
        <v>320</v>
      </c>
      <c r="O21" s="9">
        <f t="shared" si="3"/>
        <v>1600</v>
      </c>
      <c r="P21" s="9">
        <f t="shared" si="4"/>
        <v>1920</v>
      </c>
    </row>
    <row r="22">
      <c r="A22" s="10" t="s">
        <v>16</v>
      </c>
      <c r="B22" s="10">
        <v>4320.0</v>
      </c>
      <c r="C22" s="10" t="s">
        <v>17</v>
      </c>
      <c r="D22" s="11" t="s">
        <v>288</v>
      </c>
      <c r="E22" s="12" t="s">
        <v>289</v>
      </c>
      <c r="F22" s="11" t="s">
        <v>290</v>
      </c>
      <c r="G22" s="13"/>
      <c r="H22" s="12">
        <v>37047.0</v>
      </c>
      <c r="I22" s="81">
        <v>45453.0</v>
      </c>
      <c r="J22" s="81"/>
      <c r="K22" s="7">
        <f t="shared" si="6"/>
        <v>21</v>
      </c>
      <c r="L22" s="8">
        <v>45444.0</v>
      </c>
      <c r="M22" s="8">
        <v>45473.0</v>
      </c>
      <c r="N22" s="9">
        <f t="shared" si="2"/>
        <v>224</v>
      </c>
      <c r="O22" s="9">
        <f t="shared" si="3"/>
        <v>1120</v>
      </c>
      <c r="P22" s="9">
        <f t="shared" si="4"/>
        <v>1344</v>
      </c>
    </row>
    <row r="23">
      <c r="A23" s="11" t="s">
        <v>16</v>
      </c>
      <c r="B23" s="11">
        <v>4320.0</v>
      </c>
      <c r="C23" s="11" t="s">
        <v>17</v>
      </c>
      <c r="D23" s="10" t="s">
        <v>51</v>
      </c>
      <c r="E23" s="14" t="s">
        <v>52</v>
      </c>
      <c r="F23" s="10" t="s">
        <v>53</v>
      </c>
      <c r="G23" s="15"/>
      <c r="H23" s="14">
        <v>34601.0</v>
      </c>
      <c r="I23" s="14">
        <v>44986.0</v>
      </c>
      <c r="J23" s="15"/>
      <c r="K23" s="7">
        <f t="shared" si="6"/>
        <v>30</v>
      </c>
      <c r="L23" s="8">
        <v>45444.0</v>
      </c>
      <c r="M23" s="8">
        <v>45473.0</v>
      </c>
      <c r="N23" s="9">
        <f t="shared" si="2"/>
        <v>320</v>
      </c>
      <c r="O23" s="9">
        <f t="shared" si="3"/>
        <v>1600</v>
      </c>
      <c r="P23" s="9">
        <f t="shared" si="4"/>
        <v>1920</v>
      </c>
    </row>
    <row r="24">
      <c r="A24" s="10" t="s">
        <v>16</v>
      </c>
      <c r="B24" s="10">
        <v>4320.0</v>
      </c>
      <c r="C24" s="10" t="s">
        <v>17</v>
      </c>
      <c r="D24" s="11" t="s">
        <v>249</v>
      </c>
      <c r="E24" s="12" t="s">
        <v>250</v>
      </c>
      <c r="F24" s="11" t="s">
        <v>251</v>
      </c>
      <c r="G24" s="13"/>
      <c r="H24" s="12">
        <v>37322.0</v>
      </c>
      <c r="I24" s="12">
        <v>45096.0</v>
      </c>
      <c r="J24" s="13"/>
      <c r="K24" s="7">
        <f t="shared" si="6"/>
        <v>30</v>
      </c>
      <c r="L24" s="8">
        <v>45444.0</v>
      </c>
      <c r="M24" s="8">
        <v>45473.0</v>
      </c>
      <c r="N24" s="9">
        <f t="shared" si="2"/>
        <v>320</v>
      </c>
      <c r="O24" s="9">
        <f t="shared" si="3"/>
        <v>1600</v>
      </c>
      <c r="P24" s="9">
        <f t="shared" si="4"/>
        <v>1920</v>
      </c>
    </row>
    <row r="25">
      <c r="A25" s="11" t="s">
        <v>16</v>
      </c>
      <c r="B25" s="11">
        <v>4320.0</v>
      </c>
      <c r="C25" s="11" t="s">
        <v>17</v>
      </c>
      <c r="D25" s="10" t="s">
        <v>57</v>
      </c>
      <c r="E25" s="14" t="s">
        <v>58</v>
      </c>
      <c r="F25" s="10" t="s">
        <v>59</v>
      </c>
      <c r="G25" s="15"/>
      <c r="H25" s="14">
        <v>35704.0</v>
      </c>
      <c r="I25" s="14">
        <v>44760.0</v>
      </c>
      <c r="J25" s="15"/>
      <c r="K25" s="7">
        <f t="shared" si="6"/>
        <v>30</v>
      </c>
      <c r="L25" s="8">
        <v>45444.0</v>
      </c>
      <c r="M25" s="8">
        <v>45473.0</v>
      </c>
      <c r="N25" s="9">
        <f t="shared" si="2"/>
        <v>320</v>
      </c>
      <c r="O25" s="9">
        <f t="shared" si="3"/>
        <v>1600</v>
      </c>
      <c r="P25" s="9">
        <f t="shared" si="4"/>
        <v>1920</v>
      </c>
    </row>
    <row r="26">
      <c r="A26" s="11" t="s">
        <v>16</v>
      </c>
      <c r="B26" s="11">
        <v>4320.0</v>
      </c>
      <c r="C26" s="11" t="s">
        <v>17</v>
      </c>
      <c r="D26" s="10" t="s">
        <v>291</v>
      </c>
      <c r="E26" s="14" t="s">
        <v>292</v>
      </c>
      <c r="F26" s="10" t="s">
        <v>293</v>
      </c>
      <c r="G26" s="15"/>
      <c r="H26" s="14">
        <v>37219.0</v>
      </c>
      <c r="I26" s="14">
        <v>45257.0</v>
      </c>
      <c r="J26" s="15"/>
      <c r="K26" s="7">
        <f t="shared" si="6"/>
        <v>30</v>
      </c>
      <c r="L26" s="8">
        <v>45444.0</v>
      </c>
      <c r="M26" s="8">
        <v>45473.0</v>
      </c>
      <c r="N26" s="9">
        <f t="shared" si="2"/>
        <v>320</v>
      </c>
      <c r="O26" s="9">
        <f t="shared" si="3"/>
        <v>1600</v>
      </c>
      <c r="P26" s="9">
        <f t="shared" si="4"/>
        <v>1920</v>
      </c>
    </row>
    <row r="27">
      <c r="A27" s="10" t="s">
        <v>16</v>
      </c>
      <c r="B27" s="10">
        <v>4320.0</v>
      </c>
      <c r="C27" s="10" t="s">
        <v>17</v>
      </c>
      <c r="D27" s="35" t="s">
        <v>367</v>
      </c>
      <c r="E27" s="12" t="s">
        <v>368</v>
      </c>
      <c r="F27" s="35" t="s">
        <v>369</v>
      </c>
      <c r="G27" s="13"/>
      <c r="H27" s="12">
        <v>36718.0</v>
      </c>
      <c r="I27" s="12">
        <v>45397.0</v>
      </c>
      <c r="J27" s="13"/>
      <c r="K27" s="7">
        <f t="shared" si="6"/>
        <v>30</v>
      </c>
      <c r="L27" s="8">
        <v>45444.0</v>
      </c>
      <c r="M27" s="8">
        <v>45473.0</v>
      </c>
      <c r="N27" s="9">
        <f t="shared" si="2"/>
        <v>320</v>
      </c>
      <c r="O27" s="9">
        <f t="shared" si="3"/>
        <v>1600</v>
      </c>
      <c r="P27" s="9">
        <f t="shared" si="4"/>
        <v>1920</v>
      </c>
    </row>
    <row r="28">
      <c r="A28" s="10" t="s">
        <v>16</v>
      </c>
      <c r="B28" s="10">
        <v>4320.0</v>
      </c>
      <c r="C28" s="10" t="s">
        <v>17</v>
      </c>
      <c r="D28" s="11" t="s">
        <v>60</v>
      </c>
      <c r="E28" s="12" t="s">
        <v>61</v>
      </c>
      <c r="F28" s="11" t="s">
        <v>62</v>
      </c>
      <c r="G28" s="13"/>
      <c r="H28" s="12">
        <v>36246.0</v>
      </c>
      <c r="I28" s="12">
        <v>44851.0</v>
      </c>
      <c r="J28" s="13"/>
      <c r="K28" s="7">
        <f t="shared" si="6"/>
        <v>30</v>
      </c>
      <c r="L28" s="8">
        <v>45444.0</v>
      </c>
      <c r="M28" s="8">
        <v>45473.0</v>
      </c>
      <c r="N28" s="9">
        <f t="shared" si="2"/>
        <v>320</v>
      </c>
      <c r="O28" s="9">
        <f t="shared" si="3"/>
        <v>1600</v>
      </c>
      <c r="P28" s="9">
        <f t="shared" si="4"/>
        <v>1920</v>
      </c>
    </row>
    <row r="29">
      <c r="A29" s="11" t="s">
        <v>16</v>
      </c>
      <c r="B29" s="11">
        <v>4320.0</v>
      </c>
      <c r="C29" s="11" t="s">
        <v>17</v>
      </c>
      <c r="D29" s="10" t="s">
        <v>63</v>
      </c>
      <c r="E29" s="14" t="s">
        <v>64</v>
      </c>
      <c r="F29" s="10" t="s">
        <v>65</v>
      </c>
      <c r="G29" s="15"/>
      <c r="H29" s="14">
        <v>35606.0</v>
      </c>
      <c r="I29" s="14">
        <v>44896.0</v>
      </c>
      <c r="J29" s="15"/>
      <c r="K29" s="7">
        <f t="shared" si="6"/>
        <v>30</v>
      </c>
      <c r="L29" s="8">
        <v>45444.0</v>
      </c>
      <c r="M29" s="8">
        <v>45473.0</v>
      </c>
      <c r="N29" s="9">
        <f t="shared" si="2"/>
        <v>320</v>
      </c>
      <c r="O29" s="9">
        <f t="shared" si="3"/>
        <v>1600</v>
      </c>
      <c r="P29" s="9">
        <f t="shared" si="4"/>
        <v>1920</v>
      </c>
    </row>
    <row r="30">
      <c r="A30" s="11" t="s">
        <v>16</v>
      </c>
      <c r="B30" s="11">
        <v>4320.0</v>
      </c>
      <c r="C30" s="11" t="s">
        <v>17</v>
      </c>
      <c r="D30" s="11" t="s">
        <v>389</v>
      </c>
      <c r="E30" s="12" t="s">
        <v>390</v>
      </c>
      <c r="F30" s="11" t="s">
        <v>391</v>
      </c>
      <c r="G30" s="13"/>
      <c r="H30" s="12">
        <v>36111.0</v>
      </c>
      <c r="I30" s="12">
        <v>45418.0</v>
      </c>
      <c r="J30" s="13"/>
      <c r="K30" s="7">
        <f t="shared" si="6"/>
        <v>30</v>
      </c>
      <c r="L30" s="8">
        <v>45444.0</v>
      </c>
      <c r="M30" s="8">
        <v>45473.0</v>
      </c>
      <c r="N30" s="9">
        <f t="shared" si="2"/>
        <v>320</v>
      </c>
      <c r="O30" s="9">
        <f t="shared" si="3"/>
        <v>1600</v>
      </c>
      <c r="P30" s="9">
        <f t="shared" si="4"/>
        <v>1920</v>
      </c>
    </row>
    <row r="31">
      <c r="A31" s="10" t="s">
        <v>16</v>
      </c>
      <c r="B31" s="10">
        <v>4320.0</v>
      </c>
      <c r="C31" s="10" t="s">
        <v>17</v>
      </c>
      <c r="D31" s="11" t="s">
        <v>66</v>
      </c>
      <c r="E31" s="12" t="s">
        <v>67</v>
      </c>
      <c r="F31" s="11" t="s">
        <v>68</v>
      </c>
      <c r="G31" s="13"/>
      <c r="H31" s="12">
        <v>34973.0</v>
      </c>
      <c r="I31" s="12">
        <v>44986.0</v>
      </c>
      <c r="J31" s="13"/>
      <c r="K31" s="7">
        <f t="shared" si="6"/>
        <v>30</v>
      </c>
      <c r="L31" s="8">
        <v>45444.0</v>
      </c>
      <c r="M31" s="8">
        <v>45473.0</v>
      </c>
      <c r="N31" s="9">
        <f t="shared" si="2"/>
        <v>320</v>
      </c>
      <c r="O31" s="9">
        <f t="shared" si="3"/>
        <v>1600</v>
      </c>
      <c r="P31" s="9">
        <f t="shared" si="4"/>
        <v>1920</v>
      </c>
    </row>
    <row r="32">
      <c r="A32" s="10" t="s">
        <v>16</v>
      </c>
      <c r="B32" s="10">
        <v>4320.0</v>
      </c>
      <c r="C32" s="10" t="s">
        <v>17</v>
      </c>
      <c r="D32" s="11" t="s">
        <v>267</v>
      </c>
      <c r="E32" s="12" t="s">
        <v>268</v>
      </c>
      <c r="F32" s="11" t="s">
        <v>269</v>
      </c>
      <c r="G32" s="13"/>
      <c r="H32" s="12">
        <v>34590.0</v>
      </c>
      <c r="I32" s="12">
        <v>45313.0</v>
      </c>
      <c r="J32" s="13"/>
      <c r="K32" s="7">
        <f t="shared" si="6"/>
        <v>30</v>
      </c>
      <c r="L32" s="8">
        <v>45444.0</v>
      </c>
      <c r="M32" s="8">
        <v>45473.0</v>
      </c>
      <c r="N32" s="9">
        <f t="shared" si="2"/>
        <v>320</v>
      </c>
      <c r="O32" s="9">
        <f t="shared" si="3"/>
        <v>1600</v>
      </c>
      <c r="P32" s="9">
        <f t="shared" si="4"/>
        <v>1920</v>
      </c>
    </row>
    <row r="33">
      <c r="A33" s="11" t="s">
        <v>16</v>
      </c>
      <c r="B33" s="11">
        <v>4320.0</v>
      </c>
      <c r="C33" s="11" t="s">
        <v>17</v>
      </c>
      <c r="D33" s="10" t="s">
        <v>69</v>
      </c>
      <c r="E33" s="14" t="s">
        <v>70</v>
      </c>
      <c r="F33" s="10" t="s">
        <v>71</v>
      </c>
      <c r="G33" s="15"/>
      <c r="H33" s="14">
        <v>36891.0</v>
      </c>
      <c r="I33" s="14">
        <v>44739.0</v>
      </c>
      <c r="J33" s="15"/>
      <c r="K33" s="7">
        <f t="shared" si="6"/>
        <v>30</v>
      </c>
      <c r="L33" s="8">
        <v>45444.0</v>
      </c>
      <c r="M33" s="8">
        <v>45473.0</v>
      </c>
      <c r="N33" s="9">
        <f t="shared" si="2"/>
        <v>320</v>
      </c>
      <c r="O33" s="9">
        <f t="shared" si="3"/>
        <v>1600</v>
      </c>
      <c r="P33" s="9">
        <f t="shared" si="4"/>
        <v>1920</v>
      </c>
    </row>
    <row r="34">
      <c r="A34" s="10" t="s">
        <v>16</v>
      </c>
      <c r="B34" s="10">
        <v>4320.0</v>
      </c>
      <c r="C34" s="10" t="s">
        <v>17</v>
      </c>
      <c r="D34" s="11" t="s">
        <v>252</v>
      </c>
      <c r="E34" s="12" t="s">
        <v>253</v>
      </c>
      <c r="F34" s="11" t="s">
        <v>254</v>
      </c>
      <c r="G34" s="13"/>
      <c r="H34" s="12">
        <v>37516.0</v>
      </c>
      <c r="I34" s="12">
        <v>45159.0</v>
      </c>
      <c r="J34" s="81">
        <v>45450.0</v>
      </c>
      <c r="K34" s="7">
        <f t="shared" si="6"/>
        <v>7</v>
      </c>
      <c r="L34" s="8">
        <v>45444.0</v>
      </c>
      <c r="M34" s="8">
        <v>45473.0</v>
      </c>
      <c r="N34" s="9">
        <f t="shared" si="2"/>
        <v>75</v>
      </c>
      <c r="O34" s="9">
        <f t="shared" si="3"/>
        <v>375</v>
      </c>
      <c r="P34" s="9">
        <f t="shared" si="4"/>
        <v>450</v>
      </c>
    </row>
    <row r="35">
      <c r="A35" s="11" t="s">
        <v>16</v>
      </c>
      <c r="B35" s="11">
        <v>4320.0</v>
      </c>
      <c r="C35" s="11" t="s">
        <v>17</v>
      </c>
      <c r="D35" s="10" t="s">
        <v>78</v>
      </c>
      <c r="E35" s="14" t="s">
        <v>79</v>
      </c>
      <c r="F35" s="10" t="s">
        <v>80</v>
      </c>
      <c r="G35" s="15"/>
      <c r="H35" s="14">
        <v>36401.0</v>
      </c>
      <c r="I35" s="14">
        <v>45096.0</v>
      </c>
      <c r="J35" s="15"/>
      <c r="K35" s="7">
        <f t="shared" si="6"/>
        <v>30</v>
      </c>
      <c r="L35" s="8">
        <v>45444.0</v>
      </c>
      <c r="M35" s="8">
        <v>45473.0</v>
      </c>
      <c r="N35" s="9">
        <f t="shared" si="2"/>
        <v>320</v>
      </c>
      <c r="O35" s="9">
        <f t="shared" si="3"/>
        <v>1600</v>
      </c>
      <c r="P35" s="9">
        <f t="shared" si="4"/>
        <v>1920</v>
      </c>
    </row>
    <row r="36">
      <c r="A36" s="11" t="s">
        <v>16</v>
      </c>
      <c r="B36" s="11">
        <v>4320.0</v>
      </c>
      <c r="C36" s="11" t="s">
        <v>17</v>
      </c>
      <c r="D36" s="10" t="s">
        <v>331</v>
      </c>
      <c r="E36" s="14" t="s">
        <v>332</v>
      </c>
      <c r="F36" s="10" t="s">
        <v>333</v>
      </c>
      <c r="G36" s="15"/>
      <c r="H36" s="14">
        <v>37958.0</v>
      </c>
      <c r="I36" s="14">
        <v>45369.0</v>
      </c>
      <c r="J36" s="15"/>
      <c r="K36" s="7">
        <f t="shared" si="6"/>
        <v>30</v>
      </c>
      <c r="L36" s="8">
        <v>45444.0</v>
      </c>
      <c r="M36" s="8">
        <v>45473.0</v>
      </c>
      <c r="N36" s="9">
        <f t="shared" si="2"/>
        <v>320</v>
      </c>
      <c r="O36" s="9">
        <f t="shared" si="3"/>
        <v>1600</v>
      </c>
      <c r="P36" s="9">
        <f t="shared" si="4"/>
        <v>1920</v>
      </c>
    </row>
    <row r="37">
      <c r="A37" s="10" t="s">
        <v>16</v>
      </c>
      <c r="B37" s="10">
        <v>4320.0</v>
      </c>
      <c r="C37" s="10" t="s">
        <v>17</v>
      </c>
      <c r="D37" s="20" t="s">
        <v>392</v>
      </c>
      <c r="E37" s="14" t="s">
        <v>393</v>
      </c>
      <c r="F37" s="10" t="s">
        <v>394</v>
      </c>
      <c r="G37" s="15"/>
      <c r="H37" s="14">
        <v>34922.0</v>
      </c>
      <c r="I37" s="14">
        <v>45418.0</v>
      </c>
      <c r="J37" s="15"/>
      <c r="K37" s="7">
        <f t="shared" si="6"/>
        <v>30</v>
      </c>
      <c r="L37" s="8">
        <v>45444.0</v>
      </c>
      <c r="M37" s="8">
        <v>45473.0</v>
      </c>
      <c r="N37" s="9">
        <f t="shared" si="2"/>
        <v>320</v>
      </c>
      <c r="O37" s="9">
        <f t="shared" si="3"/>
        <v>1600</v>
      </c>
      <c r="P37" s="9">
        <f t="shared" si="4"/>
        <v>1920</v>
      </c>
    </row>
    <row r="38">
      <c r="A38" s="10" t="s">
        <v>16</v>
      </c>
      <c r="B38" s="10">
        <v>4320.0</v>
      </c>
      <c r="C38" s="10" t="s">
        <v>17</v>
      </c>
      <c r="D38" s="77" t="s">
        <v>414</v>
      </c>
      <c r="E38" s="13"/>
      <c r="F38" s="78" t="s">
        <v>415</v>
      </c>
      <c r="G38" s="13"/>
      <c r="H38" s="79">
        <v>36443.0</v>
      </c>
      <c r="I38" s="79">
        <v>45446.0</v>
      </c>
      <c r="J38" s="13"/>
      <c r="K38" s="7">
        <v>28.0</v>
      </c>
      <c r="L38" s="80">
        <v>45446.0</v>
      </c>
      <c r="M38" s="8">
        <v>45473.0</v>
      </c>
      <c r="N38" s="9">
        <f t="shared" si="2"/>
        <v>299</v>
      </c>
      <c r="O38" s="9">
        <f t="shared" si="3"/>
        <v>1495</v>
      </c>
      <c r="P38" s="9">
        <f t="shared" si="4"/>
        <v>1794</v>
      </c>
    </row>
    <row r="39">
      <c r="A39" s="10" t="s">
        <v>16</v>
      </c>
      <c r="B39" s="10">
        <v>4320.0</v>
      </c>
      <c r="C39" s="10" t="s">
        <v>17</v>
      </c>
      <c r="D39" s="11" t="s">
        <v>87</v>
      </c>
      <c r="E39" s="12" t="s">
        <v>88</v>
      </c>
      <c r="F39" s="11" t="s">
        <v>89</v>
      </c>
      <c r="G39" s="13"/>
      <c r="H39" s="12">
        <v>33737.0</v>
      </c>
      <c r="I39" s="12">
        <v>45139.0</v>
      </c>
      <c r="J39" s="13"/>
      <c r="K39" s="7">
        <f t="shared" ref="K39:K51" si="7">MAX(0, MIN(M39, J39) - MAX(L39, I39) + 1)</f>
        <v>30</v>
      </c>
      <c r="L39" s="8">
        <v>45444.0</v>
      </c>
      <c r="M39" s="8">
        <v>45473.0</v>
      </c>
      <c r="N39" s="9">
        <f t="shared" si="2"/>
        <v>320</v>
      </c>
      <c r="O39" s="9">
        <f t="shared" si="3"/>
        <v>1600</v>
      </c>
      <c r="P39" s="9">
        <f t="shared" si="4"/>
        <v>1920</v>
      </c>
    </row>
    <row r="40">
      <c r="A40" s="10" t="s">
        <v>16</v>
      </c>
      <c r="B40" s="10">
        <v>4320.0</v>
      </c>
      <c r="C40" s="10" t="s">
        <v>17</v>
      </c>
      <c r="D40" s="11" t="s">
        <v>334</v>
      </c>
      <c r="E40" s="12" t="s">
        <v>335</v>
      </c>
      <c r="F40" s="11" t="s">
        <v>336</v>
      </c>
      <c r="G40" s="13"/>
      <c r="H40" s="12">
        <v>35272.0</v>
      </c>
      <c r="I40" s="12">
        <v>45355.0</v>
      </c>
      <c r="J40" s="13"/>
      <c r="K40" s="7">
        <f t="shared" si="7"/>
        <v>30</v>
      </c>
      <c r="L40" s="8">
        <v>45444.0</v>
      </c>
      <c r="M40" s="8">
        <v>45473.0</v>
      </c>
      <c r="N40" s="9">
        <f t="shared" si="2"/>
        <v>320</v>
      </c>
      <c r="O40" s="9">
        <f t="shared" si="3"/>
        <v>1600</v>
      </c>
      <c r="P40" s="9">
        <f t="shared" si="4"/>
        <v>1920</v>
      </c>
    </row>
    <row r="41">
      <c r="A41" s="10" t="s">
        <v>16</v>
      </c>
      <c r="B41" s="10">
        <v>4320.0</v>
      </c>
      <c r="C41" s="10" t="s">
        <v>17</v>
      </c>
      <c r="D41" s="11" t="s">
        <v>337</v>
      </c>
      <c r="E41" s="12" t="s">
        <v>338</v>
      </c>
      <c r="F41" s="11" t="s">
        <v>339</v>
      </c>
      <c r="G41" s="13"/>
      <c r="H41" s="12">
        <v>37539.0</v>
      </c>
      <c r="I41" s="12">
        <v>45362.0</v>
      </c>
      <c r="J41" s="13"/>
      <c r="K41" s="7">
        <f t="shared" si="7"/>
        <v>30</v>
      </c>
      <c r="L41" s="8">
        <v>45444.0</v>
      </c>
      <c r="M41" s="8">
        <v>45473.0</v>
      </c>
      <c r="N41" s="9">
        <f t="shared" si="2"/>
        <v>320</v>
      </c>
      <c r="O41" s="9">
        <f t="shared" si="3"/>
        <v>1600</v>
      </c>
      <c r="P41" s="9">
        <f t="shared" si="4"/>
        <v>1920</v>
      </c>
    </row>
    <row r="42">
      <c r="A42" s="11" t="s">
        <v>16</v>
      </c>
      <c r="B42" s="11">
        <v>4320.0</v>
      </c>
      <c r="C42" s="11" t="s">
        <v>17</v>
      </c>
      <c r="D42" s="10" t="s">
        <v>99</v>
      </c>
      <c r="E42" s="14" t="s">
        <v>100</v>
      </c>
      <c r="F42" s="10" t="s">
        <v>101</v>
      </c>
      <c r="G42" s="15"/>
      <c r="H42" s="14">
        <v>37240.0</v>
      </c>
      <c r="I42" s="14">
        <v>45176.0</v>
      </c>
      <c r="J42" s="15"/>
      <c r="K42" s="7">
        <f t="shared" si="7"/>
        <v>30</v>
      </c>
      <c r="L42" s="8">
        <v>45444.0</v>
      </c>
      <c r="M42" s="8">
        <v>45473.0</v>
      </c>
      <c r="N42" s="9">
        <f t="shared" si="2"/>
        <v>320</v>
      </c>
      <c r="O42" s="9">
        <f t="shared" si="3"/>
        <v>1600</v>
      </c>
      <c r="P42" s="9">
        <f t="shared" si="4"/>
        <v>1920</v>
      </c>
    </row>
    <row r="43">
      <c r="A43" s="10" t="s">
        <v>16</v>
      </c>
      <c r="B43" s="10">
        <v>4320.0</v>
      </c>
      <c r="C43" s="10" t="s">
        <v>17</v>
      </c>
      <c r="D43" s="11" t="s">
        <v>102</v>
      </c>
      <c r="E43" s="12" t="s">
        <v>103</v>
      </c>
      <c r="F43" s="11" t="s">
        <v>104</v>
      </c>
      <c r="G43" s="13"/>
      <c r="H43" s="12">
        <v>33240.0</v>
      </c>
      <c r="I43" s="12">
        <v>44287.0</v>
      </c>
      <c r="J43" s="13"/>
      <c r="K43" s="7">
        <f t="shared" si="7"/>
        <v>30</v>
      </c>
      <c r="L43" s="8">
        <v>45444.0</v>
      </c>
      <c r="M43" s="8">
        <v>45473.0</v>
      </c>
      <c r="N43" s="9">
        <f t="shared" si="2"/>
        <v>320</v>
      </c>
      <c r="O43" s="9">
        <f t="shared" si="3"/>
        <v>1600</v>
      </c>
      <c r="P43" s="9">
        <f t="shared" si="4"/>
        <v>1920</v>
      </c>
    </row>
    <row r="44">
      <c r="A44" s="10" t="s">
        <v>16</v>
      </c>
      <c r="B44" s="10">
        <v>4320.0</v>
      </c>
      <c r="C44" s="10" t="s">
        <v>17</v>
      </c>
      <c r="D44" s="11" t="s">
        <v>255</v>
      </c>
      <c r="E44" s="12" t="s">
        <v>256</v>
      </c>
      <c r="F44" s="11" t="s">
        <v>257</v>
      </c>
      <c r="G44" s="13"/>
      <c r="H44" s="12">
        <v>35173.0</v>
      </c>
      <c r="I44" s="12">
        <v>45264.0</v>
      </c>
      <c r="J44" s="13"/>
      <c r="K44" s="7">
        <f t="shared" si="7"/>
        <v>30</v>
      </c>
      <c r="L44" s="8">
        <v>45444.0</v>
      </c>
      <c r="M44" s="8">
        <v>45473.0</v>
      </c>
      <c r="N44" s="9">
        <f t="shared" si="2"/>
        <v>320</v>
      </c>
      <c r="O44" s="9">
        <f t="shared" si="3"/>
        <v>1600</v>
      </c>
      <c r="P44" s="9">
        <f t="shared" si="4"/>
        <v>1920</v>
      </c>
    </row>
    <row r="45">
      <c r="A45" s="11" t="s">
        <v>16</v>
      </c>
      <c r="B45" s="11">
        <v>4320.0</v>
      </c>
      <c r="C45" s="11" t="s">
        <v>17</v>
      </c>
      <c r="D45" s="10" t="s">
        <v>340</v>
      </c>
      <c r="E45" s="14" t="s">
        <v>341</v>
      </c>
      <c r="F45" s="10" t="s">
        <v>342</v>
      </c>
      <c r="G45" s="15"/>
      <c r="H45" s="14">
        <v>37964.0</v>
      </c>
      <c r="I45" s="14">
        <v>45355.0</v>
      </c>
      <c r="J45" s="15"/>
      <c r="K45" s="7">
        <f t="shared" si="7"/>
        <v>30</v>
      </c>
      <c r="L45" s="8">
        <v>45444.0</v>
      </c>
      <c r="M45" s="8">
        <v>45473.0</v>
      </c>
      <c r="N45" s="9">
        <f t="shared" si="2"/>
        <v>320</v>
      </c>
      <c r="O45" s="9">
        <f t="shared" si="3"/>
        <v>1600</v>
      </c>
      <c r="P45" s="9">
        <f t="shared" si="4"/>
        <v>1920</v>
      </c>
    </row>
    <row r="46">
      <c r="A46" s="11" t="s">
        <v>16</v>
      </c>
      <c r="B46" s="11">
        <v>4320.0</v>
      </c>
      <c r="C46" s="11" t="s">
        <v>17</v>
      </c>
      <c r="D46" s="10" t="s">
        <v>108</v>
      </c>
      <c r="E46" s="14" t="s">
        <v>109</v>
      </c>
      <c r="F46" s="10" t="s">
        <v>110</v>
      </c>
      <c r="G46" s="15"/>
      <c r="H46" s="14">
        <v>35943.0</v>
      </c>
      <c r="I46" s="14">
        <v>45215.0</v>
      </c>
      <c r="J46" s="15"/>
      <c r="K46" s="7">
        <f t="shared" si="7"/>
        <v>30</v>
      </c>
      <c r="L46" s="8">
        <v>45444.0</v>
      </c>
      <c r="M46" s="8">
        <v>45473.0</v>
      </c>
      <c r="N46" s="9">
        <f t="shared" si="2"/>
        <v>320</v>
      </c>
      <c r="O46" s="9">
        <f t="shared" si="3"/>
        <v>1600</v>
      </c>
      <c r="P46" s="9">
        <f t="shared" si="4"/>
        <v>1920</v>
      </c>
    </row>
    <row r="47">
      <c r="A47" s="11" t="s">
        <v>16</v>
      </c>
      <c r="B47" s="11">
        <v>4320.0</v>
      </c>
      <c r="C47" s="11" t="s">
        <v>17</v>
      </c>
      <c r="D47" s="35" t="s">
        <v>395</v>
      </c>
      <c r="E47" s="12" t="s">
        <v>396</v>
      </c>
      <c r="F47" s="11" t="s">
        <v>397</v>
      </c>
      <c r="G47" s="13"/>
      <c r="H47" s="12">
        <v>36557.0</v>
      </c>
      <c r="I47" s="12">
        <v>45432.0</v>
      </c>
      <c r="J47" s="13"/>
      <c r="K47" s="7">
        <f t="shared" si="7"/>
        <v>30</v>
      </c>
      <c r="L47" s="8">
        <v>45444.0</v>
      </c>
      <c r="M47" s="8">
        <v>45473.0</v>
      </c>
      <c r="N47" s="9">
        <f t="shared" si="2"/>
        <v>320</v>
      </c>
      <c r="O47" s="9">
        <f t="shared" si="3"/>
        <v>1600</v>
      </c>
      <c r="P47" s="9">
        <f t="shared" si="4"/>
        <v>1920</v>
      </c>
    </row>
    <row r="48">
      <c r="A48" s="10" t="s">
        <v>16</v>
      </c>
      <c r="B48" s="10">
        <v>4320.0</v>
      </c>
      <c r="C48" s="10" t="s">
        <v>17</v>
      </c>
      <c r="D48" s="11" t="s">
        <v>370</v>
      </c>
      <c r="E48" s="12" t="s">
        <v>371</v>
      </c>
      <c r="F48" s="11" t="s">
        <v>372</v>
      </c>
      <c r="G48" s="13"/>
      <c r="H48" s="12">
        <v>35551.0</v>
      </c>
      <c r="I48" s="36">
        <v>45383.0</v>
      </c>
      <c r="J48" s="13"/>
      <c r="K48" s="7">
        <f t="shared" si="7"/>
        <v>30</v>
      </c>
      <c r="L48" s="8">
        <v>45444.0</v>
      </c>
      <c r="M48" s="8">
        <v>45473.0</v>
      </c>
      <c r="N48" s="9">
        <f t="shared" si="2"/>
        <v>320</v>
      </c>
      <c r="O48" s="9">
        <f t="shared" si="3"/>
        <v>1600</v>
      </c>
      <c r="P48" s="9">
        <f t="shared" si="4"/>
        <v>1920</v>
      </c>
    </row>
    <row r="49">
      <c r="A49" s="10" t="s">
        <v>16</v>
      </c>
      <c r="B49" s="10">
        <v>4320.0</v>
      </c>
      <c r="C49" s="10" t="s">
        <v>17</v>
      </c>
      <c r="D49" s="11" t="s">
        <v>120</v>
      </c>
      <c r="E49" s="12" t="s">
        <v>121</v>
      </c>
      <c r="F49" s="11" t="s">
        <v>122</v>
      </c>
      <c r="G49" s="13"/>
      <c r="H49" s="12">
        <v>36794.0</v>
      </c>
      <c r="I49" s="12">
        <v>44915.0</v>
      </c>
      <c r="J49" s="13"/>
      <c r="K49" s="7">
        <f t="shared" si="7"/>
        <v>30</v>
      </c>
      <c r="L49" s="8">
        <v>45444.0</v>
      </c>
      <c r="M49" s="8">
        <v>45473.0</v>
      </c>
      <c r="N49" s="9">
        <f t="shared" si="2"/>
        <v>320</v>
      </c>
      <c r="O49" s="9">
        <f t="shared" si="3"/>
        <v>1600</v>
      </c>
      <c r="P49" s="9">
        <f t="shared" si="4"/>
        <v>1920</v>
      </c>
    </row>
    <row r="50">
      <c r="A50" s="11" t="s">
        <v>16</v>
      </c>
      <c r="B50" s="11">
        <v>4320.0</v>
      </c>
      <c r="C50" s="11" t="s">
        <v>17</v>
      </c>
      <c r="D50" s="10" t="s">
        <v>123</v>
      </c>
      <c r="E50" s="14" t="s">
        <v>124</v>
      </c>
      <c r="F50" s="10" t="s">
        <v>125</v>
      </c>
      <c r="G50" s="15"/>
      <c r="H50" s="14">
        <v>37149.0</v>
      </c>
      <c r="I50" s="14">
        <v>45124.0</v>
      </c>
      <c r="J50" s="82">
        <v>45450.0</v>
      </c>
      <c r="K50" s="7">
        <f t="shared" si="7"/>
        <v>7</v>
      </c>
      <c r="L50" s="8">
        <v>45444.0</v>
      </c>
      <c r="M50" s="8">
        <v>45473.0</v>
      </c>
      <c r="N50" s="9">
        <f t="shared" si="2"/>
        <v>75</v>
      </c>
      <c r="O50" s="9">
        <f t="shared" si="3"/>
        <v>375</v>
      </c>
      <c r="P50" s="9">
        <f t="shared" si="4"/>
        <v>450</v>
      </c>
    </row>
    <row r="51">
      <c r="A51" s="11" t="s">
        <v>16</v>
      </c>
      <c r="B51" s="11">
        <v>4320.0</v>
      </c>
      <c r="C51" s="11" t="s">
        <v>17</v>
      </c>
      <c r="D51" s="10" t="s">
        <v>343</v>
      </c>
      <c r="E51" s="14" t="s">
        <v>344</v>
      </c>
      <c r="F51" s="10" t="s">
        <v>345</v>
      </c>
      <c r="G51" s="15"/>
      <c r="H51" s="14">
        <v>36821.0</v>
      </c>
      <c r="I51" s="14">
        <v>45362.0</v>
      </c>
      <c r="J51" s="15"/>
      <c r="K51" s="7">
        <f t="shared" si="7"/>
        <v>30</v>
      </c>
      <c r="L51" s="8">
        <v>45444.0</v>
      </c>
      <c r="M51" s="8">
        <v>45473.0</v>
      </c>
      <c r="N51" s="9">
        <f t="shared" si="2"/>
        <v>320</v>
      </c>
      <c r="O51" s="9">
        <f t="shared" si="3"/>
        <v>1600</v>
      </c>
      <c r="P51" s="9">
        <f t="shared" si="4"/>
        <v>1920</v>
      </c>
    </row>
    <row r="52">
      <c r="A52" s="10" t="s">
        <v>16</v>
      </c>
      <c r="B52" s="10">
        <v>4320.0</v>
      </c>
      <c r="C52" s="10" t="s">
        <v>17</v>
      </c>
      <c r="D52" s="35" t="s">
        <v>416</v>
      </c>
      <c r="E52" s="13"/>
      <c r="F52" s="83" t="s">
        <v>417</v>
      </c>
      <c r="G52" s="13"/>
      <c r="H52" s="79">
        <v>36346.0</v>
      </c>
      <c r="I52" s="79">
        <v>45453.0</v>
      </c>
      <c r="J52" s="13"/>
      <c r="K52" s="7">
        <v>21.0</v>
      </c>
      <c r="L52" s="80">
        <v>45453.0</v>
      </c>
      <c r="M52" s="8">
        <v>45473.0</v>
      </c>
      <c r="N52" s="9">
        <f t="shared" si="2"/>
        <v>224</v>
      </c>
      <c r="O52" s="9">
        <f t="shared" si="3"/>
        <v>1120</v>
      </c>
      <c r="P52" s="9">
        <f t="shared" si="4"/>
        <v>1344</v>
      </c>
    </row>
    <row r="53">
      <c r="A53" s="10" t="s">
        <v>16</v>
      </c>
      <c r="B53" s="10">
        <v>4320.0</v>
      </c>
      <c r="C53" s="10" t="s">
        <v>17</v>
      </c>
      <c r="D53" s="77" t="s">
        <v>132</v>
      </c>
      <c r="E53" s="13"/>
      <c r="F53" s="78" t="s">
        <v>418</v>
      </c>
      <c r="G53" s="13"/>
      <c r="H53" s="79">
        <v>37494.0</v>
      </c>
      <c r="I53" s="79">
        <v>45467.0</v>
      </c>
      <c r="J53" s="13"/>
      <c r="K53" s="7">
        <v>7.0</v>
      </c>
      <c r="L53" s="80">
        <v>45467.0</v>
      </c>
      <c r="M53" s="8">
        <v>45473.0</v>
      </c>
      <c r="N53" s="9">
        <f t="shared" si="2"/>
        <v>75</v>
      </c>
      <c r="O53" s="9">
        <f t="shared" si="3"/>
        <v>375</v>
      </c>
      <c r="P53" s="9">
        <f t="shared" si="4"/>
        <v>450</v>
      </c>
    </row>
    <row r="54">
      <c r="A54" s="11" t="s">
        <v>16</v>
      </c>
      <c r="B54" s="11">
        <v>4320.0</v>
      </c>
      <c r="C54" s="11" t="s">
        <v>17</v>
      </c>
      <c r="D54" s="10" t="s">
        <v>346</v>
      </c>
      <c r="E54" s="14" t="s">
        <v>347</v>
      </c>
      <c r="F54" s="10" t="s">
        <v>348</v>
      </c>
      <c r="G54" s="15"/>
      <c r="H54" s="14">
        <v>36778.0</v>
      </c>
      <c r="I54" s="14">
        <v>45369.0</v>
      </c>
      <c r="J54" s="15"/>
      <c r="K54" s="7">
        <f t="shared" ref="K54:K58" si="8">MAX(0, MIN(M54, J54) - MAX(L54, I54) + 1)</f>
        <v>30</v>
      </c>
      <c r="L54" s="8">
        <v>45444.0</v>
      </c>
      <c r="M54" s="8">
        <v>45473.0</v>
      </c>
      <c r="N54" s="9">
        <f t="shared" si="2"/>
        <v>320</v>
      </c>
      <c r="O54" s="9">
        <f t="shared" si="3"/>
        <v>1600</v>
      </c>
      <c r="P54" s="9">
        <f t="shared" si="4"/>
        <v>1920</v>
      </c>
    </row>
    <row r="55">
      <c r="A55" s="10" t="s">
        <v>16</v>
      </c>
      <c r="B55" s="10">
        <v>4320.0</v>
      </c>
      <c r="C55" s="10" t="s">
        <v>17</v>
      </c>
      <c r="D55" s="35" t="s">
        <v>373</v>
      </c>
      <c r="E55" s="12" t="s">
        <v>374</v>
      </c>
      <c r="F55" s="35" t="s">
        <v>375</v>
      </c>
      <c r="G55" s="13"/>
      <c r="H55" s="12">
        <v>37085.0</v>
      </c>
      <c r="I55" s="12">
        <v>45400.0</v>
      </c>
      <c r="J55" s="13"/>
      <c r="K55" s="7">
        <f t="shared" si="8"/>
        <v>30</v>
      </c>
      <c r="L55" s="8">
        <v>45444.0</v>
      </c>
      <c r="M55" s="8">
        <v>45473.0</v>
      </c>
      <c r="N55" s="9">
        <f t="shared" si="2"/>
        <v>320</v>
      </c>
      <c r="O55" s="9">
        <f t="shared" si="3"/>
        <v>1600</v>
      </c>
      <c r="P55" s="9">
        <f t="shared" si="4"/>
        <v>1920</v>
      </c>
    </row>
    <row r="56">
      <c r="A56" s="11" t="s">
        <v>16</v>
      </c>
      <c r="B56" s="11">
        <v>4320.0</v>
      </c>
      <c r="C56" s="11" t="s">
        <v>17</v>
      </c>
      <c r="D56" s="10" t="s">
        <v>349</v>
      </c>
      <c r="E56" s="14" t="s">
        <v>350</v>
      </c>
      <c r="F56" s="10" t="s">
        <v>351</v>
      </c>
      <c r="G56" s="15"/>
      <c r="H56" s="14">
        <v>37647.0</v>
      </c>
      <c r="I56" s="14">
        <v>45355.0</v>
      </c>
      <c r="J56" s="15"/>
      <c r="K56" s="7">
        <f t="shared" si="8"/>
        <v>30</v>
      </c>
      <c r="L56" s="8">
        <v>45444.0</v>
      </c>
      <c r="M56" s="8">
        <v>45473.0</v>
      </c>
      <c r="N56" s="9">
        <f t="shared" si="2"/>
        <v>320</v>
      </c>
      <c r="O56" s="9">
        <f t="shared" si="3"/>
        <v>1600</v>
      </c>
      <c r="P56" s="9">
        <f t="shared" si="4"/>
        <v>1920</v>
      </c>
    </row>
    <row r="57">
      <c r="A57" s="10" t="s">
        <v>16</v>
      </c>
      <c r="B57" s="10">
        <v>4320.0</v>
      </c>
      <c r="C57" s="10" t="s">
        <v>17</v>
      </c>
      <c r="D57" s="11" t="s">
        <v>141</v>
      </c>
      <c r="E57" s="12" t="s">
        <v>142</v>
      </c>
      <c r="F57" s="11" t="s">
        <v>143</v>
      </c>
      <c r="G57" s="13"/>
      <c r="H57" s="12">
        <v>34300.0</v>
      </c>
      <c r="I57" s="12">
        <v>45183.0</v>
      </c>
      <c r="J57" s="13"/>
      <c r="K57" s="7">
        <f t="shared" si="8"/>
        <v>30</v>
      </c>
      <c r="L57" s="8">
        <v>45444.0</v>
      </c>
      <c r="M57" s="8">
        <v>45473.0</v>
      </c>
      <c r="N57" s="9">
        <f t="shared" si="2"/>
        <v>320</v>
      </c>
      <c r="O57" s="9">
        <f t="shared" si="3"/>
        <v>1600</v>
      </c>
      <c r="P57" s="9">
        <f t="shared" si="4"/>
        <v>1920</v>
      </c>
    </row>
    <row r="58">
      <c r="A58" s="10" t="s">
        <v>16</v>
      </c>
      <c r="B58" s="10">
        <v>4320.0</v>
      </c>
      <c r="C58" s="10" t="s">
        <v>17</v>
      </c>
      <c r="D58" s="11" t="s">
        <v>352</v>
      </c>
      <c r="E58" s="12" t="s">
        <v>353</v>
      </c>
      <c r="F58" s="11" t="s">
        <v>354</v>
      </c>
      <c r="G58" s="13"/>
      <c r="H58" s="12">
        <v>36412.0</v>
      </c>
      <c r="I58" s="12">
        <v>45355.0</v>
      </c>
      <c r="J58" s="13"/>
      <c r="K58" s="7">
        <f t="shared" si="8"/>
        <v>30</v>
      </c>
      <c r="L58" s="8">
        <v>45444.0</v>
      </c>
      <c r="M58" s="8">
        <v>45473.0</v>
      </c>
      <c r="N58" s="9">
        <f t="shared" si="2"/>
        <v>320</v>
      </c>
      <c r="O58" s="9">
        <f t="shared" si="3"/>
        <v>1600</v>
      </c>
      <c r="P58" s="9">
        <f t="shared" si="4"/>
        <v>1920</v>
      </c>
    </row>
    <row r="59">
      <c r="A59" s="10" t="s">
        <v>16</v>
      </c>
      <c r="B59" s="10">
        <v>4320.0</v>
      </c>
      <c r="C59" s="10" t="s">
        <v>17</v>
      </c>
      <c r="D59" s="77" t="s">
        <v>419</v>
      </c>
      <c r="E59" s="13"/>
      <c r="F59" s="78" t="s">
        <v>420</v>
      </c>
      <c r="G59" s="13"/>
      <c r="H59" s="79">
        <v>36907.0</v>
      </c>
      <c r="I59" s="79">
        <v>45446.0</v>
      </c>
      <c r="J59" s="13"/>
      <c r="K59" s="7">
        <v>28.0</v>
      </c>
      <c r="L59" s="80">
        <v>45446.0</v>
      </c>
      <c r="M59" s="8">
        <v>45473.0</v>
      </c>
      <c r="N59" s="9">
        <f t="shared" si="2"/>
        <v>299</v>
      </c>
      <c r="O59" s="9">
        <f t="shared" si="3"/>
        <v>1495</v>
      </c>
      <c r="P59" s="9">
        <f t="shared" si="4"/>
        <v>1794</v>
      </c>
    </row>
    <row r="60">
      <c r="A60" s="10" t="s">
        <v>16</v>
      </c>
      <c r="B60" s="10">
        <v>4320.0</v>
      </c>
      <c r="C60" s="10" t="s">
        <v>17</v>
      </c>
      <c r="D60" s="20" t="s">
        <v>398</v>
      </c>
      <c r="E60" s="14" t="s">
        <v>399</v>
      </c>
      <c r="F60" s="10" t="s">
        <v>400</v>
      </c>
      <c r="G60" s="15"/>
      <c r="H60" s="14">
        <v>36655.0</v>
      </c>
      <c r="I60" s="14">
        <v>45418.0</v>
      </c>
      <c r="J60" s="15"/>
      <c r="K60" s="7">
        <f t="shared" ref="K60:K62" si="9">MAX(0, MIN(M60, J60) - MAX(L60, I60) + 1)</f>
        <v>30</v>
      </c>
      <c r="L60" s="8">
        <v>45444.0</v>
      </c>
      <c r="M60" s="8">
        <v>45473.0</v>
      </c>
      <c r="N60" s="9">
        <f t="shared" si="2"/>
        <v>320</v>
      </c>
      <c r="O60" s="9">
        <f t="shared" si="3"/>
        <v>1600</v>
      </c>
      <c r="P60" s="9">
        <f t="shared" si="4"/>
        <v>1920</v>
      </c>
    </row>
    <row r="61">
      <c r="A61" s="11" t="s">
        <v>16</v>
      </c>
      <c r="B61" s="11">
        <v>4320.0</v>
      </c>
      <c r="C61" s="11" t="s">
        <v>17</v>
      </c>
      <c r="D61" s="10" t="s">
        <v>153</v>
      </c>
      <c r="E61" s="14" t="s">
        <v>154</v>
      </c>
      <c r="F61" s="10" t="s">
        <v>155</v>
      </c>
      <c r="G61" s="15"/>
      <c r="H61" s="14">
        <v>31014.0</v>
      </c>
      <c r="I61" s="14">
        <v>44805.0</v>
      </c>
      <c r="J61" s="15"/>
      <c r="K61" s="7">
        <f t="shared" si="9"/>
        <v>30</v>
      </c>
      <c r="L61" s="8">
        <v>45444.0</v>
      </c>
      <c r="M61" s="8">
        <v>45473.0</v>
      </c>
      <c r="N61" s="9">
        <f t="shared" si="2"/>
        <v>320</v>
      </c>
      <c r="O61" s="9">
        <f t="shared" si="3"/>
        <v>1600</v>
      </c>
      <c r="P61" s="9">
        <f t="shared" si="4"/>
        <v>1920</v>
      </c>
    </row>
    <row r="62">
      <c r="A62" s="10" t="s">
        <v>16</v>
      </c>
      <c r="B62" s="10">
        <v>4320.0</v>
      </c>
      <c r="C62" s="10" t="s">
        <v>17</v>
      </c>
      <c r="D62" s="11" t="s">
        <v>273</v>
      </c>
      <c r="E62" s="12" t="s">
        <v>274</v>
      </c>
      <c r="F62" s="11" t="s">
        <v>275</v>
      </c>
      <c r="G62" s="13"/>
      <c r="H62" s="12">
        <v>34522.0</v>
      </c>
      <c r="I62" s="12">
        <v>45292.0</v>
      </c>
      <c r="J62" s="13"/>
      <c r="K62" s="7">
        <f t="shared" si="9"/>
        <v>30</v>
      </c>
      <c r="L62" s="8">
        <v>45444.0</v>
      </c>
      <c r="M62" s="8">
        <v>45473.0</v>
      </c>
      <c r="N62" s="9">
        <f t="shared" si="2"/>
        <v>320</v>
      </c>
      <c r="O62" s="9">
        <f t="shared" si="3"/>
        <v>1600</v>
      </c>
      <c r="P62" s="9">
        <f t="shared" si="4"/>
        <v>1920</v>
      </c>
    </row>
    <row r="63">
      <c r="A63" s="10" t="s">
        <v>16</v>
      </c>
      <c r="B63" s="10">
        <v>4320.0</v>
      </c>
      <c r="C63" s="10" t="s">
        <v>17</v>
      </c>
      <c r="D63" s="77" t="s">
        <v>421</v>
      </c>
      <c r="E63" s="13"/>
      <c r="F63" s="78" t="s">
        <v>422</v>
      </c>
      <c r="G63" s="13"/>
      <c r="H63" s="79">
        <v>37415.0</v>
      </c>
      <c r="I63" s="79">
        <v>45441.0</v>
      </c>
      <c r="J63" s="13"/>
      <c r="K63" s="7">
        <v>30.0</v>
      </c>
      <c r="L63" s="8">
        <v>45444.0</v>
      </c>
      <c r="M63" s="8">
        <v>45473.0</v>
      </c>
      <c r="N63" s="9">
        <f t="shared" si="2"/>
        <v>320</v>
      </c>
      <c r="O63" s="9">
        <f t="shared" si="3"/>
        <v>1600</v>
      </c>
      <c r="P63" s="9">
        <f t="shared" si="4"/>
        <v>1920</v>
      </c>
    </row>
    <row r="64">
      <c r="A64" s="11" t="s">
        <v>16</v>
      </c>
      <c r="B64" s="11">
        <v>4320.0</v>
      </c>
      <c r="C64" s="11" t="s">
        <v>17</v>
      </c>
      <c r="D64" s="10" t="s">
        <v>162</v>
      </c>
      <c r="E64" s="14" t="s">
        <v>163</v>
      </c>
      <c r="F64" s="10" t="s">
        <v>164</v>
      </c>
      <c r="G64" s="15"/>
      <c r="H64" s="14">
        <v>34732.0</v>
      </c>
      <c r="I64" s="14">
        <v>44986.0</v>
      </c>
      <c r="J64" s="15"/>
      <c r="K64" s="7">
        <f t="shared" ref="K64:K74" si="10">MAX(0, MIN(M64, J64) - MAX(L64, I64) + 1)</f>
        <v>30</v>
      </c>
      <c r="L64" s="8">
        <v>45444.0</v>
      </c>
      <c r="M64" s="8">
        <v>45473.0</v>
      </c>
      <c r="N64" s="9">
        <f t="shared" si="2"/>
        <v>320</v>
      </c>
      <c r="O64" s="9">
        <f t="shared" si="3"/>
        <v>1600</v>
      </c>
      <c r="P64" s="9">
        <f t="shared" si="4"/>
        <v>1920</v>
      </c>
    </row>
    <row r="65">
      <c r="A65" s="10" t="s">
        <v>16</v>
      </c>
      <c r="B65" s="10">
        <v>4320.0</v>
      </c>
      <c r="C65" s="10" t="s">
        <v>17</v>
      </c>
      <c r="D65" s="11" t="s">
        <v>355</v>
      </c>
      <c r="E65" s="12" t="s">
        <v>356</v>
      </c>
      <c r="F65" s="11" t="s">
        <v>357</v>
      </c>
      <c r="G65" s="13"/>
      <c r="H65" s="12">
        <v>35395.0</v>
      </c>
      <c r="I65" s="12">
        <v>45376.0</v>
      </c>
      <c r="J65" s="13"/>
      <c r="K65" s="7">
        <f t="shared" si="10"/>
        <v>30</v>
      </c>
      <c r="L65" s="8">
        <v>45444.0</v>
      </c>
      <c r="M65" s="8">
        <v>45473.0</v>
      </c>
      <c r="N65" s="9">
        <f t="shared" si="2"/>
        <v>320</v>
      </c>
      <c r="O65" s="9">
        <f t="shared" si="3"/>
        <v>1600</v>
      </c>
      <c r="P65" s="9">
        <f t="shared" si="4"/>
        <v>1920</v>
      </c>
    </row>
    <row r="66">
      <c r="A66" s="11" t="s">
        <v>16</v>
      </c>
      <c r="B66" s="11">
        <v>4320.0</v>
      </c>
      <c r="C66" s="11" t="s">
        <v>17</v>
      </c>
      <c r="D66" s="10" t="s">
        <v>358</v>
      </c>
      <c r="E66" s="14" t="s">
        <v>359</v>
      </c>
      <c r="F66" s="10" t="s">
        <v>360</v>
      </c>
      <c r="G66" s="15"/>
      <c r="H66" s="14">
        <v>37397.0</v>
      </c>
      <c r="I66" s="14">
        <v>45377.0</v>
      </c>
      <c r="J66" s="36">
        <v>45454.0</v>
      </c>
      <c r="K66" s="7">
        <f t="shared" si="10"/>
        <v>11</v>
      </c>
      <c r="L66" s="8">
        <v>45444.0</v>
      </c>
      <c r="M66" s="8">
        <v>45473.0</v>
      </c>
      <c r="N66" s="9">
        <f t="shared" si="2"/>
        <v>118</v>
      </c>
      <c r="O66" s="9">
        <f t="shared" si="3"/>
        <v>590</v>
      </c>
      <c r="P66" s="9">
        <f t="shared" si="4"/>
        <v>708</v>
      </c>
    </row>
    <row r="67">
      <c r="A67" s="10" t="s">
        <v>16</v>
      </c>
      <c r="B67" s="10">
        <v>4320.0</v>
      </c>
      <c r="C67" s="10" t="s">
        <v>17</v>
      </c>
      <c r="D67" s="11" t="s">
        <v>276</v>
      </c>
      <c r="E67" s="12" t="s">
        <v>277</v>
      </c>
      <c r="F67" s="11" t="s">
        <v>278</v>
      </c>
      <c r="G67" s="13"/>
      <c r="H67" s="12">
        <v>37479.0</v>
      </c>
      <c r="I67" s="12">
        <v>45320.0</v>
      </c>
      <c r="J67" s="36">
        <v>45457.0</v>
      </c>
      <c r="K67" s="7">
        <f t="shared" si="10"/>
        <v>14</v>
      </c>
      <c r="L67" s="8">
        <v>45444.0</v>
      </c>
      <c r="M67" s="8">
        <v>45473.0</v>
      </c>
      <c r="N67" s="9">
        <f t="shared" si="2"/>
        <v>150</v>
      </c>
      <c r="O67" s="9">
        <f t="shared" si="3"/>
        <v>750</v>
      </c>
      <c r="P67" s="9">
        <f t="shared" si="4"/>
        <v>900</v>
      </c>
    </row>
    <row r="68">
      <c r="A68" s="11" t="s">
        <v>16</v>
      </c>
      <c r="B68" s="11">
        <v>4320.0</v>
      </c>
      <c r="C68" s="11" t="s">
        <v>17</v>
      </c>
      <c r="D68" s="10" t="s">
        <v>177</v>
      </c>
      <c r="E68" s="14" t="s">
        <v>178</v>
      </c>
      <c r="F68" s="10" t="s">
        <v>179</v>
      </c>
      <c r="G68" s="15"/>
      <c r="H68" s="14">
        <v>35976.0</v>
      </c>
      <c r="I68" s="14">
        <v>45042.0</v>
      </c>
      <c r="J68" s="36">
        <v>45464.0</v>
      </c>
      <c r="K68" s="7">
        <f t="shared" si="10"/>
        <v>21</v>
      </c>
      <c r="L68" s="8">
        <v>45444.0</v>
      </c>
      <c r="M68" s="8">
        <v>45473.0</v>
      </c>
      <c r="N68" s="9">
        <f t="shared" si="2"/>
        <v>224</v>
      </c>
      <c r="O68" s="9">
        <f t="shared" si="3"/>
        <v>1120</v>
      </c>
      <c r="P68" s="9">
        <f t="shared" si="4"/>
        <v>1344</v>
      </c>
    </row>
    <row r="69">
      <c r="A69" s="10" t="s">
        <v>16</v>
      </c>
      <c r="B69" s="10">
        <v>4320.0</v>
      </c>
      <c r="C69" s="10" t="s">
        <v>17</v>
      </c>
      <c r="D69" s="11" t="s">
        <v>183</v>
      </c>
      <c r="E69" s="12" t="s">
        <v>184</v>
      </c>
      <c r="F69" s="11" t="s">
        <v>185</v>
      </c>
      <c r="G69" s="13"/>
      <c r="H69" s="12">
        <v>36979.0</v>
      </c>
      <c r="I69" s="12">
        <v>44907.0</v>
      </c>
      <c r="J69" s="81"/>
      <c r="K69" s="7">
        <f t="shared" si="10"/>
        <v>30</v>
      </c>
      <c r="L69" s="8">
        <v>45444.0</v>
      </c>
      <c r="M69" s="8">
        <v>45473.0</v>
      </c>
      <c r="N69" s="9">
        <f t="shared" si="2"/>
        <v>320</v>
      </c>
      <c r="O69" s="9">
        <f t="shared" si="3"/>
        <v>1600</v>
      </c>
      <c r="P69" s="9">
        <f t="shared" si="4"/>
        <v>1920</v>
      </c>
    </row>
    <row r="70">
      <c r="A70" s="10" t="s">
        <v>16</v>
      </c>
      <c r="B70" s="10">
        <v>4320.0</v>
      </c>
      <c r="C70" s="10" t="s">
        <v>17</v>
      </c>
      <c r="D70" s="11" t="s">
        <v>189</v>
      </c>
      <c r="E70" s="12" t="s">
        <v>190</v>
      </c>
      <c r="F70" s="11" t="s">
        <v>191</v>
      </c>
      <c r="G70" s="13"/>
      <c r="H70" s="12">
        <v>36421.0</v>
      </c>
      <c r="I70" s="12">
        <v>45208.0</v>
      </c>
      <c r="J70" s="13"/>
      <c r="K70" s="7">
        <f t="shared" si="10"/>
        <v>30</v>
      </c>
      <c r="L70" s="8">
        <v>45444.0</v>
      </c>
      <c r="M70" s="8">
        <v>45473.0</v>
      </c>
      <c r="N70" s="9">
        <f t="shared" si="2"/>
        <v>320</v>
      </c>
      <c r="O70" s="9">
        <f t="shared" si="3"/>
        <v>1600</v>
      </c>
      <c r="P70" s="9">
        <f t="shared" si="4"/>
        <v>1920</v>
      </c>
    </row>
    <row r="71">
      <c r="A71" s="11" t="s">
        <v>16</v>
      </c>
      <c r="B71" s="11">
        <v>4320.0</v>
      </c>
      <c r="C71" s="11" t="s">
        <v>17</v>
      </c>
      <c r="D71" s="10" t="s">
        <v>258</v>
      </c>
      <c r="E71" s="14" t="s">
        <v>259</v>
      </c>
      <c r="F71" s="10" t="s">
        <v>260</v>
      </c>
      <c r="G71" s="15"/>
      <c r="H71" s="14">
        <v>35447.0</v>
      </c>
      <c r="I71" s="14">
        <v>45273.0</v>
      </c>
      <c r="J71" s="15"/>
      <c r="K71" s="7">
        <f t="shared" si="10"/>
        <v>30</v>
      </c>
      <c r="L71" s="8">
        <v>45444.0</v>
      </c>
      <c r="M71" s="8">
        <v>45473.0</v>
      </c>
      <c r="N71" s="9">
        <f t="shared" si="2"/>
        <v>320</v>
      </c>
      <c r="O71" s="9">
        <f t="shared" si="3"/>
        <v>1600</v>
      </c>
      <c r="P71" s="9">
        <f t="shared" si="4"/>
        <v>1920</v>
      </c>
    </row>
    <row r="72">
      <c r="A72" s="10" t="s">
        <v>16</v>
      </c>
      <c r="B72" s="10">
        <v>4320.0</v>
      </c>
      <c r="C72" s="10" t="s">
        <v>17</v>
      </c>
      <c r="D72" s="11" t="s">
        <v>201</v>
      </c>
      <c r="E72" s="12" t="s">
        <v>202</v>
      </c>
      <c r="F72" s="11" t="s">
        <v>203</v>
      </c>
      <c r="G72" s="13"/>
      <c r="H72" s="12">
        <v>36574.0</v>
      </c>
      <c r="I72" s="12">
        <v>45187.0</v>
      </c>
      <c r="J72" s="13"/>
      <c r="K72" s="7">
        <f t="shared" si="10"/>
        <v>30</v>
      </c>
      <c r="L72" s="8">
        <v>45444.0</v>
      </c>
      <c r="M72" s="8">
        <v>45473.0</v>
      </c>
      <c r="N72" s="9">
        <f t="shared" si="2"/>
        <v>320</v>
      </c>
      <c r="O72" s="9">
        <f t="shared" si="3"/>
        <v>1600</v>
      </c>
      <c r="P72" s="9">
        <f t="shared" si="4"/>
        <v>1920</v>
      </c>
    </row>
    <row r="73">
      <c r="A73" s="11" t="s">
        <v>16</v>
      </c>
      <c r="B73" s="11">
        <v>4320.0</v>
      </c>
      <c r="C73" s="11" t="s">
        <v>17</v>
      </c>
      <c r="D73" s="10" t="s">
        <v>301</v>
      </c>
      <c r="E73" s="14" t="s">
        <v>302</v>
      </c>
      <c r="F73" s="10" t="s">
        <v>303</v>
      </c>
      <c r="G73" s="15"/>
      <c r="H73" s="14">
        <v>36991.0</v>
      </c>
      <c r="I73" s="14">
        <v>45205.0</v>
      </c>
      <c r="J73" s="15"/>
      <c r="K73" s="7">
        <f t="shared" si="10"/>
        <v>30</v>
      </c>
      <c r="L73" s="8">
        <v>45444.0</v>
      </c>
      <c r="M73" s="8">
        <v>45473.0</v>
      </c>
      <c r="N73" s="9">
        <f t="shared" si="2"/>
        <v>320</v>
      </c>
      <c r="O73" s="9">
        <f t="shared" si="3"/>
        <v>1600</v>
      </c>
      <c r="P73" s="9">
        <f t="shared" si="4"/>
        <v>1920</v>
      </c>
    </row>
    <row r="74">
      <c r="A74" s="10" t="s">
        <v>16</v>
      </c>
      <c r="B74" s="10">
        <v>4320.0</v>
      </c>
      <c r="C74" s="10" t="s">
        <v>17</v>
      </c>
      <c r="D74" s="35" t="s">
        <v>401</v>
      </c>
      <c r="E74" s="14" t="s">
        <v>402</v>
      </c>
      <c r="F74" s="10" t="s">
        <v>403</v>
      </c>
      <c r="G74" s="15"/>
      <c r="H74" s="14">
        <v>36433.0</v>
      </c>
      <c r="I74" s="14">
        <v>45432.0</v>
      </c>
      <c r="J74" s="15"/>
      <c r="K74" s="7">
        <f t="shared" si="10"/>
        <v>30</v>
      </c>
      <c r="L74" s="8">
        <v>45444.0</v>
      </c>
      <c r="M74" s="8">
        <v>45473.0</v>
      </c>
      <c r="N74" s="9">
        <f t="shared" si="2"/>
        <v>320</v>
      </c>
      <c r="O74" s="9">
        <f t="shared" si="3"/>
        <v>1600</v>
      </c>
      <c r="P74" s="9">
        <f t="shared" si="4"/>
        <v>1920</v>
      </c>
    </row>
    <row r="75">
      <c r="A75" s="10" t="s">
        <v>16</v>
      </c>
      <c r="B75" s="10">
        <v>4320.0</v>
      </c>
      <c r="C75" s="10" t="s">
        <v>17</v>
      </c>
      <c r="D75" s="77" t="s">
        <v>423</v>
      </c>
      <c r="E75" s="13"/>
      <c r="F75" s="78" t="s">
        <v>424</v>
      </c>
      <c r="G75" s="13"/>
      <c r="H75" s="79">
        <v>37818.0</v>
      </c>
      <c r="I75" s="79">
        <v>45467.0</v>
      </c>
      <c r="J75" s="13"/>
      <c r="K75" s="7">
        <v>7.0</v>
      </c>
      <c r="L75" s="80">
        <v>45467.0</v>
      </c>
      <c r="M75" s="8">
        <v>45473.0</v>
      </c>
      <c r="N75" s="9">
        <f t="shared" si="2"/>
        <v>75</v>
      </c>
      <c r="O75" s="9">
        <f t="shared" si="3"/>
        <v>375</v>
      </c>
      <c r="P75" s="9">
        <f t="shared" si="4"/>
        <v>450</v>
      </c>
    </row>
    <row r="76">
      <c r="A76" s="10" t="s">
        <v>16</v>
      </c>
      <c r="B76" s="10">
        <v>4320.0</v>
      </c>
      <c r="C76" s="10" t="s">
        <v>17</v>
      </c>
      <c r="D76" s="84" t="s">
        <v>207</v>
      </c>
      <c r="E76" s="12" t="s">
        <v>208</v>
      </c>
      <c r="F76" s="84" t="s">
        <v>209</v>
      </c>
      <c r="G76" s="13"/>
      <c r="H76" s="85">
        <v>33156.0</v>
      </c>
      <c r="I76" s="85">
        <v>44285.0</v>
      </c>
      <c r="J76" s="13"/>
      <c r="K76" s="7">
        <f t="shared" ref="K76:K78" si="11">MAX(0, MIN(M76, J76) - MAX(L76, I76) + 1)</f>
        <v>30</v>
      </c>
      <c r="L76" s="8">
        <v>45444.0</v>
      </c>
      <c r="M76" s="8">
        <v>45473.0</v>
      </c>
      <c r="N76" s="9">
        <f t="shared" si="2"/>
        <v>320</v>
      </c>
      <c r="O76" s="9">
        <f t="shared" si="3"/>
        <v>1600</v>
      </c>
      <c r="P76" s="9">
        <f t="shared" si="4"/>
        <v>1920</v>
      </c>
    </row>
    <row r="77">
      <c r="A77" s="10" t="s">
        <v>16</v>
      </c>
      <c r="B77" s="10">
        <v>4320.0</v>
      </c>
      <c r="C77" s="10" t="s">
        <v>17</v>
      </c>
      <c r="D77" s="84" t="s">
        <v>304</v>
      </c>
      <c r="E77" s="12" t="s">
        <v>305</v>
      </c>
      <c r="F77" s="84" t="s">
        <v>306</v>
      </c>
      <c r="G77" s="13"/>
      <c r="H77" s="85">
        <v>35697.0</v>
      </c>
      <c r="I77" s="85">
        <v>45348.0</v>
      </c>
      <c r="J77" s="13"/>
      <c r="K77" s="7">
        <f t="shared" si="11"/>
        <v>30</v>
      </c>
      <c r="L77" s="8">
        <v>45444.0</v>
      </c>
      <c r="M77" s="8">
        <v>45473.0</v>
      </c>
      <c r="N77" s="9">
        <f t="shared" si="2"/>
        <v>320</v>
      </c>
      <c r="O77" s="9">
        <f t="shared" si="3"/>
        <v>1600</v>
      </c>
      <c r="P77" s="9">
        <f t="shared" si="4"/>
        <v>1920</v>
      </c>
    </row>
    <row r="78">
      <c r="A78" s="11" t="s">
        <v>16</v>
      </c>
      <c r="B78" s="11">
        <v>4320.0</v>
      </c>
      <c r="C78" s="11" t="s">
        <v>17</v>
      </c>
      <c r="D78" s="4" t="s">
        <v>213</v>
      </c>
      <c r="E78" s="14" t="s">
        <v>214</v>
      </c>
      <c r="F78" s="4" t="s">
        <v>215</v>
      </c>
      <c r="G78" s="15"/>
      <c r="H78" s="5">
        <v>36797.0</v>
      </c>
      <c r="I78" s="86">
        <v>44886.0</v>
      </c>
      <c r="J78" s="38"/>
      <c r="K78" s="7">
        <f t="shared" si="11"/>
        <v>30</v>
      </c>
      <c r="L78" s="8">
        <v>45444.0</v>
      </c>
      <c r="M78" s="8">
        <v>45473.0</v>
      </c>
      <c r="N78" s="9">
        <f t="shared" si="2"/>
        <v>320</v>
      </c>
      <c r="O78" s="9">
        <f t="shared" si="3"/>
        <v>1600</v>
      </c>
      <c r="P78" s="9">
        <f t="shared" si="4"/>
        <v>1920</v>
      </c>
    </row>
    <row r="79">
      <c r="A79" s="10" t="s">
        <v>16</v>
      </c>
      <c r="B79" s="10">
        <v>4320.0</v>
      </c>
      <c r="C79" s="10" t="s">
        <v>17</v>
      </c>
      <c r="D79" s="66" t="s">
        <v>425</v>
      </c>
      <c r="E79" s="13"/>
      <c r="F79" s="87" t="s">
        <v>426</v>
      </c>
      <c r="G79" s="13"/>
      <c r="H79" s="80">
        <v>36530.0</v>
      </c>
      <c r="I79" s="80">
        <v>45446.0</v>
      </c>
      <c r="J79" s="13"/>
      <c r="K79" s="7">
        <v>28.0</v>
      </c>
      <c r="L79" s="80">
        <v>45446.0</v>
      </c>
      <c r="M79" s="8">
        <v>45473.0</v>
      </c>
      <c r="N79" s="9">
        <f t="shared" si="2"/>
        <v>299</v>
      </c>
      <c r="O79" s="9">
        <f t="shared" si="3"/>
        <v>1495</v>
      </c>
      <c r="P79" s="9">
        <f t="shared" si="4"/>
        <v>1794</v>
      </c>
    </row>
    <row r="80">
      <c r="A80" s="11" t="s">
        <v>16</v>
      </c>
      <c r="B80" s="11">
        <v>4320.0</v>
      </c>
      <c r="C80" s="11" t="s">
        <v>17</v>
      </c>
      <c r="D80" s="4" t="s">
        <v>216</v>
      </c>
      <c r="E80" s="14" t="s">
        <v>217</v>
      </c>
      <c r="F80" s="4" t="s">
        <v>218</v>
      </c>
      <c r="G80" s="15"/>
      <c r="H80" s="5">
        <v>33769.0</v>
      </c>
      <c r="I80" s="5">
        <v>44816.0</v>
      </c>
      <c r="J80" s="15"/>
      <c r="K80" s="7">
        <f t="shared" ref="K80:K81" si="12">MAX(0, MIN(M80, J80) - MAX(L80, I80) + 1)</f>
        <v>30</v>
      </c>
      <c r="L80" s="8">
        <v>45444.0</v>
      </c>
      <c r="M80" s="8">
        <v>45473.0</v>
      </c>
      <c r="N80" s="9">
        <f t="shared" si="2"/>
        <v>320</v>
      </c>
      <c r="O80" s="9">
        <f t="shared" si="3"/>
        <v>1600</v>
      </c>
      <c r="P80" s="9">
        <f t="shared" si="4"/>
        <v>1920</v>
      </c>
    </row>
    <row r="81">
      <c r="A81" s="11" t="s">
        <v>16</v>
      </c>
      <c r="B81" s="11">
        <v>4320.0</v>
      </c>
      <c r="C81" s="11" t="s">
        <v>17</v>
      </c>
      <c r="D81" s="88" t="s">
        <v>404</v>
      </c>
      <c r="E81" s="14" t="s">
        <v>405</v>
      </c>
      <c r="F81" s="4" t="s">
        <v>406</v>
      </c>
      <c r="G81" s="15"/>
      <c r="H81" s="5">
        <v>35973.0</v>
      </c>
      <c r="I81" s="5">
        <v>45414.0</v>
      </c>
      <c r="J81" s="15"/>
      <c r="K81" s="7">
        <f t="shared" si="12"/>
        <v>30</v>
      </c>
      <c r="L81" s="8">
        <v>45444.0</v>
      </c>
      <c r="M81" s="8">
        <v>45473.0</v>
      </c>
      <c r="N81" s="9">
        <f t="shared" si="2"/>
        <v>320</v>
      </c>
      <c r="O81" s="9">
        <f t="shared" si="3"/>
        <v>1600</v>
      </c>
      <c r="P81" s="9">
        <f t="shared" si="4"/>
        <v>1920</v>
      </c>
    </row>
    <row r="82">
      <c r="A82" s="10" t="s">
        <v>16</v>
      </c>
      <c r="B82" s="10">
        <v>4320.0</v>
      </c>
      <c r="C82" s="10" t="s">
        <v>17</v>
      </c>
      <c r="D82" s="66" t="s">
        <v>427</v>
      </c>
      <c r="E82" s="13"/>
      <c r="F82" s="87" t="s">
        <v>428</v>
      </c>
      <c r="G82" s="13"/>
      <c r="H82" s="80">
        <v>36451.0</v>
      </c>
      <c r="I82" s="80">
        <v>45453.0</v>
      </c>
      <c r="J82" s="13"/>
      <c r="K82" s="7">
        <v>21.0</v>
      </c>
      <c r="L82" s="80">
        <v>45453.0</v>
      </c>
      <c r="M82" s="8">
        <v>45473.0</v>
      </c>
      <c r="N82" s="9">
        <f t="shared" si="2"/>
        <v>224</v>
      </c>
      <c r="O82" s="9">
        <f t="shared" si="3"/>
        <v>1120</v>
      </c>
      <c r="P82" s="9">
        <f t="shared" si="4"/>
        <v>1344</v>
      </c>
    </row>
    <row r="83">
      <c r="A83" s="10" t="s">
        <v>16</v>
      </c>
      <c r="B83" s="10">
        <v>4320.0</v>
      </c>
      <c r="C83" s="10" t="s">
        <v>17</v>
      </c>
      <c r="D83" s="84" t="s">
        <v>222</v>
      </c>
      <c r="E83" s="12" t="s">
        <v>223</v>
      </c>
      <c r="F83" s="84" t="s">
        <v>224</v>
      </c>
      <c r="G83" s="13"/>
      <c r="H83" s="85">
        <v>35818.0</v>
      </c>
      <c r="I83" s="85">
        <v>45089.0</v>
      </c>
      <c r="J83" s="13"/>
      <c r="K83" s="7">
        <f t="shared" ref="K83:K86" si="13">MAX(0, MIN(M83, J83) - MAX(L83, I83) + 1)</f>
        <v>30</v>
      </c>
      <c r="L83" s="8">
        <v>45444.0</v>
      </c>
      <c r="M83" s="8">
        <v>45473.0</v>
      </c>
      <c r="N83" s="9">
        <f t="shared" si="2"/>
        <v>320</v>
      </c>
      <c r="O83" s="9">
        <f t="shared" si="3"/>
        <v>1600</v>
      </c>
      <c r="P83" s="9">
        <f t="shared" si="4"/>
        <v>1920</v>
      </c>
    </row>
    <row r="84">
      <c r="A84" s="11" t="s">
        <v>16</v>
      </c>
      <c r="B84" s="11">
        <v>4320.0</v>
      </c>
      <c r="C84" s="11" t="s">
        <v>17</v>
      </c>
      <c r="D84" s="4" t="s">
        <v>225</v>
      </c>
      <c r="E84" s="14" t="s">
        <v>226</v>
      </c>
      <c r="F84" s="4" t="s">
        <v>227</v>
      </c>
      <c r="G84" s="15"/>
      <c r="H84" s="5">
        <v>36177.0</v>
      </c>
      <c r="I84" s="5">
        <v>45320.0</v>
      </c>
      <c r="J84" s="15"/>
      <c r="K84" s="7">
        <f t="shared" si="13"/>
        <v>30</v>
      </c>
      <c r="L84" s="8">
        <v>45444.0</v>
      </c>
      <c r="M84" s="8">
        <v>45473.0</v>
      </c>
      <c r="N84" s="9">
        <f t="shared" si="2"/>
        <v>320</v>
      </c>
      <c r="O84" s="9">
        <f t="shared" si="3"/>
        <v>1600</v>
      </c>
      <c r="P84" s="9">
        <f t="shared" si="4"/>
        <v>1920</v>
      </c>
    </row>
    <row r="85">
      <c r="A85" s="10" t="s">
        <v>16</v>
      </c>
      <c r="B85" s="10">
        <v>4320.0</v>
      </c>
      <c r="C85" s="10" t="s">
        <v>17</v>
      </c>
      <c r="D85" s="84" t="s">
        <v>307</v>
      </c>
      <c r="E85" s="12" t="s">
        <v>308</v>
      </c>
      <c r="F85" s="84" t="s">
        <v>309</v>
      </c>
      <c r="G85" s="13"/>
      <c r="H85" s="85">
        <v>36522.0</v>
      </c>
      <c r="I85" s="85">
        <v>45328.0</v>
      </c>
      <c r="J85" s="13"/>
      <c r="K85" s="7">
        <f t="shared" si="13"/>
        <v>30</v>
      </c>
      <c r="L85" s="8">
        <v>45444.0</v>
      </c>
      <c r="M85" s="8">
        <v>45473.0</v>
      </c>
      <c r="N85" s="9">
        <f t="shared" si="2"/>
        <v>320</v>
      </c>
      <c r="O85" s="9">
        <f t="shared" si="3"/>
        <v>1600</v>
      </c>
      <c r="P85" s="9">
        <f t="shared" si="4"/>
        <v>1920</v>
      </c>
    </row>
    <row r="86">
      <c r="A86" s="11" t="s">
        <v>16</v>
      </c>
      <c r="B86" s="11">
        <v>4320.0</v>
      </c>
      <c r="C86" s="11" t="s">
        <v>17</v>
      </c>
      <c r="D86" s="4" t="s">
        <v>228</v>
      </c>
      <c r="E86" s="14" t="s">
        <v>229</v>
      </c>
      <c r="F86" s="4" t="s">
        <v>230</v>
      </c>
      <c r="G86" s="15"/>
      <c r="H86" s="5">
        <v>35743.0</v>
      </c>
      <c r="I86" s="5">
        <v>45222.0</v>
      </c>
      <c r="J86" s="15"/>
      <c r="K86" s="7">
        <f t="shared" si="13"/>
        <v>30</v>
      </c>
      <c r="L86" s="8">
        <v>45444.0</v>
      </c>
      <c r="M86" s="8">
        <v>45473.0</v>
      </c>
      <c r="N86" s="9">
        <f t="shared" si="2"/>
        <v>320</v>
      </c>
      <c r="O86" s="9">
        <f t="shared" si="3"/>
        <v>1600</v>
      </c>
      <c r="P86" s="9">
        <f t="shared" si="4"/>
        <v>1920</v>
      </c>
    </row>
    <row r="87">
      <c r="P87" s="40">
        <f>SUM(P2:P86)</f>
        <v>151254</v>
      </c>
    </row>
    <row r="94">
      <c r="D94" s="49"/>
      <c r="E94" s="49"/>
      <c r="F94" s="49"/>
    </row>
    <row r="95">
      <c r="D95" s="51"/>
      <c r="E95" s="89"/>
      <c r="F95" s="49"/>
    </row>
    <row r="96">
      <c r="D96" s="52"/>
      <c r="E96" s="52"/>
      <c r="F96" s="49"/>
    </row>
    <row r="97">
      <c r="D97" s="51"/>
      <c r="E97" s="51"/>
      <c r="F97" s="49"/>
    </row>
    <row r="98">
      <c r="D98" s="51"/>
      <c r="E98" s="51"/>
      <c r="F98" s="49"/>
    </row>
    <row r="99">
      <c r="D99" s="51"/>
      <c r="E99" s="89"/>
      <c r="F99" s="49"/>
    </row>
    <row r="100">
      <c r="D100" s="90"/>
      <c r="E100" s="51"/>
      <c r="F100" s="49"/>
    </row>
    <row r="101">
      <c r="D101" s="51"/>
      <c r="E101" s="52"/>
      <c r="F101" s="49"/>
    </row>
    <row r="102">
      <c r="D102" s="51"/>
      <c r="E102" s="89"/>
      <c r="F102" s="49"/>
    </row>
    <row r="103">
      <c r="D103" s="52"/>
      <c r="E103" s="52"/>
      <c r="F103" s="49"/>
    </row>
    <row r="104">
      <c r="D104" s="51"/>
      <c r="E104" s="51"/>
      <c r="F104" s="49"/>
    </row>
    <row r="105">
      <c r="D105" s="4"/>
      <c r="E105" s="51"/>
      <c r="F105" s="49"/>
    </row>
    <row r="106">
      <c r="D106" s="54"/>
      <c r="E106" s="89"/>
      <c r="F106" s="49"/>
    </row>
    <row r="107">
      <c r="D107" s="90"/>
      <c r="E107" s="51"/>
      <c r="F107" s="49"/>
    </row>
    <row r="108">
      <c r="D108" s="51"/>
      <c r="E108" s="51"/>
      <c r="F108" s="49"/>
    </row>
    <row r="109">
      <c r="D109" s="91"/>
      <c r="E109" s="51"/>
      <c r="F109" s="49"/>
    </row>
    <row r="110">
      <c r="D110" s="51"/>
      <c r="E110" s="89"/>
      <c r="F110" s="49"/>
    </row>
    <row r="111">
      <c r="D111" s="55"/>
      <c r="E111" s="92"/>
      <c r="F111" s="49"/>
    </row>
    <row r="112">
      <c r="D112" s="52"/>
      <c r="E112" s="52"/>
      <c r="F112" s="49"/>
    </row>
    <row r="113">
      <c r="D113" s="51"/>
      <c r="E113" s="51"/>
      <c r="F113" s="49"/>
    </row>
    <row r="114">
      <c r="D114" s="51"/>
      <c r="E114" s="51"/>
      <c r="F114" s="49"/>
    </row>
    <row r="115">
      <c r="D115" s="51"/>
      <c r="E115" s="51"/>
      <c r="F115" s="49"/>
    </row>
    <row r="116">
      <c r="D116" s="93"/>
      <c r="E116" s="56"/>
      <c r="F116" s="49"/>
    </row>
    <row r="117">
      <c r="D117" s="57"/>
      <c r="E117" s="56"/>
      <c r="F117" s="49"/>
    </row>
    <row r="118">
      <c r="D118" s="56"/>
      <c r="E118" s="57"/>
      <c r="F118" s="49"/>
    </row>
    <row r="119">
      <c r="D119" s="56"/>
      <c r="E119" s="56"/>
      <c r="F119" s="49"/>
    </row>
    <row r="120">
      <c r="D120" s="57"/>
      <c r="E120" s="56"/>
      <c r="F120" s="49"/>
    </row>
    <row r="121">
      <c r="D121" s="56"/>
      <c r="E121" s="58"/>
      <c r="F121" s="49"/>
    </row>
    <row r="122">
      <c r="D122" s="56"/>
      <c r="E122" s="94"/>
      <c r="F122" s="49"/>
    </row>
    <row r="123">
      <c r="D123" s="58"/>
      <c r="E123" s="56"/>
      <c r="F123" s="49"/>
    </row>
    <row r="124">
      <c r="D124" s="56"/>
      <c r="E124" s="56"/>
      <c r="F124" s="49"/>
    </row>
    <row r="125">
      <c r="D125" s="56"/>
      <c r="E125" s="56"/>
      <c r="F125" s="49"/>
    </row>
    <row r="126">
      <c r="D126" s="56"/>
      <c r="E126" s="56"/>
      <c r="F126" s="49"/>
    </row>
    <row r="127">
      <c r="D127" s="95"/>
      <c r="E127" s="56"/>
      <c r="F127" s="49"/>
    </row>
    <row r="128">
      <c r="D128" s="56"/>
      <c r="E128" s="57"/>
      <c r="F128" s="49"/>
    </row>
    <row r="129">
      <c r="D129" s="56"/>
      <c r="E129" s="94"/>
      <c r="F129" s="49"/>
    </row>
    <row r="130">
      <c r="D130" s="57"/>
      <c r="E130" s="94"/>
      <c r="F130" s="49"/>
    </row>
    <row r="131">
      <c r="D131" s="90"/>
      <c r="E131" s="56"/>
      <c r="F131" s="49"/>
    </row>
    <row r="132">
      <c r="D132" s="56"/>
      <c r="E132" s="56"/>
      <c r="F132" s="49"/>
    </row>
    <row r="133">
      <c r="D133" s="56"/>
      <c r="E133" s="56"/>
      <c r="F133" s="49"/>
    </row>
    <row r="134">
      <c r="D134" s="56"/>
      <c r="E134" s="56"/>
      <c r="F134" s="49"/>
    </row>
    <row r="135">
      <c r="D135" s="56"/>
      <c r="E135" s="56"/>
      <c r="F135" s="49"/>
    </row>
    <row r="136">
      <c r="D136" s="56"/>
      <c r="E136" s="52"/>
      <c r="F136" s="49"/>
    </row>
    <row r="137">
      <c r="D137" s="56"/>
      <c r="E137" s="96"/>
      <c r="F137" s="49"/>
    </row>
    <row r="138">
      <c r="D138" s="56"/>
      <c r="E138" s="51"/>
      <c r="F138" s="49"/>
    </row>
    <row r="139">
      <c r="D139" s="56"/>
      <c r="E139" s="89"/>
      <c r="F139" s="49"/>
    </row>
    <row r="140">
      <c r="D140" s="52"/>
      <c r="E140" s="51"/>
      <c r="F140" s="49"/>
    </row>
    <row r="141">
      <c r="D141" s="52"/>
      <c r="E141" s="60"/>
      <c r="F141" s="49"/>
    </row>
    <row r="142">
      <c r="D142" s="51"/>
      <c r="E142" s="52"/>
      <c r="F142" s="49"/>
    </row>
    <row r="143">
      <c r="D143" s="95"/>
      <c r="E143" s="51"/>
      <c r="F143" s="49"/>
    </row>
    <row r="144">
      <c r="D144" s="51"/>
      <c r="E144" s="89"/>
      <c r="F144" s="49"/>
    </row>
    <row r="145">
      <c r="D145" s="90"/>
      <c r="E145" s="89"/>
      <c r="F145" s="49"/>
    </row>
    <row r="146">
      <c r="D146" s="90"/>
      <c r="E146" s="52"/>
      <c r="F146" s="49"/>
    </row>
    <row r="147">
      <c r="D147" s="51"/>
      <c r="E147" s="51"/>
      <c r="F147" s="49"/>
    </row>
    <row r="148">
      <c r="D148" s="52"/>
      <c r="E148" s="51"/>
      <c r="F148" s="49"/>
    </row>
    <row r="149">
      <c r="D149" s="51"/>
      <c r="E149" s="51"/>
      <c r="F149" s="49"/>
    </row>
    <row r="150">
      <c r="D150" s="51"/>
      <c r="E150" s="51"/>
      <c r="F150" s="49"/>
    </row>
    <row r="151">
      <c r="D151" s="51"/>
      <c r="E151" s="96"/>
      <c r="F151" s="49"/>
    </row>
    <row r="152">
      <c r="D152" s="90"/>
      <c r="E152" s="89"/>
      <c r="F152" s="49"/>
    </row>
    <row r="153">
      <c r="D153" s="52"/>
      <c r="E153" s="51"/>
      <c r="F153" s="49"/>
    </row>
    <row r="154">
      <c r="D154" s="51"/>
      <c r="E154" s="51"/>
      <c r="F154" s="49"/>
    </row>
    <row r="155">
      <c r="D155" s="51"/>
      <c r="E155" s="89"/>
      <c r="F155" s="49"/>
    </row>
    <row r="156">
      <c r="D156" s="90"/>
      <c r="E156" s="52"/>
      <c r="F156" s="49"/>
    </row>
    <row r="157">
      <c r="D157" s="51"/>
      <c r="E157" s="51"/>
      <c r="F157" s="49"/>
    </row>
    <row r="158">
      <c r="D158" s="51"/>
      <c r="E158" s="51"/>
      <c r="F158" s="49"/>
    </row>
    <row r="159">
      <c r="D159" s="97"/>
      <c r="E159" s="51"/>
      <c r="F159" s="49"/>
    </row>
    <row r="160">
      <c r="D160" s="95"/>
      <c r="E160" s="51"/>
      <c r="F160" s="49"/>
    </row>
    <row r="161">
      <c r="D161" s="95"/>
      <c r="E161" s="51"/>
      <c r="F161" s="49"/>
    </row>
    <row r="162">
      <c r="D162" s="54"/>
      <c r="E162" s="52"/>
      <c r="F162" s="49"/>
    </row>
    <row r="163">
      <c r="D163" s="54"/>
      <c r="E163" s="52"/>
      <c r="F163" s="49"/>
    </row>
    <row r="164">
      <c r="D164" s="98"/>
      <c r="E164" s="51"/>
      <c r="F164" s="49"/>
    </row>
    <row r="165">
      <c r="D165" s="54"/>
      <c r="E165" s="51"/>
      <c r="F165" s="49"/>
    </row>
    <row r="166">
      <c r="D166" s="54"/>
      <c r="E166" s="89"/>
      <c r="F166" s="49"/>
    </row>
    <row r="167">
      <c r="D167" s="61"/>
      <c r="E167" s="96"/>
      <c r="F167" s="49"/>
    </row>
    <row r="168">
      <c r="D168" s="99"/>
      <c r="E168" s="51"/>
      <c r="F168" s="49"/>
    </row>
    <row r="169">
      <c r="D169" s="61"/>
      <c r="E169" s="51"/>
      <c r="F169" s="49"/>
    </row>
    <row r="170">
      <c r="D170" s="54"/>
      <c r="E170" s="51"/>
      <c r="F170" s="49"/>
    </row>
    <row r="171">
      <c r="D171" s="51"/>
      <c r="E171" s="89"/>
      <c r="F171" s="49"/>
    </row>
    <row r="172">
      <c r="D172" s="90"/>
      <c r="E172" s="51"/>
      <c r="F172" s="49"/>
    </row>
    <row r="173">
      <c r="D173" s="51"/>
      <c r="E173" s="89"/>
      <c r="F173" s="49"/>
    </row>
    <row r="174">
      <c r="D174" s="52"/>
      <c r="E174" s="89"/>
      <c r="F174" s="49"/>
    </row>
    <row r="175">
      <c r="D175" s="90"/>
      <c r="E175" s="52"/>
      <c r="F175" s="49"/>
    </row>
    <row r="176">
      <c r="D176" s="51"/>
      <c r="E176" s="51"/>
      <c r="F176" s="49"/>
    </row>
    <row r="177">
      <c r="D177" s="51"/>
      <c r="E177" s="51"/>
      <c r="F177" s="49"/>
    </row>
    <row r="178">
      <c r="D178" s="51"/>
      <c r="E178" s="51"/>
      <c r="F178" s="49"/>
    </row>
    <row r="179">
      <c r="D179" s="51"/>
      <c r="E179" s="49"/>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88"/>
  </cols>
  <sheetData>
    <row r="1">
      <c r="A1" s="1" t="s">
        <v>0</v>
      </c>
      <c r="B1" s="1" t="s">
        <v>1</v>
      </c>
      <c r="C1" s="1" t="s">
        <v>2</v>
      </c>
      <c r="D1" s="1" t="s">
        <v>3</v>
      </c>
      <c r="E1" s="62" t="s">
        <v>4</v>
      </c>
      <c r="F1" s="2" t="s">
        <v>5</v>
      </c>
      <c r="G1" s="62" t="s">
        <v>6</v>
      </c>
      <c r="H1" s="62" t="s">
        <v>7</v>
      </c>
      <c r="I1" s="63" t="s">
        <v>8</v>
      </c>
      <c r="J1" s="63" t="s">
        <v>9</v>
      </c>
      <c r="K1" s="3" t="s">
        <v>10</v>
      </c>
      <c r="L1" s="64" t="s">
        <v>11</v>
      </c>
      <c r="M1" s="64" t="s">
        <v>12</v>
      </c>
      <c r="N1" s="65" t="s">
        <v>379</v>
      </c>
      <c r="O1" s="65" t="s">
        <v>14</v>
      </c>
      <c r="P1" s="65" t="s">
        <v>15</v>
      </c>
      <c r="Q1" s="66"/>
      <c r="R1" s="66"/>
      <c r="S1" s="66"/>
      <c r="T1" s="66"/>
      <c r="U1" s="66"/>
      <c r="V1" s="66"/>
      <c r="W1" s="66"/>
      <c r="X1" s="66"/>
      <c r="Y1" s="66"/>
      <c r="Z1" s="66"/>
    </row>
    <row r="2">
      <c r="A2" s="11" t="s">
        <v>16</v>
      </c>
      <c r="B2" s="11">
        <v>4320.0</v>
      </c>
      <c r="C2" s="11" t="s">
        <v>17</v>
      </c>
      <c r="D2" s="10" t="s">
        <v>261</v>
      </c>
      <c r="E2" s="14" t="s">
        <v>262</v>
      </c>
      <c r="F2" s="10" t="s">
        <v>263</v>
      </c>
      <c r="G2" s="15"/>
      <c r="H2" s="14">
        <v>36617.0</v>
      </c>
      <c r="I2" s="14">
        <v>45299.0</v>
      </c>
      <c r="J2" s="15"/>
      <c r="K2" s="7">
        <f t="shared" ref="K2:K5" si="1">MAX(0, MIN(M2, J2) - MAX(L2, I2) + 1)</f>
        <v>31</v>
      </c>
      <c r="L2" s="8">
        <v>45474.0</v>
      </c>
      <c r="M2" s="8">
        <v>45504.0</v>
      </c>
      <c r="N2" s="9">
        <f t="shared" ref="N2:N84" si="2">ROUNDUP(K2/31*370,0)</f>
        <v>370</v>
      </c>
      <c r="O2" s="9">
        <f t="shared" ref="O2:O84" si="3">N2*5</f>
        <v>1850</v>
      </c>
      <c r="P2" s="9">
        <f t="shared" ref="P2:P84" si="4">N2+O2</f>
        <v>2220</v>
      </c>
    </row>
    <row r="3">
      <c r="A3" s="11" t="s">
        <v>16</v>
      </c>
      <c r="B3" s="11">
        <v>4320.0</v>
      </c>
      <c r="C3" s="11" t="s">
        <v>17</v>
      </c>
      <c r="D3" s="20" t="s">
        <v>361</v>
      </c>
      <c r="E3" s="14" t="s">
        <v>362</v>
      </c>
      <c r="F3" s="20" t="s">
        <v>363</v>
      </c>
      <c r="G3" s="15"/>
      <c r="H3" s="14">
        <v>37149.0</v>
      </c>
      <c r="I3" s="14">
        <v>45397.0</v>
      </c>
      <c r="J3" s="15"/>
      <c r="K3" s="16">
        <f t="shared" si="1"/>
        <v>31</v>
      </c>
      <c r="L3" s="17">
        <v>45474.0</v>
      </c>
      <c r="M3" s="17">
        <v>45504.0</v>
      </c>
      <c r="N3" s="9">
        <f t="shared" si="2"/>
        <v>370</v>
      </c>
      <c r="O3" s="18">
        <f t="shared" si="3"/>
        <v>1850</v>
      </c>
      <c r="P3" s="18">
        <f t="shared" si="4"/>
        <v>2220</v>
      </c>
    </row>
    <row r="4">
      <c r="A4" s="10" t="s">
        <v>16</v>
      </c>
      <c r="B4" s="10">
        <v>4320.0</v>
      </c>
      <c r="C4" s="10" t="s">
        <v>17</v>
      </c>
      <c r="D4" s="11" t="s">
        <v>21</v>
      </c>
      <c r="E4" s="12" t="s">
        <v>22</v>
      </c>
      <c r="F4" s="11" t="s">
        <v>23</v>
      </c>
      <c r="G4" s="13"/>
      <c r="H4" s="12">
        <v>36358.0</v>
      </c>
      <c r="I4" s="12">
        <v>45027.0</v>
      </c>
      <c r="J4" s="13"/>
      <c r="K4" s="7">
        <f t="shared" si="1"/>
        <v>31</v>
      </c>
      <c r="L4" s="8">
        <v>45474.0</v>
      </c>
      <c r="M4" s="8">
        <v>45504.0</v>
      </c>
      <c r="N4" s="9">
        <f t="shared" si="2"/>
        <v>370</v>
      </c>
      <c r="O4" s="9">
        <f t="shared" si="3"/>
        <v>1850</v>
      </c>
      <c r="P4" s="9">
        <f t="shared" si="4"/>
        <v>2220</v>
      </c>
    </row>
    <row r="5">
      <c r="A5" s="11" t="s">
        <v>16</v>
      </c>
      <c r="B5" s="11">
        <v>4320.0</v>
      </c>
      <c r="C5" s="11" t="s">
        <v>17</v>
      </c>
      <c r="D5" s="10" t="s">
        <v>24</v>
      </c>
      <c r="E5" s="14" t="s">
        <v>25</v>
      </c>
      <c r="F5" s="10" t="s">
        <v>26</v>
      </c>
      <c r="G5" s="15"/>
      <c r="H5" s="14">
        <v>36860.0</v>
      </c>
      <c r="I5" s="14">
        <v>45124.0</v>
      </c>
      <c r="J5" s="15"/>
      <c r="K5" s="7">
        <f t="shared" si="1"/>
        <v>31</v>
      </c>
      <c r="L5" s="8">
        <v>45474.0</v>
      </c>
      <c r="M5" s="8">
        <v>45504.0</v>
      </c>
      <c r="N5" s="9">
        <f t="shared" si="2"/>
        <v>370</v>
      </c>
      <c r="O5" s="9">
        <f t="shared" si="3"/>
        <v>1850</v>
      </c>
      <c r="P5" s="9">
        <f t="shared" si="4"/>
        <v>2220</v>
      </c>
    </row>
    <row r="6">
      <c r="A6" s="22" t="s">
        <v>16</v>
      </c>
      <c r="B6" s="22">
        <v>4320.0</v>
      </c>
      <c r="C6" s="22" t="s">
        <v>17</v>
      </c>
      <c r="D6" s="100" t="s">
        <v>408</v>
      </c>
      <c r="E6" s="101" t="s">
        <v>409</v>
      </c>
      <c r="F6" s="102" t="s">
        <v>410</v>
      </c>
      <c r="G6" s="24"/>
      <c r="H6" s="103">
        <v>37978.0</v>
      </c>
      <c r="I6" s="103">
        <v>45453.0</v>
      </c>
      <c r="J6" s="24"/>
      <c r="K6" s="25">
        <v>31.0</v>
      </c>
      <c r="L6" s="26">
        <v>45474.0</v>
      </c>
      <c r="M6" s="26">
        <v>45504.0</v>
      </c>
      <c r="N6" s="27">
        <f t="shared" si="2"/>
        <v>370</v>
      </c>
      <c r="O6" s="27">
        <f t="shared" si="3"/>
        <v>1850</v>
      </c>
      <c r="P6" s="27">
        <f t="shared" si="4"/>
        <v>2220</v>
      </c>
      <c r="Q6" s="104"/>
      <c r="R6" s="104"/>
      <c r="S6" s="104"/>
      <c r="T6" s="104"/>
      <c r="U6" s="104"/>
      <c r="V6" s="104"/>
      <c r="W6" s="104"/>
      <c r="X6" s="104"/>
      <c r="Y6" s="104"/>
      <c r="Z6" s="104"/>
    </row>
    <row r="7">
      <c r="A7" s="10" t="s">
        <v>16</v>
      </c>
      <c r="B7" s="10">
        <v>4320.0</v>
      </c>
      <c r="C7" s="10" t="s">
        <v>17</v>
      </c>
      <c r="D7" s="11" t="s">
        <v>30</v>
      </c>
      <c r="E7" s="12" t="s">
        <v>31</v>
      </c>
      <c r="F7" s="11" t="s">
        <v>32</v>
      </c>
      <c r="G7" s="13"/>
      <c r="H7" s="12">
        <v>35997.0</v>
      </c>
      <c r="I7" s="12">
        <v>45061.0</v>
      </c>
      <c r="J7" s="13"/>
      <c r="K7" s="7">
        <f t="shared" ref="K7:K12" si="5">MAX(0, MIN(M7, J7) - MAX(L7, I7) + 1)</f>
        <v>31</v>
      </c>
      <c r="L7" s="8">
        <v>45474.0</v>
      </c>
      <c r="M7" s="8">
        <v>45504.0</v>
      </c>
      <c r="N7" s="9">
        <f t="shared" si="2"/>
        <v>370</v>
      </c>
      <c r="O7" s="9">
        <f t="shared" si="3"/>
        <v>1850</v>
      </c>
      <c r="P7" s="9">
        <f t="shared" si="4"/>
        <v>2220</v>
      </c>
    </row>
    <row r="8">
      <c r="A8" s="10" t="s">
        <v>16</v>
      </c>
      <c r="B8" s="10">
        <v>4320.0</v>
      </c>
      <c r="C8" s="10" t="s">
        <v>17</v>
      </c>
      <c r="D8" s="11" t="s">
        <v>246</v>
      </c>
      <c r="E8" s="12" t="s">
        <v>247</v>
      </c>
      <c r="F8" s="11" t="s">
        <v>248</v>
      </c>
      <c r="G8" s="13"/>
      <c r="H8" s="12">
        <v>36353.0</v>
      </c>
      <c r="I8" s="12">
        <v>45278.0</v>
      </c>
      <c r="J8" s="13"/>
      <c r="K8" s="7">
        <f t="shared" si="5"/>
        <v>31</v>
      </c>
      <c r="L8" s="8">
        <v>45474.0</v>
      </c>
      <c r="M8" s="8">
        <v>45504.0</v>
      </c>
      <c r="N8" s="9">
        <f t="shared" si="2"/>
        <v>370</v>
      </c>
      <c r="O8" s="9">
        <f t="shared" si="3"/>
        <v>1850</v>
      </c>
      <c r="P8" s="9">
        <f t="shared" si="4"/>
        <v>2220</v>
      </c>
    </row>
    <row r="9">
      <c r="A9" s="10" t="s">
        <v>16</v>
      </c>
      <c r="B9" s="10">
        <v>4320.0</v>
      </c>
      <c r="C9" s="10" t="s">
        <v>17</v>
      </c>
      <c r="D9" s="20" t="s">
        <v>380</v>
      </c>
      <c r="E9" s="14" t="s">
        <v>381</v>
      </c>
      <c r="F9" s="10" t="s">
        <v>382</v>
      </c>
      <c r="G9" s="15"/>
      <c r="H9" s="14">
        <v>35669.0</v>
      </c>
      <c r="I9" s="14">
        <v>45418.0</v>
      </c>
      <c r="J9" s="105">
        <v>45481.0</v>
      </c>
      <c r="K9" s="7">
        <f t="shared" si="5"/>
        <v>8</v>
      </c>
      <c r="L9" s="8">
        <v>45474.0</v>
      </c>
      <c r="M9" s="8">
        <v>45504.0</v>
      </c>
      <c r="N9" s="9">
        <f t="shared" si="2"/>
        <v>96</v>
      </c>
      <c r="O9" s="9">
        <f t="shared" si="3"/>
        <v>480</v>
      </c>
      <c r="P9" s="9">
        <f t="shared" si="4"/>
        <v>576</v>
      </c>
    </row>
    <row r="10">
      <c r="A10" s="11" t="s">
        <v>16</v>
      </c>
      <c r="B10" s="11">
        <v>4320.0</v>
      </c>
      <c r="C10" s="11" t="s">
        <v>17</v>
      </c>
      <c r="D10" s="10" t="s">
        <v>316</v>
      </c>
      <c r="E10" s="14" t="s">
        <v>317</v>
      </c>
      <c r="F10" s="10" t="s">
        <v>318</v>
      </c>
      <c r="G10" s="15"/>
      <c r="H10" s="14">
        <v>37274.0</v>
      </c>
      <c r="I10" s="14">
        <v>45362.0</v>
      </c>
      <c r="J10" s="15"/>
      <c r="K10" s="7">
        <f t="shared" si="5"/>
        <v>31</v>
      </c>
      <c r="L10" s="8">
        <v>45474.0</v>
      </c>
      <c r="M10" s="8">
        <v>45504.0</v>
      </c>
      <c r="N10" s="9">
        <f t="shared" si="2"/>
        <v>370</v>
      </c>
      <c r="O10" s="9">
        <f t="shared" si="3"/>
        <v>1850</v>
      </c>
      <c r="P10" s="9">
        <f t="shared" si="4"/>
        <v>2220</v>
      </c>
    </row>
    <row r="11">
      <c r="A11" s="11" t="s">
        <v>16</v>
      </c>
      <c r="B11" s="11">
        <v>4320.0</v>
      </c>
      <c r="C11" s="11" t="s">
        <v>17</v>
      </c>
      <c r="D11" s="10" t="s">
        <v>264</v>
      </c>
      <c r="E11" s="14" t="s">
        <v>265</v>
      </c>
      <c r="F11" s="10" t="s">
        <v>266</v>
      </c>
      <c r="G11" s="15"/>
      <c r="H11" s="14">
        <v>37398.0</v>
      </c>
      <c r="I11" s="14">
        <v>45096.0</v>
      </c>
      <c r="J11" s="15"/>
      <c r="K11" s="7">
        <f t="shared" si="5"/>
        <v>31</v>
      </c>
      <c r="L11" s="8">
        <v>45474.0</v>
      </c>
      <c r="M11" s="8">
        <v>45504.0</v>
      </c>
      <c r="N11" s="9">
        <f t="shared" si="2"/>
        <v>370</v>
      </c>
      <c r="O11" s="9">
        <f t="shared" si="3"/>
        <v>1850</v>
      </c>
      <c r="P11" s="9">
        <f t="shared" si="4"/>
        <v>2220</v>
      </c>
    </row>
    <row r="12">
      <c r="A12" s="11" t="s">
        <v>16</v>
      </c>
      <c r="B12" s="11">
        <v>4320.0</v>
      </c>
      <c r="C12" s="11" t="s">
        <v>17</v>
      </c>
      <c r="D12" s="10" t="s">
        <v>319</v>
      </c>
      <c r="E12" s="14" t="s">
        <v>320</v>
      </c>
      <c r="F12" s="10" t="s">
        <v>321</v>
      </c>
      <c r="G12" s="15"/>
      <c r="H12" s="14">
        <v>36360.0</v>
      </c>
      <c r="I12" s="14">
        <v>45355.0</v>
      </c>
      <c r="J12" s="15"/>
      <c r="K12" s="7">
        <f t="shared" si="5"/>
        <v>31</v>
      </c>
      <c r="L12" s="8">
        <v>45474.0</v>
      </c>
      <c r="M12" s="8">
        <v>45504.0</v>
      </c>
      <c r="N12" s="9">
        <f t="shared" si="2"/>
        <v>370</v>
      </c>
      <c r="O12" s="9">
        <f t="shared" si="3"/>
        <v>1850</v>
      </c>
      <c r="P12" s="9">
        <f t="shared" si="4"/>
        <v>2220</v>
      </c>
    </row>
    <row r="13">
      <c r="A13" s="10" t="s">
        <v>16</v>
      </c>
      <c r="B13" s="10">
        <v>4320.0</v>
      </c>
      <c r="C13" s="10" t="s">
        <v>17</v>
      </c>
      <c r="D13" s="77" t="s">
        <v>411</v>
      </c>
      <c r="E13" s="69" t="s">
        <v>412</v>
      </c>
      <c r="F13" s="78" t="s">
        <v>413</v>
      </c>
      <c r="G13" s="13"/>
      <c r="H13" s="79">
        <v>33230.0</v>
      </c>
      <c r="I13" s="79">
        <v>45453.0</v>
      </c>
      <c r="J13" s="13"/>
      <c r="K13" s="7">
        <v>31.0</v>
      </c>
      <c r="L13" s="8">
        <v>45474.0</v>
      </c>
      <c r="M13" s="8">
        <v>45504.0</v>
      </c>
      <c r="N13" s="9">
        <f t="shared" si="2"/>
        <v>370</v>
      </c>
      <c r="O13" s="9">
        <f t="shared" si="3"/>
        <v>1850</v>
      </c>
      <c r="P13" s="9">
        <f t="shared" si="4"/>
        <v>2220</v>
      </c>
    </row>
    <row r="14">
      <c r="A14" s="11" t="s">
        <v>16</v>
      </c>
      <c r="B14" s="11">
        <v>4320.0</v>
      </c>
      <c r="C14" s="11" t="s">
        <v>17</v>
      </c>
      <c r="D14" s="10" t="s">
        <v>282</v>
      </c>
      <c r="E14" s="14" t="s">
        <v>283</v>
      </c>
      <c r="F14" s="10" t="s">
        <v>284</v>
      </c>
      <c r="G14" s="15"/>
      <c r="H14" s="14">
        <v>35047.0</v>
      </c>
      <c r="I14" s="14">
        <v>45257.0</v>
      </c>
      <c r="J14" s="15"/>
      <c r="K14" s="7">
        <f t="shared" ref="K14:K35" si="6">MAX(0, MIN(M14, J14) - MAX(L14, I14) + 1)</f>
        <v>31</v>
      </c>
      <c r="L14" s="8">
        <v>45474.0</v>
      </c>
      <c r="M14" s="8">
        <v>45504.0</v>
      </c>
      <c r="N14" s="9">
        <f t="shared" si="2"/>
        <v>370</v>
      </c>
      <c r="O14" s="9">
        <f t="shared" si="3"/>
        <v>1850</v>
      </c>
      <c r="P14" s="9">
        <f t="shared" si="4"/>
        <v>2220</v>
      </c>
    </row>
    <row r="15">
      <c r="A15" s="10" t="s">
        <v>16</v>
      </c>
      <c r="B15" s="10">
        <v>4320.0</v>
      </c>
      <c r="C15" s="10" t="s">
        <v>17</v>
      </c>
      <c r="D15" s="11" t="s">
        <v>45</v>
      </c>
      <c r="E15" s="12" t="s">
        <v>46</v>
      </c>
      <c r="F15" s="11" t="s">
        <v>47</v>
      </c>
      <c r="G15" s="13"/>
      <c r="H15" s="12">
        <v>37370.0</v>
      </c>
      <c r="I15" s="12">
        <v>44739.0</v>
      </c>
      <c r="J15" s="13"/>
      <c r="K15" s="7">
        <f t="shared" si="6"/>
        <v>31</v>
      </c>
      <c r="L15" s="8">
        <v>45474.0</v>
      </c>
      <c r="M15" s="8">
        <v>45504.0</v>
      </c>
      <c r="N15" s="9">
        <f t="shared" si="2"/>
        <v>370</v>
      </c>
      <c r="O15" s="9">
        <f t="shared" si="3"/>
        <v>1850</v>
      </c>
      <c r="P15" s="9">
        <f t="shared" si="4"/>
        <v>2220</v>
      </c>
    </row>
    <row r="16">
      <c r="A16" s="10" t="s">
        <v>16</v>
      </c>
      <c r="B16" s="10">
        <v>4320.0</v>
      </c>
      <c r="C16" s="10" t="s">
        <v>17</v>
      </c>
      <c r="D16" s="11" t="s">
        <v>48</v>
      </c>
      <c r="E16" s="12" t="s">
        <v>49</v>
      </c>
      <c r="F16" s="11" t="s">
        <v>50</v>
      </c>
      <c r="G16" s="13"/>
      <c r="H16" s="12">
        <v>36399.0</v>
      </c>
      <c r="I16" s="12">
        <v>45229.0</v>
      </c>
      <c r="J16" s="13"/>
      <c r="K16" s="7">
        <f t="shared" si="6"/>
        <v>31</v>
      </c>
      <c r="L16" s="8">
        <v>45474.0</v>
      </c>
      <c r="M16" s="8">
        <v>45504.0</v>
      </c>
      <c r="N16" s="9">
        <f t="shared" si="2"/>
        <v>370</v>
      </c>
      <c r="O16" s="9">
        <f t="shared" si="3"/>
        <v>1850</v>
      </c>
      <c r="P16" s="9">
        <f t="shared" si="4"/>
        <v>2220</v>
      </c>
    </row>
    <row r="17">
      <c r="A17" s="11" t="s">
        <v>16</v>
      </c>
      <c r="B17" s="11">
        <v>4320.0</v>
      </c>
      <c r="C17" s="11" t="s">
        <v>17</v>
      </c>
      <c r="D17" s="11" t="s">
        <v>383</v>
      </c>
      <c r="E17" s="12" t="s">
        <v>384</v>
      </c>
      <c r="F17" s="11" t="s">
        <v>385</v>
      </c>
      <c r="G17" s="13"/>
      <c r="H17" s="12">
        <v>36183.0</v>
      </c>
      <c r="I17" s="12">
        <v>45418.0</v>
      </c>
      <c r="J17" s="13"/>
      <c r="K17" s="7">
        <f t="shared" si="6"/>
        <v>31</v>
      </c>
      <c r="L17" s="8">
        <v>45474.0</v>
      </c>
      <c r="M17" s="8">
        <v>45504.0</v>
      </c>
      <c r="N17" s="9">
        <f t="shared" si="2"/>
        <v>370</v>
      </c>
      <c r="O17" s="9">
        <f t="shared" si="3"/>
        <v>1850</v>
      </c>
      <c r="P17" s="9">
        <f t="shared" si="4"/>
        <v>2220</v>
      </c>
    </row>
    <row r="18">
      <c r="A18" s="11" t="s">
        <v>16</v>
      </c>
      <c r="B18" s="11">
        <v>4320.0</v>
      </c>
      <c r="C18" s="11" t="s">
        <v>17</v>
      </c>
      <c r="D18" s="35" t="s">
        <v>386</v>
      </c>
      <c r="E18" s="12" t="s">
        <v>387</v>
      </c>
      <c r="F18" s="11" t="s">
        <v>388</v>
      </c>
      <c r="G18" s="13"/>
      <c r="H18" s="12">
        <v>37144.0</v>
      </c>
      <c r="I18" s="12">
        <v>45418.0</v>
      </c>
      <c r="J18" s="105">
        <v>45483.0</v>
      </c>
      <c r="K18" s="7">
        <f t="shared" si="6"/>
        <v>10</v>
      </c>
      <c r="L18" s="8">
        <v>45474.0</v>
      </c>
      <c r="M18" s="8">
        <v>45504.0</v>
      </c>
      <c r="N18" s="9">
        <f t="shared" si="2"/>
        <v>120</v>
      </c>
      <c r="O18" s="9">
        <f t="shared" si="3"/>
        <v>600</v>
      </c>
      <c r="P18" s="9">
        <f t="shared" si="4"/>
        <v>720</v>
      </c>
    </row>
    <row r="19">
      <c r="A19" s="10" t="s">
        <v>16</v>
      </c>
      <c r="B19" s="10">
        <v>4320.0</v>
      </c>
      <c r="C19" s="10" t="s">
        <v>17</v>
      </c>
      <c r="D19" s="11" t="s">
        <v>325</v>
      </c>
      <c r="E19" s="12" t="s">
        <v>326</v>
      </c>
      <c r="F19" s="11" t="s">
        <v>327</v>
      </c>
      <c r="G19" s="13"/>
      <c r="H19" s="12">
        <v>36962.0</v>
      </c>
      <c r="I19" s="12">
        <v>45376.0</v>
      </c>
      <c r="J19" s="13"/>
      <c r="K19" s="7">
        <f t="shared" si="6"/>
        <v>31</v>
      </c>
      <c r="L19" s="8">
        <v>45474.0</v>
      </c>
      <c r="M19" s="8">
        <v>45504.0</v>
      </c>
      <c r="N19" s="9">
        <f t="shared" si="2"/>
        <v>370</v>
      </c>
      <c r="O19" s="9">
        <f t="shared" si="3"/>
        <v>1850</v>
      </c>
      <c r="P19" s="9">
        <f t="shared" si="4"/>
        <v>2220</v>
      </c>
    </row>
    <row r="20">
      <c r="A20" s="11" t="s">
        <v>16</v>
      </c>
      <c r="B20" s="11">
        <v>4320.0</v>
      </c>
      <c r="C20" s="11" t="s">
        <v>17</v>
      </c>
      <c r="D20" s="10" t="s">
        <v>285</v>
      </c>
      <c r="E20" s="14" t="s">
        <v>286</v>
      </c>
      <c r="F20" s="10" t="s">
        <v>287</v>
      </c>
      <c r="G20" s="15"/>
      <c r="H20" s="14">
        <v>37377.0</v>
      </c>
      <c r="I20" s="14">
        <v>45334.0</v>
      </c>
      <c r="J20" s="15"/>
      <c r="K20" s="7">
        <f t="shared" si="6"/>
        <v>31</v>
      </c>
      <c r="L20" s="8">
        <v>45474.0</v>
      </c>
      <c r="M20" s="8">
        <v>45504.0</v>
      </c>
      <c r="N20" s="9">
        <f t="shared" si="2"/>
        <v>370</v>
      </c>
      <c r="O20" s="9">
        <f t="shared" si="3"/>
        <v>1850</v>
      </c>
      <c r="P20" s="9">
        <f t="shared" si="4"/>
        <v>2220</v>
      </c>
    </row>
    <row r="21">
      <c r="A21" s="10" t="s">
        <v>16</v>
      </c>
      <c r="B21" s="10">
        <v>4320.0</v>
      </c>
      <c r="C21" s="10" t="s">
        <v>17</v>
      </c>
      <c r="D21" s="11" t="s">
        <v>288</v>
      </c>
      <c r="E21" s="12" t="s">
        <v>289</v>
      </c>
      <c r="F21" s="11" t="s">
        <v>290</v>
      </c>
      <c r="G21" s="13"/>
      <c r="H21" s="12">
        <v>37047.0</v>
      </c>
      <c r="I21" s="12">
        <v>45257.0</v>
      </c>
      <c r="J21" s="13"/>
      <c r="K21" s="7">
        <f t="shared" si="6"/>
        <v>31</v>
      </c>
      <c r="L21" s="8">
        <v>45474.0</v>
      </c>
      <c r="M21" s="8">
        <v>45504.0</v>
      </c>
      <c r="N21" s="9">
        <f t="shared" si="2"/>
        <v>370</v>
      </c>
      <c r="O21" s="9">
        <f t="shared" si="3"/>
        <v>1850</v>
      </c>
      <c r="P21" s="9">
        <f t="shared" si="4"/>
        <v>2220</v>
      </c>
    </row>
    <row r="22">
      <c r="A22" s="11" t="s">
        <v>16</v>
      </c>
      <c r="B22" s="11">
        <v>4320.0</v>
      </c>
      <c r="C22" s="11" t="s">
        <v>17</v>
      </c>
      <c r="D22" s="10" t="s">
        <v>51</v>
      </c>
      <c r="E22" s="14" t="s">
        <v>52</v>
      </c>
      <c r="F22" s="10" t="s">
        <v>53</v>
      </c>
      <c r="G22" s="15"/>
      <c r="H22" s="14">
        <v>34601.0</v>
      </c>
      <c r="I22" s="14">
        <v>44986.0</v>
      </c>
      <c r="J22" s="15"/>
      <c r="K22" s="7">
        <f t="shared" si="6"/>
        <v>31</v>
      </c>
      <c r="L22" s="8">
        <v>45474.0</v>
      </c>
      <c r="M22" s="8">
        <v>45504.0</v>
      </c>
      <c r="N22" s="9">
        <f t="shared" si="2"/>
        <v>370</v>
      </c>
      <c r="O22" s="9">
        <f t="shared" si="3"/>
        <v>1850</v>
      </c>
      <c r="P22" s="9">
        <f t="shared" si="4"/>
        <v>2220</v>
      </c>
    </row>
    <row r="23">
      <c r="A23" s="10" t="s">
        <v>16</v>
      </c>
      <c r="B23" s="10">
        <v>4320.0</v>
      </c>
      <c r="C23" s="10" t="s">
        <v>17</v>
      </c>
      <c r="D23" s="11" t="s">
        <v>249</v>
      </c>
      <c r="E23" s="12" t="s">
        <v>250</v>
      </c>
      <c r="F23" s="11" t="s">
        <v>251</v>
      </c>
      <c r="G23" s="13"/>
      <c r="H23" s="12">
        <v>37322.0</v>
      </c>
      <c r="I23" s="12">
        <v>45096.0</v>
      </c>
      <c r="J23" s="13"/>
      <c r="K23" s="7">
        <f t="shared" si="6"/>
        <v>31</v>
      </c>
      <c r="L23" s="8">
        <v>45474.0</v>
      </c>
      <c r="M23" s="8">
        <v>45504.0</v>
      </c>
      <c r="N23" s="9">
        <f t="shared" si="2"/>
        <v>370</v>
      </c>
      <c r="O23" s="9">
        <f t="shared" si="3"/>
        <v>1850</v>
      </c>
      <c r="P23" s="9">
        <f t="shared" si="4"/>
        <v>2220</v>
      </c>
    </row>
    <row r="24">
      <c r="A24" s="11" t="s">
        <v>16</v>
      </c>
      <c r="B24" s="11">
        <v>4320.0</v>
      </c>
      <c r="C24" s="11" t="s">
        <v>17</v>
      </c>
      <c r="D24" s="10" t="s">
        <v>57</v>
      </c>
      <c r="E24" s="14" t="s">
        <v>58</v>
      </c>
      <c r="F24" s="10" t="s">
        <v>59</v>
      </c>
      <c r="G24" s="15"/>
      <c r="H24" s="14">
        <v>35704.0</v>
      </c>
      <c r="I24" s="14">
        <v>44760.0</v>
      </c>
      <c r="J24" s="15"/>
      <c r="K24" s="7">
        <f t="shared" si="6"/>
        <v>31</v>
      </c>
      <c r="L24" s="8">
        <v>45474.0</v>
      </c>
      <c r="M24" s="8">
        <v>45504.0</v>
      </c>
      <c r="N24" s="9">
        <f t="shared" si="2"/>
        <v>370</v>
      </c>
      <c r="O24" s="9">
        <f t="shared" si="3"/>
        <v>1850</v>
      </c>
      <c r="P24" s="9">
        <f t="shared" si="4"/>
        <v>2220</v>
      </c>
    </row>
    <row r="25">
      <c r="A25" s="11" t="s">
        <v>16</v>
      </c>
      <c r="B25" s="11">
        <v>4320.0</v>
      </c>
      <c r="C25" s="11" t="s">
        <v>17</v>
      </c>
      <c r="D25" s="10" t="s">
        <v>291</v>
      </c>
      <c r="E25" s="14" t="s">
        <v>292</v>
      </c>
      <c r="F25" s="10" t="s">
        <v>293</v>
      </c>
      <c r="G25" s="15"/>
      <c r="H25" s="14">
        <v>37219.0</v>
      </c>
      <c r="I25" s="14">
        <v>45257.0</v>
      </c>
      <c r="J25" s="15"/>
      <c r="K25" s="7">
        <f t="shared" si="6"/>
        <v>31</v>
      </c>
      <c r="L25" s="8">
        <v>45474.0</v>
      </c>
      <c r="M25" s="8">
        <v>45504.0</v>
      </c>
      <c r="N25" s="9">
        <f t="shared" si="2"/>
        <v>370</v>
      </c>
      <c r="O25" s="9">
        <f t="shared" si="3"/>
        <v>1850</v>
      </c>
      <c r="P25" s="9">
        <f t="shared" si="4"/>
        <v>2220</v>
      </c>
    </row>
    <row r="26">
      <c r="A26" s="10" t="s">
        <v>16</v>
      </c>
      <c r="B26" s="10">
        <v>4320.0</v>
      </c>
      <c r="C26" s="10" t="s">
        <v>17</v>
      </c>
      <c r="D26" s="35" t="s">
        <v>367</v>
      </c>
      <c r="E26" s="12" t="s">
        <v>368</v>
      </c>
      <c r="F26" s="35" t="s">
        <v>369</v>
      </c>
      <c r="G26" s="13"/>
      <c r="H26" s="12">
        <v>36718.0</v>
      </c>
      <c r="I26" s="12">
        <v>45397.0</v>
      </c>
      <c r="J26" s="105">
        <v>45485.0</v>
      </c>
      <c r="K26" s="7">
        <f t="shared" si="6"/>
        <v>12</v>
      </c>
      <c r="L26" s="8">
        <v>45474.0</v>
      </c>
      <c r="M26" s="8">
        <v>45504.0</v>
      </c>
      <c r="N26" s="9">
        <f t="shared" si="2"/>
        <v>144</v>
      </c>
      <c r="O26" s="9">
        <f t="shared" si="3"/>
        <v>720</v>
      </c>
      <c r="P26" s="9">
        <f t="shared" si="4"/>
        <v>864</v>
      </c>
    </row>
    <row r="27">
      <c r="A27" s="10" t="s">
        <v>16</v>
      </c>
      <c r="B27" s="10">
        <v>4320.0</v>
      </c>
      <c r="C27" s="10" t="s">
        <v>17</v>
      </c>
      <c r="D27" s="11" t="s">
        <v>60</v>
      </c>
      <c r="E27" s="12" t="s">
        <v>61</v>
      </c>
      <c r="F27" s="11" t="s">
        <v>62</v>
      </c>
      <c r="G27" s="13"/>
      <c r="H27" s="12">
        <v>36246.0</v>
      </c>
      <c r="I27" s="12">
        <v>44851.0</v>
      </c>
      <c r="J27" s="13"/>
      <c r="K27" s="7">
        <f t="shared" si="6"/>
        <v>31</v>
      </c>
      <c r="L27" s="8">
        <v>45474.0</v>
      </c>
      <c r="M27" s="8">
        <v>45504.0</v>
      </c>
      <c r="N27" s="9">
        <f t="shared" si="2"/>
        <v>370</v>
      </c>
      <c r="O27" s="9">
        <f t="shared" si="3"/>
        <v>1850</v>
      </c>
      <c r="P27" s="9">
        <f t="shared" si="4"/>
        <v>2220</v>
      </c>
    </row>
    <row r="28">
      <c r="A28" s="11" t="s">
        <v>16</v>
      </c>
      <c r="B28" s="11">
        <v>4320.0</v>
      </c>
      <c r="C28" s="11" t="s">
        <v>17</v>
      </c>
      <c r="D28" s="10" t="s">
        <v>63</v>
      </c>
      <c r="E28" s="14" t="s">
        <v>64</v>
      </c>
      <c r="F28" s="10" t="s">
        <v>65</v>
      </c>
      <c r="G28" s="15"/>
      <c r="H28" s="14">
        <v>35606.0</v>
      </c>
      <c r="I28" s="14">
        <v>44896.0</v>
      </c>
      <c r="J28" s="15"/>
      <c r="K28" s="7">
        <f t="shared" si="6"/>
        <v>31</v>
      </c>
      <c r="L28" s="8">
        <v>45474.0</v>
      </c>
      <c r="M28" s="8">
        <v>45504.0</v>
      </c>
      <c r="N28" s="9">
        <f t="shared" si="2"/>
        <v>370</v>
      </c>
      <c r="O28" s="9">
        <f t="shared" si="3"/>
        <v>1850</v>
      </c>
      <c r="P28" s="9">
        <f t="shared" si="4"/>
        <v>2220</v>
      </c>
    </row>
    <row r="29">
      <c r="A29" s="11" t="s">
        <v>16</v>
      </c>
      <c r="B29" s="11">
        <v>4320.0</v>
      </c>
      <c r="C29" s="11" t="s">
        <v>17</v>
      </c>
      <c r="D29" s="11" t="s">
        <v>389</v>
      </c>
      <c r="E29" s="12" t="s">
        <v>390</v>
      </c>
      <c r="F29" s="11" t="s">
        <v>391</v>
      </c>
      <c r="G29" s="13"/>
      <c r="H29" s="12">
        <v>36111.0</v>
      </c>
      <c r="I29" s="12">
        <v>45418.0</v>
      </c>
      <c r="J29" s="13"/>
      <c r="K29" s="7">
        <f t="shared" si="6"/>
        <v>31</v>
      </c>
      <c r="L29" s="8">
        <v>45474.0</v>
      </c>
      <c r="M29" s="8">
        <v>45504.0</v>
      </c>
      <c r="N29" s="9">
        <f t="shared" si="2"/>
        <v>370</v>
      </c>
      <c r="O29" s="9">
        <f t="shared" si="3"/>
        <v>1850</v>
      </c>
      <c r="P29" s="9">
        <f t="shared" si="4"/>
        <v>2220</v>
      </c>
    </row>
    <row r="30">
      <c r="A30" s="10" t="s">
        <v>16</v>
      </c>
      <c r="B30" s="10">
        <v>4320.0</v>
      </c>
      <c r="C30" s="10" t="s">
        <v>17</v>
      </c>
      <c r="D30" s="11" t="s">
        <v>66</v>
      </c>
      <c r="E30" s="12" t="s">
        <v>67</v>
      </c>
      <c r="F30" s="11" t="s">
        <v>68</v>
      </c>
      <c r="G30" s="13"/>
      <c r="H30" s="12">
        <v>34973.0</v>
      </c>
      <c r="I30" s="12">
        <v>44986.0</v>
      </c>
      <c r="J30" s="13"/>
      <c r="K30" s="7">
        <f t="shared" si="6"/>
        <v>31</v>
      </c>
      <c r="L30" s="8">
        <v>45474.0</v>
      </c>
      <c r="M30" s="8">
        <v>45504.0</v>
      </c>
      <c r="N30" s="9">
        <f t="shared" si="2"/>
        <v>370</v>
      </c>
      <c r="O30" s="9">
        <f t="shared" si="3"/>
        <v>1850</v>
      </c>
      <c r="P30" s="9">
        <f t="shared" si="4"/>
        <v>2220</v>
      </c>
    </row>
    <row r="31">
      <c r="A31" s="10" t="s">
        <v>16</v>
      </c>
      <c r="B31" s="10">
        <v>4320.0</v>
      </c>
      <c r="C31" s="10" t="s">
        <v>17</v>
      </c>
      <c r="D31" s="11" t="s">
        <v>267</v>
      </c>
      <c r="E31" s="12" t="s">
        <v>268</v>
      </c>
      <c r="F31" s="11" t="s">
        <v>269</v>
      </c>
      <c r="G31" s="13"/>
      <c r="H31" s="12">
        <v>34590.0</v>
      </c>
      <c r="I31" s="12">
        <v>45313.0</v>
      </c>
      <c r="J31" s="13"/>
      <c r="K31" s="7">
        <f t="shared" si="6"/>
        <v>31</v>
      </c>
      <c r="L31" s="8">
        <v>45474.0</v>
      </c>
      <c r="M31" s="8">
        <v>45504.0</v>
      </c>
      <c r="N31" s="9">
        <f t="shared" si="2"/>
        <v>370</v>
      </c>
      <c r="O31" s="9">
        <f t="shared" si="3"/>
        <v>1850</v>
      </c>
      <c r="P31" s="9">
        <f t="shared" si="4"/>
        <v>2220</v>
      </c>
    </row>
    <row r="32">
      <c r="A32" s="11" t="s">
        <v>16</v>
      </c>
      <c r="B32" s="11">
        <v>4320.0</v>
      </c>
      <c r="C32" s="11" t="s">
        <v>17</v>
      </c>
      <c r="D32" s="10" t="s">
        <v>69</v>
      </c>
      <c r="E32" s="14" t="s">
        <v>70</v>
      </c>
      <c r="F32" s="10" t="s">
        <v>71</v>
      </c>
      <c r="G32" s="15"/>
      <c r="H32" s="14">
        <v>36891.0</v>
      </c>
      <c r="I32" s="14">
        <v>44739.0</v>
      </c>
      <c r="J32" s="15"/>
      <c r="K32" s="7">
        <f t="shared" si="6"/>
        <v>31</v>
      </c>
      <c r="L32" s="8">
        <v>45474.0</v>
      </c>
      <c r="M32" s="8">
        <v>45504.0</v>
      </c>
      <c r="N32" s="9">
        <f t="shared" si="2"/>
        <v>370</v>
      </c>
      <c r="O32" s="9">
        <f t="shared" si="3"/>
        <v>1850</v>
      </c>
      <c r="P32" s="9">
        <f t="shared" si="4"/>
        <v>2220</v>
      </c>
    </row>
    <row r="33">
      <c r="A33" s="11" t="s">
        <v>16</v>
      </c>
      <c r="B33" s="11">
        <v>4320.0</v>
      </c>
      <c r="C33" s="11" t="s">
        <v>17</v>
      </c>
      <c r="D33" s="10" t="s">
        <v>78</v>
      </c>
      <c r="E33" s="14" t="s">
        <v>79</v>
      </c>
      <c r="F33" s="10" t="s">
        <v>80</v>
      </c>
      <c r="G33" s="15"/>
      <c r="H33" s="14">
        <v>36401.0</v>
      </c>
      <c r="I33" s="14">
        <v>45096.0</v>
      </c>
      <c r="J33" s="15"/>
      <c r="K33" s="7">
        <f t="shared" si="6"/>
        <v>31</v>
      </c>
      <c r="L33" s="8">
        <v>45474.0</v>
      </c>
      <c r="M33" s="8">
        <v>45504.0</v>
      </c>
      <c r="N33" s="9">
        <f t="shared" si="2"/>
        <v>370</v>
      </c>
      <c r="O33" s="9">
        <f t="shared" si="3"/>
        <v>1850</v>
      </c>
      <c r="P33" s="9">
        <f t="shared" si="4"/>
        <v>2220</v>
      </c>
    </row>
    <row r="34">
      <c r="A34" s="11" t="s">
        <v>16</v>
      </c>
      <c r="B34" s="11">
        <v>4320.0</v>
      </c>
      <c r="C34" s="11" t="s">
        <v>17</v>
      </c>
      <c r="D34" s="10" t="s">
        <v>331</v>
      </c>
      <c r="E34" s="14" t="s">
        <v>332</v>
      </c>
      <c r="F34" s="10" t="s">
        <v>333</v>
      </c>
      <c r="G34" s="15"/>
      <c r="H34" s="14">
        <v>37958.0</v>
      </c>
      <c r="I34" s="14">
        <v>45369.0</v>
      </c>
      <c r="J34" s="15"/>
      <c r="K34" s="7">
        <f t="shared" si="6"/>
        <v>31</v>
      </c>
      <c r="L34" s="8">
        <v>45474.0</v>
      </c>
      <c r="M34" s="8">
        <v>45504.0</v>
      </c>
      <c r="N34" s="9">
        <f t="shared" si="2"/>
        <v>370</v>
      </c>
      <c r="O34" s="9">
        <f t="shared" si="3"/>
        <v>1850</v>
      </c>
      <c r="P34" s="9">
        <f t="shared" si="4"/>
        <v>2220</v>
      </c>
    </row>
    <row r="35">
      <c r="A35" s="10" t="s">
        <v>16</v>
      </c>
      <c r="B35" s="10">
        <v>4320.0</v>
      </c>
      <c r="C35" s="10" t="s">
        <v>17</v>
      </c>
      <c r="D35" s="20" t="s">
        <v>392</v>
      </c>
      <c r="E35" s="14" t="s">
        <v>393</v>
      </c>
      <c r="F35" s="10" t="s">
        <v>394</v>
      </c>
      <c r="G35" s="15"/>
      <c r="H35" s="14">
        <v>34922.0</v>
      </c>
      <c r="I35" s="14">
        <v>45418.0</v>
      </c>
      <c r="J35" s="15"/>
      <c r="K35" s="7">
        <f t="shared" si="6"/>
        <v>31</v>
      </c>
      <c r="L35" s="8">
        <v>45474.0</v>
      </c>
      <c r="M35" s="8">
        <v>45504.0</v>
      </c>
      <c r="N35" s="9">
        <f t="shared" si="2"/>
        <v>370</v>
      </c>
      <c r="O35" s="9">
        <f t="shared" si="3"/>
        <v>1850</v>
      </c>
      <c r="P35" s="9">
        <f t="shared" si="4"/>
        <v>2220</v>
      </c>
    </row>
    <row r="36">
      <c r="A36" s="10" t="s">
        <v>16</v>
      </c>
      <c r="B36" s="10">
        <v>4320.0</v>
      </c>
      <c r="C36" s="10" t="s">
        <v>17</v>
      </c>
      <c r="D36" s="77" t="s">
        <v>414</v>
      </c>
      <c r="E36" s="13"/>
      <c r="F36" s="78" t="s">
        <v>415</v>
      </c>
      <c r="G36" s="13"/>
      <c r="H36" s="79">
        <v>36443.0</v>
      </c>
      <c r="I36" s="79">
        <v>45446.0</v>
      </c>
      <c r="J36" s="13"/>
      <c r="K36" s="7">
        <v>31.0</v>
      </c>
      <c r="L36" s="8">
        <v>45474.0</v>
      </c>
      <c r="M36" s="8">
        <v>45504.0</v>
      </c>
      <c r="N36" s="9">
        <f t="shared" si="2"/>
        <v>370</v>
      </c>
      <c r="O36" s="9">
        <f t="shared" si="3"/>
        <v>1850</v>
      </c>
      <c r="P36" s="9">
        <f t="shared" si="4"/>
        <v>2220</v>
      </c>
    </row>
    <row r="37">
      <c r="A37" s="10" t="s">
        <v>16</v>
      </c>
      <c r="B37" s="10">
        <v>4320.0</v>
      </c>
      <c r="C37" s="10" t="s">
        <v>17</v>
      </c>
      <c r="D37" s="11" t="s">
        <v>87</v>
      </c>
      <c r="E37" s="12" t="s">
        <v>88</v>
      </c>
      <c r="F37" s="11" t="s">
        <v>89</v>
      </c>
      <c r="G37" s="13"/>
      <c r="H37" s="12">
        <v>33737.0</v>
      </c>
      <c r="I37" s="12">
        <v>45139.0</v>
      </c>
      <c r="J37" s="13"/>
      <c r="K37" s="7">
        <f t="shared" ref="K37:K49" si="7">MAX(0, MIN(M37, J37) - MAX(L37, I37) + 1)</f>
        <v>31</v>
      </c>
      <c r="L37" s="8">
        <v>45474.0</v>
      </c>
      <c r="M37" s="8">
        <v>45504.0</v>
      </c>
      <c r="N37" s="9">
        <f t="shared" si="2"/>
        <v>370</v>
      </c>
      <c r="O37" s="9">
        <f t="shared" si="3"/>
        <v>1850</v>
      </c>
      <c r="P37" s="9">
        <f t="shared" si="4"/>
        <v>2220</v>
      </c>
    </row>
    <row r="38">
      <c r="A38" s="10" t="s">
        <v>16</v>
      </c>
      <c r="B38" s="10">
        <v>4320.0</v>
      </c>
      <c r="C38" s="10" t="s">
        <v>17</v>
      </c>
      <c r="D38" s="11" t="s">
        <v>334</v>
      </c>
      <c r="E38" s="12" t="s">
        <v>335</v>
      </c>
      <c r="F38" s="11" t="s">
        <v>336</v>
      </c>
      <c r="G38" s="13"/>
      <c r="H38" s="12">
        <v>35272.0</v>
      </c>
      <c r="I38" s="12">
        <v>45355.0</v>
      </c>
      <c r="J38" s="13"/>
      <c r="K38" s="7">
        <f t="shared" si="7"/>
        <v>31</v>
      </c>
      <c r="L38" s="8">
        <v>45474.0</v>
      </c>
      <c r="M38" s="8">
        <v>45504.0</v>
      </c>
      <c r="N38" s="9">
        <f t="shared" si="2"/>
        <v>370</v>
      </c>
      <c r="O38" s="9">
        <f t="shared" si="3"/>
        <v>1850</v>
      </c>
      <c r="P38" s="9">
        <f t="shared" si="4"/>
        <v>2220</v>
      </c>
    </row>
    <row r="39">
      <c r="A39" s="10" t="s">
        <v>16</v>
      </c>
      <c r="B39" s="10">
        <v>4320.0</v>
      </c>
      <c r="C39" s="10" t="s">
        <v>17</v>
      </c>
      <c r="D39" s="11" t="s">
        <v>337</v>
      </c>
      <c r="E39" s="12" t="s">
        <v>338</v>
      </c>
      <c r="F39" s="11" t="s">
        <v>339</v>
      </c>
      <c r="G39" s="13"/>
      <c r="H39" s="12">
        <v>37539.0</v>
      </c>
      <c r="I39" s="12">
        <v>45362.0</v>
      </c>
      <c r="J39" s="13"/>
      <c r="K39" s="7">
        <f t="shared" si="7"/>
        <v>31</v>
      </c>
      <c r="L39" s="8">
        <v>45474.0</v>
      </c>
      <c r="M39" s="8">
        <v>45504.0</v>
      </c>
      <c r="N39" s="9">
        <f t="shared" si="2"/>
        <v>370</v>
      </c>
      <c r="O39" s="9">
        <f t="shared" si="3"/>
        <v>1850</v>
      </c>
      <c r="P39" s="9">
        <f t="shared" si="4"/>
        <v>2220</v>
      </c>
    </row>
    <row r="40">
      <c r="A40" s="10" t="s">
        <v>16</v>
      </c>
      <c r="B40" s="10">
        <v>4320.0</v>
      </c>
      <c r="C40" s="10" t="s">
        <v>17</v>
      </c>
      <c r="D40" s="11" t="s">
        <v>96</v>
      </c>
      <c r="E40" s="12" t="s">
        <v>97</v>
      </c>
      <c r="F40" s="11" t="s">
        <v>98</v>
      </c>
      <c r="G40" s="13"/>
      <c r="H40" s="12">
        <v>36690.0</v>
      </c>
      <c r="I40" s="12">
        <v>44938.0</v>
      </c>
      <c r="J40" s="13"/>
      <c r="K40" s="7">
        <f t="shared" si="7"/>
        <v>31</v>
      </c>
      <c r="L40" s="8">
        <v>45474.0</v>
      </c>
      <c r="M40" s="8">
        <v>45504.0</v>
      </c>
      <c r="N40" s="9">
        <f t="shared" si="2"/>
        <v>370</v>
      </c>
      <c r="O40" s="9">
        <f t="shared" si="3"/>
        <v>1850</v>
      </c>
      <c r="P40" s="9">
        <f t="shared" si="4"/>
        <v>2220</v>
      </c>
    </row>
    <row r="41">
      <c r="A41" s="11" t="s">
        <v>16</v>
      </c>
      <c r="B41" s="11">
        <v>4320.0</v>
      </c>
      <c r="C41" s="11" t="s">
        <v>17</v>
      </c>
      <c r="D41" s="10" t="s">
        <v>99</v>
      </c>
      <c r="E41" s="14" t="s">
        <v>100</v>
      </c>
      <c r="F41" s="10" t="s">
        <v>101</v>
      </c>
      <c r="G41" s="15"/>
      <c r="H41" s="14">
        <v>37240.0</v>
      </c>
      <c r="I41" s="14">
        <v>45176.0</v>
      </c>
      <c r="J41" s="15"/>
      <c r="K41" s="7">
        <f t="shared" si="7"/>
        <v>31</v>
      </c>
      <c r="L41" s="8">
        <v>45474.0</v>
      </c>
      <c r="M41" s="8">
        <v>45504.0</v>
      </c>
      <c r="N41" s="9">
        <f t="shared" si="2"/>
        <v>370</v>
      </c>
      <c r="O41" s="9">
        <f t="shared" si="3"/>
        <v>1850</v>
      </c>
      <c r="P41" s="9">
        <f t="shared" si="4"/>
        <v>2220</v>
      </c>
    </row>
    <row r="42">
      <c r="A42" s="10" t="s">
        <v>16</v>
      </c>
      <c r="B42" s="10">
        <v>4320.0</v>
      </c>
      <c r="C42" s="10" t="s">
        <v>17</v>
      </c>
      <c r="D42" s="11" t="s">
        <v>102</v>
      </c>
      <c r="E42" s="12" t="s">
        <v>103</v>
      </c>
      <c r="F42" s="11" t="s">
        <v>104</v>
      </c>
      <c r="G42" s="13"/>
      <c r="H42" s="12">
        <v>33240.0</v>
      </c>
      <c r="I42" s="12">
        <v>44287.0</v>
      </c>
      <c r="J42" s="13"/>
      <c r="K42" s="7">
        <f t="shared" si="7"/>
        <v>31</v>
      </c>
      <c r="L42" s="8">
        <v>45474.0</v>
      </c>
      <c r="M42" s="8">
        <v>45504.0</v>
      </c>
      <c r="N42" s="9">
        <f t="shared" si="2"/>
        <v>370</v>
      </c>
      <c r="O42" s="9">
        <f t="shared" si="3"/>
        <v>1850</v>
      </c>
      <c r="P42" s="9">
        <f t="shared" si="4"/>
        <v>2220</v>
      </c>
    </row>
    <row r="43">
      <c r="A43" s="10" t="s">
        <v>16</v>
      </c>
      <c r="B43" s="10">
        <v>4320.0</v>
      </c>
      <c r="C43" s="10" t="s">
        <v>17</v>
      </c>
      <c r="D43" s="11" t="s">
        <v>255</v>
      </c>
      <c r="E43" s="12" t="s">
        <v>256</v>
      </c>
      <c r="F43" s="11" t="s">
        <v>257</v>
      </c>
      <c r="G43" s="13"/>
      <c r="H43" s="12">
        <v>35173.0</v>
      </c>
      <c r="I43" s="12">
        <v>45264.0</v>
      </c>
      <c r="J43" s="13"/>
      <c r="K43" s="7">
        <f t="shared" si="7"/>
        <v>31</v>
      </c>
      <c r="L43" s="8">
        <v>45474.0</v>
      </c>
      <c r="M43" s="8">
        <v>45504.0</v>
      </c>
      <c r="N43" s="9">
        <f t="shared" si="2"/>
        <v>370</v>
      </c>
      <c r="O43" s="9">
        <f t="shared" si="3"/>
        <v>1850</v>
      </c>
      <c r="P43" s="9">
        <f t="shared" si="4"/>
        <v>2220</v>
      </c>
    </row>
    <row r="44">
      <c r="A44" s="11" t="s">
        <v>16</v>
      </c>
      <c r="B44" s="11">
        <v>4320.0</v>
      </c>
      <c r="C44" s="11" t="s">
        <v>17</v>
      </c>
      <c r="D44" s="10" t="s">
        <v>340</v>
      </c>
      <c r="E44" s="14" t="s">
        <v>341</v>
      </c>
      <c r="F44" s="10" t="s">
        <v>342</v>
      </c>
      <c r="G44" s="15"/>
      <c r="H44" s="14">
        <v>37964.0</v>
      </c>
      <c r="I44" s="14">
        <v>45355.0</v>
      </c>
      <c r="J44" s="15"/>
      <c r="K44" s="7">
        <f t="shared" si="7"/>
        <v>31</v>
      </c>
      <c r="L44" s="8">
        <v>45474.0</v>
      </c>
      <c r="M44" s="8">
        <v>45504.0</v>
      </c>
      <c r="N44" s="9">
        <f t="shared" si="2"/>
        <v>370</v>
      </c>
      <c r="O44" s="9">
        <f t="shared" si="3"/>
        <v>1850</v>
      </c>
      <c r="P44" s="9">
        <f t="shared" si="4"/>
        <v>2220</v>
      </c>
    </row>
    <row r="45">
      <c r="A45" s="11" t="s">
        <v>16</v>
      </c>
      <c r="B45" s="11">
        <v>4320.0</v>
      </c>
      <c r="C45" s="11" t="s">
        <v>17</v>
      </c>
      <c r="D45" s="10" t="s">
        <v>108</v>
      </c>
      <c r="E45" s="14" t="s">
        <v>109</v>
      </c>
      <c r="F45" s="10" t="s">
        <v>110</v>
      </c>
      <c r="G45" s="15"/>
      <c r="H45" s="14">
        <v>35943.0</v>
      </c>
      <c r="I45" s="14">
        <v>45215.0</v>
      </c>
      <c r="J45" s="15"/>
      <c r="K45" s="7">
        <f t="shared" si="7"/>
        <v>31</v>
      </c>
      <c r="L45" s="8">
        <v>45474.0</v>
      </c>
      <c r="M45" s="8">
        <v>45504.0</v>
      </c>
      <c r="N45" s="9">
        <f t="shared" si="2"/>
        <v>370</v>
      </c>
      <c r="O45" s="9">
        <f t="shared" si="3"/>
        <v>1850</v>
      </c>
      <c r="P45" s="9">
        <f t="shared" si="4"/>
        <v>2220</v>
      </c>
    </row>
    <row r="46">
      <c r="A46" s="11" t="s">
        <v>16</v>
      </c>
      <c r="B46" s="11">
        <v>4320.0</v>
      </c>
      <c r="C46" s="11" t="s">
        <v>17</v>
      </c>
      <c r="D46" s="35" t="s">
        <v>395</v>
      </c>
      <c r="E46" s="12" t="s">
        <v>396</v>
      </c>
      <c r="F46" s="11" t="s">
        <v>397</v>
      </c>
      <c r="G46" s="13"/>
      <c r="H46" s="12">
        <v>36557.0</v>
      </c>
      <c r="I46" s="12">
        <v>45432.0</v>
      </c>
      <c r="J46" s="13"/>
      <c r="K46" s="7">
        <f t="shared" si="7"/>
        <v>31</v>
      </c>
      <c r="L46" s="8">
        <v>45474.0</v>
      </c>
      <c r="M46" s="8">
        <v>45504.0</v>
      </c>
      <c r="N46" s="9">
        <f t="shared" si="2"/>
        <v>370</v>
      </c>
      <c r="O46" s="9">
        <f t="shared" si="3"/>
        <v>1850</v>
      </c>
      <c r="P46" s="9">
        <f t="shared" si="4"/>
        <v>2220</v>
      </c>
    </row>
    <row r="47">
      <c r="A47" s="10" t="s">
        <v>16</v>
      </c>
      <c r="B47" s="10">
        <v>4320.0</v>
      </c>
      <c r="C47" s="10" t="s">
        <v>17</v>
      </c>
      <c r="D47" s="11" t="s">
        <v>370</v>
      </c>
      <c r="E47" s="12" t="s">
        <v>371</v>
      </c>
      <c r="F47" s="11" t="s">
        <v>372</v>
      </c>
      <c r="G47" s="13"/>
      <c r="H47" s="12">
        <v>35551.0</v>
      </c>
      <c r="I47" s="36">
        <v>45383.0</v>
      </c>
      <c r="J47" s="13"/>
      <c r="K47" s="7">
        <f t="shared" si="7"/>
        <v>31</v>
      </c>
      <c r="L47" s="8">
        <v>45474.0</v>
      </c>
      <c r="M47" s="8">
        <v>45504.0</v>
      </c>
      <c r="N47" s="9">
        <f t="shared" si="2"/>
        <v>370</v>
      </c>
      <c r="O47" s="9">
        <f t="shared" si="3"/>
        <v>1850</v>
      </c>
      <c r="P47" s="9">
        <f t="shared" si="4"/>
        <v>2220</v>
      </c>
    </row>
    <row r="48">
      <c r="A48" s="10" t="s">
        <v>16</v>
      </c>
      <c r="B48" s="10">
        <v>4320.0</v>
      </c>
      <c r="C48" s="10" t="s">
        <v>17</v>
      </c>
      <c r="D48" s="11" t="s">
        <v>120</v>
      </c>
      <c r="E48" s="12" t="s">
        <v>121</v>
      </c>
      <c r="F48" s="11" t="s">
        <v>122</v>
      </c>
      <c r="G48" s="13"/>
      <c r="H48" s="12">
        <v>36794.0</v>
      </c>
      <c r="I48" s="12">
        <v>44915.0</v>
      </c>
      <c r="J48" s="13"/>
      <c r="K48" s="7">
        <f t="shared" si="7"/>
        <v>31</v>
      </c>
      <c r="L48" s="8">
        <v>45474.0</v>
      </c>
      <c r="M48" s="8">
        <v>45504.0</v>
      </c>
      <c r="N48" s="9">
        <f t="shared" si="2"/>
        <v>370</v>
      </c>
      <c r="O48" s="9">
        <f t="shared" si="3"/>
        <v>1850</v>
      </c>
      <c r="P48" s="9">
        <f t="shared" si="4"/>
        <v>2220</v>
      </c>
    </row>
    <row r="49">
      <c r="A49" s="11" t="s">
        <v>16</v>
      </c>
      <c r="B49" s="11">
        <v>4320.0</v>
      </c>
      <c r="C49" s="11" t="s">
        <v>17</v>
      </c>
      <c r="D49" s="10" t="s">
        <v>343</v>
      </c>
      <c r="E49" s="14" t="s">
        <v>344</v>
      </c>
      <c r="F49" s="10" t="s">
        <v>345</v>
      </c>
      <c r="G49" s="15"/>
      <c r="H49" s="14">
        <v>36821.0</v>
      </c>
      <c r="I49" s="14">
        <v>45362.0</v>
      </c>
      <c r="J49" s="15"/>
      <c r="K49" s="7">
        <f t="shared" si="7"/>
        <v>31</v>
      </c>
      <c r="L49" s="8">
        <v>45474.0</v>
      </c>
      <c r="M49" s="8">
        <v>45504.0</v>
      </c>
      <c r="N49" s="9">
        <f t="shared" si="2"/>
        <v>370</v>
      </c>
      <c r="O49" s="9">
        <f t="shared" si="3"/>
        <v>1850</v>
      </c>
      <c r="P49" s="9">
        <f t="shared" si="4"/>
        <v>2220</v>
      </c>
    </row>
    <row r="50">
      <c r="A50" s="10" t="s">
        <v>16</v>
      </c>
      <c r="B50" s="10">
        <v>4320.0</v>
      </c>
      <c r="C50" s="10" t="s">
        <v>17</v>
      </c>
      <c r="D50" s="106" t="s">
        <v>429</v>
      </c>
      <c r="E50" s="13"/>
      <c r="F50" s="78" t="s">
        <v>430</v>
      </c>
      <c r="G50" s="13"/>
      <c r="H50" s="79">
        <v>37257.0</v>
      </c>
      <c r="I50" s="79">
        <v>45481.0</v>
      </c>
      <c r="J50" s="13"/>
      <c r="K50" s="7">
        <v>24.0</v>
      </c>
      <c r="L50" s="80">
        <v>45481.0</v>
      </c>
      <c r="M50" s="8">
        <v>45504.0</v>
      </c>
      <c r="N50" s="9">
        <f t="shared" si="2"/>
        <v>287</v>
      </c>
      <c r="O50" s="9">
        <f t="shared" si="3"/>
        <v>1435</v>
      </c>
      <c r="P50" s="9">
        <f t="shared" si="4"/>
        <v>1722</v>
      </c>
    </row>
    <row r="51">
      <c r="A51" s="10" t="s">
        <v>16</v>
      </c>
      <c r="B51" s="10">
        <v>4320.0</v>
      </c>
      <c r="C51" s="10" t="s">
        <v>17</v>
      </c>
      <c r="D51" s="35" t="s">
        <v>416</v>
      </c>
      <c r="E51" s="13"/>
      <c r="F51" s="83" t="s">
        <v>417</v>
      </c>
      <c r="G51" s="13"/>
      <c r="H51" s="79">
        <v>36346.0</v>
      </c>
      <c r="I51" s="79">
        <v>45453.0</v>
      </c>
      <c r="J51" s="13"/>
      <c r="K51" s="7">
        <v>31.0</v>
      </c>
      <c r="L51" s="8">
        <v>45474.0</v>
      </c>
      <c r="M51" s="8">
        <v>45504.0</v>
      </c>
      <c r="N51" s="9">
        <f t="shared" si="2"/>
        <v>370</v>
      </c>
      <c r="O51" s="9">
        <f t="shared" si="3"/>
        <v>1850</v>
      </c>
      <c r="P51" s="9">
        <f t="shared" si="4"/>
        <v>2220</v>
      </c>
    </row>
    <row r="52">
      <c r="A52" s="10" t="s">
        <v>16</v>
      </c>
      <c r="B52" s="10">
        <v>4320.0</v>
      </c>
      <c r="C52" s="10" t="s">
        <v>17</v>
      </c>
      <c r="D52" s="77" t="s">
        <v>132</v>
      </c>
      <c r="E52" s="13"/>
      <c r="F52" s="78" t="s">
        <v>418</v>
      </c>
      <c r="G52" s="13"/>
      <c r="H52" s="79">
        <v>37494.0</v>
      </c>
      <c r="I52" s="79">
        <v>45467.0</v>
      </c>
      <c r="J52" s="13"/>
      <c r="K52" s="7">
        <v>31.0</v>
      </c>
      <c r="L52" s="8">
        <v>45474.0</v>
      </c>
      <c r="M52" s="8">
        <v>45504.0</v>
      </c>
      <c r="N52" s="9">
        <f t="shared" si="2"/>
        <v>370</v>
      </c>
      <c r="O52" s="9">
        <f t="shared" si="3"/>
        <v>1850</v>
      </c>
      <c r="P52" s="9">
        <f t="shared" si="4"/>
        <v>2220</v>
      </c>
    </row>
    <row r="53">
      <c r="A53" s="11" t="s">
        <v>16</v>
      </c>
      <c r="B53" s="11">
        <v>4320.0</v>
      </c>
      <c r="C53" s="11" t="s">
        <v>17</v>
      </c>
      <c r="D53" s="10" t="s">
        <v>346</v>
      </c>
      <c r="E53" s="14" t="s">
        <v>347</v>
      </c>
      <c r="F53" s="10" t="s">
        <v>348</v>
      </c>
      <c r="G53" s="15"/>
      <c r="H53" s="14">
        <v>36778.0</v>
      </c>
      <c r="I53" s="14">
        <v>45369.0</v>
      </c>
      <c r="J53" s="15"/>
      <c r="K53" s="7">
        <f t="shared" ref="K53:K57" si="8">MAX(0, MIN(M53, J53) - MAX(L53, I53) + 1)</f>
        <v>31</v>
      </c>
      <c r="L53" s="8">
        <v>45474.0</v>
      </c>
      <c r="M53" s="8">
        <v>45504.0</v>
      </c>
      <c r="N53" s="9">
        <f t="shared" si="2"/>
        <v>370</v>
      </c>
      <c r="O53" s="9">
        <f t="shared" si="3"/>
        <v>1850</v>
      </c>
      <c r="P53" s="9">
        <f t="shared" si="4"/>
        <v>2220</v>
      </c>
    </row>
    <row r="54">
      <c r="A54" s="10" t="s">
        <v>16</v>
      </c>
      <c r="B54" s="10">
        <v>4320.0</v>
      </c>
      <c r="C54" s="10" t="s">
        <v>17</v>
      </c>
      <c r="D54" s="35" t="s">
        <v>373</v>
      </c>
      <c r="E54" s="12" t="s">
        <v>374</v>
      </c>
      <c r="F54" s="35" t="s">
        <v>375</v>
      </c>
      <c r="G54" s="13"/>
      <c r="H54" s="12">
        <v>37085.0</v>
      </c>
      <c r="I54" s="12">
        <v>45400.0</v>
      </c>
      <c r="J54" s="13"/>
      <c r="K54" s="7">
        <f t="shared" si="8"/>
        <v>31</v>
      </c>
      <c r="L54" s="8">
        <v>45474.0</v>
      </c>
      <c r="M54" s="8">
        <v>45504.0</v>
      </c>
      <c r="N54" s="9">
        <f t="shared" si="2"/>
        <v>370</v>
      </c>
      <c r="O54" s="9">
        <f t="shared" si="3"/>
        <v>1850</v>
      </c>
      <c r="P54" s="9">
        <f t="shared" si="4"/>
        <v>2220</v>
      </c>
    </row>
    <row r="55">
      <c r="A55" s="11" t="s">
        <v>16</v>
      </c>
      <c r="B55" s="11">
        <v>4320.0</v>
      </c>
      <c r="C55" s="11" t="s">
        <v>17</v>
      </c>
      <c r="D55" s="10" t="s">
        <v>349</v>
      </c>
      <c r="E55" s="14" t="s">
        <v>350</v>
      </c>
      <c r="F55" s="10" t="s">
        <v>351</v>
      </c>
      <c r="G55" s="15"/>
      <c r="H55" s="14">
        <v>37647.0</v>
      </c>
      <c r="I55" s="14">
        <v>45355.0</v>
      </c>
      <c r="J55" s="15"/>
      <c r="K55" s="7">
        <f t="shared" si="8"/>
        <v>31</v>
      </c>
      <c r="L55" s="8">
        <v>45474.0</v>
      </c>
      <c r="M55" s="8">
        <v>45504.0</v>
      </c>
      <c r="N55" s="9">
        <f t="shared" si="2"/>
        <v>370</v>
      </c>
      <c r="O55" s="9">
        <f t="shared" si="3"/>
        <v>1850</v>
      </c>
      <c r="P55" s="9">
        <f t="shared" si="4"/>
        <v>2220</v>
      </c>
    </row>
    <row r="56">
      <c r="A56" s="10" t="s">
        <v>16</v>
      </c>
      <c r="B56" s="10">
        <v>4320.0</v>
      </c>
      <c r="C56" s="10" t="s">
        <v>17</v>
      </c>
      <c r="D56" s="11" t="s">
        <v>141</v>
      </c>
      <c r="E56" s="12" t="s">
        <v>142</v>
      </c>
      <c r="F56" s="11" t="s">
        <v>143</v>
      </c>
      <c r="G56" s="13"/>
      <c r="H56" s="12">
        <v>34300.0</v>
      </c>
      <c r="I56" s="12">
        <v>45183.0</v>
      </c>
      <c r="J56" s="13"/>
      <c r="K56" s="7">
        <f t="shared" si="8"/>
        <v>31</v>
      </c>
      <c r="L56" s="8">
        <v>45474.0</v>
      </c>
      <c r="M56" s="8">
        <v>45504.0</v>
      </c>
      <c r="N56" s="9">
        <f t="shared" si="2"/>
        <v>370</v>
      </c>
      <c r="O56" s="9">
        <f t="shared" si="3"/>
        <v>1850</v>
      </c>
      <c r="P56" s="9">
        <f t="shared" si="4"/>
        <v>2220</v>
      </c>
    </row>
    <row r="57">
      <c r="A57" s="10" t="s">
        <v>16</v>
      </c>
      <c r="B57" s="10">
        <v>4320.0</v>
      </c>
      <c r="C57" s="10" t="s">
        <v>17</v>
      </c>
      <c r="D57" s="11" t="s">
        <v>352</v>
      </c>
      <c r="E57" s="12" t="s">
        <v>353</v>
      </c>
      <c r="F57" s="11" t="s">
        <v>354</v>
      </c>
      <c r="G57" s="13"/>
      <c r="H57" s="12">
        <v>36412.0</v>
      </c>
      <c r="I57" s="12">
        <v>45355.0</v>
      </c>
      <c r="J57" s="13"/>
      <c r="K57" s="7">
        <f t="shared" si="8"/>
        <v>31</v>
      </c>
      <c r="L57" s="8">
        <v>45474.0</v>
      </c>
      <c r="M57" s="8">
        <v>45504.0</v>
      </c>
      <c r="N57" s="9">
        <f t="shared" si="2"/>
        <v>370</v>
      </c>
      <c r="O57" s="9">
        <f t="shared" si="3"/>
        <v>1850</v>
      </c>
      <c r="P57" s="9">
        <f t="shared" si="4"/>
        <v>2220</v>
      </c>
    </row>
    <row r="58">
      <c r="A58" s="10" t="s">
        <v>16</v>
      </c>
      <c r="B58" s="10">
        <v>4320.0</v>
      </c>
      <c r="C58" s="10" t="s">
        <v>17</v>
      </c>
      <c r="D58" s="77" t="s">
        <v>419</v>
      </c>
      <c r="E58" s="13"/>
      <c r="F58" s="78" t="s">
        <v>420</v>
      </c>
      <c r="G58" s="13"/>
      <c r="H58" s="79">
        <v>36907.0</v>
      </c>
      <c r="I58" s="79">
        <v>45446.0</v>
      </c>
      <c r="J58" s="13"/>
      <c r="K58" s="7">
        <v>31.0</v>
      </c>
      <c r="L58" s="8">
        <v>45474.0</v>
      </c>
      <c r="M58" s="8">
        <v>45504.0</v>
      </c>
      <c r="N58" s="9">
        <f t="shared" si="2"/>
        <v>370</v>
      </c>
      <c r="O58" s="9">
        <f t="shared" si="3"/>
        <v>1850</v>
      </c>
      <c r="P58" s="9">
        <f t="shared" si="4"/>
        <v>2220</v>
      </c>
    </row>
    <row r="59">
      <c r="A59" s="10" t="s">
        <v>16</v>
      </c>
      <c r="B59" s="10">
        <v>4320.0</v>
      </c>
      <c r="C59" s="10" t="s">
        <v>17</v>
      </c>
      <c r="D59" s="20" t="s">
        <v>398</v>
      </c>
      <c r="E59" s="14" t="s">
        <v>399</v>
      </c>
      <c r="F59" s="10" t="s">
        <v>400</v>
      </c>
      <c r="G59" s="15"/>
      <c r="H59" s="14">
        <v>36655.0</v>
      </c>
      <c r="I59" s="14">
        <v>45418.0</v>
      </c>
      <c r="J59" s="15"/>
      <c r="K59" s="7">
        <f t="shared" ref="K59:K61" si="9">MAX(0, MIN(M59, J59) - MAX(L59, I59) + 1)</f>
        <v>31</v>
      </c>
      <c r="L59" s="8">
        <v>45474.0</v>
      </c>
      <c r="M59" s="8">
        <v>45504.0</v>
      </c>
      <c r="N59" s="9">
        <f t="shared" si="2"/>
        <v>370</v>
      </c>
      <c r="O59" s="9">
        <f t="shared" si="3"/>
        <v>1850</v>
      </c>
      <c r="P59" s="9">
        <f t="shared" si="4"/>
        <v>2220</v>
      </c>
    </row>
    <row r="60">
      <c r="A60" s="11" t="s">
        <v>16</v>
      </c>
      <c r="B60" s="11">
        <v>4320.0</v>
      </c>
      <c r="C60" s="11" t="s">
        <v>17</v>
      </c>
      <c r="D60" s="10" t="s">
        <v>153</v>
      </c>
      <c r="E60" s="14" t="s">
        <v>154</v>
      </c>
      <c r="F60" s="10" t="s">
        <v>155</v>
      </c>
      <c r="G60" s="15"/>
      <c r="H60" s="14">
        <v>31014.0</v>
      </c>
      <c r="I60" s="14">
        <v>44805.0</v>
      </c>
      <c r="J60" s="15"/>
      <c r="K60" s="7">
        <f t="shared" si="9"/>
        <v>31</v>
      </c>
      <c r="L60" s="8">
        <v>45474.0</v>
      </c>
      <c r="M60" s="8">
        <v>45504.0</v>
      </c>
      <c r="N60" s="9">
        <f t="shared" si="2"/>
        <v>370</v>
      </c>
      <c r="O60" s="9">
        <f t="shared" si="3"/>
        <v>1850</v>
      </c>
      <c r="P60" s="9">
        <f t="shared" si="4"/>
        <v>2220</v>
      </c>
    </row>
    <row r="61">
      <c r="A61" s="10" t="s">
        <v>16</v>
      </c>
      <c r="B61" s="10">
        <v>4320.0</v>
      </c>
      <c r="C61" s="10" t="s">
        <v>17</v>
      </c>
      <c r="D61" s="11" t="s">
        <v>273</v>
      </c>
      <c r="E61" s="12" t="s">
        <v>274</v>
      </c>
      <c r="F61" s="11" t="s">
        <v>275</v>
      </c>
      <c r="G61" s="13"/>
      <c r="H61" s="12">
        <v>34522.0</v>
      </c>
      <c r="I61" s="12">
        <v>45292.0</v>
      </c>
      <c r="J61" s="13"/>
      <c r="K61" s="7">
        <f t="shared" si="9"/>
        <v>31</v>
      </c>
      <c r="L61" s="8">
        <v>45474.0</v>
      </c>
      <c r="M61" s="8">
        <v>45504.0</v>
      </c>
      <c r="N61" s="9">
        <f t="shared" si="2"/>
        <v>370</v>
      </c>
      <c r="O61" s="9">
        <f t="shared" si="3"/>
        <v>1850</v>
      </c>
      <c r="P61" s="9">
        <f t="shared" si="4"/>
        <v>2220</v>
      </c>
    </row>
    <row r="62">
      <c r="A62" s="10" t="s">
        <v>16</v>
      </c>
      <c r="B62" s="10">
        <v>4320.0</v>
      </c>
      <c r="C62" s="10" t="s">
        <v>17</v>
      </c>
      <c r="D62" s="77" t="s">
        <v>421</v>
      </c>
      <c r="E62" s="13"/>
      <c r="F62" s="78" t="s">
        <v>422</v>
      </c>
      <c r="G62" s="13"/>
      <c r="H62" s="79">
        <v>37415.0</v>
      </c>
      <c r="I62" s="79">
        <v>45441.0</v>
      </c>
      <c r="J62" s="13"/>
      <c r="K62" s="7">
        <v>31.0</v>
      </c>
      <c r="L62" s="8">
        <v>45474.0</v>
      </c>
      <c r="M62" s="8">
        <v>45504.0</v>
      </c>
      <c r="N62" s="9">
        <f t="shared" si="2"/>
        <v>370</v>
      </c>
      <c r="O62" s="9">
        <f t="shared" si="3"/>
        <v>1850</v>
      </c>
      <c r="P62" s="9">
        <f t="shared" si="4"/>
        <v>2220</v>
      </c>
    </row>
    <row r="63">
      <c r="A63" s="11" t="s">
        <v>16</v>
      </c>
      <c r="B63" s="11">
        <v>4320.0</v>
      </c>
      <c r="C63" s="11" t="s">
        <v>17</v>
      </c>
      <c r="D63" s="10" t="s">
        <v>162</v>
      </c>
      <c r="E63" s="14" t="s">
        <v>163</v>
      </c>
      <c r="F63" s="10" t="s">
        <v>164</v>
      </c>
      <c r="G63" s="15"/>
      <c r="H63" s="14">
        <v>34732.0</v>
      </c>
      <c r="I63" s="14">
        <v>44986.0</v>
      </c>
      <c r="J63" s="15"/>
      <c r="K63" s="7">
        <f t="shared" ref="K63:K64" si="10">MAX(0, MIN(M63, J63) - MAX(L63, I63) + 1)</f>
        <v>31</v>
      </c>
      <c r="L63" s="8">
        <v>45474.0</v>
      </c>
      <c r="M63" s="8">
        <v>45504.0</v>
      </c>
      <c r="N63" s="9">
        <f t="shared" si="2"/>
        <v>370</v>
      </c>
      <c r="O63" s="9">
        <f t="shared" si="3"/>
        <v>1850</v>
      </c>
      <c r="P63" s="9">
        <f t="shared" si="4"/>
        <v>2220</v>
      </c>
    </row>
    <row r="64">
      <c r="A64" s="10" t="s">
        <v>16</v>
      </c>
      <c r="B64" s="10">
        <v>4320.0</v>
      </c>
      <c r="C64" s="10" t="s">
        <v>17</v>
      </c>
      <c r="D64" s="11" t="s">
        <v>355</v>
      </c>
      <c r="E64" s="12" t="s">
        <v>356</v>
      </c>
      <c r="F64" s="11" t="s">
        <v>357</v>
      </c>
      <c r="G64" s="13"/>
      <c r="H64" s="12">
        <v>35395.0</v>
      </c>
      <c r="I64" s="12">
        <v>45376.0</v>
      </c>
      <c r="J64" s="13"/>
      <c r="K64" s="7">
        <f t="shared" si="10"/>
        <v>31</v>
      </c>
      <c r="L64" s="8">
        <v>45474.0</v>
      </c>
      <c r="M64" s="8">
        <v>45504.0</v>
      </c>
      <c r="N64" s="9">
        <f t="shared" si="2"/>
        <v>370</v>
      </c>
      <c r="O64" s="9">
        <f t="shared" si="3"/>
        <v>1850</v>
      </c>
      <c r="P64" s="9">
        <f t="shared" si="4"/>
        <v>2220</v>
      </c>
    </row>
    <row r="65">
      <c r="A65" s="10" t="s">
        <v>16</v>
      </c>
      <c r="B65" s="10">
        <v>4320.0</v>
      </c>
      <c r="C65" s="10" t="s">
        <v>17</v>
      </c>
      <c r="D65" s="106" t="s">
        <v>431</v>
      </c>
      <c r="E65" s="13"/>
      <c r="F65" s="70" t="s">
        <v>378</v>
      </c>
      <c r="G65" s="13"/>
      <c r="H65" s="71">
        <v>36289.0</v>
      </c>
      <c r="I65" s="107">
        <v>45476.0</v>
      </c>
      <c r="J65" s="13"/>
      <c r="K65" s="7">
        <v>29.0</v>
      </c>
      <c r="L65" s="108">
        <v>45476.0</v>
      </c>
      <c r="M65" s="8">
        <v>45504.0</v>
      </c>
      <c r="N65" s="9">
        <f t="shared" si="2"/>
        <v>347</v>
      </c>
      <c r="O65" s="9">
        <f t="shared" si="3"/>
        <v>1735</v>
      </c>
      <c r="P65" s="9">
        <f t="shared" si="4"/>
        <v>2082</v>
      </c>
    </row>
    <row r="66">
      <c r="A66" s="10" t="s">
        <v>16</v>
      </c>
      <c r="B66" s="10">
        <v>4320.0</v>
      </c>
      <c r="C66" s="10" t="s">
        <v>17</v>
      </c>
      <c r="D66" s="11" t="s">
        <v>183</v>
      </c>
      <c r="E66" s="12" t="s">
        <v>184</v>
      </c>
      <c r="F66" s="11" t="s">
        <v>185</v>
      </c>
      <c r="G66" s="13"/>
      <c r="H66" s="12">
        <v>36979.0</v>
      </c>
      <c r="I66" s="12">
        <v>44907.0</v>
      </c>
      <c r="J66" s="13"/>
      <c r="K66" s="7">
        <f t="shared" ref="K66:K70" si="11">MAX(0, MIN(M66, J66) - MAX(L66, I66) + 1)</f>
        <v>31</v>
      </c>
      <c r="L66" s="8">
        <v>45474.0</v>
      </c>
      <c r="M66" s="8">
        <v>45504.0</v>
      </c>
      <c r="N66" s="9">
        <f t="shared" si="2"/>
        <v>370</v>
      </c>
      <c r="O66" s="9">
        <f t="shared" si="3"/>
        <v>1850</v>
      </c>
      <c r="P66" s="9">
        <f t="shared" si="4"/>
        <v>2220</v>
      </c>
    </row>
    <row r="67">
      <c r="A67" s="10" t="s">
        <v>16</v>
      </c>
      <c r="B67" s="10">
        <v>4320.0</v>
      </c>
      <c r="C67" s="10" t="s">
        <v>17</v>
      </c>
      <c r="D67" s="11" t="s">
        <v>189</v>
      </c>
      <c r="E67" s="12" t="s">
        <v>190</v>
      </c>
      <c r="F67" s="11" t="s">
        <v>191</v>
      </c>
      <c r="G67" s="13"/>
      <c r="H67" s="12">
        <v>36421.0</v>
      </c>
      <c r="I67" s="12">
        <v>45208.0</v>
      </c>
      <c r="J67" s="13"/>
      <c r="K67" s="7">
        <f t="shared" si="11"/>
        <v>31</v>
      </c>
      <c r="L67" s="8">
        <v>45474.0</v>
      </c>
      <c r="M67" s="8">
        <v>45504.0</v>
      </c>
      <c r="N67" s="9">
        <f t="shared" si="2"/>
        <v>370</v>
      </c>
      <c r="O67" s="9">
        <f t="shared" si="3"/>
        <v>1850</v>
      </c>
      <c r="P67" s="9">
        <f t="shared" si="4"/>
        <v>2220</v>
      </c>
    </row>
    <row r="68">
      <c r="A68" s="11" t="s">
        <v>16</v>
      </c>
      <c r="B68" s="11">
        <v>4320.0</v>
      </c>
      <c r="C68" s="11" t="s">
        <v>17</v>
      </c>
      <c r="D68" s="10" t="s">
        <v>258</v>
      </c>
      <c r="E68" s="14" t="s">
        <v>259</v>
      </c>
      <c r="F68" s="10" t="s">
        <v>260</v>
      </c>
      <c r="G68" s="15"/>
      <c r="H68" s="14">
        <v>35447.0</v>
      </c>
      <c r="I68" s="14">
        <v>45273.0</v>
      </c>
      <c r="J68" s="15"/>
      <c r="K68" s="7">
        <f t="shared" si="11"/>
        <v>31</v>
      </c>
      <c r="L68" s="8">
        <v>45474.0</v>
      </c>
      <c r="M68" s="8">
        <v>45504.0</v>
      </c>
      <c r="N68" s="9">
        <f t="shared" si="2"/>
        <v>370</v>
      </c>
      <c r="O68" s="9">
        <f t="shared" si="3"/>
        <v>1850</v>
      </c>
      <c r="P68" s="9">
        <f t="shared" si="4"/>
        <v>2220</v>
      </c>
    </row>
    <row r="69">
      <c r="A69" s="10" t="s">
        <v>16</v>
      </c>
      <c r="B69" s="10">
        <v>4320.0</v>
      </c>
      <c r="C69" s="10" t="s">
        <v>17</v>
      </c>
      <c r="D69" s="11" t="s">
        <v>201</v>
      </c>
      <c r="E69" s="12" t="s">
        <v>202</v>
      </c>
      <c r="F69" s="11" t="s">
        <v>203</v>
      </c>
      <c r="G69" s="13"/>
      <c r="H69" s="12">
        <v>36574.0</v>
      </c>
      <c r="I69" s="12">
        <v>45187.0</v>
      </c>
      <c r="J69" s="13"/>
      <c r="K69" s="7">
        <f t="shared" si="11"/>
        <v>31</v>
      </c>
      <c r="L69" s="8">
        <v>45474.0</v>
      </c>
      <c r="M69" s="8">
        <v>45504.0</v>
      </c>
      <c r="N69" s="9">
        <f t="shared" si="2"/>
        <v>370</v>
      </c>
      <c r="O69" s="9">
        <f t="shared" si="3"/>
        <v>1850</v>
      </c>
      <c r="P69" s="9">
        <f t="shared" si="4"/>
        <v>2220</v>
      </c>
    </row>
    <row r="70">
      <c r="A70" s="11" t="s">
        <v>16</v>
      </c>
      <c r="B70" s="11">
        <v>4320.0</v>
      </c>
      <c r="C70" s="11" t="s">
        <v>17</v>
      </c>
      <c r="D70" s="4" t="s">
        <v>301</v>
      </c>
      <c r="E70" s="14" t="s">
        <v>302</v>
      </c>
      <c r="F70" s="4" t="s">
        <v>303</v>
      </c>
      <c r="G70" s="15"/>
      <c r="H70" s="5">
        <v>36991.0</v>
      </c>
      <c r="I70" s="5">
        <v>45205.0</v>
      </c>
      <c r="J70" s="15"/>
      <c r="K70" s="7">
        <f t="shared" si="11"/>
        <v>31</v>
      </c>
      <c r="L70" s="8">
        <v>45474.0</v>
      </c>
      <c r="M70" s="8">
        <v>45504.0</v>
      </c>
      <c r="N70" s="9">
        <f t="shared" si="2"/>
        <v>370</v>
      </c>
      <c r="O70" s="9">
        <f t="shared" si="3"/>
        <v>1850</v>
      </c>
      <c r="P70" s="9">
        <f t="shared" si="4"/>
        <v>2220</v>
      </c>
    </row>
    <row r="71">
      <c r="A71" s="10" t="s">
        <v>16</v>
      </c>
      <c r="B71" s="10">
        <v>4320.0</v>
      </c>
      <c r="C71" s="10" t="s">
        <v>17</v>
      </c>
      <c r="D71" s="109" t="s">
        <v>432</v>
      </c>
      <c r="E71" s="13"/>
      <c r="F71" s="87" t="s">
        <v>433</v>
      </c>
      <c r="G71" s="13"/>
      <c r="H71" s="80">
        <v>34504.0</v>
      </c>
      <c r="I71" s="80">
        <v>45481.0</v>
      </c>
      <c r="J71" s="13"/>
      <c r="K71" s="7">
        <v>24.0</v>
      </c>
      <c r="L71" s="80">
        <v>45481.0</v>
      </c>
      <c r="M71" s="8">
        <v>45504.0</v>
      </c>
      <c r="N71" s="9">
        <f t="shared" si="2"/>
        <v>287</v>
      </c>
      <c r="O71" s="9">
        <f t="shared" si="3"/>
        <v>1435</v>
      </c>
      <c r="P71" s="9">
        <f t="shared" si="4"/>
        <v>1722</v>
      </c>
    </row>
    <row r="72">
      <c r="A72" s="10" t="s">
        <v>16</v>
      </c>
      <c r="B72" s="10">
        <v>4320.0</v>
      </c>
      <c r="C72" s="10" t="s">
        <v>17</v>
      </c>
      <c r="D72" s="109" t="s">
        <v>434</v>
      </c>
      <c r="E72" s="13"/>
      <c r="F72" s="66" t="s">
        <v>435</v>
      </c>
      <c r="G72" s="13"/>
      <c r="H72" s="110">
        <v>37446.0</v>
      </c>
      <c r="I72" s="80">
        <v>45495.0</v>
      </c>
      <c r="J72" s="13"/>
      <c r="K72" s="7">
        <v>10.0</v>
      </c>
      <c r="L72" s="80">
        <v>45495.0</v>
      </c>
      <c r="M72" s="8">
        <v>45504.0</v>
      </c>
      <c r="N72" s="9">
        <f t="shared" si="2"/>
        <v>120</v>
      </c>
      <c r="O72" s="9">
        <f t="shared" si="3"/>
        <v>600</v>
      </c>
      <c r="P72" s="9">
        <f t="shared" si="4"/>
        <v>720</v>
      </c>
    </row>
    <row r="73">
      <c r="A73" s="10" t="s">
        <v>16</v>
      </c>
      <c r="B73" s="10">
        <v>4320.0</v>
      </c>
      <c r="C73" s="10" t="s">
        <v>17</v>
      </c>
      <c r="D73" s="111" t="s">
        <v>401</v>
      </c>
      <c r="E73" s="14" t="s">
        <v>402</v>
      </c>
      <c r="F73" s="4" t="s">
        <v>403</v>
      </c>
      <c r="G73" s="15"/>
      <c r="H73" s="5">
        <v>36433.0</v>
      </c>
      <c r="I73" s="5">
        <v>45432.0</v>
      </c>
      <c r="J73" s="15"/>
      <c r="K73" s="7">
        <f>MAX(0, MIN(M73, J73) - MAX(L73, I73) + 1)</f>
        <v>31</v>
      </c>
      <c r="L73" s="8">
        <v>45474.0</v>
      </c>
      <c r="M73" s="8">
        <v>45504.0</v>
      </c>
      <c r="N73" s="9">
        <f t="shared" si="2"/>
        <v>370</v>
      </c>
      <c r="O73" s="9">
        <f t="shared" si="3"/>
        <v>1850</v>
      </c>
      <c r="P73" s="9">
        <f t="shared" si="4"/>
        <v>2220</v>
      </c>
    </row>
    <row r="74">
      <c r="A74" s="10" t="s">
        <v>16</v>
      </c>
      <c r="B74" s="10">
        <v>4320.0</v>
      </c>
      <c r="C74" s="10" t="s">
        <v>17</v>
      </c>
      <c r="D74" s="66" t="s">
        <v>423</v>
      </c>
      <c r="E74" s="13"/>
      <c r="F74" s="87" t="s">
        <v>424</v>
      </c>
      <c r="G74" s="13"/>
      <c r="H74" s="80">
        <v>37818.0</v>
      </c>
      <c r="I74" s="80">
        <v>45467.0</v>
      </c>
      <c r="J74" s="13"/>
      <c r="K74" s="7">
        <v>31.0</v>
      </c>
      <c r="L74" s="8">
        <v>45474.0</v>
      </c>
      <c r="M74" s="8">
        <v>45504.0</v>
      </c>
      <c r="N74" s="9">
        <f t="shared" si="2"/>
        <v>370</v>
      </c>
      <c r="O74" s="9">
        <f t="shared" si="3"/>
        <v>1850</v>
      </c>
      <c r="P74" s="9">
        <f t="shared" si="4"/>
        <v>2220</v>
      </c>
    </row>
    <row r="75">
      <c r="A75" s="10" t="s">
        <v>16</v>
      </c>
      <c r="B75" s="10">
        <v>4320.0</v>
      </c>
      <c r="C75" s="10" t="s">
        <v>17</v>
      </c>
      <c r="D75" s="84" t="s">
        <v>304</v>
      </c>
      <c r="E75" s="12" t="s">
        <v>305</v>
      </c>
      <c r="F75" s="84" t="s">
        <v>306</v>
      </c>
      <c r="G75" s="13"/>
      <c r="H75" s="85">
        <v>35697.0</v>
      </c>
      <c r="I75" s="85">
        <v>45348.0</v>
      </c>
      <c r="J75" s="13"/>
      <c r="K75" s="7">
        <f t="shared" ref="K75:K76" si="12">MAX(0, MIN(M75, J75) - MAX(L75, I75) + 1)</f>
        <v>31</v>
      </c>
      <c r="L75" s="8">
        <v>45474.0</v>
      </c>
      <c r="M75" s="8">
        <v>45504.0</v>
      </c>
      <c r="N75" s="9">
        <f t="shared" si="2"/>
        <v>370</v>
      </c>
      <c r="O75" s="9">
        <f t="shared" si="3"/>
        <v>1850</v>
      </c>
      <c r="P75" s="9">
        <f t="shared" si="4"/>
        <v>2220</v>
      </c>
    </row>
    <row r="76">
      <c r="A76" s="11" t="s">
        <v>16</v>
      </c>
      <c r="B76" s="11">
        <v>4320.0</v>
      </c>
      <c r="C76" s="11" t="s">
        <v>17</v>
      </c>
      <c r="D76" s="4" t="s">
        <v>213</v>
      </c>
      <c r="E76" s="14" t="s">
        <v>214</v>
      </c>
      <c r="F76" s="4" t="s">
        <v>215</v>
      </c>
      <c r="G76" s="15"/>
      <c r="H76" s="5">
        <v>36797.0</v>
      </c>
      <c r="I76" s="86">
        <v>44886.0</v>
      </c>
      <c r="J76" s="38"/>
      <c r="K76" s="7">
        <f t="shared" si="12"/>
        <v>31</v>
      </c>
      <c r="L76" s="8">
        <v>45474.0</v>
      </c>
      <c r="M76" s="8">
        <v>45504.0</v>
      </c>
      <c r="N76" s="9">
        <f t="shared" si="2"/>
        <v>370</v>
      </c>
      <c r="O76" s="9">
        <f t="shared" si="3"/>
        <v>1850</v>
      </c>
      <c r="P76" s="9">
        <f t="shared" si="4"/>
        <v>2220</v>
      </c>
    </row>
    <row r="77">
      <c r="A77" s="10" t="s">
        <v>16</v>
      </c>
      <c r="B77" s="10">
        <v>4320.0</v>
      </c>
      <c r="C77" s="10" t="s">
        <v>17</v>
      </c>
      <c r="D77" s="66" t="s">
        <v>425</v>
      </c>
      <c r="E77" s="13"/>
      <c r="F77" s="87" t="s">
        <v>426</v>
      </c>
      <c r="G77" s="13"/>
      <c r="H77" s="80">
        <v>36530.0</v>
      </c>
      <c r="I77" s="80">
        <v>45446.0</v>
      </c>
      <c r="J77" s="13"/>
      <c r="K77" s="7">
        <v>31.0</v>
      </c>
      <c r="L77" s="8">
        <v>45474.0</v>
      </c>
      <c r="M77" s="8">
        <v>45504.0</v>
      </c>
      <c r="N77" s="9">
        <f t="shared" si="2"/>
        <v>370</v>
      </c>
      <c r="O77" s="9">
        <f t="shared" si="3"/>
        <v>1850</v>
      </c>
      <c r="P77" s="9">
        <f t="shared" si="4"/>
        <v>2220</v>
      </c>
    </row>
    <row r="78">
      <c r="A78" s="11" t="s">
        <v>16</v>
      </c>
      <c r="B78" s="11">
        <v>4320.0</v>
      </c>
      <c r="C78" s="11" t="s">
        <v>17</v>
      </c>
      <c r="D78" s="4" t="s">
        <v>216</v>
      </c>
      <c r="E78" s="14" t="s">
        <v>217</v>
      </c>
      <c r="F78" s="4" t="s">
        <v>218</v>
      </c>
      <c r="G78" s="15"/>
      <c r="H78" s="5">
        <v>33769.0</v>
      </c>
      <c r="I78" s="5">
        <v>44816.0</v>
      </c>
      <c r="J78" s="15"/>
      <c r="K78" s="7">
        <f t="shared" ref="K78:K79" si="13">MAX(0, MIN(M78, J78) - MAX(L78, I78) + 1)</f>
        <v>31</v>
      </c>
      <c r="L78" s="8">
        <v>45474.0</v>
      </c>
      <c r="M78" s="8">
        <v>45504.0</v>
      </c>
      <c r="N78" s="9">
        <f t="shared" si="2"/>
        <v>370</v>
      </c>
      <c r="O78" s="9">
        <f t="shared" si="3"/>
        <v>1850</v>
      </c>
      <c r="P78" s="9">
        <f t="shared" si="4"/>
        <v>2220</v>
      </c>
    </row>
    <row r="79">
      <c r="A79" s="11" t="s">
        <v>16</v>
      </c>
      <c r="B79" s="11">
        <v>4320.0</v>
      </c>
      <c r="C79" s="11" t="s">
        <v>17</v>
      </c>
      <c r="D79" s="88" t="s">
        <v>404</v>
      </c>
      <c r="E79" s="14" t="s">
        <v>405</v>
      </c>
      <c r="F79" s="4" t="s">
        <v>406</v>
      </c>
      <c r="G79" s="15"/>
      <c r="H79" s="5">
        <v>35973.0</v>
      </c>
      <c r="I79" s="5">
        <v>45414.0</v>
      </c>
      <c r="J79" s="15"/>
      <c r="K79" s="7">
        <f t="shared" si="13"/>
        <v>31</v>
      </c>
      <c r="L79" s="8">
        <v>45474.0</v>
      </c>
      <c r="M79" s="8">
        <v>45504.0</v>
      </c>
      <c r="N79" s="9">
        <f t="shared" si="2"/>
        <v>370</v>
      </c>
      <c r="O79" s="9">
        <f t="shared" si="3"/>
        <v>1850</v>
      </c>
      <c r="P79" s="9">
        <f t="shared" si="4"/>
        <v>2220</v>
      </c>
    </row>
    <row r="80">
      <c r="A80" s="10" t="s">
        <v>16</v>
      </c>
      <c r="B80" s="10">
        <v>4320.0</v>
      </c>
      <c r="C80" s="10" t="s">
        <v>17</v>
      </c>
      <c r="D80" s="66" t="s">
        <v>427</v>
      </c>
      <c r="E80" s="13"/>
      <c r="F80" s="87" t="s">
        <v>428</v>
      </c>
      <c r="G80" s="13"/>
      <c r="H80" s="80">
        <v>36451.0</v>
      </c>
      <c r="I80" s="80">
        <v>45453.0</v>
      </c>
      <c r="J80" s="13"/>
      <c r="K80" s="7">
        <v>31.0</v>
      </c>
      <c r="L80" s="8">
        <v>45474.0</v>
      </c>
      <c r="M80" s="8">
        <v>45504.0</v>
      </c>
      <c r="N80" s="9">
        <f t="shared" si="2"/>
        <v>370</v>
      </c>
      <c r="O80" s="9">
        <f t="shared" si="3"/>
        <v>1850</v>
      </c>
      <c r="P80" s="9">
        <f t="shared" si="4"/>
        <v>2220</v>
      </c>
    </row>
    <row r="81">
      <c r="A81" s="10" t="s">
        <v>16</v>
      </c>
      <c r="B81" s="10">
        <v>4320.0</v>
      </c>
      <c r="C81" s="10" t="s">
        <v>17</v>
      </c>
      <c r="D81" s="84" t="s">
        <v>222</v>
      </c>
      <c r="E81" s="12" t="s">
        <v>223</v>
      </c>
      <c r="F81" s="84" t="s">
        <v>224</v>
      </c>
      <c r="G81" s="13"/>
      <c r="H81" s="85">
        <v>35818.0</v>
      </c>
      <c r="I81" s="85">
        <v>45089.0</v>
      </c>
      <c r="J81" s="13"/>
      <c r="K81" s="7">
        <f t="shared" ref="K81:K84" si="14">MAX(0, MIN(M81, J81) - MAX(L81, I81) + 1)</f>
        <v>31</v>
      </c>
      <c r="L81" s="8">
        <v>45474.0</v>
      </c>
      <c r="M81" s="8">
        <v>45504.0</v>
      </c>
      <c r="N81" s="9">
        <f t="shared" si="2"/>
        <v>370</v>
      </c>
      <c r="O81" s="9">
        <f t="shared" si="3"/>
        <v>1850</v>
      </c>
      <c r="P81" s="9">
        <f t="shared" si="4"/>
        <v>2220</v>
      </c>
    </row>
    <row r="82">
      <c r="A82" s="11" t="s">
        <v>16</v>
      </c>
      <c r="B82" s="11">
        <v>4320.0</v>
      </c>
      <c r="C82" s="11" t="s">
        <v>17</v>
      </c>
      <c r="D82" s="4" t="s">
        <v>225</v>
      </c>
      <c r="E82" s="14" t="s">
        <v>226</v>
      </c>
      <c r="F82" s="4" t="s">
        <v>227</v>
      </c>
      <c r="G82" s="15"/>
      <c r="H82" s="5">
        <v>36177.0</v>
      </c>
      <c r="I82" s="5">
        <v>45320.0</v>
      </c>
      <c r="J82" s="15"/>
      <c r="K82" s="7">
        <f t="shared" si="14"/>
        <v>31</v>
      </c>
      <c r="L82" s="8">
        <v>45474.0</v>
      </c>
      <c r="M82" s="8">
        <v>45504.0</v>
      </c>
      <c r="N82" s="9">
        <f t="shared" si="2"/>
        <v>370</v>
      </c>
      <c r="O82" s="9">
        <f t="shared" si="3"/>
        <v>1850</v>
      </c>
      <c r="P82" s="9">
        <f t="shared" si="4"/>
        <v>2220</v>
      </c>
    </row>
    <row r="83">
      <c r="A83" s="10" t="s">
        <v>16</v>
      </c>
      <c r="B83" s="10">
        <v>4320.0</v>
      </c>
      <c r="C83" s="10" t="s">
        <v>17</v>
      </c>
      <c r="D83" s="84" t="s">
        <v>307</v>
      </c>
      <c r="E83" s="12" t="s">
        <v>308</v>
      </c>
      <c r="F83" s="84" t="s">
        <v>309</v>
      </c>
      <c r="G83" s="13"/>
      <c r="H83" s="85">
        <v>36522.0</v>
      </c>
      <c r="I83" s="85">
        <v>45328.0</v>
      </c>
      <c r="J83" s="13"/>
      <c r="K83" s="7">
        <f t="shared" si="14"/>
        <v>31</v>
      </c>
      <c r="L83" s="8">
        <v>45474.0</v>
      </c>
      <c r="M83" s="8">
        <v>45504.0</v>
      </c>
      <c r="N83" s="9">
        <f t="shared" si="2"/>
        <v>370</v>
      </c>
      <c r="O83" s="9">
        <f t="shared" si="3"/>
        <v>1850</v>
      </c>
      <c r="P83" s="9">
        <f t="shared" si="4"/>
        <v>2220</v>
      </c>
    </row>
    <row r="84">
      <c r="A84" s="11" t="s">
        <v>16</v>
      </c>
      <c r="B84" s="11">
        <v>4320.0</v>
      </c>
      <c r="C84" s="11" t="s">
        <v>17</v>
      </c>
      <c r="D84" s="4" t="s">
        <v>228</v>
      </c>
      <c r="E84" s="14" t="s">
        <v>229</v>
      </c>
      <c r="F84" s="4" t="s">
        <v>230</v>
      </c>
      <c r="G84" s="15"/>
      <c r="H84" s="5">
        <v>35743.0</v>
      </c>
      <c r="I84" s="5">
        <v>45222.0</v>
      </c>
      <c r="J84" s="15"/>
      <c r="K84" s="7">
        <f t="shared" si="14"/>
        <v>31</v>
      </c>
      <c r="L84" s="8">
        <v>45474.0</v>
      </c>
      <c r="M84" s="8">
        <v>45504.0</v>
      </c>
      <c r="N84" s="9">
        <f t="shared" si="2"/>
        <v>370</v>
      </c>
      <c r="O84" s="9">
        <f t="shared" si="3"/>
        <v>1850</v>
      </c>
      <c r="P84" s="9">
        <f t="shared" si="4"/>
        <v>2220</v>
      </c>
    </row>
    <row r="85">
      <c r="P85" s="40">
        <f>SUM(P2:P84)</f>
        <v>177126</v>
      </c>
    </row>
    <row r="93">
      <c r="D93" s="112" t="s">
        <v>261</v>
      </c>
      <c r="E93" s="113">
        <v>320.0</v>
      </c>
      <c r="F93" s="113">
        <f t="shared" ref="F93:F175" si="15">E93/10.322</f>
        <v>31.00174385</v>
      </c>
    </row>
    <row r="94">
      <c r="D94" s="112" t="s">
        <v>436</v>
      </c>
      <c r="E94" s="51">
        <v>320.0</v>
      </c>
      <c r="F94" s="113">
        <f t="shared" si="15"/>
        <v>31.00174385</v>
      </c>
    </row>
    <row r="95">
      <c r="D95" s="112" t="s">
        <v>437</v>
      </c>
      <c r="E95" s="52">
        <v>320.0</v>
      </c>
      <c r="F95" s="113">
        <f t="shared" si="15"/>
        <v>31.00174385</v>
      </c>
    </row>
    <row r="96">
      <c r="D96" s="112" t="s">
        <v>24</v>
      </c>
      <c r="E96" s="51">
        <v>320.0</v>
      </c>
      <c r="F96" s="113">
        <f t="shared" si="15"/>
        <v>31.00174385</v>
      </c>
    </row>
    <row r="97">
      <c r="D97" s="112" t="s">
        <v>408</v>
      </c>
      <c r="E97" s="51">
        <v>320.0</v>
      </c>
      <c r="F97" s="113">
        <f t="shared" si="15"/>
        <v>31.00174385</v>
      </c>
    </row>
    <row r="98">
      <c r="D98" s="112" t="s">
        <v>30</v>
      </c>
      <c r="E98" s="52">
        <v>320.0</v>
      </c>
      <c r="F98" s="113">
        <f t="shared" si="15"/>
        <v>31.00174385</v>
      </c>
    </row>
    <row r="99">
      <c r="D99" s="112" t="s">
        <v>246</v>
      </c>
      <c r="E99" s="51">
        <v>320.0</v>
      </c>
      <c r="F99" s="113">
        <f t="shared" si="15"/>
        <v>31.00174385</v>
      </c>
    </row>
    <row r="100">
      <c r="D100" s="114" t="s">
        <v>380</v>
      </c>
      <c r="E100" s="52">
        <v>82.58064516129032</v>
      </c>
      <c r="F100" s="113">
        <f t="shared" si="15"/>
        <v>8.000450025</v>
      </c>
    </row>
    <row r="101">
      <c r="D101" s="115" t="s">
        <v>316</v>
      </c>
      <c r="E101" s="51">
        <v>320.0</v>
      </c>
      <c r="F101" s="113">
        <f t="shared" si="15"/>
        <v>31.00174385</v>
      </c>
    </row>
    <row r="102">
      <c r="D102" s="116" t="s">
        <v>264</v>
      </c>
      <c r="E102" s="51">
        <v>320.0</v>
      </c>
      <c r="F102" s="113">
        <f t="shared" si="15"/>
        <v>31.00174385</v>
      </c>
    </row>
    <row r="103">
      <c r="D103" s="117" t="s">
        <v>319</v>
      </c>
      <c r="E103" s="51">
        <v>320.0</v>
      </c>
      <c r="F103" s="113">
        <f t="shared" si="15"/>
        <v>31.00174385</v>
      </c>
    </row>
    <row r="104">
      <c r="D104" s="118" t="s">
        <v>411</v>
      </c>
      <c r="E104" s="51">
        <v>320.0</v>
      </c>
      <c r="F104" s="113">
        <f t="shared" si="15"/>
        <v>31.00174385</v>
      </c>
    </row>
    <row r="105">
      <c r="D105" s="115" t="s">
        <v>282</v>
      </c>
      <c r="E105" s="51">
        <v>320.0</v>
      </c>
      <c r="F105" s="113">
        <f t="shared" si="15"/>
        <v>31.00174385</v>
      </c>
    </row>
    <row r="106">
      <c r="D106" s="112" t="s">
        <v>45</v>
      </c>
      <c r="E106" s="51">
        <v>320.0</v>
      </c>
      <c r="F106" s="113">
        <f t="shared" si="15"/>
        <v>31.00174385</v>
      </c>
    </row>
    <row r="107">
      <c r="D107" s="112" t="s">
        <v>48</v>
      </c>
      <c r="E107" s="51">
        <v>320.0</v>
      </c>
      <c r="F107" s="113">
        <f t="shared" si="15"/>
        <v>31.00174385</v>
      </c>
    </row>
    <row r="108">
      <c r="D108" s="112" t="s">
        <v>383</v>
      </c>
      <c r="E108" s="55">
        <v>320.0</v>
      </c>
      <c r="F108" s="113">
        <f t="shared" si="15"/>
        <v>31.00174385</v>
      </c>
    </row>
    <row r="109">
      <c r="D109" s="114" t="s">
        <v>386</v>
      </c>
      <c r="E109" s="52">
        <v>103.2258064516129</v>
      </c>
      <c r="F109" s="113">
        <f t="shared" si="15"/>
        <v>10.00056253</v>
      </c>
    </row>
    <row r="110">
      <c r="D110" s="112" t="s">
        <v>325</v>
      </c>
      <c r="E110" s="51">
        <v>320.0</v>
      </c>
      <c r="F110" s="113">
        <f t="shared" si="15"/>
        <v>31.00174385</v>
      </c>
    </row>
    <row r="111">
      <c r="D111" s="112" t="s">
        <v>285</v>
      </c>
      <c r="E111" s="51">
        <v>320.0</v>
      </c>
      <c r="F111" s="113">
        <f t="shared" si="15"/>
        <v>31.00174385</v>
      </c>
    </row>
    <row r="112">
      <c r="D112" s="112" t="s">
        <v>288</v>
      </c>
      <c r="E112" s="51">
        <v>320.0</v>
      </c>
      <c r="F112" s="113">
        <f t="shared" si="15"/>
        <v>31.00174385</v>
      </c>
    </row>
    <row r="113">
      <c r="D113" s="112" t="s">
        <v>51</v>
      </c>
      <c r="E113" s="51">
        <v>320.0</v>
      </c>
      <c r="F113" s="113">
        <f t="shared" si="15"/>
        <v>31.00174385</v>
      </c>
    </row>
    <row r="114">
      <c r="D114" s="119" t="s">
        <v>249</v>
      </c>
      <c r="E114" s="51">
        <v>320.0</v>
      </c>
      <c r="F114" s="113">
        <f t="shared" si="15"/>
        <v>31.00174385</v>
      </c>
    </row>
    <row r="115">
      <c r="D115" s="119" t="s">
        <v>57</v>
      </c>
      <c r="E115" s="51">
        <v>320.0</v>
      </c>
      <c r="F115" s="113">
        <f t="shared" si="15"/>
        <v>31.00174385</v>
      </c>
    </row>
    <row r="116">
      <c r="D116" s="119" t="s">
        <v>291</v>
      </c>
      <c r="E116" s="55">
        <v>320.0</v>
      </c>
      <c r="F116" s="113">
        <f t="shared" si="15"/>
        <v>31.00174385</v>
      </c>
    </row>
    <row r="117">
      <c r="D117" s="114" t="s">
        <v>367</v>
      </c>
      <c r="E117" s="51">
        <v>123.87096774193549</v>
      </c>
      <c r="F117" s="113">
        <f t="shared" si="15"/>
        <v>12.00067504</v>
      </c>
    </row>
    <row r="118">
      <c r="D118" s="112" t="s">
        <v>60</v>
      </c>
      <c r="E118" s="51">
        <v>320.0</v>
      </c>
      <c r="F118" s="113">
        <f t="shared" si="15"/>
        <v>31.00174385</v>
      </c>
    </row>
    <row r="119">
      <c r="D119" s="115" t="s">
        <v>63</v>
      </c>
      <c r="E119" s="51">
        <v>320.0</v>
      </c>
      <c r="F119" s="113">
        <f t="shared" si="15"/>
        <v>31.00174385</v>
      </c>
    </row>
    <row r="120">
      <c r="D120" s="112" t="s">
        <v>389</v>
      </c>
      <c r="E120" s="51">
        <v>320.0</v>
      </c>
      <c r="F120" s="113">
        <f t="shared" si="15"/>
        <v>31.00174385</v>
      </c>
    </row>
    <row r="121">
      <c r="D121" s="112" t="s">
        <v>66</v>
      </c>
      <c r="E121" s="51">
        <v>320.0</v>
      </c>
      <c r="F121" s="113">
        <f t="shared" si="15"/>
        <v>31.00174385</v>
      </c>
    </row>
    <row r="122">
      <c r="D122" s="112" t="s">
        <v>267</v>
      </c>
      <c r="E122" s="51">
        <v>320.0</v>
      </c>
      <c r="F122" s="113">
        <f t="shared" si="15"/>
        <v>31.00174385</v>
      </c>
    </row>
    <row r="123">
      <c r="D123" s="115" t="s">
        <v>69</v>
      </c>
      <c r="E123" s="52">
        <v>320.0</v>
      </c>
      <c r="F123" s="113">
        <f t="shared" si="15"/>
        <v>31.00174385</v>
      </c>
    </row>
    <row r="124">
      <c r="D124" s="112" t="s">
        <v>78</v>
      </c>
      <c r="E124" s="51">
        <v>320.0</v>
      </c>
      <c r="F124" s="113">
        <f t="shared" si="15"/>
        <v>31.00174385</v>
      </c>
    </row>
    <row r="125">
      <c r="D125" s="112" t="s">
        <v>331</v>
      </c>
      <c r="E125" s="51">
        <v>320.0</v>
      </c>
      <c r="F125" s="113">
        <f t="shared" si="15"/>
        <v>31.00174385</v>
      </c>
    </row>
    <row r="126">
      <c r="D126" s="112" t="s">
        <v>392</v>
      </c>
      <c r="E126" s="51">
        <v>320.0</v>
      </c>
      <c r="F126" s="113">
        <f t="shared" si="15"/>
        <v>31.00174385</v>
      </c>
    </row>
    <row r="127">
      <c r="D127" s="112" t="s">
        <v>414</v>
      </c>
      <c r="E127" s="51">
        <v>320.0</v>
      </c>
      <c r="F127" s="113">
        <f t="shared" si="15"/>
        <v>31.00174385</v>
      </c>
    </row>
    <row r="128">
      <c r="D128" s="115" t="s">
        <v>87</v>
      </c>
      <c r="E128" s="52">
        <v>320.0</v>
      </c>
      <c r="F128" s="113">
        <f t="shared" si="15"/>
        <v>31.00174385</v>
      </c>
    </row>
    <row r="129">
      <c r="D129" s="112" t="s">
        <v>334</v>
      </c>
      <c r="E129" s="52">
        <v>320.0</v>
      </c>
      <c r="F129" s="113">
        <f t="shared" si="15"/>
        <v>31.00174385</v>
      </c>
    </row>
    <row r="130">
      <c r="D130" s="115" t="s">
        <v>337</v>
      </c>
      <c r="E130" s="51">
        <v>320.0</v>
      </c>
      <c r="F130" s="113">
        <f t="shared" si="15"/>
        <v>31.00174385</v>
      </c>
    </row>
    <row r="131">
      <c r="D131" s="117" t="s">
        <v>96</v>
      </c>
      <c r="E131" s="51">
        <v>320.0</v>
      </c>
      <c r="F131" s="113">
        <f t="shared" si="15"/>
        <v>31.00174385</v>
      </c>
    </row>
    <row r="132">
      <c r="D132" s="112" t="s">
        <v>99</v>
      </c>
      <c r="E132" s="51">
        <v>320.0</v>
      </c>
      <c r="F132" s="113">
        <f t="shared" si="15"/>
        <v>31.00174385</v>
      </c>
    </row>
    <row r="133">
      <c r="D133" s="112" t="s">
        <v>102</v>
      </c>
      <c r="E133" s="51">
        <v>320.0</v>
      </c>
      <c r="F133" s="113">
        <f t="shared" si="15"/>
        <v>31.00174385</v>
      </c>
    </row>
    <row r="134">
      <c r="D134" s="112" t="s">
        <v>255</v>
      </c>
      <c r="E134" s="52">
        <v>320.0</v>
      </c>
      <c r="F134" s="113">
        <f t="shared" si="15"/>
        <v>31.00174385</v>
      </c>
    </row>
    <row r="135">
      <c r="D135" s="112" t="s">
        <v>438</v>
      </c>
      <c r="E135" s="51">
        <v>320.0</v>
      </c>
      <c r="F135" s="113">
        <f t="shared" si="15"/>
        <v>31.00174385</v>
      </c>
    </row>
    <row r="136">
      <c r="D136" s="112" t="s">
        <v>108</v>
      </c>
      <c r="E136" s="51">
        <v>320.0</v>
      </c>
      <c r="F136" s="113">
        <f t="shared" si="15"/>
        <v>31.00174385</v>
      </c>
    </row>
    <row r="137">
      <c r="D137" s="112" t="s">
        <v>395</v>
      </c>
      <c r="E137" s="51">
        <v>320.0</v>
      </c>
      <c r="F137" s="113">
        <f t="shared" si="15"/>
        <v>31.00174385</v>
      </c>
    </row>
    <row r="138">
      <c r="D138" s="112" t="s">
        <v>370</v>
      </c>
      <c r="E138" s="52">
        <v>320.0</v>
      </c>
      <c r="F138" s="113">
        <f t="shared" si="15"/>
        <v>31.00174385</v>
      </c>
    </row>
    <row r="139">
      <c r="D139" s="112" t="s">
        <v>439</v>
      </c>
      <c r="E139" s="51">
        <v>320.0</v>
      </c>
      <c r="F139" s="113">
        <f t="shared" si="15"/>
        <v>31.00174385</v>
      </c>
    </row>
    <row r="140">
      <c r="D140" s="112" t="s">
        <v>343</v>
      </c>
      <c r="E140" s="51">
        <v>320.0</v>
      </c>
      <c r="F140" s="113">
        <f t="shared" si="15"/>
        <v>31.00174385</v>
      </c>
    </row>
    <row r="141">
      <c r="D141" s="120" t="s">
        <v>429</v>
      </c>
      <c r="E141" s="51">
        <v>247.74193548387098</v>
      </c>
      <c r="F141" s="113">
        <f t="shared" si="15"/>
        <v>24.00135008</v>
      </c>
    </row>
    <row r="142">
      <c r="D142" s="112" t="s">
        <v>416</v>
      </c>
      <c r="E142" s="51">
        <v>320.0</v>
      </c>
      <c r="F142" s="113">
        <f t="shared" si="15"/>
        <v>31.00174385</v>
      </c>
    </row>
    <row r="143">
      <c r="D143" s="112" t="s">
        <v>132</v>
      </c>
      <c r="E143" s="52">
        <v>320.0</v>
      </c>
      <c r="F143" s="113">
        <f t="shared" si="15"/>
        <v>31.00174385</v>
      </c>
    </row>
    <row r="144">
      <c r="D144" s="121" t="s">
        <v>346</v>
      </c>
      <c r="E144" s="51">
        <v>320.0</v>
      </c>
      <c r="F144" s="113">
        <f t="shared" si="15"/>
        <v>31.00174385</v>
      </c>
    </row>
    <row r="145">
      <c r="D145" s="112" t="s">
        <v>440</v>
      </c>
      <c r="E145" s="51">
        <v>320.0</v>
      </c>
      <c r="F145" s="113">
        <f t="shared" si="15"/>
        <v>31.00174385</v>
      </c>
    </row>
    <row r="146">
      <c r="D146" s="112" t="s">
        <v>349</v>
      </c>
      <c r="E146" s="51">
        <v>320.0</v>
      </c>
      <c r="F146" s="113">
        <f t="shared" si="15"/>
        <v>31.00174385</v>
      </c>
    </row>
    <row r="147">
      <c r="D147" s="112" t="s">
        <v>441</v>
      </c>
      <c r="E147" s="51">
        <v>320.0</v>
      </c>
      <c r="F147" s="113">
        <f t="shared" si="15"/>
        <v>31.00174385</v>
      </c>
    </row>
    <row r="148">
      <c r="D148" s="112" t="s">
        <v>352</v>
      </c>
      <c r="E148" s="52">
        <v>320.0</v>
      </c>
      <c r="F148" s="113">
        <f t="shared" si="15"/>
        <v>31.00174385</v>
      </c>
    </row>
    <row r="149">
      <c r="D149" s="112" t="s">
        <v>419</v>
      </c>
      <c r="E149" s="51">
        <v>320.0</v>
      </c>
      <c r="F149" s="113">
        <f t="shared" si="15"/>
        <v>31.00174385</v>
      </c>
    </row>
    <row r="150">
      <c r="D150" s="112" t="s">
        <v>398</v>
      </c>
      <c r="E150" s="51">
        <v>320.0</v>
      </c>
      <c r="F150" s="113">
        <f t="shared" si="15"/>
        <v>31.00174385</v>
      </c>
    </row>
    <row r="151">
      <c r="D151" s="112" t="s">
        <v>153</v>
      </c>
      <c r="E151" s="51">
        <v>320.0</v>
      </c>
      <c r="F151" s="113">
        <f t="shared" si="15"/>
        <v>31.00174385</v>
      </c>
    </row>
    <row r="152">
      <c r="D152" s="112" t="s">
        <v>273</v>
      </c>
      <c r="E152" s="51">
        <v>320.0</v>
      </c>
      <c r="F152" s="113">
        <f t="shared" si="15"/>
        <v>31.00174385</v>
      </c>
    </row>
    <row r="153">
      <c r="D153" s="112" t="s">
        <v>421</v>
      </c>
      <c r="E153" s="51">
        <v>320.0</v>
      </c>
      <c r="F153" s="113">
        <f t="shared" si="15"/>
        <v>31.00174385</v>
      </c>
    </row>
    <row r="154">
      <c r="D154" s="118" t="s">
        <v>162</v>
      </c>
      <c r="E154" s="52">
        <v>320.0</v>
      </c>
      <c r="F154" s="113">
        <f t="shared" si="15"/>
        <v>31.00174385</v>
      </c>
    </row>
    <row r="155">
      <c r="D155" s="118" t="s">
        <v>355</v>
      </c>
      <c r="E155" s="52">
        <v>320.0</v>
      </c>
      <c r="F155" s="113">
        <f t="shared" si="15"/>
        <v>31.00174385</v>
      </c>
    </row>
    <row r="156">
      <c r="D156" s="122" t="s">
        <v>431</v>
      </c>
      <c r="E156" s="51">
        <v>299.35483870967744</v>
      </c>
      <c r="F156" s="113">
        <f t="shared" si="15"/>
        <v>29.00163134</v>
      </c>
    </row>
    <row r="157">
      <c r="D157" s="118" t="s">
        <v>183</v>
      </c>
      <c r="E157" s="51">
        <v>320.0</v>
      </c>
      <c r="F157" s="113">
        <f t="shared" si="15"/>
        <v>31.00174385</v>
      </c>
    </row>
    <row r="158">
      <c r="D158" s="118" t="s">
        <v>189</v>
      </c>
      <c r="E158" s="51">
        <v>320.0</v>
      </c>
      <c r="F158" s="113">
        <f t="shared" si="15"/>
        <v>31.00174385</v>
      </c>
    </row>
    <row r="159">
      <c r="D159" s="118" t="s">
        <v>258</v>
      </c>
      <c r="E159" s="52">
        <v>320.0</v>
      </c>
      <c r="F159" s="113">
        <f t="shared" si="15"/>
        <v>31.00174385</v>
      </c>
    </row>
    <row r="160">
      <c r="D160" s="118" t="s">
        <v>201</v>
      </c>
      <c r="E160" s="51">
        <v>320.0</v>
      </c>
      <c r="F160" s="113">
        <f t="shared" si="15"/>
        <v>31.00174385</v>
      </c>
    </row>
    <row r="161">
      <c r="D161" s="118" t="s">
        <v>301</v>
      </c>
      <c r="E161" s="51">
        <v>320.0</v>
      </c>
      <c r="F161" s="113">
        <f t="shared" si="15"/>
        <v>31.00174385</v>
      </c>
    </row>
    <row r="162">
      <c r="D162" s="122" t="s">
        <v>432</v>
      </c>
      <c r="E162" s="51">
        <v>247.74193548387098</v>
      </c>
      <c r="F162" s="113">
        <f t="shared" si="15"/>
        <v>24.00135008</v>
      </c>
    </row>
    <row r="163">
      <c r="D163" s="120" t="s">
        <v>434</v>
      </c>
      <c r="E163" s="51">
        <v>103.2258064516129</v>
      </c>
      <c r="F163" s="113">
        <f t="shared" si="15"/>
        <v>10.00056253</v>
      </c>
    </row>
    <row r="164">
      <c r="D164" s="112" t="s">
        <v>401</v>
      </c>
      <c r="E164" s="51">
        <v>320.0</v>
      </c>
      <c r="F164" s="113">
        <f t="shared" si="15"/>
        <v>31.00174385</v>
      </c>
    </row>
    <row r="165">
      <c r="D165" s="112" t="s">
        <v>423</v>
      </c>
      <c r="E165" s="51">
        <v>320.0</v>
      </c>
      <c r="F165" s="113">
        <f t="shared" si="15"/>
        <v>31.00174385</v>
      </c>
    </row>
    <row r="166">
      <c r="D166" s="112" t="s">
        <v>304</v>
      </c>
      <c r="E166" s="51">
        <v>320.0</v>
      </c>
      <c r="F166" s="113">
        <f t="shared" si="15"/>
        <v>31.00174385</v>
      </c>
    </row>
    <row r="167">
      <c r="D167" s="112" t="s">
        <v>213</v>
      </c>
      <c r="E167" s="52">
        <v>320.0</v>
      </c>
      <c r="F167" s="113">
        <f t="shared" si="15"/>
        <v>31.00174385</v>
      </c>
    </row>
    <row r="168">
      <c r="D168" s="112" t="s">
        <v>425</v>
      </c>
      <c r="E168" s="51">
        <v>320.0</v>
      </c>
      <c r="F168" s="113">
        <f t="shared" si="15"/>
        <v>31.00174385</v>
      </c>
    </row>
    <row r="169">
      <c r="D169" s="112" t="s">
        <v>442</v>
      </c>
      <c r="E169" s="51">
        <v>320.0</v>
      </c>
      <c r="F169" s="113">
        <f t="shared" si="15"/>
        <v>31.00174385</v>
      </c>
    </row>
    <row r="170">
      <c r="D170" s="112" t="s">
        <v>404</v>
      </c>
      <c r="E170" s="51">
        <v>320.0</v>
      </c>
      <c r="F170" s="113">
        <f t="shared" si="15"/>
        <v>31.00174385</v>
      </c>
    </row>
    <row r="171">
      <c r="D171" s="112" t="s">
        <v>427</v>
      </c>
      <c r="E171" s="113">
        <v>320.0</v>
      </c>
      <c r="F171" s="113">
        <f t="shared" si="15"/>
        <v>31.00174385</v>
      </c>
    </row>
    <row r="172">
      <c r="D172" s="112" t="s">
        <v>222</v>
      </c>
      <c r="E172" s="49">
        <v>320.0</v>
      </c>
      <c r="F172" s="113">
        <f t="shared" si="15"/>
        <v>31.00174385</v>
      </c>
    </row>
    <row r="173">
      <c r="D173" s="112" t="s">
        <v>225</v>
      </c>
      <c r="E173" s="49">
        <v>320.0</v>
      </c>
      <c r="F173" s="113">
        <f t="shared" si="15"/>
        <v>31.00174385</v>
      </c>
    </row>
    <row r="174">
      <c r="D174" s="112" t="s">
        <v>307</v>
      </c>
      <c r="E174" s="49">
        <v>320.0</v>
      </c>
      <c r="F174" s="113">
        <f t="shared" si="15"/>
        <v>31.00174385</v>
      </c>
    </row>
    <row r="175">
      <c r="D175" s="112" t="s">
        <v>228</v>
      </c>
      <c r="E175" s="49">
        <v>320.0</v>
      </c>
      <c r="F175" s="113">
        <f t="shared" si="15"/>
        <v>31.00174385</v>
      </c>
    </row>
    <row r="176">
      <c r="D176" s="51"/>
      <c r="E176" s="49"/>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5"/>
    <col hidden="1" min="5" max="5" width="12.63"/>
    <col customWidth="1" min="7" max="7" width="18.38"/>
    <col customWidth="1" min="8" max="8" width="6.75"/>
    <col customWidth="1" min="11" max="11" width="12.25"/>
  </cols>
  <sheetData>
    <row r="1">
      <c r="A1" s="123" t="s">
        <v>0</v>
      </c>
      <c r="B1" s="123" t="s">
        <v>1</v>
      </c>
      <c r="C1" s="123" t="s">
        <v>2</v>
      </c>
      <c r="D1" s="123" t="s">
        <v>3</v>
      </c>
      <c r="E1" s="123" t="s">
        <v>443</v>
      </c>
      <c r="F1" s="123" t="s">
        <v>4</v>
      </c>
      <c r="G1" s="124" t="s">
        <v>5</v>
      </c>
      <c r="H1" s="123" t="s">
        <v>6</v>
      </c>
      <c r="I1" s="123" t="s">
        <v>7</v>
      </c>
      <c r="J1" s="124" t="s">
        <v>8</v>
      </c>
      <c r="K1" s="124" t="s">
        <v>9</v>
      </c>
      <c r="L1" s="124" t="s">
        <v>10</v>
      </c>
      <c r="M1" s="124" t="s">
        <v>11</v>
      </c>
      <c r="N1" s="124" t="s">
        <v>12</v>
      </c>
      <c r="O1" s="124" t="s">
        <v>379</v>
      </c>
      <c r="P1" s="124" t="s">
        <v>14</v>
      </c>
      <c r="Q1" s="124" t="s">
        <v>15</v>
      </c>
    </row>
    <row r="2">
      <c r="A2" s="125" t="s">
        <v>16</v>
      </c>
      <c r="B2" s="126">
        <v>4320.0</v>
      </c>
      <c r="C2" s="125" t="s">
        <v>17</v>
      </c>
      <c r="D2" s="127" t="s">
        <v>261</v>
      </c>
      <c r="E2" s="128" t="s">
        <v>261</v>
      </c>
      <c r="F2" s="129" t="s">
        <v>262</v>
      </c>
      <c r="G2" s="130" t="s">
        <v>263</v>
      </c>
      <c r="H2" s="131"/>
      <c r="I2" s="132">
        <v>36617.0</v>
      </c>
      <c r="J2" s="132">
        <v>45299.0</v>
      </c>
      <c r="K2" s="131"/>
      <c r="L2" s="133">
        <v>31.0</v>
      </c>
      <c r="M2" s="134">
        <v>45505.0</v>
      </c>
      <c r="N2" s="134">
        <v>45535.0</v>
      </c>
      <c r="O2" s="135">
        <f t="shared" ref="O2:O89" si="1">ROUNDUP(L2/31*370,0)</f>
        <v>370</v>
      </c>
      <c r="P2" s="136">
        <f t="shared" ref="P2:P89" si="2">O2*5</f>
        <v>1850</v>
      </c>
      <c r="Q2" s="136">
        <f t="shared" ref="Q2:Q89" si="3">O2+P2</f>
        <v>2220</v>
      </c>
    </row>
    <row r="3">
      <c r="A3" s="125" t="s">
        <v>16</v>
      </c>
      <c r="B3" s="126">
        <v>4320.0</v>
      </c>
      <c r="C3" s="125" t="s">
        <v>17</v>
      </c>
      <c r="D3" s="137" t="s">
        <v>361</v>
      </c>
      <c r="E3" s="128" t="s">
        <v>436</v>
      </c>
      <c r="F3" s="129" t="s">
        <v>362</v>
      </c>
      <c r="G3" s="138" t="s">
        <v>363</v>
      </c>
      <c r="H3" s="131"/>
      <c r="I3" s="132">
        <v>37149.0</v>
      </c>
      <c r="J3" s="132">
        <v>45397.0</v>
      </c>
      <c r="K3" s="131"/>
      <c r="L3" s="133">
        <v>31.0</v>
      </c>
      <c r="M3" s="134">
        <v>45505.0</v>
      </c>
      <c r="N3" s="134">
        <v>45535.0</v>
      </c>
      <c r="O3" s="135">
        <f t="shared" si="1"/>
        <v>370</v>
      </c>
      <c r="P3" s="136">
        <f t="shared" si="2"/>
        <v>1850</v>
      </c>
      <c r="Q3" s="136">
        <f t="shared" si="3"/>
        <v>2220</v>
      </c>
    </row>
    <row r="4">
      <c r="A4" s="127" t="s">
        <v>16</v>
      </c>
      <c r="B4" s="129">
        <v>4320.0</v>
      </c>
      <c r="C4" s="127" t="s">
        <v>17</v>
      </c>
      <c r="D4" s="125" t="s">
        <v>437</v>
      </c>
      <c r="E4" s="128" t="s">
        <v>437</v>
      </c>
      <c r="F4" s="126" t="s">
        <v>22</v>
      </c>
      <c r="G4" s="139" t="s">
        <v>23</v>
      </c>
      <c r="H4" s="140"/>
      <c r="I4" s="141">
        <v>36358.0</v>
      </c>
      <c r="J4" s="141">
        <v>45027.0</v>
      </c>
      <c r="K4" s="140"/>
      <c r="L4" s="133">
        <v>31.0</v>
      </c>
      <c r="M4" s="134">
        <v>45505.0</v>
      </c>
      <c r="N4" s="134">
        <v>45535.0</v>
      </c>
      <c r="O4" s="135">
        <f t="shared" si="1"/>
        <v>370</v>
      </c>
      <c r="P4" s="136">
        <f t="shared" si="2"/>
        <v>1850</v>
      </c>
      <c r="Q4" s="136">
        <f t="shared" si="3"/>
        <v>2220</v>
      </c>
    </row>
    <row r="5">
      <c r="A5" s="125" t="s">
        <v>16</v>
      </c>
      <c r="B5" s="126">
        <v>4320.0</v>
      </c>
      <c r="C5" s="125" t="s">
        <v>17</v>
      </c>
      <c r="D5" s="127" t="s">
        <v>24</v>
      </c>
      <c r="E5" s="128" t="s">
        <v>24</v>
      </c>
      <c r="F5" s="129" t="s">
        <v>25</v>
      </c>
      <c r="G5" s="130" t="s">
        <v>26</v>
      </c>
      <c r="H5" s="131"/>
      <c r="I5" s="132">
        <v>36860.0</v>
      </c>
      <c r="J5" s="132">
        <v>45124.0</v>
      </c>
      <c r="K5" s="142">
        <v>45527.0</v>
      </c>
      <c r="L5" s="133">
        <v>23.0</v>
      </c>
      <c r="M5" s="134">
        <v>45505.0</v>
      </c>
      <c r="N5" s="134">
        <v>45535.0</v>
      </c>
      <c r="O5" s="135">
        <f t="shared" si="1"/>
        <v>275</v>
      </c>
      <c r="P5" s="136">
        <f t="shared" si="2"/>
        <v>1375</v>
      </c>
      <c r="Q5" s="136">
        <f t="shared" si="3"/>
        <v>1650</v>
      </c>
    </row>
    <row r="6">
      <c r="A6" s="127" t="s">
        <v>16</v>
      </c>
      <c r="B6" s="129">
        <v>4320.0</v>
      </c>
      <c r="C6" s="127" t="s">
        <v>17</v>
      </c>
      <c r="D6" s="143" t="s">
        <v>408</v>
      </c>
      <c r="E6" s="128" t="s">
        <v>408</v>
      </c>
      <c r="F6" s="144" t="s">
        <v>409</v>
      </c>
      <c r="G6" s="145" t="s">
        <v>410</v>
      </c>
      <c r="H6" s="140"/>
      <c r="I6" s="146">
        <v>37978.0</v>
      </c>
      <c r="J6" s="146">
        <v>45453.0</v>
      </c>
      <c r="K6" s="140"/>
      <c r="L6" s="133">
        <v>31.0</v>
      </c>
      <c r="M6" s="134">
        <v>45505.0</v>
      </c>
      <c r="N6" s="134">
        <v>45535.0</v>
      </c>
      <c r="O6" s="135">
        <f t="shared" si="1"/>
        <v>370</v>
      </c>
      <c r="P6" s="136">
        <f t="shared" si="2"/>
        <v>1850</v>
      </c>
      <c r="Q6" s="136">
        <f t="shared" si="3"/>
        <v>2220</v>
      </c>
    </row>
    <row r="7">
      <c r="A7" s="127" t="s">
        <v>16</v>
      </c>
      <c r="B7" s="129">
        <v>4320.0</v>
      </c>
      <c r="C7" s="127" t="s">
        <v>17</v>
      </c>
      <c r="D7" s="125" t="s">
        <v>30</v>
      </c>
      <c r="E7" s="128" t="s">
        <v>30</v>
      </c>
      <c r="F7" s="126" t="s">
        <v>31</v>
      </c>
      <c r="G7" s="139" t="s">
        <v>32</v>
      </c>
      <c r="H7" s="140"/>
      <c r="I7" s="141">
        <v>35997.0</v>
      </c>
      <c r="J7" s="147">
        <v>45061.0</v>
      </c>
      <c r="K7" s="140"/>
      <c r="L7" s="133">
        <v>31.0</v>
      </c>
      <c r="M7" s="134">
        <v>45505.0</v>
      </c>
      <c r="N7" s="134">
        <v>45535.0</v>
      </c>
      <c r="O7" s="135">
        <f t="shared" si="1"/>
        <v>370</v>
      </c>
      <c r="P7" s="136">
        <f t="shared" si="2"/>
        <v>1850</v>
      </c>
      <c r="Q7" s="136">
        <f t="shared" si="3"/>
        <v>2220</v>
      </c>
    </row>
    <row r="8">
      <c r="A8" s="127" t="s">
        <v>16</v>
      </c>
      <c r="B8" s="129">
        <v>4320.0</v>
      </c>
      <c r="C8" s="127" t="s">
        <v>17</v>
      </c>
      <c r="D8" s="125" t="s">
        <v>246</v>
      </c>
      <c r="E8" s="128" t="s">
        <v>246</v>
      </c>
      <c r="F8" s="126" t="s">
        <v>247</v>
      </c>
      <c r="G8" s="139" t="s">
        <v>248</v>
      </c>
      <c r="H8" s="140"/>
      <c r="I8" s="141">
        <v>36353.0</v>
      </c>
      <c r="J8" s="141">
        <v>45278.0</v>
      </c>
      <c r="K8" s="140"/>
      <c r="L8" s="133">
        <v>31.0</v>
      </c>
      <c r="M8" s="134">
        <v>45505.0</v>
      </c>
      <c r="N8" s="134">
        <v>45535.0</v>
      </c>
      <c r="O8" s="135">
        <f t="shared" si="1"/>
        <v>370</v>
      </c>
      <c r="P8" s="136">
        <f t="shared" si="2"/>
        <v>1850</v>
      </c>
      <c r="Q8" s="136">
        <f t="shared" si="3"/>
        <v>2220</v>
      </c>
    </row>
    <row r="9">
      <c r="A9" s="125" t="s">
        <v>16</v>
      </c>
      <c r="B9" s="126">
        <v>4320.0</v>
      </c>
      <c r="C9" s="125" t="s">
        <v>17</v>
      </c>
      <c r="D9" s="127" t="s">
        <v>316</v>
      </c>
      <c r="E9" s="128" t="s">
        <v>316</v>
      </c>
      <c r="F9" s="129" t="s">
        <v>317</v>
      </c>
      <c r="G9" s="130" t="s">
        <v>318</v>
      </c>
      <c r="H9" s="131"/>
      <c r="I9" s="132">
        <v>37274.0</v>
      </c>
      <c r="J9" s="132">
        <v>45362.0</v>
      </c>
      <c r="K9" s="131"/>
      <c r="L9" s="133">
        <v>31.0</v>
      </c>
      <c r="M9" s="134">
        <v>45505.0</v>
      </c>
      <c r="N9" s="134">
        <v>45535.0</v>
      </c>
      <c r="O9" s="135">
        <f t="shared" si="1"/>
        <v>370</v>
      </c>
      <c r="P9" s="136">
        <f t="shared" si="2"/>
        <v>1850</v>
      </c>
      <c r="Q9" s="136">
        <f t="shared" si="3"/>
        <v>2220</v>
      </c>
    </row>
    <row r="10">
      <c r="A10" s="125" t="s">
        <v>16</v>
      </c>
      <c r="B10" s="126">
        <v>4320.0</v>
      </c>
      <c r="C10" s="125" t="s">
        <v>17</v>
      </c>
      <c r="D10" s="127" t="s">
        <v>264</v>
      </c>
      <c r="E10" s="128" t="s">
        <v>264</v>
      </c>
      <c r="F10" s="129" t="s">
        <v>265</v>
      </c>
      <c r="G10" s="130" t="s">
        <v>266</v>
      </c>
      <c r="H10" s="131"/>
      <c r="I10" s="148">
        <v>37398.0</v>
      </c>
      <c r="J10" s="132">
        <v>45096.0</v>
      </c>
      <c r="K10" s="131"/>
      <c r="L10" s="133">
        <v>31.0</v>
      </c>
      <c r="M10" s="134">
        <v>45505.0</v>
      </c>
      <c r="N10" s="134">
        <v>45535.0</v>
      </c>
      <c r="O10" s="135">
        <f t="shared" si="1"/>
        <v>370</v>
      </c>
      <c r="P10" s="136">
        <f t="shared" si="2"/>
        <v>1850</v>
      </c>
      <c r="Q10" s="136">
        <f t="shared" si="3"/>
        <v>2220</v>
      </c>
    </row>
    <row r="11">
      <c r="A11" s="125" t="s">
        <v>16</v>
      </c>
      <c r="B11" s="126">
        <v>4320.0</v>
      </c>
      <c r="C11" s="125" t="s">
        <v>17</v>
      </c>
      <c r="D11" s="127" t="s">
        <v>319</v>
      </c>
      <c r="E11" s="128" t="s">
        <v>444</v>
      </c>
      <c r="F11" s="129" t="s">
        <v>320</v>
      </c>
      <c r="G11" s="130" t="s">
        <v>321</v>
      </c>
      <c r="H11" s="131"/>
      <c r="I11" s="132">
        <v>36360.0</v>
      </c>
      <c r="J11" s="132">
        <v>45355.0</v>
      </c>
      <c r="K11" s="131"/>
      <c r="L11" s="133">
        <v>31.0</v>
      </c>
      <c r="M11" s="134">
        <v>45505.0</v>
      </c>
      <c r="N11" s="134">
        <v>45535.0</v>
      </c>
      <c r="O11" s="135">
        <f t="shared" si="1"/>
        <v>370</v>
      </c>
      <c r="P11" s="136">
        <f t="shared" si="2"/>
        <v>1850</v>
      </c>
      <c r="Q11" s="136">
        <f t="shared" si="3"/>
        <v>2220</v>
      </c>
    </row>
    <row r="12">
      <c r="A12" s="127" t="s">
        <v>16</v>
      </c>
      <c r="B12" s="129">
        <v>4320.0</v>
      </c>
      <c r="C12" s="127" t="s">
        <v>17</v>
      </c>
      <c r="D12" s="143" t="s">
        <v>411</v>
      </c>
      <c r="E12" s="128" t="s">
        <v>411</v>
      </c>
      <c r="F12" s="144" t="s">
        <v>412</v>
      </c>
      <c r="G12" s="145" t="s">
        <v>413</v>
      </c>
      <c r="H12" s="140"/>
      <c r="I12" s="146">
        <v>33230.0</v>
      </c>
      <c r="J12" s="146">
        <v>45453.0</v>
      </c>
      <c r="K12" s="140"/>
      <c r="L12" s="133">
        <v>31.0</v>
      </c>
      <c r="M12" s="134">
        <v>45505.0</v>
      </c>
      <c r="N12" s="134">
        <v>45535.0</v>
      </c>
      <c r="O12" s="135">
        <f t="shared" si="1"/>
        <v>370</v>
      </c>
      <c r="P12" s="136">
        <f t="shared" si="2"/>
        <v>1850</v>
      </c>
      <c r="Q12" s="136">
        <f t="shared" si="3"/>
        <v>2220</v>
      </c>
    </row>
    <row r="13">
      <c r="A13" s="125" t="s">
        <v>16</v>
      </c>
      <c r="B13" s="126">
        <v>4320.0</v>
      </c>
      <c r="C13" s="125" t="s">
        <v>17</v>
      </c>
      <c r="D13" s="127" t="s">
        <v>282</v>
      </c>
      <c r="E13" s="128" t="s">
        <v>282</v>
      </c>
      <c r="F13" s="129" t="s">
        <v>283</v>
      </c>
      <c r="G13" s="130" t="s">
        <v>284</v>
      </c>
      <c r="H13" s="131"/>
      <c r="I13" s="132">
        <v>35047.0</v>
      </c>
      <c r="J13" s="132">
        <v>45257.0</v>
      </c>
      <c r="K13" s="131"/>
      <c r="L13" s="133">
        <v>31.0</v>
      </c>
      <c r="M13" s="134">
        <v>45505.0</v>
      </c>
      <c r="N13" s="134">
        <v>45535.0</v>
      </c>
      <c r="O13" s="135">
        <f t="shared" si="1"/>
        <v>370</v>
      </c>
      <c r="P13" s="136">
        <f t="shared" si="2"/>
        <v>1850</v>
      </c>
      <c r="Q13" s="136">
        <f t="shared" si="3"/>
        <v>2220</v>
      </c>
    </row>
    <row r="14">
      <c r="A14" s="127" t="s">
        <v>16</v>
      </c>
      <c r="B14" s="129">
        <v>4320.0</v>
      </c>
      <c r="C14" s="127" t="s">
        <v>17</v>
      </c>
      <c r="D14" s="125" t="s">
        <v>45</v>
      </c>
      <c r="E14" s="128" t="s">
        <v>45</v>
      </c>
      <c r="F14" s="126" t="s">
        <v>46</v>
      </c>
      <c r="G14" s="139" t="s">
        <v>47</v>
      </c>
      <c r="H14" s="140"/>
      <c r="I14" s="141">
        <v>37370.0</v>
      </c>
      <c r="J14" s="141">
        <v>44739.0</v>
      </c>
      <c r="K14" s="140"/>
      <c r="L14" s="133">
        <v>31.0</v>
      </c>
      <c r="M14" s="134">
        <v>45505.0</v>
      </c>
      <c r="N14" s="134">
        <v>45535.0</v>
      </c>
      <c r="O14" s="135">
        <f t="shared" si="1"/>
        <v>370</v>
      </c>
      <c r="P14" s="136">
        <f t="shared" si="2"/>
        <v>1850</v>
      </c>
      <c r="Q14" s="136">
        <f t="shared" si="3"/>
        <v>2220</v>
      </c>
    </row>
    <row r="15">
      <c r="A15" s="127" t="s">
        <v>16</v>
      </c>
      <c r="B15" s="129">
        <v>4320.0</v>
      </c>
      <c r="C15" s="127" t="s">
        <v>17</v>
      </c>
      <c r="D15" s="125" t="s">
        <v>48</v>
      </c>
      <c r="E15" s="128" t="s">
        <v>48</v>
      </c>
      <c r="F15" s="126" t="s">
        <v>49</v>
      </c>
      <c r="G15" s="139" t="s">
        <v>50</v>
      </c>
      <c r="H15" s="140"/>
      <c r="I15" s="141">
        <v>36399.0</v>
      </c>
      <c r="J15" s="141">
        <v>45229.0</v>
      </c>
      <c r="K15" s="140"/>
      <c r="L15" s="133">
        <v>31.0</v>
      </c>
      <c r="M15" s="134">
        <v>45505.0</v>
      </c>
      <c r="N15" s="134">
        <v>45535.0</v>
      </c>
      <c r="O15" s="135">
        <f t="shared" si="1"/>
        <v>370</v>
      </c>
      <c r="P15" s="136">
        <f t="shared" si="2"/>
        <v>1850</v>
      </c>
      <c r="Q15" s="136">
        <f t="shared" si="3"/>
        <v>2220</v>
      </c>
    </row>
    <row r="16">
      <c r="A16" s="125" t="s">
        <v>16</v>
      </c>
      <c r="B16" s="126">
        <v>4320.0</v>
      </c>
      <c r="C16" s="125" t="s">
        <v>17</v>
      </c>
      <c r="D16" s="125" t="s">
        <v>383</v>
      </c>
      <c r="E16" s="128" t="s">
        <v>383</v>
      </c>
      <c r="F16" s="126" t="s">
        <v>384</v>
      </c>
      <c r="G16" s="139" t="s">
        <v>385</v>
      </c>
      <c r="H16" s="140"/>
      <c r="I16" s="141">
        <v>36183.0</v>
      </c>
      <c r="J16" s="147">
        <v>45418.0</v>
      </c>
      <c r="K16" s="140"/>
      <c r="L16" s="133">
        <v>31.0</v>
      </c>
      <c r="M16" s="134">
        <v>45505.0</v>
      </c>
      <c r="N16" s="134">
        <v>45535.0</v>
      </c>
      <c r="O16" s="135">
        <f t="shared" si="1"/>
        <v>370</v>
      </c>
      <c r="P16" s="136">
        <f t="shared" si="2"/>
        <v>1850</v>
      </c>
      <c r="Q16" s="136">
        <f t="shared" si="3"/>
        <v>2220</v>
      </c>
    </row>
    <row r="17">
      <c r="A17" s="127" t="s">
        <v>16</v>
      </c>
      <c r="B17" s="129">
        <v>4320.0</v>
      </c>
      <c r="C17" s="127" t="s">
        <v>17</v>
      </c>
      <c r="D17" s="125" t="s">
        <v>325</v>
      </c>
      <c r="E17" s="128" t="s">
        <v>325</v>
      </c>
      <c r="F17" s="126" t="s">
        <v>326</v>
      </c>
      <c r="G17" s="139" t="s">
        <v>327</v>
      </c>
      <c r="H17" s="140"/>
      <c r="I17" s="141">
        <v>36962.0</v>
      </c>
      <c r="J17" s="141">
        <v>45376.0</v>
      </c>
      <c r="K17" s="140"/>
      <c r="L17" s="133">
        <v>31.0</v>
      </c>
      <c r="M17" s="134">
        <v>45505.0</v>
      </c>
      <c r="N17" s="134">
        <v>45535.0</v>
      </c>
      <c r="O17" s="135">
        <f t="shared" si="1"/>
        <v>370</v>
      </c>
      <c r="P17" s="136">
        <f t="shared" si="2"/>
        <v>1850</v>
      </c>
      <c r="Q17" s="136">
        <f t="shared" si="3"/>
        <v>2220</v>
      </c>
    </row>
    <row r="18">
      <c r="A18" s="125" t="s">
        <v>16</v>
      </c>
      <c r="B18" s="126">
        <v>4320.0</v>
      </c>
      <c r="C18" s="125" t="s">
        <v>17</v>
      </c>
      <c r="D18" s="127" t="s">
        <v>285</v>
      </c>
      <c r="E18" s="128" t="s">
        <v>285</v>
      </c>
      <c r="F18" s="129" t="s">
        <v>286</v>
      </c>
      <c r="G18" s="130" t="s">
        <v>287</v>
      </c>
      <c r="H18" s="131"/>
      <c r="I18" s="148">
        <v>37377.0</v>
      </c>
      <c r="J18" s="132">
        <v>45334.0</v>
      </c>
      <c r="K18" s="131"/>
      <c r="L18" s="133">
        <v>31.0</v>
      </c>
      <c r="M18" s="134">
        <v>45505.0</v>
      </c>
      <c r="N18" s="134">
        <v>45535.0</v>
      </c>
      <c r="O18" s="135">
        <f t="shared" si="1"/>
        <v>370</v>
      </c>
      <c r="P18" s="136">
        <f t="shared" si="2"/>
        <v>1850</v>
      </c>
      <c r="Q18" s="136">
        <f t="shared" si="3"/>
        <v>2220</v>
      </c>
    </row>
    <row r="19">
      <c r="A19" s="127" t="s">
        <v>16</v>
      </c>
      <c r="B19" s="129">
        <v>4320.0</v>
      </c>
      <c r="C19" s="127" t="s">
        <v>17</v>
      </c>
      <c r="D19" s="125" t="s">
        <v>288</v>
      </c>
      <c r="E19" s="128" t="s">
        <v>288</v>
      </c>
      <c r="F19" s="126" t="s">
        <v>289</v>
      </c>
      <c r="G19" s="139" t="s">
        <v>290</v>
      </c>
      <c r="H19" s="140"/>
      <c r="I19" s="141">
        <v>37047.0</v>
      </c>
      <c r="J19" s="141">
        <v>45257.0</v>
      </c>
      <c r="K19" s="140"/>
      <c r="L19" s="133">
        <v>31.0</v>
      </c>
      <c r="M19" s="134">
        <v>45505.0</v>
      </c>
      <c r="N19" s="134">
        <v>45535.0</v>
      </c>
      <c r="O19" s="135">
        <f t="shared" si="1"/>
        <v>370</v>
      </c>
      <c r="P19" s="136">
        <f t="shared" si="2"/>
        <v>1850</v>
      </c>
      <c r="Q19" s="136">
        <f t="shared" si="3"/>
        <v>2220</v>
      </c>
    </row>
    <row r="20">
      <c r="A20" s="125" t="s">
        <v>16</v>
      </c>
      <c r="B20" s="126">
        <v>4320.0</v>
      </c>
      <c r="C20" s="125" t="s">
        <v>17</v>
      </c>
      <c r="D20" s="127" t="s">
        <v>51</v>
      </c>
      <c r="E20" s="128" t="s">
        <v>51</v>
      </c>
      <c r="F20" s="129" t="s">
        <v>52</v>
      </c>
      <c r="G20" s="130" t="s">
        <v>53</v>
      </c>
      <c r="H20" s="131"/>
      <c r="I20" s="132">
        <v>34601.0</v>
      </c>
      <c r="J20" s="132">
        <v>44986.0</v>
      </c>
      <c r="K20" s="131"/>
      <c r="L20" s="133">
        <v>31.0</v>
      </c>
      <c r="M20" s="134">
        <v>45505.0</v>
      </c>
      <c r="N20" s="134">
        <v>45535.0</v>
      </c>
      <c r="O20" s="135">
        <f t="shared" si="1"/>
        <v>370</v>
      </c>
      <c r="P20" s="136">
        <f t="shared" si="2"/>
        <v>1850</v>
      </c>
      <c r="Q20" s="136">
        <f t="shared" si="3"/>
        <v>2220</v>
      </c>
    </row>
    <row r="21">
      <c r="A21" s="125" t="s">
        <v>16</v>
      </c>
      <c r="B21" s="126">
        <v>4320.0</v>
      </c>
      <c r="C21" s="125" t="s">
        <v>17</v>
      </c>
      <c r="D21" s="149" t="s">
        <v>445</v>
      </c>
      <c r="E21" s="150" t="s">
        <v>446</v>
      </c>
      <c r="F21" s="151"/>
      <c r="G21" s="130" t="s">
        <v>447</v>
      </c>
      <c r="H21" s="131"/>
      <c r="I21" s="132">
        <v>37047.0</v>
      </c>
      <c r="J21" s="132">
        <v>45505.0</v>
      </c>
      <c r="K21" s="131"/>
      <c r="L21" s="133">
        <v>31.0</v>
      </c>
      <c r="M21" s="134">
        <v>45505.0</v>
      </c>
      <c r="N21" s="134">
        <v>45535.0</v>
      </c>
      <c r="O21" s="135">
        <f t="shared" si="1"/>
        <v>370</v>
      </c>
      <c r="P21" s="136">
        <f t="shared" si="2"/>
        <v>1850</v>
      </c>
      <c r="Q21" s="136">
        <f t="shared" si="3"/>
        <v>2220</v>
      </c>
    </row>
    <row r="22">
      <c r="A22" s="125" t="s">
        <v>16</v>
      </c>
      <c r="B22" s="126">
        <v>4320.0</v>
      </c>
      <c r="C22" s="125" t="s">
        <v>17</v>
      </c>
      <c r="D22" s="149" t="s">
        <v>448</v>
      </c>
      <c r="E22" s="150" t="s">
        <v>449</v>
      </c>
      <c r="F22" s="151"/>
      <c r="G22" s="152" t="s">
        <v>450</v>
      </c>
      <c r="H22" s="131"/>
      <c r="I22" s="132">
        <v>36682.0</v>
      </c>
      <c r="J22" s="153">
        <v>45505.0</v>
      </c>
      <c r="K22" s="131"/>
      <c r="L22" s="133">
        <v>31.0</v>
      </c>
      <c r="M22" s="134">
        <v>45505.0</v>
      </c>
      <c r="N22" s="134">
        <v>45535.0</v>
      </c>
      <c r="O22" s="135">
        <f t="shared" si="1"/>
        <v>370</v>
      </c>
      <c r="P22" s="136">
        <f t="shared" si="2"/>
        <v>1850</v>
      </c>
      <c r="Q22" s="136">
        <f t="shared" si="3"/>
        <v>2220</v>
      </c>
    </row>
    <row r="23">
      <c r="A23" s="127" t="s">
        <v>16</v>
      </c>
      <c r="B23" s="129">
        <v>4320.0</v>
      </c>
      <c r="C23" s="127" t="s">
        <v>17</v>
      </c>
      <c r="D23" s="125" t="s">
        <v>249</v>
      </c>
      <c r="E23" s="128" t="s">
        <v>249</v>
      </c>
      <c r="F23" s="126" t="s">
        <v>250</v>
      </c>
      <c r="G23" s="139" t="s">
        <v>251</v>
      </c>
      <c r="H23" s="140"/>
      <c r="I23" s="141">
        <v>37322.0</v>
      </c>
      <c r="J23" s="141">
        <v>45096.0</v>
      </c>
      <c r="K23" s="154">
        <v>45523.0</v>
      </c>
      <c r="L23" s="133">
        <v>19.0</v>
      </c>
      <c r="M23" s="134">
        <v>45505.0</v>
      </c>
      <c r="N23" s="134">
        <v>45535.0</v>
      </c>
      <c r="O23" s="135">
        <f t="shared" si="1"/>
        <v>227</v>
      </c>
      <c r="P23" s="136">
        <f t="shared" si="2"/>
        <v>1135</v>
      </c>
      <c r="Q23" s="136">
        <f t="shared" si="3"/>
        <v>1362</v>
      </c>
    </row>
    <row r="24">
      <c r="A24" s="125" t="s">
        <v>16</v>
      </c>
      <c r="B24" s="126">
        <v>4320.0</v>
      </c>
      <c r="C24" s="125" t="s">
        <v>17</v>
      </c>
      <c r="D24" s="127" t="s">
        <v>57</v>
      </c>
      <c r="E24" s="128" t="s">
        <v>57</v>
      </c>
      <c r="F24" s="129" t="s">
        <v>58</v>
      </c>
      <c r="G24" s="130" t="s">
        <v>59</v>
      </c>
      <c r="H24" s="131"/>
      <c r="I24" s="132">
        <v>35704.0</v>
      </c>
      <c r="J24" s="132">
        <v>44760.0</v>
      </c>
      <c r="K24" s="131"/>
      <c r="L24" s="155">
        <v>31.0</v>
      </c>
      <c r="M24" s="134">
        <v>45505.0</v>
      </c>
      <c r="N24" s="134">
        <v>45535.0</v>
      </c>
      <c r="O24" s="135">
        <f t="shared" si="1"/>
        <v>370</v>
      </c>
      <c r="P24" s="136">
        <f t="shared" si="2"/>
        <v>1850</v>
      </c>
      <c r="Q24" s="136">
        <f t="shared" si="3"/>
        <v>2220</v>
      </c>
    </row>
    <row r="25">
      <c r="A25" s="125" t="s">
        <v>16</v>
      </c>
      <c r="B25" s="126">
        <v>4320.0</v>
      </c>
      <c r="C25" s="125" t="s">
        <v>17</v>
      </c>
      <c r="D25" s="127" t="s">
        <v>291</v>
      </c>
      <c r="E25" s="128" t="s">
        <v>291</v>
      </c>
      <c r="F25" s="129" t="s">
        <v>292</v>
      </c>
      <c r="G25" s="130" t="s">
        <v>293</v>
      </c>
      <c r="H25" s="131"/>
      <c r="I25" s="132">
        <v>37219.0</v>
      </c>
      <c r="J25" s="132">
        <v>45257.0</v>
      </c>
      <c r="K25" s="131"/>
      <c r="L25" s="133">
        <v>31.0</v>
      </c>
      <c r="M25" s="134">
        <v>45505.0</v>
      </c>
      <c r="N25" s="134">
        <v>45535.0</v>
      </c>
      <c r="O25" s="135">
        <f t="shared" si="1"/>
        <v>370</v>
      </c>
      <c r="P25" s="136">
        <f t="shared" si="2"/>
        <v>1850</v>
      </c>
      <c r="Q25" s="136">
        <f t="shared" si="3"/>
        <v>2220</v>
      </c>
    </row>
    <row r="26">
      <c r="A26" s="127" t="s">
        <v>16</v>
      </c>
      <c r="B26" s="129">
        <v>4320.0</v>
      </c>
      <c r="C26" s="127" t="s">
        <v>17</v>
      </c>
      <c r="D26" s="125" t="s">
        <v>60</v>
      </c>
      <c r="E26" s="128" t="s">
        <v>60</v>
      </c>
      <c r="F26" s="126" t="s">
        <v>61</v>
      </c>
      <c r="G26" s="139" t="s">
        <v>62</v>
      </c>
      <c r="H26" s="140"/>
      <c r="I26" s="141">
        <v>36246.0</v>
      </c>
      <c r="J26" s="141">
        <v>44851.0</v>
      </c>
      <c r="K26" s="140"/>
      <c r="L26" s="133">
        <v>31.0</v>
      </c>
      <c r="M26" s="134">
        <v>45505.0</v>
      </c>
      <c r="N26" s="134">
        <v>45535.0</v>
      </c>
      <c r="O26" s="135">
        <f t="shared" si="1"/>
        <v>370</v>
      </c>
      <c r="P26" s="136">
        <f t="shared" si="2"/>
        <v>1850</v>
      </c>
      <c r="Q26" s="136">
        <f t="shared" si="3"/>
        <v>2220</v>
      </c>
    </row>
    <row r="27">
      <c r="A27" s="125" t="s">
        <v>16</v>
      </c>
      <c r="B27" s="126">
        <v>4320.0</v>
      </c>
      <c r="C27" s="125" t="s">
        <v>17</v>
      </c>
      <c r="D27" s="127" t="s">
        <v>63</v>
      </c>
      <c r="E27" s="128" t="s">
        <v>63</v>
      </c>
      <c r="F27" s="129" t="s">
        <v>64</v>
      </c>
      <c r="G27" s="130" t="s">
        <v>65</v>
      </c>
      <c r="H27" s="131"/>
      <c r="I27" s="132">
        <v>35606.0</v>
      </c>
      <c r="J27" s="132">
        <v>44896.0</v>
      </c>
      <c r="K27" s="131"/>
      <c r="L27" s="133">
        <v>31.0</v>
      </c>
      <c r="M27" s="134">
        <v>45505.0</v>
      </c>
      <c r="N27" s="134">
        <v>45535.0</v>
      </c>
      <c r="O27" s="135">
        <f t="shared" si="1"/>
        <v>370</v>
      </c>
      <c r="P27" s="136">
        <f t="shared" si="2"/>
        <v>1850</v>
      </c>
      <c r="Q27" s="136">
        <f t="shared" si="3"/>
        <v>2220</v>
      </c>
    </row>
    <row r="28">
      <c r="A28" s="125" t="s">
        <v>16</v>
      </c>
      <c r="B28" s="126">
        <v>4320.0</v>
      </c>
      <c r="C28" s="125" t="s">
        <v>17</v>
      </c>
      <c r="D28" s="125" t="s">
        <v>389</v>
      </c>
      <c r="E28" s="128" t="s">
        <v>389</v>
      </c>
      <c r="F28" s="126" t="s">
        <v>390</v>
      </c>
      <c r="G28" s="139" t="s">
        <v>391</v>
      </c>
      <c r="H28" s="140"/>
      <c r="I28" s="141">
        <v>36111.0</v>
      </c>
      <c r="J28" s="147">
        <v>45418.0</v>
      </c>
      <c r="K28" s="140"/>
      <c r="L28" s="133">
        <v>31.0</v>
      </c>
      <c r="M28" s="134">
        <v>45505.0</v>
      </c>
      <c r="N28" s="134">
        <v>45535.0</v>
      </c>
      <c r="O28" s="135">
        <f t="shared" si="1"/>
        <v>370</v>
      </c>
      <c r="P28" s="136">
        <f t="shared" si="2"/>
        <v>1850</v>
      </c>
      <c r="Q28" s="136">
        <f t="shared" si="3"/>
        <v>2220</v>
      </c>
    </row>
    <row r="29">
      <c r="A29" s="127" t="s">
        <v>16</v>
      </c>
      <c r="B29" s="129">
        <v>4320.0</v>
      </c>
      <c r="C29" s="127" t="s">
        <v>17</v>
      </c>
      <c r="D29" s="125" t="s">
        <v>66</v>
      </c>
      <c r="E29" s="128" t="s">
        <v>66</v>
      </c>
      <c r="F29" s="126" t="s">
        <v>67</v>
      </c>
      <c r="G29" s="139" t="s">
        <v>68</v>
      </c>
      <c r="H29" s="140"/>
      <c r="I29" s="141">
        <v>34973.0</v>
      </c>
      <c r="J29" s="141">
        <v>44986.0</v>
      </c>
      <c r="K29" s="140"/>
      <c r="L29" s="133">
        <v>31.0</v>
      </c>
      <c r="M29" s="134">
        <v>45505.0</v>
      </c>
      <c r="N29" s="134">
        <v>45535.0</v>
      </c>
      <c r="O29" s="135">
        <f t="shared" si="1"/>
        <v>370</v>
      </c>
      <c r="P29" s="136">
        <f t="shared" si="2"/>
        <v>1850</v>
      </c>
      <c r="Q29" s="136">
        <f t="shared" si="3"/>
        <v>2220</v>
      </c>
    </row>
    <row r="30">
      <c r="A30" s="127" t="s">
        <v>16</v>
      </c>
      <c r="B30" s="129">
        <v>4320.0</v>
      </c>
      <c r="C30" s="127" t="s">
        <v>17</v>
      </c>
      <c r="D30" s="125" t="s">
        <v>267</v>
      </c>
      <c r="E30" s="128" t="s">
        <v>267</v>
      </c>
      <c r="F30" s="126" t="s">
        <v>268</v>
      </c>
      <c r="G30" s="139" t="s">
        <v>269</v>
      </c>
      <c r="H30" s="140"/>
      <c r="I30" s="141">
        <v>34590.0</v>
      </c>
      <c r="J30" s="141">
        <v>45313.0</v>
      </c>
      <c r="K30" s="140"/>
      <c r="L30" s="133">
        <v>31.0</v>
      </c>
      <c r="M30" s="134">
        <v>45505.0</v>
      </c>
      <c r="N30" s="134">
        <v>45535.0</v>
      </c>
      <c r="O30" s="135">
        <f t="shared" si="1"/>
        <v>370</v>
      </c>
      <c r="P30" s="136">
        <f t="shared" si="2"/>
        <v>1850</v>
      </c>
      <c r="Q30" s="136">
        <f t="shared" si="3"/>
        <v>2220</v>
      </c>
    </row>
    <row r="31">
      <c r="A31" s="125" t="s">
        <v>16</v>
      </c>
      <c r="B31" s="126">
        <v>4320.0</v>
      </c>
      <c r="C31" s="125" t="s">
        <v>17</v>
      </c>
      <c r="D31" s="127" t="s">
        <v>69</v>
      </c>
      <c r="E31" s="128" t="s">
        <v>69</v>
      </c>
      <c r="F31" s="129" t="s">
        <v>70</v>
      </c>
      <c r="G31" s="130" t="s">
        <v>71</v>
      </c>
      <c r="H31" s="131"/>
      <c r="I31" s="132">
        <v>36891.0</v>
      </c>
      <c r="J31" s="132">
        <v>44739.0</v>
      </c>
      <c r="K31" s="131"/>
      <c r="L31" s="133">
        <v>31.0</v>
      </c>
      <c r="M31" s="134">
        <v>45505.0</v>
      </c>
      <c r="N31" s="134">
        <v>45535.0</v>
      </c>
      <c r="O31" s="135">
        <f t="shared" si="1"/>
        <v>370</v>
      </c>
      <c r="P31" s="136">
        <f t="shared" si="2"/>
        <v>1850</v>
      </c>
      <c r="Q31" s="136">
        <f t="shared" si="3"/>
        <v>2220</v>
      </c>
    </row>
    <row r="32">
      <c r="A32" s="125" t="s">
        <v>16</v>
      </c>
      <c r="B32" s="126">
        <v>4320.0</v>
      </c>
      <c r="C32" s="125" t="s">
        <v>17</v>
      </c>
      <c r="D32" s="127" t="s">
        <v>78</v>
      </c>
      <c r="E32" s="128" t="s">
        <v>78</v>
      </c>
      <c r="F32" s="129" t="s">
        <v>79</v>
      </c>
      <c r="G32" s="130" t="s">
        <v>80</v>
      </c>
      <c r="H32" s="131"/>
      <c r="I32" s="132">
        <v>36401.0</v>
      </c>
      <c r="J32" s="132">
        <v>45096.0</v>
      </c>
      <c r="K32" s="131"/>
      <c r="L32" s="133">
        <v>31.0</v>
      </c>
      <c r="M32" s="134">
        <v>45505.0</v>
      </c>
      <c r="N32" s="134">
        <v>45535.0</v>
      </c>
      <c r="O32" s="135">
        <f t="shared" si="1"/>
        <v>370</v>
      </c>
      <c r="P32" s="136">
        <f t="shared" si="2"/>
        <v>1850</v>
      </c>
      <c r="Q32" s="136">
        <f t="shared" si="3"/>
        <v>2220</v>
      </c>
    </row>
    <row r="33">
      <c r="A33" s="125" t="s">
        <v>16</v>
      </c>
      <c r="B33" s="126">
        <v>4320.0</v>
      </c>
      <c r="C33" s="125" t="s">
        <v>17</v>
      </c>
      <c r="D33" s="127" t="s">
        <v>331</v>
      </c>
      <c r="E33" s="128" t="s">
        <v>331</v>
      </c>
      <c r="F33" s="129" t="s">
        <v>332</v>
      </c>
      <c r="G33" s="130" t="s">
        <v>333</v>
      </c>
      <c r="H33" s="131"/>
      <c r="I33" s="132">
        <v>37958.0</v>
      </c>
      <c r="J33" s="132">
        <v>45369.0</v>
      </c>
      <c r="K33" s="131"/>
      <c r="L33" s="133">
        <v>31.0</v>
      </c>
      <c r="M33" s="134">
        <v>45505.0</v>
      </c>
      <c r="N33" s="134">
        <v>45535.0</v>
      </c>
      <c r="O33" s="135">
        <f t="shared" si="1"/>
        <v>370</v>
      </c>
      <c r="P33" s="136">
        <f t="shared" si="2"/>
        <v>1850</v>
      </c>
      <c r="Q33" s="136">
        <f t="shared" si="3"/>
        <v>2220</v>
      </c>
    </row>
    <row r="34">
      <c r="A34" s="127" t="s">
        <v>16</v>
      </c>
      <c r="B34" s="129">
        <v>4320.0</v>
      </c>
      <c r="C34" s="127" t="s">
        <v>17</v>
      </c>
      <c r="D34" s="137" t="s">
        <v>392</v>
      </c>
      <c r="E34" s="128" t="s">
        <v>392</v>
      </c>
      <c r="F34" s="129" t="s">
        <v>393</v>
      </c>
      <c r="G34" s="130" t="s">
        <v>394</v>
      </c>
      <c r="H34" s="131"/>
      <c r="I34" s="132">
        <v>34922.0</v>
      </c>
      <c r="J34" s="148">
        <v>45418.0</v>
      </c>
      <c r="K34" s="131"/>
      <c r="L34" s="133">
        <v>31.0</v>
      </c>
      <c r="M34" s="134">
        <v>45505.0</v>
      </c>
      <c r="N34" s="134">
        <v>45535.0</v>
      </c>
      <c r="O34" s="135">
        <f t="shared" si="1"/>
        <v>370</v>
      </c>
      <c r="P34" s="136">
        <f t="shared" si="2"/>
        <v>1850</v>
      </c>
      <c r="Q34" s="136">
        <f t="shared" si="3"/>
        <v>2220</v>
      </c>
    </row>
    <row r="35">
      <c r="A35" s="127" t="s">
        <v>16</v>
      </c>
      <c r="B35" s="129">
        <v>4320.0</v>
      </c>
      <c r="C35" s="127" t="s">
        <v>17</v>
      </c>
      <c r="D35" s="143" t="s">
        <v>451</v>
      </c>
      <c r="E35" s="128" t="s">
        <v>451</v>
      </c>
      <c r="F35" s="140"/>
      <c r="G35" s="145" t="s">
        <v>415</v>
      </c>
      <c r="H35" s="140"/>
      <c r="I35" s="146">
        <v>36443.0</v>
      </c>
      <c r="J35" s="146">
        <v>45446.0</v>
      </c>
      <c r="K35" s="140"/>
      <c r="L35" s="133">
        <v>31.0</v>
      </c>
      <c r="M35" s="134">
        <v>45505.0</v>
      </c>
      <c r="N35" s="134">
        <v>45535.0</v>
      </c>
      <c r="O35" s="135">
        <f t="shared" si="1"/>
        <v>370</v>
      </c>
      <c r="P35" s="136">
        <f t="shared" si="2"/>
        <v>1850</v>
      </c>
      <c r="Q35" s="136">
        <f t="shared" si="3"/>
        <v>2220</v>
      </c>
    </row>
    <row r="36">
      <c r="A36" s="127" t="s">
        <v>16</v>
      </c>
      <c r="B36" s="129">
        <v>4320.0</v>
      </c>
      <c r="C36" s="127" t="s">
        <v>17</v>
      </c>
      <c r="D36" s="125" t="s">
        <v>87</v>
      </c>
      <c r="E36" s="128" t="s">
        <v>87</v>
      </c>
      <c r="F36" s="126" t="s">
        <v>88</v>
      </c>
      <c r="G36" s="139" t="s">
        <v>89</v>
      </c>
      <c r="H36" s="140"/>
      <c r="I36" s="147">
        <v>33737.0</v>
      </c>
      <c r="J36" s="141">
        <v>45139.0</v>
      </c>
      <c r="K36" s="140"/>
      <c r="L36" s="133">
        <v>31.0</v>
      </c>
      <c r="M36" s="134">
        <v>45505.0</v>
      </c>
      <c r="N36" s="134">
        <v>45535.0</v>
      </c>
      <c r="O36" s="135">
        <f t="shared" si="1"/>
        <v>370</v>
      </c>
      <c r="P36" s="136">
        <f t="shared" si="2"/>
        <v>1850</v>
      </c>
      <c r="Q36" s="136">
        <f t="shared" si="3"/>
        <v>2220</v>
      </c>
    </row>
    <row r="37">
      <c r="A37" s="127" t="s">
        <v>16</v>
      </c>
      <c r="B37" s="129">
        <v>4320.0</v>
      </c>
      <c r="C37" s="127" t="s">
        <v>17</v>
      </c>
      <c r="D37" s="125" t="s">
        <v>334</v>
      </c>
      <c r="E37" s="128" t="s">
        <v>334</v>
      </c>
      <c r="F37" s="126" t="s">
        <v>335</v>
      </c>
      <c r="G37" s="139" t="s">
        <v>336</v>
      </c>
      <c r="H37" s="140"/>
      <c r="I37" s="141">
        <v>35272.0</v>
      </c>
      <c r="J37" s="141">
        <v>45355.0</v>
      </c>
      <c r="K37" s="140"/>
      <c r="L37" s="133">
        <v>31.0</v>
      </c>
      <c r="M37" s="134">
        <v>45505.0</v>
      </c>
      <c r="N37" s="134">
        <v>45535.0</v>
      </c>
      <c r="O37" s="135">
        <f t="shared" si="1"/>
        <v>370</v>
      </c>
      <c r="P37" s="136">
        <f t="shared" si="2"/>
        <v>1850</v>
      </c>
      <c r="Q37" s="136">
        <f t="shared" si="3"/>
        <v>2220</v>
      </c>
    </row>
    <row r="38">
      <c r="A38" s="127" t="s">
        <v>16</v>
      </c>
      <c r="B38" s="129">
        <v>4320.0</v>
      </c>
      <c r="C38" s="127" t="s">
        <v>17</v>
      </c>
      <c r="D38" s="125" t="s">
        <v>337</v>
      </c>
      <c r="E38" s="128" t="s">
        <v>337</v>
      </c>
      <c r="F38" s="126" t="s">
        <v>338</v>
      </c>
      <c r="G38" s="139" t="s">
        <v>339</v>
      </c>
      <c r="H38" s="140"/>
      <c r="I38" s="141">
        <v>37539.0</v>
      </c>
      <c r="J38" s="141">
        <v>45362.0</v>
      </c>
      <c r="K38" s="140"/>
      <c r="L38" s="133">
        <v>31.0</v>
      </c>
      <c r="M38" s="134">
        <v>45505.0</v>
      </c>
      <c r="N38" s="134">
        <v>45535.0</v>
      </c>
      <c r="O38" s="135">
        <f t="shared" si="1"/>
        <v>370</v>
      </c>
      <c r="P38" s="136">
        <f t="shared" si="2"/>
        <v>1850</v>
      </c>
      <c r="Q38" s="136">
        <f t="shared" si="3"/>
        <v>2220</v>
      </c>
    </row>
    <row r="39">
      <c r="A39" s="127" t="s">
        <v>16</v>
      </c>
      <c r="B39" s="129">
        <v>4320.0</v>
      </c>
      <c r="C39" s="127" t="s">
        <v>17</v>
      </c>
      <c r="D39" s="125" t="s">
        <v>96</v>
      </c>
      <c r="E39" s="128" t="s">
        <v>407</v>
      </c>
      <c r="F39" s="126" t="s">
        <v>97</v>
      </c>
      <c r="G39" s="139" t="s">
        <v>98</v>
      </c>
      <c r="H39" s="140"/>
      <c r="I39" s="141">
        <v>36690.0</v>
      </c>
      <c r="J39" s="141">
        <v>44938.0</v>
      </c>
      <c r="K39" s="140"/>
      <c r="L39" s="133">
        <v>31.0</v>
      </c>
      <c r="M39" s="134">
        <v>45505.0</v>
      </c>
      <c r="N39" s="134">
        <v>45535.0</v>
      </c>
      <c r="O39" s="135">
        <f t="shared" si="1"/>
        <v>370</v>
      </c>
      <c r="P39" s="136">
        <f t="shared" si="2"/>
        <v>1850</v>
      </c>
      <c r="Q39" s="136">
        <f t="shared" si="3"/>
        <v>2220</v>
      </c>
    </row>
    <row r="40">
      <c r="A40" s="127" t="s">
        <v>16</v>
      </c>
      <c r="B40" s="129">
        <v>4320.0</v>
      </c>
      <c r="C40" s="127" t="s">
        <v>17</v>
      </c>
      <c r="D40" s="125" t="s">
        <v>452</v>
      </c>
      <c r="E40" s="150" t="s">
        <v>453</v>
      </c>
      <c r="F40" s="156"/>
      <c r="G40" s="157" t="s">
        <v>454</v>
      </c>
      <c r="H40" s="158"/>
      <c r="I40" s="159">
        <v>37834.0</v>
      </c>
      <c r="J40" s="160">
        <v>45505.0</v>
      </c>
      <c r="K40" s="140"/>
      <c r="L40" s="161">
        <v>31.0</v>
      </c>
      <c r="M40" s="134">
        <v>45505.0</v>
      </c>
      <c r="N40" s="134">
        <v>45535.0</v>
      </c>
      <c r="O40" s="135">
        <f t="shared" si="1"/>
        <v>370</v>
      </c>
      <c r="P40" s="136">
        <f t="shared" si="2"/>
        <v>1850</v>
      </c>
      <c r="Q40" s="136">
        <f t="shared" si="3"/>
        <v>2220</v>
      </c>
    </row>
    <row r="41">
      <c r="A41" s="125" t="s">
        <v>16</v>
      </c>
      <c r="B41" s="126">
        <v>4320.0</v>
      </c>
      <c r="C41" s="125" t="s">
        <v>17</v>
      </c>
      <c r="D41" s="127" t="s">
        <v>99</v>
      </c>
      <c r="E41" s="128" t="s">
        <v>99</v>
      </c>
      <c r="F41" s="129" t="s">
        <v>100</v>
      </c>
      <c r="G41" s="130" t="s">
        <v>101</v>
      </c>
      <c r="H41" s="131"/>
      <c r="I41" s="132">
        <v>37240.0</v>
      </c>
      <c r="J41" s="132">
        <v>45176.0</v>
      </c>
      <c r="K41" s="142">
        <v>45535.0</v>
      </c>
      <c r="L41" s="133">
        <v>31.0</v>
      </c>
      <c r="M41" s="134">
        <v>45505.0</v>
      </c>
      <c r="N41" s="134">
        <v>45535.0</v>
      </c>
      <c r="O41" s="135">
        <f t="shared" si="1"/>
        <v>370</v>
      </c>
      <c r="P41" s="136">
        <f t="shared" si="2"/>
        <v>1850</v>
      </c>
      <c r="Q41" s="136">
        <f t="shared" si="3"/>
        <v>2220</v>
      </c>
    </row>
    <row r="42">
      <c r="A42" s="127" t="s">
        <v>16</v>
      </c>
      <c r="B42" s="129">
        <v>4320.0</v>
      </c>
      <c r="C42" s="127" t="s">
        <v>17</v>
      </c>
      <c r="D42" s="125" t="s">
        <v>102</v>
      </c>
      <c r="E42" s="128" t="s">
        <v>102</v>
      </c>
      <c r="F42" s="126" t="s">
        <v>103</v>
      </c>
      <c r="G42" s="139" t="s">
        <v>104</v>
      </c>
      <c r="H42" s="140"/>
      <c r="I42" s="141">
        <v>33240.0</v>
      </c>
      <c r="J42" s="141">
        <v>44287.0</v>
      </c>
      <c r="K42" s="140"/>
      <c r="L42" s="133">
        <v>31.0</v>
      </c>
      <c r="M42" s="134">
        <v>45505.0</v>
      </c>
      <c r="N42" s="134">
        <v>45535.0</v>
      </c>
      <c r="O42" s="135">
        <f t="shared" si="1"/>
        <v>370</v>
      </c>
      <c r="P42" s="136">
        <f t="shared" si="2"/>
        <v>1850</v>
      </c>
      <c r="Q42" s="136">
        <f t="shared" si="3"/>
        <v>2220</v>
      </c>
    </row>
    <row r="43">
      <c r="A43" s="127" t="s">
        <v>16</v>
      </c>
      <c r="B43" s="129">
        <v>4320.0</v>
      </c>
      <c r="C43" s="127" t="s">
        <v>17</v>
      </c>
      <c r="D43" s="125" t="s">
        <v>255</v>
      </c>
      <c r="E43" s="128" t="s">
        <v>255</v>
      </c>
      <c r="F43" s="126" t="s">
        <v>256</v>
      </c>
      <c r="G43" s="139" t="s">
        <v>257</v>
      </c>
      <c r="H43" s="140"/>
      <c r="I43" s="141">
        <v>35173.0</v>
      </c>
      <c r="J43" s="141">
        <v>45264.0</v>
      </c>
      <c r="K43" s="140"/>
      <c r="L43" s="133">
        <v>31.0</v>
      </c>
      <c r="M43" s="134">
        <v>45505.0</v>
      </c>
      <c r="N43" s="134">
        <v>45535.0</v>
      </c>
      <c r="O43" s="135">
        <f t="shared" si="1"/>
        <v>370</v>
      </c>
      <c r="P43" s="136">
        <f t="shared" si="2"/>
        <v>1850</v>
      </c>
      <c r="Q43" s="136">
        <f t="shared" si="3"/>
        <v>2220</v>
      </c>
    </row>
    <row r="44">
      <c r="A44" s="125" t="s">
        <v>16</v>
      </c>
      <c r="B44" s="126">
        <v>4320.0</v>
      </c>
      <c r="C44" s="125" t="s">
        <v>17</v>
      </c>
      <c r="D44" s="127" t="s">
        <v>340</v>
      </c>
      <c r="E44" s="128" t="s">
        <v>438</v>
      </c>
      <c r="F44" s="129" t="s">
        <v>341</v>
      </c>
      <c r="G44" s="130" t="s">
        <v>342</v>
      </c>
      <c r="H44" s="131"/>
      <c r="I44" s="132">
        <v>37964.0</v>
      </c>
      <c r="J44" s="132">
        <v>45355.0</v>
      </c>
      <c r="K44" s="131"/>
      <c r="L44" s="133">
        <v>31.0</v>
      </c>
      <c r="M44" s="134">
        <v>45505.0</v>
      </c>
      <c r="N44" s="134">
        <v>45535.0</v>
      </c>
      <c r="O44" s="135">
        <f t="shared" si="1"/>
        <v>370</v>
      </c>
      <c r="P44" s="136">
        <f t="shared" si="2"/>
        <v>1850</v>
      </c>
      <c r="Q44" s="136">
        <f t="shared" si="3"/>
        <v>2220</v>
      </c>
    </row>
    <row r="45">
      <c r="A45" s="125" t="s">
        <v>16</v>
      </c>
      <c r="B45" s="126">
        <v>4320.0</v>
      </c>
      <c r="C45" s="125" t="s">
        <v>17</v>
      </c>
      <c r="D45" s="127" t="s">
        <v>108</v>
      </c>
      <c r="E45" s="128" t="s">
        <v>108</v>
      </c>
      <c r="F45" s="129" t="s">
        <v>109</v>
      </c>
      <c r="G45" s="130" t="s">
        <v>110</v>
      </c>
      <c r="H45" s="131"/>
      <c r="I45" s="148">
        <v>35943.0</v>
      </c>
      <c r="J45" s="132">
        <v>45215.0</v>
      </c>
      <c r="K45" s="131"/>
      <c r="L45" s="133">
        <v>31.0</v>
      </c>
      <c r="M45" s="134">
        <v>45505.0</v>
      </c>
      <c r="N45" s="134">
        <v>45535.0</v>
      </c>
      <c r="O45" s="135">
        <f t="shared" si="1"/>
        <v>370</v>
      </c>
      <c r="P45" s="136">
        <f t="shared" si="2"/>
        <v>1850</v>
      </c>
      <c r="Q45" s="136">
        <f t="shared" si="3"/>
        <v>2220</v>
      </c>
    </row>
    <row r="46">
      <c r="A46" s="125" t="s">
        <v>16</v>
      </c>
      <c r="B46" s="126">
        <v>4320.0</v>
      </c>
      <c r="C46" s="125" t="s">
        <v>17</v>
      </c>
      <c r="D46" s="144" t="s">
        <v>395</v>
      </c>
      <c r="E46" s="128" t="s">
        <v>395</v>
      </c>
      <c r="F46" s="126" t="s">
        <v>396</v>
      </c>
      <c r="G46" s="139" t="s">
        <v>397</v>
      </c>
      <c r="H46" s="140"/>
      <c r="I46" s="141">
        <v>36557.0</v>
      </c>
      <c r="J46" s="147">
        <v>45432.0</v>
      </c>
      <c r="K46" s="140"/>
      <c r="L46" s="133">
        <v>31.0</v>
      </c>
      <c r="M46" s="134">
        <v>45505.0</v>
      </c>
      <c r="N46" s="134">
        <v>45535.0</v>
      </c>
      <c r="O46" s="135">
        <f t="shared" si="1"/>
        <v>370</v>
      </c>
      <c r="P46" s="136">
        <f t="shared" si="2"/>
        <v>1850</v>
      </c>
      <c r="Q46" s="136">
        <f t="shared" si="3"/>
        <v>2220</v>
      </c>
    </row>
    <row r="47">
      <c r="A47" s="127" t="s">
        <v>16</v>
      </c>
      <c r="B47" s="129">
        <v>4320.0</v>
      </c>
      <c r="C47" s="127" t="s">
        <v>17</v>
      </c>
      <c r="D47" s="125" t="s">
        <v>370</v>
      </c>
      <c r="E47" s="128" t="s">
        <v>370</v>
      </c>
      <c r="F47" s="126" t="s">
        <v>371</v>
      </c>
      <c r="G47" s="139" t="s">
        <v>372</v>
      </c>
      <c r="H47" s="140"/>
      <c r="I47" s="147">
        <v>35551.0</v>
      </c>
      <c r="J47" s="154">
        <v>45383.0</v>
      </c>
      <c r="K47" s="140"/>
      <c r="L47" s="133">
        <v>31.0</v>
      </c>
      <c r="M47" s="134">
        <v>45505.0</v>
      </c>
      <c r="N47" s="134">
        <v>45535.0</v>
      </c>
      <c r="O47" s="135">
        <f t="shared" si="1"/>
        <v>370</v>
      </c>
      <c r="P47" s="136">
        <f t="shared" si="2"/>
        <v>1850</v>
      </c>
      <c r="Q47" s="136">
        <f t="shared" si="3"/>
        <v>2220</v>
      </c>
    </row>
    <row r="48">
      <c r="A48" s="127" t="s">
        <v>16</v>
      </c>
      <c r="B48" s="129">
        <v>4320.0</v>
      </c>
      <c r="C48" s="127" t="s">
        <v>17</v>
      </c>
      <c r="D48" s="149" t="s">
        <v>114</v>
      </c>
      <c r="E48" s="150" t="s">
        <v>455</v>
      </c>
      <c r="F48" s="156"/>
      <c r="G48" s="152" t="s">
        <v>456</v>
      </c>
      <c r="H48" s="140"/>
      <c r="I48" s="141">
        <v>35872.0</v>
      </c>
      <c r="J48" s="153">
        <v>45523.0</v>
      </c>
      <c r="K48" s="140"/>
      <c r="L48" s="162">
        <v>13.0</v>
      </c>
      <c r="M48" s="134">
        <v>45505.0</v>
      </c>
      <c r="N48" s="134">
        <v>45535.0</v>
      </c>
      <c r="O48" s="135">
        <f t="shared" si="1"/>
        <v>156</v>
      </c>
      <c r="P48" s="136">
        <f t="shared" si="2"/>
        <v>780</v>
      </c>
      <c r="Q48" s="136">
        <f t="shared" si="3"/>
        <v>936</v>
      </c>
    </row>
    <row r="49">
      <c r="A49" s="127" t="s">
        <v>16</v>
      </c>
      <c r="B49" s="129">
        <v>4320.0</v>
      </c>
      <c r="C49" s="127" t="s">
        <v>17</v>
      </c>
      <c r="D49" s="149" t="s">
        <v>457</v>
      </c>
      <c r="E49" s="150" t="s">
        <v>457</v>
      </c>
      <c r="F49" s="156"/>
      <c r="G49" s="152" t="s">
        <v>458</v>
      </c>
      <c r="H49" s="140"/>
      <c r="I49" s="141">
        <v>37061.0</v>
      </c>
      <c r="J49" s="153">
        <v>45505.0</v>
      </c>
      <c r="K49" s="140"/>
      <c r="L49" s="162">
        <v>31.0</v>
      </c>
      <c r="M49" s="134">
        <v>45505.0</v>
      </c>
      <c r="N49" s="134">
        <v>45535.0</v>
      </c>
      <c r="O49" s="135">
        <f t="shared" si="1"/>
        <v>370</v>
      </c>
      <c r="P49" s="136">
        <f t="shared" si="2"/>
        <v>1850</v>
      </c>
      <c r="Q49" s="136">
        <f t="shared" si="3"/>
        <v>2220</v>
      </c>
    </row>
    <row r="50">
      <c r="A50" s="127" t="s">
        <v>16</v>
      </c>
      <c r="B50" s="129">
        <v>4320.0</v>
      </c>
      <c r="C50" s="127" t="s">
        <v>17</v>
      </c>
      <c r="D50" s="125" t="s">
        <v>120</v>
      </c>
      <c r="E50" s="128" t="s">
        <v>439</v>
      </c>
      <c r="F50" s="126" t="s">
        <v>121</v>
      </c>
      <c r="G50" s="139" t="s">
        <v>122</v>
      </c>
      <c r="H50" s="140"/>
      <c r="I50" s="141">
        <v>36794.0</v>
      </c>
      <c r="J50" s="141">
        <v>44915.0</v>
      </c>
      <c r="K50" s="140"/>
      <c r="L50" s="133">
        <v>31.0</v>
      </c>
      <c r="M50" s="134">
        <v>45505.0</v>
      </c>
      <c r="N50" s="134">
        <v>45535.0</v>
      </c>
      <c r="O50" s="135">
        <f t="shared" si="1"/>
        <v>370</v>
      </c>
      <c r="P50" s="136">
        <f t="shared" si="2"/>
        <v>1850</v>
      </c>
      <c r="Q50" s="136">
        <f t="shared" si="3"/>
        <v>2220</v>
      </c>
    </row>
    <row r="51">
      <c r="A51" s="125" t="s">
        <v>16</v>
      </c>
      <c r="B51" s="126">
        <v>4320.0</v>
      </c>
      <c r="C51" s="125" t="s">
        <v>17</v>
      </c>
      <c r="D51" s="127" t="s">
        <v>343</v>
      </c>
      <c r="E51" s="128" t="s">
        <v>343</v>
      </c>
      <c r="F51" s="129" t="s">
        <v>344</v>
      </c>
      <c r="G51" s="130" t="s">
        <v>345</v>
      </c>
      <c r="H51" s="131"/>
      <c r="I51" s="132">
        <v>36821.0</v>
      </c>
      <c r="J51" s="132">
        <v>45362.0</v>
      </c>
      <c r="K51" s="131"/>
      <c r="L51" s="133">
        <v>31.0</v>
      </c>
      <c r="M51" s="134">
        <v>45505.0</v>
      </c>
      <c r="N51" s="134">
        <v>45535.0</v>
      </c>
      <c r="O51" s="135">
        <f t="shared" si="1"/>
        <v>370</v>
      </c>
      <c r="P51" s="136">
        <f t="shared" si="2"/>
        <v>1850</v>
      </c>
      <c r="Q51" s="136">
        <f t="shared" si="3"/>
        <v>2220</v>
      </c>
    </row>
    <row r="52">
      <c r="A52" s="127" t="s">
        <v>16</v>
      </c>
      <c r="B52" s="129">
        <v>4320.0</v>
      </c>
      <c r="C52" s="127" t="s">
        <v>17</v>
      </c>
      <c r="D52" s="163" t="s">
        <v>429</v>
      </c>
      <c r="E52" s="128" t="s">
        <v>429</v>
      </c>
      <c r="F52" s="140"/>
      <c r="G52" s="145" t="s">
        <v>430</v>
      </c>
      <c r="H52" s="140"/>
      <c r="I52" s="146">
        <v>37257.0</v>
      </c>
      <c r="J52" s="146">
        <v>45481.0</v>
      </c>
      <c r="K52" s="140"/>
      <c r="L52" s="133">
        <v>31.0</v>
      </c>
      <c r="M52" s="134">
        <v>45505.0</v>
      </c>
      <c r="N52" s="134">
        <v>45535.0</v>
      </c>
      <c r="O52" s="135">
        <f t="shared" si="1"/>
        <v>370</v>
      </c>
      <c r="P52" s="136">
        <f t="shared" si="2"/>
        <v>1850</v>
      </c>
      <c r="Q52" s="136">
        <f t="shared" si="3"/>
        <v>2220</v>
      </c>
    </row>
    <row r="53">
      <c r="A53" s="127" t="s">
        <v>16</v>
      </c>
      <c r="B53" s="129">
        <v>4320.0</v>
      </c>
      <c r="C53" s="127" t="s">
        <v>17</v>
      </c>
      <c r="D53" s="144" t="s">
        <v>416</v>
      </c>
      <c r="E53" s="128" t="s">
        <v>416</v>
      </c>
      <c r="F53" s="140"/>
      <c r="G53" s="164" t="s">
        <v>417</v>
      </c>
      <c r="H53" s="140"/>
      <c r="I53" s="146">
        <v>36346.0</v>
      </c>
      <c r="J53" s="146">
        <v>45453.0</v>
      </c>
      <c r="K53" s="140"/>
      <c r="L53" s="133">
        <v>31.0</v>
      </c>
      <c r="M53" s="134">
        <v>45505.0</v>
      </c>
      <c r="N53" s="134">
        <v>45535.0</v>
      </c>
      <c r="O53" s="135">
        <f t="shared" si="1"/>
        <v>370</v>
      </c>
      <c r="P53" s="136">
        <f t="shared" si="2"/>
        <v>1850</v>
      </c>
      <c r="Q53" s="136">
        <f t="shared" si="3"/>
        <v>2220</v>
      </c>
    </row>
    <row r="54">
      <c r="A54" s="127" t="s">
        <v>16</v>
      </c>
      <c r="B54" s="129">
        <v>4320.0</v>
      </c>
      <c r="C54" s="127" t="s">
        <v>17</v>
      </c>
      <c r="D54" s="143" t="s">
        <v>132</v>
      </c>
      <c r="E54" s="128" t="s">
        <v>132</v>
      </c>
      <c r="F54" s="140"/>
      <c r="G54" s="145" t="s">
        <v>418</v>
      </c>
      <c r="H54" s="140"/>
      <c r="I54" s="146">
        <v>37494.0</v>
      </c>
      <c r="J54" s="146">
        <v>45467.0</v>
      </c>
      <c r="K54" s="140"/>
      <c r="L54" s="133">
        <v>31.0</v>
      </c>
      <c r="M54" s="134">
        <v>45505.0</v>
      </c>
      <c r="N54" s="134">
        <v>45535.0</v>
      </c>
      <c r="O54" s="135">
        <f t="shared" si="1"/>
        <v>370</v>
      </c>
      <c r="P54" s="136">
        <f t="shared" si="2"/>
        <v>1850</v>
      </c>
      <c r="Q54" s="136">
        <f t="shared" si="3"/>
        <v>2220</v>
      </c>
    </row>
    <row r="55">
      <c r="A55" s="125" t="s">
        <v>16</v>
      </c>
      <c r="B55" s="126">
        <v>4320.0</v>
      </c>
      <c r="C55" s="125" t="s">
        <v>17</v>
      </c>
      <c r="D55" s="127" t="s">
        <v>346</v>
      </c>
      <c r="E55" s="128" t="s">
        <v>346</v>
      </c>
      <c r="F55" s="129" t="s">
        <v>347</v>
      </c>
      <c r="G55" s="130" t="s">
        <v>348</v>
      </c>
      <c r="H55" s="131"/>
      <c r="I55" s="132">
        <v>36778.0</v>
      </c>
      <c r="J55" s="132">
        <v>45369.0</v>
      </c>
      <c r="K55" s="131"/>
      <c r="L55" s="133">
        <v>31.0</v>
      </c>
      <c r="M55" s="134">
        <v>45505.0</v>
      </c>
      <c r="N55" s="134">
        <v>45535.0</v>
      </c>
      <c r="O55" s="135">
        <f t="shared" si="1"/>
        <v>370</v>
      </c>
      <c r="P55" s="136">
        <f t="shared" si="2"/>
        <v>1850</v>
      </c>
      <c r="Q55" s="136">
        <f t="shared" si="3"/>
        <v>2220</v>
      </c>
    </row>
    <row r="56">
      <c r="A56" s="127" t="s">
        <v>16</v>
      </c>
      <c r="B56" s="129">
        <v>4320.0</v>
      </c>
      <c r="C56" s="127" t="s">
        <v>17</v>
      </c>
      <c r="D56" s="144" t="s">
        <v>373</v>
      </c>
      <c r="E56" s="128" t="s">
        <v>459</v>
      </c>
      <c r="F56" s="126" t="s">
        <v>374</v>
      </c>
      <c r="G56" s="165" t="s">
        <v>375</v>
      </c>
      <c r="H56" s="140"/>
      <c r="I56" s="141">
        <v>37085.0</v>
      </c>
      <c r="J56" s="141">
        <v>45400.0</v>
      </c>
      <c r="K56" s="140"/>
      <c r="L56" s="133">
        <v>31.0</v>
      </c>
      <c r="M56" s="134">
        <v>45505.0</v>
      </c>
      <c r="N56" s="134">
        <v>45535.0</v>
      </c>
      <c r="O56" s="135">
        <f t="shared" si="1"/>
        <v>370</v>
      </c>
      <c r="P56" s="136">
        <f t="shared" si="2"/>
        <v>1850</v>
      </c>
      <c r="Q56" s="136">
        <f t="shared" si="3"/>
        <v>2220</v>
      </c>
    </row>
    <row r="57">
      <c r="A57" s="125" t="s">
        <v>16</v>
      </c>
      <c r="B57" s="126">
        <v>4320.0</v>
      </c>
      <c r="C57" s="125" t="s">
        <v>17</v>
      </c>
      <c r="D57" s="127" t="s">
        <v>349</v>
      </c>
      <c r="E57" s="128" t="s">
        <v>349</v>
      </c>
      <c r="F57" s="129" t="s">
        <v>350</v>
      </c>
      <c r="G57" s="130" t="s">
        <v>351</v>
      </c>
      <c r="H57" s="131"/>
      <c r="I57" s="132">
        <v>37647.0</v>
      </c>
      <c r="J57" s="132">
        <v>45355.0</v>
      </c>
      <c r="K57" s="131"/>
      <c r="L57" s="133">
        <v>31.0</v>
      </c>
      <c r="M57" s="134">
        <v>45505.0</v>
      </c>
      <c r="N57" s="134">
        <v>45535.0</v>
      </c>
      <c r="O57" s="135">
        <f t="shared" si="1"/>
        <v>370</v>
      </c>
      <c r="P57" s="136">
        <f t="shared" si="2"/>
        <v>1850</v>
      </c>
      <c r="Q57" s="136">
        <f t="shared" si="3"/>
        <v>2220</v>
      </c>
    </row>
    <row r="58">
      <c r="A58" s="127" t="s">
        <v>16</v>
      </c>
      <c r="B58" s="129">
        <v>4320.0</v>
      </c>
      <c r="C58" s="127" t="s">
        <v>17</v>
      </c>
      <c r="D58" s="125" t="s">
        <v>141</v>
      </c>
      <c r="E58" s="128" t="s">
        <v>441</v>
      </c>
      <c r="F58" s="126" t="s">
        <v>142</v>
      </c>
      <c r="G58" s="139" t="s">
        <v>143</v>
      </c>
      <c r="H58" s="140"/>
      <c r="I58" s="141">
        <v>34300.0</v>
      </c>
      <c r="J58" s="141">
        <v>45183.0</v>
      </c>
      <c r="K58" s="140"/>
      <c r="L58" s="133">
        <v>31.0</v>
      </c>
      <c r="M58" s="134">
        <v>45505.0</v>
      </c>
      <c r="N58" s="134">
        <v>45535.0</v>
      </c>
      <c r="O58" s="135">
        <f t="shared" si="1"/>
        <v>370</v>
      </c>
      <c r="P58" s="136">
        <f t="shared" si="2"/>
        <v>1850</v>
      </c>
      <c r="Q58" s="136">
        <f t="shared" si="3"/>
        <v>2220</v>
      </c>
    </row>
    <row r="59">
      <c r="A59" s="127" t="s">
        <v>16</v>
      </c>
      <c r="B59" s="129">
        <v>4320.0</v>
      </c>
      <c r="C59" s="127" t="s">
        <v>17</v>
      </c>
      <c r="D59" s="125" t="s">
        <v>352</v>
      </c>
      <c r="E59" s="128" t="s">
        <v>352</v>
      </c>
      <c r="F59" s="126" t="s">
        <v>353</v>
      </c>
      <c r="G59" s="139" t="s">
        <v>354</v>
      </c>
      <c r="H59" s="140"/>
      <c r="I59" s="141">
        <v>36412.0</v>
      </c>
      <c r="J59" s="141">
        <v>45355.0</v>
      </c>
      <c r="K59" s="140"/>
      <c r="L59" s="133">
        <v>31.0</v>
      </c>
      <c r="M59" s="134">
        <v>45505.0</v>
      </c>
      <c r="N59" s="134">
        <v>45535.0</v>
      </c>
      <c r="O59" s="135">
        <f t="shared" si="1"/>
        <v>370</v>
      </c>
      <c r="P59" s="136">
        <f t="shared" si="2"/>
        <v>1850</v>
      </c>
      <c r="Q59" s="136">
        <f t="shared" si="3"/>
        <v>2220</v>
      </c>
    </row>
    <row r="60">
      <c r="A60" s="127" t="s">
        <v>16</v>
      </c>
      <c r="B60" s="129">
        <v>4320.0</v>
      </c>
      <c r="C60" s="127" t="s">
        <v>17</v>
      </c>
      <c r="D60" s="143" t="s">
        <v>419</v>
      </c>
      <c r="E60" s="128" t="s">
        <v>419</v>
      </c>
      <c r="F60" s="140"/>
      <c r="G60" s="145" t="s">
        <v>420</v>
      </c>
      <c r="H60" s="140"/>
      <c r="I60" s="146">
        <v>36907.0</v>
      </c>
      <c r="J60" s="146">
        <v>45446.0</v>
      </c>
      <c r="K60" s="140"/>
      <c r="L60" s="133">
        <v>31.0</v>
      </c>
      <c r="M60" s="134">
        <v>45505.0</v>
      </c>
      <c r="N60" s="134">
        <v>45535.0</v>
      </c>
      <c r="O60" s="135">
        <f t="shared" si="1"/>
        <v>370</v>
      </c>
      <c r="P60" s="136">
        <f t="shared" si="2"/>
        <v>1850</v>
      </c>
      <c r="Q60" s="136">
        <f t="shared" si="3"/>
        <v>2220</v>
      </c>
    </row>
    <row r="61">
      <c r="A61" s="127" t="s">
        <v>16</v>
      </c>
      <c r="B61" s="129">
        <v>4320.0</v>
      </c>
      <c r="C61" s="127" t="s">
        <v>17</v>
      </c>
      <c r="D61" s="137" t="s">
        <v>398</v>
      </c>
      <c r="E61" s="128" t="s">
        <v>398</v>
      </c>
      <c r="F61" s="129" t="s">
        <v>399</v>
      </c>
      <c r="G61" s="130" t="s">
        <v>400</v>
      </c>
      <c r="H61" s="131"/>
      <c r="I61" s="148">
        <v>36655.0</v>
      </c>
      <c r="J61" s="148">
        <v>45418.0</v>
      </c>
      <c r="K61" s="131"/>
      <c r="L61" s="133">
        <v>31.0</v>
      </c>
      <c r="M61" s="134">
        <v>45505.0</v>
      </c>
      <c r="N61" s="134">
        <v>45535.0</v>
      </c>
      <c r="O61" s="135">
        <f t="shared" si="1"/>
        <v>370</v>
      </c>
      <c r="P61" s="136">
        <f t="shared" si="2"/>
        <v>1850</v>
      </c>
      <c r="Q61" s="136">
        <f t="shared" si="3"/>
        <v>2220</v>
      </c>
    </row>
    <row r="62">
      <c r="A62" s="125" t="s">
        <v>16</v>
      </c>
      <c r="B62" s="126">
        <v>4320.0</v>
      </c>
      <c r="C62" s="125" t="s">
        <v>17</v>
      </c>
      <c r="D62" s="127" t="s">
        <v>153</v>
      </c>
      <c r="E62" s="128" t="s">
        <v>153</v>
      </c>
      <c r="F62" s="129" t="s">
        <v>154</v>
      </c>
      <c r="G62" s="130" t="s">
        <v>155</v>
      </c>
      <c r="H62" s="131"/>
      <c r="I62" s="132">
        <v>31014.0</v>
      </c>
      <c r="J62" s="132">
        <v>44805.0</v>
      </c>
      <c r="K62" s="131"/>
      <c r="L62" s="133">
        <v>31.0</v>
      </c>
      <c r="M62" s="134">
        <v>45505.0</v>
      </c>
      <c r="N62" s="134">
        <v>45535.0</v>
      </c>
      <c r="O62" s="135">
        <f t="shared" si="1"/>
        <v>370</v>
      </c>
      <c r="P62" s="136">
        <f t="shared" si="2"/>
        <v>1850</v>
      </c>
      <c r="Q62" s="136">
        <f t="shared" si="3"/>
        <v>2220</v>
      </c>
    </row>
    <row r="63">
      <c r="A63" s="127" t="s">
        <v>16</v>
      </c>
      <c r="B63" s="129">
        <v>4320.0</v>
      </c>
      <c r="C63" s="127" t="s">
        <v>17</v>
      </c>
      <c r="D63" s="125" t="s">
        <v>273</v>
      </c>
      <c r="E63" s="128" t="s">
        <v>273</v>
      </c>
      <c r="F63" s="126" t="s">
        <v>274</v>
      </c>
      <c r="G63" s="139" t="s">
        <v>275</v>
      </c>
      <c r="H63" s="140"/>
      <c r="I63" s="141">
        <v>34522.0</v>
      </c>
      <c r="J63" s="141">
        <v>45292.0</v>
      </c>
      <c r="K63" s="140"/>
      <c r="L63" s="133">
        <v>31.0</v>
      </c>
      <c r="M63" s="134">
        <v>45505.0</v>
      </c>
      <c r="N63" s="134">
        <v>45535.0</v>
      </c>
      <c r="O63" s="135">
        <f t="shared" si="1"/>
        <v>370</v>
      </c>
      <c r="P63" s="136">
        <f t="shared" si="2"/>
        <v>1850</v>
      </c>
      <c r="Q63" s="136">
        <f t="shared" si="3"/>
        <v>2220</v>
      </c>
    </row>
    <row r="64">
      <c r="A64" s="127" t="s">
        <v>16</v>
      </c>
      <c r="B64" s="129">
        <v>4320.0</v>
      </c>
      <c r="C64" s="127" t="s">
        <v>17</v>
      </c>
      <c r="D64" s="143" t="s">
        <v>421</v>
      </c>
      <c r="E64" s="128" t="s">
        <v>421</v>
      </c>
      <c r="F64" s="140"/>
      <c r="G64" s="145" t="s">
        <v>422</v>
      </c>
      <c r="H64" s="140"/>
      <c r="I64" s="146">
        <v>37415.0</v>
      </c>
      <c r="J64" s="166">
        <v>45441.0</v>
      </c>
      <c r="K64" s="140"/>
      <c r="L64" s="133">
        <v>31.0</v>
      </c>
      <c r="M64" s="134">
        <v>45505.0</v>
      </c>
      <c r="N64" s="134">
        <v>45535.0</v>
      </c>
      <c r="O64" s="135">
        <f t="shared" si="1"/>
        <v>370</v>
      </c>
      <c r="P64" s="136">
        <f t="shared" si="2"/>
        <v>1850</v>
      </c>
      <c r="Q64" s="136">
        <f t="shared" si="3"/>
        <v>2220</v>
      </c>
    </row>
    <row r="65">
      <c r="A65" s="125" t="s">
        <v>16</v>
      </c>
      <c r="B65" s="126">
        <v>4320.0</v>
      </c>
      <c r="C65" s="125" t="s">
        <v>17</v>
      </c>
      <c r="D65" s="127" t="s">
        <v>162</v>
      </c>
      <c r="E65" s="128" t="s">
        <v>162</v>
      </c>
      <c r="F65" s="129" t="s">
        <v>163</v>
      </c>
      <c r="G65" s="130" t="s">
        <v>164</v>
      </c>
      <c r="H65" s="131"/>
      <c r="I65" s="132">
        <v>34732.0</v>
      </c>
      <c r="J65" s="132">
        <v>44986.0</v>
      </c>
      <c r="K65" s="131"/>
      <c r="L65" s="133">
        <v>31.0</v>
      </c>
      <c r="M65" s="134">
        <v>45505.0</v>
      </c>
      <c r="N65" s="134">
        <v>45535.0</v>
      </c>
      <c r="O65" s="135">
        <f t="shared" si="1"/>
        <v>370</v>
      </c>
      <c r="P65" s="136">
        <f t="shared" si="2"/>
        <v>1850</v>
      </c>
      <c r="Q65" s="136">
        <f t="shared" si="3"/>
        <v>2220</v>
      </c>
    </row>
    <row r="66">
      <c r="A66" s="127" t="s">
        <v>16</v>
      </c>
      <c r="B66" s="129">
        <v>4320.0</v>
      </c>
      <c r="C66" s="127" t="s">
        <v>17</v>
      </c>
      <c r="D66" s="125" t="s">
        <v>355</v>
      </c>
      <c r="E66" s="128" t="s">
        <v>355</v>
      </c>
      <c r="F66" s="126" t="s">
        <v>356</v>
      </c>
      <c r="G66" s="139" t="s">
        <v>357</v>
      </c>
      <c r="H66" s="140"/>
      <c r="I66" s="141">
        <v>35395.0</v>
      </c>
      <c r="J66" s="141">
        <v>45376.0</v>
      </c>
      <c r="K66" s="140"/>
      <c r="L66" s="133">
        <v>31.0</v>
      </c>
      <c r="M66" s="134">
        <v>45505.0</v>
      </c>
      <c r="N66" s="134">
        <v>45535.0</v>
      </c>
      <c r="O66" s="135">
        <f t="shared" si="1"/>
        <v>370</v>
      </c>
      <c r="P66" s="136">
        <f t="shared" si="2"/>
        <v>1850</v>
      </c>
      <c r="Q66" s="136">
        <f t="shared" si="3"/>
        <v>2220</v>
      </c>
    </row>
    <row r="67">
      <c r="A67" s="127" t="s">
        <v>16</v>
      </c>
      <c r="B67" s="129">
        <v>4320.0</v>
      </c>
      <c r="C67" s="127" t="s">
        <v>17</v>
      </c>
      <c r="D67" s="163" t="s">
        <v>431</v>
      </c>
      <c r="E67" s="128" t="s">
        <v>431</v>
      </c>
      <c r="F67" s="140"/>
      <c r="G67" s="167" t="s">
        <v>378</v>
      </c>
      <c r="H67" s="140"/>
      <c r="I67" s="168">
        <v>36289.0</v>
      </c>
      <c r="J67" s="169">
        <v>45476.0</v>
      </c>
      <c r="K67" s="140"/>
      <c r="L67" s="133">
        <v>31.0</v>
      </c>
      <c r="M67" s="134">
        <v>45505.0</v>
      </c>
      <c r="N67" s="134">
        <v>45535.0</v>
      </c>
      <c r="O67" s="135">
        <f t="shared" si="1"/>
        <v>370</v>
      </c>
      <c r="P67" s="136">
        <f t="shared" si="2"/>
        <v>1850</v>
      </c>
      <c r="Q67" s="136">
        <f t="shared" si="3"/>
        <v>2220</v>
      </c>
    </row>
    <row r="68">
      <c r="A68" s="127" t="s">
        <v>16</v>
      </c>
      <c r="B68" s="129">
        <v>4320.0</v>
      </c>
      <c r="C68" s="127" t="s">
        <v>17</v>
      </c>
      <c r="D68" s="125" t="s">
        <v>183</v>
      </c>
      <c r="E68" s="128" t="s">
        <v>183</v>
      </c>
      <c r="F68" s="126" t="s">
        <v>184</v>
      </c>
      <c r="G68" s="139" t="s">
        <v>185</v>
      </c>
      <c r="H68" s="140"/>
      <c r="I68" s="141">
        <v>36979.0</v>
      </c>
      <c r="J68" s="141">
        <v>44907.0</v>
      </c>
      <c r="K68" s="140"/>
      <c r="L68" s="133">
        <v>31.0</v>
      </c>
      <c r="M68" s="134">
        <v>45505.0</v>
      </c>
      <c r="N68" s="134">
        <v>45535.0</v>
      </c>
      <c r="O68" s="135">
        <f t="shared" si="1"/>
        <v>370</v>
      </c>
      <c r="P68" s="136">
        <f t="shared" si="2"/>
        <v>1850</v>
      </c>
      <c r="Q68" s="136">
        <f t="shared" si="3"/>
        <v>2220</v>
      </c>
    </row>
    <row r="69">
      <c r="A69" s="127" t="s">
        <v>16</v>
      </c>
      <c r="B69" s="129">
        <v>4320.0</v>
      </c>
      <c r="C69" s="127" t="s">
        <v>17</v>
      </c>
      <c r="D69" s="125" t="s">
        <v>189</v>
      </c>
      <c r="E69" s="128" t="s">
        <v>189</v>
      </c>
      <c r="F69" s="126" t="s">
        <v>190</v>
      </c>
      <c r="G69" s="139" t="s">
        <v>191</v>
      </c>
      <c r="H69" s="140"/>
      <c r="I69" s="141">
        <v>36421.0</v>
      </c>
      <c r="J69" s="141">
        <v>45208.0</v>
      </c>
      <c r="K69" s="141">
        <v>45535.0</v>
      </c>
      <c r="L69" s="133">
        <v>31.0</v>
      </c>
      <c r="M69" s="134">
        <v>45505.0</v>
      </c>
      <c r="N69" s="134">
        <v>45535.0</v>
      </c>
      <c r="O69" s="135">
        <f t="shared" si="1"/>
        <v>370</v>
      </c>
      <c r="P69" s="136">
        <f t="shared" si="2"/>
        <v>1850</v>
      </c>
      <c r="Q69" s="136">
        <f t="shared" si="3"/>
        <v>2220</v>
      </c>
    </row>
    <row r="70">
      <c r="A70" s="125" t="s">
        <v>16</v>
      </c>
      <c r="B70" s="126">
        <v>4320.0</v>
      </c>
      <c r="C70" s="125" t="s">
        <v>17</v>
      </c>
      <c r="D70" s="127" t="s">
        <v>258</v>
      </c>
      <c r="E70" s="128" t="s">
        <v>258</v>
      </c>
      <c r="F70" s="129" t="s">
        <v>259</v>
      </c>
      <c r="G70" s="130" t="s">
        <v>260</v>
      </c>
      <c r="H70" s="131"/>
      <c r="I70" s="132">
        <v>35447.0</v>
      </c>
      <c r="J70" s="132">
        <v>45273.0</v>
      </c>
      <c r="K70" s="131"/>
      <c r="L70" s="133">
        <v>31.0</v>
      </c>
      <c r="M70" s="134">
        <v>45505.0</v>
      </c>
      <c r="N70" s="134">
        <v>45535.0</v>
      </c>
      <c r="O70" s="135">
        <f t="shared" si="1"/>
        <v>370</v>
      </c>
      <c r="P70" s="136">
        <f t="shared" si="2"/>
        <v>1850</v>
      </c>
      <c r="Q70" s="136">
        <f t="shared" si="3"/>
        <v>2220</v>
      </c>
    </row>
    <row r="71">
      <c r="A71" s="127" t="s">
        <v>16</v>
      </c>
      <c r="B71" s="129">
        <v>4320.0</v>
      </c>
      <c r="C71" s="127" t="s">
        <v>17</v>
      </c>
      <c r="D71" s="125" t="s">
        <v>201</v>
      </c>
      <c r="E71" s="128" t="s">
        <v>201</v>
      </c>
      <c r="F71" s="126" t="s">
        <v>202</v>
      </c>
      <c r="G71" s="139" t="s">
        <v>203</v>
      </c>
      <c r="H71" s="140"/>
      <c r="I71" s="141">
        <v>36574.0</v>
      </c>
      <c r="J71" s="141">
        <v>45187.0</v>
      </c>
      <c r="K71" s="140"/>
      <c r="L71" s="133">
        <v>31.0</v>
      </c>
      <c r="M71" s="134">
        <v>45505.0</v>
      </c>
      <c r="N71" s="134">
        <v>45535.0</v>
      </c>
      <c r="O71" s="135">
        <f t="shared" si="1"/>
        <v>370</v>
      </c>
      <c r="P71" s="136">
        <f t="shared" si="2"/>
        <v>1850</v>
      </c>
      <c r="Q71" s="136">
        <f t="shared" si="3"/>
        <v>2220</v>
      </c>
    </row>
    <row r="72">
      <c r="A72" s="125" t="s">
        <v>16</v>
      </c>
      <c r="B72" s="126">
        <v>4320.0</v>
      </c>
      <c r="C72" s="125" t="s">
        <v>17</v>
      </c>
      <c r="D72" s="127" t="s">
        <v>301</v>
      </c>
      <c r="E72" s="128" t="s">
        <v>301</v>
      </c>
      <c r="F72" s="129" t="s">
        <v>302</v>
      </c>
      <c r="G72" s="130" t="s">
        <v>303</v>
      </c>
      <c r="H72" s="131"/>
      <c r="I72" s="132">
        <v>36991.0</v>
      </c>
      <c r="J72" s="132">
        <v>45205.0</v>
      </c>
      <c r="K72" s="131"/>
      <c r="L72" s="133">
        <v>31.0</v>
      </c>
      <c r="M72" s="134">
        <v>45505.0</v>
      </c>
      <c r="N72" s="134">
        <v>45535.0</v>
      </c>
      <c r="O72" s="135">
        <f t="shared" si="1"/>
        <v>370</v>
      </c>
      <c r="P72" s="136">
        <f t="shared" si="2"/>
        <v>1850</v>
      </c>
      <c r="Q72" s="136">
        <f t="shared" si="3"/>
        <v>2220</v>
      </c>
    </row>
    <row r="73">
      <c r="A73" s="127" t="s">
        <v>16</v>
      </c>
      <c r="B73" s="129">
        <v>4320.0</v>
      </c>
      <c r="C73" s="127" t="s">
        <v>17</v>
      </c>
      <c r="D73" s="163" t="s">
        <v>432</v>
      </c>
      <c r="E73" s="128" t="s">
        <v>432</v>
      </c>
      <c r="F73" s="140"/>
      <c r="G73" s="145" t="s">
        <v>433</v>
      </c>
      <c r="H73" s="140"/>
      <c r="I73" s="146">
        <v>34504.0</v>
      </c>
      <c r="J73" s="146">
        <v>45481.0</v>
      </c>
      <c r="K73" s="140"/>
      <c r="L73" s="133">
        <v>31.0</v>
      </c>
      <c r="M73" s="134">
        <v>45505.0</v>
      </c>
      <c r="N73" s="134">
        <v>45535.0</v>
      </c>
      <c r="O73" s="135">
        <f t="shared" si="1"/>
        <v>370</v>
      </c>
      <c r="P73" s="136">
        <f t="shared" si="2"/>
        <v>1850</v>
      </c>
      <c r="Q73" s="136">
        <f t="shared" si="3"/>
        <v>2220</v>
      </c>
    </row>
    <row r="74">
      <c r="A74" s="127" t="s">
        <v>16</v>
      </c>
      <c r="B74" s="129">
        <v>4320.0</v>
      </c>
      <c r="C74" s="127" t="s">
        <v>17</v>
      </c>
      <c r="D74" s="163" t="s">
        <v>434</v>
      </c>
      <c r="E74" s="128" t="s">
        <v>434</v>
      </c>
      <c r="F74" s="140"/>
      <c r="G74" s="170" t="s">
        <v>435</v>
      </c>
      <c r="H74" s="140"/>
      <c r="I74" s="134">
        <v>37446.0</v>
      </c>
      <c r="J74" s="146">
        <v>45495.0</v>
      </c>
      <c r="K74" s="140"/>
      <c r="L74" s="133">
        <v>31.0</v>
      </c>
      <c r="M74" s="134">
        <v>45505.0</v>
      </c>
      <c r="N74" s="134">
        <v>45535.0</v>
      </c>
      <c r="O74" s="135">
        <f t="shared" si="1"/>
        <v>370</v>
      </c>
      <c r="P74" s="136">
        <f t="shared" si="2"/>
        <v>1850</v>
      </c>
      <c r="Q74" s="136">
        <f t="shared" si="3"/>
        <v>2220</v>
      </c>
    </row>
    <row r="75">
      <c r="A75" s="127" t="s">
        <v>16</v>
      </c>
      <c r="B75" s="129">
        <v>4320.0</v>
      </c>
      <c r="C75" s="127" t="s">
        <v>17</v>
      </c>
      <c r="D75" s="144" t="s">
        <v>401</v>
      </c>
      <c r="E75" s="128" t="s">
        <v>401</v>
      </c>
      <c r="F75" s="129" t="s">
        <v>402</v>
      </c>
      <c r="G75" s="130" t="s">
        <v>403</v>
      </c>
      <c r="H75" s="131"/>
      <c r="I75" s="132">
        <v>36433.0</v>
      </c>
      <c r="J75" s="148">
        <v>45432.0</v>
      </c>
      <c r="K75" s="131"/>
      <c r="L75" s="133">
        <v>31.0</v>
      </c>
      <c r="M75" s="134">
        <v>45505.0</v>
      </c>
      <c r="N75" s="134">
        <v>45535.0</v>
      </c>
      <c r="O75" s="135">
        <f t="shared" si="1"/>
        <v>370</v>
      </c>
      <c r="P75" s="136">
        <f t="shared" si="2"/>
        <v>1850</v>
      </c>
      <c r="Q75" s="136">
        <f t="shared" si="3"/>
        <v>2220</v>
      </c>
    </row>
    <row r="76">
      <c r="A76" s="127" t="s">
        <v>16</v>
      </c>
      <c r="B76" s="129">
        <v>4320.0</v>
      </c>
      <c r="C76" s="127" t="s">
        <v>17</v>
      </c>
      <c r="D76" s="128" t="s">
        <v>460</v>
      </c>
      <c r="E76" s="150" t="s">
        <v>460</v>
      </c>
      <c r="F76" s="151"/>
      <c r="G76" s="152" t="s">
        <v>461</v>
      </c>
      <c r="H76" s="131"/>
      <c r="I76" s="132">
        <v>36856.0</v>
      </c>
      <c r="J76" s="132">
        <v>45505.0</v>
      </c>
      <c r="K76" s="131"/>
      <c r="L76" s="133">
        <v>31.0</v>
      </c>
      <c r="M76" s="134">
        <v>45505.0</v>
      </c>
      <c r="N76" s="134">
        <v>45535.0</v>
      </c>
      <c r="O76" s="135">
        <f t="shared" si="1"/>
        <v>370</v>
      </c>
      <c r="P76" s="136">
        <f t="shared" si="2"/>
        <v>1850</v>
      </c>
      <c r="Q76" s="136">
        <f t="shared" si="3"/>
        <v>2220</v>
      </c>
    </row>
    <row r="77">
      <c r="A77" s="127" t="s">
        <v>16</v>
      </c>
      <c r="B77" s="129">
        <v>4320.0</v>
      </c>
      <c r="C77" s="127" t="s">
        <v>17</v>
      </c>
      <c r="D77" s="128" t="s">
        <v>462</v>
      </c>
      <c r="E77" s="150" t="s">
        <v>462</v>
      </c>
      <c r="F77" s="151"/>
      <c r="G77" s="152" t="s">
        <v>463</v>
      </c>
      <c r="H77" s="131"/>
      <c r="I77" s="132">
        <v>34588.0</v>
      </c>
      <c r="J77" s="132">
        <v>45530.0</v>
      </c>
      <c r="K77" s="131"/>
      <c r="L77" s="133">
        <v>6.0</v>
      </c>
      <c r="M77" s="134">
        <v>45505.0</v>
      </c>
      <c r="N77" s="134">
        <v>45535.0</v>
      </c>
      <c r="O77" s="135">
        <f t="shared" si="1"/>
        <v>72</v>
      </c>
      <c r="P77" s="136">
        <f t="shared" si="2"/>
        <v>360</v>
      </c>
      <c r="Q77" s="136">
        <f t="shared" si="3"/>
        <v>432</v>
      </c>
    </row>
    <row r="78">
      <c r="A78" s="127" t="s">
        <v>16</v>
      </c>
      <c r="B78" s="129">
        <v>4320.0</v>
      </c>
      <c r="C78" s="127" t="s">
        <v>17</v>
      </c>
      <c r="D78" s="143" t="s">
        <v>423</v>
      </c>
      <c r="E78" s="128" t="s">
        <v>423</v>
      </c>
      <c r="F78" s="140"/>
      <c r="G78" s="145" t="s">
        <v>424</v>
      </c>
      <c r="H78" s="140"/>
      <c r="I78" s="146">
        <v>37818.0</v>
      </c>
      <c r="J78" s="146">
        <v>45467.0</v>
      </c>
      <c r="K78" s="140"/>
      <c r="L78" s="133">
        <v>31.0</v>
      </c>
      <c r="M78" s="134">
        <v>45505.0</v>
      </c>
      <c r="N78" s="134">
        <v>45535.0</v>
      </c>
      <c r="O78" s="135">
        <f t="shared" si="1"/>
        <v>370</v>
      </c>
      <c r="P78" s="136">
        <f t="shared" si="2"/>
        <v>1850</v>
      </c>
      <c r="Q78" s="136">
        <f t="shared" si="3"/>
        <v>2220</v>
      </c>
    </row>
    <row r="79">
      <c r="A79" s="127" t="s">
        <v>16</v>
      </c>
      <c r="B79" s="129">
        <v>4320.0</v>
      </c>
      <c r="C79" s="127" t="s">
        <v>17</v>
      </c>
      <c r="D79" s="125" t="s">
        <v>304</v>
      </c>
      <c r="E79" s="128" t="s">
        <v>304</v>
      </c>
      <c r="F79" s="126" t="s">
        <v>305</v>
      </c>
      <c r="G79" s="139" t="s">
        <v>306</v>
      </c>
      <c r="H79" s="140"/>
      <c r="I79" s="141">
        <v>35697.0</v>
      </c>
      <c r="J79" s="141">
        <v>45348.0</v>
      </c>
      <c r="K79" s="140"/>
      <c r="L79" s="133">
        <v>31.0</v>
      </c>
      <c r="M79" s="134">
        <v>45505.0</v>
      </c>
      <c r="N79" s="134">
        <v>45535.0</v>
      </c>
      <c r="O79" s="135">
        <f t="shared" si="1"/>
        <v>370</v>
      </c>
      <c r="P79" s="136">
        <f t="shared" si="2"/>
        <v>1850</v>
      </c>
      <c r="Q79" s="136">
        <f t="shared" si="3"/>
        <v>2220</v>
      </c>
    </row>
    <row r="80">
      <c r="A80" s="125" t="s">
        <v>16</v>
      </c>
      <c r="B80" s="126">
        <v>4320.0</v>
      </c>
      <c r="C80" s="125" t="s">
        <v>17</v>
      </c>
      <c r="D80" s="127" t="s">
        <v>213</v>
      </c>
      <c r="E80" s="128" t="s">
        <v>213</v>
      </c>
      <c r="F80" s="129" t="s">
        <v>214</v>
      </c>
      <c r="G80" s="130" t="s">
        <v>215</v>
      </c>
      <c r="H80" s="131"/>
      <c r="I80" s="132">
        <v>36797.0</v>
      </c>
      <c r="J80" s="171">
        <v>44886.0</v>
      </c>
      <c r="K80" s="172"/>
      <c r="L80" s="133">
        <v>31.0</v>
      </c>
      <c r="M80" s="134">
        <v>45505.0</v>
      </c>
      <c r="N80" s="134">
        <v>45535.0</v>
      </c>
      <c r="O80" s="135">
        <f t="shared" si="1"/>
        <v>370</v>
      </c>
      <c r="P80" s="136">
        <f t="shared" si="2"/>
        <v>1850</v>
      </c>
      <c r="Q80" s="136">
        <f t="shared" si="3"/>
        <v>2220</v>
      </c>
    </row>
    <row r="81">
      <c r="A81" s="127" t="s">
        <v>16</v>
      </c>
      <c r="B81" s="129">
        <v>4320.0</v>
      </c>
      <c r="C81" s="127" t="s">
        <v>17</v>
      </c>
      <c r="D81" s="143" t="s">
        <v>425</v>
      </c>
      <c r="E81" s="128" t="s">
        <v>464</v>
      </c>
      <c r="F81" s="140"/>
      <c r="G81" s="145" t="s">
        <v>426</v>
      </c>
      <c r="H81" s="140"/>
      <c r="I81" s="146">
        <v>36530.0</v>
      </c>
      <c r="J81" s="146">
        <v>45446.0</v>
      </c>
      <c r="K81" s="140"/>
      <c r="L81" s="133">
        <v>31.0</v>
      </c>
      <c r="M81" s="134">
        <v>45505.0</v>
      </c>
      <c r="N81" s="134">
        <v>45535.0</v>
      </c>
      <c r="O81" s="135">
        <f t="shared" si="1"/>
        <v>370</v>
      </c>
      <c r="P81" s="136">
        <f t="shared" si="2"/>
        <v>1850</v>
      </c>
      <c r="Q81" s="136">
        <f t="shared" si="3"/>
        <v>2220</v>
      </c>
    </row>
    <row r="82">
      <c r="A82" s="125" t="s">
        <v>16</v>
      </c>
      <c r="B82" s="126">
        <v>4320.0</v>
      </c>
      <c r="C82" s="125" t="s">
        <v>17</v>
      </c>
      <c r="D82" s="127" t="s">
        <v>442</v>
      </c>
      <c r="E82" s="128" t="s">
        <v>442</v>
      </c>
      <c r="F82" s="129" t="s">
        <v>217</v>
      </c>
      <c r="G82" s="130" t="s">
        <v>218</v>
      </c>
      <c r="H82" s="131"/>
      <c r="I82" s="132">
        <v>33769.0</v>
      </c>
      <c r="J82" s="132">
        <v>44816.0</v>
      </c>
      <c r="K82" s="131"/>
      <c r="L82" s="133">
        <v>31.0</v>
      </c>
      <c r="M82" s="134">
        <v>45505.0</v>
      </c>
      <c r="N82" s="134">
        <v>45535.0</v>
      </c>
      <c r="O82" s="135">
        <f t="shared" si="1"/>
        <v>370</v>
      </c>
      <c r="P82" s="136">
        <f t="shared" si="2"/>
        <v>1850</v>
      </c>
      <c r="Q82" s="136">
        <f t="shared" si="3"/>
        <v>2220</v>
      </c>
    </row>
    <row r="83">
      <c r="A83" s="125" t="s">
        <v>16</v>
      </c>
      <c r="B83" s="126">
        <v>4320.0</v>
      </c>
      <c r="C83" s="125" t="s">
        <v>17</v>
      </c>
      <c r="D83" s="137" t="s">
        <v>404</v>
      </c>
      <c r="E83" s="128" t="s">
        <v>404</v>
      </c>
      <c r="F83" s="129" t="s">
        <v>405</v>
      </c>
      <c r="G83" s="130" t="s">
        <v>406</v>
      </c>
      <c r="H83" s="131"/>
      <c r="I83" s="132">
        <v>35973.0</v>
      </c>
      <c r="J83" s="148">
        <v>45414.0</v>
      </c>
      <c r="K83" s="173">
        <v>45535.0</v>
      </c>
      <c r="L83" s="133">
        <v>31.0</v>
      </c>
      <c r="M83" s="134">
        <v>45505.0</v>
      </c>
      <c r="N83" s="134">
        <v>45535.0</v>
      </c>
      <c r="O83" s="135">
        <f t="shared" si="1"/>
        <v>370</v>
      </c>
      <c r="P83" s="136">
        <f t="shared" si="2"/>
        <v>1850</v>
      </c>
      <c r="Q83" s="136">
        <f t="shared" si="3"/>
        <v>2220</v>
      </c>
    </row>
    <row r="84">
      <c r="A84" s="127" t="s">
        <v>16</v>
      </c>
      <c r="B84" s="129">
        <v>4320.0</v>
      </c>
      <c r="C84" s="127" t="s">
        <v>17</v>
      </c>
      <c r="D84" s="143" t="s">
        <v>427</v>
      </c>
      <c r="E84" s="128" t="s">
        <v>427</v>
      </c>
      <c r="F84" s="140"/>
      <c r="G84" s="145" t="s">
        <v>428</v>
      </c>
      <c r="H84" s="140"/>
      <c r="I84" s="146">
        <v>36451.0</v>
      </c>
      <c r="J84" s="146">
        <v>45453.0</v>
      </c>
      <c r="K84" s="140"/>
      <c r="L84" s="133">
        <v>31.0</v>
      </c>
      <c r="M84" s="134">
        <v>45505.0</v>
      </c>
      <c r="N84" s="134">
        <v>45535.0</v>
      </c>
      <c r="O84" s="135">
        <f t="shared" si="1"/>
        <v>370</v>
      </c>
      <c r="P84" s="136">
        <f t="shared" si="2"/>
        <v>1850</v>
      </c>
      <c r="Q84" s="136">
        <f t="shared" si="3"/>
        <v>2220</v>
      </c>
    </row>
    <row r="85">
      <c r="A85" s="127" t="s">
        <v>16</v>
      </c>
      <c r="B85" s="129">
        <v>4320.0</v>
      </c>
      <c r="C85" s="127" t="s">
        <v>17</v>
      </c>
      <c r="D85" s="125" t="s">
        <v>222</v>
      </c>
      <c r="E85" s="128" t="s">
        <v>222</v>
      </c>
      <c r="F85" s="126" t="s">
        <v>223</v>
      </c>
      <c r="G85" s="139" t="s">
        <v>224</v>
      </c>
      <c r="H85" s="140"/>
      <c r="I85" s="141">
        <v>35818.0</v>
      </c>
      <c r="J85" s="141">
        <v>45089.0</v>
      </c>
      <c r="K85" s="140"/>
      <c r="L85" s="133">
        <v>31.0</v>
      </c>
      <c r="M85" s="134">
        <v>45505.0</v>
      </c>
      <c r="N85" s="134">
        <v>45535.0</v>
      </c>
      <c r="O85" s="135">
        <f t="shared" si="1"/>
        <v>370</v>
      </c>
      <c r="P85" s="136">
        <f t="shared" si="2"/>
        <v>1850</v>
      </c>
      <c r="Q85" s="136">
        <f t="shared" si="3"/>
        <v>2220</v>
      </c>
    </row>
    <row r="86">
      <c r="A86" s="125" t="s">
        <v>16</v>
      </c>
      <c r="B86" s="126">
        <v>4320.0</v>
      </c>
      <c r="C86" s="125" t="s">
        <v>17</v>
      </c>
      <c r="D86" s="127" t="s">
        <v>225</v>
      </c>
      <c r="E86" s="128" t="s">
        <v>225</v>
      </c>
      <c r="F86" s="129" t="s">
        <v>226</v>
      </c>
      <c r="G86" s="130" t="s">
        <v>227</v>
      </c>
      <c r="H86" s="131"/>
      <c r="I86" s="132">
        <v>36177.0</v>
      </c>
      <c r="J86" s="132">
        <v>45320.0</v>
      </c>
      <c r="K86" s="131"/>
      <c r="L86" s="133">
        <v>31.0</v>
      </c>
      <c r="M86" s="134">
        <v>45505.0</v>
      </c>
      <c r="N86" s="134">
        <v>45535.0</v>
      </c>
      <c r="O86" s="135">
        <f t="shared" si="1"/>
        <v>370</v>
      </c>
      <c r="P86" s="136">
        <f t="shared" si="2"/>
        <v>1850</v>
      </c>
      <c r="Q86" s="136">
        <f t="shared" si="3"/>
        <v>2220</v>
      </c>
    </row>
    <row r="87">
      <c r="A87" s="125" t="s">
        <v>16</v>
      </c>
      <c r="B87" s="126">
        <v>4320.0</v>
      </c>
      <c r="C87" s="125" t="s">
        <v>17</v>
      </c>
      <c r="D87" s="149" t="s">
        <v>465</v>
      </c>
      <c r="E87" s="150" t="s">
        <v>465</v>
      </c>
      <c r="F87" s="151"/>
      <c r="G87" s="152" t="s">
        <v>466</v>
      </c>
      <c r="H87" s="131"/>
      <c r="I87" s="132">
        <v>36881.0</v>
      </c>
      <c r="J87" s="153">
        <v>45523.0</v>
      </c>
      <c r="K87" s="131"/>
      <c r="L87" s="133">
        <v>13.0</v>
      </c>
      <c r="M87" s="134">
        <v>45505.0</v>
      </c>
      <c r="N87" s="134">
        <v>45535.0</v>
      </c>
      <c r="O87" s="135">
        <f t="shared" si="1"/>
        <v>156</v>
      </c>
      <c r="P87" s="136">
        <f t="shared" si="2"/>
        <v>780</v>
      </c>
      <c r="Q87" s="136">
        <f t="shared" si="3"/>
        <v>936</v>
      </c>
    </row>
    <row r="88">
      <c r="A88" s="127" t="s">
        <v>16</v>
      </c>
      <c r="B88" s="129">
        <v>4320.0</v>
      </c>
      <c r="C88" s="127" t="s">
        <v>17</v>
      </c>
      <c r="D88" s="125" t="s">
        <v>307</v>
      </c>
      <c r="E88" s="128" t="s">
        <v>307</v>
      </c>
      <c r="F88" s="126" t="s">
        <v>308</v>
      </c>
      <c r="G88" s="139" t="s">
        <v>309</v>
      </c>
      <c r="H88" s="140"/>
      <c r="I88" s="141">
        <v>36522.0</v>
      </c>
      <c r="J88" s="141">
        <v>45328.0</v>
      </c>
      <c r="K88" s="140"/>
      <c r="L88" s="133">
        <v>31.0</v>
      </c>
      <c r="M88" s="134">
        <v>45505.0</v>
      </c>
      <c r="N88" s="134">
        <v>45535.0</v>
      </c>
      <c r="O88" s="135">
        <f t="shared" si="1"/>
        <v>370</v>
      </c>
      <c r="P88" s="136">
        <f t="shared" si="2"/>
        <v>1850</v>
      </c>
      <c r="Q88" s="136">
        <f t="shared" si="3"/>
        <v>2220</v>
      </c>
    </row>
    <row r="89">
      <c r="A89" s="125" t="s">
        <v>16</v>
      </c>
      <c r="B89" s="126">
        <v>4320.0</v>
      </c>
      <c r="C89" s="125" t="s">
        <v>17</v>
      </c>
      <c r="D89" s="127" t="s">
        <v>228</v>
      </c>
      <c r="E89" s="128" t="s">
        <v>228</v>
      </c>
      <c r="F89" s="129" t="s">
        <v>229</v>
      </c>
      <c r="G89" s="130" t="s">
        <v>230</v>
      </c>
      <c r="H89" s="131"/>
      <c r="I89" s="132">
        <v>35743.0</v>
      </c>
      <c r="J89" s="132">
        <v>45222.0</v>
      </c>
      <c r="K89" s="131"/>
      <c r="L89" s="133">
        <v>31.0</v>
      </c>
      <c r="M89" s="134">
        <v>45505.0</v>
      </c>
      <c r="N89" s="134">
        <v>45535.0</v>
      </c>
      <c r="O89" s="135">
        <f t="shared" si="1"/>
        <v>370</v>
      </c>
      <c r="P89" s="136">
        <f t="shared" si="2"/>
        <v>1850</v>
      </c>
      <c r="Q89" s="136">
        <f t="shared" si="3"/>
        <v>2220</v>
      </c>
    </row>
    <row r="90">
      <c r="Q90" s="53">
        <f>SUM(Q2:Q89)</f>
        <v>189576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5"/>
    <col hidden="1" min="5" max="5" width="12.63"/>
  </cols>
  <sheetData>
    <row r="1">
      <c r="A1" s="174" t="s">
        <v>0</v>
      </c>
      <c r="B1" s="174" t="s">
        <v>1</v>
      </c>
      <c r="C1" s="174" t="s">
        <v>2</v>
      </c>
      <c r="D1" s="174" t="s">
        <v>3</v>
      </c>
      <c r="E1" s="174" t="s">
        <v>443</v>
      </c>
      <c r="F1" s="174" t="s">
        <v>4</v>
      </c>
      <c r="G1" s="175" t="s">
        <v>5</v>
      </c>
      <c r="H1" s="174" t="s">
        <v>6</v>
      </c>
      <c r="I1" s="174" t="s">
        <v>7</v>
      </c>
      <c r="J1" s="175" t="s">
        <v>8</v>
      </c>
      <c r="K1" s="175" t="s">
        <v>9</v>
      </c>
      <c r="L1" s="175" t="s">
        <v>10</v>
      </c>
      <c r="M1" s="175" t="s">
        <v>11</v>
      </c>
      <c r="N1" s="175" t="s">
        <v>12</v>
      </c>
      <c r="O1" s="175" t="s">
        <v>379</v>
      </c>
      <c r="P1" s="175" t="s">
        <v>14</v>
      </c>
      <c r="Q1" s="175" t="s">
        <v>15</v>
      </c>
    </row>
    <row r="2">
      <c r="A2" s="176" t="s">
        <v>16</v>
      </c>
      <c r="B2" s="177">
        <v>4320.0</v>
      </c>
      <c r="C2" s="176" t="s">
        <v>17</v>
      </c>
      <c r="D2" s="178" t="s">
        <v>261</v>
      </c>
      <c r="E2" s="179" t="s">
        <v>261</v>
      </c>
      <c r="F2" s="180" t="s">
        <v>262</v>
      </c>
      <c r="G2" s="181" t="s">
        <v>263</v>
      </c>
      <c r="H2" s="182"/>
      <c r="I2" s="183">
        <v>36617.0</v>
      </c>
      <c r="J2" s="183">
        <v>45299.0</v>
      </c>
      <c r="K2" s="182"/>
      <c r="L2" s="184">
        <v>30.0</v>
      </c>
      <c r="M2" s="185">
        <v>45536.0</v>
      </c>
      <c r="N2" s="185">
        <v>45565.0</v>
      </c>
      <c r="O2" s="186">
        <f t="shared" ref="O2:O86" si="1">ROUNDUP(L2/30*370,0)</f>
        <v>370</v>
      </c>
      <c r="P2" s="187">
        <f t="shared" ref="P2:P86" si="2">O2*5</f>
        <v>1850</v>
      </c>
      <c r="Q2" s="187">
        <f t="shared" ref="Q2:Q86" si="3">O2+P2</f>
        <v>2220</v>
      </c>
    </row>
    <row r="3">
      <c r="A3" s="176" t="s">
        <v>16</v>
      </c>
      <c r="B3" s="177">
        <v>4320.0</v>
      </c>
      <c r="C3" s="176" t="s">
        <v>17</v>
      </c>
      <c r="D3" s="188" t="s">
        <v>361</v>
      </c>
      <c r="E3" s="179" t="s">
        <v>436</v>
      </c>
      <c r="F3" s="180" t="s">
        <v>362</v>
      </c>
      <c r="G3" s="189" t="s">
        <v>363</v>
      </c>
      <c r="H3" s="182"/>
      <c r="I3" s="183">
        <v>37149.0</v>
      </c>
      <c r="J3" s="183">
        <v>45397.0</v>
      </c>
      <c r="K3" s="182"/>
      <c r="L3" s="184">
        <v>30.0</v>
      </c>
      <c r="M3" s="185">
        <v>45536.0</v>
      </c>
      <c r="N3" s="185">
        <v>45565.0</v>
      </c>
      <c r="O3" s="186">
        <f t="shared" si="1"/>
        <v>370</v>
      </c>
      <c r="P3" s="187">
        <f t="shared" si="2"/>
        <v>1850</v>
      </c>
      <c r="Q3" s="187">
        <f t="shared" si="3"/>
        <v>2220</v>
      </c>
    </row>
    <row r="4">
      <c r="A4" s="178" t="s">
        <v>16</v>
      </c>
      <c r="B4" s="180">
        <v>4320.0</v>
      </c>
      <c r="C4" s="178" t="s">
        <v>17</v>
      </c>
      <c r="D4" s="176" t="s">
        <v>437</v>
      </c>
      <c r="E4" s="179" t="s">
        <v>437</v>
      </c>
      <c r="F4" s="177" t="s">
        <v>22</v>
      </c>
      <c r="G4" s="190" t="s">
        <v>23</v>
      </c>
      <c r="H4" s="191"/>
      <c r="I4" s="192">
        <v>36358.0</v>
      </c>
      <c r="J4" s="192">
        <v>45027.0</v>
      </c>
      <c r="K4" s="191"/>
      <c r="L4" s="184">
        <v>30.0</v>
      </c>
      <c r="M4" s="185">
        <v>45536.0</v>
      </c>
      <c r="N4" s="185">
        <v>45565.0</v>
      </c>
      <c r="O4" s="186">
        <f t="shared" si="1"/>
        <v>370</v>
      </c>
      <c r="P4" s="187">
        <f t="shared" si="2"/>
        <v>1850</v>
      </c>
      <c r="Q4" s="187">
        <f t="shared" si="3"/>
        <v>2220</v>
      </c>
    </row>
    <row r="5">
      <c r="A5" s="178" t="s">
        <v>16</v>
      </c>
      <c r="B5" s="180">
        <v>4320.0</v>
      </c>
      <c r="C5" s="178" t="s">
        <v>17</v>
      </c>
      <c r="D5" s="193" t="s">
        <v>408</v>
      </c>
      <c r="E5" s="194" t="s">
        <v>408</v>
      </c>
      <c r="F5" s="195" t="s">
        <v>409</v>
      </c>
      <c r="G5" s="196" t="s">
        <v>410</v>
      </c>
      <c r="H5" s="191"/>
      <c r="I5" s="197">
        <v>37978.0</v>
      </c>
      <c r="J5" s="197">
        <v>45453.0</v>
      </c>
      <c r="K5" s="191"/>
      <c r="L5" s="184">
        <v>30.0</v>
      </c>
      <c r="M5" s="185">
        <v>45536.0</v>
      </c>
      <c r="N5" s="185">
        <v>45565.0</v>
      </c>
      <c r="O5" s="186">
        <f t="shared" si="1"/>
        <v>370</v>
      </c>
      <c r="P5" s="187">
        <f t="shared" si="2"/>
        <v>1850</v>
      </c>
      <c r="Q5" s="187">
        <f t="shared" si="3"/>
        <v>2220</v>
      </c>
    </row>
    <row r="6">
      <c r="A6" s="178" t="s">
        <v>16</v>
      </c>
      <c r="B6" s="180">
        <v>4320.0</v>
      </c>
      <c r="C6" s="178" t="s">
        <v>17</v>
      </c>
      <c r="D6" s="176" t="s">
        <v>30</v>
      </c>
      <c r="E6" s="198" t="s">
        <v>30</v>
      </c>
      <c r="F6" s="177" t="s">
        <v>31</v>
      </c>
      <c r="G6" s="190" t="s">
        <v>32</v>
      </c>
      <c r="H6" s="191"/>
      <c r="I6" s="192">
        <v>35997.0</v>
      </c>
      <c r="J6" s="199">
        <v>45061.0</v>
      </c>
      <c r="K6" s="200">
        <v>45565.0</v>
      </c>
      <c r="L6" s="184">
        <v>30.0</v>
      </c>
      <c r="M6" s="185">
        <v>45536.0</v>
      </c>
      <c r="N6" s="185">
        <v>45565.0</v>
      </c>
      <c r="O6" s="186">
        <f t="shared" si="1"/>
        <v>370</v>
      </c>
      <c r="P6" s="187">
        <f t="shared" si="2"/>
        <v>1850</v>
      </c>
      <c r="Q6" s="187">
        <f t="shared" si="3"/>
        <v>2220</v>
      </c>
    </row>
    <row r="7">
      <c r="A7" s="178" t="s">
        <v>16</v>
      </c>
      <c r="B7" s="180">
        <v>4320.0</v>
      </c>
      <c r="C7" s="178" t="s">
        <v>17</v>
      </c>
      <c r="D7" s="176" t="s">
        <v>246</v>
      </c>
      <c r="E7" s="179" t="s">
        <v>246</v>
      </c>
      <c r="F7" s="177" t="s">
        <v>247</v>
      </c>
      <c r="G7" s="190" t="s">
        <v>248</v>
      </c>
      <c r="H7" s="191"/>
      <c r="I7" s="192">
        <v>36353.0</v>
      </c>
      <c r="J7" s="192">
        <v>45278.0</v>
      </c>
      <c r="L7" s="184">
        <v>30.0</v>
      </c>
      <c r="M7" s="185">
        <v>45536.0</v>
      </c>
      <c r="N7" s="185">
        <v>45565.0</v>
      </c>
      <c r="O7" s="186">
        <f t="shared" si="1"/>
        <v>370</v>
      </c>
      <c r="P7" s="187">
        <f t="shared" si="2"/>
        <v>1850</v>
      </c>
      <c r="Q7" s="187">
        <f t="shared" si="3"/>
        <v>2220</v>
      </c>
    </row>
    <row r="8">
      <c r="A8" s="176" t="s">
        <v>16</v>
      </c>
      <c r="B8" s="177">
        <v>4320.0</v>
      </c>
      <c r="C8" s="176" t="s">
        <v>17</v>
      </c>
      <c r="D8" s="178" t="s">
        <v>316</v>
      </c>
      <c r="E8" s="179" t="s">
        <v>316</v>
      </c>
      <c r="F8" s="180" t="s">
        <v>317</v>
      </c>
      <c r="G8" s="181" t="s">
        <v>318</v>
      </c>
      <c r="H8" s="182"/>
      <c r="I8" s="183">
        <v>37274.0</v>
      </c>
      <c r="J8" s="183">
        <v>45362.0</v>
      </c>
      <c r="K8" s="182"/>
      <c r="L8" s="184">
        <v>30.0</v>
      </c>
      <c r="M8" s="185">
        <v>45536.0</v>
      </c>
      <c r="N8" s="185">
        <v>45565.0</v>
      </c>
      <c r="O8" s="186">
        <f t="shared" si="1"/>
        <v>370</v>
      </c>
      <c r="P8" s="187">
        <f t="shared" si="2"/>
        <v>1850</v>
      </c>
      <c r="Q8" s="187">
        <f t="shared" si="3"/>
        <v>2220</v>
      </c>
    </row>
    <row r="9">
      <c r="A9" s="176" t="s">
        <v>16</v>
      </c>
      <c r="B9" s="177">
        <v>4320.0</v>
      </c>
      <c r="C9" s="176" t="s">
        <v>17</v>
      </c>
      <c r="D9" s="178" t="s">
        <v>264</v>
      </c>
      <c r="E9" s="179" t="s">
        <v>264</v>
      </c>
      <c r="F9" s="180" t="s">
        <v>265</v>
      </c>
      <c r="G9" s="181" t="s">
        <v>266</v>
      </c>
      <c r="H9" s="182"/>
      <c r="I9" s="201">
        <v>37398.0</v>
      </c>
      <c r="J9" s="183">
        <v>45096.0</v>
      </c>
      <c r="K9" s="182"/>
      <c r="L9" s="184">
        <v>30.0</v>
      </c>
      <c r="M9" s="185">
        <v>45536.0</v>
      </c>
      <c r="N9" s="185">
        <v>45565.0</v>
      </c>
      <c r="O9" s="186">
        <f t="shared" si="1"/>
        <v>370</v>
      </c>
      <c r="P9" s="187">
        <f t="shared" si="2"/>
        <v>1850</v>
      </c>
      <c r="Q9" s="187">
        <f t="shared" si="3"/>
        <v>2220</v>
      </c>
    </row>
    <row r="10">
      <c r="A10" s="176" t="s">
        <v>16</v>
      </c>
      <c r="B10" s="177">
        <v>4320.0</v>
      </c>
      <c r="C10" s="176" t="s">
        <v>17</v>
      </c>
      <c r="D10" s="178" t="s">
        <v>319</v>
      </c>
      <c r="E10" s="179" t="s">
        <v>444</v>
      </c>
      <c r="F10" s="180" t="s">
        <v>320</v>
      </c>
      <c r="G10" s="181" t="s">
        <v>321</v>
      </c>
      <c r="H10" s="182"/>
      <c r="I10" s="183">
        <v>36360.0</v>
      </c>
      <c r="J10" s="183">
        <v>45355.0</v>
      </c>
      <c r="K10" s="182"/>
      <c r="L10" s="184">
        <v>30.0</v>
      </c>
      <c r="M10" s="185">
        <v>45536.0</v>
      </c>
      <c r="N10" s="185">
        <v>45565.0</v>
      </c>
      <c r="O10" s="186">
        <f t="shared" si="1"/>
        <v>370</v>
      </c>
      <c r="P10" s="187">
        <f t="shared" si="2"/>
        <v>1850</v>
      </c>
      <c r="Q10" s="187">
        <f t="shared" si="3"/>
        <v>2220</v>
      </c>
    </row>
    <row r="11">
      <c r="A11" s="178" t="s">
        <v>16</v>
      </c>
      <c r="B11" s="180">
        <v>4320.0</v>
      </c>
      <c r="C11" s="178" t="s">
        <v>17</v>
      </c>
      <c r="D11" s="193" t="s">
        <v>411</v>
      </c>
      <c r="E11" s="179" t="s">
        <v>411</v>
      </c>
      <c r="F11" s="195" t="s">
        <v>412</v>
      </c>
      <c r="G11" s="196" t="s">
        <v>413</v>
      </c>
      <c r="H11" s="191"/>
      <c r="I11" s="197">
        <v>33230.0</v>
      </c>
      <c r="J11" s="197">
        <v>45453.0</v>
      </c>
      <c r="K11" s="191"/>
      <c r="L11" s="184">
        <v>30.0</v>
      </c>
      <c r="M11" s="185">
        <v>45536.0</v>
      </c>
      <c r="N11" s="185">
        <v>45565.0</v>
      </c>
      <c r="O11" s="186">
        <f t="shared" si="1"/>
        <v>370</v>
      </c>
      <c r="P11" s="187">
        <f t="shared" si="2"/>
        <v>1850</v>
      </c>
      <c r="Q11" s="187">
        <f t="shared" si="3"/>
        <v>2220</v>
      </c>
    </row>
    <row r="12">
      <c r="A12" s="176" t="s">
        <v>16</v>
      </c>
      <c r="B12" s="177">
        <v>4320.0</v>
      </c>
      <c r="C12" s="176" t="s">
        <v>17</v>
      </c>
      <c r="D12" s="178" t="s">
        <v>282</v>
      </c>
      <c r="E12" s="179" t="s">
        <v>282</v>
      </c>
      <c r="F12" s="180" t="s">
        <v>283</v>
      </c>
      <c r="G12" s="181" t="s">
        <v>284</v>
      </c>
      <c r="H12" s="182"/>
      <c r="I12" s="183">
        <v>35047.0</v>
      </c>
      <c r="J12" s="183">
        <v>45257.0</v>
      </c>
      <c r="K12" s="182"/>
      <c r="L12" s="184">
        <v>30.0</v>
      </c>
      <c r="M12" s="185">
        <v>45536.0</v>
      </c>
      <c r="N12" s="185">
        <v>45565.0</v>
      </c>
      <c r="O12" s="186">
        <f t="shared" si="1"/>
        <v>370</v>
      </c>
      <c r="P12" s="187">
        <f t="shared" si="2"/>
        <v>1850</v>
      </c>
      <c r="Q12" s="187">
        <f t="shared" si="3"/>
        <v>2220</v>
      </c>
    </row>
    <row r="13">
      <c r="A13" s="178" t="s">
        <v>16</v>
      </c>
      <c r="B13" s="180">
        <v>4320.0</v>
      </c>
      <c r="C13" s="178" t="s">
        <v>17</v>
      </c>
      <c r="D13" s="176" t="s">
        <v>45</v>
      </c>
      <c r="E13" s="179" t="s">
        <v>45</v>
      </c>
      <c r="F13" s="177" t="s">
        <v>46</v>
      </c>
      <c r="G13" s="190" t="s">
        <v>47</v>
      </c>
      <c r="H13" s="191"/>
      <c r="I13" s="192">
        <v>37370.0</v>
      </c>
      <c r="J13" s="192">
        <v>44739.0</v>
      </c>
      <c r="K13" s="191"/>
      <c r="L13" s="184">
        <v>30.0</v>
      </c>
      <c r="M13" s="185">
        <v>45536.0</v>
      </c>
      <c r="N13" s="185">
        <v>45565.0</v>
      </c>
      <c r="O13" s="186">
        <f t="shared" si="1"/>
        <v>370</v>
      </c>
      <c r="P13" s="187">
        <f t="shared" si="2"/>
        <v>1850</v>
      </c>
      <c r="Q13" s="187">
        <f t="shared" si="3"/>
        <v>2220</v>
      </c>
    </row>
    <row r="14">
      <c r="A14" s="178" t="s">
        <v>16</v>
      </c>
      <c r="B14" s="180">
        <v>4320.0</v>
      </c>
      <c r="C14" s="178" t="s">
        <v>17</v>
      </c>
      <c r="D14" s="176" t="s">
        <v>48</v>
      </c>
      <c r="E14" s="179" t="s">
        <v>48</v>
      </c>
      <c r="F14" s="177" t="s">
        <v>49</v>
      </c>
      <c r="G14" s="190" t="s">
        <v>50</v>
      </c>
      <c r="H14" s="191"/>
      <c r="I14" s="192">
        <v>36399.0</v>
      </c>
      <c r="J14" s="192">
        <v>45229.0</v>
      </c>
      <c r="K14" s="191"/>
      <c r="L14" s="184">
        <v>30.0</v>
      </c>
      <c r="M14" s="185">
        <v>45536.0</v>
      </c>
      <c r="N14" s="185">
        <v>45565.0</v>
      </c>
      <c r="O14" s="186">
        <f t="shared" si="1"/>
        <v>370</v>
      </c>
      <c r="P14" s="187">
        <f t="shared" si="2"/>
        <v>1850</v>
      </c>
      <c r="Q14" s="187">
        <f t="shared" si="3"/>
        <v>2220</v>
      </c>
    </row>
    <row r="15">
      <c r="A15" s="176" t="s">
        <v>16</v>
      </c>
      <c r="B15" s="177">
        <v>4320.0</v>
      </c>
      <c r="C15" s="176" t="s">
        <v>17</v>
      </c>
      <c r="D15" s="176" t="s">
        <v>383</v>
      </c>
      <c r="E15" s="179" t="s">
        <v>383</v>
      </c>
      <c r="F15" s="177" t="s">
        <v>384</v>
      </c>
      <c r="G15" s="190" t="s">
        <v>385</v>
      </c>
      <c r="H15" s="191"/>
      <c r="I15" s="192">
        <v>36183.0</v>
      </c>
      <c r="J15" s="199">
        <v>45418.0</v>
      </c>
      <c r="K15" s="191"/>
      <c r="L15" s="184">
        <v>30.0</v>
      </c>
      <c r="M15" s="185">
        <v>45536.0</v>
      </c>
      <c r="N15" s="185">
        <v>45565.0</v>
      </c>
      <c r="O15" s="186">
        <f t="shared" si="1"/>
        <v>370</v>
      </c>
      <c r="P15" s="187">
        <f t="shared" si="2"/>
        <v>1850</v>
      </c>
      <c r="Q15" s="187">
        <f t="shared" si="3"/>
        <v>2220</v>
      </c>
    </row>
    <row r="16">
      <c r="A16" s="178" t="s">
        <v>16</v>
      </c>
      <c r="B16" s="180">
        <v>4320.0</v>
      </c>
      <c r="C16" s="178" t="s">
        <v>17</v>
      </c>
      <c r="D16" s="176" t="s">
        <v>325</v>
      </c>
      <c r="E16" s="202" t="s">
        <v>325</v>
      </c>
      <c r="F16" s="177" t="s">
        <v>326</v>
      </c>
      <c r="G16" s="190" t="s">
        <v>327</v>
      </c>
      <c r="H16" s="191"/>
      <c r="I16" s="192">
        <v>36962.0</v>
      </c>
      <c r="J16" s="192">
        <v>45376.0</v>
      </c>
      <c r="K16" s="200">
        <v>45565.0</v>
      </c>
      <c r="L16" s="184">
        <v>30.0</v>
      </c>
      <c r="M16" s="185">
        <v>45536.0</v>
      </c>
      <c r="N16" s="185">
        <v>45565.0</v>
      </c>
      <c r="O16" s="186">
        <f t="shared" si="1"/>
        <v>370</v>
      </c>
      <c r="P16" s="187">
        <f t="shared" si="2"/>
        <v>1850</v>
      </c>
      <c r="Q16" s="187">
        <f t="shared" si="3"/>
        <v>2220</v>
      </c>
    </row>
    <row r="17">
      <c r="A17" s="176" t="s">
        <v>16</v>
      </c>
      <c r="B17" s="177">
        <v>4320.0</v>
      </c>
      <c r="C17" s="176" t="s">
        <v>17</v>
      </c>
      <c r="D17" s="178" t="s">
        <v>285</v>
      </c>
      <c r="E17" s="179" t="s">
        <v>285</v>
      </c>
      <c r="F17" s="180" t="s">
        <v>286</v>
      </c>
      <c r="G17" s="181" t="s">
        <v>287</v>
      </c>
      <c r="H17" s="182"/>
      <c r="I17" s="201">
        <v>37377.0</v>
      </c>
      <c r="J17" s="183">
        <v>45334.0</v>
      </c>
      <c r="K17" s="182"/>
      <c r="L17" s="184">
        <v>30.0</v>
      </c>
      <c r="M17" s="185">
        <v>45536.0</v>
      </c>
      <c r="N17" s="185">
        <v>45565.0</v>
      </c>
      <c r="O17" s="186">
        <f t="shared" si="1"/>
        <v>370</v>
      </c>
      <c r="P17" s="187">
        <f t="shared" si="2"/>
        <v>1850</v>
      </c>
      <c r="Q17" s="187">
        <f t="shared" si="3"/>
        <v>2220</v>
      </c>
    </row>
    <row r="18">
      <c r="A18" s="178" t="s">
        <v>16</v>
      </c>
      <c r="B18" s="180">
        <v>4320.0</v>
      </c>
      <c r="C18" s="178" t="s">
        <v>17</v>
      </c>
      <c r="D18" s="176" t="s">
        <v>288</v>
      </c>
      <c r="E18" s="179" t="s">
        <v>288</v>
      </c>
      <c r="F18" s="177" t="s">
        <v>289</v>
      </c>
      <c r="G18" s="190" t="s">
        <v>290</v>
      </c>
      <c r="H18" s="191"/>
      <c r="I18" s="192">
        <v>37047.0</v>
      </c>
      <c r="J18" s="192">
        <v>45257.0</v>
      </c>
      <c r="K18" s="191"/>
      <c r="L18" s="184">
        <v>30.0</v>
      </c>
      <c r="M18" s="185">
        <v>45536.0</v>
      </c>
      <c r="N18" s="185">
        <v>45565.0</v>
      </c>
      <c r="O18" s="186">
        <f t="shared" si="1"/>
        <v>370</v>
      </c>
      <c r="P18" s="187">
        <f t="shared" si="2"/>
        <v>1850</v>
      </c>
      <c r="Q18" s="187">
        <f t="shared" si="3"/>
        <v>2220</v>
      </c>
    </row>
    <row r="19">
      <c r="A19" s="176" t="s">
        <v>16</v>
      </c>
      <c r="B19" s="177">
        <v>4320.0</v>
      </c>
      <c r="C19" s="176" t="s">
        <v>17</v>
      </c>
      <c r="D19" s="178" t="s">
        <v>51</v>
      </c>
      <c r="E19" s="179" t="s">
        <v>51</v>
      </c>
      <c r="F19" s="180" t="s">
        <v>52</v>
      </c>
      <c r="G19" s="181" t="s">
        <v>53</v>
      </c>
      <c r="H19" s="182"/>
      <c r="I19" s="183">
        <v>34601.0</v>
      </c>
      <c r="J19" s="183">
        <v>44986.0</v>
      </c>
      <c r="K19" s="182"/>
      <c r="L19" s="184">
        <v>30.0</v>
      </c>
      <c r="M19" s="185">
        <v>45536.0</v>
      </c>
      <c r="N19" s="185">
        <v>45565.0</v>
      </c>
      <c r="O19" s="186">
        <f t="shared" si="1"/>
        <v>370</v>
      </c>
      <c r="P19" s="187">
        <f t="shared" si="2"/>
        <v>1850</v>
      </c>
      <c r="Q19" s="187">
        <f t="shared" si="3"/>
        <v>2220</v>
      </c>
    </row>
    <row r="20">
      <c r="A20" s="176" t="s">
        <v>16</v>
      </c>
      <c r="B20" s="177">
        <v>4320.0</v>
      </c>
      <c r="C20" s="176" t="s">
        <v>17</v>
      </c>
      <c r="D20" s="149" t="s">
        <v>445</v>
      </c>
      <c r="E20" s="179" t="s">
        <v>445</v>
      </c>
      <c r="F20" s="203"/>
      <c r="G20" s="181" t="s">
        <v>447</v>
      </c>
      <c r="H20" s="182"/>
      <c r="I20" s="183">
        <v>37047.0</v>
      </c>
      <c r="J20" s="183">
        <v>45505.0</v>
      </c>
      <c r="K20" s="182"/>
      <c r="L20" s="184">
        <v>30.0</v>
      </c>
      <c r="M20" s="185">
        <v>45536.0</v>
      </c>
      <c r="N20" s="185">
        <v>45565.0</v>
      </c>
      <c r="O20" s="186">
        <f t="shared" si="1"/>
        <v>370</v>
      </c>
      <c r="P20" s="187">
        <f t="shared" si="2"/>
        <v>1850</v>
      </c>
      <c r="Q20" s="187">
        <f t="shared" si="3"/>
        <v>2220</v>
      </c>
    </row>
    <row r="21">
      <c r="A21" s="176" t="s">
        <v>16</v>
      </c>
      <c r="B21" s="177">
        <v>4320.0</v>
      </c>
      <c r="C21" s="176" t="s">
        <v>17</v>
      </c>
      <c r="D21" s="149" t="s">
        <v>448</v>
      </c>
      <c r="E21" s="179" t="s">
        <v>467</v>
      </c>
      <c r="F21" s="203"/>
      <c r="G21" s="149" t="s">
        <v>450</v>
      </c>
      <c r="H21" s="182"/>
      <c r="I21" s="183">
        <v>36682.0</v>
      </c>
      <c r="J21" s="153">
        <v>45505.0</v>
      </c>
      <c r="K21" s="182"/>
      <c r="L21" s="184">
        <v>30.0</v>
      </c>
      <c r="M21" s="185">
        <v>45536.0</v>
      </c>
      <c r="N21" s="185">
        <v>45565.0</v>
      </c>
      <c r="O21" s="186">
        <f t="shared" si="1"/>
        <v>370</v>
      </c>
      <c r="P21" s="187">
        <f t="shared" si="2"/>
        <v>1850</v>
      </c>
      <c r="Q21" s="187">
        <f t="shared" si="3"/>
        <v>2220</v>
      </c>
    </row>
    <row r="22">
      <c r="A22" s="176" t="s">
        <v>16</v>
      </c>
      <c r="B22" s="177">
        <v>4320.0</v>
      </c>
      <c r="C22" s="176" t="s">
        <v>17</v>
      </c>
      <c r="D22" s="178" t="s">
        <v>57</v>
      </c>
      <c r="E22" s="179" t="s">
        <v>57</v>
      </c>
      <c r="F22" s="180" t="s">
        <v>58</v>
      </c>
      <c r="G22" s="181" t="s">
        <v>59</v>
      </c>
      <c r="H22" s="182"/>
      <c r="I22" s="183">
        <v>35704.0</v>
      </c>
      <c r="J22" s="183">
        <v>44760.0</v>
      </c>
      <c r="K22" s="182"/>
      <c r="L22" s="184">
        <v>30.0</v>
      </c>
      <c r="M22" s="185">
        <v>45536.0</v>
      </c>
      <c r="N22" s="185">
        <v>45565.0</v>
      </c>
      <c r="O22" s="186">
        <f t="shared" si="1"/>
        <v>370</v>
      </c>
      <c r="P22" s="187">
        <f t="shared" si="2"/>
        <v>1850</v>
      </c>
      <c r="Q22" s="187">
        <f t="shared" si="3"/>
        <v>2220</v>
      </c>
    </row>
    <row r="23">
      <c r="A23" s="176" t="s">
        <v>16</v>
      </c>
      <c r="B23" s="177">
        <v>4320.0</v>
      </c>
      <c r="C23" s="176" t="s">
        <v>17</v>
      </c>
      <c r="D23" s="178" t="s">
        <v>291</v>
      </c>
      <c r="E23" s="179" t="s">
        <v>291</v>
      </c>
      <c r="F23" s="180" t="s">
        <v>292</v>
      </c>
      <c r="G23" s="181" t="s">
        <v>293</v>
      </c>
      <c r="H23" s="182"/>
      <c r="I23" s="183">
        <v>37219.0</v>
      </c>
      <c r="J23" s="183">
        <v>45257.0</v>
      </c>
      <c r="K23" s="182"/>
      <c r="L23" s="184">
        <v>30.0</v>
      </c>
      <c r="M23" s="185">
        <v>45536.0</v>
      </c>
      <c r="N23" s="185">
        <v>45565.0</v>
      </c>
      <c r="O23" s="186">
        <f t="shared" si="1"/>
        <v>370</v>
      </c>
      <c r="P23" s="187">
        <f t="shared" si="2"/>
        <v>1850</v>
      </c>
      <c r="Q23" s="187">
        <f t="shared" si="3"/>
        <v>2220</v>
      </c>
    </row>
    <row r="24">
      <c r="A24" s="178" t="s">
        <v>16</v>
      </c>
      <c r="B24" s="180">
        <v>4320.0</v>
      </c>
      <c r="C24" s="178" t="s">
        <v>17</v>
      </c>
      <c r="D24" s="176" t="s">
        <v>60</v>
      </c>
      <c r="E24" s="179" t="s">
        <v>60</v>
      </c>
      <c r="F24" s="177" t="s">
        <v>61</v>
      </c>
      <c r="G24" s="190" t="s">
        <v>62</v>
      </c>
      <c r="H24" s="191"/>
      <c r="I24" s="192">
        <v>36246.0</v>
      </c>
      <c r="J24" s="192">
        <v>44851.0</v>
      </c>
      <c r="K24" s="191"/>
      <c r="L24" s="184">
        <v>30.0</v>
      </c>
      <c r="M24" s="185">
        <v>45536.0</v>
      </c>
      <c r="N24" s="185">
        <v>45565.0</v>
      </c>
      <c r="O24" s="186">
        <f t="shared" si="1"/>
        <v>370</v>
      </c>
      <c r="P24" s="187">
        <f t="shared" si="2"/>
        <v>1850</v>
      </c>
      <c r="Q24" s="187">
        <f t="shared" si="3"/>
        <v>2220</v>
      </c>
    </row>
    <row r="25">
      <c r="A25" s="176" t="s">
        <v>16</v>
      </c>
      <c r="B25" s="177">
        <v>4320.0</v>
      </c>
      <c r="C25" s="176" t="s">
        <v>17</v>
      </c>
      <c r="D25" s="178" t="s">
        <v>63</v>
      </c>
      <c r="E25" s="179" t="s">
        <v>63</v>
      </c>
      <c r="F25" s="180" t="s">
        <v>64</v>
      </c>
      <c r="G25" s="181" t="s">
        <v>65</v>
      </c>
      <c r="H25" s="182"/>
      <c r="I25" s="183">
        <v>35606.0</v>
      </c>
      <c r="J25" s="183">
        <v>44896.0</v>
      </c>
      <c r="K25" s="182"/>
      <c r="L25" s="184">
        <v>30.0</v>
      </c>
      <c r="M25" s="185">
        <v>45536.0</v>
      </c>
      <c r="N25" s="185">
        <v>45565.0</v>
      </c>
      <c r="O25" s="186">
        <f t="shared" si="1"/>
        <v>370</v>
      </c>
      <c r="P25" s="187">
        <f t="shared" si="2"/>
        <v>1850</v>
      </c>
      <c r="Q25" s="187">
        <f t="shared" si="3"/>
        <v>2220</v>
      </c>
    </row>
    <row r="26">
      <c r="A26" s="176" t="s">
        <v>16</v>
      </c>
      <c r="B26" s="177">
        <v>4320.0</v>
      </c>
      <c r="C26" s="176" t="s">
        <v>17</v>
      </c>
      <c r="D26" s="176" t="s">
        <v>389</v>
      </c>
      <c r="E26" s="179" t="s">
        <v>389</v>
      </c>
      <c r="F26" s="177" t="s">
        <v>390</v>
      </c>
      <c r="G26" s="190" t="s">
        <v>391</v>
      </c>
      <c r="H26" s="191"/>
      <c r="I26" s="192">
        <v>36111.0</v>
      </c>
      <c r="J26" s="199">
        <v>45418.0</v>
      </c>
      <c r="K26" s="191"/>
      <c r="L26" s="184">
        <v>30.0</v>
      </c>
      <c r="M26" s="185">
        <v>45536.0</v>
      </c>
      <c r="N26" s="185">
        <v>45565.0</v>
      </c>
      <c r="O26" s="186">
        <f t="shared" si="1"/>
        <v>370</v>
      </c>
      <c r="P26" s="187">
        <f t="shared" si="2"/>
        <v>1850</v>
      </c>
      <c r="Q26" s="187">
        <f t="shared" si="3"/>
        <v>2220</v>
      </c>
    </row>
    <row r="27">
      <c r="A27" s="178" t="s">
        <v>16</v>
      </c>
      <c r="B27" s="180">
        <v>4320.0</v>
      </c>
      <c r="C27" s="178" t="s">
        <v>17</v>
      </c>
      <c r="D27" s="176" t="s">
        <v>66</v>
      </c>
      <c r="E27" s="202" t="s">
        <v>66</v>
      </c>
      <c r="F27" s="177" t="s">
        <v>67</v>
      </c>
      <c r="G27" s="190" t="s">
        <v>68</v>
      </c>
      <c r="H27" s="191"/>
      <c r="I27" s="192">
        <v>34973.0</v>
      </c>
      <c r="J27" s="192">
        <v>44986.0</v>
      </c>
      <c r="K27" s="200">
        <v>45562.0</v>
      </c>
      <c r="L27" s="184">
        <v>27.0</v>
      </c>
      <c r="M27" s="185">
        <v>45536.0</v>
      </c>
      <c r="N27" s="185">
        <v>45565.0</v>
      </c>
      <c r="O27" s="186">
        <f t="shared" si="1"/>
        <v>333</v>
      </c>
      <c r="P27" s="187">
        <f t="shared" si="2"/>
        <v>1665</v>
      </c>
      <c r="Q27" s="187">
        <f t="shared" si="3"/>
        <v>1998</v>
      </c>
    </row>
    <row r="28">
      <c r="A28" s="178" t="s">
        <v>16</v>
      </c>
      <c r="B28" s="180">
        <v>4320.0</v>
      </c>
      <c r="C28" s="178" t="s">
        <v>17</v>
      </c>
      <c r="D28" s="176" t="s">
        <v>267</v>
      </c>
      <c r="E28" s="179" t="s">
        <v>267</v>
      </c>
      <c r="F28" s="177" t="s">
        <v>268</v>
      </c>
      <c r="G28" s="190" t="s">
        <v>269</v>
      </c>
      <c r="H28" s="191"/>
      <c r="I28" s="192">
        <v>34590.0</v>
      </c>
      <c r="J28" s="192">
        <v>45313.0</v>
      </c>
      <c r="K28" s="191"/>
      <c r="L28" s="184">
        <v>30.0</v>
      </c>
      <c r="M28" s="185">
        <v>45536.0</v>
      </c>
      <c r="N28" s="185">
        <v>45565.0</v>
      </c>
      <c r="O28" s="186">
        <f t="shared" si="1"/>
        <v>370</v>
      </c>
      <c r="P28" s="187">
        <f t="shared" si="2"/>
        <v>1850</v>
      </c>
      <c r="Q28" s="187">
        <f t="shared" si="3"/>
        <v>2220</v>
      </c>
    </row>
    <row r="29">
      <c r="A29" s="176" t="s">
        <v>16</v>
      </c>
      <c r="B29" s="177">
        <v>4320.0</v>
      </c>
      <c r="C29" s="176" t="s">
        <v>17</v>
      </c>
      <c r="D29" s="178" t="s">
        <v>69</v>
      </c>
      <c r="E29" s="179" t="s">
        <v>69</v>
      </c>
      <c r="F29" s="180" t="s">
        <v>70</v>
      </c>
      <c r="G29" s="181" t="s">
        <v>71</v>
      </c>
      <c r="H29" s="182"/>
      <c r="I29" s="183">
        <v>36891.0</v>
      </c>
      <c r="J29" s="183">
        <v>44739.0</v>
      </c>
      <c r="K29" s="182"/>
      <c r="L29" s="184">
        <v>30.0</v>
      </c>
      <c r="M29" s="185">
        <v>45536.0</v>
      </c>
      <c r="N29" s="185">
        <v>45565.0</v>
      </c>
      <c r="O29" s="186">
        <f t="shared" si="1"/>
        <v>370</v>
      </c>
      <c r="P29" s="187">
        <f t="shared" si="2"/>
        <v>1850</v>
      </c>
      <c r="Q29" s="187">
        <f t="shared" si="3"/>
        <v>2220</v>
      </c>
    </row>
    <row r="30">
      <c r="A30" s="176" t="s">
        <v>16</v>
      </c>
      <c r="B30" s="177">
        <v>4320.0</v>
      </c>
      <c r="C30" s="176" t="s">
        <v>17</v>
      </c>
      <c r="D30" s="149" t="s">
        <v>468</v>
      </c>
      <c r="E30" s="204" t="s">
        <v>468</v>
      </c>
      <c r="F30" s="203"/>
      <c r="G30" s="149" t="s">
        <v>469</v>
      </c>
      <c r="H30" s="182"/>
      <c r="I30" s="183">
        <v>35986.0</v>
      </c>
      <c r="J30" s="153">
        <v>45537.0</v>
      </c>
      <c r="K30" s="182"/>
      <c r="L30" s="184">
        <v>29.0</v>
      </c>
      <c r="M30" s="185">
        <v>45536.0</v>
      </c>
      <c r="N30" s="185">
        <v>45565.0</v>
      </c>
      <c r="O30" s="186">
        <f t="shared" si="1"/>
        <v>358</v>
      </c>
      <c r="P30" s="187">
        <f t="shared" si="2"/>
        <v>1790</v>
      </c>
      <c r="Q30" s="187">
        <f t="shared" si="3"/>
        <v>2148</v>
      </c>
    </row>
    <row r="31">
      <c r="A31" s="176" t="s">
        <v>16</v>
      </c>
      <c r="B31" s="177">
        <v>4320.0</v>
      </c>
      <c r="C31" s="176" t="s">
        <v>17</v>
      </c>
      <c r="D31" s="178" t="s">
        <v>78</v>
      </c>
      <c r="E31" s="179" t="s">
        <v>78</v>
      </c>
      <c r="F31" s="180" t="s">
        <v>79</v>
      </c>
      <c r="G31" s="181" t="s">
        <v>80</v>
      </c>
      <c r="H31" s="182"/>
      <c r="I31" s="183">
        <v>36401.0</v>
      </c>
      <c r="J31" s="183">
        <v>45096.0</v>
      </c>
      <c r="K31" s="182"/>
      <c r="L31" s="184">
        <v>30.0</v>
      </c>
      <c r="M31" s="185">
        <v>45536.0</v>
      </c>
      <c r="N31" s="185">
        <v>45565.0</v>
      </c>
      <c r="O31" s="186">
        <f t="shared" si="1"/>
        <v>370</v>
      </c>
      <c r="P31" s="187">
        <f t="shared" si="2"/>
        <v>1850</v>
      </c>
      <c r="Q31" s="187">
        <f t="shared" si="3"/>
        <v>2220</v>
      </c>
    </row>
    <row r="32">
      <c r="A32" s="176" t="s">
        <v>16</v>
      </c>
      <c r="B32" s="177">
        <v>4320.0</v>
      </c>
      <c r="C32" s="176" t="s">
        <v>17</v>
      </c>
      <c r="D32" s="178" t="s">
        <v>331</v>
      </c>
      <c r="E32" s="179" t="s">
        <v>331</v>
      </c>
      <c r="F32" s="180" t="s">
        <v>332</v>
      </c>
      <c r="G32" s="181" t="s">
        <v>333</v>
      </c>
      <c r="H32" s="182"/>
      <c r="I32" s="183">
        <v>37958.0</v>
      </c>
      <c r="J32" s="183">
        <v>45369.0</v>
      </c>
      <c r="K32" s="182"/>
      <c r="L32" s="184">
        <v>30.0</v>
      </c>
      <c r="M32" s="185">
        <v>45536.0</v>
      </c>
      <c r="N32" s="185">
        <v>45565.0</v>
      </c>
      <c r="O32" s="186">
        <f t="shared" si="1"/>
        <v>370</v>
      </c>
      <c r="P32" s="187">
        <f t="shared" si="2"/>
        <v>1850</v>
      </c>
      <c r="Q32" s="187">
        <f t="shared" si="3"/>
        <v>2220</v>
      </c>
    </row>
    <row r="33">
      <c r="A33" s="178" t="s">
        <v>16</v>
      </c>
      <c r="B33" s="180">
        <v>4320.0</v>
      </c>
      <c r="C33" s="178" t="s">
        <v>17</v>
      </c>
      <c r="D33" s="188" t="s">
        <v>392</v>
      </c>
      <c r="E33" s="179" t="s">
        <v>392</v>
      </c>
      <c r="F33" s="180" t="s">
        <v>393</v>
      </c>
      <c r="G33" s="181" t="s">
        <v>394</v>
      </c>
      <c r="H33" s="182"/>
      <c r="I33" s="183">
        <v>34922.0</v>
      </c>
      <c r="J33" s="201">
        <v>45418.0</v>
      </c>
      <c r="K33" s="182"/>
      <c r="L33" s="184">
        <v>30.0</v>
      </c>
      <c r="M33" s="185">
        <v>45536.0</v>
      </c>
      <c r="N33" s="185">
        <v>45565.0</v>
      </c>
      <c r="O33" s="186">
        <f t="shared" si="1"/>
        <v>370</v>
      </c>
      <c r="P33" s="187">
        <f t="shared" si="2"/>
        <v>1850</v>
      </c>
      <c r="Q33" s="187">
        <f t="shared" si="3"/>
        <v>2220</v>
      </c>
    </row>
    <row r="34">
      <c r="A34" s="178" t="s">
        <v>16</v>
      </c>
      <c r="B34" s="180">
        <v>4320.0</v>
      </c>
      <c r="C34" s="178" t="s">
        <v>17</v>
      </c>
      <c r="D34" s="193" t="s">
        <v>451</v>
      </c>
      <c r="E34" s="194" t="s">
        <v>451</v>
      </c>
      <c r="F34" s="191"/>
      <c r="G34" s="196" t="s">
        <v>415</v>
      </c>
      <c r="H34" s="191"/>
      <c r="I34" s="197">
        <v>36443.0</v>
      </c>
      <c r="J34" s="197">
        <v>45446.0</v>
      </c>
      <c r="K34" s="191"/>
      <c r="L34" s="184">
        <v>30.0</v>
      </c>
      <c r="M34" s="185">
        <v>45536.0</v>
      </c>
      <c r="N34" s="185">
        <v>45565.0</v>
      </c>
      <c r="O34" s="186">
        <f t="shared" si="1"/>
        <v>370</v>
      </c>
      <c r="P34" s="187">
        <f t="shared" si="2"/>
        <v>1850</v>
      </c>
      <c r="Q34" s="187">
        <f t="shared" si="3"/>
        <v>2220</v>
      </c>
    </row>
    <row r="35">
      <c r="A35" s="178" t="s">
        <v>16</v>
      </c>
      <c r="B35" s="180">
        <v>4320.0</v>
      </c>
      <c r="C35" s="178" t="s">
        <v>17</v>
      </c>
      <c r="D35" s="176" t="s">
        <v>87</v>
      </c>
      <c r="E35" s="179" t="s">
        <v>87</v>
      </c>
      <c r="F35" s="177" t="s">
        <v>88</v>
      </c>
      <c r="G35" s="190" t="s">
        <v>89</v>
      </c>
      <c r="H35" s="191"/>
      <c r="I35" s="199">
        <v>33737.0</v>
      </c>
      <c r="J35" s="192">
        <v>45139.0</v>
      </c>
      <c r="K35" s="191"/>
      <c r="L35" s="184">
        <v>30.0</v>
      </c>
      <c r="M35" s="185">
        <v>45536.0</v>
      </c>
      <c r="N35" s="185">
        <v>45565.0</v>
      </c>
      <c r="O35" s="186">
        <f t="shared" si="1"/>
        <v>370</v>
      </c>
      <c r="P35" s="187">
        <f t="shared" si="2"/>
        <v>1850</v>
      </c>
      <c r="Q35" s="187">
        <f t="shared" si="3"/>
        <v>2220</v>
      </c>
    </row>
    <row r="36">
      <c r="A36" s="178" t="s">
        <v>16</v>
      </c>
      <c r="B36" s="180">
        <v>4320.0</v>
      </c>
      <c r="C36" s="178" t="s">
        <v>17</v>
      </c>
      <c r="D36" s="176" t="s">
        <v>334</v>
      </c>
      <c r="E36" s="179" t="s">
        <v>334</v>
      </c>
      <c r="F36" s="177" t="s">
        <v>335</v>
      </c>
      <c r="G36" s="190" t="s">
        <v>336</v>
      </c>
      <c r="H36" s="191"/>
      <c r="I36" s="192">
        <v>35272.0</v>
      </c>
      <c r="J36" s="192">
        <v>45355.0</v>
      </c>
      <c r="K36" s="191"/>
      <c r="L36" s="184">
        <v>30.0</v>
      </c>
      <c r="M36" s="185">
        <v>45536.0</v>
      </c>
      <c r="N36" s="185">
        <v>45565.0</v>
      </c>
      <c r="O36" s="186">
        <f t="shared" si="1"/>
        <v>370</v>
      </c>
      <c r="P36" s="187">
        <f t="shared" si="2"/>
        <v>1850</v>
      </c>
      <c r="Q36" s="187">
        <f t="shared" si="3"/>
        <v>2220</v>
      </c>
    </row>
    <row r="37">
      <c r="A37" s="178" t="s">
        <v>16</v>
      </c>
      <c r="B37" s="180">
        <v>4320.0</v>
      </c>
      <c r="C37" s="178" t="s">
        <v>17</v>
      </c>
      <c r="D37" s="176" t="s">
        <v>337</v>
      </c>
      <c r="E37" s="179" t="s">
        <v>337</v>
      </c>
      <c r="F37" s="177" t="s">
        <v>338</v>
      </c>
      <c r="G37" s="190" t="s">
        <v>339</v>
      </c>
      <c r="H37" s="191"/>
      <c r="I37" s="192">
        <v>37539.0</v>
      </c>
      <c r="J37" s="192">
        <v>45362.0</v>
      </c>
      <c r="K37" s="191"/>
      <c r="L37" s="184">
        <v>30.0</v>
      </c>
      <c r="M37" s="185">
        <v>45536.0</v>
      </c>
      <c r="N37" s="185">
        <v>45565.0</v>
      </c>
      <c r="O37" s="186">
        <f t="shared" si="1"/>
        <v>370</v>
      </c>
      <c r="P37" s="187">
        <f t="shared" si="2"/>
        <v>1850</v>
      </c>
      <c r="Q37" s="187">
        <f t="shared" si="3"/>
        <v>2220</v>
      </c>
    </row>
    <row r="38">
      <c r="A38" s="178" t="s">
        <v>16</v>
      </c>
      <c r="B38" s="180">
        <v>4320.0</v>
      </c>
      <c r="C38" s="178" t="s">
        <v>17</v>
      </c>
      <c r="D38" s="176" t="s">
        <v>96</v>
      </c>
      <c r="E38" s="128" t="s">
        <v>407</v>
      </c>
      <c r="F38" s="177" t="s">
        <v>97</v>
      </c>
      <c r="G38" s="190" t="s">
        <v>98</v>
      </c>
      <c r="H38" s="191"/>
      <c r="I38" s="192">
        <v>36690.0</v>
      </c>
      <c r="J38" s="192">
        <v>44938.0</v>
      </c>
      <c r="K38" s="191"/>
      <c r="L38" s="184">
        <v>30.0</v>
      </c>
      <c r="M38" s="185">
        <v>45536.0</v>
      </c>
      <c r="N38" s="185">
        <v>45565.0</v>
      </c>
      <c r="O38" s="186">
        <f t="shared" si="1"/>
        <v>370</v>
      </c>
      <c r="P38" s="187">
        <f t="shared" si="2"/>
        <v>1850</v>
      </c>
      <c r="Q38" s="187">
        <f t="shared" si="3"/>
        <v>2220</v>
      </c>
    </row>
    <row r="39">
      <c r="A39" s="178" t="s">
        <v>16</v>
      </c>
      <c r="B39" s="180">
        <v>4320.0</v>
      </c>
      <c r="C39" s="178" t="s">
        <v>17</v>
      </c>
      <c r="D39" s="176" t="s">
        <v>452</v>
      </c>
      <c r="E39" s="179" t="s">
        <v>452</v>
      </c>
      <c r="F39" s="205"/>
      <c r="G39" s="206" t="s">
        <v>454</v>
      </c>
      <c r="H39" s="207"/>
      <c r="I39" s="159">
        <v>37834.0</v>
      </c>
      <c r="J39" s="160">
        <v>45505.0</v>
      </c>
      <c r="K39" s="191"/>
      <c r="L39" s="208">
        <v>30.0</v>
      </c>
      <c r="M39" s="185">
        <v>45536.0</v>
      </c>
      <c r="N39" s="185">
        <v>45565.0</v>
      </c>
      <c r="O39" s="186">
        <f t="shared" si="1"/>
        <v>370</v>
      </c>
      <c r="P39" s="187">
        <f t="shared" si="2"/>
        <v>1850</v>
      </c>
      <c r="Q39" s="187">
        <f t="shared" si="3"/>
        <v>2220</v>
      </c>
    </row>
    <row r="40">
      <c r="A40" s="178" t="s">
        <v>16</v>
      </c>
      <c r="B40" s="180">
        <v>4320.0</v>
      </c>
      <c r="C40" s="178" t="s">
        <v>17</v>
      </c>
      <c r="D40" s="176" t="s">
        <v>102</v>
      </c>
      <c r="E40" s="179" t="s">
        <v>102</v>
      </c>
      <c r="F40" s="177" t="s">
        <v>103</v>
      </c>
      <c r="G40" s="190" t="s">
        <v>104</v>
      </c>
      <c r="H40" s="191"/>
      <c r="I40" s="192">
        <v>33240.0</v>
      </c>
      <c r="J40" s="192">
        <v>44287.0</v>
      </c>
      <c r="K40" s="191"/>
      <c r="L40" s="208">
        <v>30.0</v>
      </c>
      <c r="M40" s="185">
        <v>45536.0</v>
      </c>
      <c r="N40" s="185">
        <v>45565.0</v>
      </c>
      <c r="O40" s="186">
        <f t="shared" si="1"/>
        <v>370</v>
      </c>
      <c r="P40" s="187">
        <f t="shared" si="2"/>
        <v>1850</v>
      </c>
      <c r="Q40" s="187">
        <f t="shared" si="3"/>
        <v>2220</v>
      </c>
    </row>
    <row r="41">
      <c r="A41" s="178" t="s">
        <v>16</v>
      </c>
      <c r="B41" s="180">
        <v>4320.0</v>
      </c>
      <c r="C41" s="178" t="s">
        <v>17</v>
      </c>
      <c r="D41" s="176" t="s">
        <v>255</v>
      </c>
      <c r="E41" s="179" t="s">
        <v>255</v>
      </c>
      <c r="F41" s="177" t="s">
        <v>256</v>
      </c>
      <c r="G41" s="190" t="s">
        <v>257</v>
      </c>
      <c r="H41" s="191"/>
      <c r="I41" s="192">
        <v>35173.0</v>
      </c>
      <c r="J41" s="192">
        <v>45264.0</v>
      </c>
      <c r="K41" s="191"/>
      <c r="L41" s="208">
        <v>30.0</v>
      </c>
      <c r="M41" s="185">
        <v>45536.0</v>
      </c>
      <c r="N41" s="185">
        <v>45565.0</v>
      </c>
      <c r="O41" s="186">
        <f t="shared" si="1"/>
        <v>370</v>
      </c>
      <c r="P41" s="187">
        <f t="shared" si="2"/>
        <v>1850</v>
      </c>
      <c r="Q41" s="187">
        <f t="shared" si="3"/>
        <v>2220</v>
      </c>
    </row>
    <row r="42">
      <c r="A42" s="176" t="s">
        <v>16</v>
      </c>
      <c r="B42" s="177">
        <v>4320.0</v>
      </c>
      <c r="C42" s="176" t="s">
        <v>17</v>
      </c>
      <c r="D42" s="178" t="s">
        <v>340</v>
      </c>
      <c r="E42" s="179" t="s">
        <v>438</v>
      </c>
      <c r="F42" s="180" t="s">
        <v>341</v>
      </c>
      <c r="G42" s="181" t="s">
        <v>342</v>
      </c>
      <c r="H42" s="182"/>
      <c r="I42" s="183">
        <v>37964.0</v>
      </c>
      <c r="J42" s="183">
        <v>45355.0</v>
      </c>
      <c r="K42" s="182"/>
      <c r="L42" s="208">
        <v>30.0</v>
      </c>
      <c r="M42" s="185">
        <v>45536.0</v>
      </c>
      <c r="N42" s="185">
        <v>45565.0</v>
      </c>
      <c r="O42" s="186">
        <f t="shared" si="1"/>
        <v>370</v>
      </c>
      <c r="P42" s="187">
        <f t="shared" si="2"/>
        <v>1850</v>
      </c>
      <c r="Q42" s="187">
        <f t="shared" si="3"/>
        <v>2220</v>
      </c>
    </row>
    <row r="43">
      <c r="A43" s="176" t="s">
        <v>16</v>
      </c>
      <c r="B43" s="177">
        <v>4320.0</v>
      </c>
      <c r="C43" s="176" t="s">
        <v>17</v>
      </c>
      <c r="D43" s="178" t="s">
        <v>108</v>
      </c>
      <c r="E43" s="179" t="s">
        <v>108</v>
      </c>
      <c r="F43" s="180" t="s">
        <v>109</v>
      </c>
      <c r="G43" s="181" t="s">
        <v>110</v>
      </c>
      <c r="H43" s="182"/>
      <c r="I43" s="201">
        <v>35943.0</v>
      </c>
      <c r="J43" s="183">
        <v>45215.0</v>
      </c>
      <c r="K43" s="182"/>
      <c r="L43" s="208">
        <v>30.0</v>
      </c>
      <c r="M43" s="185">
        <v>45536.0</v>
      </c>
      <c r="N43" s="185">
        <v>45565.0</v>
      </c>
      <c r="O43" s="186">
        <f t="shared" si="1"/>
        <v>370</v>
      </c>
      <c r="P43" s="187">
        <f t="shared" si="2"/>
        <v>1850</v>
      </c>
      <c r="Q43" s="187">
        <f t="shared" si="3"/>
        <v>2220</v>
      </c>
    </row>
    <row r="44">
      <c r="A44" s="176" t="s">
        <v>16</v>
      </c>
      <c r="B44" s="177">
        <v>4320.0</v>
      </c>
      <c r="C44" s="176" t="s">
        <v>17</v>
      </c>
      <c r="D44" s="195" t="s">
        <v>395</v>
      </c>
      <c r="E44" s="179" t="s">
        <v>395</v>
      </c>
      <c r="F44" s="177" t="s">
        <v>396</v>
      </c>
      <c r="G44" s="190" t="s">
        <v>397</v>
      </c>
      <c r="H44" s="191"/>
      <c r="I44" s="192">
        <v>36557.0</v>
      </c>
      <c r="J44" s="199">
        <v>45432.0</v>
      </c>
      <c r="K44" s="191"/>
      <c r="L44" s="208">
        <v>30.0</v>
      </c>
      <c r="M44" s="185">
        <v>45536.0</v>
      </c>
      <c r="N44" s="185">
        <v>45565.0</v>
      </c>
      <c r="O44" s="186">
        <f t="shared" si="1"/>
        <v>370</v>
      </c>
      <c r="P44" s="187">
        <f t="shared" si="2"/>
        <v>1850</v>
      </c>
      <c r="Q44" s="187">
        <f t="shared" si="3"/>
        <v>2220</v>
      </c>
    </row>
    <row r="45">
      <c r="A45" s="178" t="s">
        <v>16</v>
      </c>
      <c r="B45" s="180">
        <v>4320.0</v>
      </c>
      <c r="C45" s="178" t="s">
        <v>17</v>
      </c>
      <c r="D45" s="176" t="s">
        <v>370</v>
      </c>
      <c r="E45" s="179" t="s">
        <v>370</v>
      </c>
      <c r="F45" s="177" t="s">
        <v>371</v>
      </c>
      <c r="G45" s="190" t="s">
        <v>372</v>
      </c>
      <c r="H45" s="191"/>
      <c r="I45" s="199">
        <v>35551.0</v>
      </c>
      <c r="J45" s="200">
        <v>45383.0</v>
      </c>
      <c r="K45" s="191"/>
      <c r="L45" s="208">
        <v>30.0</v>
      </c>
      <c r="M45" s="185">
        <v>45536.0</v>
      </c>
      <c r="N45" s="185">
        <v>45565.0</v>
      </c>
      <c r="O45" s="186">
        <f t="shared" si="1"/>
        <v>370</v>
      </c>
      <c r="P45" s="187">
        <f t="shared" si="2"/>
        <v>1850</v>
      </c>
      <c r="Q45" s="187">
        <f t="shared" si="3"/>
        <v>2220</v>
      </c>
    </row>
    <row r="46">
      <c r="A46" s="178" t="s">
        <v>16</v>
      </c>
      <c r="B46" s="180">
        <v>4320.0</v>
      </c>
      <c r="C46" s="178" t="s">
        <v>17</v>
      </c>
      <c r="D46" s="149" t="s">
        <v>114</v>
      </c>
      <c r="E46" s="179" t="s">
        <v>114</v>
      </c>
      <c r="F46" s="205"/>
      <c r="G46" s="149" t="s">
        <v>456</v>
      </c>
      <c r="H46" s="191"/>
      <c r="I46" s="192">
        <v>35872.0</v>
      </c>
      <c r="J46" s="153">
        <v>45523.0</v>
      </c>
      <c r="K46" s="191"/>
      <c r="L46" s="208">
        <v>30.0</v>
      </c>
      <c r="M46" s="185">
        <v>45536.0</v>
      </c>
      <c r="N46" s="185">
        <v>45565.0</v>
      </c>
      <c r="O46" s="186">
        <f t="shared" si="1"/>
        <v>370</v>
      </c>
      <c r="P46" s="187">
        <f t="shared" si="2"/>
        <v>1850</v>
      </c>
      <c r="Q46" s="187">
        <f t="shared" si="3"/>
        <v>2220</v>
      </c>
    </row>
    <row r="47">
      <c r="A47" s="178" t="s">
        <v>16</v>
      </c>
      <c r="B47" s="180">
        <v>4320.0</v>
      </c>
      <c r="C47" s="178" t="s">
        <v>17</v>
      </c>
      <c r="D47" s="149" t="s">
        <v>457</v>
      </c>
      <c r="E47" s="179" t="s">
        <v>457</v>
      </c>
      <c r="F47" s="205"/>
      <c r="G47" s="149" t="s">
        <v>458</v>
      </c>
      <c r="H47" s="191"/>
      <c r="I47" s="192">
        <v>37061.0</v>
      </c>
      <c r="J47" s="153">
        <v>45505.0</v>
      </c>
      <c r="K47" s="191"/>
      <c r="L47" s="208">
        <v>30.0</v>
      </c>
      <c r="M47" s="185">
        <v>45536.0</v>
      </c>
      <c r="N47" s="185">
        <v>45565.0</v>
      </c>
      <c r="O47" s="186">
        <f t="shared" si="1"/>
        <v>370</v>
      </c>
      <c r="P47" s="187">
        <f t="shared" si="2"/>
        <v>1850</v>
      </c>
      <c r="Q47" s="187">
        <f t="shared" si="3"/>
        <v>2220</v>
      </c>
    </row>
    <row r="48">
      <c r="A48" s="178" t="s">
        <v>16</v>
      </c>
      <c r="B48" s="180">
        <v>4320.0</v>
      </c>
      <c r="C48" s="178" t="s">
        <v>17</v>
      </c>
      <c r="D48" s="176" t="s">
        <v>120</v>
      </c>
      <c r="E48" s="179" t="s">
        <v>439</v>
      </c>
      <c r="F48" s="177" t="s">
        <v>121</v>
      </c>
      <c r="G48" s="190" t="s">
        <v>122</v>
      </c>
      <c r="H48" s="191"/>
      <c r="I48" s="192">
        <v>36794.0</v>
      </c>
      <c r="J48" s="192">
        <v>44915.0</v>
      </c>
      <c r="K48" s="191"/>
      <c r="L48" s="208">
        <v>30.0</v>
      </c>
      <c r="M48" s="185">
        <v>45536.0</v>
      </c>
      <c r="N48" s="185">
        <v>45565.0</v>
      </c>
      <c r="O48" s="186">
        <f t="shared" si="1"/>
        <v>370</v>
      </c>
      <c r="P48" s="187">
        <f t="shared" si="2"/>
        <v>1850</v>
      </c>
      <c r="Q48" s="187">
        <f t="shared" si="3"/>
        <v>2220</v>
      </c>
    </row>
    <row r="49">
      <c r="A49" s="176" t="s">
        <v>16</v>
      </c>
      <c r="B49" s="177">
        <v>4320.0</v>
      </c>
      <c r="C49" s="176" t="s">
        <v>17</v>
      </c>
      <c r="D49" s="178" t="s">
        <v>343</v>
      </c>
      <c r="E49" s="179" t="s">
        <v>343</v>
      </c>
      <c r="F49" s="180" t="s">
        <v>344</v>
      </c>
      <c r="G49" s="181" t="s">
        <v>345</v>
      </c>
      <c r="H49" s="182"/>
      <c r="I49" s="183">
        <v>36821.0</v>
      </c>
      <c r="J49" s="183">
        <v>45362.0</v>
      </c>
      <c r="K49" s="182"/>
      <c r="L49" s="208">
        <v>30.0</v>
      </c>
      <c r="M49" s="185">
        <v>45536.0</v>
      </c>
      <c r="N49" s="185">
        <v>45565.0</v>
      </c>
      <c r="O49" s="186">
        <f t="shared" si="1"/>
        <v>370</v>
      </c>
      <c r="P49" s="187">
        <f t="shared" si="2"/>
        <v>1850</v>
      </c>
      <c r="Q49" s="187">
        <f t="shared" si="3"/>
        <v>2220</v>
      </c>
    </row>
    <row r="50">
      <c r="A50" s="178" t="s">
        <v>16</v>
      </c>
      <c r="B50" s="180">
        <v>4320.0</v>
      </c>
      <c r="C50" s="178" t="s">
        <v>17</v>
      </c>
      <c r="D50" s="209" t="s">
        <v>429</v>
      </c>
      <c r="E50" s="179" t="s">
        <v>429</v>
      </c>
      <c r="F50" s="191"/>
      <c r="G50" s="196" t="s">
        <v>430</v>
      </c>
      <c r="H50" s="191"/>
      <c r="I50" s="197">
        <v>37257.0</v>
      </c>
      <c r="J50" s="197">
        <v>45481.0</v>
      </c>
      <c r="K50" s="191"/>
      <c r="L50" s="208">
        <v>30.0</v>
      </c>
      <c r="M50" s="185">
        <v>45536.0</v>
      </c>
      <c r="N50" s="185">
        <v>45565.0</v>
      </c>
      <c r="O50" s="186">
        <f t="shared" si="1"/>
        <v>370</v>
      </c>
      <c r="P50" s="187">
        <f t="shared" si="2"/>
        <v>1850</v>
      </c>
      <c r="Q50" s="187">
        <f t="shared" si="3"/>
        <v>2220</v>
      </c>
    </row>
    <row r="51">
      <c r="A51" s="178" t="s">
        <v>16</v>
      </c>
      <c r="B51" s="180">
        <v>4320.0</v>
      </c>
      <c r="C51" s="178" t="s">
        <v>17</v>
      </c>
      <c r="D51" s="195" t="s">
        <v>416</v>
      </c>
      <c r="E51" s="194" t="s">
        <v>416</v>
      </c>
      <c r="F51" s="191"/>
      <c r="G51" s="210" t="s">
        <v>417</v>
      </c>
      <c r="H51" s="191"/>
      <c r="I51" s="197">
        <v>36346.0</v>
      </c>
      <c r="J51" s="197">
        <v>45453.0</v>
      </c>
      <c r="K51" s="191"/>
      <c r="L51" s="208">
        <v>30.0</v>
      </c>
      <c r="M51" s="185">
        <v>45536.0</v>
      </c>
      <c r="N51" s="185">
        <v>45565.0</v>
      </c>
      <c r="O51" s="186">
        <f t="shared" si="1"/>
        <v>370</v>
      </c>
      <c r="P51" s="187">
        <f t="shared" si="2"/>
        <v>1850</v>
      </c>
      <c r="Q51" s="187">
        <f t="shared" si="3"/>
        <v>2220</v>
      </c>
    </row>
    <row r="52">
      <c r="A52" s="178" t="s">
        <v>16</v>
      </c>
      <c r="B52" s="180">
        <v>4320.0</v>
      </c>
      <c r="C52" s="178" t="s">
        <v>17</v>
      </c>
      <c r="D52" s="193" t="s">
        <v>132</v>
      </c>
      <c r="E52" s="179" t="s">
        <v>132</v>
      </c>
      <c r="F52" s="191"/>
      <c r="G52" s="196" t="s">
        <v>418</v>
      </c>
      <c r="H52" s="191"/>
      <c r="I52" s="197">
        <v>37494.0</v>
      </c>
      <c r="J52" s="197">
        <v>45467.0</v>
      </c>
      <c r="K52" s="191"/>
      <c r="L52" s="184">
        <v>30.0</v>
      </c>
      <c r="M52" s="185">
        <v>45536.0</v>
      </c>
      <c r="N52" s="185">
        <v>45565.0</v>
      </c>
      <c r="O52" s="186">
        <f t="shared" si="1"/>
        <v>370</v>
      </c>
      <c r="P52" s="187">
        <f t="shared" si="2"/>
        <v>1850</v>
      </c>
      <c r="Q52" s="187">
        <f t="shared" si="3"/>
        <v>2220</v>
      </c>
    </row>
    <row r="53">
      <c r="A53" s="176" t="s">
        <v>16</v>
      </c>
      <c r="B53" s="177">
        <v>4320.0</v>
      </c>
      <c r="C53" s="176" t="s">
        <v>17</v>
      </c>
      <c r="D53" s="178" t="s">
        <v>346</v>
      </c>
      <c r="E53" s="202" t="s">
        <v>346</v>
      </c>
      <c r="F53" s="180" t="s">
        <v>347</v>
      </c>
      <c r="G53" s="181" t="s">
        <v>348</v>
      </c>
      <c r="H53" s="182"/>
      <c r="I53" s="183">
        <v>36778.0</v>
      </c>
      <c r="J53" s="183">
        <v>45369.0</v>
      </c>
      <c r="K53" s="211">
        <v>45565.0</v>
      </c>
      <c r="L53" s="184">
        <v>30.0</v>
      </c>
      <c r="M53" s="185">
        <v>45536.0</v>
      </c>
      <c r="N53" s="185">
        <v>45565.0</v>
      </c>
      <c r="O53" s="186">
        <f t="shared" si="1"/>
        <v>370</v>
      </c>
      <c r="P53" s="187">
        <f t="shared" si="2"/>
        <v>1850</v>
      </c>
      <c r="Q53" s="187">
        <f t="shared" si="3"/>
        <v>2220</v>
      </c>
    </row>
    <row r="54">
      <c r="A54" s="178" t="s">
        <v>16</v>
      </c>
      <c r="B54" s="180">
        <v>4320.0</v>
      </c>
      <c r="C54" s="178" t="s">
        <v>17</v>
      </c>
      <c r="D54" s="195" t="s">
        <v>373</v>
      </c>
      <c r="E54" s="202" t="s">
        <v>459</v>
      </c>
      <c r="F54" s="177" t="s">
        <v>374</v>
      </c>
      <c r="G54" s="212" t="s">
        <v>375</v>
      </c>
      <c r="H54" s="191"/>
      <c r="I54" s="192">
        <v>37085.0</v>
      </c>
      <c r="J54" s="192">
        <v>45400.0</v>
      </c>
      <c r="K54" s="200">
        <v>45565.0</v>
      </c>
      <c r="L54" s="184">
        <v>30.0</v>
      </c>
      <c r="M54" s="185">
        <v>45536.0</v>
      </c>
      <c r="N54" s="185">
        <v>45565.0</v>
      </c>
      <c r="O54" s="186">
        <f t="shared" si="1"/>
        <v>370</v>
      </c>
      <c r="P54" s="187">
        <f t="shared" si="2"/>
        <v>1850</v>
      </c>
      <c r="Q54" s="187">
        <f t="shared" si="3"/>
        <v>2220</v>
      </c>
    </row>
    <row r="55">
      <c r="A55" s="176" t="s">
        <v>16</v>
      </c>
      <c r="B55" s="177">
        <v>4320.0</v>
      </c>
      <c r="C55" s="176" t="s">
        <v>17</v>
      </c>
      <c r="D55" s="178" t="s">
        <v>349</v>
      </c>
      <c r="E55" s="179" t="s">
        <v>349</v>
      </c>
      <c r="F55" s="180" t="s">
        <v>350</v>
      </c>
      <c r="G55" s="181" t="s">
        <v>351</v>
      </c>
      <c r="H55" s="182"/>
      <c r="I55" s="183">
        <v>37647.0</v>
      </c>
      <c r="J55" s="183">
        <v>45355.0</v>
      </c>
      <c r="K55" s="182"/>
      <c r="L55" s="184">
        <v>30.0</v>
      </c>
      <c r="M55" s="185">
        <v>45536.0</v>
      </c>
      <c r="N55" s="185">
        <v>45565.0</v>
      </c>
      <c r="O55" s="186">
        <f t="shared" si="1"/>
        <v>370</v>
      </c>
      <c r="P55" s="187">
        <f t="shared" si="2"/>
        <v>1850</v>
      </c>
      <c r="Q55" s="187">
        <f t="shared" si="3"/>
        <v>2220</v>
      </c>
    </row>
    <row r="56">
      <c r="A56" s="178" t="s">
        <v>16</v>
      </c>
      <c r="B56" s="180">
        <v>4320.0</v>
      </c>
      <c r="C56" s="178" t="s">
        <v>17</v>
      </c>
      <c r="D56" s="176" t="s">
        <v>141</v>
      </c>
      <c r="E56" s="202" t="s">
        <v>441</v>
      </c>
      <c r="F56" s="177" t="s">
        <v>142</v>
      </c>
      <c r="G56" s="190" t="s">
        <v>143</v>
      </c>
      <c r="H56" s="191"/>
      <c r="I56" s="192">
        <v>34300.0</v>
      </c>
      <c r="J56" s="192">
        <v>45183.0</v>
      </c>
      <c r="K56" s="200">
        <v>45565.0</v>
      </c>
      <c r="L56" s="184">
        <v>30.0</v>
      </c>
      <c r="M56" s="185">
        <v>45536.0</v>
      </c>
      <c r="N56" s="185">
        <v>45565.0</v>
      </c>
      <c r="O56" s="186">
        <f t="shared" si="1"/>
        <v>370</v>
      </c>
      <c r="P56" s="187">
        <f t="shared" si="2"/>
        <v>1850</v>
      </c>
      <c r="Q56" s="187">
        <f t="shared" si="3"/>
        <v>2220</v>
      </c>
    </row>
    <row r="57">
      <c r="A57" s="178" t="s">
        <v>16</v>
      </c>
      <c r="B57" s="180">
        <v>4320.0</v>
      </c>
      <c r="C57" s="178" t="s">
        <v>17</v>
      </c>
      <c r="D57" s="176" t="s">
        <v>352</v>
      </c>
      <c r="E57" s="179" t="s">
        <v>352</v>
      </c>
      <c r="F57" s="177" t="s">
        <v>353</v>
      </c>
      <c r="G57" s="190" t="s">
        <v>354</v>
      </c>
      <c r="H57" s="191"/>
      <c r="I57" s="192">
        <v>36412.0</v>
      </c>
      <c r="J57" s="192">
        <v>45355.0</v>
      </c>
      <c r="K57" s="191"/>
      <c r="L57" s="184">
        <v>30.0</v>
      </c>
      <c r="M57" s="185">
        <v>45536.0</v>
      </c>
      <c r="N57" s="185">
        <v>45565.0</v>
      </c>
      <c r="O57" s="186">
        <f t="shared" si="1"/>
        <v>370</v>
      </c>
      <c r="P57" s="187">
        <f t="shared" si="2"/>
        <v>1850</v>
      </c>
      <c r="Q57" s="187">
        <f t="shared" si="3"/>
        <v>2220</v>
      </c>
    </row>
    <row r="58">
      <c r="A58" s="178" t="s">
        <v>16</v>
      </c>
      <c r="B58" s="180">
        <v>4320.0</v>
      </c>
      <c r="C58" s="178" t="s">
        <v>17</v>
      </c>
      <c r="D58" s="193" t="s">
        <v>419</v>
      </c>
      <c r="E58" s="179" t="s">
        <v>419</v>
      </c>
      <c r="F58" s="191"/>
      <c r="G58" s="196" t="s">
        <v>420</v>
      </c>
      <c r="H58" s="191"/>
      <c r="I58" s="197">
        <v>36907.0</v>
      </c>
      <c r="J58" s="197">
        <v>45446.0</v>
      </c>
      <c r="K58" s="191"/>
      <c r="L58" s="184">
        <v>30.0</v>
      </c>
      <c r="M58" s="185">
        <v>45536.0</v>
      </c>
      <c r="N58" s="185">
        <v>45565.0</v>
      </c>
      <c r="O58" s="186">
        <f t="shared" si="1"/>
        <v>370</v>
      </c>
      <c r="P58" s="187">
        <f t="shared" si="2"/>
        <v>1850</v>
      </c>
      <c r="Q58" s="187">
        <f t="shared" si="3"/>
        <v>2220</v>
      </c>
    </row>
    <row r="59">
      <c r="A59" s="178" t="s">
        <v>16</v>
      </c>
      <c r="B59" s="180">
        <v>4320.0</v>
      </c>
      <c r="C59" s="178" t="s">
        <v>17</v>
      </c>
      <c r="D59" s="188" t="s">
        <v>398</v>
      </c>
      <c r="E59" s="202" t="s">
        <v>398</v>
      </c>
      <c r="F59" s="180" t="s">
        <v>399</v>
      </c>
      <c r="G59" s="181" t="s">
        <v>400</v>
      </c>
      <c r="H59" s="182"/>
      <c r="I59" s="201">
        <v>36655.0</v>
      </c>
      <c r="J59" s="201">
        <v>45418.0</v>
      </c>
      <c r="K59" s="183">
        <v>45539.0</v>
      </c>
      <c r="L59" s="184">
        <v>4.0</v>
      </c>
      <c r="M59" s="185">
        <v>45536.0</v>
      </c>
      <c r="N59" s="185">
        <v>45565.0</v>
      </c>
      <c r="O59" s="186">
        <f t="shared" si="1"/>
        <v>50</v>
      </c>
      <c r="P59" s="187">
        <f t="shared" si="2"/>
        <v>250</v>
      </c>
      <c r="Q59" s="187">
        <f t="shared" si="3"/>
        <v>300</v>
      </c>
    </row>
    <row r="60">
      <c r="A60" s="176" t="s">
        <v>16</v>
      </c>
      <c r="B60" s="177">
        <v>4320.0</v>
      </c>
      <c r="C60" s="176" t="s">
        <v>17</v>
      </c>
      <c r="D60" s="178" t="s">
        <v>153</v>
      </c>
      <c r="E60" s="194" t="s">
        <v>153</v>
      </c>
      <c r="F60" s="180" t="s">
        <v>154</v>
      </c>
      <c r="G60" s="181" t="s">
        <v>155</v>
      </c>
      <c r="H60" s="182"/>
      <c r="I60" s="183">
        <v>31014.0</v>
      </c>
      <c r="J60" s="183">
        <v>44805.0</v>
      </c>
      <c r="K60" s="182"/>
      <c r="L60" s="184">
        <v>30.0</v>
      </c>
      <c r="M60" s="185">
        <v>45536.0</v>
      </c>
      <c r="N60" s="185">
        <v>45565.0</v>
      </c>
      <c r="O60" s="186">
        <f t="shared" si="1"/>
        <v>370</v>
      </c>
      <c r="P60" s="187">
        <f t="shared" si="2"/>
        <v>1850</v>
      </c>
      <c r="Q60" s="187">
        <f t="shared" si="3"/>
        <v>2220</v>
      </c>
    </row>
    <row r="61">
      <c r="A61" s="178" t="s">
        <v>16</v>
      </c>
      <c r="B61" s="180">
        <v>4320.0</v>
      </c>
      <c r="C61" s="178" t="s">
        <v>17</v>
      </c>
      <c r="D61" s="176" t="s">
        <v>273</v>
      </c>
      <c r="E61" s="179" t="s">
        <v>273</v>
      </c>
      <c r="F61" s="177" t="s">
        <v>274</v>
      </c>
      <c r="G61" s="190" t="s">
        <v>275</v>
      </c>
      <c r="H61" s="191"/>
      <c r="I61" s="192">
        <v>34522.0</v>
      </c>
      <c r="J61" s="192">
        <v>45292.0</v>
      </c>
      <c r="K61" s="191"/>
      <c r="L61" s="184">
        <v>30.0</v>
      </c>
      <c r="M61" s="185">
        <v>45536.0</v>
      </c>
      <c r="N61" s="185">
        <v>45565.0</v>
      </c>
      <c r="O61" s="186">
        <f t="shared" si="1"/>
        <v>370</v>
      </c>
      <c r="P61" s="187">
        <f t="shared" si="2"/>
        <v>1850</v>
      </c>
      <c r="Q61" s="187">
        <f t="shared" si="3"/>
        <v>2220</v>
      </c>
    </row>
    <row r="62">
      <c r="A62" s="178" t="s">
        <v>16</v>
      </c>
      <c r="B62" s="180">
        <v>4320.0</v>
      </c>
      <c r="C62" s="178" t="s">
        <v>17</v>
      </c>
      <c r="D62" s="149" t="s">
        <v>470</v>
      </c>
      <c r="E62" s="204" t="s">
        <v>471</v>
      </c>
      <c r="F62" s="205"/>
      <c r="G62" s="149" t="s">
        <v>472</v>
      </c>
      <c r="H62" s="191"/>
      <c r="I62" s="192">
        <v>37278.0</v>
      </c>
      <c r="J62" s="192">
        <v>45544.0</v>
      </c>
      <c r="K62" s="191"/>
      <c r="L62" s="184">
        <v>22.0</v>
      </c>
      <c r="M62" s="185">
        <v>45536.0</v>
      </c>
      <c r="N62" s="185">
        <v>45565.0</v>
      </c>
      <c r="O62" s="186">
        <f t="shared" si="1"/>
        <v>272</v>
      </c>
      <c r="P62" s="187">
        <f t="shared" si="2"/>
        <v>1360</v>
      </c>
      <c r="Q62" s="187">
        <f t="shared" si="3"/>
        <v>1632</v>
      </c>
    </row>
    <row r="63">
      <c r="A63" s="178" t="s">
        <v>16</v>
      </c>
      <c r="B63" s="180">
        <v>4320.0</v>
      </c>
      <c r="C63" s="178" t="s">
        <v>17</v>
      </c>
      <c r="D63" s="193" t="s">
        <v>421</v>
      </c>
      <c r="E63" s="202" t="s">
        <v>421</v>
      </c>
      <c r="F63" s="191"/>
      <c r="G63" s="196" t="s">
        <v>422</v>
      </c>
      <c r="H63" s="191"/>
      <c r="I63" s="197">
        <v>37415.0</v>
      </c>
      <c r="J63" s="213">
        <v>45441.0</v>
      </c>
      <c r="K63" s="214">
        <v>11590.0</v>
      </c>
      <c r="L63" s="184">
        <v>30.0</v>
      </c>
      <c r="M63" s="185">
        <v>45536.0</v>
      </c>
      <c r="N63" s="185">
        <v>45565.0</v>
      </c>
      <c r="O63" s="186">
        <f t="shared" si="1"/>
        <v>370</v>
      </c>
      <c r="P63" s="187">
        <f t="shared" si="2"/>
        <v>1850</v>
      </c>
      <c r="Q63" s="187">
        <f t="shared" si="3"/>
        <v>2220</v>
      </c>
    </row>
    <row r="64">
      <c r="A64" s="176" t="s">
        <v>16</v>
      </c>
      <c r="B64" s="177">
        <v>4320.0</v>
      </c>
      <c r="C64" s="176" t="s">
        <v>17</v>
      </c>
      <c r="D64" s="178" t="s">
        <v>162</v>
      </c>
      <c r="E64" s="179" t="s">
        <v>162</v>
      </c>
      <c r="F64" s="180" t="s">
        <v>163</v>
      </c>
      <c r="G64" s="181" t="s">
        <v>164</v>
      </c>
      <c r="H64" s="182"/>
      <c r="I64" s="183">
        <v>34732.0</v>
      </c>
      <c r="J64" s="183">
        <v>44986.0</v>
      </c>
      <c r="K64" s="182"/>
      <c r="L64" s="184">
        <v>30.0</v>
      </c>
      <c r="M64" s="185">
        <v>45536.0</v>
      </c>
      <c r="N64" s="185">
        <v>45565.0</v>
      </c>
      <c r="O64" s="186">
        <f t="shared" si="1"/>
        <v>370</v>
      </c>
      <c r="P64" s="187">
        <f t="shared" si="2"/>
        <v>1850</v>
      </c>
      <c r="Q64" s="187">
        <f t="shared" si="3"/>
        <v>2220</v>
      </c>
    </row>
    <row r="65">
      <c r="A65" s="178" t="s">
        <v>16</v>
      </c>
      <c r="B65" s="180">
        <v>4320.0</v>
      </c>
      <c r="C65" s="178" t="s">
        <v>17</v>
      </c>
      <c r="D65" s="176" t="s">
        <v>355</v>
      </c>
      <c r="E65" s="179" t="s">
        <v>355</v>
      </c>
      <c r="F65" s="177" t="s">
        <v>356</v>
      </c>
      <c r="G65" s="190" t="s">
        <v>357</v>
      </c>
      <c r="H65" s="191"/>
      <c r="I65" s="192">
        <v>35395.0</v>
      </c>
      <c r="J65" s="192">
        <v>45376.0</v>
      </c>
      <c r="K65" s="191"/>
      <c r="L65" s="184">
        <v>30.0</v>
      </c>
      <c r="M65" s="185">
        <v>45536.0</v>
      </c>
      <c r="N65" s="185">
        <v>45565.0</v>
      </c>
      <c r="O65" s="186">
        <f t="shared" si="1"/>
        <v>370</v>
      </c>
      <c r="P65" s="187">
        <f t="shared" si="2"/>
        <v>1850</v>
      </c>
      <c r="Q65" s="187">
        <f t="shared" si="3"/>
        <v>2220</v>
      </c>
    </row>
    <row r="66">
      <c r="A66" s="178" t="s">
        <v>16</v>
      </c>
      <c r="B66" s="180">
        <v>4320.0</v>
      </c>
      <c r="C66" s="178" t="s">
        <v>17</v>
      </c>
      <c r="D66" s="209" t="s">
        <v>431</v>
      </c>
      <c r="E66" s="179" t="s">
        <v>431</v>
      </c>
      <c r="F66" s="191"/>
      <c r="G66" s="215" t="s">
        <v>378</v>
      </c>
      <c r="H66" s="191"/>
      <c r="I66" s="216">
        <v>36289.0</v>
      </c>
      <c r="J66" s="217">
        <v>45476.0</v>
      </c>
      <c r="K66" s="191"/>
      <c r="L66" s="184">
        <v>30.0</v>
      </c>
      <c r="M66" s="185">
        <v>45536.0</v>
      </c>
      <c r="N66" s="185">
        <v>45565.0</v>
      </c>
      <c r="O66" s="186">
        <f t="shared" si="1"/>
        <v>370</v>
      </c>
      <c r="P66" s="187">
        <f t="shared" si="2"/>
        <v>1850</v>
      </c>
      <c r="Q66" s="187">
        <f t="shared" si="3"/>
        <v>2220</v>
      </c>
    </row>
    <row r="67">
      <c r="A67" s="178" t="s">
        <v>16</v>
      </c>
      <c r="B67" s="180">
        <v>4320.0</v>
      </c>
      <c r="C67" s="178" t="s">
        <v>17</v>
      </c>
      <c r="D67" s="176" t="s">
        <v>183</v>
      </c>
      <c r="E67" s="179" t="s">
        <v>183</v>
      </c>
      <c r="F67" s="177" t="s">
        <v>184</v>
      </c>
      <c r="G67" s="190" t="s">
        <v>185</v>
      </c>
      <c r="H67" s="191"/>
      <c r="I67" s="192">
        <v>36979.0</v>
      </c>
      <c r="J67" s="192">
        <v>44907.0</v>
      </c>
      <c r="K67" s="191"/>
      <c r="L67" s="184">
        <v>30.0</v>
      </c>
      <c r="M67" s="185">
        <v>45536.0</v>
      </c>
      <c r="N67" s="185">
        <v>45565.0</v>
      </c>
      <c r="O67" s="186">
        <f t="shared" si="1"/>
        <v>370</v>
      </c>
      <c r="P67" s="187">
        <f t="shared" si="2"/>
        <v>1850</v>
      </c>
      <c r="Q67" s="187">
        <f t="shared" si="3"/>
        <v>2220</v>
      </c>
    </row>
    <row r="68">
      <c r="A68" s="176" t="s">
        <v>16</v>
      </c>
      <c r="B68" s="177">
        <v>4320.0</v>
      </c>
      <c r="C68" s="176" t="s">
        <v>17</v>
      </c>
      <c r="D68" s="178" t="s">
        <v>258</v>
      </c>
      <c r="E68" s="202" t="s">
        <v>258</v>
      </c>
      <c r="F68" s="180" t="s">
        <v>259</v>
      </c>
      <c r="G68" s="181" t="s">
        <v>260</v>
      </c>
      <c r="H68" s="182"/>
      <c r="I68" s="183">
        <v>35447.0</v>
      </c>
      <c r="J68" s="183">
        <v>45273.0</v>
      </c>
      <c r="K68" s="211">
        <v>45565.0</v>
      </c>
      <c r="L68" s="184">
        <v>30.0</v>
      </c>
      <c r="M68" s="185">
        <v>45536.0</v>
      </c>
      <c r="N68" s="185">
        <v>45565.0</v>
      </c>
      <c r="O68" s="186">
        <f t="shared" si="1"/>
        <v>370</v>
      </c>
      <c r="P68" s="187">
        <f t="shared" si="2"/>
        <v>1850</v>
      </c>
      <c r="Q68" s="187">
        <f t="shared" si="3"/>
        <v>2220</v>
      </c>
    </row>
    <row r="69">
      <c r="A69" s="178" t="s">
        <v>16</v>
      </c>
      <c r="B69" s="180">
        <v>4320.0</v>
      </c>
      <c r="C69" s="178" t="s">
        <v>17</v>
      </c>
      <c r="D69" s="176" t="s">
        <v>201</v>
      </c>
      <c r="E69" s="202" t="s">
        <v>201</v>
      </c>
      <c r="F69" s="177" t="s">
        <v>202</v>
      </c>
      <c r="G69" s="190" t="s">
        <v>203</v>
      </c>
      <c r="H69" s="191"/>
      <c r="I69" s="192">
        <v>36574.0</v>
      </c>
      <c r="J69" s="192">
        <v>45187.0</v>
      </c>
      <c r="K69" s="211">
        <v>45544.0</v>
      </c>
      <c r="L69" s="184">
        <v>9.0</v>
      </c>
      <c r="M69" s="185">
        <v>45536.0</v>
      </c>
      <c r="N69" s="185">
        <v>45565.0</v>
      </c>
      <c r="O69" s="186">
        <f t="shared" si="1"/>
        <v>111</v>
      </c>
      <c r="P69" s="187">
        <f t="shared" si="2"/>
        <v>555</v>
      </c>
      <c r="Q69" s="187">
        <f t="shared" si="3"/>
        <v>666</v>
      </c>
    </row>
    <row r="70">
      <c r="A70" s="176" t="s">
        <v>16</v>
      </c>
      <c r="B70" s="177">
        <v>4320.0</v>
      </c>
      <c r="C70" s="176" t="s">
        <v>17</v>
      </c>
      <c r="D70" s="178" t="s">
        <v>301</v>
      </c>
      <c r="E70" s="179" t="s">
        <v>301</v>
      </c>
      <c r="F70" s="180" t="s">
        <v>302</v>
      </c>
      <c r="G70" s="181" t="s">
        <v>303</v>
      </c>
      <c r="H70" s="182"/>
      <c r="I70" s="183">
        <v>36991.0</v>
      </c>
      <c r="J70" s="183">
        <v>45205.0</v>
      </c>
      <c r="K70" s="182"/>
      <c r="L70" s="184">
        <v>30.0</v>
      </c>
      <c r="M70" s="185">
        <v>45536.0</v>
      </c>
      <c r="N70" s="185">
        <v>45565.0</v>
      </c>
      <c r="O70" s="186">
        <f t="shared" si="1"/>
        <v>370</v>
      </c>
      <c r="P70" s="187">
        <f t="shared" si="2"/>
        <v>1850</v>
      </c>
      <c r="Q70" s="187">
        <f t="shared" si="3"/>
        <v>2220</v>
      </c>
    </row>
    <row r="71">
      <c r="A71" s="178" t="s">
        <v>16</v>
      </c>
      <c r="B71" s="180">
        <v>4320.0</v>
      </c>
      <c r="C71" s="178" t="s">
        <v>17</v>
      </c>
      <c r="D71" s="209" t="s">
        <v>432</v>
      </c>
      <c r="E71" s="179" t="s">
        <v>432</v>
      </c>
      <c r="F71" s="191"/>
      <c r="G71" s="196" t="s">
        <v>433</v>
      </c>
      <c r="H71" s="191"/>
      <c r="I71" s="197">
        <v>34504.0</v>
      </c>
      <c r="J71" s="197">
        <v>45481.0</v>
      </c>
      <c r="K71" s="191"/>
      <c r="L71" s="184">
        <v>30.0</v>
      </c>
      <c r="M71" s="185">
        <v>45536.0</v>
      </c>
      <c r="N71" s="185">
        <v>45565.0</v>
      </c>
      <c r="O71" s="186">
        <f t="shared" si="1"/>
        <v>370</v>
      </c>
      <c r="P71" s="187">
        <f t="shared" si="2"/>
        <v>1850</v>
      </c>
      <c r="Q71" s="187">
        <f t="shared" si="3"/>
        <v>2220</v>
      </c>
    </row>
    <row r="72">
      <c r="A72" s="178" t="s">
        <v>16</v>
      </c>
      <c r="B72" s="180">
        <v>4320.0</v>
      </c>
      <c r="C72" s="178" t="s">
        <v>17</v>
      </c>
      <c r="D72" s="209" t="s">
        <v>434</v>
      </c>
      <c r="E72" s="179" t="s">
        <v>434</v>
      </c>
      <c r="F72" s="191"/>
      <c r="G72" s="218" t="s">
        <v>435</v>
      </c>
      <c r="H72" s="191"/>
      <c r="I72" s="185">
        <v>37446.0</v>
      </c>
      <c r="J72" s="197">
        <v>45495.0</v>
      </c>
      <c r="K72" s="191"/>
      <c r="L72" s="184">
        <v>30.0</v>
      </c>
      <c r="M72" s="185">
        <v>45536.0</v>
      </c>
      <c r="N72" s="185">
        <v>45565.0</v>
      </c>
      <c r="O72" s="186">
        <f t="shared" si="1"/>
        <v>370</v>
      </c>
      <c r="P72" s="187">
        <f t="shared" si="2"/>
        <v>1850</v>
      </c>
      <c r="Q72" s="187">
        <f t="shared" si="3"/>
        <v>2220</v>
      </c>
    </row>
    <row r="73">
      <c r="A73" s="178" t="s">
        <v>16</v>
      </c>
      <c r="B73" s="180">
        <v>4320.0</v>
      </c>
      <c r="C73" s="178" t="s">
        <v>17</v>
      </c>
      <c r="D73" s="195" t="s">
        <v>401</v>
      </c>
      <c r="E73" s="179" t="s">
        <v>401</v>
      </c>
      <c r="F73" s="180" t="s">
        <v>402</v>
      </c>
      <c r="G73" s="181" t="s">
        <v>403</v>
      </c>
      <c r="H73" s="182"/>
      <c r="I73" s="183">
        <v>36433.0</v>
      </c>
      <c r="J73" s="201">
        <v>45432.0</v>
      </c>
      <c r="K73" s="182"/>
      <c r="L73" s="184">
        <v>30.0</v>
      </c>
      <c r="M73" s="185">
        <v>45536.0</v>
      </c>
      <c r="N73" s="185">
        <v>45565.0</v>
      </c>
      <c r="O73" s="186">
        <f t="shared" si="1"/>
        <v>370</v>
      </c>
      <c r="P73" s="187">
        <f t="shared" si="2"/>
        <v>1850</v>
      </c>
      <c r="Q73" s="187">
        <f t="shared" si="3"/>
        <v>2220</v>
      </c>
    </row>
    <row r="74">
      <c r="A74" s="178" t="s">
        <v>16</v>
      </c>
      <c r="B74" s="180">
        <v>4320.0</v>
      </c>
      <c r="C74" s="178" t="s">
        <v>17</v>
      </c>
      <c r="D74" s="149" t="s">
        <v>460</v>
      </c>
      <c r="E74" s="179" t="s">
        <v>460</v>
      </c>
      <c r="F74" s="203"/>
      <c r="G74" s="149" t="s">
        <v>461</v>
      </c>
      <c r="H74" s="182"/>
      <c r="I74" s="183">
        <v>36856.0</v>
      </c>
      <c r="J74" s="183">
        <v>45505.0</v>
      </c>
      <c r="K74" s="182"/>
      <c r="L74" s="184">
        <v>30.0</v>
      </c>
      <c r="M74" s="185">
        <v>45536.0</v>
      </c>
      <c r="N74" s="185">
        <v>45565.0</v>
      </c>
      <c r="O74" s="186">
        <f t="shared" si="1"/>
        <v>370</v>
      </c>
      <c r="P74" s="187">
        <f t="shared" si="2"/>
        <v>1850</v>
      </c>
      <c r="Q74" s="187">
        <f t="shared" si="3"/>
        <v>2220</v>
      </c>
    </row>
    <row r="75">
      <c r="A75" s="178" t="s">
        <v>16</v>
      </c>
      <c r="B75" s="180">
        <v>4320.0</v>
      </c>
      <c r="C75" s="178" t="s">
        <v>17</v>
      </c>
      <c r="D75" s="149" t="s">
        <v>462</v>
      </c>
      <c r="E75" s="179" t="s">
        <v>462</v>
      </c>
      <c r="F75" s="203"/>
      <c r="G75" s="149" t="s">
        <v>463</v>
      </c>
      <c r="H75" s="182"/>
      <c r="I75" s="183">
        <v>34588.0</v>
      </c>
      <c r="J75" s="183">
        <v>45530.0</v>
      </c>
      <c r="K75" s="182"/>
      <c r="L75" s="184">
        <v>30.0</v>
      </c>
      <c r="M75" s="185">
        <v>45536.0</v>
      </c>
      <c r="N75" s="185">
        <v>45565.0</v>
      </c>
      <c r="O75" s="186">
        <f t="shared" si="1"/>
        <v>370</v>
      </c>
      <c r="P75" s="187">
        <f t="shared" si="2"/>
        <v>1850</v>
      </c>
      <c r="Q75" s="187">
        <f t="shared" si="3"/>
        <v>2220</v>
      </c>
    </row>
    <row r="76">
      <c r="A76" s="178" t="s">
        <v>16</v>
      </c>
      <c r="B76" s="180">
        <v>4320.0</v>
      </c>
      <c r="C76" s="178" t="s">
        <v>17</v>
      </c>
      <c r="D76" s="193" t="s">
        <v>423</v>
      </c>
      <c r="E76" s="179" t="s">
        <v>423</v>
      </c>
      <c r="F76" s="191"/>
      <c r="G76" s="196" t="s">
        <v>424</v>
      </c>
      <c r="H76" s="191"/>
      <c r="I76" s="197">
        <v>37818.0</v>
      </c>
      <c r="J76" s="197">
        <v>45467.0</v>
      </c>
      <c r="K76" s="191"/>
      <c r="L76" s="184">
        <v>30.0</v>
      </c>
      <c r="M76" s="185">
        <v>45536.0</v>
      </c>
      <c r="N76" s="185">
        <v>45565.0</v>
      </c>
      <c r="O76" s="186">
        <f t="shared" si="1"/>
        <v>370</v>
      </c>
      <c r="P76" s="187">
        <f t="shared" si="2"/>
        <v>1850</v>
      </c>
      <c r="Q76" s="187">
        <f t="shared" si="3"/>
        <v>2220</v>
      </c>
    </row>
    <row r="77">
      <c r="A77" s="178" t="s">
        <v>16</v>
      </c>
      <c r="B77" s="180">
        <v>4320.0</v>
      </c>
      <c r="C77" s="178" t="s">
        <v>17</v>
      </c>
      <c r="D77" s="176" t="s">
        <v>304</v>
      </c>
      <c r="E77" s="179" t="s">
        <v>304</v>
      </c>
      <c r="F77" s="177" t="s">
        <v>305</v>
      </c>
      <c r="G77" s="190" t="s">
        <v>306</v>
      </c>
      <c r="H77" s="191"/>
      <c r="I77" s="192">
        <v>35697.0</v>
      </c>
      <c r="J77" s="192">
        <v>45348.0</v>
      </c>
      <c r="K77" s="191"/>
      <c r="L77" s="184">
        <v>30.0</v>
      </c>
      <c r="M77" s="185">
        <v>45536.0</v>
      </c>
      <c r="N77" s="185">
        <v>45565.0</v>
      </c>
      <c r="O77" s="186">
        <f t="shared" si="1"/>
        <v>370</v>
      </c>
      <c r="P77" s="187">
        <f t="shared" si="2"/>
        <v>1850</v>
      </c>
      <c r="Q77" s="187">
        <f t="shared" si="3"/>
        <v>2220</v>
      </c>
    </row>
    <row r="78">
      <c r="A78" s="176" t="s">
        <v>16</v>
      </c>
      <c r="B78" s="177">
        <v>4320.0</v>
      </c>
      <c r="C78" s="176" t="s">
        <v>17</v>
      </c>
      <c r="D78" s="178" t="s">
        <v>213</v>
      </c>
      <c r="E78" s="179" t="s">
        <v>213</v>
      </c>
      <c r="F78" s="180" t="s">
        <v>214</v>
      </c>
      <c r="G78" s="181" t="s">
        <v>215</v>
      </c>
      <c r="H78" s="182"/>
      <c r="I78" s="183">
        <v>36797.0</v>
      </c>
      <c r="J78" s="219">
        <v>44886.0</v>
      </c>
      <c r="K78" s="220"/>
      <c r="L78" s="184">
        <v>30.0</v>
      </c>
      <c r="M78" s="185">
        <v>45536.0</v>
      </c>
      <c r="N78" s="185">
        <v>45565.0</v>
      </c>
      <c r="O78" s="186">
        <f t="shared" si="1"/>
        <v>370</v>
      </c>
      <c r="P78" s="187">
        <f t="shared" si="2"/>
        <v>1850</v>
      </c>
      <c r="Q78" s="187">
        <f t="shared" si="3"/>
        <v>2220</v>
      </c>
    </row>
    <row r="79">
      <c r="A79" s="178" t="s">
        <v>16</v>
      </c>
      <c r="B79" s="180">
        <v>4320.0</v>
      </c>
      <c r="C79" s="178" t="s">
        <v>17</v>
      </c>
      <c r="D79" s="193" t="s">
        <v>425</v>
      </c>
      <c r="E79" s="179" t="s">
        <v>464</v>
      </c>
      <c r="F79" s="191"/>
      <c r="G79" s="196" t="s">
        <v>426</v>
      </c>
      <c r="H79" s="191"/>
      <c r="I79" s="197">
        <v>36530.0</v>
      </c>
      <c r="J79" s="197">
        <v>45446.0</v>
      </c>
      <c r="K79" s="191"/>
      <c r="L79" s="184">
        <v>30.0</v>
      </c>
      <c r="M79" s="185">
        <v>45536.0</v>
      </c>
      <c r="N79" s="185">
        <v>45565.0</v>
      </c>
      <c r="O79" s="186">
        <f t="shared" si="1"/>
        <v>370</v>
      </c>
      <c r="P79" s="187">
        <f t="shared" si="2"/>
        <v>1850</v>
      </c>
      <c r="Q79" s="187">
        <f t="shared" si="3"/>
        <v>2220</v>
      </c>
    </row>
    <row r="80">
      <c r="A80" s="176" t="s">
        <v>16</v>
      </c>
      <c r="B80" s="177">
        <v>4320.0</v>
      </c>
      <c r="C80" s="176" t="s">
        <v>17</v>
      </c>
      <c r="D80" s="178" t="s">
        <v>442</v>
      </c>
      <c r="E80" s="179" t="s">
        <v>442</v>
      </c>
      <c r="F80" s="180" t="s">
        <v>217</v>
      </c>
      <c r="G80" s="181" t="s">
        <v>218</v>
      </c>
      <c r="H80" s="182"/>
      <c r="I80" s="183">
        <v>33769.0</v>
      </c>
      <c r="J80" s="183">
        <v>44816.0</v>
      </c>
      <c r="K80" s="182"/>
      <c r="L80" s="184">
        <v>30.0</v>
      </c>
      <c r="M80" s="185">
        <v>45536.0</v>
      </c>
      <c r="N80" s="185">
        <v>45565.0</v>
      </c>
      <c r="O80" s="186">
        <f t="shared" si="1"/>
        <v>370</v>
      </c>
      <c r="P80" s="187">
        <f t="shared" si="2"/>
        <v>1850</v>
      </c>
      <c r="Q80" s="187">
        <f t="shared" si="3"/>
        <v>2220</v>
      </c>
    </row>
    <row r="81">
      <c r="A81" s="178" t="s">
        <v>16</v>
      </c>
      <c r="B81" s="180">
        <v>4320.0</v>
      </c>
      <c r="C81" s="178" t="s">
        <v>17</v>
      </c>
      <c r="D81" s="193" t="s">
        <v>427</v>
      </c>
      <c r="E81" s="179" t="s">
        <v>427</v>
      </c>
      <c r="F81" s="191"/>
      <c r="G81" s="196" t="s">
        <v>428</v>
      </c>
      <c r="H81" s="191"/>
      <c r="I81" s="197">
        <v>36451.0</v>
      </c>
      <c r="J81" s="197">
        <v>45453.0</v>
      </c>
      <c r="K81" s="191"/>
      <c r="L81" s="221">
        <v>30.0</v>
      </c>
      <c r="M81" s="185">
        <v>45536.0</v>
      </c>
      <c r="N81" s="185">
        <v>45565.0</v>
      </c>
      <c r="O81" s="186">
        <f t="shared" si="1"/>
        <v>370</v>
      </c>
      <c r="P81" s="187">
        <f t="shared" si="2"/>
        <v>1850</v>
      </c>
      <c r="Q81" s="187">
        <f t="shared" si="3"/>
        <v>2220</v>
      </c>
    </row>
    <row r="82">
      <c r="A82" s="178" t="s">
        <v>16</v>
      </c>
      <c r="B82" s="180">
        <v>4320.0</v>
      </c>
      <c r="C82" s="178" t="s">
        <v>17</v>
      </c>
      <c r="D82" s="176" t="s">
        <v>222</v>
      </c>
      <c r="E82" s="179" t="s">
        <v>222</v>
      </c>
      <c r="F82" s="177" t="s">
        <v>223</v>
      </c>
      <c r="G82" s="190" t="s">
        <v>224</v>
      </c>
      <c r="H82" s="191"/>
      <c r="I82" s="192">
        <v>35818.0</v>
      </c>
      <c r="J82" s="192">
        <v>45089.0</v>
      </c>
      <c r="K82" s="191"/>
      <c r="L82" s="221">
        <v>30.0</v>
      </c>
      <c r="M82" s="185">
        <v>45536.0</v>
      </c>
      <c r="N82" s="185">
        <v>45565.0</v>
      </c>
      <c r="O82" s="186">
        <f t="shared" si="1"/>
        <v>370</v>
      </c>
      <c r="P82" s="187">
        <f t="shared" si="2"/>
        <v>1850</v>
      </c>
      <c r="Q82" s="187">
        <f t="shared" si="3"/>
        <v>2220</v>
      </c>
    </row>
    <row r="83">
      <c r="A83" s="176" t="s">
        <v>16</v>
      </c>
      <c r="B83" s="177">
        <v>4320.0</v>
      </c>
      <c r="C83" s="176" t="s">
        <v>17</v>
      </c>
      <c r="D83" s="178" t="s">
        <v>225</v>
      </c>
      <c r="E83" s="179" t="s">
        <v>225</v>
      </c>
      <c r="F83" s="180" t="s">
        <v>226</v>
      </c>
      <c r="G83" s="181" t="s">
        <v>227</v>
      </c>
      <c r="H83" s="182"/>
      <c r="I83" s="183">
        <v>36177.0</v>
      </c>
      <c r="J83" s="183">
        <v>45320.0</v>
      </c>
      <c r="K83" s="182"/>
      <c r="L83" s="221">
        <v>30.0</v>
      </c>
      <c r="M83" s="185">
        <v>45536.0</v>
      </c>
      <c r="N83" s="185">
        <v>45565.0</v>
      </c>
      <c r="O83" s="186">
        <f t="shared" si="1"/>
        <v>370</v>
      </c>
      <c r="P83" s="187">
        <f t="shared" si="2"/>
        <v>1850</v>
      </c>
      <c r="Q83" s="187">
        <f t="shared" si="3"/>
        <v>2220</v>
      </c>
    </row>
    <row r="84">
      <c r="A84" s="176" t="s">
        <v>16</v>
      </c>
      <c r="B84" s="177">
        <v>4320.0</v>
      </c>
      <c r="C84" s="176" t="s">
        <v>17</v>
      </c>
      <c r="D84" s="149" t="s">
        <v>465</v>
      </c>
      <c r="E84" s="179" t="s">
        <v>465</v>
      </c>
      <c r="F84" s="203"/>
      <c r="G84" s="149" t="s">
        <v>466</v>
      </c>
      <c r="H84" s="182"/>
      <c r="I84" s="183">
        <v>36881.0</v>
      </c>
      <c r="J84" s="153">
        <v>45523.0</v>
      </c>
      <c r="K84" s="182"/>
      <c r="L84" s="221">
        <v>30.0</v>
      </c>
      <c r="M84" s="185">
        <v>45536.0</v>
      </c>
      <c r="N84" s="185">
        <v>45565.0</v>
      </c>
      <c r="O84" s="186">
        <f t="shared" si="1"/>
        <v>370</v>
      </c>
      <c r="P84" s="187">
        <f t="shared" si="2"/>
        <v>1850</v>
      </c>
      <c r="Q84" s="187">
        <f t="shared" si="3"/>
        <v>2220</v>
      </c>
    </row>
    <row r="85">
      <c r="A85" s="178" t="s">
        <v>16</v>
      </c>
      <c r="B85" s="180">
        <v>4320.0</v>
      </c>
      <c r="C85" s="178" t="s">
        <v>17</v>
      </c>
      <c r="D85" s="176" t="s">
        <v>307</v>
      </c>
      <c r="E85" s="202" t="s">
        <v>307</v>
      </c>
      <c r="F85" s="177" t="s">
        <v>308</v>
      </c>
      <c r="G85" s="190" t="s">
        <v>309</v>
      </c>
      <c r="H85" s="191"/>
      <c r="I85" s="192">
        <v>36522.0</v>
      </c>
      <c r="J85" s="192">
        <v>45328.0</v>
      </c>
      <c r="K85" s="200">
        <v>45565.0</v>
      </c>
      <c r="L85" s="221">
        <v>30.0</v>
      </c>
      <c r="M85" s="185">
        <v>45536.0</v>
      </c>
      <c r="N85" s="185">
        <v>45565.0</v>
      </c>
      <c r="O85" s="186">
        <f t="shared" si="1"/>
        <v>370</v>
      </c>
      <c r="P85" s="187">
        <f t="shared" si="2"/>
        <v>1850</v>
      </c>
      <c r="Q85" s="187">
        <f t="shared" si="3"/>
        <v>2220</v>
      </c>
    </row>
    <row r="86">
      <c r="A86" s="176" t="s">
        <v>16</v>
      </c>
      <c r="B86" s="177">
        <v>4320.0</v>
      </c>
      <c r="C86" s="176" t="s">
        <v>17</v>
      </c>
      <c r="D86" s="178" t="s">
        <v>228</v>
      </c>
      <c r="E86" s="179" t="s">
        <v>228</v>
      </c>
      <c r="F86" s="180" t="s">
        <v>229</v>
      </c>
      <c r="G86" s="181" t="s">
        <v>230</v>
      </c>
      <c r="H86" s="182"/>
      <c r="I86" s="183">
        <v>35743.0</v>
      </c>
      <c r="J86" s="183">
        <v>45222.0</v>
      </c>
      <c r="K86" s="182"/>
      <c r="L86" s="221">
        <v>30.0</v>
      </c>
      <c r="M86" s="185">
        <v>45536.0</v>
      </c>
      <c r="N86" s="185">
        <v>45565.0</v>
      </c>
      <c r="O86" s="186">
        <f t="shared" si="1"/>
        <v>370</v>
      </c>
      <c r="P86" s="187">
        <f t="shared" si="2"/>
        <v>1850</v>
      </c>
      <c r="Q86" s="187">
        <f t="shared" si="3"/>
        <v>2220</v>
      </c>
    </row>
    <row r="87">
      <c r="Q87" s="53">
        <f>SUM(Q2:Q86)</f>
        <v>184344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88"/>
    <col hidden="1" min="5" max="5" width="12.63"/>
    <col customWidth="1" min="11" max="11" width="8.63"/>
    <col customWidth="1" min="15" max="15" width="15.38"/>
  </cols>
  <sheetData>
    <row r="1">
      <c r="A1" s="174" t="s">
        <v>0</v>
      </c>
      <c r="B1" s="174" t="s">
        <v>1</v>
      </c>
      <c r="C1" s="174" t="s">
        <v>2</v>
      </c>
      <c r="D1" s="174" t="s">
        <v>3</v>
      </c>
      <c r="E1" s="174" t="s">
        <v>443</v>
      </c>
      <c r="F1" s="174" t="s">
        <v>4</v>
      </c>
      <c r="G1" s="175" t="s">
        <v>5</v>
      </c>
      <c r="H1" s="174" t="s">
        <v>6</v>
      </c>
      <c r="I1" s="174" t="s">
        <v>7</v>
      </c>
      <c r="J1" s="175" t="s">
        <v>8</v>
      </c>
      <c r="K1" s="175" t="s">
        <v>9</v>
      </c>
      <c r="L1" s="175" t="s">
        <v>10</v>
      </c>
      <c r="M1" s="175" t="s">
        <v>11</v>
      </c>
      <c r="N1" s="175" t="s">
        <v>12</v>
      </c>
      <c r="O1" s="175" t="s">
        <v>379</v>
      </c>
      <c r="P1" s="175" t="s">
        <v>14</v>
      </c>
      <c r="Q1" s="175" t="s">
        <v>15</v>
      </c>
    </row>
    <row r="2">
      <c r="A2" s="176" t="s">
        <v>16</v>
      </c>
      <c r="B2" s="177">
        <v>4320.0</v>
      </c>
      <c r="C2" s="176" t="s">
        <v>17</v>
      </c>
      <c r="D2" s="178" t="s">
        <v>261</v>
      </c>
      <c r="E2" s="179" t="s">
        <v>261</v>
      </c>
      <c r="F2" s="180" t="s">
        <v>262</v>
      </c>
      <c r="G2" s="181" t="s">
        <v>263</v>
      </c>
      <c r="H2" s="182"/>
      <c r="I2" s="183">
        <v>36617.0</v>
      </c>
      <c r="J2" s="183">
        <v>45299.0</v>
      </c>
      <c r="K2" s="182"/>
      <c r="L2" s="222">
        <v>31.0</v>
      </c>
      <c r="M2" s="185">
        <v>45566.0</v>
      </c>
      <c r="N2" s="185">
        <v>45596.0</v>
      </c>
      <c r="O2" s="186">
        <f t="shared" ref="O2:O78" si="1">ROUNDUP(L2/31*370,0)</f>
        <v>370</v>
      </c>
      <c r="P2" s="187">
        <f t="shared" ref="P2:P78" si="2">O2*5</f>
        <v>1850</v>
      </c>
      <c r="Q2" s="187">
        <f t="shared" ref="Q2:Q78" si="3">O2+P2</f>
        <v>2220</v>
      </c>
    </row>
    <row r="3">
      <c r="A3" s="176" t="s">
        <v>16</v>
      </c>
      <c r="B3" s="177">
        <v>4320.0</v>
      </c>
      <c r="C3" s="176" t="s">
        <v>17</v>
      </c>
      <c r="D3" s="188" t="s">
        <v>361</v>
      </c>
      <c r="E3" s="179" t="s">
        <v>436</v>
      </c>
      <c r="F3" s="180" t="s">
        <v>362</v>
      </c>
      <c r="G3" s="189" t="s">
        <v>363</v>
      </c>
      <c r="H3" s="182"/>
      <c r="I3" s="183">
        <v>37149.0</v>
      </c>
      <c r="J3" s="183">
        <v>45397.0</v>
      </c>
      <c r="K3" s="182"/>
      <c r="L3" s="222">
        <v>31.0</v>
      </c>
      <c r="M3" s="185">
        <v>45566.0</v>
      </c>
      <c r="N3" s="185">
        <v>45596.0</v>
      </c>
      <c r="O3" s="186">
        <f t="shared" si="1"/>
        <v>370</v>
      </c>
      <c r="P3" s="187">
        <f t="shared" si="2"/>
        <v>1850</v>
      </c>
      <c r="Q3" s="187">
        <f t="shared" si="3"/>
        <v>2220</v>
      </c>
    </row>
    <row r="4">
      <c r="A4" s="178" t="s">
        <v>16</v>
      </c>
      <c r="B4" s="180">
        <v>4320.0</v>
      </c>
      <c r="C4" s="178" t="s">
        <v>17</v>
      </c>
      <c r="D4" s="176" t="s">
        <v>437</v>
      </c>
      <c r="E4" s="179" t="s">
        <v>437</v>
      </c>
      <c r="F4" s="177" t="s">
        <v>22</v>
      </c>
      <c r="G4" s="190" t="s">
        <v>23</v>
      </c>
      <c r="H4" s="191"/>
      <c r="I4" s="192">
        <v>36358.0</v>
      </c>
      <c r="J4" s="192">
        <v>45027.0</v>
      </c>
      <c r="K4" s="191"/>
      <c r="L4" s="222">
        <v>31.0</v>
      </c>
      <c r="M4" s="185">
        <v>45566.0</v>
      </c>
      <c r="N4" s="185">
        <v>45596.0</v>
      </c>
      <c r="O4" s="186">
        <f t="shared" si="1"/>
        <v>370</v>
      </c>
      <c r="P4" s="187">
        <f t="shared" si="2"/>
        <v>1850</v>
      </c>
      <c r="Q4" s="187">
        <f t="shared" si="3"/>
        <v>2220</v>
      </c>
    </row>
    <row r="5">
      <c r="A5" s="178" t="s">
        <v>16</v>
      </c>
      <c r="B5" s="180">
        <v>4320.0</v>
      </c>
      <c r="C5" s="178" t="s">
        <v>17</v>
      </c>
      <c r="D5" s="149" t="s">
        <v>473</v>
      </c>
      <c r="E5" s="204" t="s">
        <v>474</v>
      </c>
      <c r="F5" s="205"/>
      <c r="G5" s="193" t="s">
        <v>475</v>
      </c>
      <c r="H5" s="191"/>
      <c r="I5" s="192">
        <v>37459.0</v>
      </c>
      <c r="J5" s="153">
        <v>45586.0</v>
      </c>
      <c r="K5" s="191"/>
      <c r="L5" s="222">
        <v>11.0</v>
      </c>
      <c r="M5" s="185">
        <v>45566.0</v>
      </c>
      <c r="N5" s="185">
        <v>45596.0</v>
      </c>
      <c r="O5" s="186">
        <f t="shared" si="1"/>
        <v>132</v>
      </c>
      <c r="P5" s="187">
        <f t="shared" si="2"/>
        <v>660</v>
      </c>
      <c r="Q5" s="187">
        <f t="shared" si="3"/>
        <v>792</v>
      </c>
    </row>
    <row r="6">
      <c r="A6" s="178" t="s">
        <v>16</v>
      </c>
      <c r="B6" s="180">
        <v>4320.0</v>
      </c>
      <c r="C6" s="178" t="s">
        <v>17</v>
      </c>
      <c r="D6" s="193" t="s">
        <v>408</v>
      </c>
      <c r="E6" s="179" t="s">
        <v>408</v>
      </c>
      <c r="F6" s="195" t="s">
        <v>409</v>
      </c>
      <c r="G6" s="196" t="s">
        <v>410</v>
      </c>
      <c r="H6" s="191"/>
      <c r="I6" s="197">
        <v>37978.0</v>
      </c>
      <c r="J6" s="197">
        <v>45453.0</v>
      </c>
      <c r="K6" s="191"/>
      <c r="L6" s="222">
        <v>31.0</v>
      </c>
      <c r="M6" s="185">
        <v>45566.0</v>
      </c>
      <c r="N6" s="185">
        <v>45596.0</v>
      </c>
      <c r="O6" s="186">
        <f t="shared" si="1"/>
        <v>370</v>
      </c>
      <c r="P6" s="187">
        <f t="shared" si="2"/>
        <v>1850</v>
      </c>
      <c r="Q6" s="187">
        <f t="shared" si="3"/>
        <v>2220</v>
      </c>
    </row>
    <row r="7">
      <c r="A7" s="178" t="s">
        <v>16</v>
      </c>
      <c r="B7" s="180">
        <v>4320.0</v>
      </c>
      <c r="C7" s="178" t="s">
        <v>17</v>
      </c>
      <c r="D7" s="176" t="s">
        <v>246</v>
      </c>
      <c r="E7" s="179" t="s">
        <v>246</v>
      </c>
      <c r="F7" s="177" t="s">
        <v>247</v>
      </c>
      <c r="G7" s="190" t="s">
        <v>248</v>
      </c>
      <c r="H7" s="191"/>
      <c r="I7" s="192">
        <v>36353.0</v>
      </c>
      <c r="J7" s="192">
        <v>45278.0</v>
      </c>
      <c r="L7" s="184">
        <v>31.0</v>
      </c>
      <c r="M7" s="185">
        <v>45566.0</v>
      </c>
      <c r="N7" s="185">
        <v>45596.0</v>
      </c>
      <c r="O7" s="186">
        <f t="shared" si="1"/>
        <v>370</v>
      </c>
      <c r="P7" s="187">
        <f t="shared" si="2"/>
        <v>1850</v>
      </c>
      <c r="Q7" s="187">
        <f t="shared" si="3"/>
        <v>2220</v>
      </c>
    </row>
    <row r="8">
      <c r="A8" s="176" t="s">
        <v>16</v>
      </c>
      <c r="B8" s="177">
        <v>4320.0</v>
      </c>
      <c r="C8" s="176" t="s">
        <v>17</v>
      </c>
      <c r="D8" s="178" t="s">
        <v>316</v>
      </c>
      <c r="E8" s="179" t="s">
        <v>316</v>
      </c>
      <c r="F8" s="180" t="s">
        <v>317</v>
      </c>
      <c r="G8" s="181" t="s">
        <v>318</v>
      </c>
      <c r="H8" s="182"/>
      <c r="I8" s="183">
        <v>37274.0</v>
      </c>
      <c r="J8" s="183">
        <v>45362.0</v>
      </c>
      <c r="K8" s="182"/>
      <c r="L8" s="222">
        <v>31.0</v>
      </c>
      <c r="M8" s="185">
        <v>45566.0</v>
      </c>
      <c r="N8" s="185">
        <v>45596.0</v>
      </c>
      <c r="O8" s="186">
        <f t="shared" si="1"/>
        <v>370</v>
      </c>
      <c r="P8" s="187">
        <f t="shared" si="2"/>
        <v>1850</v>
      </c>
      <c r="Q8" s="187">
        <f t="shared" si="3"/>
        <v>2220</v>
      </c>
    </row>
    <row r="9">
      <c r="A9" s="176" t="s">
        <v>16</v>
      </c>
      <c r="B9" s="177">
        <v>4320.0</v>
      </c>
      <c r="C9" s="176" t="s">
        <v>17</v>
      </c>
      <c r="D9" s="178" t="s">
        <v>264</v>
      </c>
      <c r="E9" s="179" t="s">
        <v>264</v>
      </c>
      <c r="F9" s="180" t="s">
        <v>265</v>
      </c>
      <c r="G9" s="181" t="s">
        <v>266</v>
      </c>
      <c r="H9" s="182"/>
      <c r="I9" s="201">
        <v>37398.0</v>
      </c>
      <c r="J9" s="183">
        <v>45096.0</v>
      </c>
      <c r="K9" s="182"/>
      <c r="L9" s="222">
        <v>31.0</v>
      </c>
      <c r="M9" s="185">
        <v>45566.0</v>
      </c>
      <c r="N9" s="185">
        <v>45596.0</v>
      </c>
      <c r="O9" s="186">
        <f t="shared" si="1"/>
        <v>370</v>
      </c>
      <c r="P9" s="187">
        <f t="shared" si="2"/>
        <v>1850</v>
      </c>
      <c r="Q9" s="187">
        <f t="shared" si="3"/>
        <v>2220</v>
      </c>
    </row>
    <row r="10">
      <c r="A10" s="176" t="s">
        <v>16</v>
      </c>
      <c r="B10" s="177">
        <v>4320.0</v>
      </c>
      <c r="C10" s="176" t="s">
        <v>17</v>
      </c>
      <c r="D10" s="178" t="s">
        <v>319</v>
      </c>
      <c r="E10" s="179" t="s">
        <v>444</v>
      </c>
      <c r="F10" s="180" t="s">
        <v>320</v>
      </c>
      <c r="G10" s="181" t="s">
        <v>321</v>
      </c>
      <c r="H10" s="182"/>
      <c r="I10" s="183">
        <v>36360.0</v>
      </c>
      <c r="J10" s="183">
        <v>45355.0</v>
      </c>
      <c r="K10" s="182"/>
      <c r="L10" s="223">
        <v>31.0</v>
      </c>
      <c r="M10" s="185">
        <v>45566.0</v>
      </c>
      <c r="N10" s="185">
        <v>45596.0</v>
      </c>
      <c r="O10" s="186">
        <f t="shared" si="1"/>
        <v>370</v>
      </c>
      <c r="P10" s="187">
        <f t="shared" si="2"/>
        <v>1850</v>
      </c>
      <c r="Q10" s="187">
        <f t="shared" si="3"/>
        <v>2220</v>
      </c>
    </row>
    <row r="11">
      <c r="A11" s="178" t="s">
        <v>16</v>
      </c>
      <c r="B11" s="180">
        <v>4320.0</v>
      </c>
      <c r="C11" s="178" t="s">
        <v>17</v>
      </c>
      <c r="D11" s="193" t="s">
        <v>411</v>
      </c>
      <c r="E11" s="224" t="s">
        <v>411</v>
      </c>
      <c r="F11" s="195" t="s">
        <v>412</v>
      </c>
      <c r="G11" s="196" t="s">
        <v>413</v>
      </c>
      <c r="H11" s="191"/>
      <c r="I11" s="197">
        <v>33230.0</v>
      </c>
      <c r="J11" s="197">
        <v>45453.0</v>
      </c>
      <c r="K11" s="191"/>
      <c r="L11" s="222">
        <v>31.0</v>
      </c>
      <c r="M11" s="185">
        <v>45566.0</v>
      </c>
      <c r="N11" s="185">
        <v>45596.0</v>
      </c>
      <c r="O11" s="186">
        <f t="shared" si="1"/>
        <v>370</v>
      </c>
      <c r="P11" s="187">
        <f t="shared" si="2"/>
        <v>1850</v>
      </c>
      <c r="Q11" s="187">
        <f t="shared" si="3"/>
        <v>2220</v>
      </c>
    </row>
    <row r="12">
      <c r="A12" s="176" t="s">
        <v>16</v>
      </c>
      <c r="B12" s="177">
        <v>4320.0</v>
      </c>
      <c r="C12" s="176" t="s">
        <v>17</v>
      </c>
      <c r="D12" s="178" t="s">
        <v>282</v>
      </c>
      <c r="E12" s="194" t="s">
        <v>282</v>
      </c>
      <c r="F12" s="180" t="s">
        <v>283</v>
      </c>
      <c r="G12" s="181" t="s">
        <v>284</v>
      </c>
      <c r="H12" s="182"/>
      <c r="I12" s="183">
        <v>35047.0</v>
      </c>
      <c r="J12" s="183">
        <v>45257.0</v>
      </c>
      <c r="K12" s="182"/>
      <c r="L12" s="222">
        <v>31.0</v>
      </c>
      <c r="M12" s="185">
        <v>45566.0</v>
      </c>
      <c r="N12" s="185">
        <v>45596.0</v>
      </c>
      <c r="O12" s="186">
        <f t="shared" si="1"/>
        <v>370</v>
      </c>
      <c r="P12" s="187">
        <f t="shared" si="2"/>
        <v>1850</v>
      </c>
      <c r="Q12" s="187">
        <f t="shared" si="3"/>
        <v>2220</v>
      </c>
    </row>
    <row r="13">
      <c r="A13" s="178" t="s">
        <v>16</v>
      </c>
      <c r="B13" s="180">
        <v>4320.0</v>
      </c>
      <c r="C13" s="178" t="s">
        <v>17</v>
      </c>
      <c r="D13" s="176" t="s">
        <v>45</v>
      </c>
      <c r="E13" s="179" t="s">
        <v>45</v>
      </c>
      <c r="F13" s="177" t="s">
        <v>46</v>
      </c>
      <c r="G13" s="190" t="s">
        <v>47</v>
      </c>
      <c r="H13" s="191"/>
      <c r="I13" s="192">
        <v>37370.0</v>
      </c>
      <c r="J13" s="192">
        <v>44739.0</v>
      </c>
      <c r="K13" s="191"/>
      <c r="L13" s="222">
        <v>31.0</v>
      </c>
      <c r="M13" s="185">
        <v>45566.0</v>
      </c>
      <c r="N13" s="185">
        <v>45596.0</v>
      </c>
      <c r="O13" s="186">
        <f t="shared" si="1"/>
        <v>370</v>
      </c>
      <c r="P13" s="187">
        <f t="shared" si="2"/>
        <v>1850</v>
      </c>
      <c r="Q13" s="187">
        <f t="shared" si="3"/>
        <v>2220</v>
      </c>
    </row>
    <row r="14">
      <c r="A14" s="178" t="s">
        <v>16</v>
      </c>
      <c r="B14" s="180">
        <v>4320.0</v>
      </c>
      <c r="C14" s="178" t="s">
        <v>17</v>
      </c>
      <c r="D14" s="176" t="s">
        <v>48</v>
      </c>
      <c r="E14" s="179" t="s">
        <v>48</v>
      </c>
      <c r="F14" s="177" t="s">
        <v>49</v>
      </c>
      <c r="G14" s="190" t="s">
        <v>50</v>
      </c>
      <c r="H14" s="191"/>
      <c r="I14" s="192">
        <v>36399.0</v>
      </c>
      <c r="J14" s="192">
        <v>45229.0</v>
      </c>
      <c r="K14" s="191"/>
      <c r="L14" s="222">
        <v>31.0</v>
      </c>
      <c r="M14" s="185">
        <v>45566.0</v>
      </c>
      <c r="N14" s="185">
        <v>45596.0</v>
      </c>
      <c r="O14" s="186">
        <f t="shared" si="1"/>
        <v>370</v>
      </c>
      <c r="P14" s="187">
        <f t="shared" si="2"/>
        <v>1850</v>
      </c>
      <c r="Q14" s="187">
        <f t="shared" si="3"/>
        <v>2220</v>
      </c>
    </row>
    <row r="15">
      <c r="A15" s="176" t="s">
        <v>16</v>
      </c>
      <c r="B15" s="177">
        <v>4320.0</v>
      </c>
      <c r="C15" s="176" t="s">
        <v>17</v>
      </c>
      <c r="D15" s="176" t="s">
        <v>383</v>
      </c>
      <c r="E15" s="179" t="s">
        <v>383</v>
      </c>
      <c r="F15" s="177" t="s">
        <v>384</v>
      </c>
      <c r="G15" s="190" t="s">
        <v>385</v>
      </c>
      <c r="H15" s="191"/>
      <c r="I15" s="192">
        <v>36183.0</v>
      </c>
      <c r="J15" s="199">
        <v>45418.0</v>
      </c>
      <c r="K15" s="191"/>
      <c r="L15" s="222">
        <v>31.0</v>
      </c>
      <c r="M15" s="185">
        <v>45566.0</v>
      </c>
      <c r="N15" s="185">
        <v>45596.0</v>
      </c>
      <c r="O15" s="186">
        <f t="shared" si="1"/>
        <v>370</v>
      </c>
      <c r="P15" s="187">
        <f t="shared" si="2"/>
        <v>1850</v>
      </c>
      <c r="Q15" s="187">
        <f t="shared" si="3"/>
        <v>2220</v>
      </c>
    </row>
    <row r="16">
      <c r="A16" s="176" t="s">
        <v>16</v>
      </c>
      <c r="B16" s="177">
        <v>4320.0</v>
      </c>
      <c r="C16" s="176" t="s">
        <v>17</v>
      </c>
      <c r="D16" s="178" t="s">
        <v>285</v>
      </c>
      <c r="E16" s="179" t="s">
        <v>285</v>
      </c>
      <c r="F16" s="180" t="s">
        <v>286</v>
      </c>
      <c r="G16" s="181" t="s">
        <v>287</v>
      </c>
      <c r="H16" s="182"/>
      <c r="I16" s="201">
        <v>37377.0</v>
      </c>
      <c r="J16" s="183">
        <v>45334.0</v>
      </c>
      <c r="K16" s="182"/>
      <c r="L16" s="222">
        <v>31.0</v>
      </c>
      <c r="M16" s="185">
        <v>45566.0</v>
      </c>
      <c r="N16" s="185">
        <v>45596.0</v>
      </c>
      <c r="O16" s="186">
        <f t="shared" si="1"/>
        <v>370</v>
      </c>
      <c r="P16" s="187">
        <f t="shared" si="2"/>
        <v>1850</v>
      </c>
      <c r="Q16" s="187">
        <f t="shared" si="3"/>
        <v>2220</v>
      </c>
    </row>
    <row r="17">
      <c r="A17" s="178" t="s">
        <v>16</v>
      </c>
      <c r="B17" s="180">
        <v>4320.0</v>
      </c>
      <c r="C17" s="178" t="s">
        <v>17</v>
      </c>
      <c r="D17" s="176" t="s">
        <v>288</v>
      </c>
      <c r="E17" s="224" t="s">
        <v>288</v>
      </c>
      <c r="F17" s="177" t="s">
        <v>289</v>
      </c>
      <c r="G17" s="190" t="s">
        <v>290</v>
      </c>
      <c r="H17" s="191"/>
      <c r="I17" s="192">
        <v>37047.0</v>
      </c>
      <c r="J17" s="192">
        <v>45257.0</v>
      </c>
      <c r="K17" s="191"/>
      <c r="L17" s="222">
        <v>31.0</v>
      </c>
      <c r="M17" s="185">
        <v>45566.0</v>
      </c>
      <c r="N17" s="185">
        <v>45596.0</v>
      </c>
      <c r="O17" s="186">
        <f t="shared" si="1"/>
        <v>370</v>
      </c>
      <c r="P17" s="187">
        <f t="shared" si="2"/>
        <v>1850</v>
      </c>
      <c r="Q17" s="187">
        <f t="shared" si="3"/>
        <v>2220</v>
      </c>
    </row>
    <row r="18">
      <c r="A18" s="176" t="s">
        <v>16</v>
      </c>
      <c r="B18" s="177">
        <v>4320.0</v>
      </c>
      <c r="C18" s="176" t="s">
        <v>17</v>
      </c>
      <c r="D18" s="178" t="s">
        <v>51</v>
      </c>
      <c r="E18" s="179" t="s">
        <v>51</v>
      </c>
      <c r="F18" s="180" t="s">
        <v>52</v>
      </c>
      <c r="G18" s="181" t="s">
        <v>53</v>
      </c>
      <c r="H18" s="182"/>
      <c r="I18" s="183">
        <v>34601.0</v>
      </c>
      <c r="J18" s="183">
        <v>44986.0</v>
      </c>
      <c r="K18" s="182"/>
      <c r="L18" s="222">
        <v>31.0</v>
      </c>
      <c r="M18" s="185">
        <v>45566.0</v>
      </c>
      <c r="N18" s="185">
        <v>45596.0</v>
      </c>
      <c r="O18" s="186">
        <f t="shared" si="1"/>
        <v>370</v>
      </c>
      <c r="P18" s="187">
        <f t="shared" si="2"/>
        <v>1850</v>
      </c>
      <c r="Q18" s="187">
        <f t="shared" si="3"/>
        <v>2220</v>
      </c>
    </row>
    <row r="19">
      <c r="A19" s="176" t="s">
        <v>16</v>
      </c>
      <c r="B19" s="177">
        <v>4320.0</v>
      </c>
      <c r="C19" s="176" t="s">
        <v>17</v>
      </c>
      <c r="D19" s="149" t="s">
        <v>445</v>
      </c>
      <c r="E19" s="179" t="s">
        <v>445</v>
      </c>
      <c r="F19" s="203"/>
      <c r="G19" s="181" t="s">
        <v>447</v>
      </c>
      <c r="H19" s="182"/>
      <c r="I19" s="183">
        <v>37047.0</v>
      </c>
      <c r="J19" s="183">
        <v>45505.0</v>
      </c>
      <c r="K19" s="182"/>
      <c r="L19" s="222">
        <v>31.0</v>
      </c>
      <c r="M19" s="185">
        <v>45566.0</v>
      </c>
      <c r="N19" s="185">
        <v>45596.0</v>
      </c>
      <c r="O19" s="186">
        <f t="shared" si="1"/>
        <v>370</v>
      </c>
      <c r="P19" s="187">
        <f t="shared" si="2"/>
        <v>1850</v>
      </c>
      <c r="Q19" s="187">
        <f t="shared" si="3"/>
        <v>2220</v>
      </c>
    </row>
    <row r="20">
      <c r="A20" s="176" t="s">
        <v>16</v>
      </c>
      <c r="B20" s="177">
        <v>4320.0</v>
      </c>
      <c r="C20" s="176" t="s">
        <v>17</v>
      </c>
      <c r="D20" s="149" t="s">
        <v>448</v>
      </c>
      <c r="E20" s="194" t="s">
        <v>467</v>
      </c>
      <c r="F20" s="203"/>
      <c r="G20" s="149" t="s">
        <v>450</v>
      </c>
      <c r="H20" s="182"/>
      <c r="I20" s="183">
        <v>36682.0</v>
      </c>
      <c r="J20" s="153">
        <v>45505.0</v>
      </c>
      <c r="K20" s="182"/>
      <c r="L20" s="222">
        <v>31.0</v>
      </c>
      <c r="M20" s="185">
        <v>45566.0</v>
      </c>
      <c r="N20" s="185">
        <v>45596.0</v>
      </c>
      <c r="O20" s="186">
        <f t="shared" si="1"/>
        <v>370</v>
      </c>
      <c r="P20" s="187">
        <f t="shared" si="2"/>
        <v>1850</v>
      </c>
      <c r="Q20" s="187">
        <f t="shared" si="3"/>
        <v>2220</v>
      </c>
    </row>
    <row r="21">
      <c r="A21" s="176" t="s">
        <v>16</v>
      </c>
      <c r="B21" s="177">
        <v>4320.0</v>
      </c>
      <c r="C21" s="176" t="s">
        <v>17</v>
      </c>
      <c r="D21" s="178" t="s">
        <v>57</v>
      </c>
      <c r="E21" s="179" t="s">
        <v>57</v>
      </c>
      <c r="F21" s="180" t="s">
        <v>58</v>
      </c>
      <c r="G21" s="181" t="s">
        <v>59</v>
      </c>
      <c r="H21" s="182"/>
      <c r="I21" s="183">
        <v>35704.0</v>
      </c>
      <c r="J21" s="183">
        <v>44760.0</v>
      </c>
      <c r="K21" s="182"/>
      <c r="L21" s="222">
        <v>31.0</v>
      </c>
      <c r="M21" s="185">
        <v>45566.0</v>
      </c>
      <c r="N21" s="185">
        <v>45596.0</v>
      </c>
      <c r="O21" s="186">
        <f t="shared" si="1"/>
        <v>370</v>
      </c>
      <c r="P21" s="187">
        <f t="shared" si="2"/>
        <v>1850</v>
      </c>
      <c r="Q21" s="187">
        <f t="shared" si="3"/>
        <v>2220</v>
      </c>
    </row>
    <row r="22">
      <c r="A22" s="176" t="s">
        <v>16</v>
      </c>
      <c r="B22" s="177">
        <v>4320.0</v>
      </c>
      <c r="C22" s="176" t="s">
        <v>17</v>
      </c>
      <c r="D22" s="178" t="s">
        <v>291</v>
      </c>
      <c r="E22" s="179" t="s">
        <v>291</v>
      </c>
      <c r="F22" s="180" t="s">
        <v>292</v>
      </c>
      <c r="G22" s="181" t="s">
        <v>293</v>
      </c>
      <c r="H22" s="182"/>
      <c r="I22" s="183">
        <v>37219.0</v>
      </c>
      <c r="J22" s="183">
        <v>45257.0</v>
      </c>
      <c r="K22" s="182"/>
      <c r="L22" s="222">
        <v>31.0</v>
      </c>
      <c r="M22" s="185">
        <v>45566.0</v>
      </c>
      <c r="N22" s="185">
        <v>45596.0</v>
      </c>
      <c r="O22" s="186">
        <f t="shared" si="1"/>
        <v>370</v>
      </c>
      <c r="P22" s="187">
        <f t="shared" si="2"/>
        <v>1850</v>
      </c>
      <c r="Q22" s="187">
        <f t="shared" si="3"/>
        <v>2220</v>
      </c>
    </row>
    <row r="23">
      <c r="A23" s="178" t="s">
        <v>16</v>
      </c>
      <c r="B23" s="180">
        <v>4320.0</v>
      </c>
      <c r="C23" s="178" t="s">
        <v>17</v>
      </c>
      <c r="D23" s="176" t="s">
        <v>60</v>
      </c>
      <c r="E23" s="179" t="s">
        <v>60</v>
      </c>
      <c r="F23" s="177" t="s">
        <v>61</v>
      </c>
      <c r="G23" s="190" t="s">
        <v>62</v>
      </c>
      <c r="H23" s="191"/>
      <c r="I23" s="192">
        <v>36246.0</v>
      </c>
      <c r="J23" s="192">
        <v>44851.0</v>
      </c>
      <c r="K23" s="191"/>
      <c r="L23" s="222">
        <v>31.0</v>
      </c>
      <c r="M23" s="185">
        <v>45566.0</v>
      </c>
      <c r="N23" s="185">
        <v>45596.0</v>
      </c>
      <c r="O23" s="186">
        <f t="shared" si="1"/>
        <v>370</v>
      </c>
      <c r="P23" s="187">
        <f t="shared" si="2"/>
        <v>1850</v>
      </c>
      <c r="Q23" s="187">
        <f t="shared" si="3"/>
        <v>2220</v>
      </c>
    </row>
    <row r="24">
      <c r="A24" s="176" t="s">
        <v>16</v>
      </c>
      <c r="B24" s="177">
        <v>4320.0</v>
      </c>
      <c r="C24" s="176" t="s">
        <v>17</v>
      </c>
      <c r="D24" s="178" t="s">
        <v>63</v>
      </c>
      <c r="E24" s="179" t="s">
        <v>63</v>
      </c>
      <c r="F24" s="180" t="s">
        <v>64</v>
      </c>
      <c r="G24" s="181" t="s">
        <v>65</v>
      </c>
      <c r="H24" s="182"/>
      <c r="I24" s="183">
        <v>35606.0</v>
      </c>
      <c r="J24" s="183">
        <v>44896.0</v>
      </c>
      <c r="K24" s="182"/>
      <c r="L24" s="222">
        <v>31.0</v>
      </c>
      <c r="M24" s="185">
        <v>45566.0</v>
      </c>
      <c r="N24" s="185">
        <v>45596.0</v>
      </c>
      <c r="O24" s="186">
        <f t="shared" si="1"/>
        <v>370</v>
      </c>
      <c r="P24" s="187">
        <f t="shared" si="2"/>
        <v>1850</v>
      </c>
      <c r="Q24" s="187">
        <f t="shared" si="3"/>
        <v>2220</v>
      </c>
    </row>
    <row r="25">
      <c r="A25" s="176" t="s">
        <v>16</v>
      </c>
      <c r="B25" s="177">
        <v>4320.0</v>
      </c>
      <c r="C25" s="176" t="s">
        <v>17</v>
      </c>
      <c r="D25" s="176" t="s">
        <v>389</v>
      </c>
      <c r="E25" s="202" t="s">
        <v>389</v>
      </c>
      <c r="F25" s="177" t="s">
        <v>390</v>
      </c>
      <c r="G25" s="190" t="s">
        <v>391</v>
      </c>
      <c r="H25" s="191"/>
      <c r="I25" s="192">
        <v>36111.0</v>
      </c>
      <c r="J25" s="199">
        <v>45418.0</v>
      </c>
      <c r="K25" s="200">
        <v>45571.0</v>
      </c>
      <c r="L25" s="222">
        <v>6.0</v>
      </c>
      <c r="M25" s="185">
        <v>45566.0</v>
      </c>
      <c r="N25" s="185">
        <v>45596.0</v>
      </c>
      <c r="O25" s="186">
        <f t="shared" si="1"/>
        <v>72</v>
      </c>
      <c r="P25" s="187">
        <f t="shared" si="2"/>
        <v>360</v>
      </c>
      <c r="Q25" s="187">
        <f t="shared" si="3"/>
        <v>432</v>
      </c>
    </row>
    <row r="26">
      <c r="A26" s="178" t="s">
        <v>16</v>
      </c>
      <c r="B26" s="180">
        <v>4320.0</v>
      </c>
      <c r="C26" s="178" t="s">
        <v>17</v>
      </c>
      <c r="D26" s="176" t="s">
        <v>267</v>
      </c>
      <c r="E26" s="179" t="s">
        <v>267</v>
      </c>
      <c r="F26" s="177" t="s">
        <v>268</v>
      </c>
      <c r="G26" s="190" t="s">
        <v>269</v>
      </c>
      <c r="H26" s="191"/>
      <c r="I26" s="192">
        <v>34590.0</v>
      </c>
      <c r="J26" s="192">
        <v>45313.0</v>
      </c>
      <c r="K26" s="191"/>
      <c r="L26" s="222">
        <v>31.0</v>
      </c>
      <c r="M26" s="185">
        <v>45566.0</v>
      </c>
      <c r="N26" s="185">
        <v>45596.0</v>
      </c>
      <c r="O26" s="186">
        <f t="shared" si="1"/>
        <v>370</v>
      </c>
      <c r="P26" s="187">
        <f t="shared" si="2"/>
        <v>1850</v>
      </c>
      <c r="Q26" s="187">
        <f t="shared" si="3"/>
        <v>2220</v>
      </c>
    </row>
    <row r="27">
      <c r="A27" s="176" t="s">
        <v>16</v>
      </c>
      <c r="B27" s="177">
        <v>4320.0</v>
      </c>
      <c r="C27" s="176" t="s">
        <v>17</v>
      </c>
      <c r="D27" s="178" t="s">
        <v>69</v>
      </c>
      <c r="E27" s="224" t="s">
        <v>69</v>
      </c>
      <c r="F27" s="180" t="s">
        <v>70</v>
      </c>
      <c r="G27" s="181" t="s">
        <v>71</v>
      </c>
      <c r="H27" s="182"/>
      <c r="I27" s="183">
        <v>36891.0</v>
      </c>
      <c r="J27" s="183">
        <v>44739.0</v>
      </c>
      <c r="K27" s="182"/>
      <c r="L27" s="222">
        <v>31.0</v>
      </c>
      <c r="M27" s="185">
        <v>45566.0</v>
      </c>
      <c r="N27" s="185">
        <v>45596.0</v>
      </c>
      <c r="O27" s="186">
        <f t="shared" si="1"/>
        <v>370</v>
      </c>
      <c r="P27" s="187">
        <f t="shared" si="2"/>
        <v>1850</v>
      </c>
      <c r="Q27" s="187">
        <f t="shared" si="3"/>
        <v>2220</v>
      </c>
    </row>
    <row r="28">
      <c r="A28" s="176" t="s">
        <v>16</v>
      </c>
      <c r="B28" s="177">
        <v>4320.0</v>
      </c>
      <c r="C28" s="176" t="s">
        <v>17</v>
      </c>
      <c r="D28" s="149" t="s">
        <v>468</v>
      </c>
      <c r="E28" s="179" t="s">
        <v>468</v>
      </c>
      <c r="F28" s="203"/>
      <c r="G28" s="149" t="s">
        <v>469</v>
      </c>
      <c r="H28" s="182"/>
      <c r="I28" s="183">
        <v>35986.0</v>
      </c>
      <c r="J28" s="153">
        <v>45537.0</v>
      </c>
      <c r="K28" s="182"/>
      <c r="L28" s="222">
        <v>31.0</v>
      </c>
      <c r="M28" s="185">
        <v>45566.0</v>
      </c>
      <c r="N28" s="185">
        <v>45596.0</v>
      </c>
      <c r="O28" s="186">
        <f t="shared" si="1"/>
        <v>370</v>
      </c>
      <c r="P28" s="187">
        <f t="shared" si="2"/>
        <v>1850</v>
      </c>
      <c r="Q28" s="187">
        <f t="shared" si="3"/>
        <v>2220</v>
      </c>
    </row>
    <row r="29">
      <c r="A29" s="176" t="s">
        <v>16</v>
      </c>
      <c r="B29" s="177">
        <v>4320.0</v>
      </c>
      <c r="C29" s="176" t="s">
        <v>17</v>
      </c>
      <c r="D29" s="178" t="s">
        <v>78</v>
      </c>
      <c r="E29" s="224" t="s">
        <v>78</v>
      </c>
      <c r="F29" s="180" t="s">
        <v>79</v>
      </c>
      <c r="G29" s="181" t="s">
        <v>80</v>
      </c>
      <c r="H29" s="182"/>
      <c r="I29" s="183">
        <v>36401.0</v>
      </c>
      <c r="J29" s="183">
        <v>45096.0</v>
      </c>
      <c r="K29" s="182"/>
      <c r="L29" s="222">
        <v>31.0</v>
      </c>
      <c r="M29" s="185">
        <v>45566.0</v>
      </c>
      <c r="N29" s="185">
        <v>45596.0</v>
      </c>
      <c r="O29" s="186">
        <f t="shared" si="1"/>
        <v>370</v>
      </c>
      <c r="P29" s="187">
        <f t="shared" si="2"/>
        <v>1850</v>
      </c>
      <c r="Q29" s="187">
        <f t="shared" si="3"/>
        <v>2220</v>
      </c>
    </row>
    <row r="30">
      <c r="A30" s="176" t="s">
        <v>16</v>
      </c>
      <c r="B30" s="177">
        <v>4320.0</v>
      </c>
      <c r="C30" s="176" t="s">
        <v>17</v>
      </c>
      <c r="D30" s="178" t="s">
        <v>331</v>
      </c>
      <c r="E30" s="194" t="s">
        <v>331</v>
      </c>
      <c r="F30" s="180" t="s">
        <v>332</v>
      </c>
      <c r="G30" s="181" t="s">
        <v>333</v>
      </c>
      <c r="H30" s="182"/>
      <c r="I30" s="183">
        <v>37958.0</v>
      </c>
      <c r="J30" s="183">
        <v>45369.0</v>
      </c>
      <c r="K30" s="182"/>
      <c r="L30" s="222">
        <v>31.0</v>
      </c>
      <c r="M30" s="185">
        <v>45566.0</v>
      </c>
      <c r="N30" s="185">
        <v>45596.0</v>
      </c>
      <c r="O30" s="186">
        <f t="shared" si="1"/>
        <v>370</v>
      </c>
      <c r="P30" s="187">
        <f t="shared" si="2"/>
        <v>1850</v>
      </c>
      <c r="Q30" s="187">
        <f t="shared" si="3"/>
        <v>2220</v>
      </c>
    </row>
    <row r="31">
      <c r="A31" s="178" t="s">
        <v>16</v>
      </c>
      <c r="B31" s="180">
        <v>4320.0</v>
      </c>
      <c r="C31" s="178" t="s">
        <v>17</v>
      </c>
      <c r="D31" s="188" t="s">
        <v>392</v>
      </c>
      <c r="E31" s="179" t="s">
        <v>392</v>
      </c>
      <c r="F31" s="180" t="s">
        <v>393</v>
      </c>
      <c r="G31" s="181" t="s">
        <v>394</v>
      </c>
      <c r="H31" s="182"/>
      <c r="I31" s="183">
        <v>34922.0</v>
      </c>
      <c r="J31" s="201">
        <v>45418.0</v>
      </c>
      <c r="K31" s="182"/>
      <c r="L31" s="222">
        <v>31.0</v>
      </c>
      <c r="M31" s="185">
        <v>45566.0</v>
      </c>
      <c r="N31" s="185">
        <v>45596.0</v>
      </c>
      <c r="O31" s="186">
        <f t="shared" si="1"/>
        <v>370</v>
      </c>
      <c r="P31" s="187">
        <f t="shared" si="2"/>
        <v>1850</v>
      </c>
      <c r="Q31" s="187">
        <f t="shared" si="3"/>
        <v>2220</v>
      </c>
    </row>
    <row r="32">
      <c r="A32" s="178" t="s">
        <v>16</v>
      </c>
      <c r="B32" s="180">
        <v>4320.0</v>
      </c>
      <c r="C32" s="178" t="s">
        <v>17</v>
      </c>
      <c r="D32" s="193" t="s">
        <v>451</v>
      </c>
      <c r="E32" s="179" t="s">
        <v>451</v>
      </c>
      <c r="F32" s="191"/>
      <c r="G32" s="196" t="s">
        <v>415</v>
      </c>
      <c r="H32" s="191"/>
      <c r="I32" s="197">
        <v>36443.0</v>
      </c>
      <c r="J32" s="197">
        <v>45446.0</v>
      </c>
      <c r="K32" s="191"/>
      <c r="L32" s="222">
        <v>31.0</v>
      </c>
      <c r="M32" s="185">
        <v>45566.0</v>
      </c>
      <c r="N32" s="185">
        <v>45596.0</v>
      </c>
      <c r="O32" s="186">
        <f t="shared" si="1"/>
        <v>370</v>
      </c>
      <c r="P32" s="187">
        <f t="shared" si="2"/>
        <v>1850</v>
      </c>
      <c r="Q32" s="187">
        <f t="shared" si="3"/>
        <v>2220</v>
      </c>
    </row>
    <row r="33">
      <c r="A33" s="178" t="s">
        <v>16</v>
      </c>
      <c r="B33" s="180">
        <v>4320.0</v>
      </c>
      <c r="C33" s="178" t="s">
        <v>17</v>
      </c>
      <c r="D33" s="176" t="s">
        <v>87</v>
      </c>
      <c r="E33" s="179" t="s">
        <v>87</v>
      </c>
      <c r="F33" s="177" t="s">
        <v>88</v>
      </c>
      <c r="G33" s="190" t="s">
        <v>89</v>
      </c>
      <c r="H33" s="191"/>
      <c r="I33" s="199">
        <v>33737.0</v>
      </c>
      <c r="J33" s="192">
        <v>45139.0</v>
      </c>
      <c r="K33" s="191"/>
      <c r="L33" s="222">
        <v>31.0</v>
      </c>
      <c r="M33" s="185">
        <v>45566.0</v>
      </c>
      <c r="N33" s="185">
        <v>45596.0</v>
      </c>
      <c r="O33" s="186">
        <f t="shared" si="1"/>
        <v>370</v>
      </c>
      <c r="P33" s="187">
        <f t="shared" si="2"/>
        <v>1850</v>
      </c>
      <c r="Q33" s="187">
        <f t="shared" si="3"/>
        <v>2220</v>
      </c>
    </row>
    <row r="34">
      <c r="A34" s="178" t="s">
        <v>16</v>
      </c>
      <c r="B34" s="180">
        <v>4320.0</v>
      </c>
      <c r="C34" s="178" t="s">
        <v>17</v>
      </c>
      <c r="D34" s="176" t="s">
        <v>334</v>
      </c>
      <c r="E34" s="179" t="s">
        <v>334</v>
      </c>
      <c r="F34" s="177" t="s">
        <v>335</v>
      </c>
      <c r="G34" s="190" t="s">
        <v>336</v>
      </c>
      <c r="H34" s="191"/>
      <c r="I34" s="192">
        <v>35272.0</v>
      </c>
      <c r="J34" s="192">
        <v>45355.0</v>
      </c>
      <c r="K34" s="191"/>
      <c r="L34" s="222">
        <v>31.0</v>
      </c>
      <c r="M34" s="185">
        <v>45566.0</v>
      </c>
      <c r="N34" s="185">
        <v>45596.0</v>
      </c>
      <c r="O34" s="186">
        <f t="shared" si="1"/>
        <v>370</v>
      </c>
      <c r="P34" s="187">
        <f t="shared" si="2"/>
        <v>1850</v>
      </c>
      <c r="Q34" s="187">
        <f t="shared" si="3"/>
        <v>2220</v>
      </c>
    </row>
    <row r="35">
      <c r="A35" s="178" t="s">
        <v>16</v>
      </c>
      <c r="B35" s="180">
        <v>4320.0</v>
      </c>
      <c r="C35" s="178" t="s">
        <v>17</v>
      </c>
      <c r="D35" s="176" t="s">
        <v>337</v>
      </c>
      <c r="E35" s="179" t="s">
        <v>337</v>
      </c>
      <c r="F35" s="177" t="s">
        <v>338</v>
      </c>
      <c r="G35" s="190" t="s">
        <v>339</v>
      </c>
      <c r="H35" s="191"/>
      <c r="I35" s="192">
        <v>37539.0</v>
      </c>
      <c r="J35" s="192">
        <v>45362.0</v>
      </c>
      <c r="K35" s="191"/>
      <c r="L35" s="222">
        <v>31.0</v>
      </c>
      <c r="M35" s="185">
        <v>45566.0</v>
      </c>
      <c r="N35" s="185">
        <v>45596.0</v>
      </c>
      <c r="O35" s="186">
        <f t="shared" si="1"/>
        <v>370</v>
      </c>
      <c r="P35" s="187">
        <f t="shared" si="2"/>
        <v>1850</v>
      </c>
      <c r="Q35" s="187">
        <f t="shared" si="3"/>
        <v>2220</v>
      </c>
    </row>
    <row r="36">
      <c r="A36" s="178" t="s">
        <v>16</v>
      </c>
      <c r="B36" s="180">
        <v>4320.0</v>
      </c>
      <c r="C36" s="178" t="s">
        <v>17</v>
      </c>
      <c r="D36" s="176" t="s">
        <v>96</v>
      </c>
      <c r="E36" s="128" t="s">
        <v>407</v>
      </c>
      <c r="F36" s="177" t="s">
        <v>97</v>
      </c>
      <c r="G36" s="190" t="s">
        <v>98</v>
      </c>
      <c r="H36" s="191"/>
      <c r="I36" s="192">
        <v>36690.0</v>
      </c>
      <c r="J36" s="192">
        <v>44938.0</v>
      </c>
      <c r="K36" s="191"/>
      <c r="L36" s="222">
        <v>31.0</v>
      </c>
      <c r="M36" s="185">
        <v>45566.0</v>
      </c>
      <c r="N36" s="185">
        <v>45596.0</v>
      </c>
      <c r="O36" s="186">
        <f t="shared" si="1"/>
        <v>370</v>
      </c>
      <c r="P36" s="187">
        <f t="shared" si="2"/>
        <v>1850</v>
      </c>
      <c r="Q36" s="187">
        <f t="shared" si="3"/>
        <v>2220</v>
      </c>
    </row>
    <row r="37">
      <c r="A37" s="178" t="s">
        <v>16</v>
      </c>
      <c r="B37" s="180">
        <v>4320.0</v>
      </c>
      <c r="C37" s="178" t="s">
        <v>17</v>
      </c>
      <c r="D37" s="176" t="s">
        <v>452</v>
      </c>
      <c r="E37" s="179" t="s">
        <v>452</v>
      </c>
      <c r="F37" s="205"/>
      <c r="G37" s="206" t="s">
        <v>454</v>
      </c>
      <c r="H37" s="207"/>
      <c r="I37" s="192">
        <v>37834.0</v>
      </c>
      <c r="J37" s="160">
        <v>45505.0</v>
      </c>
      <c r="K37" s="191"/>
      <c r="L37" s="225">
        <v>31.0</v>
      </c>
      <c r="M37" s="185">
        <v>45566.0</v>
      </c>
      <c r="N37" s="185">
        <v>45596.0</v>
      </c>
      <c r="O37" s="186">
        <f t="shared" si="1"/>
        <v>370</v>
      </c>
      <c r="P37" s="187">
        <f t="shared" si="2"/>
        <v>1850</v>
      </c>
      <c r="Q37" s="187">
        <f t="shared" si="3"/>
        <v>2220</v>
      </c>
    </row>
    <row r="38">
      <c r="A38" s="178" t="s">
        <v>16</v>
      </c>
      <c r="B38" s="180">
        <v>4320.0</v>
      </c>
      <c r="C38" s="178" t="s">
        <v>17</v>
      </c>
      <c r="D38" s="149" t="s">
        <v>476</v>
      </c>
      <c r="E38" s="204" t="s">
        <v>476</v>
      </c>
      <c r="F38" s="205"/>
      <c r="G38" s="193" t="s">
        <v>477</v>
      </c>
      <c r="H38" s="207"/>
      <c r="I38" s="192">
        <v>37220.0</v>
      </c>
      <c r="J38" s="153">
        <v>45572.0</v>
      </c>
      <c r="K38" s="191"/>
      <c r="L38" s="226">
        <v>25.0</v>
      </c>
      <c r="M38" s="185">
        <v>45566.0</v>
      </c>
      <c r="N38" s="185">
        <v>45596.0</v>
      </c>
      <c r="O38" s="186">
        <f t="shared" si="1"/>
        <v>299</v>
      </c>
      <c r="P38" s="187">
        <f t="shared" si="2"/>
        <v>1495</v>
      </c>
      <c r="Q38" s="187">
        <f t="shared" si="3"/>
        <v>1794</v>
      </c>
    </row>
    <row r="39">
      <c r="A39" s="178" t="s">
        <v>16</v>
      </c>
      <c r="B39" s="180">
        <v>4320.0</v>
      </c>
      <c r="C39" s="178" t="s">
        <v>17</v>
      </c>
      <c r="D39" s="176" t="s">
        <v>102</v>
      </c>
      <c r="E39" s="194" t="s">
        <v>102</v>
      </c>
      <c r="F39" s="177" t="s">
        <v>103</v>
      </c>
      <c r="G39" s="190" t="s">
        <v>104</v>
      </c>
      <c r="H39" s="191"/>
      <c r="I39" s="192">
        <v>33240.0</v>
      </c>
      <c r="J39" s="192">
        <v>44287.0</v>
      </c>
      <c r="K39" s="191"/>
      <c r="L39" s="225">
        <v>31.0</v>
      </c>
      <c r="M39" s="185">
        <v>45566.0</v>
      </c>
      <c r="N39" s="185">
        <v>45596.0</v>
      </c>
      <c r="O39" s="186">
        <f t="shared" si="1"/>
        <v>370</v>
      </c>
      <c r="P39" s="187">
        <f t="shared" si="2"/>
        <v>1850</v>
      </c>
      <c r="Q39" s="187">
        <f t="shared" si="3"/>
        <v>2220</v>
      </c>
    </row>
    <row r="40">
      <c r="A40" s="178" t="s">
        <v>16</v>
      </c>
      <c r="B40" s="180">
        <v>4320.0</v>
      </c>
      <c r="C40" s="178" t="s">
        <v>17</v>
      </c>
      <c r="D40" s="176" t="s">
        <v>255</v>
      </c>
      <c r="E40" s="179" t="s">
        <v>255</v>
      </c>
      <c r="F40" s="177" t="s">
        <v>256</v>
      </c>
      <c r="G40" s="190" t="s">
        <v>257</v>
      </c>
      <c r="H40" s="191"/>
      <c r="I40" s="192">
        <v>35173.0</v>
      </c>
      <c r="J40" s="192">
        <v>45264.0</v>
      </c>
      <c r="K40" s="191"/>
      <c r="L40" s="225">
        <v>31.0</v>
      </c>
      <c r="M40" s="185">
        <v>45566.0</v>
      </c>
      <c r="N40" s="185">
        <v>45596.0</v>
      </c>
      <c r="O40" s="186">
        <f t="shared" si="1"/>
        <v>370</v>
      </c>
      <c r="P40" s="187">
        <f t="shared" si="2"/>
        <v>1850</v>
      </c>
      <c r="Q40" s="187">
        <f t="shared" si="3"/>
        <v>2220</v>
      </c>
    </row>
    <row r="41">
      <c r="A41" s="176" t="s">
        <v>16</v>
      </c>
      <c r="B41" s="177">
        <v>4320.0</v>
      </c>
      <c r="C41" s="176" t="s">
        <v>17</v>
      </c>
      <c r="D41" s="178" t="s">
        <v>340</v>
      </c>
      <c r="E41" s="179" t="s">
        <v>438</v>
      </c>
      <c r="F41" s="180" t="s">
        <v>341</v>
      </c>
      <c r="G41" s="181" t="s">
        <v>342</v>
      </c>
      <c r="H41" s="182"/>
      <c r="I41" s="183">
        <v>37964.0</v>
      </c>
      <c r="J41" s="183">
        <v>45355.0</v>
      </c>
      <c r="K41" s="182"/>
      <c r="L41" s="225">
        <v>31.0</v>
      </c>
      <c r="M41" s="185">
        <v>45566.0</v>
      </c>
      <c r="N41" s="185">
        <v>45596.0</v>
      </c>
      <c r="O41" s="186">
        <f t="shared" si="1"/>
        <v>370</v>
      </c>
      <c r="P41" s="187">
        <f t="shared" si="2"/>
        <v>1850</v>
      </c>
      <c r="Q41" s="187">
        <f t="shared" si="3"/>
        <v>2220</v>
      </c>
    </row>
    <row r="42">
      <c r="A42" s="176" t="s">
        <v>16</v>
      </c>
      <c r="B42" s="177">
        <v>4320.0</v>
      </c>
      <c r="C42" s="176" t="s">
        <v>17</v>
      </c>
      <c r="D42" s="178" t="s">
        <v>108</v>
      </c>
      <c r="E42" s="202" t="s">
        <v>108</v>
      </c>
      <c r="F42" s="180" t="s">
        <v>109</v>
      </c>
      <c r="G42" s="181" t="s">
        <v>110</v>
      </c>
      <c r="H42" s="182"/>
      <c r="I42" s="201">
        <v>35943.0</v>
      </c>
      <c r="J42" s="183">
        <v>45215.0</v>
      </c>
      <c r="K42" s="211">
        <v>45583.0</v>
      </c>
      <c r="L42" s="225">
        <v>18.0</v>
      </c>
      <c r="M42" s="185">
        <v>45566.0</v>
      </c>
      <c r="N42" s="185">
        <v>45596.0</v>
      </c>
      <c r="O42" s="186">
        <f t="shared" si="1"/>
        <v>215</v>
      </c>
      <c r="P42" s="187">
        <f t="shared" si="2"/>
        <v>1075</v>
      </c>
      <c r="Q42" s="187">
        <f t="shared" si="3"/>
        <v>1290</v>
      </c>
    </row>
    <row r="43">
      <c r="A43" s="176" t="s">
        <v>16</v>
      </c>
      <c r="B43" s="177">
        <v>4320.0</v>
      </c>
      <c r="C43" s="176" t="s">
        <v>17</v>
      </c>
      <c r="D43" s="195" t="s">
        <v>395</v>
      </c>
      <c r="E43" s="179" t="s">
        <v>395</v>
      </c>
      <c r="F43" s="177" t="s">
        <v>396</v>
      </c>
      <c r="G43" s="190" t="s">
        <v>397</v>
      </c>
      <c r="H43" s="191"/>
      <c r="I43" s="192">
        <v>36557.0</v>
      </c>
      <c r="J43" s="199">
        <v>45432.0</v>
      </c>
      <c r="K43" s="191"/>
      <c r="L43" s="225">
        <v>31.0</v>
      </c>
      <c r="M43" s="185">
        <v>45566.0</v>
      </c>
      <c r="N43" s="185">
        <v>45596.0</v>
      </c>
      <c r="O43" s="186">
        <f t="shared" si="1"/>
        <v>370</v>
      </c>
      <c r="P43" s="187">
        <f t="shared" si="2"/>
        <v>1850</v>
      </c>
      <c r="Q43" s="187">
        <f t="shared" si="3"/>
        <v>2220</v>
      </c>
    </row>
    <row r="44">
      <c r="A44" s="178" t="s">
        <v>16</v>
      </c>
      <c r="B44" s="180">
        <v>4320.0</v>
      </c>
      <c r="C44" s="178" t="s">
        <v>17</v>
      </c>
      <c r="D44" s="176" t="s">
        <v>370</v>
      </c>
      <c r="E44" s="179" t="s">
        <v>370</v>
      </c>
      <c r="F44" s="177" t="s">
        <v>371</v>
      </c>
      <c r="G44" s="190" t="s">
        <v>372</v>
      </c>
      <c r="H44" s="191"/>
      <c r="I44" s="199">
        <v>35551.0</v>
      </c>
      <c r="J44" s="200">
        <v>45383.0</v>
      </c>
      <c r="K44" s="191"/>
      <c r="L44" s="225">
        <v>31.0</v>
      </c>
      <c r="M44" s="185">
        <v>45566.0</v>
      </c>
      <c r="N44" s="185">
        <v>45596.0</v>
      </c>
      <c r="O44" s="186">
        <f t="shared" si="1"/>
        <v>370</v>
      </c>
      <c r="P44" s="187">
        <f t="shared" si="2"/>
        <v>1850</v>
      </c>
      <c r="Q44" s="187">
        <f t="shared" si="3"/>
        <v>2220</v>
      </c>
    </row>
    <row r="45">
      <c r="A45" s="178" t="s">
        <v>16</v>
      </c>
      <c r="B45" s="180">
        <v>4320.0</v>
      </c>
      <c r="C45" s="178" t="s">
        <v>17</v>
      </c>
      <c r="D45" s="149" t="s">
        <v>114</v>
      </c>
      <c r="E45" s="179" t="s">
        <v>114</v>
      </c>
      <c r="F45" s="205"/>
      <c r="G45" s="149" t="s">
        <v>456</v>
      </c>
      <c r="H45" s="191"/>
      <c r="I45" s="192">
        <v>35872.0</v>
      </c>
      <c r="J45" s="153">
        <v>45523.0</v>
      </c>
      <c r="K45" s="191"/>
      <c r="L45" s="225">
        <v>31.0</v>
      </c>
      <c r="M45" s="185">
        <v>45566.0</v>
      </c>
      <c r="N45" s="185">
        <v>45596.0</v>
      </c>
      <c r="O45" s="186">
        <f t="shared" si="1"/>
        <v>370</v>
      </c>
      <c r="P45" s="187">
        <f t="shared" si="2"/>
        <v>1850</v>
      </c>
      <c r="Q45" s="187">
        <f t="shared" si="3"/>
        <v>2220</v>
      </c>
    </row>
    <row r="46">
      <c r="A46" s="178" t="s">
        <v>16</v>
      </c>
      <c r="B46" s="180">
        <v>4320.0</v>
      </c>
      <c r="C46" s="178" t="s">
        <v>17</v>
      </c>
      <c r="D46" s="149" t="s">
        <v>457</v>
      </c>
      <c r="E46" s="179" t="s">
        <v>457</v>
      </c>
      <c r="F46" s="205"/>
      <c r="G46" s="149" t="s">
        <v>458</v>
      </c>
      <c r="H46" s="191"/>
      <c r="I46" s="192">
        <v>37061.0</v>
      </c>
      <c r="J46" s="153">
        <v>45505.0</v>
      </c>
      <c r="K46" s="191"/>
      <c r="L46" s="225">
        <v>31.0</v>
      </c>
      <c r="M46" s="185">
        <v>45566.0</v>
      </c>
      <c r="N46" s="185">
        <v>45596.0</v>
      </c>
      <c r="O46" s="186">
        <f t="shared" si="1"/>
        <v>370</v>
      </c>
      <c r="P46" s="187">
        <f t="shared" si="2"/>
        <v>1850</v>
      </c>
      <c r="Q46" s="187">
        <f t="shared" si="3"/>
        <v>2220</v>
      </c>
    </row>
    <row r="47">
      <c r="A47" s="178" t="s">
        <v>16</v>
      </c>
      <c r="B47" s="180">
        <v>4320.0</v>
      </c>
      <c r="C47" s="178" t="s">
        <v>17</v>
      </c>
      <c r="D47" s="176" t="s">
        <v>120</v>
      </c>
      <c r="E47" s="179" t="s">
        <v>439</v>
      </c>
      <c r="F47" s="177" t="s">
        <v>121</v>
      </c>
      <c r="G47" s="190" t="s">
        <v>122</v>
      </c>
      <c r="H47" s="191"/>
      <c r="I47" s="192">
        <v>36794.0</v>
      </c>
      <c r="J47" s="192">
        <v>44915.0</v>
      </c>
      <c r="K47" s="191"/>
      <c r="L47" s="225">
        <v>31.0</v>
      </c>
      <c r="M47" s="185">
        <v>45566.0</v>
      </c>
      <c r="N47" s="185">
        <v>45596.0</v>
      </c>
      <c r="O47" s="186">
        <f t="shared" si="1"/>
        <v>370</v>
      </c>
      <c r="P47" s="187">
        <f t="shared" si="2"/>
        <v>1850</v>
      </c>
      <c r="Q47" s="187">
        <f t="shared" si="3"/>
        <v>2220</v>
      </c>
    </row>
    <row r="48">
      <c r="A48" s="176" t="s">
        <v>16</v>
      </c>
      <c r="B48" s="177">
        <v>4320.0</v>
      </c>
      <c r="C48" s="176" t="s">
        <v>17</v>
      </c>
      <c r="D48" s="178" t="s">
        <v>343</v>
      </c>
      <c r="E48" s="179" t="s">
        <v>343</v>
      </c>
      <c r="F48" s="180" t="s">
        <v>344</v>
      </c>
      <c r="G48" s="181" t="s">
        <v>345</v>
      </c>
      <c r="H48" s="182"/>
      <c r="I48" s="183">
        <v>36821.0</v>
      </c>
      <c r="J48" s="183">
        <v>45362.0</v>
      </c>
      <c r="K48" s="182"/>
      <c r="L48" s="225">
        <v>31.0</v>
      </c>
      <c r="M48" s="185">
        <v>45566.0</v>
      </c>
      <c r="N48" s="185">
        <v>45596.0</v>
      </c>
      <c r="O48" s="186">
        <f t="shared" si="1"/>
        <v>370</v>
      </c>
      <c r="P48" s="187">
        <f t="shared" si="2"/>
        <v>1850</v>
      </c>
      <c r="Q48" s="187">
        <f t="shared" si="3"/>
        <v>2220</v>
      </c>
    </row>
    <row r="49">
      <c r="A49" s="178" t="s">
        <v>16</v>
      </c>
      <c r="B49" s="180">
        <v>4320.0</v>
      </c>
      <c r="C49" s="178" t="s">
        <v>17</v>
      </c>
      <c r="D49" s="209" t="s">
        <v>429</v>
      </c>
      <c r="E49" s="194" t="s">
        <v>429</v>
      </c>
      <c r="F49" s="191"/>
      <c r="G49" s="196" t="s">
        <v>430</v>
      </c>
      <c r="H49" s="191"/>
      <c r="I49" s="197">
        <v>37257.0</v>
      </c>
      <c r="J49" s="197">
        <v>45481.0</v>
      </c>
      <c r="K49" s="191"/>
      <c r="L49" s="225">
        <v>31.0</v>
      </c>
      <c r="M49" s="185">
        <v>45566.0</v>
      </c>
      <c r="N49" s="185">
        <v>45596.0</v>
      </c>
      <c r="O49" s="186">
        <f t="shared" si="1"/>
        <v>370</v>
      </c>
      <c r="P49" s="187">
        <f t="shared" si="2"/>
        <v>1850</v>
      </c>
      <c r="Q49" s="187">
        <f t="shared" si="3"/>
        <v>2220</v>
      </c>
    </row>
    <row r="50">
      <c r="A50" s="178" t="s">
        <v>16</v>
      </c>
      <c r="B50" s="180">
        <v>4320.0</v>
      </c>
      <c r="C50" s="178" t="s">
        <v>17</v>
      </c>
      <c r="D50" s="195" t="s">
        <v>416</v>
      </c>
      <c r="E50" s="179" t="s">
        <v>416</v>
      </c>
      <c r="F50" s="191"/>
      <c r="G50" s="210" t="s">
        <v>417</v>
      </c>
      <c r="H50" s="191"/>
      <c r="I50" s="197">
        <v>36346.0</v>
      </c>
      <c r="J50" s="197">
        <v>45453.0</v>
      </c>
      <c r="K50" s="191"/>
      <c r="L50" s="225">
        <v>31.0</v>
      </c>
      <c r="M50" s="185">
        <v>45566.0</v>
      </c>
      <c r="N50" s="185">
        <v>45596.0</v>
      </c>
      <c r="O50" s="186">
        <f t="shared" si="1"/>
        <v>370</v>
      </c>
      <c r="P50" s="187">
        <f t="shared" si="2"/>
        <v>1850</v>
      </c>
      <c r="Q50" s="187">
        <f t="shared" si="3"/>
        <v>2220</v>
      </c>
    </row>
    <row r="51">
      <c r="A51" s="178" t="s">
        <v>16</v>
      </c>
      <c r="B51" s="180">
        <v>4320.0</v>
      </c>
      <c r="C51" s="178" t="s">
        <v>17</v>
      </c>
      <c r="D51" s="193" t="s">
        <v>132</v>
      </c>
      <c r="E51" s="179" t="s">
        <v>132</v>
      </c>
      <c r="F51" s="191"/>
      <c r="G51" s="196" t="s">
        <v>418</v>
      </c>
      <c r="H51" s="191"/>
      <c r="I51" s="197">
        <v>37494.0</v>
      </c>
      <c r="J51" s="197">
        <v>45467.0</v>
      </c>
      <c r="K51" s="191"/>
      <c r="L51" s="225">
        <v>31.0</v>
      </c>
      <c r="M51" s="185">
        <v>45566.0</v>
      </c>
      <c r="N51" s="185">
        <v>45596.0</v>
      </c>
      <c r="O51" s="186">
        <f t="shared" si="1"/>
        <v>370</v>
      </c>
      <c r="P51" s="187">
        <f t="shared" si="2"/>
        <v>1850</v>
      </c>
      <c r="Q51" s="187">
        <f t="shared" si="3"/>
        <v>2220</v>
      </c>
    </row>
    <row r="52">
      <c r="A52" s="178" t="s">
        <v>16</v>
      </c>
      <c r="B52" s="180">
        <v>4320.0</v>
      </c>
      <c r="C52" s="178" t="s">
        <v>17</v>
      </c>
      <c r="D52" s="195" t="s">
        <v>373</v>
      </c>
      <c r="E52" s="202" t="s">
        <v>459</v>
      </c>
      <c r="F52" s="177" t="s">
        <v>374</v>
      </c>
      <c r="G52" s="212" t="s">
        <v>375</v>
      </c>
      <c r="H52" s="191"/>
      <c r="I52" s="192">
        <v>37085.0</v>
      </c>
      <c r="J52" s="192">
        <v>45400.0</v>
      </c>
      <c r="K52" s="191"/>
      <c r="L52" s="184">
        <v>31.0</v>
      </c>
      <c r="M52" s="185">
        <v>45566.0</v>
      </c>
      <c r="N52" s="185">
        <v>45596.0</v>
      </c>
      <c r="O52" s="186">
        <f t="shared" si="1"/>
        <v>370</v>
      </c>
      <c r="P52" s="187">
        <f t="shared" si="2"/>
        <v>1850</v>
      </c>
      <c r="Q52" s="187">
        <f t="shared" si="3"/>
        <v>2220</v>
      </c>
    </row>
    <row r="53">
      <c r="A53" s="176" t="s">
        <v>16</v>
      </c>
      <c r="B53" s="177">
        <v>4320.0</v>
      </c>
      <c r="C53" s="176" t="s">
        <v>17</v>
      </c>
      <c r="D53" s="178" t="s">
        <v>349</v>
      </c>
      <c r="E53" s="224" t="s">
        <v>349</v>
      </c>
      <c r="F53" s="180" t="s">
        <v>350</v>
      </c>
      <c r="G53" s="181" t="s">
        <v>351</v>
      </c>
      <c r="H53" s="182"/>
      <c r="I53" s="183">
        <v>37647.0</v>
      </c>
      <c r="J53" s="183">
        <v>45355.0</v>
      </c>
      <c r="K53" s="182"/>
      <c r="L53" s="222">
        <v>31.0</v>
      </c>
      <c r="M53" s="185">
        <v>45566.0</v>
      </c>
      <c r="N53" s="185">
        <v>45596.0</v>
      </c>
      <c r="O53" s="186">
        <f t="shared" si="1"/>
        <v>370</v>
      </c>
      <c r="P53" s="187">
        <f t="shared" si="2"/>
        <v>1850</v>
      </c>
      <c r="Q53" s="187">
        <f t="shared" si="3"/>
        <v>2220</v>
      </c>
    </row>
    <row r="54">
      <c r="A54" s="178" t="s">
        <v>16</v>
      </c>
      <c r="B54" s="180">
        <v>4320.0</v>
      </c>
      <c r="C54" s="178" t="s">
        <v>17</v>
      </c>
      <c r="D54" s="176" t="s">
        <v>352</v>
      </c>
      <c r="E54" s="194" t="s">
        <v>352</v>
      </c>
      <c r="F54" s="177" t="s">
        <v>353</v>
      </c>
      <c r="G54" s="190" t="s">
        <v>354</v>
      </c>
      <c r="H54" s="191"/>
      <c r="I54" s="192">
        <v>36412.0</v>
      </c>
      <c r="J54" s="192">
        <v>45355.0</v>
      </c>
      <c r="K54" s="191"/>
      <c r="L54" s="222">
        <v>31.0</v>
      </c>
      <c r="M54" s="185">
        <v>45566.0</v>
      </c>
      <c r="N54" s="185">
        <v>45596.0</v>
      </c>
      <c r="O54" s="186">
        <f t="shared" si="1"/>
        <v>370</v>
      </c>
      <c r="P54" s="187">
        <f t="shared" si="2"/>
        <v>1850</v>
      </c>
      <c r="Q54" s="187">
        <f t="shared" si="3"/>
        <v>2220</v>
      </c>
    </row>
    <row r="55">
      <c r="A55" s="178" t="s">
        <v>16</v>
      </c>
      <c r="B55" s="180">
        <v>4320.0</v>
      </c>
      <c r="C55" s="178" t="s">
        <v>17</v>
      </c>
      <c r="D55" s="193" t="s">
        <v>419</v>
      </c>
      <c r="E55" s="179" t="s">
        <v>419</v>
      </c>
      <c r="F55" s="191"/>
      <c r="G55" s="196" t="s">
        <v>420</v>
      </c>
      <c r="H55" s="191"/>
      <c r="I55" s="197">
        <v>36907.0</v>
      </c>
      <c r="J55" s="197">
        <v>45446.0</v>
      </c>
      <c r="K55" s="191"/>
      <c r="L55" s="222">
        <v>31.0</v>
      </c>
      <c r="M55" s="185">
        <v>45566.0</v>
      </c>
      <c r="N55" s="185">
        <v>45596.0</v>
      </c>
      <c r="O55" s="186">
        <f t="shared" si="1"/>
        <v>370</v>
      </c>
      <c r="P55" s="187">
        <f t="shared" si="2"/>
        <v>1850</v>
      </c>
      <c r="Q55" s="187">
        <f t="shared" si="3"/>
        <v>2220</v>
      </c>
    </row>
    <row r="56">
      <c r="A56" s="178" t="s">
        <v>16</v>
      </c>
      <c r="B56" s="180">
        <v>4320.0</v>
      </c>
      <c r="C56" s="178" t="s">
        <v>17</v>
      </c>
      <c r="D56" s="176" t="s">
        <v>273</v>
      </c>
      <c r="E56" s="179" t="s">
        <v>273</v>
      </c>
      <c r="F56" s="177" t="s">
        <v>274</v>
      </c>
      <c r="G56" s="190" t="s">
        <v>275</v>
      </c>
      <c r="H56" s="191"/>
      <c r="I56" s="192">
        <v>34522.0</v>
      </c>
      <c r="J56" s="192">
        <v>45292.0</v>
      </c>
      <c r="K56" s="191"/>
      <c r="L56" s="222">
        <v>31.0</v>
      </c>
      <c r="M56" s="185">
        <v>45566.0</v>
      </c>
      <c r="N56" s="185">
        <v>45596.0</v>
      </c>
      <c r="O56" s="186">
        <f t="shared" si="1"/>
        <v>370</v>
      </c>
      <c r="P56" s="187">
        <f t="shared" si="2"/>
        <v>1850</v>
      </c>
      <c r="Q56" s="187">
        <f t="shared" si="3"/>
        <v>2220</v>
      </c>
    </row>
    <row r="57">
      <c r="A57" s="178" t="s">
        <v>16</v>
      </c>
      <c r="B57" s="180">
        <v>4320.0</v>
      </c>
      <c r="C57" s="178" t="s">
        <v>17</v>
      </c>
      <c r="D57" s="149" t="s">
        <v>470</v>
      </c>
      <c r="E57" s="179" t="s">
        <v>470</v>
      </c>
      <c r="F57" s="205"/>
      <c r="G57" s="149" t="s">
        <v>472</v>
      </c>
      <c r="H57" s="191"/>
      <c r="I57" s="192">
        <v>37278.0</v>
      </c>
      <c r="J57" s="192">
        <v>45544.0</v>
      </c>
      <c r="K57" s="191"/>
      <c r="L57" s="222">
        <v>31.0</v>
      </c>
      <c r="M57" s="185">
        <v>45566.0</v>
      </c>
      <c r="N57" s="185">
        <v>45596.0</v>
      </c>
      <c r="O57" s="186">
        <f t="shared" si="1"/>
        <v>370</v>
      </c>
      <c r="P57" s="187">
        <f t="shared" si="2"/>
        <v>1850</v>
      </c>
      <c r="Q57" s="187">
        <f t="shared" si="3"/>
        <v>2220</v>
      </c>
    </row>
    <row r="58">
      <c r="A58" s="176" t="s">
        <v>16</v>
      </c>
      <c r="B58" s="177">
        <v>4320.0</v>
      </c>
      <c r="C58" s="176" t="s">
        <v>17</v>
      </c>
      <c r="D58" s="178" t="s">
        <v>162</v>
      </c>
      <c r="E58" s="179" t="s">
        <v>162</v>
      </c>
      <c r="F58" s="180" t="s">
        <v>163</v>
      </c>
      <c r="G58" s="181" t="s">
        <v>164</v>
      </c>
      <c r="H58" s="182"/>
      <c r="I58" s="183">
        <v>34732.0</v>
      </c>
      <c r="J58" s="183">
        <v>44986.0</v>
      </c>
      <c r="K58" s="182"/>
      <c r="L58" s="222">
        <v>31.0</v>
      </c>
      <c r="M58" s="185">
        <v>45566.0</v>
      </c>
      <c r="N58" s="185">
        <v>45596.0</v>
      </c>
      <c r="O58" s="186">
        <f t="shared" si="1"/>
        <v>370</v>
      </c>
      <c r="P58" s="187">
        <f t="shared" si="2"/>
        <v>1850</v>
      </c>
      <c r="Q58" s="187">
        <f t="shared" si="3"/>
        <v>2220</v>
      </c>
    </row>
    <row r="59">
      <c r="A59" s="178" t="s">
        <v>16</v>
      </c>
      <c r="B59" s="180">
        <v>4320.0</v>
      </c>
      <c r="C59" s="178" t="s">
        <v>17</v>
      </c>
      <c r="D59" s="176" t="s">
        <v>355</v>
      </c>
      <c r="E59" s="179" t="s">
        <v>355</v>
      </c>
      <c r="F59" s="177" t="s">
        <v>356</v>
      </c>
      <c r="G59" s="190" t="s">
        <v>357</v>
      </c>
      <c r="H59" s="191"/>
      <c r="I59" s="192">
        <v>35395.0</v>
      </c>
      <c r="J59" s="192">
        <v>45376.0</v>
      </c>
      <c r="K59" s="191"/>
      <c r="L59" s="222">
        <v>31.0</v>
      </c>
      <c r="M59" s="185">
        <v>45566.0</v>
      </c>
      <c r="N59" s="185">
        <v>45596.0</v>
      </c>
      <c r="O59" s="186">
        <f t="shared" si="1"/>
        <v>370</v>
      </c>
      <c r="P59" s="187">
        <f t="shared" si="2"/>
        <v>1850</v>
      </c>
      <c r="Q59" s="187">
        <f t="shared" si="3"/>
        <v>2220</v>
      </c>
    </row>
    <row r="60">
      <c r="A60" s="178" t="s">
        <v>16</v>
      </c>
      <c r="B60" s="180">
        <v>4320.0</v>
      </c>
      <c r="C60" s="178" t="s">
        <v>17</v>
      </c>
      <c r="D60" s="209" t="s">
        <v>431</v>
      </c>
      <c r="E60" s="179" t="s">
        <v>431</v>
      </c>
      <c r="F60" s="191"/>
      <c r="G60" s="215" t="s">
        <v>378</v>
      </c>
      <c r="H60" s="191"/>
      <c r="I60" s="216">
        <v>36289.0</v>
      </c>
      <c r="J60" s="217">
        <v>45476.0</v>
      </c>
      <c r="K60" s="191"/>
      <c r="L60" s="222">
        <v>31.0</v>
      </c>
      <c r="M60" s="185">
        <v>45566.0</v>
      </c>
      <c r="N60" s="185">
        <v>45596.0</v>
      </c>
      <c r="O60" s="186">
        <f t="shared" si="1"/>
        <v>370</v>
      </c>
      <c r="P60" s="187">
        <f t="shared" si="2"/>
        <v>1850</v>
      </c>
      <c r="Q60" s="187">
        <f t="shared" si="3"/>
        <v>2220</v>
      </c>
    </row>
    <row r="61">
      <c r="A61" s="178" t="s">
        <v>16</v>
      </c>
      <c r="B61" s="180">
        <v>4320.0</v>
      </c>
      <c r="C61" s="178" t="s">
        <v>17</v>
      </c>
      <c r="D61" s="176" t="s">
        <v>183</v>
      </c>
      <c r="E61" s="179" t="s">
        <v>183</v>
      </c>
      <c r="F61" s="177" t="s">
        <v>184</v>
      </c>
      <c r="G61" s="190" t="s">
        <v>185</v>
      </c>
      <c r="H61" s="191"/>
      <c r="I61" s="192">
        <v>36979.0</v>
      </c>
      <c r="J61" s="192">
        <v>44907.0</v>
      </c>
      <c r="K61" s="191"/>
      <c r="L61" s="222">
        <v>31.0</v>
      </c>
      <c r="M61" s="185">
        <v>45566.0</v>
      </c>
      <c r="N61" s="185">
        <v>45596.0</v>
      </c>
      <c r="O61" s="186">
        <f t="shared" si="1"/>
        <v>370</v>
      </c>
      <c r="P61" s="187">
        <f t="shared" si="2"/>
        <v>1850</v>
      </c>
      <c r="Q61" s="187">
        <f t="shared" si="3"/>
        <v>2220</v>
      </c>
    </row>
    <row r="62">
      <c r="A62" s="176" t="s">
        <v>16</v>
      </c>
      <c r="B62" s="177">
        <v>4320.0</v>
      </c>
      <c r="C62" s="176" t="s">
        <v>17</v>
      </c>
      <c r="D62" s="178" t="s">
        <v>301</v>
      </c>
      <c r="E62" s="179" t="s">
        <v>301</v>
      </c>
      <c r="F62" s="180" t="s">
        <v>302</v>
      </c>
      <c r="G62" s="181" t="s">
        <v>303</v>
      </c>
      <c r="H62" s="182"/>
      <c r="I62" s="183">
        <v>36991.0</v>
      </c>
      <c r="J62" s="183">
        <v>45205.0</v>
      </c>
      <c r="K62" s="182"/>
      <c r="L62" s="222">
        <v>31.0</v>
      </c>
      <c r="M62" s="185">
        <v>45566.0</v>
      </c>
      <c r="N62" s="185">
        <v>45596.0</v>
      </c>
      <c r="O62" s="186">
        <f t="shared" si="1"/>
        <v>370</v>
      </c>
      <c r="P62" s="187">
        <f t="shared" si="2"/>
        <v>1850</v>
      </c>
      <c r="Q62" s="187">
        <f t="shared" si="3"/>
        <v>2220</v>
      </c>
    </row>
    <row r="63">
      <c r="A63" s="178" t="s">
        <v>16</v>
      </c>
      <c r="B63" s="180">
        <v>4320.0</v>
      </c>
      <c r="C63" s="178" t="s">
        <v>17</v>
      </c>
      <c r="D63" s="209" t="s">
        <v>432</v>
      </c>
      <c r="E63" s="179" t="s">
        <v>432</v>
      </c>
      <c r="F63" s="191"/>
      <c r="G63" s="196" t="s">
        <v>433</v>
      </c>
      <c r="H63" s="191"/>
      <c r="I63" s="197">
        <v>34504.0</v>
      </c>
      <c r="J63" s="197">
        <v>45481.0</v>
      </c>
      <c r="K63" s="191"/>
      <c r="L63" s="222">
        <v>31.0</v>
      </c>
      <c r="M63" s="185">
        <v>45566.0</v>
      </c>
      <c r="N63" s="185">
        <v>45596.0</v>
      </c>
      <c r="O63" s="186">
        <f t="shared" si="1"/>
        <v>370</v>
      </c>
      <c r="P63" s="187">
        <f t="shared" si="2"/>
        <v>1850</v>
      </c>
      <c r="Q63" s="187">
        <f t="shared" si="3"/>
        <v>2220</v>
      </c>
    </row>
    <row r="64">
      <c r="A64" s="178" t="s">
        <v>16</v>
      </c>
      <c r="B64" s="180">
        <v>4320.0</v>
      </c>
      <c r="C64" s="178" t="s">
        <v>17</v>
      </c>
      <c r="D64" s="209" t="s">
        <v>434</v>
      </c>
      <c r="E64" s="179" t="s">
        <v>434</v>
      </c>
      <c r="F64" s="191"/>
      <c r="G64" s="218" t="s">
        <v>435</v>
      </c>
      <c r="H64" s="191"/>
      <c r="I64" s="185">
        <v>37446.0</v>
      </c>
      <c r="J64" s="197">
        <v>45495.0</v>
      </c>
      <c r="K64" s="191"/>
      <c r="L64" s="222">
        <v>31.0</v>
      </c>
      <c r="M64" s="185">
        <v>45566.0</v>
      </c>
      <c r="N64" s="185">
        <v>45596.0</v>
      </c>
      <c r="O64" s="186">
        <f t="shared" si="1"/>
        <v>370</v>
      </c>
      <c r="P64" s="187">
        <f t="shared" si="2"/>
        <v>1850</v>
      </c>
      <c r="Q64" s="187">
        <f t="shared" si="3"/>
        <v>2220</v>
      </c>
    </row>
    <row r="65">
      <c r="A65" s="178" t="s">
        <v>16</v>
      </c>
      <c r="B65" s="180">
        <v>4320.0</v>
      </c>
      <c r="C65" s="178" t="s">
        <v>17</v>
      </c>
      <c r="D65" s="195" t="s">
        <v>401</v>
      </c>
      <c r="E65" s="179" t="s">
        <v>401</v>
      </c>
      <c r="F65" s="180" t="s">
        <v>402</v>
      </c>
      <c r="G65" s="181" t="s">
        <v>403</v>
      </c>
      <c r="H65" s="182"/>
      <c r="I65" s="183">
        <v>36433.0</v>
      </c>
      <c r="J65" s="201">
        <v>45432.0</v>
      </c>
      <c r="K65" s="182"/>
      <c r="L65" s="222">
        <v>31.0</v>
      </c>
      <c r="M65" s="185">
        <v>45566.0</v>
      </c>
      <c r="N65" s="185">
        <v>45596.0</v>
      </c>
      <c r="O65" s="186">
        <f t="shared" si="1"/>
        <v>370</v>
      </c>
      <c r="P65" s="187">
        <f t="shared" si="2"/>
        <v>1850</v>
      </c>
      <c r="Q65" s="187">
        <f t="shared" si="3"/>
        <v>2220</v>
      </c>
    </row>
    <row r="66">
      <c r="A66" s="178" t="s">
        <v>16</v>
      </c>
      <c r="B66" s="180">
        <v>4320.0</v>
      </c>
      <c r="C66" s="178" t="s">
        <v>17</v>
      </c>
      <c r="D66" s="149" t="s">
        <v>460</v>
      </c>
      <c r="E66" s="179" t="s">
        <v>460</v>
      </c>
      <c r="F66" s="203"/>
      <c r="G66" s="149" t="s">
        <v>461</v>
      </c>
      <c r="H66" s="182"/>
      <c r="I66" s="183">
        <v>36856.0</v>
      </c>
      <c r="J66" s="183">
        <v>45505.0</v>
      </c>
      <c r="K66" s="182"/>
      <c r="L66" s="222">
        <v>31.0</v>
      </c>
      <c r="M66" s="185">
        <v>45566.0</v>
      </c>
      <c r="N66" s="185">
        <v>45596.0</v>
      </c>
      <c r="O66" s="186">
        <f t="shared" si="1"/>
        <v>370</v>
      </c>
      <c r="P66" s="187">
        <f t="shared" si="2"/>
        <v>1850</v>
      </c>
      <c r="Q66" s="187">
        <f t="shared" si="3"/>
        <v>2220</v>
      </c>
    </row>
    <row r="67">
      <c r="A67" s="178" t="s">
        <v>16</v>
      </c>
      <c r="B67" s="180">
        <v>4320.0</v>
      </c>
      <c r="C67" s="178" t="s">
        <v>17</v>
      </c>
      <c r="D67" s="149" t="s">
        <v>462</v>
      </c>
      <c r="E67" s="179" t="s">
        <v>462</v>
      </c>
      <c r="F67" s="203"/>
      <c r="G67" s="149" t="s">
        <v>463</v>
      </c>
      <c r="H67" s="182"/>
      <c r="I67" s="183">
        <v>34588.0</v>
      </c>
      <c r="J67" s="183">
        <v>45530.0</v>
      </c>
      <c r="K67" s="182"/>
      <c r="L67" s="222">
        <v>31.0</v>
      </c>
      <c r="M67" s="185">
        <v>45566.0</v>
      </c>
      <c r="N67" s="185">
        <v>45596.0</v>
      </c>
      <c r="O67" s="186">
        <f t="shared" si="1"/>
        <v>370</v>
      </c>
      <c r="P67" s="187">
        <f t="shared" si="2"/>
        <v>1850</v>
      </c>
      <c r="Q67" s="187">
        <f t="shared" si="3"/>
        <v>2220</v>
      </c>
    </row>
    <row r="68">
      <c r="A68" s="178" t="s">
        <v>16</v>
      </c>
      <c r="B68" s="180">
        <v>4320.0</v>
      </c>
      <c r="C68" s="178" t="s">
        <v>17</v>
      </c>
      <c r="D68" s="193" t="s">
        <v>423</v>
      </c>
      <c r="E68" s="179" t="s">
        <v>423</v>
      </c>
      <c r="F68" s="191"/>
      <c r="G68" s="196" t="s">
        <v>424</v>
      </c>
      <c r="H68" s="191"/>
      <c r="I68" s="197">
        <v>37818.0</v>
      </c>
      <c r="J68" s="197">
        <v>45467.0</v>
      </c>
      <c r="K68" s="191"/>
      <c r="L68" s="222">
        <v>31.0</v>
      </c>
      <c r="M68" s="185">
        <v>45566.0</v>
      </c>
      <c r="N68" s="185">
        <v>45596.0</v>
      </c>
      <c r="O68" s="186">
        <f t="shared" si="1"/>
        <v>370</v>
      </c>
      <c r="P68" s="187">
        <f t="shared" si="2"/>
        <v>1850</v>
      </c>
      <c r="Q68" s="187">
        <f t="shared" si="3"/>
        <v>2220</v>
      </c>
    </row>
    <row r="69">
      <c r="A69" s="178" t="s">
        <v>16</v>
      </c>
      <c r="B69" s="180">
        <v>4320.0</v>
      </c>
      <c r="C69" s="178" t="s">
        <v>17</v>
      </c>
      <c r="D69" s="176" t="s">
        <v>304</v>
      </c>
      <c r="E69" s="179" t="s">
        <v>304</v>
      </c>
      <c r="F69" s="177" t="s">
        <v>305</v>
      </c>
      <c r="G69" s="190" t="s">
        <v>306</v>
      </c>
      <c r="H69" s="191"/>
      <c r="I69" s="192">
        <v>35697.0</v>
      </c>
      <c r="J69" s="192">
        <v>45348.0</v>
      </c>
      <c r="K69" s="191"/>
      <c r="L69" s="222">
        <v>31.0</v>
      </c>
      <c r="M69" s="185">
        <v>45566.0</v>
      </c>
      <c r="N69" s="185">
        <v>45596.0</v>
      </c>
      <c r="O69" s="186">
        <f t="shared" si="1"/>
        <v>370</v>
      </c>
      <c r="P69" s="187">
        <f t="shared" si="2"/>
        <v>1850</v>
      </c>
      <c r="Q69" s="187">
        <f t="shared" si="3"/>
        <v>2220</v>
      </c>
    </row>
    <row r="70">
      <c r="A70" s="176" t="s">
        <v>16</v>
      </c>
      <c r="B70" s="177">
        <v>4320.0</v>
      </c>
      <c r="C70" s="176" t="s">
        <v>17</v>
      </c>
      <c r="D70" s="178" t="s">
        <v>213</v>
      </c>
      <c r="E70" s="179" t="s">
        <v>213</v>
      </c>
      <c r="F70" s="180" t="s">
        <v>214</v>
      </c>
      <c r="G70" s="181" t="s">
        <v>215</v>
      </c>
      <c r="H70" s="182"/>
      <c r="I70" s="183">
        <v>36797.0</v>
      </c>
      <c r="J70" s="219">
        <v>44886.0</v>
      </c>
      <c r="K70" s="220"/>
      <c r="L70" s="222">
        <v>31.0</v>
      </c>
      <c r="M70" s="185">
        <v>45566.0</v>
      </c>
      <c r="N70" s="185">
        <v>45596.0</v>
      </c>
      <c r="O70" s="186">
        <f t="shared" si="1"/>
        <v>370</v>
      </c>
      <c r="P70" s="187">
        <f t="shared" si="2"/>
        <v>1850</v>
      </c>
      <c r="Q70" s="187">
        <f t="shared" si="3"/>
        <v>2220</v>
      </c>
    </row>
    <row r="71">
      <c r="A71" s="178" t="s">
        <v>16</v>
      </c>
      <c r="B71" s="180">
        <v>4320.0</v>
      </c>
      <c r="C71" s="178" t="s">
        <v>17</v>
      </c>
      <c r="D71" s="193" t="s">
        <v>425</v>
      </c>
      <c r="E71" s="179" t="s">
        <v>478</v>
      </c>
      <c r="F71" s="191"/>
      <c r="G71" s="196" t="s">
        <v>426</v>
      </c>
      <c r="H71" s="191"/>
      <c r="I71" s="197">
        <v>36530.0</v>
      </c>
      <c r="J71" s="197">
        <v>45446.0</v>
      </c>
      <c r="K71" s="191"/>
      <c r="L71" s="222">
        <v>31.0</v>
      </c>
      <c r="M71" s="185">
        <v>45566.0</v>
      </c>
      <c r="N71" s="185">
        <v>45596.0</v>
      </c>
      <c r="O71" s="186">
        <f t="shared" si="1"/>
        <v>370</v>
      </c>
      <c r="P71" s="187">
        <f t="shared" si="2"/>
        <v>1850</v>
      </c>
      <c r="Q71" s="187">
        <f t="shared" si="3"/>
        <v>2220</v>
      </c>
    </row>
    <row r="72">
      <c r="A72" s="176" t="s">
        <v>16</v>
      </c>
      <c r="B72" s="177">
        <v>4320.0</v>
      </c>
      <c r="C72" s="176" t="s">
        <v>17</v>
      </c>
      <c r="D72" s="178" t="s">
        <v>442</v>
      </c>
      <c r="E72" s="224" t="s">
        <v>442</v>
      </c>
      <c r="F72" s="180" t="s">
        <v>217</v>
      </c>
      <c r="G72" s="181" t="s">
        <v>218</v>
      </c>
      <c r="H72" s="182"/>
      <c r="I72" s="183">
        <v>33769.0</v>
      </c>
      <c r="J72" s="183">
        <v>44816.0</v>
      </c>
      <c r="K72" s="182"/>
      <c r="L72" s="221">
        <v>31.0</v>
      </c>
      <c r="M72" s="185">
        <v>45566.0</v>
      </c>
      <c r="N72" s="185">
        <v>45596.0</v>
      </c>
      <c r="O72" s="186">
        <f t="shared" si="1"/>
        <v>370</v>
      </c>
      <c r="P72" s="187">
        <f t="shared" si="2"/>
        <v>1850</v>
      </c>
      <c r="Q72" s="187">
        <f t="shared" si="3"/>
        <v>2220</v>
      </c>
    </row>
    <row r="73">
      <c r="A73" s="178" t="s">
        <v>16</v>
      </c>
      <c r="B73" s="180">
        <v>4320.0</v>
      </c>
      <c r="C73" s="178" t="s">
        <v>17</v>
      </c>
      <c r="D73" s="193" t="s">
        <v>427</v>
      </c>
      <c r="E73" s="179" t="s">
        <v>427</v>
      </c>
      <c r="F73" s="191"/>
      <c r="G73" s="196" t="s">
        <v>428</v>
      </c>
      <c r="H73" s="191"/>
      <c r="I73" s="197">
        <v>36451.0</v>
      </c>
      <c r="J73" s="197">
        <v>45453.0</v>
      </c>
      <c r="K73" s="191"/>
      <c r="L73" s="221">
        <v>31.0</v>
      </c>
      <c r="M73" s="185">
        <v>45566.0</v>
      </c>
      <c r="N73" s="185">
        <v>45596.0</v>
      </c>
      <c r="O73" s="186">
        <f t="shared" si="1"/>
        <v>370</v>
      </c>
      <c r="P73" s="187">
        <f t="shared" si="2"/>
        <v>1850</v>
      </c>
      <c r="Q73" s="187">
        <f t="shared" si="3"/>
        <v>2220</v>
      </c>
    </row>
    <row r="74">
      <c r="A74" s="178" t="s">
        <v>16</v>
      </c>
      <c r="B74" s="180">
        <v>4320.0</v>
      </c>
      <c r="C74" s="178" t="s">
        <v>17</v>
      </c>
      <c r="D74" s="176" t="s">
        <v>222</v>
      </c>
      <c r="E74" s="179" t="s">
        <v>222</v>
      </c>
      <c r="F74" s="177" t="s">
        <v>223</v>
      </c>
      <c r="G74" s="190" t="s">
        <v>224</v>
      </c>
      <c r="H74" s="191"/>
      <c r="I74" s="192">
        <v>35818.0</v>
      </c>
      <c r="J74" s="192">
        <v>45089.0</v>
      </c>
      <c r="K74" s="191"/>
      <c r="L74" s="221">
        <v>31.0</v>
      </c>
      <c r="M74" s="185">
        <v>45566.0</v>
      </c>
      <c r="N74" s="185">
        <v>45596.0</v>
      </c>
      <c r="O74" s="186">
        <f t="shared" si="1"/>
        <v>370</v>
      </c>
      <c r="P74" s="187">
        <f t="shared" si="2"/>
        <v>1850</v>
      </c>
      <c r="Q74" s="187">
        <f t="shared" si="3"/>
        <v>2220</v>
      </c>
    </row>
    <row r="75">
      <c r="A75" s="176" t="s">
        <v>16</v>
      </c>
      <c r="B75" s="177">
        <v>4320.0</v>
      </c>
      <c r="C75" s="176" t="s">
        <v>17</v>
      </c>
      <c r="D75" s="178" t="s">
        <v>225</v>
      </c>
      <c r="E75" s="179" t="s">
        <v>225</v>
      </c>
      <c r="F75" s="180" t="s">
        <v>226</v>
      </c>
      <c r="G75" s="181" t="s">
        <v>227</v>
      </c>
      <c r="H75" s="182"/>
      <c r="I75" s="183">
        <v>36177.0</v>
      </c>
      <c r="J75" s="183">
        <v>45320.0</v>
      </c>
      <c r="K75" s="182"/>
      <c r="L75" s="221">
        <v>31.0</v>
      </c>
      <c r="M75" s="185">
        <v>45566.0</v>
      </c>
      <c r="N75" s="185">
        <v>45596.0</v>
      </c>
      <c r="O75" s="186">
        <f t="shared" si="1"/>
        <v>370</v>
      </c>
      <c r="P75" s="187">
        <f t="shared" si="2"/>
        <v>1850</v>
      </c>
      <c r="Q75" s="187">
        <f t="shared" si="3"/>
        <v>2220</v>
      </c>
    </row>
    <row r="76">
      <c r="A76" s="176" t="s">
        <v>16</v>
      </c>
      <c r="B76" s="177">
        <v>4320.0</v>
      </c>
      <c r="C76" s="176" t="s">
        <v>17</v>
      </c>
      <c r="D76" s="149" t="s">
        <v>465</v>
      </c>
      <c r="E76" s="179" t="s">
        <v>465</v>
      </c>
      <c r="F76" s="203"/>
      <c r="G76" s="149" t="s">
        <v>466</v>
      </c>
      <c r="H76" s="182"/>
      <c r="I76" s="183">
        <v>36881.0</v>
      </c>
      <c r="J76" s="153">
        <v>45523.0</v>
      </c>
      <c r="K76" s="182"/>
      <c r="L76" s="221">
        <v>31.0</v>
      </c>
      <c r="M76" s="185">
        <v>45566.0</v>
      </c>
      <c r="N76" s="185">
        <v>45596.0</v>
      </c>
      <c r="O76" s="186">
        <f t="shared" si="1"/>
        <v>370</v>
      </c>
      <c r="P76" s="187">
        <f t="shared" si="2"/>
        <v>1850</v>
      </c>
      <c r="Q76" s="187">
        <f t="shared" si="3"/>
        <v>2220</v>
      </c>
    </row>
    <row r="77">
      <c r="A77" s="176" t="s">
        <v>16</v>
      </c>
      <c r="B77" s="177">
        <v>4320.0</v>
      </c>
      <c r="C77" s="176" t="s">
        <v>17</v>
      </c>
      <c r="D77" s="178" t="s">
        <v>228</v>
      </c>
      <c r="E77" s="179" t="s">
        <v>228</v>
      </c>
      <c r="F77" s="180" t="s">
        <v>229</v>
      </c>
      <c r="G77" s="181" t="s">
        <v>230</v>
      </c>
      <c r="H77" s="182"/>
      <c r="I77" s="183">
        <v>35743.0</v>
      </c>
      <c r="J77" s="183">
        <v>45222.0</v>
      </c>
      <c r="K77" s="182"/>
      <c r="L77" s="221">
        <v>31.0</v>
      </c>
      <c r="M77" s="185">
        <v>45566.0</v>
      </c>
      <c r="N77" s="185">
        <v>45596.0</v>
      </c>
      <c r="O77" s="186">
        <f t="shared" si="1"/>
        <v>370</v>
      </c>
      <c r="P77" s="187">
        <f t="shared" si="2"/>
        <v>1850</v>
      </c>
      <c r="Q77" s="187">
        <f t="shared" si="3"/>
        <v>2220</v>
      </c>
    </row>
    <row r="78">
      <c r="A78" s="176" t="s">
        <v>16</v>
      </c>
      <c r="B78" s="177">
        <v>4320.0</v>
      </c>
      <c r="C78" s="176" t="s">
        <v>17</v>
      </c>
      <c r="D78" s="149" t="s">
        <v>479</v>
      </c>
      <c r="E78" s="204" t="s">
        <v>479</v>
      </c>
      <c r="F78" s="227"/>
      <c r="G78" s="193" t="s">
        <v>480</v>
      </c>
      <c r="H78" s="227"/>
      <c r="I78" s="183">
        <v>36544.0</v>
      </c>
      <c r="J78" s="153">
        <v>45566.0</v>
      </c>
      <c r="K78" s="227"/>
      <c r="L78" s="221">
        <v>31.0</v>
      </c>
      <c r="M78" s="185">
        <v>45566.0</v>
      </c>
      <c r="N78" s="185">
        <v>45596.0</v>
      </c>
      <c r="O78" s="186">
        <f t="shared" si="1"/>
        <v>370</v>
      </c>
      <c r="P78" s="187">
        <f t="shared" si="2"/>
        <v>1850</v>
      </c>
      <c r="Q78" s="187">
        <f t="shared" si="3"/>
        <v>2220</v>
      </c>
    </row>
    <row r="79">
      <c r="O79" s="228">
        <f t="shared" ref="O79:Q79" si="4">SUM(O2:O78)</f>
        <v>27728</v>
      </c>
      <c r="P79" s="53">
        <f t="shared" si="4"/>
        <v>138640</v>
      </c>
      <c r="Q79" s="53">
        <f t="shared" si="4"/>
        <v>166368</v>
      </c>
    </row>
    <row r="81">
      <c r="Q81" s="53">
        <f>Q79+'Nov 24'!Q84+'Dec 24'!P86</f>
        <v>519336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38"/>
    <col hidden="1" min="5" max="5" width="12.63"/>
    <col customWidth="1" min="11" max="11" width="14.63"/>
  </cols>
  <sheetData>
    <row r="1">
      <c r="A1" s="174" t="s">
        <v>0</v>
      </c>
      <c r="B1" s="174" t="s">
        <v>1</v>
      </c>
      <c r="C1" s="174" t="s">
        <v>2</v>
      </c>
      <c r="D1" s="174" t="s">
        <v>3</v>
      </c>
      <c r="E1" s="174" t="s">
        <v>443</v>
      </c>
      <c r="F1" s="174" t="s">
        <v>4</v>
      </c>
      <c r="G1" s="175" t="s">
        <v>5</v>
      </c>
      <c r="H1" s="174" t="s">
        <v>6</v>
      </c>
      <c r="I1" s="174" t="s">
        <v>7</v>
      </c>
      <c r="J1" s="175" t="s">
        <v>8</v>
      </c>
      <c r="K1" s="175" t="s">
        <v>9</v>
      </c>
      <c r="L1" s="175" t="s">
        <v>10</v>
      </c>
      <c r="M1" s="175" t="s">
        <v>11</v>
      </c>
      <c r="N1" s="175" t="s">
        <v>12</v>
      </c>
      <c r="O1" s="175" t="s">
        <v>379</v>
      </c>
      <c r="P1" s="175" t="s">
        <v>14</v>
      </c>
      <c r="Q1" s="175" t="s">
        <v>15</v>
      </c>
    </row>
    <row r="2">
      <c r="A2" s="176" t="s">
        <v>16</v>
      </c>
      <c r="B2" s="177">
        <v>4320.0</v>
      </c>
      <c r="C2" s="176" t="s">
        <v>17</v>
      </c>
      <c r="D2" s="178" t="s">
        <v>261</v>
      </c>
      <c r="E2" s="202" t="s">
        <v>261</v>
      </c>
      <c r="F2" s="180" t="s">
        <v>262</v>
      </c>
      <c r="G2" s="181" t="s">
        <v>263</v>
      </c>
      <c r="H2" s="182"/>
      <c r="I2" s="183">
        <v>36617.0</v>
      </c>
      <c r="J2" s="183">
        <v>45299.0</v>
      </c>
      <c r="K2" s="183">
        <v>45604.0</v>
      </c>
      <c r="L2" s="222">
        <v>8.0</v>
      </c>
      <c r="M2" s="185">
        <v>45597.0</v>
      </c>
      <c r="N2" s="185">
        <v>45626.0</v>
      </c>
      <c r="O2" s="186">
        <f t="shared" ref="O2:O83" si="1">ROUNDUP(L2/30*370,0)</f>
        <v>99</v>
      </c>
      <c r="P2" s="186">
        <f t="shared" ref="P2:P83" si="2">O2*5</f>
        <v>495</v>
      </c>
      <c r="Q2" s="186">
        <f t="shared" ref="Q2:Q83" si="3">O2+P2</f>
        <v>594</v>
      </c>
    </row>
    <row r="3">
      <c r="A3" s="176" t="s">
        <v>16</v>
      </c>
      <c r="B3" s="177">
        <v>4320.0</v>
      </c>
      <c r="C3" s="176" t="s">
        <v>17</v>
      </c>
      <c r="D3" s="188" t="s">
        <v>361</v>
      </c>
      <c r="E3" s="179" t="s">
        <v>436</v>
      </c>
      <c r="F3" s="180" t="s">
        <v>362</v>
      </c>
      <c r="G3" s="189" t="s">
        <v>363</v>
      </c>
      <c r="H3" s="182"/>
      <c r="I3" s="183">
        <v>37149.0</v>
      </c>
      <c r="J3" s="183">
        <v>45397.0</v>
      </c>
      <c r="K3" s="203"/>
      <c r="L3" s="222">
        <v>30.0</v>
      </c>
      <c r="M3" s="185">
        <v>45597.0</v>
      </c>
      <c r="N3" s="185">
        <v>45626.0</v>
      </c>
      <c r="O3" s="186">
        <f t="shared" si="1"/>
        <v>370</v>
      </c>
      <c r="P3" s="186">
        <f t="shared" si="2"/>
        <v>1850</v>
      </c>
      <c r="Q3" s="186">
        <f t="shared" si="3"/>
        <v>2220</v>
      </c>
    </row>
    <row r="4">
      <c r="A4" s="178" t="s">
        <v>16</v>
      </c>
      <c r="B4" s="180">
        <v>4320.0</v>
      </c>
      <c r="C4" s="178" t="s">
        <v>17</v>
      </c>
      <c r="D4" s="176" t="s">
        <v>437</v>
      </c>
      <c r="E4" s="202" t="s">
        <v>437</v>
      </c>
      <c r="F4" s="177" t="s">
        <v>22</v>
      </c>
      <c r="G4" s="190" t="s">
        <v>23</v>
      </c>
      <c r="H4" s="191"/>
      <c r="I4" s="192">
        <v>36358.0</v>
      </c>
      <c r="J4" s="192">
        <v>45027.0</v>
      </c>
      <c r="K4" s="183">
        <v>45603.0</v>
      </c>
      <c r="L4" s="222">
        <v>7.0</v>
      </c>
      <c r="M4" s="185">
        <v>45597.0</v>
      </c>
      <c r="N4" s="185">
        <v>45626.0</v>
      </c>
      <c r="O4" s="186">
        <f t="shared" si="1"/>
        <v>87</v>
      </c>
      <c r="P4" s="186">
        <f t="shared" si="2"/>
        <v>435</v>
      </c>
      <c r="Q4" s="186">
        <f t="shared" si="3"/>
        <v>522</v>
      </c>
    </row>
    <row r="5">
      <c r="A5" s="178" t="s">
        <v>16</v>
      </c>
      <c r="B5" s="180">
        <v>4320.0</v>
      </c>
      <c r="C5" s="178" t="s">
        <v>17</v>
      </c>
      <c r="D5" s="149" t="s">
        <v>473</v>
      </c>
      <c r="E5" s="179" t="s">
        <v>473</v>
      </c>
      <c r="F5" s="205"/>
      <c r="G5" s="193" t="s">
        <v>475</v>
      </c>
      <c r="H5" s="191"/>
      <c r="I5" s="192">
        <v>37459.0</v>
      </c>
      <c r="J5" s="153">
        <v>45586.0</v>
      </c>
      <c r="K5" s="191"/>
      <c r="L5" s="222">
        <v>30.0</v>
      </c>
      <c r="M5" s="185">
        <v>45597.0</v>
      </c>
      <c r="N5" s="185">
        <v>45626.0</v>
      </c>
      <c r="O5" s="186">
        <f t="shared" si="1"/>
        <v>370</v>
      </c>
      <c r="P5" s="186">
        <f t="shared" si="2"/>
        <v>1850</v>
      </c>
      <c r="Q5" s="186">
        <f t="shared" si="3"/>
        <v>2220</v>
      </c>
    </row>
    <row r="6">
      <c r="A6" s="178" t="s">
        <v>16</v>
      </c>
      <c r="B6" s="180">
        <v>4320.0</v>
      </c>
      <c r="C6" s="178" t="s">
        <v>17</v>
      </c>
      <c r="D6" s="193" t="s">
        <v>408</v>
      </c>
      <c r="E6" s="179" t="s">
        <v>408</v>
      </c>
      <c r="F6" s="195" t="s">
        <v>409</v>
      </c>
      <c r="G6" s="196" t="s">
        <v>410</v>
      </c>
      <c r="H6" s="191"/>
      <c r="I6" s="197">
        <v>37978.0</v>
      </c>
      <c r="J6" s="197">
        <v>45453.0</v>
      </c>
      <c r="K6" s="191"/>
      <c r="L6" s="222">
        <v>30.0</v>
      </c>
      <c r="M6" s="185">
        <v>45597.0</v>
      </c>
      <c r="N6" s="185">
        <v>45626.0</v>
      </c>
      <c r="O6" s="186">
        <f t="shared" si="1"/>
        <v>370</v>
      </c>
      <c r="P6" s="186">
        <f t="shared" si="2"/>
        <v>1850</v>
      </c>
      <c r="Q6" s="186">
        <f t="shared" si="3"/>
        <v>2220</v>
      </c>
    </row>
    <row r="7">
      <c r="A7" s="178" t="s">
        <v>16</v>
      </c>
      <c r="B7" s="180">
        <v>4320.0</v>
      </c>
      <c r="C7" s="178" t="s">
        <v>17</v>
      </c>
      <c r="D7" s="176" t="s">
        <v>30</v>
      </c>
      <c r="E7" s="179" t="s">
        <v>246</v>
      </c>
      <c r="F7" s="177" t="s">
        <v>31</v>
      </c>
      <c r="G7" s="190" t="s">
        <v>32</v>
      </c>
      <c r="H7" s="191"/>
      <c r="I7" s="192">
        <v>35997.0</v>
      </c>
      <c r="J7" s="199">
        <v>45061.0</v>
      </c>
      <c r="K7" s="191"/>
      <c r="L7" s="222">
        <v>30.0</v>
      </c>
      <c r="M7" s="185">
        <v>45597.0</v>
      </c>
      <c r="N7" s="185">
        <v>45626.0</v>
      </c>
      <c r="O7" s="186">
        <f t="shared" si="1"/>
        <v>370</v>
      </c>
      <c r="P7" s="186">
        <f t="shared" si="2"/>
        <v>1850</v>
      </c>
      <c r="Q7" s="186">
        <f t="shared" si="3"/>
        <v>2220</v>
      </c>
    </row>
    <row r="8">
      <c r="A8" s="176" t="s">
        <v>16</v>
      </c>
      <c r="B8" s="177">
        <v>4320.0</v>
      </c>
      <c r="C8" s="176" t="s">
        <v>17</v>
      </c>
      <c r="D8" s="178" t="s">
        <v>316</v>
      </c>
      <c r="E8" s="179" t="s">
        <v>316</v>
      </c>
      <c r="F8" s="180" t="s">
        <v>317</v>
      </c>
      <c r="G8" s="181" t="s">
        <v>318</v>
      </c>
      <c r="H8" s="182"/>
      <c r="I8" s="183">
        <v>37274.0</v>
      </c>
      <c r="J8" s="183">
        <v>45362.0</v>
      </c>
      <c r="K8" s="182"/>
      <c r="L8" s="222">
        <v>30.0</v>
      </c>
      <c r="M8" s="185">
        <v>45597.0</v>
      </c>
      <c r="N8" s="185">
        <v>45626.0</v>
      </c>
      <c r="O8" s="186">
        <f t="shared" si="1"/>
        <v>370</v>
      </c>
      <c r="P8" s="186">
        <f t="shared" si="2"/>
        <v>1850</v>
      </c>
      <c r="Q8" s="186">
        <f t="shared" si="3"/>
        <v>2220</v>
      </c>
    </row>
    <row r="9">
      <c r="A9" s="176" t="s">
        <v>16</v>
      </c>
      <c r="B9" s="177">
        <v>4320.0</v>
      </c>
      <c r="C9" s="176" t="s">
        <v>17</v>
      </c>
      <c r="D9" s="178" t="s">
        <v>264</v>
      </c>
      <c r="E9" s="179" t="s">
        <v>264</v>
      </c>
      <c r="F9" s="180" t="s">
        <v>265</v>
      </c>
      <c r="G9" s="181" t="s">
        <v>266</v>
      </c>
      <c r="H9" s="182"/>
      <c r="I9" s="201">
        <v>37398.0</v>
      </c>
      <c r="J9" s="183">
        <v>45096.0</v>
      </c>
      <c r="K9" s="182"/>
      <c r="L9" s="222">
        <v>30.0</v>
      </c>
      <c r="M9" s="185">
        <v>45597.0</v>
      </c>
      <c r="N9" s="185">
        <v>45626.0</v>
      </c>
      <c r="O9" s="186">
        <f t="shared" si="1"/>
        <v>370</v>
      </c>
      <c r="P9" s="186">
        <f t="shared" si="2"/>
        <v>1850</v>
      </c>
      <c r="Q9" s="186">
        <f t="shared" si="3"/>
        <v>2220</v>
      </c>
    </row>
    <row r="10">
      <c r="A10" s="176" t="s">
        <v>16</v>
      </c>
      <c r="B10" s="177">
        <v>4320.0</v>
      </c>
      <c r="C10" s="176" t="s">
        <v>17</v>
      </c>
      <c r="D10" s="178" t="s">
        <v>319</v>
      </c>
      <c r="E10" s="179" t="s">
        <v>444</v>
      </c>
      <c r="F10" s="180" t="s">
        <v>320</v>
      </c>
      <c r="G10" s="181" t="s">
        <v>321</v>
      </c>
      <c r="H10" s="182"/>
      <c r="I10" s="183">
        <v>36360.0</v>
      </c>
      <c r="J10" s="183">
        <v>45355.0</v>
      </c>
      <c r="K10" s="182"/>
      <c r="L10" s="222">
        <v>30.0</v>
      </c>
      <c r="M10" s="185">
        <v>45597.0</v>
      </c>
      <c r="N10" s="185">
        <v>45626.0</v>
      </c>
      <c r="O10" s="186">
        <f t="shared" si="1"/>
        <v>370</v>
      </c>
      <c r="P10" s="186">
        <f t="shared" si="2"/>
        <v>1850</v>
      </c>
      <c r="Q10" s="186">
        <f t="shared" si="3"/>
        <v>2220</v>
      </c>
    </row>
    <row r="11">
      <c r="A11" s="178" t="s">
        <v>16</v>
      </c>
      <c r="B11" s="180">
        <v>4320.0</v>
      </c>
      <c r="C11" s="178" t="s">
        <v>17</v>
      </c>
      <c r="D11" s="193" t="s">
        <v>411</v>
      </c>
      <c r="E11" s="179" t="s">
        <v>411</v>
      </c>
      <c r="F11" s="195" t="s">
        <v>412</v>
      </c>
      <c r="G11" s="196" t="s">
        <v>413</v>
      </c>
      <c r="H11" s="191"/>
      <c r="I11" s="197">
        <v>33230.0</v>
      </c>
      <c r="J11" s="197">
        <v>45453.0</v>
      </c>
      <c r="K11" s="191"/>
      <c r="L11" s="222">
        <v>30.0</v>
      </c>
      <c r="M11" s="185">
        <v>45597.0</v>
      </c>
      <c r="N11" s="185">
        <v>45626.0</v>
      </c>
      <c r="O11" s="186">
        <f t="shared" si="1"/>
        <v>370</v>
      </c>
      <c r="P11" s="186">
        <f t="shared" si="2"/>
        <v>1850</v>
      </c>
      <c r="Q11" s="186">
        <f t="shared" si="3"/>
        <v>2220</v>
      </c>
    </row>
    <row r="12">
      <c r="A12" s="176" t="s">
        <v>16</v>
      </c>
      <c r="B12" s="177">
        <v>4320.0</v>
      </c>
      <c r="C12" s="176" t="s">
        <v>17</v>
      </c>
      <c r="D12" s="178" t="s">
        <v>282</v>
      </c>
      <c r="E12" s="179" t="s">
        <v>282</v>
      </c>
      <c r="F12" s="180" t="s">
        <v>283</v>
      </c>
      <c r="G12" s="181" t="s">
        <v>284</v>
      </c>
      <c r="H12" s="182"/>
      <c r="I12" s="183">
        <v>35047.0</v>
      </c>
      <c r="J12" s="183">
        <v>45257.0</v>
      </c>
      <c r="K12" s="182"/>
      <c r="L12" s="222">
        <v>30.0</v>
      </c>
      <c r="M12" s="185">
        <v>45597.0</v>
      </c>
      <c r="N12" s="185">
        <v>45626.0</v>
      </c>
      <c r="O12" s="186">
        <f t="shared" si="1"/>
        <v>370</v>
      </c>
      <c r="P12" s="186">
        <f t="shared" si="2"/>
        <v>1850</v>
      </c>
      <c r="Q12" s="186">
        <f t="shared" si="3"/>
        <v>2220</v>
      </c>
    </row>
    <row r="13">
      <c r="A13" s="176" t="s">
        <v>16</v>
      </c>
      <c r="B13" s="177">
        <v>4320.0</v>
      </c>
      <c r="C13" s="176" t="s">
        <v>17</v>
      </c>
      <c r="D13" s="178" t="s">
        <v>481</v>
      </c>
      <c r="E13" s="229" t="s">
        <v>481</v>
      </c>
      <c r="F13" s="203"/>
      <c r="G13" s="193" t="s">
        <v>482</v>
      </c>
      <c r="H13" s="182"/>
      <c r="I13" s="183">
        <v>35096.0</v>
      </c>
      <c r="J13" s="153">
        <v>45602.0</v>
      </c>
      <c r="K13" s="182"/>
      <c r="L13" s="222">
        <v>25.0</v>
      </c>
      <c r="M13" s="185">
        <v>45597.0</v>
      </c>
      <c r="N13" s="185">
        <v>45626.0</v>
      </c>
      <c r="O13" s="186">
        <f t="shared" si="1"/>
        <v>309</v>
      </c>
      <c r="P13" s="186">
        <f t="shared" si="2"/>
        <v>1545</v>
      </c>
      <c r="Q13" s="186">
        <f t="shared" si="3"/>
        <v>1854</v>
      </c>
    </row>
    <row r="14">
      <c r="A14" s="178" t="s">
        <v>16</v>
      </c>
      <c r="B14" s="180">
        <v>4320.0</v>
      </c>
      <c r="C14" s="178" t="s">
        <v>17</v>
      </c>
      <c r="D14" s="176" t="s">
        <v>45</v>
      </c>
      <c r="E14" s="179" t="s">
        <v>45</v>
      </c>
      <c r="F14" s="177" t="s">
        <v>46</v>
      </c>
      <c r="G14" s="190" t="s">
        <v>47</v>
      </c>
      <c r="H14" s="191"/>
      <c r="I14" s="192">
        <v>37370.0</v>
      </c>
      <c r="J14" s="192">
        <v>44739.0</v>
      </c>
      <c r="K14" s="191"/>
      <c r="L14" s="222">
        <v>30.0</v>
      </c>
      <c r="M14" s="185">
        <v>45597.0</v>
      </c>
      <c r="N14" s="185">
        <v>45626.0</v>
      </c>
      <c r="O14" s="186">
        <f t="shared" si="1"/>
        <v>370</v>
      </c>
      <c r="P14" s="186">
        <f t="shared" si="2"/>
        <v>1850</v>
      </c>
      <c r="Q14" s="186">
        <f t="shared" si="3"/>
        <v>2220</v>
      </c>
    </row>
    <row r="15">
      <c r="A15" s="178" t="s">
        <v>16</v>
      </c>
      <c r="B15" s="180">
        <v>4320.0</v>
      </c>
      <c r="C15" s="178" t="s">
        <v>17</v>
      </c>
      <c r="D15" s="176" t="s">
        <v>48</v>
      </c>
      <c r="E15" s="194" t="s">
        <v>48</v>
      </c>
      <c r="F15" s="177" t="s">
        <v>49</v>
      </c>
      <c r="G15" s="190" t="s">
        <v>50</v>
      </c>
      <c r="H15" s="191"/>
      <c r="I15" s="192">
        <v>36399.0</v>
      </c>
      <c r="J15" s="192">
        <v>45229.0</v>
      </c>
      <c r="K15" s="191"/>
      <c r="L15" s="222">
        <v>30.0</v>
      </c>
      <c r="M15" s="185">
        <v>45597.0</v>
      </c>
      <c r="N15" s="185">
        <v>45626.0</v>
      </c>
      <c r="O15" s="186">
        <f t="shared" si="1"/>
        <v>370</v>
      </c>
      <c r="P15" s="186">
        <f t="shared" si="2"/>
        <v>1850</v>
      </c>
      <c r="Q15" s="186">
        <f t="shared" si="3"/>
        <v>2220</v>
      </c>
    </row>
    <row r="16">
      <c r="A16" s="176" t="s">
        <v>16</v>
      </c>
      <c r="B16" s="177">
        <v>4320.0</v>
      </c>
      <c r="C16" s="176" t="s">
        <v>17</v>
      </c>
      <c r="D16" s="176" t="s">
        <v>383</v>
      </c>
      <c r="E16" s="179" t="s">
        <v>383</v>
      </c>
      <c r="F16" s="177" t="s">
        <v>384</v>
      </c>
      <c r="G16" s="190" t="s">
        <v>385</v>
      </c>
      <c r="H16" s="191"/>
      <c r="I16" s="192">
        <v>36183.0</v>
      </c>
      <c r="J16" s="199">
        <v>45418.0</v>
      </c>
      <c r="K16" s="191"/>
      <c r="L16" s="222">
        <v>30.0</v>
      </c>
      <c r="M16" s="185">
        <v>45597.0</v>
      </c>
      <c r="N16" s="185">
        <v>45626.0</v>
      </c>
      <c r="O16" s="186">
        <f t="shared" si="1"/>
        <v>370</v>
      </c>
      <c r="P16" s="186">
        <f t="shared" si="2"/>
        <v>1850</v>
      </c>
      <c r="Q16" s="186">
        <f t="shared" si="3"/>
        <v>2220</v>
      </c>
    </row>
    <row r="17">
      <c r="A17" s="176" t="s">
        <v>16</v>
      </c>
      <c r="B17" s="177">
        <v>4320.0</v>
      </c>
      <c r="C17" s="176" t="s">
        <v>17</v>
      </c>
      <c r="D17" s="178" t="s">
        <v>285</v>
      </c>
      <c r="E17" s="179" t="s">
        <v>285</v>
      </c>
      <c r="F17" s="180" t="s">
        <v>286</v>
      </c>
      <c r="G17" s="181" t="s">
        <v>287</v>
      </c>
      <c r="H17" s="182"/>
      <c r="I17" s="201">
        <v>37377.0</v>
      </c>
      <c r="J17" s="183">
        <v>45334.0</v>
      </c>
      <c r="K17" s="182"/>
      <c r="L17" s="222">
        <v>30.0</v>
      </c>
      <c r="M17" s="185">
        <v>45597.0</v>
      </c>
      <c r="N17" s="185">
        <v>45626.0</v>
      </c>
      <c r="O17" s="186">
        <f t="shared" si="1"/>
        <v>370</v>
      </c>
      <c r="P17" s="186">
        <f t="shared" si="2"/>
        <v>1850</v>
      </c>
      <c r="Q17" s="186">
        <f t="shared" si="3"/>
        <v>2220</v>
      </c>
    </row>
    <row r="18">
      <c r="A18" s="178" t="s">
        <v>16</v>
      </c>
      <c r="B18" s="180">
        <v>4320.0</v>
      </c>
      <c r="C18" s="178" t="s">
        <v>17</v>
      </c>
      <c r="D18" s="176" t="s">
        <v>288</v>
      </c>
      <c r="E18" s="179" t="s">
        <v>288</v>
      </c>
      <c r="F18" s="177" t="s">
        <v>289</v>
      </c>
      <c r="G18" s="190" t="s">
        <v>290</v>
      </c>
      <c r="H18" s="191"/>
      <c r="I18" s="192">
        <v>37047.0</v>
      </c>
      <c r="J18" s="192">
        <v>45257.0</v>
      </c>
      <c r="K18" s="191"/>
      <c r="L18" s="222">
        <v>30.0</v>
      </c>
      <c r="M18" s="185">
        <v>45597.0</v>
      </c>
      <c r="N18" s="185">
        <v>45626.0</v>
      </c>
      <c r="O18" s="186">
        <f t="shared" si="1"/>
        <v>370</v>
      </c>
      <c r="P18" s="186">
        <f t="shared" si="2"/>
        <v>1850</v>
      </c>
      <c r="Q18" s="186">
        <f t="shared" si="3"/>
        <v>2220</v>
      </c>
    </row>
    <row r="19">
      <c r="A19" s="176" t="s">
        <v>16</v>
      </c>
      <c r="B19" s="177">
        <v>4320.0</v>
      </c>
      <c r="C19" s="176" t="s">
        <v>17</v>
      </c>
      <c r="D19" s="178" t="s">
        <v>51</v>
      </c>
      <c r="E19" s="179" t="s">
        <v>51</v>
      </c>
      <c r="F19" s="180" t="s">
        <v>52</v>
      </c>
      <c r="G19" s="181" t="s">
        <v>53</v>
      </c>
      <c r="H19" s="182"/>
      <c r="I19" s="183">
        <v>34601.0</v>
      </c>
      <c r="J19" s="183">
        <v>44986.0</v>
      </c>
      <c r="K19" s="182"/>
      <c r="L19" s="222">
        <v>30.0</v>
      </c>
      <c r="M19" s="185">
        <v>45597.0</v>
      </c>
      <c r="N19" s="185">
        <v>45626.0</v>
      </c>
      <c r="O19" s="186">
        <f t="shared" si="1"/>
        <v>370</v>
      </c>
      <c r="P19" s="186">
        <f t="shared" si="2"/>
        <v>1850</v>
      </c>
      <c r="Q19" s="186">
        <f t="shared" si="3"/>
        <v>2220</v>
      </c>
    </row>
    <row r="20">
      <c r="A20" s="176" t="s">
        <v>16</v>
      </c>
      <c r="B20" s="177">
        <v>4320.0</v>
      </c>
      <c r="C20" s="176" t="s">
        <v>17</v>
      </c>
      <c r="D20" s="149" t="s">
        <v>445</v>
      </c>
      <c r="E20" s="194" t="s">
        <v>445</v>
      </c>
      <c r="F20" s="203"/>
      <c r="G20" s="181" t="s">
        <v>447</v>
      </c>
      <c r="H20" s="182"/>
      <c r="I20" s="183">
        <v>37047.0</v>
      </c>
      <c r="J20" s="183">
        <v>45505.0</v>
      </c>
      <c r="K20" s="182"/>
      <c r="L20" s="222">
        <v>30.0</v>
      </c>
      <c r="M20" s="185">
        <v>45597.0</v>
      </c>
      <c r="N20" s="185">
        <v>45626.0</v>
      </c>
      <c r="O20" s="186">
        <f t="shared" si="1"/>
        <v>370</v>
      </c>
      <c r="P20" s="186">
        <f t="shared" si="2"/>
        <v>1850</v>
      </c>
      <c r="Q20" s="186">
        <f t="shared" si="3"/>
        <v>2220</v>
      </c>
    </row>
    <row r="21">
      <c r="A21" s="176" t="s">
        <v>16</v>
      </c>
      <c r="B21" s="177">
        <v>4320.0</v>
      </c>
      <c r="C21" s="176" t="s">
        <v>17</v>
      </c>
      <c r="D21" s="149" t="s">
        <v>448</v>
      </c>
      <c r="E21" s="179" t="s">
        <v>467</v>
      </c>
      <c r="F21" s="203"/>
      <c r="G21" s="149" t="s">
        <v>450</v>
      </c>
      <c r="H21" s="182"/>
      <c r="I21" s="183">
        <v>36682.0</v>
      </c>
      <c r="J21" s="153">
        <v>45505.0</v>
      </c>
      <c r="K21" s="182"/>
      <c r="L21" s="222">
        <v>30.0</v>
      </c>
      <c r="M21" s="185">
        <v>45597.0</v>
      </c>
      <c r="N21" s="185">
        <v>45626.0</v>
      </c>
      <c r="O21" s="186">
        <f t="shared" si="1"/>
        <v>370</v>
      </c>
      <c r="P21" s="186">
        <f t="shared" si="2"/>
        <v>1850</v>
      </c>
      <c r="Q21" s="186">
        <f t="shared" si="3"/>
        <v>2220</v>
      </c>
    </row>
    <row r="22">
      <c r="A22" s="176" t="s">
        <v>16</v>
      </c>
      <c r="B22" s="177">
        <v>4320.0</v>
      </c>
      <c r="C22" s="176" t="s">
        <v>17</v>
      </c>
      <c r="D22" s="178" t="s">
        <v>57</v>
      </c>
      <c r="E22" s="179" t="s">
        <v>57</v>
      </c>
      <c r="F22" s="180" t="s">
        <v>58</v>
      </c>
      <c r="G22" s="181" t="s">
        <v>59</v>
      </c>
      <c r="H22" s="182"/>
      <c r="I22" s="183">
        <v>35704.0</v>
      </c>
      <c r="J22" s="183">
        <v>44760.0</v>
      </c>
      <c r="K22" s="182"/>
      <c r="L22" s="222">
        <v>30.0</v>
      </c>
      <c r="M22" s="185">
        <v>45597.0</v>
      </c>
      <c r="N22" s="185">
        <v>45626.0</v>
      </c>
      <c r="O22" s="186">
        <f t="shared" si="1"/>
        <v>370</v>
      </c>
      <c r="P22" s="186">
        <f t="shared" si="2"/>
        <v>1850</v>
      </c>
      <c r="Q22" s="186">
        <f t="shared" si="3"/>
        <v>2220</v>
      </c>
    </row>
    <row r="23">
      <c r="A23" s="176" t="s">
        <v>16</v>
      </c>
      <c r="B23" s="177">
        <v>4320.0</v>
      </c>
      <c r="C23" s="176" t="s">
        <v>17</v>
      </c>
      <c r="D23" s="178" t="s">
        <v>291</v>
      </c>
      <c r="E23" s="179" t="s">
        <v>291</v>
      </c>
      <c r="F23" s="180" t="s">
        <v>292</v>
      </c>
      <c r="G23" s="181" t="s">
        <v>293</v>
      </c>
      <c r="H23" s="182"/>
      <c r="I23" s="183">
        <v>37219.0</v>
      </c>
      <c r="J23" s="183">
        <v>45257.0</v>
      </c>
      <c r="K23" s="182"/>
      <c r="L23" s="222">
        <v>30.0</v>
      </c>
      <c r="M23" s="185">
        <v>45597.0</v>
      </c>
      <c r="N23" s="185">
        <v>45626.0</v>
      </c>
      <c r="O23" s="186">
        <f t="shared" si="1"/>
        <v>370</v>
      </c>
      <c r="P23" s="186">
        <f t="shared" si="2"/>
        <v>1850</v>
      </c>
      <c r="Q23" s="186">
        <f t="shared" si="3"/>
        <v>2220</v>
      </c>
    </row>
    <row r="24">
      <c r="A24" s="178" t="s">
        <v>16</v>
      </c>
      <c r="B24" s="180">
        <v>4320.0</v>
      </c>
      <c r="C24" s="178" t="s">
        <v>17</v>
      </c>
      <c r="D24" s="176" t="s">
        <v>60</v>
      </c>
      <c r="E24" s="194" t="s">
        <v>60</v>
      </c>
      <c r="F24" s="177" t="s">
        <v>61</v>
      </c>
      <c r="G24" s="190" t="s">
        <v>62</v>
      </c>
      <c r="H24" s="191"/>
      <c r="I24" s="192">
        <v>36246.0</v>
      </c>
      <c r="J24" s="192">
        <v>44851.0</v>
      </c>
      <c r="K24" s="191"/>
      <c r="L24" s="222">
        <v>30.0</v>
      </c>
      <c r="M24" s="185">
        <v>45597.0</v>
      </c>
      <c r="N24" s="185">
        <v>45626.0</v>
      </c>
      <c r="O24" s="186">
        <f t="shared" si="1"/>
        <v>370</v>
      </c>
      <c r="P24" s="186">
        <f t="shared" si="2"/>
        <v>1850</v>
      </c>
      <c r="Q24" s="186">
        <f t="shared" si="3"/>
        <v>2220</v>
      </c>
    </row>
    <row r="25">
      <c r="A25" s="176" t="s">
        <v>16</v>
      </c>
      <c r="B25" s="177">
        <v>4320.0</v>
      </c>
      <c r="C25" s="176" t="s">
        <v>17</v>
      </c>
      <c r="D25" s="178" t="s">
        <v>63</v>
      </c>
      <c r="E25" s="179" t="s">
        <v>63</v>
      </c>
      <c r="F25" s="180" t="s">
        <v>64</v>
      </c>
      <c r="G25" s="181" t="s">
        <v>65</v>
      </c>
      <c r="H25" s="182"/>
      <c r="I25" s="183">
        <v>35606.0</v>
      </c>
      <c r="J25" s="183">
        <v>44896.0</v>
      </c>
      <c r="K25" s="182"/>
      <c r="L25" s="222">
        <v>30.0</v>
      </c>
      <c r="M25" s="185">
        <v>45597.0</v>
      </c>
      <c r="N25" s="185">
        <v>45626.0</v>
      </c>
      <c r="O25" s="186">
        <f t="shared" si="1"/>
        <v>370</v>
      </c>
      <c r="P25" s="186">
        <f t="shared" si="2"/>
        <v>1850</v>
      </c>
      <c r="Q25" s="186">
        <f t="shared" si="3"/>
        <v>2220</v>
      </c>
    </row>
    <row r="26">
      <c r="A26" s="178" t="s">
        <v>16</v>
      </c>
      <c r="B26" s="180">
        <v>4320.0</v>
      </c>
      <c r="C26" s="178" t="s">
        <v>17</v>
      </c>
      <c r="D26" s="176" t="s">
        <v>267</v>
      </c>
      <c r="E26" s="179" t="s">
        <v>267</v>
      </c>
      <c r="F26" s="177" t="s">
        <v>268</v>
      </c>
      <c r="G26" s="190" t="s">
        <v>269</v>
      </c>
      <c r="H26" s="191"/>
      <c r="I26" s="192">
        <v>34590.0</v>
      </c>
      <c r="J26" s="192">
        <v>45313.0</v>
      </c>
      <c r="K26" s="191"/>
      <c r="L26" s="222">
        <v>30.0</v>
      </c>
      <c r="M26" s="185">
        <v>45597.0</v>
      </c>
      <c r="N26" s="185">
        <v>45626.0</v>
      </c>
      <c r="O26" s="186">
        <f t="shared" si="1"/>
        <v>370</v>
      </c>
      <c r="P26" s="186">
        <f t="shared" si="2"/>
        <v>1850</v>
      </c>
      <c r="Q26" s="186">
        <f t="shared" si="3"/>
        <v>2220</v>
      </c>
    </row>
    <row r="27">
      <c r="A27" s="176" t="s">
        <v>16</v>
      </c>
      <c r="B27" s="177">
        <v>4320.0</v>
      </c>
      <c r="C27" s="176" t="s">
        <v>17</v>
      </c>
      <c r="D27" s="178" t="s">
        <v>69</v>
      </c>
      <c r="E27" s="194" t="s">
        <v>69</v>
      </c>
      <c r="F27" s="180" t="s">
        <v>70</v>
      </c>
      <c r="G27" s="181" t="s">
        <v>71</v>
      </c>
      <c r="H27" s="182"/>
      <c r="I27" s="183">
        <v>36891.0</v>
      </c>
      <c r="J27" s="183">
        <v>44739.0</v>
      </c>
      <c r="K27" s="182"/>
      <c r="L27" s="222">
        <v>30.0</v>
      </c>
      <c r="M27" s="185">
        <v>45597.0</v>
      </c>
      <c r="N27" s="185">
        <v>45626.0</v>
      </c>
      <c r="O27" s="186">
        <f t="shared" si="1"/>
        <v>370</v>
      </c>
      <c r="P27" s="186">
        <f t="shared" si="2"/>
        <v>1850</v>
      </c>
      <c r="Q27" s="186">
        <f t="shared" si="3"/>
        <v>2220</v>
      </c>
    </row>
    <row r="28">
      <c r="A28" s="176" t="s">
        <v>16</v>
      </c>
      <c r="B28" s="177">
        <v>4320.0</v>
      </c>
      <c r="C28" s="176" t="s">
        <v>17</v>
      </c>
      <c r="D28" s="149" t="s">
        <v>468</v>
      </c>
      <c r="E28" s="179" t="s">
        <v>468</v>
      </c>
      <c r="F28" s="203"/>
      <c r="G28" s="149" t="s">
        <v>469</v>
      </c>
      <c r="H28" s="182"/>
      <c r="I28" s="183">
        <v>35986.0</v>
      </c>
      <c r="J28" s="153">
        <v>45537.0</v>
      </c>
      <c r="K28" s="182"/>
      <c r="L28" s="222">
        <v>30.0</v>
      </c>
      <c r="M28" s="185">
        <v>45597.0</v>
      </c>
      <c r="N28" s="185">
        <v>45626.0</v>
      </c>
      <c r="O28" s="186">
        <f t="shared" si="1"/>
        <v>370</v>
      </c>
      <c r="P28" s="186">
        <f t="shared" si="2"/>
        <v>1850</v>
      </c>
      <c r="Q28" s="186">
        <f t="shared" si="3"/>
        <v>2220</v>
      </c>
    </row>
    <row r="29">
      <c r="A29" s="176" t="s">
        <v>16</v>
      </c>
      <c r="B29" s="177">
        <v>4320.0</v>
      </c>
      <c r="C29" s="176" t="s">
        <v>17</v>
      </c>
      <c r="D29" s="178" t="s">
        <v>78</v>
      </c>
      <c r="E29" s="179" t="s">
        <v>78</v>
      </c>
      <c r="F29" s="180" t="s">
        <v>79</v>
      </c>
      <c r="G29" s="181" t="s">
        <v>80</v>
      </c>
      <c r="H29" s="182"/>
      <c r="I29" s="183">
        <v>36401.0</v>
      </c>
      <c r="J29" s="183">
        <v>45096.0</v>
      </c>
      <c r="K29" s="182"/>
      <c r="L29" s="222">
        <v>30.0</v>
      </c>
      <c r="M29" s="185">
        <v>45597.0</v>
      </c>
      <c r="N29" s="185">
        <v>45626.0</v>
      </c>
      <c r="O29" s="186">
        <f t="shared" si="1"/>
        <v>370</v>
      </c>
      <c r="P29" s="186">
        <f t="shared" si="2"/>
        <v>1850</v>
      </c>
      <c r="Q29" s="186">
        <f t="shared" si="3"/>
        <v>2220</v>
      </c>
    </row>
    <row r="30">
      <c r="A30" s="176" t="s">
        <v>16</v>
      </c>
      <c r="B30" s="177">
        <v>4320.0</v>
      </c>
      <c r="C30" s="176" t="s">
        <v>17</v>
      </c>
      <c r="D30" s="178" t="s">
        <v>483</v>
      </c>
      <c r="E30" s="230" t="s">
        <v>483</v>
      </c>
      <c r="F30" s="203"/>
      <c r="G30" s="193" t="s">
        <v>484</v>
      </c>
      <c r="H30" s="182"/>
      <c r="I30" s="201">
        <v>36286.0</v>
      </c>
      <c r="J30" s="153">
        <v>45602.0</v>
      </c>
      <c r="K30" s="182"/>
      <c r="L30" s="222">
        <v>25.0</v>
      </c>
      <c r="M30" s="185">
        <v>45597.0</v>
      </c>
      <c r="N30" s="185">
        <v>45626.0</v>
      </c>
      <c r="O30" s="186">
        <f t="shared" si="1"/>
        <v>309</v>
      </c>
      <c r="P30" s="186">
        <f t="shared" si="2"/>
        <v>1545</v>
      </c>
      <c r="Q30" s="186">
        <f t="shared" si="3"/>
        <v>1854</v>
      </c>
    </row>
    <row r="31">
      <c r="A31" s="176" t="s">
        <v>16</v>
      </c>
      <c r="B31" s="177">
        <v>4320.0</v>
      </c>
      <c r="C31" s="176" t="s">
        <v>17</v>
      </c>
      <c r="D31" s="178" t="s">
        <v>485</v>
      </c>
      <c r="E31" s="229" t="s">
        <v>485</v>
      </c>
      <c r="F31" s="203"/>
      <c r="G31" s="193" t="s">
        <v>486</v>
      </c>
      <c r="H31" s="182"/>
      <c r="I31" s="183">
        <v>36994.0</v>
      </c>
      <c r="J31" s="153">
        <v>45602.0</v>
      </c>
      <c r="K31" s="182"/>
      <c r="L31" s="222">
        <v>25.0</v>
      </c>
      <c r="M31" s="185">
        <v>45597.0</v>
      </c>
      <c r="N31" s="185">
        <v>45626.0</v>
      </c>
      <c r="O31" s="186">
        <f t="shared" si="1"/>
        <v>309</v>
      </c>
      <c r="P31" s="186">
        <f t="shared" si="2"/>
        <v>1545</v>
      </c>
      <c r="Q31" s="186">
        <f t="shared" si="3"/>
        <v>1854</v>
      </c>
    </row>
    <row r="32">
      <c r="A32" s="176" t="s">
        <v>16</v>
      </c>
      <c r="B32" s="177">
        <v>4320.0</v>
      </c>
      <c r="C32" s="176" t="s">
        <v>17</v>
      </c>
      <c r="D32" s="178" t="s">
        <v>331</v>
      </c>
      <c r="E32" s="179" t="s">
        <v>331</v>
      </c>
      <c r="F32" s="180" t="s">
        <v>332</v>
      </c>
      <c r="G32" s="181" t="s">
        <v>333</v>
      </c>
      <c r="H32" s="182"/>
      <c r="I32" s="183">
        <v>37958.0</v>
      </c>
      <c r="J32" s="183">
        <v>45369.0</v>
      </c>
      <c r="K32" s="182"/>
      <c r="L32" s="222">
        <v>30.0</v>
      </c>
      <c r="M32" s="185">
        <v>45597.0</v>
      </c>
      <c r="N32" s="185">
        <v>45626.0</v>
      </c>
      <c r="O32" s="186">
        <f t="shared" si="1"/>
        <v>370</v>
      </c>
      <c r="P32" s="186">
        <f t="shared" si="2"/>
        <v>1850</v>
      </c>
      <c r="Q32" s="186">
        <f t="shared" si="3"/>
        <v>2220</v>
      </c>
    </row>
    <row r="33">
      <c r="A33" s="178" t="s">
        <v>16</v>
      </c>
      <c r="B33" s="180">
        <v>4320.0</v>
      </c>
      <c r="C33" s="178" t="s">
        <v>17</v>
      </c>
      <c r="D33" s="188" t="s">
        <v>392</v>
      </c>
      <c r="E33" s="179" t="s">
        <v>392</v>
      </c>
      <c r="F33" s="180" t="s">
        <v>393</v>
      </c>
      <c r="G33" s="181" t="s">
        <v>394</v>
      </c>
      <c r="H33" s="182"/>
      <c r="I33" s="183">
        <v>34922.0</v>
      </c>
      <c r="J33" s="201">
        <v>45418.0</v>
      </c>
      <c r="K33" s="182"/>
      <c r="L33" s="222">
        <v>30.0</v>
      </c>
      <c r="M33" s="185">
        <v>45597.0</v>
      </c>
      <c r="N33" s="185">
        <v>45626.0</v>
      </c>
      <c r="O33" s="186">
        <f t="shared" si="1"/>
        <v>370</v>
      </c>
      <c r="P33" s="186">
        <f t="shared" si="2"/>
        <v>1850</v>
      </c>
      <c r="Q33" s="186">
        <f t="shared" si="3"/>
        <v>2220</v>
      </c>
    </row>
    <row r="34">
      <c r="A34" s="178" t="s">
        <v>16</v>
      </c>
      <c r="B34" s="180">
        <v>4320.0</v>
      </c>
      <c r="C34" s="178" t="s">
        <v>17</v>
      </c>
      <c r="D34" s="193" t="s">
        <v>451</v>
      </c>
      <c r="E34" s="179" t="s">
        <v>451</v>
      </c>
      <c r="F34" s="191"/>
      <c r="G34" s="196" t="s">
        <v>415</v>
      </c>
      <c r="H34" s="191"/>
      <c r="I34" s="197">
        <v>36443.0</v>
      </c>
      <c r="J34" s="197">
        <v>45446.0</v>
      </c>
      <c r="K34" s="191"/>
      <c r="L34" s="222">
        <v>30.0</v>
      </c>
      <c r="M34" s="185">
        <v>45597.0</v>
      </c>
      <c r="N34" s="185">
        <v>45626.0</v>
      </c>
      <c r="O34" s="186">
        <f t="shared" si="1"/>
        <v>370</v>
      </c>
      <c r="P34" s="186">
        <f t="shared" si="2"/>
        <v>1850</v>
      </c>
      <c r="Q34" s="186">
        <f t="shared" si="3"/>
        <v>2220</v>
      </c>
    </row>
    <row r="35">
      <c r="A35" s="178" t="s">
        <v>16</v>
      </c>
      <c r="B35" s="180">
        <v>4320.0</v>
      </c>
      <c r="C35" s="178" t="s">
        <v>17</v>
      </c>
      <c r="D35" s="176" t="s">
        <v>87</v>
      </c>
      <c r="E35" s="179" t="s">
        <v>87</v>
      </c>
      <c r="F35" s="177" t="s">
        <v>88</v>
      </c>
      <c r="G35" s="190" t="s">
        <v>89</v>
      </c>
      <c r="H35" s="191"/>
      <c r="I35" s="199">
        <v>33737.0</v>
      </c>
      <c r="J35" s="192">
        <v>45139.0</v>
      </c>
      <c r="K35" s="191"/>
      <c r="L35" s="222">
        <v>30.0</v>
      </c>
      <c r="M35" s="185">
        <v>45597.0</v>
      </c>
      <c r="N35" s="185">
        <v>45626.0</v>
      </c>
      <c r="O35" s="186">
        <f t="shared" si="1"/>
        <v>370</v>
      </c>
      <c r="P35" s="186">
        <f t="shared" si="2"/>
        <v>1850</v>
      </c>
      <c r="Q35" s="186">
        <f t="shared" si="3"/>
        <v>2220</v>
      </c>
    </row>
    <row r="36">
      <c r="A36" s="178" t="s">
        <v>16</v>
      </c>
      <c r="B36" s="180">
        <v>4320.0</v>
      </c>
      <c r="C36" s="178" t="s">
        <v>17</v>
      </c>
      <c r="D36" s="176" t="s">
        <v>334</v>
      </c>
      <c r="E36" s="179" t="s">
        <v>334</v>
      </c>
      <c r="F36" s="177" t="s">
        <v>335</v>
      </c>
      <c r="G36" s="190" t="s">
        <v>336</v>
      </c>
      <c r="H36" s="191"/>
      <c r="I36" s="192">
        <v>35272.0</v>
      </c>
      <c r="J36" s="192">
        <v>45355.0</v>
      </c>
      <c r="K36" s="191"/>
      <c r="L36" s="222">
        <v>30.0</v>
      </c>
      <c r="M36" s="185">
        <v>45597.0</v>
      </c>
      <c r="N36" s="185">
        <v>45626.0</v>
      </c>
      <c r="O36" s="186">
        <f t="shared" si="1"/>
        <v>370</v>
      </c>
      <c r="P36" s="186">
        <f t="shared" si="2"/>
        <v>1850</v>
      </c>
      <c r="Q36" s="186">
        <f t="shared" si="3"/>
        <v>2220</v>
      </c>
    </row>
    <row r="37">
      <c r="A37" s="178" t="s">
        <v>16</v>
      </c>
      <c r="B37" s="180">
        <v>4320.0</v>
      </c>
      <c r="C37" s="178" t="s">
        <v>17</v>
      </c>
      <c r="D37" s="176" t="s">
        <v>337</v>
      </c>
      <c r="E37" s="179" t="s">
        <v>337</v>
      </c>
      <c r="F37" s="177" t="s">
        <v>338</v>
      </c>
      <c r="G37" s="190" t="s">
        <v>339</v>
      </c>
      <c r="H37" s="191"/>
      <c r="I37" s="192">
        <v>37539.0</v>
      </c>
      <c r="J37" s="192">
        <v>45362.0</v>
      </c>
      <c r="K37" s="191"/>
      <c r="L37" s="222">
        <v>30.0</v>
      </c>
      <c r="M37" s="185">
        <v>45597.0</v>
      </c>
      <c r="N37" s="185">
        <v>45626.0</v>
      </c>
      <c r="O37" s="186">
        <f t="shared" si="1"/>
        <v>370</v>
      </c>
      <c r="P37" s="186">
        <f t="shared" si="2"/>
        <v>1850</v>
      </c>
      <c r="Q37" s="186">
        <f t="shared" si="3"/>
        <v>2220</v>
      </c>
    </row>
    <row r="38">
      <c r="A38" s="178" t="s">
        <v>16</v>
      </c>
      <c r="B38" s="180">
        <v>4320.0</v>
      </c>
      <c r="C38" s="178" t="s">
        <v>17</v>
      </c>
      <c r="D38" s="176" t="s">
        <v>96</v>
      </c>
      <c r="E38" s="128" t="s">
        <v>407</v>
      </c>
      <c r="F38" s="177" t="s">
        <v>97</v>
      </c>
      <c r="G38" s="190" t="s">
        <v>98</v>
      </c>
      <c r="H38" s="191"/>
      <c r="I38" s="192">
        <v>36690.0</v>
      </c>
      <c r="J38" s="192">
        <v>44938.0</v>
      </c>
      <c r="K38" s="191"/>
      <c r="L38" s="222">
        <v>30.0</v>
      </c>
      <c r="M38" s="185">
        <v>45597.0</v>
      </c>
      <c r="N38" s="185">
        <v>45626.0</v>
      </c>
      <c r="O38" s="186">
        <f t="shared" si="1"/>
        <v>370</v>
      </c>
      <c r="P38" s="186">
        <f t="shared" si="2"/>
        <v>1850</v>
      </c>
      <c r="Q38" s="186">
        <f t="shared" si="3"/>
        <v>2220</v>
      </c>
    </row>
    <row r="39">
      <c r="A39" s="178" t="s">
        <v>16</v>
      </c>
      <c r="B39" s="180">
        <v>4320.0</v>
      </c>
      <c r="C39" s="178" t="s">
        <v>17</v>
      </c>
      <c r="D39" s="176" t="s">
        <v>452</v>
      </c>
      <c r="E39" s="179" t="s">
        <v>452</v>
      </c>
      <c r="F39" s="205"/>
      <c r="G39" s="206" t="s">
        <v>454</v>
      </c>
      <c r="H39" s="207"/>
      <c r="I39" s="192">
        <v>37834.0</v>
      </c>
      <c r="J39" s="160">
        <v>45505.0</v>
      </c>
      <c r="K39" s="191"/>
      <c r="L39" s="222">
        <v>30.0</v>
      </c>
      <c r="M39" s="185">
        <v>45597.0</v>
      </c>
      <c r="N39" s="185">
        <v>45626.0</v>
      </c>
      <c r="O39" s="186">
        <f t="shared" si="1"/>
        <v>370</v>
      </c>
      <c r="P39" s="186">
        <f t="shared" si="2"/>
        <v>1850</v>
      </c>
      <c r="Q39" s="186">
        <f t="shared" si="3"/>
        <v>2220</v>
      </c>
    </row>
    <row r="40">
      <c r="A40" s="178" t="s">
        <v>16</v>
      </c>
      <c r="B40" s="180">
        <v>4320.0</v>
      </c>
      <c r="C40" s="178" t="s">
        <v>17</v>
      </c>
      <c r="D40" s="149" t="s">
        <v>476</v>
      </c>
      <c r="E40" s="179" t="s">
        <v>476</v>
      </c>
      <c r="F40" s="205"/>
      <c r="G40" s="193" t="s">
        <v>477</v>
      </c>
      <c r="H40" s="207"/>
      <c r="I40" s="192">
        <v>37220.0</v>
      </c>
      <c r="J40" s="153">
        <v>45572.0</v>
      </c>
      <c r="K40" s="191"/>
      <c r="L40" s="222">
        <v>30.0</v>
      </c>
      <c r="M40" s="185">
        <v>45597.0</v>
      </c>
      <c r="N40" s="185">
        <v>45626.0</v>
      </c>
      <c r="O40" s="186">
        <f t="shared" si="1"/>
        <v>370</v>
      </c>
      <c r="P40" s="186">
        <f t="shared" si="2"/>
        <v>1850</v>
      </c>
      <c r="Q40" s="186">
        <f t="shared" si="3"/>
        <v>2220</v>
      </c>
    </row>
    <row r="41">
      <c r="A41" s="178" t="s">
        <v>16</v>
      </c>
      <c r="B41" s="180">
        <v>4320.0</v>
      </c>
      <c r="C41" s="178" t="s">
        <v>17</v>
      </c>
      <c r="D41" s="176" t="s">
        <v>102</v>
      </c>
      <c r="E41" s="179" t="s">
        <v>102</v>
      </c>
      <c r="F41" s="177" t="s">
        <v>103</v>
      </c>
      <c r="G41" s="190" t="s">
        <v>104</v>
      </c>
      <c r="H41" s="191"/>
      <c r="I41" s="192">
        <v>33240.0</v>
      </c>
      <c r="J41" s="192">
        <v>44287.0</v>
      </c>
      <c r="K41" s="191"/>
      <c r="L41" s="222">
        <v>30.0</v>
      </c>
      <c r="M41" s="185">
        <v>45597.0</v>
      </c>
      <c r="N41" s="185">
        <v>45626.0</v>
      </c>
      <c r="O41" s="186">
        <f t="shared" si="1"/>
        <v>370</v>
      </c>
      <c r="P41" s="186">
        <f t="shared" si="2"/>
        <v>1850</v>
      </c>
      <c r="Q41" s="186">
        <f t="shared" si="3"/>
        <v>2220</v>
      </c>
    </row>
    <row r="42">
      <c r="A42" s="178" t="s">
        <v>16</v>
      </c>
      <c r="B42" s="180">
        <v>4320.0</v>
      </c>
      <c r="C42" s="178" t="s">
        <v>17</v>
      </c>
      <c r="D42" s="176" t="s">
        <v>255</v>
      </c>
      <c r="E42" s="179" t="s">
        <v>255</v>
      </c>
      <c r="F42" s="177" t="s">
        <v>256</v>
      </c>
      <c r="G42" s="190" t="s">
        <v>257</v>
      </c>
      <c r="H42" s="191"/>
      <c r="I42" s="192">
        <v>35173.0</v>
      </c>
      <c r="J42" s="192">
        <v>45264.0</v>
      </c>
      <c r="K42" s="191"/>
      <c r="L42" s="222">
        <v>30.0</v>
      </c>
      <c r="M42" s="185">
        <v>45597.0</v>
      </c>
      <c r="N42" s="185">
        <v>45626.0</v>
      </c>
      <c r="O42" s="186">
        <f t="shared" si="1"/>
        <v>370</v>
      </c>
      <c r="P42" s="186">
        <f t="shared" si="2"/>
        <v>1850</v>
      </c>
      <c r="Q42" s="186">
        <f t="shared" si="3"/>
        <v>2220</v>
      </c>
    </row>
    <row r="43">
      <c r="A43" s="176" t="s">
        <v>16</v>
      </c>
      <c r="B43" s="177">
        <v>4320.0</v>
      </c>
      <c r="C43" s="176" t="s">
        <v>17</v>
      </c>
      <c r="D43" s="178" t="s">
        <v>340</v>
      </c>
      <c r="E43" s="179" t="s">
        <v>438</v>
      </c>
      <c r="F43" s="180" t="s">
        <v>341</v>
      </c>
      <c r="G43" s="181" t="s">
        <v>342</v>
      </c>
      <c r="H43" s="182"/>
      <c r="I43" s="183">
        <v>37964.0</v>
      </c>
      <c r="J43" s="183">
        <v>45355.0</v>
      </c>
      <c r="K43" s="182"/>
      <c r="L43" s="222">
        <v>30.0</v>
      </c>
      <c r="M43" s="185">
        <v>45597.0</v>
      </c>
      <c r="N43" s="185">
        <v>45626.0</v>
      </c>
      <c r="O43" s="186">
        <f t="shared" si="1"/>
        <v>370</v>
      </c>
      <c r="P43" s="186">
        <f t="shared" si="2"/>
        <v>1850</v>
      </c>
      <c r="Q43" s="186">
        <f t="shared" si="3"/>
        <v>2220</v>
      </c>
    </row>
    <row r="44">
      <c r="A44" s="176" t="s">
        <v>16</v>
      </c>
      <c r="B44" s="177">
        <v>4320.0</v>
      </c>
      <c r="C44" s="176" t="s">
        <v>17</v>
      </c>
      <c r="D44" s="195" t="s">
        <v>395</v>
      </c>
      <c r="E44" s="179" t="s">
        <v>395</v>
      </c>
      <c r="F44" s="177" t="s">
        <v>396</v>
      </c>
      <c r="G44" s="190" t="s">
        <v>397</v>
      </c>
      <c r="H44" s="191"/>
      <c r="I44" s="192">
        <v>36557.0</v>
      </c>
      <c r="J44" s="199">
        <v>45432.0</v>
      </c>
      <c r="K44" s="191"/>
      <c r="L44" s="222">
        <v>30.0</v>
      </c>
      <c r="M44" s="185">
        <v>45597.0</v>
      </c>
      <c r="N44" s="185">
        <v>45626.0</v>
      </c>
      <c r="O44" s="186">
        <f t="shared" si="1"/>
        <v>370</v>
      </c>
      <c r="P44" s="186">
        <f t="shared" si="2"/>
        <v>1850</v>
      </c>
      <c r="Q44" s="186">
        <f t="shared" si="3"/>
        <v>2220</v>
      </c>
    </row>
    <row r="45">
      <c r="A45" s="178" t="s">
        <v>16</v>
      </c>
      <c r="B45" s="180">
        <v>4320.0</v>
      </c>
      <c r="C45" s="178" t="s">
        <v>17</v>
      </c>
      <c r="D45" s="176" t="s">
        <v>370</v>
      </c>
      <c r="E45" s="179" t="s">
        <v>370</v>
      </c>
      <c r="F45" s="177" t="s">
        <v>371</v>
      </c>
      <c r="G45" s="190" t="s">
        <v>372</v>
      </c>
      <c r="H45" s="191"/>
      <c r="I45" s="199">
        <v>35551.0</v>
      </c>
      <c r="J45" s="200">
        <v>45383.0</v>
      </c>
      <c r="K45" s="191"/>
      <c r="L45" s="222">
        <v>30.0</v>
      </c>
      <c r="M45" s="185">
        <v>45597.0</v>
      </c>
      <c r="N45" s="185">
        <v>45626.0</v>
      </c>
      <c r="O45" s="186">
        <f t="shared" si="1"/>
        <v>370</v>
      </c>
      <c r="P45" s="186">
        <f t="shared" si="2"/>
        <v>1850</v>
      </c>
      <c r="Q45" s="186">
        <f t="shared" si="3"/>
        <v>2220</v>
      </c>
    </row>
    <row r="46">
      <c r="A46" s="178" t="s">
        <v>16</v>
      </c>
      <c r="B46" s="180">
        <v>4320.0</v>
      </c>
      <c r="C46" s="178" t="s">
        <v>17</v>
      </c>
      <c r="D46" s="149" t="s">
        <v>114</v>
      </c>
      <c r="E46" s="179" t="s">
        <v>114</v>
      </c>
      <c r="F46" s="205"/>
      <c r="G46" s="149" t="s">
        <v>456</v>
      </c>
      <c r="H46" s="191"/>
      <c r="I46" s="192">
        <v>35872.0</v>
      </c>
      <c r="J46" s="153">
        <v>45523.0</v>
      </c>
      <c r="K46" s="191"/>
      <c r="L46" s="222">
        <v>30.0</v>
      </c>
      <c r="M46" s="185">
        <v>45597.0</v>
      </c>
      <c r="N46" s="185">
        <v>45626.0</v>
      </c>
      <c r="O46" s="186">
        <f t="shared" si="1"/>
        <v>370</v>
      </c>
      <c r="P46" s="186">
        <f t="shared" si="2"/>
        <v>1850</v>
      </c>
      <c r="Q46" s="186">
        <f t="shared" si="3"/>
        <v>2220</v>
      </c>
    </row>
    <row r="47">
      <c r="A47" s="178" t="s">
        <v>16</v>
      </c>
      <c r="B47" s="180">
        <v>4320.0</v>
      </c>
      <c r="C47" s="178" t="s">
        <v>17</v>
      </c>
      <c r="D47" s="149" t="s">
        <v>457</v>
      </c>
      <c r="E47" s="194" t="s">
        <v>457</v>
      </c>
      <c r="F47" s="205"/>
      <c r="G47" s="149" t="s">
        <v>458</v>
      </c>
      <c r="H47" s="191"/>
      <c r="I47" s="192">
        <v>37061.0</v>
      </c>
      <c r="J47" s="153">
        <v>45505.0</v>
      </c>
      <c r="K47" s="191"/>
      <c r="L47" s="222">
        <v>30.0</v>
      </c>
      <c r="M47" s="185">
        <v>45597.0</v>
      </c>
      <c r="N47" s="185">
        <v>45626.0</v>
      </c>
      <c r="O47" s="186">
        <f t="shared" si="1"/>
        <v>370</v>
      </c>
      <c r="P47" s="186">
        <f t="shared" si="2"/>
        <v>1850</v>
      </c>
      <c r="Q47" s="186">
        <f t="shared" si="3"/>
        <v>2220</v>
      </c>
    </row>
    <row r="48">
      <c r="A48" s="178" t="s">
        <v>16</v>
      </c>
      <c r="B48" s="180">
        <v>4320.0</v>
      </c>
      <c r="C48" s="178" t="s">
        <v>17</v>
      </c>
      <c r="D48" s="176" t="s">
        <v>120</v>
      </c>
      <c r="E48" s="231" t="s">
        <v>439</v>
      </c>
      <c r="F48" s="177" t="s">
        <v>121</v>
      </c>
      <c r="G48" s="190" t="s">
        <v>122</v>
      </c>
      <c r="H48" s="191"/>
      <c r="I48" s="192">
        <v>36794.0</v>
      </c>
      <c r="J48" s="192">
        <v>44915.0</v>
      </c>
      <c r="K48" s="191"/>
      <c r="L48" s="222">
        <v>30.0</v>
      </c>
      <c r="M48" s="185">
        <v>45597.0</v>
      </c>
      <c r="N48" s="185">
        <v>45626.0</v>
      </c>
      <c r="O48" s="186">
        <f t="shared" si="1"/>
        <v>370</v>
      </c>
      <c r="P48" s="186">
        <f t="shared" si="2"/>
        <v>1850</v>
      </c>
      <c r="Q48" s="186">
        <f t="shared" si="3"/>
        <v>2220</v>
      </c>
    </row>
    <row r="49">
      <c r="A49" s="178" t="s">
        <v>16</v>
      </c>
      <c r="B49" s="180">
        <v>4320.0</v>
      </c>
      <c r="C49" s="178" t="s">
        <v>17</v>
      </c>
      <c r="D49" s="176" t="s">
        <v>487</v>
      </c>
      <c r="E49" s="229" t="s">
        <v>487</v>
      </c>
      <c r="F49" s="205"/>
      <c r="G49" s="193" t="s">
        <v>488</v>
      </c>
      <c r="H49" s="191"/>
      <c r="I49" s="199">
        <v>35195.0</v>
      </c>
      <c r="J49" s="153">
        <v>45602.0</v>
      </c>
      <c r="K49" s="191"/>
      <c r="L49" s="222">
        <v>25.0</v>
      </c>
      <c r="M49" s="185">
        <v>45597.0</v>
      </c>
      <c r="N49" s="185">
        <v>45626.0</v>
      </c>
      <c r="O49" s="186">
        <f t="shared" si="1"/>
        <v>309</v>
      </c>
      <c r="P49" s="186">
        <f t="shared" si="2"/>
        <v>1545</v>
      </c>
      <c r="Q49" s="186">
        <f t="shared" si="3"/>
        <v>1854</v>
      </c>
    </row>
    <row r="50">
      <c r="A50" s="176" t="s">
        <v>16</v>
      </c>
      <c r="B50" s="177">
        <v>4320.0</v>
      </c>
      <c r="C50" s="176" t="s">
        <v>17</v>
      </c>
      <c r="D50" s="178" t="s">
        <v>343</v>
      </c>
      <c r="E50" s="179" t="s">
        <v>343</v>
      </c>
      <c r="F50" s="180" t="s">
        <v>344</v>
      </c>
      <c r="G50" s="181" t="s">
        <v>345</v>
      </c>
      <c r="H50" s="182"/>
      <c r="I50" s="183">
        <v>36821.0</v>
      </c>
      <c r="J50" s="183">
        <v>45362.0</v>
      </c>
      <c r="K50" s="182"/>
      <c r="L50" s="225">
        <v>30.0</v>
      </c>
      <c r="M50" s="185">
        <v>45597.0</v>
      </c>
      <c r="N50" s="185">
        <v>45626.0</v>
      </c>
      <c r="O50" s="186">
        <f t="shared" si="1"/>
        <v>370</v>
      </c>
      <c r="P50" s="186">
        <f t="shared" si="2"/>
        <v>1850</v>
      </c>
      <c r="Q50" s="186">
        <f t="shared" si="3"/>
        <v>2220</v>
      </c>
    </row>
    <row r="51">
      <c r="A51" s="178" t="s">
        <v>16</v>
      </c>
      <c r="B51" s="180">
        <v>4320.0</v>
      </c>
      <c r="C51" s="178" t="s">
        <v>17</v>
      </c>
      <c r="D51" s="209" t="s">
        <v>429</v>
      </c>
      <c r="E51" s="179" t="s">
        <v>429</v>
      </c>
      <c r="F51" s="191"/>
      <c r="G51" s="196" t="s">
        <v>430</v>
      </c>
      <c r="H51" s="191"/>
      <c r="I51" s="197">
        <v>37257.0</v>
      </c>
      <c r="J51" s="197">
        <v>45481.0</v>
      </c>
      <c r="K51" s="191"/>
      <c r="L51" s="225">
        <v>30.0</v>
      </c>
      <c r="M51" s="185">
        <v>45597.0</v>
      </c>
      <c r="N51" s="185">
        <v>45626.0</v>
      </c>
      <c r="O51" s="186">
        <f t="shared" si="1"/>
        <v>370</v>
      </c>
      <c r="P51" s="186">
        <f t="shared" si="2"/>
        <v>1850</v>
      </c>
      <c r="Q51" s="186">
        <f t="shared" si="3"/>
        <v>2220</v>
      </c>
    </row>
    <row r="52">
      <c r="A52" s="178" t="s">
        <v>16</v>
      </c>
      <c r="B52" s="180">
        <v>4320.0</v>
      </c>
      <c r="C52" s="178" t="s">
        <v>17</v>
      </c>
      <c r="D52" s="209" t="s">
        <v>489</v>
      </c>
      <c r="E52" s="230" t="s">
        <v>489</v>
      </c>
      <c r="F52" s="191"/>
      <c r="G52" s="193" t="s">
        <v>490</v>
      </c>
      <c r="H52" s="191"/>
      <c r="I52" s="197">
        <v>37105.0</v>
      </c>
      <c r="J52" s="153">
        <v>45602.0</v>
      </c>
      <c r="K52" s="191"/>
      <c r="L52" s="225">
        <v>25.0</v>
      </c>
      <c r="M52" s="185">
        <v>45597.0</v>
      </c>
      <c r="N52" s="185">
        <v>45626.0</v>
      </c>
      <c r="O52" s="186">
        <f t="shared" si="1"/>
        <v>309</v>
      </c>
      <c r="P52" s="186">
        <f t="shared" si="2"/>
        <v>1545</v>
      </c>
      <c r="Q52" s="186">
        <f t="shared" si="3"/>
        <v>1854</v>
      </c>
    </row>
    <row r="53">
      <c r="A53" s="178" t="s">
        <v>16</v>
      </c>
      <c r="B53" s="180">
        <v>4320.0</v>
      </c>
      <c r="C53" s="178" t="s">
        <v>17</v>
      </c>
      <c r="D53" s="195" t="s">
        <v>416</v>
      </c>
      <c r="E53" s="179" t="s">
        <v>416</v>
      </c>
      <c r="F53" s="191"/>
      <c r="G53" s="210" t="s">
        <v>417</v>
      </c>
      <c r="H53" s="191"/>
      <c r="I53" s="197">
        <v>36346.0</v>
      </c>
      <c r="J53" s="197">
        <v>45453.0</v>
      </c>
      <c r="K53" s="191"/>
      <c r="L53" s="225">
        <v>30.0</v>
      </c>
      <c r="M53" s="185">
        <v>45597.0</v>
      </c>
      <c r="N53" s="185">
        <v>45626.0</v>
      </c>
      <c r="O53" s="186">
        <f t="shared" si="1"/>
        <v>370</v>
      </c>
      <c r="P53" s="186">
        <f t="shared" si="2"/>
        <v>1850</v>
      </c>
      <c r="Q53" s="186">
        <f t="shared" si="3"/>
        <v>2220</v>
      </c>
    </row>
    <row r="54">
      <c r="A54" s="178" t="s">
        <v>16</v>
      </c>
      <c r="B54" s="180">
        <v>4320.0</v>
      </c>
      <c r="C54" s="178" t="s">
        <v>17</v>
      </c>
      <c r="D54" s="193" t="s">
        <v>132</v>
      </c>
      <c r="E54" s="194" t="s">
        <v>132</v>
      </c>
      <c r="F54" s="191"/>
      <c r="G54" s="196" t="s">
        <v>418</v>
      </c>
      <c r="H54" s="191"/>
      <c r="I54" s="197">
        <v>37494.0</v>
      </c>
      <c r="J54" s="197">
        <v>45467.0</v>
      </c>
      <c r="K54" s="191"/>
      <c r="L54" s="225">
        <v>30.0</v>
      </c>
      <c r="M54" s="185">
        <v>45597.0</v>
      </c>
      <c r="N54" s="185">
        <v>45626.0</v>
      </c>
      <c r="O54" s="186">
        <f t="shared" si="1"/>
        <v>370</v>
      </c>
      <c r="P54" s="186">
        <f t="shared" si="2"/>
        <v>1850</v>
      </c>
      <c r="Q54" s="186">
        <f t="shared" si="3"/>
        <v>2220</v>
      </c>
    </row>
    <row r="55">
      <c r="A55" s="178" t="s">
        <v>16</v>
      </c>
      <c r="B55" s="180">
        <v>4320.0</v>
      </c>
      <c r="C55" s="178" t="s">
        <v>17</v>
      </c>
      <c r="D55" s="193" t="s">
        <v>491</v>
      </c>
      <c r="E55" s="229" t="s">
        <v>491</v>
      </c>
      <c r="F55" s="191"/>
      <c r="G55" s="193" t="s">
        <v>492</v>
      </c>
      <c r="H55" s="191"/>
      <c r="I55" s="197">
        <v>36849.0</v>
      </c>
      <c r="J55" s="153">
        <v>45602.0</v>
      </c>
      <c r="K55" s="191"/>
      <c r="L55" s="225">
        <v>25.0</v>
      </c>
      <c r="M55" s="185">
        <v>45597.0</v>
      </c>
      <c r="N55" s="185">
        <v>45626.0</v>
      </c>
      <c r="O55" s="186">
        <f t="shared" si="1"/>
        <v>309</v>
      </c>
      <c r="P55" s="186">
        <f t="shared" si="2"/>
        <v>1545</v>
      </c>
      <c r="Q55" s="186">
        <f t="shared" si="3"/>
        <v>1854</v>
      </c>
    </row>
    <row r="56">
      <c r="A56" s="178" t="s">
        <v>16</v>
      </c>
      <c r="B56" s="180">
        <v>4320.0</v>
      </c>
      <c r="C56" s="178" t="s">
        <v>17</v>
      </c>
      <c r="D56" s="195" t="s">
        <v>373</v>
      </c>
      <c r="E56" s="179" t="s">
        <v>459</v>
      </c>
      <c r="F56" s="177" t="s">
        <v>374</v>
      </c>
      <c r="G56" s="212" t="s">
        <v>375</v>
      </c>
      <c r="H56" s="191"/>
      <c r="I56" s="192">
        <v>37085.0</v>
      </c>
      <c r="J56" s="192">
        <v>45400.0</v>
      </c>
      <c r="K56" s="191"/>
      <c r="L56" s="222">
        <v>30.0</v>
      </c>
      <c r="M56" s="185">
        <v>45597.0</v>
      </c>
      <c r="N56" s="185">
        <v>45626.0</v>
      </c>
      <c r="O56" s="186">
        <f t="shared" si="1"/>
        <v>370</v>
      </c>
      <c r="P56" s="186">
        <f t="shared" si="2"/>
        <v>1850</v>
      </c>
      <c r="Q56" s="186">
        <f t="shared" si="3"/>
        <v>2220</v>
      </c>
    </row>
    <row r="57">
      <c r="A57" s="176" t="s">
        <v>16</v>
      </c>
      <c r="B57" s="177">
        <v>4320.0</v>
      </c>
      <c r="C57" s="176" t="s">
        <v>17</v>
      </c>
      <c r="D57" s="178" t="s">
        <v>349</v>
      </c>
      <c r="E57" s="179" t="s">
        <v>349</v>
      </c>
      <c r="F57" s="180" t="s">
        <v>350</v>
      </c>
      <c r="G57" s="181" t="s">
        <v>351</v>
      </c>
      <c r="H57" s="182"/>
      <c r="I57" s="183">
        <v>37647.0</v>
      </c>
      <c r="J57" s="183">
        <v>45355.0</v>
      </c>
      <c r="K57" s="182"/>
      <c r="L57" s="222">
        <v>30.0</v>
      </c>
      <c r="M57" s="185">
        <v>45597.0</v>
      </c>
      <c r="N57" s="185">
        <v>45626.0</v>
      </c>
      <c r="O57" s="186">
        <f t="shared" si="1"/>
        <v>370</v>
      </c>
      <c r="P57" s="186">
        <f t="shared" si="2"/>
        <v>1850</v>
      </c>
      <c r="Q57" s="186">
        <f t="shared" si="3"/>
        <v>2220</v>
      </c>
    </row>
    <row r="58">
      <c r="A58" s="178" t="s">
        <v>16</v>
      </c>
      <c r="B58" s="180">
        <v>4320.0</v>
      </c>
      <c r="C58" s="178" t="s">
        <v>17</v>
      </c>
      <c r="D58" s="176" t="s">
        <v>352</v>
      </c>
      <c r="E58" s="179" t="s">
        <v>352</v>
      </c>
      <c r="F58" s="177" t="s">
        <v>353</v>
      </c>
      <c r="G58" s="190" t="s">
        <v>354</v>
      </c>
      <c r="H58" s="191"/>
      <c r="I58" s="192">
        <v>36412.0</v>
      </c>
      <c r="J58" s="192">
        <v>45355.0</v>
      </c>
      <c r="K58" s="191"/>
      <c r="L58" s="222">
        <v>30.0</v>
      </c>
      <c r="M58" s="185">
        <v>45597.0</v>
      </c>
      <c r="N58" s="185">
        <v>45626.0</v>
      </c>
      <c r="O58" s="186">
        <f t="shared" si="1"/>
        <v>370</v>
      </c>
      <c r="P58" s="186">
        <f t="shared" si="2"/>
        <v>1850</v>
      </c>
      <c r="Q58" s="186">
        <f t="shared" si="3"/>
        <v>2220</v>
      </c>
    </row>
    <row r="59">
      <c r="A59" s="178" t="s">
        <v>16</v>
      </c>
      <c r="B59" s="180">
        <v>4320.0</v>
      </c>
      <c r="C59" s="178" t="s">
        <v>17</v>
      </c>
      <c r="D59" s="193" t="s">
        <v>419</v>
      </c>
      <c r="E59" s="179" t="s">
        <v>419</v>
      </c>
      <c r="F59" s="191"/>
      <c r="G59" s="196" t="s">
        <v>420</v>
      </c>
      <c r="H59" s="191"/>
      <c r="I59" s="197">
        <v>36907.0</v>
      </c>
      <c r="J59" s="197">
        <v>45446.0</v>
      </c>
      <c r="K59" s="191"/>
      <c r="L59" s="222">
        <v>30.0</v>
      </c>
      <c r="M59" s="185">
        <v>45597.0</v>
      </c>
      <c r="N59" s="185">
        <v>45626.0</v>
      </c>
      <c r="O59" s="186">
        <f t="shared" si="1"/>
        <v>370</v>
      </c>
      <c r="P59" s="186">
        <f t="shared" si="2"/>
        <v>1850</v>
      </c>
      <c r="Q59" s="186">
        <f t="shared" si="3"/>
        <v>2220</v>
      </c>
    </row>
    <row r="60">
      <c r="A60" s="178" t="s">
        <v>16</v>
      </c>
      <c r="B60" s="180">
        <v>4320.0</v>
      </c>
      <c r="C60" s="178" t="s">
        <v>17</v>
      </c>
      <c r="D60" s="176" t="s">
        <v>273</v>
      </c>
      <c r="E60" s="179" t="s">
        <v>273</v>
      </c>
      <c r="F60" s="177" t="s">
        <v>274</v>
      </c>
      <c r="G60" s="190" t="s">
        <v>275</v>
      </c>
      <c r="H60" s="191"/>
      <c r="I60" s="192">
        <v>34522.0</v>
      </c>
      <c r="J60" s="192">
        <v>45292.0</v>
      </c>
      <c r="K60" s="191"/>
      <c r="L60" s="222">
        <v>30.0</v>
      </c>
      <c r="M60" s="185">
        <v>45597.0</v>
      </c>
      <c r="N60" s="185">
        <v>45626.0</v>
      </c>
      <c r="O60" s="186">
        <f t="shared" si="1"/>
        <v>370</v>
      </c>
      <c r="P60" s="186">
        <f t="shared" si="2"/>
        <v>1850</v>
      </c>
      <c r="Q60" s="186">
        <f t="shared" si="3"/>
        <v>2220</v>
      </c>
    </row>
    <row r="61">
      <c r="A61" s="178" t="s">
        <v>16</v>
      </c>
      <c r="B61" s="180">
        <v>4320.0</v>
      </c>
      <c r="C61" s="178" t="s">
        <v>17</v>
      </c>
      <c r="D61" s="149" t="s">
        <v>470</v>
      </c>
      <c r="E61" s="179" t="s">
        <v>470</v>
      </c>
      <c r="F61" s="205"/>
      <c r="G61" s="149" t="s">
        <v>472</v>
      </c>
      <c r="H61" s="191"/>
      <c r="I61" s="192">
        <v>37278.0</v>
      </c>
      <c r="J61" s="192">
        <v>45544.0</v>
      </c>
      <c r="K61" s="191"/>
      <c r="L61" s="222">
        <v>30.0</v>
      </c>
      <c r="M61" s="185">
        <v>45597.0</v>
      </c>
      <c r="N61" s="185">
        <v>45626.0</v>
      </c>
      <c r="O61" s="186">
        <f t="shared" si="1"/>
        <v>370</v>
      </c>
      <c r="P61" s="186">
        <f t="shared" si="2"/>
        <v>1850</v>
      </c>
      <c r="Q61" s="186">
        <f t="shared" si="3"/>
        <v>2220</v>
      </c>
    </row>
    <row r="62">
      <c r="A62" s="176" t="s">
        <v>16</v>
      </c>
      <c r="B62" s="177">
        <v>4320.0</v>
      </c>
      <c r="C62" s="176" t="s">
        <v>17</v>
      </c>
      <c r="D62" s="178" t="s">
        <v>162</v>
      </c>
      <c r="E62" s="179" t="s">
        <v>162</v>
      </c>
      <c r="F62" s="180" t="s">
        <v>163</v>
      </c>
      <c r="G62" s="181" t="s">
        <v>164</v>
      </c>
      <c r="H62" s="182"/>
      <c r="I62" s="183">
        <v>34732.0</v>
      </c>
      <c r="J62" s="183">
        <v>44986.0</v>
      </c>
      <c r="K62" s="182"/>
      <c r="L62" s="222">
        <v>30.0</v>
      </c>
      <c r="M62" s="185">
        <v>45597.0</v>
      </c>
      <c r="N62" s="185">
        <v>45626.0</v>
      </c>
      <c r="O62" s="186">
        <f t="shared" si="1"/>
        <v>370</v>
      </c>
      <c r="P62" s="186">
        <f t="shared" si="2"/>
        <v>1850</v>
      </c>
      <c r="Q62" s="186">
        <f t="shared" si="3"/>
        <v>2220</v>
      </c>
    </row>
    <row r="63">
      <c r="A63" s="178" t="s">
        <v>16</v>
      </c>
      <c r="B63" s="180">
        <v>4320.0</v>
      </c>
      <c r="C63" s="178" t="s">
        <v>17</v>
      </c>
      <c r="D63" s="176" t="s">
        <v>355</v>
      </c>
      <c r="E63" s="179" t="s">
        <v>355</v>
      </c>
      <c r="F63" s="177" t="s">
        <v>356</v>
      </c>
      <c r="G63" s="190" t="s">
        <v>357</v>
      </c>
      <c r="H63" s="191"/>
      <c r="I63" s="192">
        <v>35395.0</v>
      </c>
      <c r="J63" s="192">
        <v>45376.0</v>
      </c>
      <c r="K63" s="191"/>
      <c r="L63" s="222">
        <v>30.0</v>
      </c>
      <c r="M63" s="185">
        <v>45597.0</v>
      </c>
      <c r="N63" s="185">
        <v>45626.0</v>
      </c>
      <c r="O63" s="186">
        <f t="shared" si="1"/>
        <v>370</v>
      </c>
      <c r="P63" s="186">
        <f t="shared" si="2"/>
        <v>1850</v>
      </c>
      <c r="Q63" s="186">
        <f t="shared" si="3"/>
        <v>2220</v>
      </c>
    </row>
    <row r="64">
      <c r="A64" s="178" t="s">
        <v>16</v>
      </c>
      <c r="B64" s="180">
        <v>4320.0</v>
      </c>
      <c r="C64" s="178" t="s">
        <v>17</v>
      </c>
      <c r="D64" s="209" t="s">
        <v>431</v>
      </c>
      <c r="E64" s="179" t="s">
        <v>431</v>
      </c>
      <c r="F64" s="191"/>
      <c r="G64" s="215" t="s">
        <v>378</v>
      </c>
      <c r="H64" s="191"/>
      <c r="I64" s="216">
        <v>36289.0</v>
      </c>
      <c r="J64" s="217">
        <v>45476.0</v>
      </c>
      <c r="K64" s="191"/>
      <c r="L64" s="222">
        <v>30.0</v>
      </c>
      <c r="M64" s="185">
        <v>45597.0</v>
      </c>
      <c r="N64" s="185">
        <v>45626.0</v>
      </c>
      <c r="O64" s="186">
        <f t="shared" si="1"/>
        <v>370</v>
      </c>
      <c r="P64" s="186">
        <f t="shared" si="2"/>
        <v>1850</v>
      </c>
      <c r="Q64" s="186">
        <f t="shared" si="3"/>
        <v>2220</v>
      </c>
    </row>
    <row r="65">
      <c r="A65" s="178" t="s">
        <v>16</v>
      </c>
      <c r="B65" s="180">
        <v>4320.0</v>
      </c>
      <c r="C65" s="178" t="s">
        <v>17</v>
      </c>
      <c r="D65" s="176" t="s">
        <v>183</v>
      </c>
      <c r="E65" s="179" t="s">
        <v>183</v>
      </c>
      <c r="F65" s="177" t="s">
        <v>184</v>
      </c>
      <c r="G65" s="190" t="s">
        <v>185</v>
      </c>
      <c r="H65" s="191"/>
      <c r="I65" s="192">
        <v>36979.0</v>
      </c>
      <c r="J65" s="192">
        <v>44907.0</v>
      </c>
      <c r="K65" s="191"/>
      <c r="L65" s="222">
        <v>30.0</v>
      </c>
      <c r="M65" s="185">
        <v>45597.0</v>
      </c>
      <c r="N65" s="185">
        <v>45626.0</v>
      </c>
      <c r="O65" s="186">
        <f t="shared" si="1"/>
        <v>370</v>
      </c>
      <c r="P65" s="186">
        <f t="shared" si="2"/>
        <v>1850</v>
      </c>
      <c r="Q65" s="186">
        <f t="shared" si="3"/>
        <v>2220</v>
      </c>
    </row>
    <row r="66">
      <c r="A66" s="176" t="s">
        <v>16</v>
      </c>
      <c r="B66" s="177">
        <v>4320.0</v>
      </c>
      <c r="C66" s="176" t="s">
        <v>17</v>
      </c>
      <c r="D66" s="178" t="s">
        <v>301</v>
      </c>
      <c r="E66" s="179" t="s">
        <v>301</v>
      </c>
      <c r="F66" s="180" t="s">
        <v>302</v>
      </c>
      <c r="G66" s="181" t="s">
        <v>303</v>
      </c>
      <c r="H66" s="182"/>
      <c r="I66" s="183">
        <v>36991.0</v>
      </c>
      <c r="J66" s="183">
        <v>45205.0</v>
      </c>
      <c r="K66" s="182"/>
      <c r="L66" s="222">
        <v>30.0</v>
      </c>
      <c r="M66" s="185">
        <v>45597.0</v>
      </c>
      <c r="N66" s="185">
        <v>45626.0</v>
      </c>
      <c r="O66" s="186">
        <f t="shared" si="1"/>
        <v>370</v>
      </c>
      <c r="P66" s="186">
        <f t="shared" si="2"/>
        <v>1850</v>
      </c>
      <c r="Q66" s="186">
        <f t="shared" si="3"/>
        <v>2220</v>
      </c>
    </row>
    <row r="67">
      <c r="A67" s="178" t="s">
        <v>16</v>
      </c>
      <c r="B67" s="180">
        <v>4320.0</v>
      </c>
      <c r="C67" s="178" t="s">
        <v>17</v>
      </c>
      <c r="D67" s="209" t="s">
        <v>432</v>
      </c>
      <c r="E67" s="194" t="s">
        <v>432</v>
      </c>
      <c r="F67" s="191"/>
      <c r="G67" s="196" t="s">
        <v>433</v>
      </c>
      <c r="H67" s="191"/>
      <c r="I67" s="197">
        <v>34504.0</v>
      </c>
      <c r="J67" s="197">
        <v>45481.0</v>
      </c>
      <c r="K67" s="191"/>
      <c r="L67" s="222">
        <v>30.0</v>
      </c>
      <c r="M67" s="185">
        <v>45597.0</v>
      </c>
      <c r="N67" s="185">
        <v>45626.0</v>
      </c>
      <c r="O67" s="186">
        <f t="shared" si="1"/>
        <v>370</v>
      </c>
      <c r="P67" s="186">
        <f t="shared" si="2"/>
        <v>1850</v>
      </c>
      <c r="Q67" s="186">
        <f t="shared" si="3"/>
        <v>2220</v>
      </c>
    </row>
    <row r="68">
      <c r="A68" s="178" t="s">
        <v>16</v>
      </c>
      <c r="B68" s="180">
        <v>4320.0</v>
      </c>
      <c r="C68" s="178" t="s">
        <v>17</v>
      </c>
      <c r="D68" s="209" t="s">
        <v>434</v>
      </c>
      <c r="E68" s="179" t="s">
        <v>434</v>
      </c>
      <c r="F68" s="191"/>
      <c r="G68" s="218" t="s">
        <v>435</v>
      </c>
      <c r="H68" s="191"/>
      <c r="I68" s="185">
        <v>37446.0</v>
      </c>
      <c r="J68" s="197">
        <v>45495.0</v>
      </c>
      <c r="K68" s="191"/>
      <c r="L68" s="222">
        <v>30.0</v>
      </c>
      <c r="M68" s="185">
        <v>45597.0</v>
      </c>
      <c r="N68" s="185">
        <v>45626.0</v>
      </c>
      <c r="O68" s="186">
        <f t="shared" si="1"/>
        <v>370</v>
      </c>
      <c r="P68" s="186">
        <f t="shared" si="2"/>
        <v>1850</v>
      </c>
      <c r="Q68" s="186">
        <f t="shared" si="3"/>
        <v>2220</v>
      </c>
    </row>
    <row r="69">
      <c r="A69" s="178" t="s">
        <v>16</v>
      </c>
      <c r="B69" s="180">
        <v>4320.0</v>
      </c>
      <c r="C69" s="178" t="s">
        <v>17</v>
      </c>
      <c r="D69" s="195" t="s">
        <v>401</v>
      </c>
      <c r="E69" s="179" t="s">
        <v>401</v>
      </c>
      <c r="F69" s="180" t="s">
        <v>402</v>
      </c>
      <c r="G69" s="181" t="s">
        <v>403</v>
      </c>
      <c r="H69" s="182"/>
      <c r="I69" s="183">
        <v>36433.0</v>
      </c>
      <c r="J69" s="201">
        <v>45432.0</v>
      </c>
      <c r="K69" s="182"/>
      <c r="L69" s="222">
        <v>30.0</v>
      </c>
      <c r="M69" s="185">
        <v>45597.0</v>
      </c>
      <c r="N69" s="185">
        <v>45626.0</v>
      </c>
      <c r="O69" s="186">
        <f t="shared" si="1"/>
        <v>370</v>
      </c>
      <c r="P69" s="186">
        <f t="shared" si="2"/>
        <v>1850</v>
      </c>
      <c r="Q69" s="186">
        <f t="shared" si="3"/>
        <v>2220</v>
      </c>
    </row>
    <row r="70">
      <c r="A70" s="178" t="s">
        <v>16</v>
      </c>
      <c r="B70" s="180">
        <v>4320.0</v>
      </c>
      <c r="C70" s="178" t="s">
        <v>17</v>
      </c>
      <c r="D70" s="149" t="s">
        <v>460</v>
      </c>
      <c r="E70" s="179" t="s">
        <v>460</v>
      </c>
      <c r="F70" s="203"/>
      <c r="G70" s="149" t="s">
        <v>461</v>
      </c>
      <c r="H70" s="182"/>
      <c r="I70" s="183">
        <v>36856.0</v>
      </c>
      <c r="J70" s="183">
        <v>45505.0</v>
      </c>
      <c r="K70" s="182"/>
      <c r="L70" s="222">
        <v>30.0</v>
      </c>
      <c r="M70" s="185">
        <v>45597.0</v>
      </c>
      <c r="N70" s="185">
        <v>45626.0</v>
      </c>
      <c r="O70" s="186">
        <f t="shared" si="1"/>
        <v>370</v>
      </c>
      <c r="P70" s="186">
        <f t="shared" si="2"/>
        <v>1850</v>
      </c>
      <c r="Q70" s="186">
        <f t="shared" si="3"/>
        <v>2220</v>
      </c>
    </row>
    <row r="71">
      <c r="A71" s="178" t="s">
        <v>16</v>
      </c>
      <c r="B71" s="180">
        <v>4320.0</v>
      </c>
      <c r="C71" s="178" t="s">
        <v>17</v>
      </c>
      <c r="D71" s="149" t="s">
        <v>462</v>
      </c>
      <c r="E71" s="179" t="s">
        <v>462</v>
      </c>
      <c r="F71" s="203"/>
      <c r="G71" s="149" t="s">
        <v>463</v>
      </c>
      <c r="H71" s="182"/>
      <c r="I71" s="183">
        <v>34588.0</v>
      </c>
      <c r="J71" s="183">
        <v>45530.0</v>
      </c>
      <c r="K71" s="182"/>
      <c r="L71" s="222">
        <v>30.0</v>
      </c>
      <c r="M71" s="185">
        <v>45597.0</v>
      </c>
      <c r="N71" s="185">
        <v>45626.0</v>
      </c>
      <c r="O71" s="186">
        <f t="shared" si="1"/>
        <v>370</v>
      </c>
      <c r="P71" s="186">
        <f t="shared" si="2"/>
        <v>1850</v>
      </c>
      <c r="Q71" s="186">
        <f t="shared" si="3"/>
        <v>2220</v>
      </c>
    </row>
    <row r="72">
      <c r="A72" s="178" t="s">
        <v>16</v>
      </c>
      <c r="B72" s="180">
        <v>4320.0</v>
      </c>
      <c r="C72" s="178" t="s">
        <v>17</v>
      </c>
      <c r="D72" s="193" t="s">
        <v>423</v>
      </c>
      <c r="E72" s="194" t="s">
        <v>423</v>
      </c>
      <c r="F72" s="191"/>
      <c r="G72" s="196" t="s">
        <v>424</v>
      </c>
      <c r="H72" s="191"/>
      <c r="I72" s="197">
        <v>37818.0</v>
      </c>
      <c r="J72" s="197">
        <v>45467.0</v>
      </c>
      <c r="K72" s="191"/>
      <c r="L72" s="222">
        <v>30.0</v>
      </c>
      <c r="M72" s="185">
        <v>45597.0</v>
      </c>
      <c r="N72" s="185">
        <v>45626.0</v>
      </c>
      <c r="O72" s="186">
        <f t="shared" si="1"/>
        <v>370</v>
      </c>
      <c r="P72" s="186">
        <f t="shared" si="2"/>
        <v>1850</v>
      </c>
      <c r="Q72" s="186">
        <f t="shared" si="3"/>
        <v>2220</v>
      </c>
    </row>
    <row r="73">
      <c r="A73" s="178" t="s">
        <v>16</v>
      </c>
      <c r="B73" s="180">
        <v>4320.0</v>
      </c>
      <c r="C73" s="178" t="s">
        <v>17</v>
      </c>
      <c r="D73" s="176" t="s">
        <v>304</v>
      </c>
      <c r="E73" s="179" t="s">
        <v>304</v>
      </c>
      <c r="F73" s="177" t="s">
        <v>305</v>
      </c>
      <c r="G73" s="190" t="s">
        <v>306</v>
      </c>
      <c r="H73" s="191"/>
      <c r="I73" s="192">
        <v>35697.0</v>
      </c>
      <c r="J73" s="192">
        <v>45348.0</v>
      </c>
      <c r="K73" s="191"/>
      <c r="L73" s="222">
        <v>30.0</v>
      </c>
      <c r="M73" s="185">
        <v>45597.0</v>
      </c>
      <c r="N73" s="185">
        <v>45626.0</v>
      </c>
      <c r="O73" s="186">
        <f t="shared" si="1"/>
        <v>370</v>
      </c>
      <c r="P73" s="186">
        <f t="shared" si="2"/>
        <v>1850</v>
      </c>
      <c r="Q73" s="186">
        <f t="shared" si="3"/>
        <v>2220</v>
      </c>
    </row>
    <row r="74">
      <c r="A74" s="176" t="s">
        <v>16</v>
      </c>
      <c r="B74" s="177">
        <v>4320.0</v>
      </c>
      <c r="C74" s="176" t="s">
        <v>17</v>
      </c>
      <c r="D74" s="178" t="s">
        <v>213</v>
      </c>
      <c r="E74" s="179" t="s">
        <v>213</v>
      </c>
      <c r="F74" s="180" t="s">
        <v>214</v>
      </c>
      <c r="G74" s="181" t="s">
        <v>215</v>
      </c>
      <c r="H74" s="182"/>
      <c r="I74" s="183">
        <v>36797.0</v>
      </c>
      <c r="J74" s="219">
        <v>44886.0</v>
      </c>
      <c r="K74" s="220"/>
      <c r="L74" s="223">
        <v>30.0</v>
      </c>
      <c r="M74" s="185">
        <v>45597.0</v>
      </c>
      <c r="N74" s="185">
        <v>45626.0</v>
      </c>
      <c r="O74" s="186">
        <f t="shared" si="1"/>
        <v>370</v>
      </c>
      <c r="P74" s="186">
        <f t="shared" si="2"/>
        <v>1850</v>
      </c>
      <c r="Q74" s="186">
        <f t="shared" si="3"/>
        <v>2220</v>
      </c>
    </row>
    <row r="75">
      <c r="A75" s="178" t="s">
        <v>16</v>
      </c>
      <c r="B75" s="180">
        <v>4320.0</v>
      </c>
      <c r="C75" s="178" t="s">
        <v>17</v>
      </c>
      <c r="D75" s="193" t="s">
        <v>425</v>
      </c>
      <c r="E75" s="179" t="s">
        <v>478</v>
      </c>
      <c r="F75" s="191"/>
      <c r="G75" s="196" t="s">
        <v>426</v>
      </c>
      <c r="H75" s="191"/>
      <c r="I75" s="197">
        <v>36530.0</v>
      </c>
      <c r="J75" s="197">
        <v>45446.0</v>
      </c>
      <c r="K75" s="191"/>
      <c r="L75" s="222">
        <v>30.0</v>
      </c>
      <c r="M75" s="185">
        <v>45597.0</v>
      </c>
      <c r="N75" s="185">
        <v>45626.0</v>
      </c>
      <c r="O75" s="186">
        <f t="shared" si="1"/>
        <v>370</v>
      </c>
      <c r="P75" s="186">
        <f t="shared" si="2"/>
        <v>1850</v>
      </c>
      <c r="Q75" s="186">
        <f t="shared" si="3"/>
        <v>2220</v>
      </c>
    </row>
    <row r="76">
      <c r="A76" s="176" t="s">
        <v>16</v>
      </c>
      <c r="B76" s="177">
        <v>4320.0</v>
      </c>
      <c r="C76" s="176" t="s">
        <v>17</v>
      </c>
      <c r="D76" s="178" t="s">
        <v>442</v>
      </c>
      <c r="E76" s="232" t="s">
        <v>442</v>
      </c>
      <c r="F76" s="180" t="s">
        <v>217</v>
      </c>
      <c r="G76" s="181" t="s">
        <v>218</v>
      </c>
      <c r="H76" s="182"/>
      <c r="I76" s="183">
        <v>33769.0</v>
      </c>
      <c r="J76" s="183">
        <v>44816.0</v>
      </c>
      <c r="K76" s="182"/>
      <c r="L76" s="222">
        <v>30.0</v>
      </c>
      <c r="M76" s="185">
        <v>45597.0</v>
      </c>
      <c r="N76" s="185">
        <v>45626.0</v>
      </c>
      <c r="O76" s="186">
        <f t="shared" si="1"/>
        <v>370</v>
      </c>
      <c r="P76" s="186">
        <f t="shared" si="2"/>
        <v>1850</v>
      </c>
      <c r="Q76" s="186">
        <f t="shared" si="3"/>
        <v>2220</v>
      </c>
    </row>
    <row r="77">
      <c r="A77" s="178" t="s">
        <v>16</v>
      </c>
      <c r="B77" s="180">
        <v>4320.0</v>
      </c>
      <c r="C77" s="178" t="s">
        <v>17</v>
      </c>
      <c r="D77" s="193" t="s">
        <v>427</v>
      </c>
      <c r="E77" s="233" t="s">
        <v>427</v>
      </c>
      <c r="F77" s="191"/>
      <c r="G77" s="196" t="s">
        <v>428</v>
      </c>
      <c r="H77" s="191"/>
      <c r="I77" s="197">
        <v>36451.0</v>
      </c>
      <c r="J77" s="197">
        <v>45453.0</v>
      </c>
      <c r="K77" s="191"/>
      <c r="L77" s="222">
        <v>30.0</v>
      </c>
      <c r="M77" s="185">
        <v>45597.0</v>
      </c>
      <c r="N77" s="185">
        <v>45626.0</v>
      </c>
      <c r="O77" s="186">
        <f t="shared" si="1"/>
        <v>370</v>
      </c>
      <c r="P77" s="186">
        <f t="shared" si="2"/>
        <v>1850</v>
      </c>
      <c r="Q77" s="186">
        <f t="shared" si="3"/>
        <v>2220</v>
      </c>
    </row>
    <row r="78">
      <c r="A78" s="178" t="s">
        <v>16</v>
      </c>
      <c r="B78" s="180">
        <v>4320.0</v>
      </c>
      <c r="C78" s="178" t="s">
        <v>17</v>
      </c>
      <c r="D78" s="193" t="s">
        <v>493</v>
      </c>
      <c r="E78" s="234" t="s">
        <v>493</v>
      </c>
      <c r="F78" s="191"/>
      <c r="G78" s="193" t="s">
        <v>494</v>
      </c>
      <c r="H78" s="191"/>
      <c r="I78" s="197">
        <v>36208.0</v>
      </c>
      <c r="J78" s="153">
        <v>45602.0</v>
      </c>
      <c r="K78" s="191"/>
      <c r="L78" s="222">
        <v>25.0</v>
      </c>
      <c r="M78" s="185">
        <v>45597.0</v>
      </c>
      <c r="N78" s="185">
        <v>45626.0</v>
      </c>
      <c r="O78" s="186">
        <f t="shared" si="1"/>
        <v>309</v>
      </c>
      <c r="P78" s="186">
        <f t="shared" si="2"/>
        <v>1545</v>
      </c>
      <c r="Q78" s="186">
        <f t="shared" si="3"/>
        <v>1854</v>
      </c>
    </row>
    <row r="79">
      <c r="A79" s="178" t="s">
        <v>16</v>
      </c>
      <c r="B79" s="180">
        <v>4320.0</v>
      </c>
      <c r="C79" s="178" t="s">
        <v>17</v>
      </c>
      <c r="D79" s="176" t="s">
        <v>222</v>
      </c>
      <c r="E79" s="233" t="s">
        <v>222</v>
      </c>
      <c r="F79" s="177" t="s">
        <v>223</v>
      </c>
      <c r="G79" s="190" t="s">
        <v>224</v>
      </c>
      <c r="H79" s="191"/>
      <c r="I79" s="192">
        <v>35818.0</v>
      </c>
      <c r="J79" s="192">
        <v>45089.0</v>
      </c>
      <c r="K79" s="191"/>
      <c r="L79" s="222">
        <v>30.0</v>
      </c>
      <c r="M79" s="185">
        <v>45597.0</v>
      </c>
      <c r="N79" s="185">
        <v>45626.0</v>
      </c>
      <c r="O79" s="186">
        <f t="shared" si="1"/>
        <v>370</v>
      </c>
      <c r="P79" s="186">
        <f t="shared" si="2"/>
        <v>1850</v>
      </c>
      <c r="Q79" s="186">
        <f t="shared" si="3"/>
        <v>2220</v>
      </c>
    </row>
    <row r="80">
      <c r="A80" s="176" t="s">
        <v>16</v>
      </c>
      <c r="B80" s="177">
        <v>4320.0</v>
      </c>
      <c r="C80" s="176" t="s">
        <v>17</v>
      </c>
      <c r="D80" s="178" t="s">
        <v>225</v>
      </c>
      <c r="E80" s="233" t="s">
        <v>225</v>
      </c>
      <c r="F80" s="180" t="s">
        <v>226</v>
      </c>
      <c r="G80" s="181" t="s">
        <v>227</v>
      </c>
      <c r="H80" s="182"/>
      <c r="I80" s="183">
        <v>36177.0</v>
      </c>
      <c r="J80" s="183">
        <v>45320.0</v>
      </c>
      <c r="K80" s="182"/>
      <c r="L80" s="222">
        <v>30.0</v>
      </c>
      <c r="M80" s="185">
        <v>45597.0</v>
      </c>
      <c r="N80" s="185">
        <v>45626.0</v>
      </c>
      <c r="O80" s="186">
        <f t="shared" si="1"/>
        <v>370</v>
      </c>
      <c r="P80" s="186">
        <f t="shared" si="2"/>
        <v>1850</v>
      </c>
      <c r="Q80" s="186">
        <f t="shared" si="3"/>
        <v>2220</v>
      </c>
    </row>
    <row r="81">
      <c r="A81" s="176" t="s">
        <v>16</v>
      </c>
      <c r="B81" s="177">
        <v>4320.0</v>
      </c>
      <c r="C81" s="176" t="s">
        <v>17</v>
      </c>
      <c r="D81" s="149" t="s">
        <v>465</v>
      </c>
      <c r="E81" s="233" t="s">
        <v>465</v>
      </c>
      <c r="F81" s="203"/>
      <c r="G81" s="149" t="s">
        <v>466</v>
      </c>
      <c r="H81" s="182"/>
      <c r="I81" s="183">
        <v>36881.0</v>
      </c>
      <c r="J81" s="153">
        <v>45523.0</v>
      </c>
      <c r="K81" s="182"/>
      <c r="L81" s="222">
        <v>30.0</v>
      </c>
      <c r="M81" s="185">
        <v>45597.0</v>
      </c>
      <c r="N81" s="185">
        <v>45626.0</v>
      </c>
      <c r="O81" s="186">
        <f t="shared" si="1"/>
        <v>370</v>
      </c>
      <c r="P81" s="186">
        <f t="shared" si="2"/>
        <v>1850</v>
      </c>
      <c r="Q81" s="186">
        <f t="shared" si="3"/>
        <v>2220</v>
      </c>
    </row>
    <row r="82">
      <c r="A82" s="176" t="s">
        <v>16</v>
      </c>
      <c r="B82" s="177">
        <v>4320.0</v>
      </c>
      <c r="C82" s="176" t="s">
        <v>17</v>
      </c>
      <c r="D82" s="178" t="s">
        <v>228</v>
      </c>
      <c r="E82" s="235" t="s">
        <v>228</v>
      </c>
      <c r="F82" s="180" t="s">
        <v>229</v>
      </c>
      <c r="G82" s="181" t="s">
        <v>230</v>
      </c>
      <c r="H82" s="182"/>
      <c r="I82" s="183">
        <v>35743.0</v>
      </c>
      <c r="J82" s="183">
        <v>45222.0</v>
      </c>
      <c r="K82" s="183">
        <v>45611.0</v>
      </c>
      <c r="L82" s="222">
        <v>15.0</v>
      </c>
      <c r="M82" s="185">
        <v>45597.0</v>
      </c>
      <c r="N82" s="185">
        <v>45626.0</v>
      </c>
      <c r="O82" s="186">
        <f t="shared" si="1"/>
        <v>185</v>
      </c>
      <c r="P82" s="186">
        <f t="shared" si="2"/>
        <v>925</v>
      </c>
      <c r="Q82" s="186">
        <f t="shared" si="3"/>
        <v>1110</v>
      </c>
    </row>
    <row r="83">
      <c r="A83" s="176" t="s">
        <v>16</v>
      </c>
      <c r="B83" s="177">
        <v>4320.0</v>
      </c>
      <c r="C83" s="176" t="s">
        <v>17</v>
      </c>
      <c r="D83" s="149" t="s">
        <v>479</v>
      </c>
      <c r="E83" s="235" t="s">
        <v>479</v>
      </c>
      <c r="F83" s="227"/>
      <c r="G83" s="193" t="s">
        <v>480</v>
      </c>
      <c r="H83" s="227"/>
      <c r="I83" s="183">
        <v>36544.0</v>
      </c>
      <c r="J83" s="153">
        <v>45566.0</v>
      </c>
      <c r="K83" s="183">
        <v>45622.0</v>
      </c>
      <c r="L83" s="222">
        <v>26.0</v>
      </c>
      <c r="M83" s="185">
        <v>45597.0</v>
      </c>
      <c r="N83" s="185">
        <v>45626.0</v>
      </c>
      <c r="O83" s="186">
        <f t="shared" si="1"/>
        <v>321</v>
      </c>
      <c r="P83" s="186">
        <f t="shared" si="2"/>
        <v>1605</v>
      </c>
      <c r="Q83" s="186">
        <f t="shared" si="3"/>
        <v>1926</v>
      </c>
    </row>
    <row r="84">
      <c r="O84" s="228">
        <f t="shared" ref="O84:Q84" si="4">SUM(O2:O83)</f>
        <v>29125</v>
      </c>
      <c r="P84" s="228">
        <f t="shared" si="4"/>
        <v>145625</v>
      </c>
      <c r="Q84" s="228">
        <f t="shared" si="4"/>
        <v>174750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38"/>
    <col hidden="1" min="5" max="5" width="12.63"/>
  </cols>
  <sheetData>
    <row r="1">
      <c r="A1" s="236" t="s">
        <v>0</v>
      </c>
      <c r="B1" s="236" t="s">
        <v>1</v>
      </c>
      <c r="C1" s="236" t="s">
        <v>2</v>
      </c>
      <c r="D1" s="236" t="s">
        <v>3</v>
      </c>
      <c r="E1" s="237" t="s">
        <v>4</v>
      </c>
      <c r="F1" s="237" t="s">
        <v>5</v>
      </c>
      <c r="G1" s="237" t="s">
        <v>6</v>
      </c>
      <c r="H1" s="236" t="s">
        <v>7</v>
      </c>
      <c r="I1" s="238" t="s">
        <v>8</v>
      </c>
      <c r="J1" s="238" t="s">
        <v>9</v>
      </c>
      <c r="K1" s="238" t="s">
        <v>10</v>
      </c>
      <c r="L1" s="238" t="s">
        <v>11</v>
      </c>
      <c r="M1" s="238" t="s">
        <v>12</v>
      </c>
      <c r="N1" s="238" t="s">
        <v>379</v>
      </c>
      <c r="O1" s="238" t="s">
        <v>14</v>
      </c>
      <c r="P1" s="238" t="s">
        <v>15</v>
      </c>
      <c r="Q1" s="175"/>
    </row>
    <row r="2">
      <c r="A2" s="125" t="s">
        <v>16</v>
      </c>
      <c r="B2" s="126">
        <v>4320.0</v>
      </c>
      <c r="C2" s="125" t="s">
        <v>17</v>
      </c>
      <c r="D2" s="179" t="s">
        <v>436</v>
      </c>
      <c r="E2" s="149" t="s">
        <v>362</v>
      </c>
      <c r="F2" s="149" t="s">
        <v>363</v>
      </c>
      <c r="G2" s="239"/>
      <c r="H2" s="183">
        <v>37149.0</v>
      </c>
      <c r="I2" s="183">
        <v>45397.0</v>
      </c>
      <c r="J2" s="240"/>
      <c r="K2" s="149">
        <v>31.0</v>
      </c>
      <c r="L2" s="185">
        <v>45627.0</v>
      </c>
      <c r="M2" s="185">
        <v>45657.0</v>
      </c>
      <c r="N2" s="186">
        <f t="shared" ref="N2:N85" si="1">ROUNDUP(K2/31*370,0)</f>
        <v>370</v>
      </c>
      <c r="O2" s="186">
        <f t="shared" ref="O2:O85" si="2">N2*5</f>
        <v>1850</v>
      </c>
      <c r="P2" s="186">
        <f t="shared" ref="P2:P85" si="3">N2+O2</f>
        <v>2220</v>
      </c>
      <c r="Q2" s="186"/>
    </row>
    <row r="3">
      <c r="A3" s="127" t="s">
        <v>16</v>
      </c>
      <c r="B3" s="129">
        <v>4320.0</v>
      </c>
      <c r="C3" s="127" t="s">
        <v>17</v>
      </c>
      <c r="D3" s="179" t="s">
        <v>407</v>
      </c>
      <c r="E3" s="149" t="s">
        <v>97</v>
      </c>
      <c r="F3" s="149" t="s">
        <v>98</v>
      </c>
      <c r="G3" s="239"/>
      <c r="H3" s="183">
        <v>36690.0</v>
      </c>
      <c r="I3" s="183">
        <v>44938.0</v>
      </c>
      <c r="J3" s="240"/>
      <c r="K3" s="149">
        <v>31.0</v>
      </c>
      <c r="L3" s="185">
        <v>45627.0</v>
      </c>
      <c r="M3" s="185">
        <v>45657.0</v>
      </c>
      <c r="N3" s="186">
        <f t="shared" si="1"/>
        <v>370</v>
      </c>
      <c r="O3" s="186">
        <f t="shared" si="2"/>
        <v>1850</v>
      </c>
      <c r="P3" s="186">
        <f t="shared" si="3"/>
        <v>2220</v>
      </c>
      <c r="Q3" s="186"/>
    </row>
    <row r="4">
      <c r="A4" s="127" t="s">
        <v>16</v>
      </c>
      <c r="B4" s="129">
        <v>4320.0</v>
      </c>
      <c r="C4" s="127" t="s">
        <v>17</v>
      </c>
      <c r="D4" s="179" t="s">
        <v>408</v>
      </c>
      <c r="E4" s="149" t="s">
        <v>409</v>
      </c>
      <c r="F4" s="149" t="s">
        <v>410</v>
      </c>
      <c r="G4" s="239"/>
      <c r="H4" s="183">
        <v>37978.0</v>
      </c>
      <c r="I4" s="183">
        <v>45453.0</v>
      </c>
      <c r="J4" s="240"/>
      <c r="K4" s="149">
        <v>31.0</v>
      </c>
      <c r="L4" s="185">
        <v>45627.0</v>
      </c>
      <c r="M4" s="185">
        <v>45657.0</v>
      </c>
      <c r="N4" s="186">
        <f t="shared" si="1"/>
        <v>370</v>
      </c>
      <c r="O4" s="186">
        <f t="shared" si="2"/>
        <v>1850</v>
      </c>
      <c r="P4" s="186">
        <f t="shared" si="3"/>
        <v>2220</v>
      </c>
      <c r="Q4" s="186"/>
    </row>
    <row r="5">
      <c r="A5" s="127" t="s">
        <v>16</v>
      </c>
      <c r="B5" s="129">
        <v>4320.0</v>
      </c>
      <c r="C5" s="127" t="s">
        <v>17</v>
      </c>
      <c r="D5" s="194" t="s">
        <v>246</v>
      </c>
      <c r="E5" s="149" t="s">
        <v>31</v>
      </c>
      <c r="F5" s="149" t="s">
        <v>32</v>
      </c>
      <c r="G5" s="239"/>
      <c r="H5" s="183">
        <v>35997.0</v>
      </c>
      <c r="I5" s="183">
        <v>45061.0</v>
      </c>
      <c r="J5" s="240"/>
      <c r="K5" s="149">
        <v>31.0</v>
      </c>
      <c r="L5" s="185">
        <v>45627.0</v>
      </c>
      <c r="M5" s="185">
        <v>45657.0</v>
      </c>
      <c r="N5" s="186">
        <f t="shared" si="1"/>
        <v>370</v>
      </c>
      <c r="O5" s="186">
        <f t="shared" si="2"/>
        <v>1850</v>
      </c>
      <c r="P5" s="186">
        <f t="shared" si="3"/>
        <v>2220</v>
      </c>
      <c r="Q5" s="186"/>
    </row>
    <row r="6">
      <c r="A6" s="125" t="s">
        <v>16</v>
      </c>
      <c r="B6" s="126">
        <v>4320.0</v>
      </c>
      <c r="C6" s="125" t="s">
        <v>17</v>
      </c>
      <c r="D6" s="179" t="s">
        <v>316</v>
      </c>
      <c r="E6" s="149" t="s">
        <v>317</v>
      </c>
      <c r="F6" s="149" t="s">
        <v>318</v>
      </c>
      <c r="G6" s="239"/>
      <c r="H6" s="183">
        <v>37274.0</v>
      </c>
      <c r="I6" s="183">
        <v>45362.0</v>
      </c>
      <c r="J6" s="241"/>
      <c r="K6" s="149">
        <v>31.0</v>
      </c>
      <c r="L6" s="185">
        <v>45627.0</v>
      </c>
      <c r="M6" s="185">
        <v>45657.0</v>
      </c>
      <c r="N6" s="186">
        <f t="shared" si="1"/>
        <v>370</v>
      </c>
      <c r="O6" s="186">
        <f t="shared" si="2"/>
        <v>1850</v>
      </c>
      <c r="P6" s="186">
        <f t="shared" si="3"/>
        <v>2220</v>
      </c>
      <c r="Q6" s="186"/>
    </row>
    <row r="7">
      <c r="A7" s="125" t="s">
        <v>16</v>
      </c>
      <c r="B7" s="126">
        <v>4320.0</v>
      </c>
      <c r="C7" s="125" t="s">
        <v>17</v>
      </c>
      <c r="D7" s="179" t="s">
        <v>264</v>
      </c>
      <c r="E7" s="149" t="s">
        <v>265</v>
      </c>
      <c r="F7" s="149" t="s">
        <v>266</v>
      </c>
      <c r="G7" s="239"/>
      <c r="H7" s="201">
        <v>37398.0</v>
      </c>
      <c r="I7" s="183">
        <v>45096.0</v>
      </c>
      <c r="J7" s="240"/>
      <c r="K7" s="149">
        <v>31.0</v>
      </c>
      <c r="L7" s="185">
        <v>45627.0</v>
      </c>
      <c r="M7" s="185">
        <v>45657.0</v>
      </c>
      <c r="N7" s="186">
        <f t="shared" si="1"/>
        <v>370</v>
      </c>
      <c r="O7" s="186">
        <f t="shared" si="2"/>
        <v>1850</v>
      </c>
      <c r="P7" s="186">
        <f t="shared" si="3"/>
        <v>2220</v>
      </c>
      <c r="Q7" s="186"/>
    </row>
    <row r="8">
      <c r="A8" s="125" t="s">
        <v>16</v>
      </c>
      <c r="B8" s="126">
        <v>4320.0</v>
      </c>
      <c r="C8" s="125" t="s">
        <v>17</v>
      </c>
      <c r="D8" s="194" t="s">
        <v>411</v>
      </c>
      <c r="E8" s="149" t="s">
        <v>412</v>
      </c>
      <c r="F8" s="149" t="s">
        <v>413</v>
      </c>
      <c r="G8" s="239"/>
      <c r="H8" s="183">
        <v>33230.0</v>
      </c>
      <c r="I8" s="201">
        <v>45453.0</v>
      </c>
      <c r="J8" s="240"/>
      <c r="K8" s="149">
        <v>31.0</v>
      </c>
      <c r="L8" s="185">
        <v>45627.0</v>
      </c>
      <c r="M8" s="185">
        <v>45657.0</v>
      </c>
      <c r="N8" s="186">
        <f t="shared" si="1"/>
        <v>370</v>
      </c>
      <c r="O8" s="186">
        <f t="shared" si="2"/>
        <v>1850</v>
      </c>
      <c r="P8" s="186">
        <f t="shared" si="3"/>
        <v>2220</v>
      </c>
      <c r="Q8" s="186"/>
    </row>
    <row r="9">
      <c r="A9" s="127" t="s">
        <v>16</v>
      </c>
      <c r="B9" s="129">
        <v>4320.0</v>
      </c>
      <c r="C9" s="127" t="s">
        <v>17</v>
      </c>
      <c r="D9" s="179" t="s">
        <v>282</v>
      </c>
      <c r="E9" s="149" t="s">
        <v>283</v>
      </c>
      <c r="F9" s="149" t="s">
        <v>284</v>
      </c>
      <c r="G9" s="239"/>
      <c r="H9" s="183">
        <v>35047.0</v>
      </c>
      <c r="I9" s="183">
        <v>45257.0</v>
      </c>
      <c r="J9" s="240"/>
      <c r="K9" s="149">
        <v>31.0</v>
      </c>
      <c r="L9" s="185">
        <v>45627.0</v>
      </c>
      <c r="M9" s="185">
        <v>45657.0</v>
      </c>
      <c r="N9" s="186">
        <f t="shared" si="1"/>
        <v>370</v>
      </c>
      <c r="O9" s="186">
        <f t="shared" si="2"/>
        <v>1850</v>
      </c>
      <c r="P9" s="186">
        <f t="shared" si="3"/>
        <v>2220</v>
      </c>
      <c r="Q9" s="186"/>
    </row>
    <row r="10">
      <c r="A10" s="125" t="s">
        <v>16</v>
      </c>
      <c r="B10" s="126">
        <v>4320.0</v>
      </c>
      <c r="C10" s="125" t="s">
        <v>17</v>
      </c>
      <c r="D10" s="179" t="s">
        <v>45</v>
      </c>
      <c r="E10" s="149" t="s">
        <v>46</v>
      </c>
      <c r="F10" s="149" t="s">
        <v>47</v>
      </c>
      <c r="G10" s="239"/>
      <c r="H10" s="183">
        <v>37370.0</v>
      </c>
      <c r="I10" s="183">
        <v>44739.0</v>
      </c>
      <c r="J10" s="240"/>
      <c r="K10" s="149">
        <v>31.0</v>
      </c>
      <c r="L10" s="185">
        <v>45627.0</v>
      </c>
      <c r="M10" s="185">
        <v>45657.0</v>
      </c>
      <c r="N10" s="186">
        <f t="shared" si="1"/>
        <v>370</v>
      </c>
      <c r="O10" s="186">
        <f t="shared" si="2"/>
        <v>1850</v>
      </c>
      <c r="P10" s="186">
        <f t="shared" si="3"/>
        <v>2220</v>
      </c>
      <c r="Q10" s="186"/>
    </row>
    <row r="11">
      <c r="A11" s="125" t="s">
        <v>16</v>
      </c>
      <c r="B11" s="126">
        <v>4320.0</v>
      </c>
      <c r="C11" s="125" t="s">
        <v>17</v>
      </c>
      <c r="D11" s="179" t="s">
        <v>48</v>
      </c>
      <c r="E11" s="149" t="s">
        <v>49</v>
      </c>
      <c r="F11" s="149" t="s">
        <v>50</v>
      </c>
      <c r="G11" s="239"/>
      <c r="H11" s="183">
        <v>36399.0</v>
      </c>
      <c r="I11" s="183">
        <v>45229.0</v>
      </c>
      <c r="J11" s="240"/>
      <c r="K11" s="149">
        <v>31.0</v>
      </c>
      <c r="L11" s="185">
        <v>45627.0</v>
      </c>
      <c r="M11" s="185">
        <v>45657.0</v>
      </c>
      <c r="N11" s="186">
        <f t="shared" si="1"/>
        <v>370</v>
      </c>
      <c r="O11" s="186">
        <f t="shared" si="2"/>
        <v>1850</v>
      </c>
      <c r="P11" s="186">
        <f t="shared" si="3"/>
        <v>2220</v>
      </c>
      <c r="Q11" s="186"/>
    </row>
    <row r="12">
      <c r="A12" s="127" t="s">
        <v>16</v>
      </c>
      <c r="B12" s="129">
        <v>4320.0</v>
      </c>
      <c r="C12" s="127" t="s">
        <v>17</v>
      </c>
      <c r="D12" s="179" t="s">
        <v>444</v>
      </c>
      <c r="E12" s="149" t="s">
        <v>320</v>
      </c>
      <c r="F12" s="149" t="s">
        <v>321</v>
      </c>
      <c r="G12" s="239"/>
      <c r="H12" s="183">
        <v>36360.0</v>
      </c>
      <c r="I12" s="183">
        <v>45355.0</v>
      </c>
      <c r="J12" s="240"/>
      <c r="K12" s="149">
        <v>31.0</v>
      </c>
      <c r="L12" s="185">
        <v>45627.0</v>
      </c>
      <c r="M12" s="185">
        <v>45657.0</v>
      </c>
      <c r="N12" s="186">
        <f t="shared" si="1"/>
        <v>370</v>
      </c>
      <c r="O12" s="186">
        <f t="shared" si="2"/>
        <v>1850</v>
      </c>
      <c r="P12" s="186">
        <f t="shared" si="3"/>
        <v>2220</v>
      </c>
      <c r="Q12" s="186"/>
    </row>
    <row r="13">
      <c r="A13" s="127" t="s">
        <v>16</v>
      </c>
      <c r="B13" s="129">
        <v>4320.0</v>
      </c>
      <c r="C13" s="127" t="s">
        <v>17</v>
      </c>
      <c r="D13" s="179" t="s">
        <v>383</v>
      </c>
      <c r="E13" s="149" t="s">
        <v>384</v>
      </c>
      <c r="F13" s="149" t="s">
        <v>385</v>
      </c>
      <c r="G13" s="239"/>
      <c r="H13" s="183">
        <v>36183.0</v>
      </c>
      <c r="I13" s="183">
        <v>45418.0</v>
      </c>
      <c r="J13" s="240"/>
      <c r="K13" s="149">
        <v>31.0</v>
      </c>
      <c r="L13" s="185">
        <v>45627.0</v>
      </c>
      <c r="M13" s="185">
        <v>45657.0</v>
      </c>
      <c r="N13" s="186">
        <f t="shared" si="1"/>
        <v>370</v>
      </c>
      <c r="O13" s="186">
        <f t="shared" si="2"/>
        <v>1850</v>
      </c>
      <c r="P13" s="186">
        <f t="shared" si="3"/>
        <v>2220</v>
      </c>
      <c r="Q13" s="186"/>
    </row>
    <row r="14">
      <c r="A14" s="125" t="s">
        <v>16</v>
      </c>
      <c r="B14" s="126">
        <v>4320.0</v>
      </c>
      <c r="C14" s="125" t="s">
        <v>17</v>
      </c>
      <c r="D14" s="179" t="s">
        <v>285</v>
      </c>
      <c r="E14" s="149" t="s">
        <v>286</v>
      </c>
      <c r="F14" s="149" t="s">
        <v>287</v>
      </c>
      <c r="G14" s="239"/>
      <c r="H14" s="201">
        <v>37377.0</v>
      </c>
      <c r="I14" s="183">
        <v>45334.0</v>
      </c>
      <c r="J14" s="240"/>
      <c r="K14" s="149">
        <v>31.0</v>
      </c>
      <c r="L14" s="185">
        <v>45627.0</v>
      </c>
      <c r="M14" s="185">
        <v>45657.0</v>
      </c>
      <c r="N14" s="186">
        <f t="shared" si="1"/>
        <v>370</v>
      </c>
      <c r="O14" s="186">
        <f t="shared" si="2"/>
        <v>1850</v>
      </c>
      <c r="P14" s="186">
        <f t="shared" si="3"/>
        <v>2220</v>
      </c>
      <c r="Q14" s="186"/>
    </row>
    <row r="15">
      <c r="A15" s="125" t="s">
        <v>16</v>
      </c>
      <c r="B15" s="126">
        <v>4320.0</v>
      </c>
      <c r="C15" s="125" t="s">
        <v>17</v>
      </c>
      <c r="D15" s="179" t="s">
        <v>288</v>
      </c>
      <c r="E15" s="149" t="s">
        <v>289</v>
      </c>
      <c r="F15" s="149" t="s">
        <v>290</v>
      </c>
      <c r="G15" s="239"/>
      <c r="H15" s="183">
        <v>37047.0</v>
      </c>
      <c r="I15" s="183">
        <v>45257.0</v>
      </c>
      <c r="J15" s="241"/>
      <c r="K15" s="149">
        <v>31.0</v>
      </c>
      <c r="L15" s="185">
        <v>45627.0</v>
      </c>
      <c r="M15" s="185">
        <v>45657.0</v>
      </c>
      <c r="N15" s="186">
        <f t="shared" si="1"/>
        <v>370</v>
      </c>
      <c r="O15" s="186">
        <f t="shared" si="2"/>
        <v>1850</v>
      </c>
      <c r="P15" s="186">
        <f t="shared" si="3"/>
        <v>2220</v>
      </c>
      <c r="Q15" s="186"/>
    </row>
    <row r="16">
      <c r="A16" s="127" t="s">
        <v>16</v>
      </c>
      <c r="B16" s="129">
        <v>4320.0</v>
      </c>
      <c r="C16" s="127" t="s">
        <v>17</v>
      </c>
      <c r="D16" s="179" t="s">
        <v>51</v>
      </c>
      <c r="E16" s="149" t="s">
        <v>52</v>
      </c>
      <c r="F16" s="149" t="s">
        <v>53</v>
      </c>
      <c r="G16" s="239"/>
      <c r="H16" s="183">
        <v>34601.0</v>
      </c>
      <c r="I16" s="201">
        <v>44986.0</v>
      </c>
      <c r="J16" s="240"/>
      <c r="K16" s="149">
        <v>31.0</v>
      </c>
      <c r="L16" s="185">
        <v>45627.0</v>
      </c>
      <c r="M16" s="185">
        <v>45657.0</v>
      </c>
      <c r="N16" s="186">
        <f t="shared" si="1"/>
        <v>370</v>
      </c>
      <c r="O16" s="186">
        <f t="shared" si="2"/>
        <v>1850</v>
      </c>
      <c r="P16" s="186">
        <f t="shared" si="3"/>
        <v>2220</v>
      </c>
      <c r="Q16" s="186"/>
    </row>
    <row r="17">
      <c r="A17" s="125" t="s">
        <v>16</v>
      </c>
      <c r="B17" s="126">
        <v>4320.0</v>
      </c>
      <c r="C17" s="125" t="s">
        <v>17</v>
      </c>
      <c r="D17" s="179" t="s">
        <v>445</v>
      </c>
      <c r="E17" s="221">
        <v>0.0</v>
      </c>
      <c r="F17" s="149" t="s">
        <v>447</v>
      </c>
      <c r="G17" s="239"/>
      <c r="H17" s="183">
        <v>37047.0</v>
      </c>
      <c r="I17" s="183">
        <v>45505.0</v>
      </c>
      <c r="J17" s="240"/>
      <c r="K17" s="149">
        <v>31.0</v>
      </c>
      <c r="L17" s="185">
        <v>45627.0</v>
      </c>
      <c r="M17" s="185">
        <v>45657.0</v>
      </c>
      <c r="N17" s="186">
        <f t="shared" si="1"/>
        <v>370</v>
      </c>
      <c r="O17" s="186">
        <f t="shared" si="2"/>
        <v>1850</v>
      </c>
      <c r="P17" s="186">
        <f t="shared" si="3"/>
        <v>2220</v>
      </c>
      <c r="Q17" s="186"/>
    </row>
    <row r="18">
      <c r="A18" s="125" t="s">
        <v>16</v>
      </c>
      <c r="B18" s="126">
        <v>4320.0</v>
      </c>
      <c r="C18" s="125" t="s">
        <v>17</v>
      </c>
      <c r="D18" s="179" t="s">
        <v>467</v>
      </c>
      <c r="E18" s="221">
        <v>0.0</v>
      </c>
      <c r="F18" s="149" t="s">
        <v>450</v>
      </c>
      <c r="G18" s="239"/>
      <c r="H18" s="183">
        <v>36682.0</v>
      </c>
      <c r="I18" s="183">
        <v>45505.0</v>
      </c>
      <c r="J18" s="240"/>
      <c r="K18" s="149">
        <v>31.0</v>
      </c>
      <c r="L18" s="185">
        <v>45627.0</v>
      </c>
      <c r="M18" s="185">
        <v>45657.0</v>
      </c>
      <c r="N18" s="186">
        <f t="shared" si="1"/>
        <v>370</v>
      </c>
      <c r="O18" s="186">
        <f t="shared" si="2"/>
        <v>1850</v>
      </c>
      <c r="P18" s="186">
        <f t="shared" si="3"/>
        <v>2220</v>
      </c>
      <c r="Q18" s="186"/>
    </row>
    <row r="19">
      <c r="A19" s="125" t="s">
        <v>16</v>
      </c>
      <c r="B19" s="126">
        <v>4320.0</v>
      </c>
      <c r="C19" s="125" t="s">
        <v>17</v>
      </c>
      <c r="D19" s="202" t="s">
        <v>57</v>
      </c>
      <c r="E19" s="149" t="s">
        <v>58</v>
      </c>
      <c r="F19" s="149" t="s">
        <v>59</v>
      </c>
      <c r="G19" s="239"/>
      <c r="H19" s="183">
        <v>35704.0</v>
      </c>
      <c r="I19" s="183">
        <v>44760.0</v>
      </c>
      <c r="J19" s="183">
        <v>45632.0</v>
      </c>
      <c r="K19" s="149">
        <v>6.0</v>
      </c>
      <c r="L19" s="185">
        <v>45627.0</v>
      </c>
      <c r="M19" s="185">
        <v>45657.0</v>
      </c>
      <c r="N19" s="186">
        <f t="shared" si="1"/>
        <v>72</v>
      </c>
      <c r="O19" s="186">
        <f t="shared" si="2"/>
        <v>360</v>
      </c>
      <c r="P19" s="186">
        <f t="shared" si="3"/>
        <v>432</v>
      </c>
      <c r="Q19" s="186"/>
    </row>
    <row r="20">
      <c r="A20" s="125" t="s">
        <v>16</v>
      </c>
      <c r="B20" s="126">
        <v>4320.0</v>
      </c>
      <c r="C20" s="125" t="s">
        <v>17</v>
      </c>
      <c r="D20" s="179" t="s">
        <v>291</v>
      </c>
      <c r="E20" s="149" t="s">
        <v>292</v>
      </c>
      <c r="F20" s="149" t="s">
        <v>293</v>
      </c>
      <c r="G20" s="239"/>
      <c r="H20" s="183">
        <v>37219.0</v>
      </c>
      <c r="I20" s="183">
        <v>45257.0</v>
      </c>
      <c r="J20" s="240"/>
      <c r="K20" s="149">
        <v>31.0</v>
      </c>
      <c r="L20" s="185">
        <v>45627.0</v>
      </c>
      <c r="M20" s="185">
        <v>45657.0</v>
      </c>
      <c r="N20" s="186">
        <f t="shared" si="1"/>
        <v>370</v>
      </c>
      <c r="O20" s="186">
        <f t="shared" si="2"/>
        <v>1850</v>
      </c>
      <c r="P20" s="186">
        <f t="shared" si="3"/>
        <v>2220</v>
      </c>
      <c r="Q20" s="186"/>
    </row>
    <row r="21">
      <c r="A21" s="125" t="s">
        <v>16</v>
      </c>
      <c r="B21" s="126">
        <v>4320.0</v>
      </c>
      <c r="C21" s="125" t="s">
        <v>17</v>
      </c>
      <c r="D21" s="179" t="s">
        <v>60</v>
      </c>
      <c r="E21" s="149" t="s">
        <v>61</v>
      </c>
      <c r="F21" s="149" t="s">
        <v>62</v>
      </c>
      <c r="G21" s="239"/>
      <c r="H21" s="183">
        <v>36246.0</v>
      </c>
      <c r="I21" s="183">
        <v>44851.0</v>
      </c>
      <c r="J21" s="240"/>
      <c r="K21" s="149">
        <v>31.0</v>
      </c>
      <c r="L21" s="185">
        <v>45627.0</v>
      </c>
      <c r="M21" s="185">
        <v>45657.0</v>
      </c>
      <c r="N21" s="186">
        <f t="shared" si="1"/>
        <v>370</v>
      </c>
      <c r="O21" s="186">
        <f t="shared" si="2"/>
        <v>1850</v>
      </c>
      <c r="P21" s="186">
        <f t="shared" si="3"/>
        <v>2220</v>
      </c>
      <c r="Q21" s="186"/>
    </row>
    <row r="22">
      <c r="A22" s="127" t="s">
        <v>16</v>
      </c>
      <c r="B22" s="129">
        <v>4320.0</v>
      </c>
      <c r="C22" s="127" t="s">
        <v>17</v>
      </c>
      <c r="D22" s="194" t="s">
        <v>63</v>
      </c>
      <c r="E22" s="149" t="s">
        <v>64</v>
      </c>
      <c r="F22" s="149" t="s">
        <v>65</v>
      </c>
      <c r="G22" s="239"/>
      <c r="H22" s="183">
        <v>35606.0</v>
      </c>
      <c r="I22" s="183">
        <v>44896.0</v>
      </c>
      <c r="J22" s="240"/>
      <c r="K22" s="149">
        <v>31.0</v>
      </c>
      <c r="L22" s="185">
        <v>45627.0</v>
      </c>
      <c r="M22" s="185">
        <v>45657.0</v>
      </c>
      <c r="N22" s="186">
        <f t="shared" si="1"/>
        <v>370</v>
      </c>
      <c r="O22" s="186">
        <f t="shared" si="2"/>
        <v>1850</v>
      </c>
      <c r="P22" s="186">
        <f t="shared" si="3"/>
        <v>2220</v>
      </c>
      <c r="Q22" s="186"/>
    </row>
    <row r="23">
      <c r="A23" s="125" t="s">
        <v>16</v>
      </c>
      <c r="B23" s="126">
        <v>4320.0</v>
      </c>
      <c r="C23" s="125" t="s">
        <v>17</v>
      </c>
      <c r="D23" s="179" t="s">
        <v>267</v>
      </c>
      <c r="E23" s="149" t="s">
        <v>268</v>
      </c>
      <c r="F23" s="149" t="s">
        <v>269</v>
      </c>
      <c r="G23" s="239"/>
      <c r="H23" s="183">
        <v>34590.0</v>
      </c>
      <c r="I23" s="183">
        <v>45313.0</v>
      </c>
      <c r="J23" s="240"/>
      <c r="K23" s="149">
        <v>31.0</v>
      </c>
      <c r="L23" s="185">
        <v>45627.0</v>
      </c>
      <c r="M23" s="185">
        <v>45657.0</v>
      </c>
      <c r="N23" s="186">
        <f t="shared" si="1"/>
        <v>370</v>
      </c>
      <c r="O23" s="186">
        <f t="shared" si="2"/>
        <v>1850</v>
      </c>
      <c r="P23" s="186">
        <f t="shared" si="3"/>
        <v>2220</v>
      </c>
      <c r="Q23" s="186"/>
    </row>
    <row r="24">
      <c r="A24" s="127" t="s">
        <v>16</v>
      </c>
      <c r="B24" s="129">
        <v>4320.0</v>
      </c>
      <c r="C24" s="127" t="s">
        <v>17</v>
      </c>
      <c r="D24" s="179" t="s">
        <v>69</v>
      </c>
      <c r="E24" s="149" t="s">
        <v>70</v>
      </c>
      <c r="F24" s="149" t="s">
        <v>71</v>
      </c>
      <c r="G24" s="239"/>
      <c r="H24" s="183">
        <v>36891.0</v>
      </c>
      <c r="I24" s="183">
        <v>44739.0</v>
      </c>
      <c r="J24" s="240"/>
      <c r="K24" s="149">
        <v>31.0</v>
      </c>
      <c r="L24" s="185">
        <v>45627.0</v>
      </c>
      <c r="M24" s="185">
        <v>45657.0</v>
      </c>
      <c r="N24" s="186">
        <f t="shared" si="1"/>
        <v>370</v>
      </c>
      <c r="O24" s="186">
        <f t="shared" si="2"/>
        <v>1850</v>
      </c>
      <c r="P24" s="186">
        <f t="shared" si="3"/>
        <v>2220</v>
      </c>
      <c r="Q24" s="186"/>
    </row>
    <row r="25">
      <c r="A25" s="125" t="s">
        <v>16</v>
      </c>
      <c r="B25" s="126">
        <v>4320.0</v>
      </c>
      <c r="C25" s="125" t="s">
        <v>17</v>
      </c>
      <c r="D25" s="179" t="s">
        <v>78</v>
      </c>
      <c r="E25" s="149" t="s">
        <v>79</v>
      </c>
      <c r="F25" s="149" t="s">
        <v>80</v>
      </c>
      <c r="G25" s="239"/>
      <c r="H25" s="183">
        <v>36401.0</v>
      </c>
      <c r="I25" s="183">
        <v>45096.0</v>
      </c>
      <c r="J25" s="240"/>
      <c r="K25" s="149">
        <v>31.0</v>
      </c>
      <c r="L25" s="185">
        <v>45627.0</v>
      </c>
      <c r="M25" s="185">
        <v>45657.0</v>
      </c>
      <c r="N25" s="186">
        <f t="shared" si="1"/>
        <v>370</v>
      </c>
      <c r="O25" s="186">
        <f t="shared" si="2"/>
        <v>1850</v>
      </c>
      <c r="P25" s="186">
        <f t="shared" si="3"/>
        <v>2220</v>
      </c>
      <c r="Q25" s="186"/>
    </row>
    <row r="26">
      <c r="A26" s="125" t="s">
        <v>16</v>
      </c>
      <c r="B26" s="126">
        <v>4320.0</v>
      </c>
      <c r="C26" s="125" t="s">
        <v>17</v>
      </c>
      <c r="D26" s="179" t="s">
        <v>331</v>
      </c>
      <c r="E26" s="149" t="s">
        <v>332</v>
      </c>
      <c r="F26" s="149" t="s">
        <v>333</v>
      </c>
      <c r="G26" s="239"/>
      <c r="H26" s="183">
        <v>37958.0</v>
      </c>
      <c r="I26" s="183">
        <v>45369.0</v>
      </c>
      <c r="J26" s="240"/>
      <c r="K26" s="149">
        <v>31.0</v>
      </c>
      <c r="L26" s="185">
        <v>45627.0</v>
      </c>
      <c r="M26" s="185">
        <v>45657.0</v>
      </c>
      <c r="N26" s="186">
        <f t="shared" si="1"/>
        <v>370</v>
      </c>
      <c r="O26" s="186">
        <f t="shared" si="2"/>
        <v>1850</v>
      </c>
      <c r="P26" s="186">
        <f t="shared" si="3"/>
        <v>2220</v>
      </c>
      <c r="Q26" s="186"/>
    </row>
    <row r="27">
      <c r="A27" s="125" t="s">
        <v>16</v>
      </c>
      <c r="B27" s="126">
        <v>4320.0</v>
      </c>
      <c r="C27" s="125" t="s">
        <v>17</v>
      </c>
      <c r="D27" s="179" t="s">
        <v>392</v>
      </c>
      <c r="E27" s="149" t="s">
        <v>393</v>
      </c>
      <c r="F27" s="149" t="s">
        <v>394</v>
      </c>
      <c r="G27" s="239"/>
      <c r="H27" s="183">
        <v>34922.0</v>
      </c>
      <c r="I27" s="183">
        <v>45418.0</v>
      </c>
      <c r="J27" s="240"/>
      <c r="K27" s="149">
        <v>31.0</v>
      </c>
      <c r="L27" s="185">
        <v>45627.0</v>
      </c>
      <c r="M27" s="185">
        <v>45657.0</v>
      </c>
      <c r="N27" s="186">
        <f t="shared" si="1"/>
        <v>370</v>
      </c>
      <c r="O27" s="186">
        <f t="shared" si="2"/>
        <v>1850</v>
      </c>
      <c r="P27" s="186">
        <f t="shared" si="3"/>
        <v>2220</v>
      </c>
      <c r="Q27" s="186"/>
    </row>
    <row r="28">
      <c r="A28" s="125" t="s">
        <v>16</v>
      </c>
      <c r="B28" s="126">
        <v>4320.0</v>
      </c>
      <c r="C28" s="125" t="s">
        <v>17</v>
      </c>
      <c r="D28" s="179" t="s">
        <v>451</v>
      </c>
      <c r="E28" s="221">
        <v>0.0</v>
      </c>
      <c r="F28" s="149" t="s">
        <v>415</v>
      </c>
      <c r="G28" s="239"/>
      <c r="H28" s="183">
        <v>36443.0</v>
      </c>
      <c r="I28" s="183">
        <v>45446.0</v>
      </c>
      <c r="J28" s="240"/>
      <c r="K28" s="149">
        <v>31.0</v>
      </c>
      <c r="L28" s="185">
        <v>45627.0</v>
      </c>
      <c r="M28" s="185">
        <v>45657.0</v>
      </c>
      <c r="N28" s="186">
        <f t="shared" si="1"/>
        <v>370</v>
      </c>
      <c r="O28" s="186">
        <f t="shared" si="2"/>
        <v>1850</v>
      </c>
      <c r="P28" s="186">
        <f t="shared" si="3"/>
        <v>2220</v>
      </c>
      <c r="Q28" s="186"/>
    </row>
    <row r="29">
      <c r="A29" s="125" t="s">
        <v>16</v>
      </c>
      <c r="B29" s="126">
        <v>4320.0</v>
      </c>
      <c r="C29" s="125" t="s">
        <v>17</v>
      </c>
      <c r="D29" s="194" t="s">
        <v>87</v>
      </c>
      <c r="E29" s="149" t="s">
        <v>88</v>
      </c>
      <c r="F29" s="149" t="s">
        <v>89</v>
      </c>
      <c r="G29" s="239"/>
      <c r="H29" s="201">
        <v>33737.0</v>
      </c>
      <c r="I29" s="201">
        <v>45139.0</v>
      </c>
      <c r="J29" s="240"/>
      <c r="K29" s="149">
        <v>31.0</v>
      </c>
      <c r="L29" s="185">
        <v>45627.0</v>
      </c>
      <c r="M29" s="185">
        <v>45657.0</v>
      </c>
      <c r="N29" s="186">
        <f t="shared" si="1"/>
        <v>370</v>
      </c>
      <c r="O29" s="186">
        <f t="shared" si="2"/>
        <v>1850</v>
      </c>
      <c r="P29" s="186">
        <f t="shared" si="3"/>
        <v>2220</v>
      </c>
      <c r="Q29" s="186"/>
    </row>
    <row r="30">
      <c r="A30" s="127" t="s">
        <v>16</v>
      </c>
      <c r="B30" s="129">
        <v>4320.0</v>
      </c>
      <c r="C30" s="127" t="s">
        <v>17</v>
      </c>
      <c r="D30" s="202" t="s">
        <v>334</v>
      </c>
      <c r="E30" s="149" t="s">
        <v>335</v>
      </c>
      <c r="F30" s="149" t="s">
        <v>336</v>
      </c>
      <c r="G30" s="239"/>
      <c r="H30" s="183">
        <v>35272.0</v>
      </c>
      <c r="I30" s="183">
        <v>45355.0</v>
      </c>
      <c r="J30" s="183">
        <v>45641.0</v>
      </c>
      <c r="K30" s="149">
        <v>15.0</v>
      </c>
      <c r="L30" s="185">
        <v>45627.0</v>
      </c>
      <c r="M30" s="185">
        <v>45657.0</v>
      </c>
      <c r="N30" s="186">
        <f t="shared" si="1"/>
        <v>180</v>
      </c>
      <c r="O30" s="186">
        <f t="shared" si="2"/>
        <v>900</v>
      </c>
      <c r="P30" s="186">
        <f t="shared" si="3"/>
        <v>1080</v>
      </c>
      <c r="Q30" s="186"/>
    </row>
    <row r="31">
      <c r="A31" s="127" t="s">
        <v>16</v>
      </c>
      <c r="B31" s="129">
        <v>4320.0</v>
      </c>
      <c r="C31" s="127" t="s">
        <v>17</v>
      </c>
      <c r="D31" s="179" t="s">
        <v>337</v>
      </c>
      <c r="E31" s="149" t="s">
        <v>338</v>
      </c>
      <c r="F31" s="149" t="s">
        <v>339</v>
      </c>
      <c r="G31" s="239"/>
      <c r="H31" s="183">
        <v>37539.0</v>
      </c>
      <c r="I31" s="183">
        <v>45362.0</v>
      </c>
      <c r="J31" s="240"/>
      <c r="K31" s="149">
        <v>31.0</v>
      </c>
      <c r="L31" s="185">
        <v>45627.0</v>
      </c>
      <c r="M31" s="185">
        <v>45657.0</v>
      </c>
      <c r="N31" s="186">
        <f t="shared" si="1"/>
        <v>370</v>
      </c>
      <c r="O31" s="186">
        <f t="shared" si="2"/>
        <v>1850</v>
      </c>
      <c r="P31" s="186">
        <f t="shared" si="3"/>
        <v>2220</v>
      </c>
      <c r="Q31" s="186"/>
    </row>
    <row r="32">
      <c r="A32" s="127" t="s">
        <v>16</v>
      </c>
      <c r="B32" s="129">
        <v>4320.0</v>
      </c>
      <c r="C32" s="127" t="s">
        <v>17</v>
      </c>
      <c r="D32" s="179" t="s">
        <v>452</v>
      </c>
      <c r="E32" s="221">
        <v>0.0</v>
      </c>
      <c r="F32" s="149" t="s">
        <v>454</v>
      </c>
      <c r="G32" s="239"/>
      <c r="H32" s="183">
        <v>37834.0</v>
      </c>
      <c r="I32" s="183">
        <v>45505.0</v>
      </c>
      <c r="J32" s="241"/>
      <c r="K32" s="149">
        <v>31.0</v>
      </c>
      <c r="L32" s="185">
        <v>45627.0</v>
      </c>
      <c r="M32" s="185">
        <v>45657.0</v>
      </c>
      <c r="N32" s="186">
        <f t="shared" si="1"/>
        <v>370</v>
      </c>
      <c r="O32" s="186">
        <f t="shared" si="2"/>
        <v>1850</v>
      </c>
      <c r="P32" s="186">
        <f t="shared" si="3"/>
        <v>2220</v>
      </c>
      <c r="Q32" s="186"/>
    </row>
    <row r="33">
      <c r="A33" s="127" t="s">
        <v>16</v>
      </c>
      <c r="B33" s="129">
        <v>4320.0</v>
      </c>
      <c r="C33" s="127" t="s">
        <v>17</v>
      </c>
      <c r="D33" s="179" t="s">
        <v>102</v>
      </c>
      <c r="E33" s="149" t="s">
        <v>103</v>
      </c>
      <c r="F33" s="149" t="s">
        <v>104</v>
      </c>
      <c r="G33" s="239"/>
      <c r="H33" s="183">
        <v>33240.0</v>
      </c>
      <c r="I33" s="183">
        <v>44287.0</v>
      </c>
      <c r="J33" s="240"/>
      <c r="K33" s="149">
        <v>31.0</v>
      </c>
      <c r="L33" s="185">
        <v>45627.0</v>
      </c>
      <c r="M33" s="185">
        <v>45657.0</v>
      </c>
      <c r="N33" s="186">
        <f t="shared" si="1"/>
        <v>370</v>
      </c>
      <c r="O33" s="186">
        <f t="shared" si="2"/>
        <v>1850</v>
      </c>
      <c r="P33" s="186">
        <f t="shared" si="3"/>
        <v>2220</v>
      </c>
      <c r="Q33" s="186"/>
    </row>
    <row r="34">
      <c r="A34" s="127" t="s">
        <v>16</v>
      </c>
      <c r="B34" s="129">
        <v>4320.0</v>
      </c>
      <c r="C34" s="127" t="s">
        <v>17</v>
      </c>
      <c r="D34" s="179" t="s">
        <v>255</v>
      </c>
      <c r="E34" s="149" t="s">
        <v>256</v>
      </c>
      <c r="F34" s="149" t="s">
        <v>257</v>
      </c>
      <c r="G34" s="239"/>
      <c r="H34" s="183">
        <v>35173.0</v>
      </c>
      <c r="I34" s="201">
        <v>45264.0</v>
      </c>
      <c r="J34" s="240"/>
      <c r="K34" s="149">
        <v>31.0</v>
      </c>
      <c r="L34" s="185">
        <v>45627.0</v>
      </c>
      <c r="M34" s="185">
        <v>45657.0</v>
      </c>
      <c r="N34" s="186">
        <f t="shared" si="1"/>
        <v>370</v>
      </c>
      <c r="O34" s="186">
        <f t="shared" si="2"/>
        <v>1850</v>
      </c>
      <c r="P34" s="186">
        <f t="shared" si="3"/>
        <v>2220</v>
      </c>
      <c r="Q34" s="186"/>
    </row>
    <row r="35">
      <c r="A35" s="127" t="s">
        <v>16</v>
      </c>
      <c r="B35" s="129">
        <v>4320.0</v>
      </c>
      <c r="C35" s="127" t="s">
        <v>17</v>
      </c>
      <c r="D35" s="179" t="s">
        <v>438</v>
      </c>
      <c r="E35" s="149" t="s">
        <v>341</v>
      </c>
      <c r="F35" s="149" t="s">
        <v>342</v>
      </c>
      <c r="G35" s="239"/>
      <c r="H35" s="183">
        <v>37964.0</v>
      </c>
      <c r="I35" s="183">
        <v>45355.0</v>
      </c>
      <c r="J35" s="240"/>
      <c r="K35" s="149">
        <v>31.0</v>
      </c>
      <c r="L35" s="185">
        <v>45627.0</v>
      </c>
      <c r="M35" s="185">
        <v>45657.0</v>
      </c>
      <c r="N35" s="186">
        <f t="shared" si="1"/>
        <v>370</v>
      </c>
      <c r="O35" s="186">
        <f t="shared" si="2"/>
        <v>1850</v>
      </c>
      <c r="P35" s="186">
        <f t="shared" si="3"/>
        <v>2220</v>
      </c>
      <c r="Q35" s="186"/>
    </row>
    <row r="36">
      <c r="A36" s="127" t="s">
        <v>16</v>
      </c>
      <c r="B36" s="129">
        <v>4320.0</v>
      </c>
      <c r="C36" s="127" t="s">
        <v>17</v>
      </c>
      <c r="D36" s="179" t="s">
        <v>395</v>
      </c>
      <c r="E36" s="149" t="s">
        <v>396</v>
      </c>
      <c r="F36" s="149" t="s">
        <v>397</v>
      </c>
      <c r="G36" s="239"/>
      <c r="H36" s="183">
        <v>36557.0</v>
      </c>
      <c r="I36" s="183">
        <v>45432.0</v>
      </c>
      <c r="J36" s="240"/>
      <c r="K36" s="149">
        <v>31.0</v>
      </c>
      <c r="L36" s="185">
        <v>45627.0</v>
      </c>
      <c r="M36" s="185">
        <v>45657.0</v>
      </c>
      <c r="N36" s="186">
        <f t="shared" si="1"/>
        <v>370</v>
      </c>
      <c r="O36" s="186">
        <f t="shared" si="2"/>
        <v>1850</v>
      </c>
      <c r="P36" s="186">
        <f t="shared" si="3"/>
        <v>2220</v>
      </c>
      <c r="Q36" s="186"/>
    </row>
    <row r="37">
      <c r="A37" s="127" t="s">
        <v>16</v>
      </c>
      <c r="B37" s="129">
        <v>4320.0</v>
      </c>
      <c r="C37" s="127" t="s">
        <v>17</v>
      </c>
      <c r="D37" s="179" t="s">
        <v>370</v>
      </c>
      <c r="E37" s="149" t="s">
        <v>371</v>
      </c>
      <c r="F37" s="149" t="s">
        <v>372</v>
      </c>
      <c r="G37" s="239"/>
      <c r="H37" s="201">
        <v>35551.0</v>
      </c>
      <c r="I37" s="183">
        <v>45383.0</v>
      </c>
      <c r="J37" s="240"/>
      <c r="K37" s="149">
        <v>31.0</v>
      </c>
      <c r="L37" s="185">
        <v>45627.0</v>
      </c>
      <c r="M37" s="185">
        <v>45657.0</v>
      </c>
      <c r="N37" s="186">
        <f t="shared" si="1"/>
        <v>370</v>
      </c>
      <c r="O37" s="186">
        <f t="shared" si="2"/>
        <v>1850</v>
      </c>
      <c r="P37" s="186">
        <f t="shared" si="3"/>
        <v>2220</v>
      </c>
      <c r="Q37" s="186"/>
    </row>
    <row r="38">
      <c r="A38" s="127" t="s">
        <v>16</v>
      </c>
      <c r="B38" s="129">
        <v>4320.0</v>
      </c>
      <c r="C38" s="127" t="s">
        <v>17</v>
      </c>
      <c r="D38" s="194" t="s">
        <v>114</v>
      </c>
      <c r="E38" s="221">
        <v>0.0</v>
      </c>
      <c r="F38" s="149" t="s">
        <v>456</v>
      </c>
      <c r="G38" s="239"/>
      <c r="H38" s="183">
        <v>35872.0</v>
      </c>
      <c r="I38" s="183">
        <v>45523.0</v>
      </c>
      <c r="J38" s="240"/>
      <c r="K38" s="149">
        <v>31.0</v>
      </c>
      <c r="L38" s="185">
        <v>45627.0</v>
      </c>
      <c r="M38" s="185">
        <v>45657.0</v>
      </c>
      <c r="N38" s="186">
        <f t="shared" si="1"/>
        <v>370</v>
      </c>
      <c r="O38" s="186">
        <f t="shared" si="2"/>
        <v>1850</v>
      </c>
      <c r="P38" s="186">
        <f t="shared" si="3"/>
        <v>2220</v>
      </c>
      <c r="Q38" s="186"/>
    </row>
    <row r="39">
      <c r="A39" s="127" t="s">
        <v>16</v>
      </c>
      <c r="B39" s="129">
        <v>4320.0</v>
      </c>
      <c r="C39" s="127" t="s">
        <v>17</v>
      </c>
      <c r="D39" s="179" t="s">
        <v>457</v>
      </c>
      <c r="E39" s="221">
        <v>0.0</v>
      </c>
      <c r="F39" s="149" t="s">
        <v>458</v>
      </c>
      <c r="G39" s="239"/>
      <c r="H39" s="183">
        <v>37061.0</v>
      </c>
      <c r="I39" s="183">
        <v>45505.0</v>
      </c>
      <c r="J39" s="240"/>
      <c r="K39" s="149">
        <v>31.0</v>
      </c>
      <c r="L39" s="185">
        <v>45627.0</v>
      </c>
      <c r="M39" s="185">
        <v>45657.0</v>
      </c>
      <c r="N39" s="186">
        <f t="shared" si="1"/>
        <v>370</v>
      </c>
      <c r="O39" s="186">
        <f t="shared" si="2"/>
        <v>1850</v>
      </c>
      <c r="P39" s="186">
        <f t="shared" si="3"/>
        <v>2220</v>
      </c>
      <c r="Q39" s="186"/>
    </row>
    <row r="40">
      <c r="A40" s="125" t="s">
        <v>16</v>
      </c>
      <c r="B40" s="126">
        <v>4320.0</v>
      </c>
      <c r="C40" s="125" t="s">
        <v>17</v>
      </c>
      <c r="D40" s="179" t="s">
        <v>439</v>
      </c>
      <c r="E40" s="149" t="s">
        <v>121</v>
      </c>
      <c r="F40" s="149" t="s">
        <v>122</v>
      </c>
      <c r="G40" s="239"/>
      <c r="H40" s="183">
        <v>36794.0</v>
      </c>
      <c r="I40" s="183">
        <v>44915.0</v>
      </c>
      <c r="J40" s="240"/>
      <c r="K40" s="149">
        <v>31.0</v>
      </c>
      <c r="L40" s="185">
        <v>45627.0</v>
      </c>
      <c r="M40" s="185">
        <v>45657.0</v>
      </c>
      <c r="N40" s="186">
        <f t="shared" si="1"/>
        <v>370</v>
      </c>
      <c r="O40" s="186">
        <f t="shared" si="2"/>
        <v>1850</v>
      </c>
      <c r="P40" s="186">
        <f t="shared" si="3"/>
        <v>2220</v>
      </c>
      <c r="Q40" s="186"/>
    </row>
    <row r="41">
      <c r="A41" s="125" t="s">
        <v>16</v>
      </c>
      <c r="B41" s="126">
        <v>4320.0</v>
      </c>
      <c r="C41" s="125" t="s">
        <v>17</v>
      </c>
      <c r="D41" s="179" t="s">
        <v>343</v>
      </c>
      <c r="E41" s="149" t="s">
        <v>344</v>
      </c>
      <c r="F41" s="149" t="s">
        <v>345</v>
      </c>
      <c r="G41" s="239"/>
      <c r="H41" s="183">
        <v>36821.0</v>
      </c>
      <c r="I41" s="183">
        <v>45362.0</v>
      </c>
      <c r="J41" s="240"/>
      <c r="K41" s="149">
        <v>31.0</v>
      </c>
      <c r="L41" s="185">
        <v>45627.0</v>
      </c>
      <c r="M41" s="185">
        <v>45657.0</v>
      </c>
      <c r="N41" s="186">
        <f t="shared" si="1"/>
        <v>370</v>
      </c>
      <c r="O41" s="186">
        <f t="shared" si="2"/>
        <v>1850</v>
      </c>
      <c r="P41" s="186">
        <f t="shared" si="3"/>
        <v>2220</v>
      </c>
      <c r="Q41" s="186"/>
    </row>
    <row r="42">
      <c r="A42" s="127" t="s">
        <v>16</v>
      </c>
      <c r="B42" s="129">
        <v>4320.0</v>
      </c>
      <c r="C42" s="127" t="s">
        <v>17</v>
      </c>
      <c r="D42" s="179" t="s">
        <v>429</v>
      </c>
      <c r="E42" s="221">
        <v>0.0</v>
      </c>
      <c r="F42" s="149" t="s">
        <v>430</v>
      </c>
      <c r="G42" s="239"/>
      <c r="H42" s="183">
        <v>37257.0</v>
      </c>
      <c r="I42" s="183">
        <v>45481.0</v>
      </c>
      <c r="J42" s="240"/>
      <c r="K42" s="149">
        <v>31.0</v>
      </c>
      <c r="L42" s="185">
        <v>45627.0</v>
      </c>
      <c r="M42" s="185">
        <v>45657.0</v>
      </c>
      <c r="N42" s="186">
        <f t="shared" si="1"/>
        <v>370</v>
      </c>
      <c r="O42" s="186">
        <f t="shared" si="2"/>
        <v>1850</v>
      </c>
      <c r="P42" s="186">
        <f t="shared" si="3"/>
        <v>2220</v>
      </c>
      <c r="Q42" s="186"/>
    </row>
    <row r="43">
      <c r="A43" s="127" t="s">
        <v>16</v>
      </c>
      <c r="B43" s="129">
        <v>4320.0</v>
      </c>
      <c r="C43" s="127" t="s">
        <v>17</v>
      </c>
      <c r="D43" s="179" t="s">
        <v>416</v>
      </c>
      <c r="E43" s="221">
        <v>0.0</v>
      </c>
      <c r="F43" s="149" t="s">
        <v>417</v>
      </c>
      <c r="G43" s="239"/>
      <c r="H43" s="183">
        <v>36346.0</v>
      </c>
      <c r="I43" s="183">
        <v>45453.0</v>
      </c>
      <c r="J43" s="241"/>
      <c r="K43" s="149">
        <v>31.0</v>
      </c>
      <c r="L43" s="185">
        <v>45627.0</v>
      </c>
      <c r="M43" s="185">
        <v>45657.0</v>
      </c>
      <c r="N43" s="186">
        <f t="shared" si="1"/>
        <v>370</v>
      </c>
      <c r="O43" s="186">
        <f t="shared" si="2"/>
        <v>1850</v>
      </c>
      <c r="P43" s="186">
        <f t="shared" si="3"/>
        <v>2220</v>
      </c>
      <c r="Q43" s="186"/>
    </row>
    <row r="44">
      <c r="A44" s="127" t="s">
        <v>16</v>
      </c>
      <c r="B44" s="129">
        <v>4320.0</v>
      </c>
      <c r="C44" s="127" t="s">
        <v>17</v>
      </c>
      <c r="D44" s="179" t="s">
        <v>478</v>
      </c>
      <c r="E44" s="221">
        <v>0.0</v>
      </c>
      <c r="F44" s="149" t="s">
        <v>426</v>
      </c>
      <c r="G44" s="239"/>
      <c r="H44" s="183">
        <v>36530.0</v>
      </c>
      <c r="I44" s="201">
        <v>45446.0</v>
      </c>
      <c r="J44" s="240"/>
      <c r="K44" s="149">
        <v>31.0</v>
      </c>
      <c r="L44" s="185">
        <v>45627.0</v>
      </c>
      <c r="M44" s="185">
        <v>45657.0</v>
      </c>
      <c r="N44" s="186">
        <f t="shared" si="1"/>
        <v>370</v>
      </c>
      <c r="O44" s="186">
        <f t="shared" si="2"/>
        <v>1850</v>
      </c>
      <c r="P44" s="186">
        <f t="shared" si="3"/>
        <v>2220</v>
      </c>
      <c r="Q44" s="186"/>
    </row>
    <row r="45">
      <c r="A45" s="127" t="s">
        <v>16</v>
      </c>
      <c r="B45" s="129">
        <v>4320.0</v>
      </c>
      <c r="C45" s="127" t="s">
        <v>17</v>
      </c>
      <c r="D45" s="179" t="s">
        <v>132</v>
      </c>
      <c r="E45" s="221">
        <v>0.0</v>
      </c>
      <c r="F45" s="149" t="s">
        <v>418</v>
      </c>
      <c r="G45" s="239"/>
      <c r="H45" s="183">
        <v>37494.0</v>
      </c>
      <c r="I45" s="183">
        <v>45467.0</v>
      </c>
      <c r="J45" s="240"/>
      <c r="K45" s="149">
        <v>31.0</v>
      </c>
      <c r="L45" s="185">
        <v>45627.0</v>
      </c>
      <c r="M45" s="185">
        <v>45657.0</v>
      </c>
      <c r="N45" s="186">
        <f t="shared" si="1"/>
        <v>370</v>
      </c>
      <c r="O45" s="186">
        <f t="shared" si="2"/>
        <v>1850</v>
      </c>
      <c r="P45" s="186">
        <f t="shared" si="3"/>
        <v>2220</v>
      </c>
      <c r="Q45" s="186"/>
    </row>
    <row r="46">
      <c r="A46" s="127" t="s">
        <v>16</v>
      </c>
      <c r="B46" s="129">
        <v>4320.0</v>
      </c>
      <c r="C46" s="127" t="s">
        <v>17</v>
      </c>
      <c r="D46" s="179" t="s">
        <v>459</v>
      </c>
      <c r="E46" s="149" t="s">
        <v>374</v>
      </c>
      <c r="F46" s="149" t="s">
        <v>375</v>
      </c>
      <c r="G46" s="239"/>
      <c r="H46" s="183">
        <v>37085.0</v>
      </c>
      <c r="I46" s="183">
        <v>45400.0</v>
      </c>
      <c r="J46" s="240"/>
      <c r="K46" s="149">
        <v>31.0</v>
      </c>
      <c r="L46" s="185">
        <v>45627.0</v>
      </c>
      <c r="M46" s="185">
        <v>45657.0</v>
      </c>
      <c r="N46" s="186">
        <f t="shared" si="1"/>
        <v>370</v>
      </c>
      <c r="O46" s="186">
        <f t="shared" si="2"/>
        <v>1850</v>
      </c>
      <c r="P46" s="186">
        <f t="shared" si="3"/>
        <v>2220</v>
      </c>
      <c r="Q46" s="186"/>
    </row>
    <row r="47">
      <c r="A47" s="125" t="s">
        <v>16</v>
      </c>
      <c r="B47" s="126">
        <v>4320.0</v>
      </c>
      <c r="C47" s="125" t="s">
        <v>17</v>
      </c>
      <c r="D47" s="179" t="s">
        <v>349</v>
      </c>
      <c r="E47" s="149" t="s">
        <v>350</v>
      </c>
      <c r="F47" s="149" t="s">
        <v>351</v>
      </c>
      <c r="G47" s="239"/>
      <c r="H47" s="183">
        <v>37647.0</v>
      </c>
      <c r="I47" s="183">
        <v>45355.0</v>
      </c>
      <c r="J47" s="240"/>
      <c r="K47" s="149">
        <v>31.0</v>
      </c>
      <c r="L47" s="185">
        <v>45627.0</v>
      </c>
      <c r="M47" s="185">
        <v>45657.0</v>
      </c>
      <c r="N47" s="186">
        <f t="shared" si="1"/>
        <v>370</v>
      </c>
      <c r="O47" s="186">
        <f t="shared" si="2"/>
        <v>1850</v>
      </c>
      <c r="P47" s="186">
        <f t="shared" si="3"/>
        <v>2220</v>
      </c>
      <c r="Q47" s="186"/>
    </row>
    <row r="48">
      <c r="A48" s="127" t="s">
        <v>16</v>
      </c>
      <c r="B48" s="129">
        <v>4320.0</v>
      </c>
      <c r="C48" s="127" t="s">
        <v>17</v>
      </c>
      <c r="D48" s="179" t="s">
        <v>352</v>
      </c>
      <c r="E48" s="149" t="s">
        <v>353</v>
      </c>
      <c r="F48" s="149" t="s">
        <v>354</v>
      </c>
      <c r="G48" s="239"/>
      <c r="H48" s="183">
        <v>36412.0</v>
      </c>
      <c r="I48" s="201">
        <v>45355.0</v>
      </c>
      <c r="J48" s="240"/>
      <c r="K48" s="149">
        <v>31.0</v>
      </c>
      <c r="L48" s="185">
        <v>45627.0</v>
      </c>
      <c r="M48" s="185">
        <v>45657.0</v>
      </c>
      <c r="N48" s="186">
        <f t="shared" si="1"/>
        <v>370</v>
      </c>
      <c r="O48" s="186">
        <f t="shared" si="2"/>
        <v>1850</v>
      </c>
      <c r="P48" s="186">
        <f t="shared" si="3"/>
        <v>2220</v>
      </c>
      <c r="Q48" s="186"/>
    </row>
    <row r="49">
      <c r="A49" s="127" t="s">
        <v>16</v>
      </c>
      <c r="B49" s="129">
        <v>4320.0</v>
      </c>
      <c r="C49" s="127" t="s">
        <v>17</v>
      </c>
      <c r="D49" s="179" t="s">
        <v>419</v>
      </c>
      <c r="E49" s="221">
        <v>0.0</v>
      </c>
      <c r="F49" s="149" t="s">
        <v>420</v>
      </c>
      <c r="G49" s="239"/>
      <c r="H49" s="183">
        <v>36907.0</v>
      </c>
      <c r="I49" s="183">
        <v>45446.0</v>
      </c>
      <c r="J49" s="240"/>
      <c r="K49" s="149">
        <v>31.0</v>
      </c>
      <c r="L49" s="185">
        <v>45627.0</v>
      </c>
      <c r="M49" s="185">
        <v>45657.0</v>
      </c>
      <c r="N49" s="186">
        <f t="shared" si="1"/>
        <v>370</v>
      </c>
      <c r="O49" s="186">
        <f t="shared" si="2"/>
        <v>1850</v>
      </c>
      <c r="P49" s="186">
        <f t="shared" si="3"/>
        <v>2220</v>
      </c>
      <c r="Q49" s="186"/>
    </row>
    <row r="50">
      <c r="A50" s="127" t="s">
        <v>16</v>
      </c>
      <c r="B50" s="129">
        <v>4320.0</v>
      </c>
      <c r="C50" s="127" t="s">
        <v>17</v>
      </c>
      <c r="D50" s="179" t="s">
        <v>273</v>
      </c>
      <c r="E50" s="149" t="s">
        <v>274</v>
      </c>
      <c r="F50" s="149" t="s">
        <v>275</v>
      </c>
      <c r="G50" s="239"/>
      <c r="H50" s="183">
        <v>34522.0</v>
      </c>
      <c r="I50" s="183">
        <v>45292.0</v>
      </c>
      <c r="J50" s="240"/>
      <c r="K50" s="149">
        <v>31.0</v>
      </c>
      <c r="L50" s="185">
        <v>45627.0</v>
      </c>
      <c r="M50" s="185">
        <v>45657.0</v>
      </c>
      <c r="N50" s="186">
        <f t="shared" si="1"/>
        <v>370</v>
      </c>
      <c r="O50" s="186">
        <f t="shared" si="2"/>
        <v>1850</v>
      </c>
      <c r="P50" s="186">
        <f t="shared" si="3"/>
        <v>2220</v>
      </c>
      <c r="Q50" s="186"/>
    </row>
    <row r="51">
      <c r="A51" s="127" t="s">
        <v>16</v>
      </c>
      <c r="B51" s="129">
        <v>4320.0</v>
      </c>
      <c r="C51" s="127" t="s">
        <v>17</v>
      </c>
      <c r="D51" s="179" t="s">
        <v>162</v>
      </c>
      <c r="E51" s="149" t="s">
        <v>163</v>
      </c>
      <c r="F51" s="149" t="s">
        <v>164</v>
      </c>
      <c r="G51" s="239"/>
      <c r="H51" s="183">
        <v>34732.0</v>
      </c>
      <c r="I51" s="183">
        <v>44986.0</v>
      </c>
      <c r="J51" s="240"/>
      <c r="K51" s="149">
        <v>31.0</v>
      </c>
      <c r="L51" s="185">
        <v>45627.0</v>
      </c>
      <c r="M51" s="185">
        <v>45657.0</v>
      </c>
      <c r="N51" s="186">
        <f t="shared" si="1"/>
        <v>370</v>
      </c>
      <c r="O51" s="186">
        <f t="shared" si="2"/>
        <v>1850</v>
      </c>
      <c r="P51" s="186">
        <f t="shared" si="3"/>
        <v>2220</v>
      </c>
      <c r="Q51" s="186"/>
    </row>
    <row r="52">
      <c r="A52" s="127" t="s">
        <v>16</v>
      </c>
      <c r="B52" s="129">
        <v>4320.0</v>
      </c>
      <c r="C52" s="127" t="s">
        <v>17</v>
      </c>
      <c r="D52" s="179" t="s">
        <v>355</v>
      </c>
      <c r="E52" s="149" t="s">
        <v>356</v>
      </c>
      <c r="F52" s="149" t="s">
        <v>357</v>
      </c>
      <c r="G52" s="239"/>
      <c r="H52" s="183">
        <v>35395.0</v>
      </c>
      <c r="I52" s="183">
        <v>45376.0</v>
      </c>
      <c r="J52" s="240"/>
      <c r="K52" s="149">
        <v>31.0</v>
      </c>
      <c r="L52" s="185">
        <v>45627.0</v>
      </c>
      <c r="M52" s="185">
        <v>45657.0</v>
      </c>
      <c r="N52" s="186">
        <f t="shared" si="1"/>
        <v>370</v>
      </c>
      <c r="O52" s="186">
        <f t="shared" si="2"/>
        <v>1850</v>
      </c>
      <c r="P52" s="186">
        <f t="shared" si="3"/>
        <v>2220</v>
      </c>
      <c r="Q52" s="186"/>
    </row>
    <row r="53">
      <c r="A53" s="127" t="s">
        <v>16</v>
      </c>
      <c r="B53" s="129">
        <v>4320.0</v>
      </c>
      <c r="C53" s="127" t="s">
        <v>17</v>
      </c>
      <c r="D53" s="179" t="s">
        <v>431</v>
      </c>
      <c r="E53" s="221">
        <v>0.0</v>
      </c>
      <c r="F53" s="149" t="s">
        <v>378</v>
      </c>
      <c r="G53" s="239"/>
      <c r="H53" s="201">
        <v>36289.0</v>
      </c>
      <c r="I53" s="183">
        <v>45476.0</v>
      </c>
      <c r="J53" s="240"/>
      <c r="K53" s="149">
        <v>31.0</v>
      </c>
      <c r="L53" s="185">
        <v>45627.0</v>
      </c>
      <c r="M53" s="185">
        <v>45657.0</v>
      </c>
      <c r="N53" s="186">
        <f t="shared" si="1"/>
        <v>370</v>
      </c>
      <c r="O53" s="186">
        <f t="shared" si="2"/>
        <v>1850</v>
      </c>
      <c r="P53" s="186">
        <f t="shared" si="3"/>
        <v>2220</v>
      </c>
      <c r="Q53" s="186"/>
    </row>
    <row r="54">
      <c r="A54" s="125" t="s">
        <v>16</v>
      </c>
      <c r="B54" s="126">
        <v>4320.0</v>
      </c>
      <c r="C54" s="125" t="s">
        <v>17</v>
      </c>
      <c r="D54" s="179" t="s">
        <v>183</v>
      </c>
      <c r="E54" s="149" t="s">
        <v>184</v>
      </c>
      <c r="F54" s="149" t="s">
        <v>185</v>
      </c>
      <c r="G54" s="239"/>
      <c r="H54" s="183">
        <v>36979.0</v>
      </c>
      <c r="I54" s="183">
        <v>44907.0</v>
      </c>
      <c r="J54" s="240"/>
      <c r="K54" s="149">
        <v>31.0</v>
      </c>
      <c r="L54" s="185">
        <v>45627.0</v>
      </c>
      <c r="M54" s="185">
        <v>45657.0</v>
      </c>
      <c r="N54" s="186">
        <f t="shared" si="1"/>
        <v>370</v>
      </c>
      <c r="O54" s="186">
        <f t="shared" si="2"/>
        <v>1850</v>
      </c>
      <c r="P54" s="186">
        <f t="shared" si="3"/>
        <v>2220</v>
      </c>
      <c r="Q54" s="186"/>
    </row>
    <row r="55">
      <c r="A55" s="127" t="s">
        <v>16</v>
      </c>
      <c r="B55" s="129">
        <v>4320.0</v>
      </c>
      <c r="C55" s="127" t="s">
        <v>17</v>
      </c>
      <c r="D55" s="179" t="s">
        <v>301</v>
      </c>
      <c r="E55" s="149" t="s">
        <v>302</v>
      </c>
      <c r="F55" s="149" t="s">
        <v>303</v>
      </c>
      <c r="G55" s="239"/>
      <c r="H55" s="183">
        <v>36991.0</v>
      </c>
      <c r="I55" s="183">
        <v>45205.0</v>
      </c>
      <c r="J55" s="240"/>
      <c r="K55" s="149">
        <v>31.0</v>
      </c>
      <c r="L55" s="185">
        <v>45627.0</v>
      </c>
      <c r="M55" s="185">
        <v>45657.0</v>
      </c>
      <c r="N55" s="186">
        <f t="shared" si="1"/>
        <v>370</v>
      </c>
      <c r="O55" s="186">
        <f t="shared" si="2"/>
        <v>1850</v>
      </c>
      <c r="P55" s="186">
        <f t="shared" si="3"/>
        <v>2220</v>
      </c>
      <c r="Q55" s="186"/>
    </row>
    <row r="56">
      <c r="A56" s="127" t="s">
        <v>16</v>
      </c>
      <c r="B56" s="129">
        <v>4320.0</v>
      </c>
      <c r="C56" s="127" t="s">
        <v>17</v>
      </c>
      <c r="D56" s="179" t="s">
        <v>432</v>
      </c>
      <c r="E56" s="221">
        <v>0.0</v>
      </c>
      <c r="F56" s="149" t="s">
        <v>433</v>
      </c>
      <c r="G56" s="239"/>
      <c r="H56" s="183">
        <v>34504.0</v>
      </c>
      <c r="I56" s="183">
        <v>45481.0</v>
      </c>
      <c r="J56" s="240"/>
      <c r="K56" s="149">
        <v>31.0</v>
      </c>
      <c r="L56" s="185">
        <v>45627.0</v>
      </c>
      <c r="M56" s="185">
        <v>45657.0</v>
      </c>
      <c r="N56" s="186">
        <f t="shared" si="1"/>
        <v>370</v>
      </c>
      <c r="O56" s="186">
        <f t="shared" si="2"/>
        <v>1850</v>
      </c>
      <c r="P56" s="186">
        <f t="shared" si="3"/>
        <v>2220</v>
      </c>
      <c r="Q56" s="186"/>
    </row>
    <row r="57">
      <c r="A57" s="127" t="s">
        <v>16</v>
      </c>
      <c r="B57" s="129">
        <v>4320.0</v>
      </c>
      <c r="C57" s="127" t="s">
        <v>17</v>
      </c>
      <c r="D57" s="179" t="s">
        <v>434</v>
      </c>
      <c r="E57" s="221">
        <v>0.0</v>
      </c>
      <c r="F57" s="149" t="s">
        <v>435</v>
      </c>
      <c r="G57" s="239"/>
      <c r="H57" s="183">
        <v>37446.0</v>
      </c>
      <c r="I57" s="183">
        <v>45495.0</v>
      </c>
      <c r="J57" s="240"/>
      <c r="K57" s="149">
        <v>31.0</v>
      </c>
      <c r="L57" s="185">
        <v>45627.0</v>
      </c>
      <c r="M57" s="185">
        <v>45657.0</v>
      </c>
      <c r="N57" s="186">
        <f t="shared" si="1"/>
        <v>370</v>
      </c>
      <c r="O57" s="186">
        <f t="shared" si="2"/>
        <v>1850</v>
      </c>
      <c r="P57" s="186">
        <f t="shared" si="3"/>
        <v>2220</v>
      </c>
      <c r="Q57" s="186"/>
    </row>
    <row r="58">
      <c r="A58" s="127" t="s">
        <v>16</v>
      </c>
      <c r="B58" s="129">
        <v>4320.0</v>
      </c>
      <c r="C58" s="127" t="s">
        <v>17</v>
      </c>
      <c r="D58" s="179" t="s">
        <v>460</v>
      </c>
      <c r="E58" s="221">
        <v>0.0</v>
      </c>
      <c r="F58" s="149" t="s">
        <v>461</v>
      </c>
      <c r="G58" s="239"/>
      <c r="H58" s="183">
        <v>36856.0</v>
      </c>
      <c r="I58" s="183">
        <v>45505.0</v>
      </c>
      <c r="J58" s="240"/>
      <c r="K58" s="149">
        <v>31.0</v>
      </c>
      <c r="L58" s="185">
        <v>45627.0</v>
      </c>
      <c r="M58" s="185">
        <v>45657.0</v>
      </c>
      <c r="N58" s="186">
        <f t="shared" si="1"/>
        <v>370</v>
      </c>
      <c r="O58" s="186">
        <f t="shared" si="2"/>
        <v>1850</v>
      </c>
      <c r="P58" s="186">
        <f t="shared" si="3"/>
        <v>2220</v>
      </c>
      <c r="Q58" s="186"/>
    </row>
    <row r="59">
      <c r="A59" s="125" t="s">
        <v>16</v>
      </c>
      <c r="B59" s="126">
        <v>4320.0</v>
      </c>
      <c r="C59" s="125" t="s">
        <v>17</v>
      </c>
      <c r="D59" s="179" t="s">
        <v>423</v>
      </c>
      <c r="E59" s="221">
        <v>0.0</v>
      </c>
      <c r="F59" s="149" t="s">
        <v>424</v>
      </c>
      <c r="G59" s="239"/>
      <c r="H59" s="183">
        <v>37818.0</v>
      </c>
      <c r="I59" s="183">
        <v>45467.0</v>
      </c>
      <c r="J59" s="240"/>
      <c r="K59" s="149">
        <v>31.0</v>
      </c>
      <c r="L59" s="185">
        <v>45627.0</v>
      </c>
      <c r="M59" s="185">
        <v>45657.0</v>
      </c>
      <c r="N59" s="186">
        <f t="shared" si="1"/>
        <v>370</v>
      </c>
      <c r="O59" s="186">
        <f t="shared" si="2"/>
        <v>1850</v>
      </c>
      <c r="P59" s="186">
        <f t="shared" si="3"/>
        <v>2220</v>
      </c>
      <c r="Q59" s="186"/>
    </row>
    <row r="60">
      <c r="A60" s="127" t="s">
        <v>16</v>
      </c>
      <c r="B60" s="129">
        <v>4320.0</v>
      </c>
      <c r="C60" s="127" t="s">
        <v>17</v>
      </c>
      <c r="D60" s="179" t="s">
        <v>304</v>
      </c>
      <c r="E60" s="149" t="s">
        <v>305</v>
      </c>
      <c r="F60" s="149" t="s">
        <v>306</v>
      </c>
      <c r="G60" s="239"/>
      <c r="H60" s="183">
        <v>35697.0</v>
      </c>
      <c r="I60" s="183">
        <v>45348.0</v>
      </c>
      <c r="J60" s="240"/>
      <c r="K60" s="149">
        <v>31.0</v>
      </c>
      <c r="L60" s="185">
        <v>45627.0</v>
      </c>
      <c r="M60" s="185">
        <v>45657.0</v>
      </c>
      <c r="N60" s="186">
        <f t="shared" si="1"/>
        <v>370</v>
      </c>
      <c r="O60" s="186">
        <f t="shared" si="2"/>
        <v>1850</v>
      </c>
      <c r="P60" s="186">
        <f t="shared" si="3"/>
        <v>2220</v>
      </c>
      <c r="Q60" s="186"/>
    </row>
    <row r="61">
      <c r="A61" s="127" t="s">
        <v>16</v>
      </c>
      <c r="B61" s="129">
        <v>4320.0</v>
      </c>
      <c r="C61" s="127" t="s">
        <v>17</v>
      </c>
      <c r="D61" s="179" t="s">
        <v>213</v>
      </c>
      <c r="E61" s="149" t="s">
        <v>214</v>
      </c>
      <c r="F61" s="149" t="s">
        <v>215</v>
      </c>
      <c r="G61" s="239"/>
      <c r="H61" s="183">
        <v>36797.0</v>
      </c>
      <c r="I61" s="183">
        <v>44886.0</v>
      </c>
      <c r="J61" s="240"/>
      <c r="K61" s="149">
        <v>31.0</v>
      </c>
      <c r="L61" s="185">
        <v>45627.0</v>
      </c>
      <c r="M61" s="185">
        <v>45657.0</v>
      </c>
      <c r="N61" s="186">
        <f t="shared" si="1"/>
        <v>370</v>
      </c>
      <c r="O61" s="186">
        <f t="shared" si="2"/>
        <v>1850</v>
      </c>
      <c r="P61" s="186">
        <f t="shared" si="3"/>
        <v>2220</v>
      </c>
      <c r="Q61" s="186"/>
    </row>
    <row r="62">
      <c r="A62" s="127" t="s">
        <v>16</v>
      </c>
      <c r="B62" s="129">
        <v>4320.0</v>
      </c>
      <c r="C62" s="127" t="s">
        <v>17</v>
      </c>
      <c r="D62" s="202" t="s">
        <v>442</v>
      </c>
      <c r="E62" s="149" t="s">
        <v>217</v>
      </c>
      <c r="F62" s="149" t="s">
        <v>218</v>
      </c>
      <c r="G62" s="239"/>
      <c r="H62" s="183">
        <v>33769.0</v>
      </c>
      <c r="I62" s="183">
        <v>44816.0</v>
      </c>
      <c r="J62" s="183">
        <v>45639.0</v>
      </c>
      <c r="K62" s="149">
        <v>13.0</v>
      </c>
      <c r="L62" s="185">
        <v>45627.0</v>
      </c>
      <c r="M62" s="185">
        <v>45657.0</v>
      </c>
      <c r="N62" s="186">
        <f t="shared" si="1"/>
        <v>156</v>
      </c>
      <c r="O62" s="186">
        <f t="shared" si="2"/>
        <v>780</v>
      </c>
      <c r="P62" s="186">
        <f t="shared" si="3"/>
        <v>936</v>
      </c>
      <c r="Q62" s="186"/>
    </row>
    <row r="63">
      <c r="A63" s="125" t="s">
        <v>16</v>
      </c>
      <c r="B63" s="126">
        <v>4320.0</v>
      </c>
      <c r="C63" s="125" t="s">
        <v>17</v>
      </c>
      <c r="D63" s="179" t="s">
        <v>427</v>
      </c>
      <c r="E63" s="221">
        <v>0.0</v>
      </c>
      <c r="F63" s="149" t="s">
        <v>428</v>
      </c>
      <c r="G63" s="239"/>
      <c r="H63" s="183">
        <v>36451.0</v>
      </c>
      <c r="I63" s="201">
        <v>45453.0</v>
      </c>
      <c r="J63" s="240"/>
      <c r="K63" s="149">
        <v>31.0</v>
      </c>
      <c r="L63" s="185">
        <v>45627.0</v>
      </c>
      <c r="M63" s="185">
        <v>45657.0</v>
      </c>
      <c r="N63" s="186">
        <f t="shared" si="1"/>
        <v>370</v>
      </c>
      <c r="O63" s="186">
        <f t="shared" si="2"/>
        <v>1850</v>
      </c>
      <c r="P63" s="186">
        <f t="shared" si="3"/>
        <v>2220</v>
      </c>
      <c r="Q63" s="186"/>
    </row>
    <row r="64">
      <c r="A64" s="127" t="s">
        <v>16</v>
      </c>
      <c r="B64" s="129">
        <v>4320.0</v>
      </c>
      <c r="C64" s="127" t="s">
        <v>17</v>
      </c>
      <c r="D64" s="179" t="s">
        <v>222</v>
      </c>
      <c r="E64" s="149" t="s">
        <v>223</v>
      </c>
      <c r="F64" s="149" t="s">
        <v>224</v>
      </c>
      <c r="G64" s="239"/>
      <c r="H64" s="183">
        <v>35818.0</v>
      </c>
      <c r="I64" s="183">
        <v>45089.0</v>
      </c>
      <c r="J64" s="240"/>
      <c r="K64" s="149">
        <v>31.0</v>
      </c>
      <c r="L64" s="185">
        <v>45627.0</v>
      </c>
      <c r="M64" s="185">
        <v>45657.0</v>
      </c>
      <c r="N64" s="186">
        <f t="shared" si="1"/>
        <v>370</v>
      </c>
      <c r="O64" s="186">
        <f t="shared" si="2"/>
        <v>1850</v>
      </c>
      <c r="P64" s="186">
        <f t="shared" si="3"/>
        <v>2220</v>
      </c>
      <c r="Q64" s="186"/>
    </row>
    <row r="65">
      <c r="A65" s="127" t="s">
        <v>16</v>
      </c>
      <c r="B65" s="129">
        <v>4320.0</v>
      </c>
      <c r="C65" s="127" t="s">
        <v>17</v>
      </c>
      <c r="D65" s="179" t="s">
        <v>225</v>
      </c>
      <c r="E65" s="149" t="s">
        <v>226</v>
      </c>
      <c r="F65" s="149" t="s">
        <v>227</v>
      </c>
      <c r="G65" s="239"/>
      <c r="H65" s="183">
        <v>36177.0</v>
      </c>
      <c r="I65" s="183">
        <v>45320.0</v>
      </c>
      <c r="J65" s="240"/>
      <c r="K65" s="149">
        <v>31.0</v>
      </c>
      <c r="L65" s="185">
        <v>45627.0</v>
      </c>
      <c r="M65" s="185">
        <v>45657.0</v>
      </c>
      <c r="N65" s="186">
        <f t="shared" si="1"/>
        <v>370</v>
      </c>
      <c r="O65" s="186">
        <f t="shared" si="2"/>
        <v>1850</v>
      </c>
      <c r="P65" s="186">
        <f t="shared" si="3"/>
        <v>2220</v>
      </c>
      <c r="Q65" s="186"/>
    </row>
    <row r="66">
      <c r="A66" s="127" t="s">
        <v>16</v>
      </c>
      <c r="B66" s="129">
        <v>4320.0</v>
      </c>
      <c r="C66" s="127" t="s">
        <v>17</v>
      </c>
      <c r="D66" s="179" t="s">
        <v>462</v>
      </c>
      <c r="E66" s="221">
        <v>0.0</v>
      </c>
      <c r="F66" s="149" t="s">
        <v>463</v>
      </c>
      <c r="G66" s="239"/>
      <c r="H66" s="183">
        <v>34588.0</v>
      </c>
      <c r="I66" s="183">
        <v>45530.0</v>
      </c>
      <c r="J66" s="240"/>
      <c r="K66" s="149">
        <v>31.0</v>
      </c>
      <c r="L66" s="185">
        <v>45627.0</v>
      </c>
      <c r="M66" s="185">
        <v>45657.0</v>
      </c>
      <c r="N66" s="186">
        <f t="shared" si="1"/>
        <v>370</v>
      </c>
      <c r="O66" s="186">
        <f t="shared" si="2"/>
        <v>1850</v>
      </c>
      <c r="P66" s="186">
        <f t="shared" si="3"/>
        <v>2220</v>
      </c>
      <c r="Q66" s="186"/>
    </row>
    <row r="67">
      <c r="A67" s="127" t="s">
        <v>16</v>
      </c>
      <c r="B67" s="129">
        <v>4320.0</v>
      </c>
      <c r="C67" s="127" t="s">
        <v>17</v>
      </c>
      <c r="D67" s="179" t="s">
        <v>468</v>
      </c>
      <c r="E67" s="221">
        <v>0.0</v>
      </c>
      <c r="F67" s="149" t="s">
        <v>469</v>
      </c>
      <c r="G67" s="239"/>
      <c r="H67" s="183">
        <v>35986.0</v>
      </c>
      <c r="I67" s="183">
        <v>45537.0</v>
      </c>
      <c r="J67" s="240"/>
      <c r="K67" s="149">
        <v>31.0</v>
      </c>
      <c r="L67" s="185">
        <v>45627.0</v>
      </c>
      <c r="M67" s="185">
        <v>45657.0</v>
      </c>
      <c r="N67" s="186">
        <f t="shared" si="1"/>
        <v>370</v>
      </c>
      <c r="O67" s="186">
        <f t="shared" si="2"/>
        <v>1850</v>
      </c>
      <c r="P67" s="186">
        <f t="shared" si="3"/>
        <v>2220</v>
      </c>
      <c r="Q67" s="186"/>
    </row>
    <row r="68">
      <c r="A68" s="127" t="s">
        <v>16</v>
      </c>
      <c r="B68" s="129">
        <v>4320.0</v>
      </c>
      <c r="C68" s="127" t="s">
        <v>17</v>
      </c>
      <c r="D68" s="179" t="s">
        <v>470</v>
      </c>
      <c r="E68" s="221">
        <v>0.0</v>
      </c>
      <c r="F68" s="149" t="s">
        <v>472</v>
      </c>
      <c r="G68" s="239"/>
      <c r="H68" s="183">
        <v>37278.0</v>
      </c>
      <c r="I68" s="183">
        <v>45544.0</v>
      </c>
      <c r="J68" s="241"/>
      <c r="K68" s="149">
        <v>31.0</v>
      </c>
      <c r="L68" s="185">
        <v>45627.0</v>
      </c>
      <c r="M68" s="185">
        <v>45657.0</v>
      </c>
      <c r="N68" s="186">
        <f t="shared" si="1"/>
        <v>370</v>
      </c>
      <c r="O68" s="186">
        <f t="shared" si="2"/>
        <v>1850</v>
      </c>
      <c r="P68" s="186">
        <f t="shared" si="3"/>
        <v>2220</v>
      </c>
      <c r="Q68" s="186"/>
    </row>
    <row r="69">
      <c r="A69" s="127" t="s">
        <v>16</v>
      </c>
      <c r="B69" s="129">
        <v>4320.0</v>
      </c>
      <c r="C69" s="127" t="s">
        <v>17</v>
      </c>
      <c r="D69" s="179" t="s">
        <v>476</v>
      </c>
      <c r="E69" s="221">
        <v>0.0</v>
      </c>
      <c r="F69" s="149" t="s">
        <v>477</v>
      </c>
      <c r="G69" s="239"/>
      <c r="H69" s="183">
        <v>37220.0</v>
      </c>
      <c r="I69" s="183">
        <v>45572.0</v>
      </c>
      <c r="J69" s="240"/>
      <c r="K69" s="149">
        <v>31.0</v>
      </c>
      <c r="L69" s="185">
        <v>45627.0</v>
      </c>
      <c r="M69" s="185">
        <v>45657.0</v>
      </c>
      <c r="N69" s="186">
        <f t="shared" si="1"/>
        <v>370</v>
      </c>
      <c r="O69" s="186">
        <f t="shared" si="2"/>
        <v>1850</v>
      </c>
      <c r="P69" s="186">
        <f t="shared" si="3"/>
        <v>2220</v>
      </c>
      <c r="Q69" s="186"/>
    </row>
    <row r="70">
      <c r="A70" s="127" t="s">
        <v>16</v>
      </c>
      <c r="B70" s="129">
        <v>4320.0</v>
      </c>
      <c r="C70" s="127" t="s">
        <v>17</v>
      </c>
      <c r="D70" s="179" t="s">
        <v>473</v>
      </c>
      <c r="E70" s="221">
        <v>0.0</v>
      </c>
      <c r="F70" s="149" t="s">
        <v>475</v>
      </c>
      <c r="G70" s="239"/>
      <c r="H70" s="183">
        <v>37459.0</v>
      </c>
      <c r="I70" s="183">
        <v>45586.0</v>
      </c>
      <c r="J70" s="240"/>
      <c r="K70" s="149">
        <v>31.0</v>
      </c>
      <c r="L70" s="185">
        <v>45627.0</v>
      </c>
      <c r="M70" s="185">
        <v>45657.0</v>
      </c>
      <c r="N70" s="186">
        <f t="shared" si="1"/>
        <v>370</v>
      </c>
      <c r="O70" s="186">
        <f t="shared" si="2"/>
        <v>1850</v>
      </c>
      <c r="P70" s="186">
        <f t="shared" si="3"/>
        <v>2220</v>
      </c>
      <c r="Q70" s="186"/>
    </row>
    <row r="71">
      <c r="A71" s="125" t="s">
        <v>16</v>
      </c>
      <c r="B71" s="126">
        <v>4320.0</v>
      </c>
      <c r="C71" s="125" t="s">
        <v>17</v>
      </c>
      <c r="D71" s="242" t="s">
        <v>481</v>
      </c>
      <c r="E71" s="221">
        <v>0.0</v>
      </c>
      <c r="F71" s="149" t="s">
        <v>482</v>
      </c>
      <c r="G71" s="239"/>
      <c r="H71" s="183">
        <v>35096.0</v>
      </c>
      <c r="I71" s="183">
        <v>45602.0</v>
      </c>
      <c r="J71" s="240"/>
      <c r="K71" s="149">
        <v>31.0</v>
      </c>
      <c r="L71" s="185">
        <v>45627.0</v>
      </c>
      <c r="M71" s="185">
        <v>45657.0</v>
      </c>
      <c r="N71" s="186">
        <f t="shared" si="1"/>
        <v>370</v>
      </c>
      <c r="O71" s="186">
        <f t="shared" si="2"/>
        <v>1850</v>
      </c>
      <c r="P71" s="186">
        <f t="shared" si="3"/>
        <v>2220</v>
      </c>
      <c r="Q71" s="186"/>
    </row>
    <row r="72">
      <c r="A72" s="127" t="s">
        <v>16</v>
      </c>
      <c r="B72" s="129">
        <v>4320.0</v>
      </c>
      <c r="C72" s="127" t="s">
        <v>17</v>
      </c>
      <c r="D72" s="242" t="s">
        <v>493</v>
      </c>
      <c r="E72" s="221">
        <v>0.0</v>
      </c>
      <c r="F72" s="149" t="s">
        <v>494</v>
      </c>
      <c r="G72" s="239"/>
      <c r="H72" s="183">
        <v>36208.0</v>
      </c>
      <c r="I72" s="183">
        <v>45602.0</v>
      </c>
      <c r="J72" s="240"/>
      <c r="K72" s="149">
        <v>31.0</v>
      </c>
      <c r="L72" s="185">
        <v>45627.0</v>
      </c>
      <c r="M72" s="185">
        <v>45657.0</v>
      </c>
      <c r="N72" s="186">
        <f t="shared" si="1"/>
        <v>370</v>
      </c>
      <c r="O72" s="186">
        <f t="shared" si="2"/>
        <v>1850</v>
      </c>
      <c r="P72" s="186">
        <f t="shared" si="3"/>
        <v>2220</v>
      </c>
      <c r="Q72" s="186"/>
    </row>
    <row r="73">
      <c r="A73" s="125" t="s">
        <v>16</v>
      </c>
      <c r="B73" s="126">
        <v>4320.0</v>
      </c>
      <c r="C73" s="125" t="s">
        <v>17</v>
      </c>
      <c r="D73" s="242" t="s">
        <v>487</v>
      </c>
      <c r="E73" s="221">
        <v>0.0</v>
      </c>
      <c r="F73" s="149" t="s">
        <v>488</v>
      </c>
      <c r="G73" s="239"/>
      <c r="H73" s="201">
        <v>35195.0</v>
      </c>
      <c r="I73" s="183">
        <v>45602.0</v>
      </c>
      <c r="J73" s="240"/>
      <c r="K73" s="149">
        <v>31.0</v>
      </c>
      <c r="L73" s="185">
        <v>45627.0</v>
      </c>
      <c r="M73" s="185">
        <v>45657.0</v>
      </c>
      <c r="N73" s="186">
        <f t="shared" si="1"/>
        <v>370</v>
      </c>
      <c r="O73" s="186">
        <f t="shared" si="2"/>
        <v>1850</v>
      </c>
      <c r="P73" s="186">
        <f t="shared" si="3"/>
        <v>2220</v>
      </c>
      <c r="Q73" s="186"/>
    </row>
    <row r="74">
      <c r="A74" s="127" t="s">
        <v>16</v>
      </c>
      <c r="B74" s="129">
        <v>4320.0</v>
      </c>
      <c r="C74" s="127" t="s">
        <v>17</v>
      </c>
      <c r="D74" s="242" t="s">
        <v>491</v>
      </c>
      <c r="E74" s="221">
        <v>0.0</v>
      </c>
      <c r="F74" s="149" t="s">
        <v>492</v>
      </c>
      <c r="G74" s="239"/>
      <c r="H74" s="183">
        <v>36849.0</v>
      </c>
      <c r="I74" s="183">
        <v>45602.0</v>
      </c>
      <c r="J74" s="240"/>
      <c r="K74" s="149">
        <v>31.0</v>
      </c>
      <c r="L74" s="185">
        <v>45627.0</v>
      </c>
      <c r="M74" s="185">
        <v>45657.0</v>
      </c>
      <c r="N74" s="186">
        <f t="shared" si="1"/>
        <v>370</v>
      </c>
      <c r="O74" s="186">
        <f t="shared" si="2"/>
        <v>1850</v>
      </c>
      <c r="P74" s="186">
        <f t="shared" si="3"/>
        <v>2220</v>
      </c>
      <c r="Q74" s="186"/>
    </row>
    <row r="75">
      <c r="A75" s="127" t="s">
        <v>16</v>
      </c>
      <c r="B75" s="129">
        <v>4320.0</v>
      </c>
      <c r="C75" s="127" t="s">
        <v>17</v>
      </c>
      <c r="D75" s="242" t="s">
        <v>485</v>
      </c>
      <c r="E75" s="221">
        <v>0.0</v>
      </c>
      <c r="F75" s="149" t="s">
        <v>486</v>
      </c>
      <c r="G75" s="239"/>
      <c r="H75" s="183">
        <v>36994.0</v>
      </c>
      <c r="I75" s="183">
        <v>45602.0</v>
      </c>
      <c r="J75" s="240"/>
      <c r="K75" s="149">
        <v>31.0</v>
      </c>
      <c r="L75" s="185">
        <v>45627.0</v>
      </c>
      <c r="M75" s="185">
        <v>45657.0</v>
      </c>
      <c r="N75" s="186">
        <f t="shared" si="1"/>
        <v>370</v>
      </c>
      <c r="O75" s="186">
        <f t="shared" si="2"/>
        <v>1850</v>
      </c>
      <c r="P75" s="186">
        <f t="shared" si="3"/>
        <v>2220</v>
      </c>
      <c r="Q75" s="186"/>
    </row>
    <row r="76">
      <c r="A76" s="127" t="s">
        <v>16</v>
      </c>
      <c r="B76" s="129">
        <v>4320.0</v>
      </c>
      <c r="C76" s="127" t="s">
        <v>17</v>
      </c>
      <c r="D76" s="243" t="s">
        <v>489</v>
      </c>
      <c r="E76" s="221">
        <v>0.0</v>
      </c>
      <c r="F76" s="149" t="s">
        <v>490</v>
      </c>
      <c r="G76" s="239"/>
      <c r="H76" s="183">
        <v>37105.0</v>
      </c>
      <c r="I76" s="183">
        <v>45602.0</v>
      </c>
      <c r="J76" s="240"/>
      <c r="K76" s="149">
        <v>31.0</v>
      </c>
      <c r="L76" s="185">
        <v>45627.0</v>
      </c>
      <c r="M76" s="185">
        <v>45657.0</v>
      </c>
      <c r="N76" s="186">
        <f t="shared" si="1"/>
        <v>370</v>
      </c>
      <c r="O76" s="186">
        <f t="shared" si="2"/>
        <v>1850</v>
      </c>
      <c r="P76" s="186">
        <f t="shared" si="3"/>
        <v>2220</v>
      </c>
      <c r="Q76" s="186"/>
    </row>
    <row r="77">
      <c r="A77" s="125" t="s">
        <v>16</v>
      </c>
      <c r="B77" s="126">
        <v>4320.0</v>
      </c>
      <c r="C77" s="125" t="s">
        <v>17</v>
      </c>
      <c r="D77" s="243" t="s">
        <v>483</v>
      </c>
      <c r="E77" s="221">
        <v>0.0</v>
      </c>
      <c r="F77" s="149" t="s">
        <v>484</v>
      </c>
      <c r="G77" s="239"/>
      <c r="H77" s="201">
        <v>36286.0</v>
      </c>
      <c r="I77" s="183">
        <v>45602.0</v>
      </c>
      <c r="J77" s="240"/>
      <c r="K77" s="149">
        <v>31.0</v>
      </c>
      <c r="L77" s="185">
        <v>45627.0</v>
      </c>
      <c r="M77" s="185">
        <v>45657.0</v>
      </c>
      <c r="N77" s="186">
        <f t="shared" si="1"/>
        <v>370</v>
      </c>
      <c r="O77" s="186">
        <f t="shared" si="2"/>
        <v>1850</v>
      </c>
      <c r="P77" s="186">
        <f t="shared" si="3"/>
        <v>2220</v>
      </c>
      <c r="Q77" s="186"/>
    </row>
    <row r="78">
      <c r="A78" s="125" t="s">
        <v>16</v>
      </c>
      <c r="B78" s="126">
        <v>4320.0</v>
      </c>
      <c r="C78" s="125" t="s">
        <v>17</v>
      </c>
      <c r="D78" s="244" t="s">
        <v>495</v>
      </c>
      <c r="E78" s="221">
        <v>0.0</v>
      </c>
      <c r="F78" s="193" t="s">
        <v>496</v>
      </c>
      <c r="G78" s="239"/>
      <c r="H78" s="183">
        <v>33452.0</v>
      </c>
      <c r="I78" s="245">
        <v>45628.0</v>
      </c>
      <c r="J78" s="240"/>
      <c r="K78" s="149">
        <v>30.0</v>
      </c>
      <c r="L78" s="185">
        <v>45627.0</v>
      </c>
      <c r="M78" s="185">
        <v>45657.0</v>
      </c>
      <c r="N78" s="186">
        <f t="shared" si="1"/>
        <v>359</v>
      </c>
      <c r="O78" s="186">
        <f t="shared" si="2"/>
        <v>1795</v>
      </c>
      <c r="P78" s="186">
        <f t="shared" si="3"/>
        <v>2154</v>
      </c>
      <c r="Q78" s="186"/>
    </row>
    <row r="79">
      <c r="A79" s="125" t="s">
        <v>16</v>
      </c>
      <c r="B79" s="126">
        <v>4320.0</v>
      </c>
      <c r="C79" s="125" t="s">
        <v>17</v>
      </c>
      <c r="D79" s="244" t="s">
        <v>497</v>
      </c>
      <c r="E79" s="221">
        <v>0.0</v>
      </c>
      <c r="F79" s="193" t="s">
        <v>498</v>
      </c>
      <c r="G79" s="239"/>
      <c r="H79" s="201">
        <v>37026.0</v>
      </c>
      <c r="I79" s="246">
        <v>45628.0</v>
      </c>
      <c r="J79" s="240"/>
      <c r="K79" s="149">
        <v>30.0</v>
      </c>
      <c r="L79" s="185">
        <v>45627.0</v>
      </c>
      <c r="M79" s="185">
        <v>45657.0</v>
      </c>
      <c r="N79" s="186">
        <f t="shared" si="1"/>
        <v>359</v>
      </c>
      <c r="O79" s="186">
        <f t="shared" si="2"/>
        <v>1795</v>
      </c>
      <c r="P79" s="186">
        <f t="shared" si="3"/>
        <v>2154</v>
      </c>
      <c r="Q79" s="186"/>
    </row>
    <row r="80">
      <c r="A80" s="125" t="s">
        <v>16</v>
      </c>
      <c r="B80" s="126">
        <v>4320.0</v>
      </c>
      <c r="C80" s="125" t="s">
        <v>17</v>
      </c>
      <c r="D80" s="244" t="s">
        <v>499</v>
      </c>
      <c r="E80" s="221">
        <v>0.0</v>
      </c>
      <c r="F80" s="193" t="s">
        <v>500</v>
      </c>
      <c r="G80" s="239"/>
      <c r="H80" s="183">
        <v>36144.0</v>
      </c>
      <c r="I80" s="245">
        <v>45628.0</v>
      </c>
      <c r="J80" s="240"/>
      <c r="K80" s="149">
        <v>30.0</v>
      </c>
      <c r="L80" s="185">
        <v>45627.0</v>
      </c>
      <c r="M80" s="185">
        <v>45657.0</v>
      </c>
      <c r="N80" s="186">
        <f t="shared" si="1"/>
        <v>359</v>
      </c>
      <c r="O80" s="186">
        <f t="shared" si="2"/>
        <v>1795</v>
      </c>
      <c r="P80" s="186">
        <f t="shared" si="3"/>
        <v>2154</v>
      </c>
      <c r="Q80" s="186"/>
    </row>
    <row r="81">
      <c r="A81" s="127" t="s">
        <v>16</v>
      </c>
      <c r="B81" s="129">
        <v>4320.0</v>
      </c>
      <c r="C81" s="125" t="s">
        <v>17</v>
      </c>
      <c r="D81" s="247" t="s">
        <v>501</v>
      </c>
      <c r="E81" s="221">
        <v>0.0</v>
      </c>
      <c r="F81" s="193" t="s">
        <v>502</v>
      </c>
      <c r="G81" s="239"/>
      <c r="H81" s="183">
        <v>36062.0</v>
      </c>
      <c r="I81" s="246">
        <v>45628.0</v>
      </c>
      <c r="J81" s="240"/>
      <c r="K81" s="149">
        <v>30.0</v>
      </c>
      <c r="L81" s="185">
        <v>45627.0</v>
      </c>
      <c r="M81" s="185">
        <v>45657.0</v>
      </c>
      <c r="N81" s="186">
        <f t="shared" si="1"/>
        <v>359</v>
      </c>
      <c r="O81" s="186">
        <f t="shared" si="2"/>
        <v>1795</v>
      </c>
      <c r="P81" s="186">
        <f t="shared" si="3"/>
        <v>2154</v>
      </c>
      <c r="Q81" s="186"/>
    </row>
    <row r="82">
      <c r="A82" s="127" t="s">
        <v>16</v>
      </c>
      <c r="B82" s="129">
        <v>4320.0</v>
      </c>
      <c r="C82" s="125" t="s">
        <v>17</v>
      </c>
      <c r="D82" s="248" t="s">
        <v>503</v>
      </c>
      <c r="E82" s="202"/>
      <c r="F82" s="66" t="s">
        <v>504</v>
      </c>
      <c r="G82" s="193"/>
      <c r="H82" s="183">
        <v>37422.0</v>
      </c>
      <c r="I82" s="249">
        <v>45635.0</v>
      </c>
      <c r="J82" s="153"/>
      <c r="K82" s="180">
        <v>23.0</v>
      </c>
      <c r="L82" s="185">
        <v>45627.0</v>
      </c>
      <c r="M82" s="185">
        <v>45657.0</v>
      </c>
      <c r="N82" s="186">
        <f t="shared" si="1"/>
        <v>275</v>
      </c>
      <c r="O82" s="186">
        <f t="shared" si="2"/>
        <v>1375</v>
      </c>
      <c r="P82" s="186">
        <f t="shared" si="3"/>
        <v>1650</v>
      </c>
      <c r="Q82" s="186"/>
    </row>
    <row r="83">
      <c r="A83" s="127" t="s">
        <v>16</v>
      </c>
      <c r="B83" s="129">
        <v>4320.0</v>
      </c>
      <c r="C83" s="125" t="s">
        <v>17</v>
      </c>
      <c r="D83" s="248" t="s">
        <v>63</v>
      </c>
      <c r="F83" s="66" t="s">
        <v>505</v>
      </c>
      <c r="H83" s="183">
        <v>36725.0</v>
      </c>
      <c r="I83" s="250">
        <v>45635.0</v>
      </c>
      <c r="K83" s="251">
        <v>23.0</v>
      </c>
      <c r="L83" s="185">
        <v>45627.0</v>
      </c>
      <c r="M83" s="185">
        <v>45657.0</v>
      </c>
      <c r="N83" s="186">
        <f t="shared" si="1"/>
        <v>275</v>
      </c>
      <c r="O83" s="186">
        <f t="shared" si="2"/>
        <v>1375</v>
      </c>
      <c r="P83" s="186">
        <f t="shared" si="3"/>
        <v>1650</v>
      </c>
    </row>
    <row r="84">
      <c r="A84" s="127" t="s">
        <v>16</v>
      </c>
      <c r="B84" s="129">
        <v>4320.0</v>
      </c>
      <c r="C84" s="125" t="s">
        <v>17</v>
      </c>
      <c r="D84" s="99" t="s">
        <v>506</v>
      </c>
      <c r="F84" s="66" t="s">
        <v>507</v>
      </c>
      <c r="H84" s="183">
        <v>36981.0</v>
      </c>
      <c r="I84" s="249">
        <v>45642.0</v>
      </c>
      <c r="K84" s="251">
        <v>16.0</v>
      </c>
      <c r="L84" s="185">
        <v>45627.0</v>
      </c>
      <c r="M84" s="185">
        <v>45657.0</v>
      </c>
      <c r="N84" s="186">
        <f t="shared" si="1"/>
        <v>191</v>
      </c>
      <c r="O84" s="186">
        <f t="shared" si="2"/>
        <v>955</v>
      </c>
      <c r="P84" s="186">
        <f t="shared" si="3"/>
        <v>1146</v>
      </c>
    </row>
    <row r="85">
      <c r="A85" s="127" t="s">
        <v>16</v>
      </c>
      <c r="B85" s="129">
        <v>4320.0</v>
      </c>
      <c r="C85" s="125" t="s">
        <v>17</v>
      </c>
      <c r="D85" s="252" t="s">
        <v>508</v>
      </c>
      <c r="F85" s="251" t="s">
        <v>509</v>
      </c>
      <c r="H85" s="183">
        <v>36637.0</v>
      </c>
      <c r="I85" s="253">
        <v>45649.0</v>
      </c>
      <c r="K85" s="251">
        <v>9.0</v>
      </c>
      <c r="L85" s="185">
        <v>45627.0</v>
      </c>
      <c r="M85" s="185">
        <v>45657.0</v>
      </c>
      <c r="N85" s="186">
        <f t="shared" si="1"/>
        <v>108</v>
      </c>
      <c r="O85" s="186">
        <f t="shared" si="2"/>
        <v>540</v>
      </c>
      <c r="P85" s="186">
        <f t="shared" si="3"/>
        <v>648</v>
      </c>
    </row>
    <row r="86">
      <c r="N86" s="228">
        <f t="shared" ref="N86:P86" si="4">sum(N2:N85)</f>
        <v>29703</v>
      </c>
      <c r="O86" s="228">
        <f t="shared" si="4"/>
        <v>148515</v>
      </c>
      <c r="P86" s="228">
        <f t="shared" si="4"/>
        <v>178218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38"/>
  </cols>
  <sheetData>
    <row r="1">
      <c r="A1" s="236" t="s">
        <v>0</v>
      </c>
      <c r="B1" s="254" t="s">
        <v>1</v>
      </c>
      <c r="C1" s="254" t="s">
        <v>2</v>
      </c>
      <c r="D1" s="254" t="s">
        <v>3</v>
      </c>
      <c r="E1" s="255" t="s">
        <v>4</v>
      </c>
      <c r="F1" s="255" t="s">
        <v>5</v>
      </c>
      <c r="G1" s="255" t="s">
        <v>6</v>
      </c>
      <c r="H1" s="254" t="s">
        <v>7</v>
      </c>
      <c r="I1" s="256" t="s">
        <v>8</v>
      </c>
      <c r="J1" s="256" t="s">
        <v>9</v>
      </c>
      <c r="K1" s="256" t="s">
        <v>10</v>
      </c>
      <c r="L1" s="256" t="s">
        <v>11</v>
      </c>
      <c r="M1" s="256" t="s">
        <v>12</v>
      </c>
      <c r="N1" s="256" t="s">
        <v>379</v>
      </c>
      <c r="O1" s="256" t="s">
        <v>14</v>
      </c>
      <c r="P1" s="256" t="s">
        <v>15</v>
      </c>
      <c r="Q1" s="175"/>
    </row>
    <row r="2">
      <c r="A2" s="176" t="s">
        <v>16</v>
      </c>
      <c r="B2" s="177">
        <v>4320.0</v>
      </c>
      <c r="C2" s="176" t="s">
        <v>17</v>
      </c>
      <c r="D2" s="179" t="s">
        <v>436</v>
      </c>
      <c r="E2" s="149" t="s">
        <v>362</v>
      </c>
      <c r="F2" s="206" t="s">
        <v>363</v>
      </c>
      <c r="G2" s="257"/>
      <c r="H2" s="183">
        <v>37149.0</v>
      </c>
      <c r="I2" s="183">
        <v>45397.0</v>
      </c>
      <c r="J2" s="258"/>
      <c r="K2" s="221">
        <v>31.0</v>
      </c>
      <c r="L2" s="185">
        <v>45658.0</v>
      </c>
      <c r="M2" s="185">
        <v>45688.0</v>
      </c>
      <c r="N2" s="135">
        <f t="shared" ref="N2:N101" si="1">ROUNDUP(K2/31*370,0)</f>
        <v>370</v>
      </c>
      <c r="O2" s="135">
        <f t="shared" ref="O2:O101" si="2">N2*5</f>
        <v>1850</v>
      </c>
      <c r="P2" s="135">
        <f t="shared" ref="P2:P101" si="3">N2+O2</f>
        <v>2220</v>
      </c>
      <c r="Q2" s="186"/>
    </row>
    <row r="3">
      <c r="A3" s="178" t="s">
        <v>16</v>
      </c>
      <c r="B3" s="180">
        <v>4320.0</v>
      </c>
      <c r="C3" s="178" t="s">
        <v>17</v>
      </c>
      <c r="D3" s="179" t="s">
        <v>407</v>
      </c>
      <c r="E3" s="149" t="s">
        <v>97</v>
      </c>
      <c r="F3" s="206" t="s">
        <v>98</v>
      </c>
      <c r="G3" s="257"/>
      <c r="H3" s="183">
        <v>36690.0</v>
      </c>
      <c r="I3" s="183">
        <v>44938.0</v>
      </c>
      <c r="J3" s="258"/>
      <c r="K3" s="221">
        <v>31.0</v>
      </c>
      <c r="L3" s="185">
        <v>45658.0</v>
      </c>
      <c r="M3" s="185">
        <v>45688.0</v>
      </c>
      <c r="N3" s="135">
        <f t="shared" si="1"/>
        <v>370</v>
      </c>
      <c r="O3" s="135">
        <f t="shared" si="2"/>
        <v>1850</v>
      </c>
      <c r="P3" s="135">
        <f t="shared" si="3"/>
        <v>2220</v>
      </c>
      <c r="Q3" s="186"/>
    </row>
    <row r="4">
      <c r="A4" s="178" t="s">
        <v>16</v>
      </c>
      <c r="B4" s="180">
        <v>4320.0</v>
      </c>
      <c r="C4" s="178" t="s">
        <v>17</v>
      </c>
      <c r="D4" s="179" t="s">
        <v>408</v>
      </c>
      <c r="E4" s="149" t="s">
        <v>409</v>
      </c>
      <c r="F4" s="206" t="s">
        <v>410</v>
      </c>
      <c r="G4" s="257"/>
      <c r="H4" s="183">
        <v>37978.0</v>
      </c>
      <c r="I4" s="183">
        <v>45453.0</v>
      </c>
      <c r="J4" s="258"/>
      <c r="K4" s="221">
        <v>31.0</v>
      </c>
      <c r="L4" s="185">
        <v>45658.0</v>
      </c>
      <c r="M4" s="185">
        <v>45688.0</v>
      </c>
      <c r="N4" s="135">
        <f t="shared" si="1"/>
        <v>370</v>
      </c>
      <c r="O4" s="135">
        <f t="shared" si="2"/>
        <v>1850</v>
      </c>
      <c r="P4" s="135">
        <f t="shared" si="3"/>
        <v>2220</v>
      </c>
      <c r="Q4" s="186"/>
    </row>
    <row r="5">
      <c r="A5" s="178" t="s">
        <v>16</v>
      </c>
      <c r="B5" s="180">
        <v>4320.0</v>
      </c>
      <c r="C5" s="178" t="s">
        <v>17</v>
      </c>
      <c r="D5" s="179" t="s">
        <v>246</v>
      </c>
      <c r="E5" s="149" t="s">
        <v>31</v>
      </c>
      <c r="F5" s="206" t="s">
        <v>32</v>
      </c>
      <c r="G5" s="257"/>
      <c r="H5" s="183">
        <v>35997.0</v>
      </c>
      <c r="I5" s="183">
        <v>45061.0</v>
      </c>
      <c r="J5" s="258"/>
      <c r="K5" s="221">
        <v>31.0</v>
      </c>
      <c r="L5" s="185">
        <v>45658.0</v>
      </c>
      <c r="M5" s="185">
        <v>45688.0</v>
      </c>
      <c r="N5" s="135">
        <f t="shared" si="1"/>
        <v>370</v>
      </c>
      <c r="O5" s="135">
        <f t="shared" si="2"/>
        <v>1850</v>
      </c>
      <c r="P5" s="135">
        <f t="shared" si="3"/>
        <v>2220</v>
      </c>
      <c r="Q5" s="186"/>
    </row>
    <row r="6">
      <c r="A6" s="176" t="s">
        <v>16</v>
      </c>
      <c r="B6" s="177">
        <v>4320.0</v>
      </c>
      <c r="C6" s="176" t="s">
        <v>17</v>
      </c>
      <c r="D6" s="179" t="s">
        <v>316</v>
      </c>
      <c r="E6" s="149" t="s">
        <v>317</v>
      </c>
      <c r="F6" s="206" t="s">
        <v>318</v>
      </c>
      <c r="G6" s="257"/>
      <c r="H6" s="183">
        <v>37274.0</v>
      </c>
      <c r="I6" s="183">
        <v>45362.0</v>
      </c>
      <c r="J6" s="259"/>
      <c r="K6" s="221">
        <v>31.0</v>
      </c>
      <c r="L6" s="185">
        <v>45658.0</v>
      </c>
      <c r="M6" s="185">
        <v>45688.0</v>
      </c>
      <c r="N6" s="135">
        <f t="shared" si="1"/>
        <v>370</v>
      </c>
      <c r="O6" s="135">
        <f t="shared" si="2"/>
        <v>1850</v>
      </c>
      <c r="P6" s="135">
        <f t="shared" si="3"/>
        <v>2220</v>
      </c>
      <c r="Q6" s="186"/>
    </row>
    <row r="7">
      <c r="A7" s="176" t="s">
        <v>16</v>
      </c>
      <c r="B7" s="177">
        <v>4320.0</v>
      </c>
      <c r="C7" s="176" t="s">
        <v>17</v>
      </c>
      <c r="D7" s="179" t="s">
        <v>264</v>
      </c>
      <c r="E7" s="149" t="s">
        <v>265</v>
      </c>
      <c r="F7" s="206" t="s">
        <v>266</v>
      </c>
      <c r="G7" s="257"/>
      <c r="H7" s="201">
        <v>37398.0</v>
      </c>
      <c r="I7" s="183">
        <v>45096.0</v>
      </c>
      <c r="J7" s="258"/>
      <c r="K7" s="221">
        <v>31.0</v>
      </c>
      <c r="L7" s="185">
        <v>45658.0</v>
      </c>
      <c r="M7" s="185">
        <v>45688.0</v>
      </c>
      <c r="N7" s="135">
        <f t="shared" si="1"/>
        <v>370</v>
      </c>
      <c r="O7" s="135">
        <f t="shared" si="2"/>
        <v>1850</v>
      </c>
      <c r="P7" s="135">
        <f t="shared" si="3"/>
        <v>2220</v>
      </c>
      <c r="Q7" s="186"/>
    </row>
    <row r="8">
      <c r="A8" s="176" t="s">
        <v>16</v>
      </c>
      <c r="B8" s="177">
        <v>4320.0</v>
      </c>
      <c r="C8" s="176" t="s">
        <v>17</v>
      </c>
      <c r="D8" s="179" t="s">
        <v>411</v>
      </c>
      <c r="E8" s="149" t="s">
        <v>412</v>
      </c>
      <c r="F8" s="206" t="s">
        <v>413</v>
      </c>
      <c r="G8" s="257"/>
      <c r="H8" s="183">
        <v>33230.0</v>
      </c>
      <c r="I8" s="201">
        <v>45453.0</v>
      </c>
      <c r="J8" s="258"/>
      <c r="K8" s="221">
        <v>31.0</v>
      </c>
      <c r="L8" s="185">
        <v>45658.0</v>
      </c>
      <c r="M8" s="185">
        <v>45688.0</v>
      </c>
      <c r="N8" s="135">
        <f t="shared" si="1"/>
        <v>370</v>
      </c>
      <c r="O8" s="135">
        <f t="shared" si="2"/>
        <v>1850</v>
      </c>
      <c r="P8" s="135">
        <f t="shared" si="3"/>
        <v>2220</v>
      </c>
      <c r="Q8" s="186"/>
    </row>
    <row r="9">
      <c r="A9" s="178" t="s">
        <v>16</v>
      </c>
      <c r="B9" s="180">
        <v>4320.0</v>
      </c>
      <c r="C9" s="178" t="s">
        <v>17</v>
      </c>
      <c r="D9" s="179" t="s">
        <v>282</v>
      </c>
      <c r="E9" s="149" t="s">
        <v>283</v>
      </c>
      <c r="F9" s="206" t="s">
        <v>284</v>
      </c>
      <c r="G9" s="257"/>
      <c r="H9" s="183">
        <v>35047.0</v>
      </c>
      <c r="I9" s="183">
        <v>45257.0</v>
      </c>
      <c r="J9" s="258"/>
      <c r="K9" s="221">
        <v>31.0</v>
      </c>
      <c r="L9" s="185">
        <v>45658.0</v>
      </c>
      <c r="M9" s="185">
        <v>45688.0</v>
      </c>
      <c r="N9" s="135">
        <f t="shared" si="1"/>
        <v>370</v>
      </c>
      <c r="O9" s="135">
        <f t="shared" si="2"/>
        <v>1850</v>
      </c>
      <c r="P9" s="135">
        <f t="shared" si="3"/>
        <v>2220</v>
      </c>
      <c r="Q9" s="186"/>
    </row>
    <row r="10">
      <c r="A10" s="176" t="s">
        <v>16</v>
      </c>
      <c r="B10" s="177">
        <v>4320.0</v>
      </c>
      <c r="C10" s="176" t="s">
        <v>17</v>
      </c>
      <c r="D10" s="179" t="s">
        <v>45</v>
      </c>
      <c r="E10" s="149" t="s">
        <v>46</v>
      </c>
      <c r="F10" s="206" t="s">
        <v>47</v>
      </c>
      <c r="G10" s="257"/>
      <c r="H10" s="183">
        <v>37370.0</v>
      </c>
      <c r="I10" s="183">
        <v>44739.0</v>
      </c>
      <c r="J10" s="258"/>
      <c r="K10" s="221">
        <v>31.0</v>
      </c>
      <c r="L10" s="185">
        <v>45658.0</v>
      </c>
      <c r="M10" s="185">
        <v>45688.0</v>
      </c>
      <c r="N10" s="135">
        <f t="shared" si="1"/>
        <v>370</v>
      </c>
      <c r="O10" s="135">
        <f t="shared" si="2"/>
        <v>1850</v>
      </c>
      <c r="P10" s="135">
        <f t="shared" si="3"/>
        <v>2220</v>
      </c>
      <c r="Q10" s="186"/>
    </row>
    <row r="11">
      <c r="A11" s="176" t="s">
        <v>16</v>
      </c>
      <c r="B11" s="177">
        <v>4320.0</v>
      </c>
      <c r="C11" s="176" t="s">
        <v>17</v>
      </c>
      <c r="D11" s="179" t="s">
        <v>48</v>
      </c>
      <c r="E11" s="149" t="s">
        <v>49</v>
      </c>
      <c r="F11" s="206" t="s">
        <v>50</v>
      </c>
      <c r="G11" s="257"/>
      <c r="H11" s="183">
        <v>36399.0</v>
      </c>
      <c r="I11" s="183">
        <v>45229.0</v>
      </c>
      <c r="J11" s="258"/>
      <c r="K11" s="221">
        <v>31.0</v>
      </c>
      <c r="L11" s="185">
        <v>45658.0</v>
      </c>
      <c r="M11" s="185">
        <v>45688.0</v>
      </c>
      <c r="N11" s="135">
        <f t="shared" si="1"/>
        <v>370</v>
      </c>
      <c r="O11" s="135">
        <f t="shared" si="2"/>
        <v>1850</v>
      </c>
      <c r="P11" s="135">
        <f t="shared" si="3"/>
        <v>2220</v>
      </c>
      <c r="Q11" s="186"/>
    </row>
    <row r="12">
      <c r="A12" s="178" t="s">
        <v>16</v>
      </c>
      <c r="B12" s="180">
        <v>4320.0</v>
      </c>
      <c r="C12" s="178" t="s">
        <v>17</v>
      </c>
      <c r="D12" s="179" t="s">
        <v>444</v>
      </c>
      <c r="E12" s="149" t="s">
        <v>320</v>
      </c>
      <c r="F12" s="206" t="s">
        <v>321</v>
      </c>
      <c r="G12" s="257"/>
      <c r="H12" s="183">
        <v>36360.0</v>
      </c>
      <c r="I12" s="183">
        <v>45355.0</v>
      </c>
      <c r="J12" s="258"/>
      <c r="K12" s="221">
        <v>31.0</v>
      </c>
      <c r="L12" s="185">
        <v>45658.0</v>
      </c>
      <c r="M12" s="185">
        <v>45688.0</v>
      </c>
      <c r="N12" s="135">
        <f t="shared" si="1"/>
        <v>370</v>
      </c>
      <c r="O12" s="135">
        <f t="shared" si="2"/>
        <v>1850</v>
      </c>
      <c r="P12" s="135">
        <f t="shared" si="3"/>
        <v>2220</v>
      </c>
      <c r="Q12" s="186"/>
    </row>
    <row r="13">
      <c r="A13" s="178" t="s">
        <v>16</v>
      </c>
      <c r="B13" s="180">
        <v>4320.0</v>
      </c>
      <c r="C13" s="178" t="s">
        <v>17</v>
      </c>
      <c r="D13" s="179" t="s">
        <v>383</v>
      </c>
      <c r="E13" s="149" t="s">
        <v>384</v>
      </c>
      <c r="F13" s="206" t="s">
        <v>385</v>
      </c>
      <c r="G13" s="257"/>
      <c r="H13" s="183">
        <v>36183.0</v>
      </c>
      <c r="I13" s="183">
        <v>45418.0</v>
      </c>
      <c r="J13" s="258"/>
      <c r="K13" s="221">
        <v>31.0</v>
      </c>
      <c r="L13" s="185">
        <v>45658.0</v>
      </c>
      <c r="M13" s="185">
        <v>45688.0</v>
      </c>
      <c r="N13" s="135">
        <f t="shared" si="1"/>
        <v>370</v>
      </c>
      <c r="O13" s="135">
        <f t="shared" si="2"/>
        <v>1850</v>
      </c>
      <c r="P13" s="135">
        <f t="shared" si="3"/>
        <v>2220</v>
      </c>
      <c r="Q13" s="186"/>
    </row>
    <row r="14">
      <c r="A14" s="176" t="s">
        <v>16</v>
      </c>
      <c r="B14" s="177">
        <v>4320.0</v>
      </c>
      <c r="C14" s="176" t="s">
        <v>17</v>
      </c>
      <c r="D14" s="179" t="s">
        <v>285</v>
      </c>
      <c r="E14" s="149" t="s">
        <v>286</v>
      </c>
      <c r="F14" s="206" t="s">
        <v>287</v>
      </c>
      <c r="G14" s="257"/>
      <c r="H14" s="201">
        <v>37377.0</v>
      </c>
      <c r="I14" s="183">
        <v>45334.0</v>
      </c>
      <c r="J14" s="258"/>
      <c r="K14" s="221">
        <v>31.0</v>
      </c>
      <c r="L14" s="185">
        <v>45658.0</v>
      </c>
      <c r="M14" s="185">
        <v>45688.0</v>
      </c>
      <c r="N14" s="135">
        <f t="shared" si="1"/>
        <v>370</v>
      </c>
      <c r="O14" s="135">
        <f t="shared" si="2"/>
        <v>1850</v>
      </c>
      <c r="P14" s="135">
        <f t="shared" si="3"/>
        <v>2220</v>
      </c>
      <c r="Q14" s="186"/>
    </row>
    <row r="15">
      <c r="A15" s="176" t="s">
        <v>16</v>
      </c>
      <c r="B15" s="177">
        <v>4320.0</v>
      </c>
      <c r="C15" s="176" t="s">
        <v>17</v>
      </c>
      <c r="D15" s="179" t="s">
        <v>288</v>
      </c>
      <c r="E15" s="149" t="s">
        <v>289</v>
      </c>
      <c r="F15" s="206" t="s">
        <v>290</v>
      </c>
      <c r="G15" s="257"/>
      <c r="H15" s="183">
        <v>37047.0</v>
      </c>
      <c r="I15" s="183">
        <v>45257.0</v>
      </c>
      <c r="J15" s="259"/>
      <c r="K15" s="221">
        <v>31.0</v>
      </c>
      <c r="L15" s="185">
        <v>45658.0</v>
      </c>
      <c r="M15" s="185">
        <v>45688.0</v>
      </c>
      <c r="N15" s="135">
        <f t="shared" si="1"/>
        <v>370</v>
      </c>
      <c r="O15" s="135">
        <f t="shared" si="2"/>
        <v>1850</v>
      </c>
      <c r="P15" s="135">
        <f t="shared" si="3"/>
        <v>2220</v>
      </c>
      <c r="Q15" s="186"/>
    </row>
    <row r="16">
      <c r="A16" s="178" t="s">
        <v>16</v>
      </c>
      <c r="B16" s="180">
        <v>4320.0</v>
      </c>
      <c r="C16" s="178" t="s">
        <v>17</v>
      </c>
      <c r="D16" s="179" t="s">
        <v>51</v>
      </c>
      <c r="E16" s="149" t="s">
        <v>52</v>
      </c>
      <c r="F16" s="206" t="s">
        <v>53</v>
      </c>
      <c r="G16" s="257"/>
      <c r="H16" s="183">
        <v>34601.0</v>
      </c>
      <c r="I16" s="201">
        <v>44986.0</v>
      </c>
      <c r="J16" s="258"/>
      <c r="K16" s="221">
        <v>31.0</v>
      </c>
      <c r="L16" s="185">
        <v>45658.0</v>
      </c>
      <c r="M16" s="185">
        <v>45688.0</v>
      </c>
      <c r="N16" s="135">
        <f t="shared" si="1"/>
        <v>370</v>
      </c>
      <c r="O16" s="135">
        <f t="shared" si="2"/>
        <v>1850</v>
      </c>
      <c r="P16" s="135">
        <f t="shared" si="3"/>
        <v>2220</v>
      </c>
      <c r="Q16" s="186"/>
    </row>
    <row r="17">
      <c r="A17" s="176" t="s">
        <v>16</v>
      </c>
      <c r="B17" s="177">
        <v>4320.0</v>
      </c>
      <c r="C17" s="176" t="s">
        <v>17</v>
      </c>
      <c r="D17" s="179" t="s">
        <v>445</v>
      </c>
      <c r="E17" s="149" t="s">
        <v>510</v>
      </c>
      <c r="F17" s="206" t="s">
        <v>447</v>
      </c>
      <c r="G17" s="257"/>
      <c r="H17" s="183">
        <v>37047.0</v>
      </c>
      <c r="I17" s="183">
        <v>45505.0</v>
      </c>
      <c r="J17" s="258"/>
      <c r="K17" s="221">
        <v>31.0</v>
      </c>
      <c r="L17" s="185">
        <v>45658.0</v>
      </c>
      <c r="M17" s="185">
        <v>45688.0</v>
      </c>
      <c r="N17" s="135">
        <f t="shared" si="1"/>
        <v>370</v>
      </c>
      <c r="O17" s="135">
        <f t="shared" si="2"/>
        <v>1850</v>
      </c>
      <c r="P17" s="135">
        <f t="shared" si="3"/>
        <v>2220</v>
      </c>
      <c r="Q17" s="186"/>
    </row>
    <row r="18">
      <c r="A18" s="176" t="s">
        <v>16</v>
      </c>
      <c r="B18" s="177">
        <v>4320.0</v>
      </c>
      <c r="C18" s="176" t="s">
        <v>17</v>
      </c>
      <c r="D18" s="179" t="s">
        <v>467</v>
      </c>
      <c r="E18" s="149" t="s">
        <v>511</v>
      </c>
      <c r="F18" s="206" t="s">
        <v>450</v>
      </c>
      <c r="G18" s="257"/>
      <c r="H18" s="183">
        <v>36682.0</v>
      </c>
      <c r="I18" s="183">
        <v>45505.0</v>
      </c>
      <c r="J18" s="258"/>
      <c r="K18" s="221">
        <v>31.0</v>
      </c>
      <c r="L18" s="185">
        <v>45658.0</v>
      </c>
      <c r="M18" s="185">
        <v>45688.0</v>
      </c>
      <c r="N18" s="135">
        <f t="shared" si="1"/>
        <v>370</v>
      </c>
      <c r="O18" s="135">
        <f t="shared" si="2"/>
        <v>1850</v>
      </c>
      <c r="P18" s="135">
        <f t="shared" si="3"/>
        <v>2220</v>
      </c>
      <c r="Q18" s="186"/>
    </row>
    <row r="19">
      <c r="A19" s="176" t="s">
        <v>16</v>
      </c>
      <c r="B19" s="177">
        <v>4320.0</v>
      </c>
      <c r="C19" s="176" t="s">
        <v>17</v>
      </c>
      <c r="D19" s="179" t="s">
        <v>291</v>
      </c>
      <c r="E19" s="149" t="s">
        <v>292</v>
      </c>
      <c r="F19" s="206" t="s">
        <v>293</v>
      </c>
      <c r="G19" s="257"/>
      <c r="H19" s="183">
        <v>37219.0</v>
      </c>
      <c r="I19" s="183">
        <v>45257.0</v>
      </c>
      <c r="J19" s="258"/>
      <c r="K19" s="221">
        <v>31.0</v>
      </c>
      <c r="L19" s="185">
        <v>45658.0</v>
      </c>
      <c r="M19" s="185">
        <v>45688.0</v>
      </c>
      <c r="N19" s="135">
        <f t="shared" si="1"/>
        <v>370</v>
      </c>
      <c r="O19" s="135">
        <f t="shared" si="2"/>
        <v>1850</v>
      </c>
      <c r="P19" s="135">
        <f t="shared" si="3"/>
        <v>2220</v>
      </c>
      <c r="Q19" s="186"/>
    </row>
    <row r="20">
      <c r="A20" s="176" t="s">
        <v>16</v>
      </c>
      <c r="B20" s="177">
        <v>4320.0</v>
      </c>
      <c r="C20" s="176" t="s">
        <v>17</v>
      </c>
      <c r="D20" s="179" t="s">
        <v>60</v>
      </c>
      <c r="E20" s="149" t="s">
        <v>61</v>
      </c>
      <c r="F20" s="206" t="s">
        <v>62</v>
      </c>
      <c r="G20" s="257"/>
      <c r="H20" s="183">
        <v>36246.0</v>
      </c>
      <c r="I20" s="183">
        <v>44851.0</v>
      </c>
      <c r="J20" s="258"/>
      <c r="K20" s="221">
        <v>31.0</v>
      </c>
      <c r="L20" s="185">
        <v>45658.0</v>
      </c>
      <c r="M20" s="185">
        <v>45688.0</v>
      </c>
      <c r="N20" s="135">
        <f t="shared" si="1"/>
        <v>370</v>
      </c>
      <c r="O20" s="135">
        <f t="shared" si="2"/>
        <v>1850</v>
      </c>
      <c r="P20" s="135">
        <f t="shared" si="3"/>
        <v>2220</v>
      </c>
      <c r="Q20" s="186"/>
    </row>
    <row r="21">
      <c r="A21" s="178" t="s">
        <v>16</v>
      </c>
      <c r="B21" s="180">
        <v>4320.0</v>
      </c>
      <c r="C21" s="178" t="s">
        <v>17</v>
      </c>
      <c r="D21" s="179" t="s">
        <v>63</v>
      </c>
      <c r="E21" s="149" t="s">
        <v>64</v>
      </c>
      <c r="F21" s="206" t="s">
        <v>65</v>
      </c>
      <c r="G21" s="257"/>
      <c r="H21" s="183">
        <v>35606.0</v>
      </c>
      <c r="I21" s="183">
        <v>44896.0</v>
      </c>
      <c r="J21" s="258"/>
      <c r="K21" s="221">
        <v>31.0</v>
      </c>
      <c r="L21" s="185">
        <v>45658.0</v>
      </c>
      <c r="M21" s="185">
        <v>45688.0</v>
      </c>
      <c r="N21" s="135">
        <f t="shared" si="1"/>
        <v>370</v>
      </c>
      <c r="O21" s="135">
        <f t="shared" si="2"/>
        <v>1850</v>
      </c>
      <c r="P21" s="135">
        <f t="shared" si="3"/>
        <v>2220</v>
      </c>
      <c r="Q21" s="186"/>
    </row>
    <row r="22">
      <c r="A22" s="176" t="s">
        <v>16</v>
      </c>
      <c r="B22" s="177">
        <v>4320.0</v>
      </c>
      <c r="C22" s="176" t="s">
        <v>17</v>
      </c>
      <c r="D22" s="179" t="s">
        <v>267</v>
      </c>
      <c r="E22" s="149" t="s">
        <v>268</v>
      </c>
      <c r="F22" s="206" t="s">
        <v>269</v>
      </c>
      <c r="G22" s="257"/>
      <c r="H22" s="183">
        <v>34590.0</v>
      </c>
      <c r="I22" s="183">
        <v>45313.0</v>
      </c>
      <c r="J22" s="258"/>
      <c r="K22" s="221">
        <v>31.0</v>
      </c>
      <c r="L22" s="185">
        <v>45658.0</v>
      </c>
      <c r="M22" s="185">
        <v>45688.0</v>
      </c>
      <c r="N22" s="135">
        <f t="shared" si="1"/>
        <v>370</v>
      </c>
      <c r="O22" s="135">
        <f t="shared" si="2"/>
        <v>1850</v>
      </c>
      <c r="P22" s="135">
        <f t="shared" si="3"/>
        <v>2220</v>
      </c>
      <c r="Q22" s="186"/>
    </row>
    <row r="23">
      <c r="A23" s="178" t="s">
        <v>16</v>
      </c>
      <c r="B23" s="180">
        <v>4320.0</v>
      </c>
      <c r="C23" s="178" t="s">
        <v>17</v>
      </c>
      <c r="D23" s="179" t="s">
        <v>69</v>
      </c>
      <c r="E23" s="149" t="s">
        <v>70</v>
      </c>
      <c r="F23" s="206" t="s">
        <v>71</v>
      </c>
      <c r="G23" s="257"/>
      <c r="H23" s="183">
        <v>36891.0</v>
      </c>
      <c r="I23" s="183">
        <v>44739.0</v>
      </c>
      <c r="J23" s="258"/>
      <c r="K23" s="221">
        <v>31.0</v>
      </c>
      <c r="L23" s="185">
        <v>45658.0</v>
      </c>
      <c r="M23" s="185">
        <v>45688.0</v>
      </c>
      <c r="N23" s="135">
        <f t="shared" si="1"/>
        <v>370</v>
      </c>
      <c r="O23" s="135">
        <f t="shared" si="2"/>
        <v>1850</v>
      </c>
      <c r="P23" s="135">
        <f t="shared" si="3"/>
        <v>2220</v>
      </c>
      <c r="Q23" s="186"/>
    </row>
    <row r="24">
      <c r="A24" s="176" t="s">
        <v>16</v>
      </c>
      <c r="B24" s="177">
        <v>4320.0</v>
      </c>
      <c r="C24" s="176" t="s">
        <v>17</v>
      </c>
      <c r="D24" s="179" t="s">
        <v>78</v>
      </c>
      <c r="E24" s="149" t="s">
        <v>79</v>
      </c>
      <c r="F24" s="206" t="s">
        <v>80</v>
      </c>
      <c r="G24" s="257"/>
      <c r="H24" s="183">
        <v>36401.0</v>
      </c>
      <c r="I24" s="183">
        <v>45096.0</v>
      </c>
      <c r="J24" s="258"/>
      <c r="K24" s="221">
        <v>31.0</v>
      </c>
      <c r="L24" s="185">
        <v>45658.0</v>
      </c>
      <c r="M24" s="185">
        <v>45688.0</v>
      </c>
      <c r="N24" s="135">
        <f t="shared" si="1"/>
        <v>370</v>
      </c>
      <c r="O24" s="135">
        <f t="shared" si="2"/>
        <v>1850</v>
      </c>
      <c r="P24" s="135">
        <f t="shared" si="3"/>
        <v>2220</v>
      </c>
      <c r="Q24" s="186"/>
    </row>
    <row r="25">
      <c r="A25" s="176" t="s">
        <v>16</v>
      </c>
      <c r="B25" s="177">
        <v>4320.0</v>
      </c>
      <c r="C25" s="176" t="s">
        <v>17</v>
      </c>
      <c r="D25" s="179" t="s">
        <v>331</v>
      </c>
      <c r="E25" s="149" t="s">
        <v>332</v>
      </c>
      <c r="F25" s="206" t="s">
        <v>333</v>
      </c>
      <c r="G25" s="257"/>
      <c r="H25" s="183">
        <v>37958.0</v>
      </c>
      <c r="I25" s="183">
        <v>45369.0</v>
      </c>
      <c r="J25" s="258"/>
      <c r="K25" s="221">
        <v>31.0</v>
      </c>
      <c r="L25" s="185">
        <v>45658.0</v>
      </c>
      <c r="M25" s="185">
        <v>45688.0</v>
      </c>
      <c r="N25" s="135">
        <f t="shared" si="1"/>
        <v>370</v>
      </c>
      <c r="O25" s="135">
        <f t="shared" si="2"/>
        <v>1850</v>
      </c>
      <c r="P25" s="135">
        <f t="shared" si="3"/>
        <v>2220</v>
      </c>
      <c r="Q25" s="186"/>
    </row>
    <row r="26">
      <c r="A26" s="176" t="s">
        <v>16</v>
      </c>
      <c r="B26" s="177">
        <v>4320.0</v>
      </c>
      <c r="C26" s="176" t="s">
        <v>17</v>
      </c>
      <c r="D26" s="179" t="s">
        <v>392</v>
      </c>
      <c r="E26" s="149" t="s">
        <v>393</v>
      </c>
      <c r="F26" s="206" t="s">
        <v>394</v>
      </c>
      <c r="G26" s="257"/>
      <c r="H26" s="183">
        <v>34922.0</v>
      </c>
      <c r="I26" s="183">
        <v>45418.0</v>
      </c>
      <c r="J26" s="258"/>
      <c r="K26" s="221">
        <v>31.0</v>
      </c>
      <c r="L26" s="185">
        <v>45658.0</v>
      </c>
      <c r="M26" s="185">
        <v>45688.0</v>
      </c>
      <c r="N26" s="135">
        <f t="shared" si="1"/>
        <v>370</v>
      </c>
      <c r="O26" s="135">
        <f t="shared" si="2"/>
        <v>1850</v>
      </c>
      <c r="P26" s="135">
        <f t="shared" si="3"/>
        <v>2220</v>
      </c>
      <c r="Q26" s="186"/>
    </row>
    <row r="27">
      <c r="A27" s="176" t="s">
        <v>16</v>
      </c>
      <c r="B27" s="177">
        <v>4320.0</v>
      </c>
      <c r="C27" s="176" t="s">
        <v>17</v>
      </c>
      <c r="D27" s="179" t="s">
        <v>451</v>
      </c>
      <c r="E27" s="149" t="s">
        <v>512</v>
      </c>
      <c r="F27" s="206" t="s">
        <v>415</v>
      </c>
      <c r="G27" s="257"/>
      <c r="H27" s="183">
        <v>36443.0</v>
      </c>
      <c r="I27" s="183">
        <v>45446.0</v>
      </c>
      <c r="J27" s="258"/>
      <c r="K27" s="221">
        <v>31.0</v>
      </c>
      <c r="L27" s="185">
        <v>45658.0</v>
      </c>
      <c r="M27" s="185">
        <v>45688.0</v>
      </c>
      <c r="N27" s="135">
        <f t="shared" si="1"/>
        <v>370</v>
      </c>
      <c r="O27" s="135">
        <f t="shared" si="2"/>
        <v>1850</v>
      </c>
      <c r="P27" s="135">
        <f t="shared" si="3"/>
        <v>2220</v>
      </c>
      <c r="Q27" s="186"/>
    </row>
    <row r="28">
      <c r="A28" s="176" t="s">
        <v>16</v>
      </c>
      <c r="B28" s="177">
        <v>4320.0</v>
      </c>
      <c r="C28" s="176" t="s">
        <v>17</v>
      </c>
      <c r="D28" s="179" t="s">
        <v>87</v>
      </c>
      <c r="E28" s="149" t="s">
        <v>88</v>
      </c>
      <c r="F28" s="206" t="s">
        <v>89</v>
      </c>
      <c r="G28" s="257"/>
      <c r="H28" s="183">
        <v>33737.0</v>
      </c>
      <c r="I28" s="183">
        <v>45139.0</v>
      </c>
      <c r="J28" s="258"/>
      <c r="K28" s="221">
        <v>31.0</v>
      </c>
      <c r="L28" s="185">
        <v>45658.0</v>
      </c>
      <c r="M28" s="185">
        <v>45688.0</v>
      </c>
      <c r="N28" s="135">
        <f t="shared" si="1"/>
        <v>370</v>
      </c>
      <c r="O28" s="135">
        <f t="shared" si="2"/>
        <v>1850</v>
      </c>
      <c r="P28" s="135">
        <f t="shared" si="3"/>
        <v>2220</v>
      </c>
      <c r="Q28" s="186"/>
    </row>
    <row r="29">
      <c r="A29" s="178" t="s">
        <v>16</v>
      </c>
      <c r="B29" s="180">
        <v>4320.0</v>
      </c>
      <c r="C29" s="178" t="s">
        <v>17</v>
      </c>
      <c r="D29" s="179" t="s">
        <v>337</v>
      </c>
      <c r="E29" s="149" t="s">
        <v>338</v>
      </c>
      <c r="F29" s="206" t="s">
        <v>339</v>
      </c>
      <c r="G29" s="257"/>
      <c r="H29" s="201">
        <v>37539.0</v>
      </c>
      <c r="I29" s="201">
        <v>45362.0</v>
      </c>
      <c r="J29" s="211">
        <v>45658.0</v>
      </c>
      <c r="K29" s="221">
        <v>0.0</v>
      </c>
      <c r="L29" s="185">
        <v>45658.0</v>
      </c>
      <c r="M29" s="185">
        <v>45688.0</v>
      </c>
      <c r="N29" s="135">
        <f t="shared" si="1"/>
        <v>0</v>
      </c>
      <c r="O29" s="135">
        <f t="shared" si="2"/>
        <v>0</v>
      </c>
      <c r="P29" s="135">
        <f t="shared" si="3"/>
        <v>0</v>
      </c>
      <c r="Q29" s="186"/>
    </row>
    <row r="30">
      <c r="A30" s="178" t="s">
        <v>16</v>
      </c>
      <c r="B30" s="180">
        <v>4320.0</v>
      </c>
      <c r="C30" s="178" t="s">
        <v>17</v>
      </c>
      <c r="D30" s="179" t="s">
        <v>452</v>
      </c>
      <c r="E30" s="149" t="s">
        <v>513</v>
      </c>
      <c r="F30" s="206" t="s">
        <v>454</v>
      </c>
      <c r="G30" s="257"/>
      <c r="H30" s="183">
        <v>37834.0</v>
      </c>
      <c r="I30" s="183">
        <v>45505.0</v>
      </c>
      <c r="J30" s="211">
        <v>45667.0</v>
      </c>
      <c r="K30" s="221">
        <v>10.0</v>
      </c>
      <c r="L30" s="185">
        <v>45658.0</v>
      </c>
      <c r="M30" s="185">
        <v>45688.0</v>
      </c>
      <c r="N30" s="135">
        <f t="shared" si="1"/>
        <v>120</v>
      </c>
      <c r="O30" s="135">
        <f t="shared" si="2"/>
        <v>600</v>
      </c>
      <c r="P30" s="135">
        <f t="shared" si="3"/>
        <v>720</v>
      </c>
      <c r="Q30" s="186"/>
    </row>
    <row r="31">
      <c r="A31" s="178" t="s">
        <v>16</v>
      </c>
      <c r="B31" s="180">
        <v>4320.0</v>
      </c>
      <c r="C31" s="178" t="s">
        <v>17</v>
      </c>
      <c r="D31" s="179" t="s">
        <v>102</v>
      </c>
      <c r="E31" s="149" t="s">
        <v>103</v>
      </c>
      <c r="F31" s="206" t="s">
        <v>104</v>
      </c>
      <c r="G31" s="257"/>
      <c r="H31" s="183">
        <v>33240.0</v>
      </c>
      <c r="I31" s="183">
        <v>44287.0</v>
      </c>
      <c r="J31" s="258"/>
      <c r="K31" s="221">
        <v>31.0</v>
      </c>
      <c r="L31" s="185">
        <v>45658.0</v>
      </c>
      <c r="M31" s="185">
        <v>45688.0</v>
      </c>
      <c r="N31" s="135">
        <f t="shared" si="1"/>
        <v>370</v>
      </c>
      <c r="O31" s="135">
        <f t="shared" si="2"/>
        <v>1850</v>
      </c>
      <c r="P31" s="135">
        <f t="shared" si="3"/>
        <v>2220</v>
      </c>
      <c r="Q31" s="186"/>
    </row>
    <row r="32">
      <c r="A32" s="178" t="s">
        <v>16</v>
      </c>
      <c r="B32" s="180">
        <v>4320.0</v>
      </c>
      <c r="C32" s="178" t="s">
        <v>17</v>
      </c>
      <c r="D32" s="179" t="s">
        <v>255</v>
      </c>
      <c r="E32" s="149" t="s">
        <v>256</v>
      </c>
      <c r="F32" s="206" t="s">
        <v>257</v>
      </c>
      <c r="G32" s="257"/>
      <c r="H32" s="183">
        <v>35173.0</v>
      </c>
      <c r="I32" s="183">
        <v>45264.0</v>
      </c>
      <c r="J32" s="259"/>
      <c r="K32" s="221">
        <v>31.0</v>
      </c>
      <c r="L32" s="185">
        <v>45658.0</v>
      </c>
      <c r="M32" s="185">
        <v>45688.0</v>
      </c>
      <c r="N32" s="135">
        <f t="shared" si="1"/>
        <v>370</v>
      </c>
      <c r="O32" s="135">
        <f t="shared" si="2"/>
        <v>1850</v>
      </c>
      <c r="P32" s="135">
        <f t="shared" si="3"/>
        <v>2220</v>
      </c>
      <c r="Q32" s="186"/>
    </row>
    <row r="33">
      <c r="A33" s="178" t="s">
        <v>16</v>
      </c>
      <c r="B33" s="180">
        <v>4320.0</v>
      </c>
      <c r="C33" s="178" t="s">
        <v>17</v>
      </c>
      <c r="D33" s="179" t="s">
        <v>438</v>
      </c>
      <c r="E33" s="149" t="s">
        <v>341</v>
      </c>
      <c r="F33" s="206" t="s">
        <v>342</v>
      </c>
      <c r="G33" s="257"/>
      <c r="H33" s="183">
        <v>37964.0</v>
      </c>
      <c r="I33" s="183">
        <v>45355.0</v>
      </c>
      <c r="J33" s="258"/>
      <c r="K33" s="221">
        <v>31.0</v>
      </c>
      <c r="L33" s="185">
        <v>45658.0</v>
      </c>
      <c r="M33" s="185">
        <v>45688.0</v>
      </c>
      <c r="N33" s="135">
        <f t="shared" si="1"/>
        <v>370</v>
      </c>
      <c r="O33" s="135">
        <f t="shared" si="2"/>
        <v>1850</v>
      </c>
      <c r="P33" s="135">
        <f t="shared" si="3"/>
        <v>2220</v>
      </c>
      <c r="Q33" s="186"/>
    </row>
    <row r="34">
      <c r="A34" s="178" t="s">
        <v>16</v>
      </c>
      <c r="B34" s="180">
        <v>4320.0</v>
      </c>
      <c r="C34" s="178" t="s">
        <v>17</v>
      </c>
      <c r="D34" s="179" t="s">
        <v>395</v>
      </c>
      <c r="E34" s="149" t="s">
        <v>396</v>
      </c>
      <c r="F34" s="206" t="s">
        <v>397</v>
      </c>
      <c r="G34" s="257"/>
      <c r="H34" s="183">
        <v>36557.0</v>
      </c>
      <c r="I34" s="201">
        <v>45432.0</v>
      </c>
      <c r="J34" s="258"/>
      <c r="K34" s="221">
        <v>31.0</v>
      </c>
      <c r="L34" s="185">
        <v>45658.0</v>
      </c>
      <c r="M34" s="185">
        <v>45688.0</v>
      </c>
      <c r="N34" s="135">
        <f t="shared" si="1"/>
        <v>370</v>
      </c>
      <c r="O34" s="135">
        <f t="shared" si="2"/>
        <v>1850</v>
      </c>
      <c r="P34" s="135">
        <f t="shared" si="3"/>
        <v>2220</v>
      </c>
      <c r="Q34" s="186"/>
    </row>
    <row r="35">
      <c r="A35" s="178" t="s">
        <v>16</v>
      </c>
      <c r="B35" s="180">
        <v>4320.0</v>
      </c>
      <c r="C35" s="178" t="s">
        <v>17</v>
      </c>
      <c r="D35" s="179" t="s">
        <v>370</v>
      </c>
      <c r="E35" s="149" t="s">
        <v>371</v>
      </c>
      <c r="F35" s="206" t="s">
        <v>372</v>
      </c>
      <c r="G35" s="257"/>
      <c r="H35" s="183">
        <v>35551.0</v>
      </c>
      <c r="I35" s="183">
        <v>45383.0</v>
      </c>
      <c r="J35" s="258"/>
      <c r="K35" s="221">
        <v>31.0</v>
      </c>
      <c r="L35" s="185">
        <v>45658.0</v>
      </c>
      <c r="M35" s="185">
        <v>45688.0</v>
      </c>
      <c r="N35" s="135">
        <f t="shared" si="1"/>
        <v>370</v>
      </c>
      <c r="O35" s="135">
        <f t="shared" si="2"/>
        <v>1850</v>
      </c>
      <c r="P35" s="135">
        <f t="shared" si="3"/>
        <v>2220</v>
      </c>
      <c r="Q35" s="186"/>
    </row>
    <row r="36">
      <c r="A36" s="178" t="s">
        <v>16</v>
      </c>
      <c r="B36" s="180">
        <v>4320.0</v>
      </c>
      <c r="C36" s="178" t="s">
        <v>17</v>
      </c>
      <c r="D36" s="179" t="s">
        <v>114</v>
      </c>
      <c r="E36" s="149" t="s">
        <v>514</v>
      </c>
      <c r="F36" s="206" t="s">
        <v>456</v>
      </c>
      <c r="G36" s="257"/>
      <c r="H36" s="183">
        <v>35872.0</v>
      </c>
      <c r="I36" s="183">
        <v>45523.0</v>
      </c>
      <c r="J36" s="258"/>
      <c r="K36" s="221">
        <v>31.0</v>
      </c>
      <c r="L36" s="185">
        <v>45658.0</v>
      </c>
      <c r="M36" s="185">
        <v>45688.0</v>
      </c>
      <c r="N36" s="135">
        <f t="shared" si="1"/>
        <v>370</v>
      </c>
      <c r="O36" s="135">
        <f t="shared" si="2"/>
        <v>1850</v>
      </c>
      <c r="P36" s="135">
        <f t="shared" si="3"/>
        <v>2220</v>
      </c>
      <c r="Q36" s="186"/>
    </row>
    <row r="37">
      <c r="A37" s="178" t="s">
        <v>16</v>
      </c>
      <c r="B37" s="180">
        <v>4320.0</v>
      </c>
      <c r="C37" s="178" t="s">
        <v>17</v>
      </c>
      <c r="D37" s="179" t="s">
        <v>457</v>
      </c>
      <c r="E37" s="149" t="s">
        <v>515</v>
      </c>
      <c r="F37" s="206" t="s">
        <v>458</v>
      </c>
      <c r="G37" s="257"/>
      <c r="H37" s="201">
        <v>37061.0</v>
      </c>
      <c r="I37" s="183">
        <v>45505.0</v>
      </c>
      <c r="J37" s="258"/>
      <c r="K37" s="221">
        <v>31.0</v>
      </c>
      <c r="L37" s="185">
        <v>45658.0</v>
      </c>
      <c r="M37" s="185">
        <v>45688.0</v>
      </c>
      <c r="N37" s="135">
        <f t="shared" si="1"/>
        <v>370</v>
      </c>
      <c r="O37" s="135">
        <f t="shared" si="2"/>
        <v>1850</v>
      </c>
      <c r="P37" s="135">
        <f t="shared" si="3"/>
        <v>2220</v>
      </c>
      <c r="Q37" s="186"/>
    </row>
    <row r="38">
      <c r="A38" s="176" t="s">
        <v>16</v>
      </c>
      <c r="B38" s="177">
        <v>4320.0</v>
      </c>
      <c r="C38" s="176" t="s">
        <v>17</v>
      </c>
      <c r="D38" s="179" t="s">
        <v>439</v>
      </c>
      <c r="E38" s="149" t="s">
        <v>121</v>
      </c>
      <c r="F38" s="206" t="s">
        <v>122</v>
      </c>
      <c r="G38" s="257"/>
      <c r="H38" s="183">
        <v>36794.0</v>
      </c>
      <c r="I38" s="183">
        <v>44915.0</v>
      </c>
      <c r="J38" s="258"/>
      <c r="K38" s="221">
        <v>31.0</v>
      </c>
      <c r="L38" s="185">
        <v>45658.0</v>
      </c>
      <c r="M38" s="185">
        <v>45688.0</v>
      </c>
      <c r="N38" s="135">
        <f t="shared" si="1"/>
        <v>370</v>
      </c>
      <c r="O38" s="135">
        <f t="shared" si="2"/>
        <v>1850</v>
      </c>
      <c r="P38" s="135">
        <f t="shared" si="3"/>
        <v>2220</v>
      </c>
      <c r="Q38" s="186"/>
    </row>
    <row r="39">
      <c r="A39" s="176" t="s">
        <v>16</v>
      </c>
      <c r="B39" s="177">
        <v>4320.0</v>
      </c>
      <c r="C39" s="176" t="s">
        <v>17</v>
      </c>
      <c r="D39" s="179" t="s">
        <v>343</v>
      </c>
      <c r="E39" s="149" t="s">
        <v>344</v>
      </c>
      <c r="F39" s="206" t="s">
        <v>345</v>
      </c>
      <c r="G39" s="257"/>
      <c r="H39" s="183">
        <v>36821.0</v>
      </c>
      <c r="I39" s="183">
        <v>45362.0</v>
      </c>
      <c r="J39" s="258"/>
      <c r="K39" s="221">
        <v>31.0</v>
      </c>
      <c r="L39" s="185">
        <v>45658.0</v>
      </c>
      <c r="M39" s="185">
        <v>45688.0</v>
      </c>
      <c r="N39" s="135">
        <f t="shared" si="1"/>
        <v>370</v>
      </c>
      <c r="O39" s="135">
        <f t="shared" si="2"/>
        <v>1850</v>
      </c>
      <c r="P39" s="135">
        <f t="shared" si="3"/>
        <v>2220</v>
      </c>
      <c r="Q39" s="186"/>
    </row>
    <row r="40">
      <c r="A40" s="178" t="s">
        <v>16</v>
      </c>
      <c r="B40" s="180">
        <v>4320.0</v>
      </c>
      <c r="C40" s="178" t="s">
        <v>17</v>
      </c>
      <c r="D40" s="179" t="s">
        <v>429</v>
      </c>
      <c r="E40" s="149" t="s">
        <v>516</v>
      </c>
      <c r="F40" s="206" t="s">
        <v>430</v>
      </c>
      <c r="G40" s="257"/>
      <c r="H40" s="183">
        <v>37257.0</v>
      </c>
      <c r="I40" s="183">
        <v>45481.0</v>
      </c>
      <c r="J40" s="258"/>
      <c r="K40" s="221">
        <v>31.0</v>
      </c>
      <c r="L40" s="185">
        <v>45658.0</v>
      </c>
      <c r="M40" s="185">
        <v>45688.0</v>
      </c>
      <c r="N40" s="135">
        <f t="shared" si="1"/>
        <v>370</v>
      </c>
      <c r="O40" s="135">
        <f t="shared" si="2"/>
        <v>1850</v>
      </c>
      <c r="P40" s="135">
        <f t="shared" si="3"/>
        <v>2220</v>
      </c>
      <c r="Q40" s="186"/>
    </row>
    <row r="41">
      <c r="A41" s="178" t="s">
        <v>16</v>
      </c>
      <c r="B41" s="180">
        <v>4320.0</v>
      </c>
      <c r="C41" s="178" t="s">
        <v>17</v>
      </c>
      <c r="D41" s="179" t="s">
        <v>416</v>
      </c>
      <c r="E41" s="149" t="s">
        <v>517</v>
      </c>
      <c r="F41" s="206" t="s">
        <v>417</v>
      </c>
      <c r="G41" s="257"/>
      <c r="H41" s="183">
        <v>36346.0</v>
      </c>
      <c r="I41" s="183">
        <v>45453.0</v>
      </c>
      <c r="J41" s="258"/>
      <c r="K41" s="221">
        <v>31.0</v>
      </c>
      <c r="L41" s="185">
        <v>45658.0</v>
      </c>
      <c r="M41" s="185">
        <v>45688.0</v>
      </c>
      <c r="N41" s="135">
        <f t="shared" si="1"/>
        <v>370</v>
      </c>
      <c r="O41" s="135">
        <f t="shared" si="2"/>
        <v>1850</v>
      </c>
      <c r="P41" s="135">
        <f t="shared" si="3"/>
        <v>2220</v>
      </c>
      <c r="Q41" s="186"/>
    </row>
    <row r="42">
      <c r="A42" s="178" t="s">
        <v>16</v>
      </c>
      <c r="B42" s="180">
        <v>4320.0</v>
      </c>
      <c r="C42" s="178" t="s">
        <v>17</v>
      </c>
      <c r="D42" s="179" t="s">
        <v>478</v>
      </c>
      <c r="E42" s="149" t="s">
        <v>518</v>
      </c>
      <c r="F42" s="206" t="s">
        <v>426</v>
      </c>
      <c r="G42" s="257"/>
      <c r="H42" s="183">
        <v>36530.0</v>
      </c>
      <c r="I42" s="183">
        <v>45446.0</v>
      </c>
      <c r="J42" s="258"/>
      <c r="K42" s="221">
        <v>31.0</v>
      </c>
      <c r="L42" s="185">
        <v>45658.0</v>
      </c>
      <c r="M42" s="185">
        <v>45688.0</v>
      </c>
      <c r="N42" s="135">
        <f t="shared" si="1"/>
        <v>370</v>
      </c>
      <c r="O42" s="135">
        <f t="shared" si="2"/>
        <v>1850</v>
      </c>
      <c r="P42" s="135">
        <f t="shared" si="3"/>
        <v>2220</v>
      </c>
      <c r="Q42" s="186"/>
    </row>
    <row r="43">
      <c r="A43" s="178" t="s">
        <v>16</v>
      </c>
      <c r="B43" s="180">
        <v>4320.0</v>
      </c>
      <c r="C43" s="178" t="s">
        <v>17</v>
      </c>
      <c r="D43" s="179" t="s">
        <v>132</v>
      </c>
      <c r="E43" s="149" t="s">
        <v>519</v>
      </c>
      <c r="F43" s="206" t="s">
        <v>418</v>
      </c>
      <c r="G43" s="257"/>
      <c r="H43" s="183">
        <v>37494.0</v>
      </c>
      <c r="I43" s="183">
        <v>45467.0</v>
      </c>
      <c r="J43" s="259"/>
      <c r="K43" s="221">
        <v>31.0</v>
      </c>
      <c r="L43" s="185">
        <v>45658.0</v>
      </c>
      <c r="M43" s="185">
        <v>45688.0</v>
      </c>
      <c r="N43" s="135">
        <f t="shared" si="1"/>
        <v>370</v>
      </c>
      <c r="O43" s="135">
        <f t="shared" si="2"/>
        <v>1850</v>
      </c>
      <c r="P43" s="135">
        <f t="shared" si="3"/>
        <v>2220</v>
      </c>
      <c r="Q43" s="186"/>
    </row>
    <row r="44">
      <c r="A44" s="178" t="s">
        <v>16</v>
      </c>
      <c r="B44" s="180">
        <v>4320.0</v>
      </c>
      <c r="C44" s="178" t="s">
        <v>17</v>
      </c>
      <c r="D44" s="179" t="s">
        <v>459</v>
      </c>
      <c r="E44" s="149" t="s">
        <v>374</v>
      </c>
      <c r="F44" s="206" t="s">
        <v>375</v>
      </c>
      <c r="G44" s="257"/>
      <c r="H44" s="183">
        <v>37085.0</v>
      </c>
      <c r="I44" s="201">
        <v>45400.0</v>
      </c>
      <c r="J44" s="258"/>
      <c r="K44" s="221">
        <v>31.0</v>
      </c>
      <c r="L44" s="185">
        <v>45658.0</v>
      </c>
      <c r="M44" s="185">
        <v>45688.0</v>
      </c>
      <c r="N44" s="135">
        <f t="shared" si="1"/>
        <v>370</v>
      </c>
      <c r="O44" s="135">
        <f t="shared" si="2"/>
        <v>1850</v>
      </c>
      <c r="P44" s="135">
        <f t="shared" si="3"/>
        <v>2220</v>
      </c>
      <c r="Q44" s="186"/>
    </row>
    <row r="45">
      <c r="A45" s="176" t="s">
        <v>16</v>
      </c>
      <c r="B45" s="177">
        <v>4320.0</v>
      </c>
      <c r="C45" s="176" t="s">
        <v>17</v>
      </c>
      <c r="D45" s="179" t="s">
        <v>349</v>
      </c>
      <c r="E45" s="149" t="s">
        <v>350</v>
      </c>
      <c r="F45" s="206" t="s">
        <v>351</v>
      </c>
      <c r="G45" s="257"/>
      <c r="H45" s="183">
        <v>37647.0</v>
      </c>
      <c r="I45" s="183">
        <v>45355.0</v>
      </c>
      <c r="J45" s="258"/>
      <c r="K45" s="221">
        <v>31.0</v>
      </c>
      <c r="L45" s="185">
        <v>45658.0</v>
      </c>
      <c r="M45" s="185">
        <v>45688.0</v>
      </c>
      <c r="N45" s="135">
        <f t="shared" si="1"/>
        <v>370</v>
      </c>
      <c r="O45" s="135">
        <f t="shared" si="2"/>
        <v>1850</v>
      </c>
      <c r="P45" s="135">
        <f t="shared" si="3"/>
        <v>2220</v>
      </c>
      <c r="Q45" s="186"/>
    </row>
    <row r="46">
      <c r="A46" s="178" t="s">
        <v>16</v>
      </c>
      <c r="B46" s="180">
        <v>4320.0</v>
      </c>
      <c r="C46" s="178" t="s">
        <v>17</v>
      </c>
      <c r="D46" s="179" t="s">
        <v>352</v>
      </c>
      <c r="E46" s="149" t="s">
        <v>353</v>
      </c>
      <c r="F46" s="206" t="s">
        <v>354</v>
      </c>
      <c r="G46" s="257"/>
      <c r="H46" s="183">
        <v>36412.0</v>
      </c>
      <c r="I46" s="183">
        <v>45355.0</v>
      </c>
      <c r="J46" s="258"/>
      <c r="K46" s="221">
        <v>31.0</v>
      </c>
      <c r="L46" s="185">
        <v>45658.0</v>
      </c>
      <c r="M46" s="185">
        <v>45688.0</v>
      </c>
      <c r="N46" s="135">
        <f t="shared" si="1"/>
        <v>370</v>
      </c>
      <c r="O46" s="135">
        <f t="shared" si="2"/>
        <v>1850</v>
      </c>
      <c r="P46" s="135">
        <f t="shared" si="3"/>
        <v>2220</v>
      </c>
      <c r="Q46" s="186"/>
    </row>
    <row r="47">
      <c r="A47" s="178" t="s">
        <v>16</v>
      </c>
      <c r="B47" s="180">
        <v>4320.0</v>
      </c>
      <c r="C47" s="178" t="s">
        <v>17</v>
      </c>
      <c r="D47" s="179" t="s">
        <v>419</v>
      </c>
      <c r="E47" s="149" t="s">
        <v>520</v>
      </c>
      <c r="F47" s="206" t="s">
        <v>420</v>
      </c>
      <c r="G47" s="257"/>
      <c r="H47" s="183">
        <v>36907.0</v>
      </c>
      <c r="I47" s="183">
        <v>45446.0</v>
      </c>
      <c r="J47" s="211">
        <v>45676.0</v>
      </c>
      <c r="K47" s="221">
        <v>19.0</v>
      </c>
      <c r="L47" s="185">
        <v>45658.0</v>
      </c>
      <c r="M47" s="185">
        <v>45688.0</v>
      </c>
      <c r="N47" s="135">
        <f t="shared" si="1"/>
        <v>227</v>
      </c>
      <c r="O47" s="135">
        <f t="shared" si="2"/>
        <v>1135</v>
      </c>
      <c r="P47" s="135">
        <f t="shared" si="3"/>
        <v>1362</v>
      </c>
      <c r="Q47" s="186"/>
    </row>
    <row r="48">
      <c r="A48" s="178" t="s">
        <v>16</v>
      </c>
      <c r="B48" s="180">
        <v>4320.0</v>
      </c>
      <c r="C48" s="178" t="s">
        <v>17</v>
      </c>
      <c r="D48" s="179" t="s">
        <v>273</v>
      </c>
      <c r="E48" s="149" t="s">
        <v>274</v>
      </c>
      <c r="F48" s="206" t="s">
        <v>275</v>
      </c>
      <c r="G48" s="257"/>
      <c r="H48" s="183">
        <v>34522.0</v>
      </c>
      <c r="I48" s="201">
        <v>45292.0</v>
      </c>
      <c r="J48" s="258"/>
      <c r="K48" s="221">
        <v>31.0</v>
      </c>
      <c r="L48" s="185">
        <v>45658.0</v>
      </c>
      <c r="M48" s="185">
        <v>45688.0</v>
      </c>
      <c r="N48" s="135">
        <f t="shared" si="1"/>
        <v>370</v>
      </c>
      <c r="O48" s="135">
        <f t="shared" si="2"/>
        <v>1850</v>
      </c>
      <c r="P48" s="135">
        <f t="shared" si="3"/>
        <v>2220</v>
      </c>
      <c r="Q48" s="186"/>
    </row>
    <row r="49">
      <c r="A49" s="178" t="s">
        <v>16</v>
      </c>
      <c r="B49" s="180">
        <v>4320.0</v>
      </c>
      <c r="C49" s="178" t="s">
        <v>17</v>
      </c>
      <c r="D49" s="179" t="s">
        <v>162</v>
      </c>
      <c r="E49" s="149" t="s">
        <v>163</v>
      </c>
      <c r="F49" s="206" t="s">
        <v>164</v>
      </c>
      <c r="G49" s="257"/>
      <c r="H49" s="183">
        <v>34732.0</v>
      </c>
      <c r="I49" s="183">
        <v>44986.0</v>
      </c>
      <c r="J49" s="258"/>
      <c r="K49" s="221">
        <v>31.0</v>
      </c>
      <c r="L49" s="185">
        <v>45658.0</v>
      </c>
      <c r="M49" s="185">
        <v>45688.0</v>
      </c>
      <c r="N49" s="135">
        <f t="shared" si="1"/>
        <v>370</v>
      </c>
      <c r="O49" s="135">
        <f t="shared" si="2"/>
        <v>1850</v>
      </c>
      <c r="P49" s="135">
        <f t="shared" si="3"/>
        <v>2220</v>
      </c>
      <c r="Q49" s="186"/>
    </row>
    <row r="50">
      <c r="A50" s="178" t="s">
        <v>16</v>
      </c>
      <c r="B50" s="180">
        <v>4320.0</v>
      </c>
      <c r="C50" s="178" t="s">
        <v>17</v>
      </c>
      <c r="D50" s="179" t="s">
        <v>355</v>
      </c>
      <c r="E50" s="149" t="s">
        <v>356</v>
      </c>
      <c r="F50" s="206" t="s">
        <v>357</v>
      </c>
      <c r="G50" s="257"/>
      <c r="H50" s="183">
        <v>35395.0</v>
      </c>
      <c r="I50" s="183">
        <v>45376.0</v>
      </c>
      <c r="J50" s="258"/>
      <c r="K50" s="221">
        <v>31.0</v>
      </c>
      <c r="L50" s="185">
        <v>45658.0</v>
      </c>
      <c r="M50" s="185">
        <v>45688.0</v>
      </c>
      <c r="N50" s="135">
        <f t="shared" si="1"/>
        <v>370</v>
      </c>
      <c r="O50" s="135">
        <f t="shared" si="2"/>
        <v>1850</v>
      </c>
      <c r="P50" s="135">
        <f t="shared" si="3"/>
        <v>2220</v>
      </c>
      <c r="Q50" s="186"/>
    </row>
    <row r="51">
      <c r="A51" s="178" t="s">
        <v>16</v>
      </c>
      <c r="B51" s="180">
        <v>4320.0</v>
      </c>
      <c r="C51" s="178" t="s">
        <v>17</v>
      </c>
      <c r="D51" s="179" t="s">
        <v>431</v>
      </c>
      <c r="E51" s="149" t="s">
        <v>377</v>
      </c>
      <c r="F51" s="206" t="s">
        <v>378</v>
      </c>
      <c r="G51" s="257"/>
      <c r="H51" s="183">
        <v>36289.0</v>
      </c>
      <c r="I51" s="183">
        <v>45476.0</v>
      </c>
      <c r="J51" s="258"/>
      <c r="K51" s="221">
        <v>31.0</v>
      </c>
      <c r="L51" s="185">
        <v>45658.0</v>
      </c>
      <c r="M51" s="185">
        <v>45688.0</v>
      </c>
      <c r="N51" s="135">
        <f t="shared" si="1"/>
        <v>370</v>
      </c>
      <c r="O51" s="135">
        <f t="shared" si="2"/>
        <v>1850</v>
      </c>
      <c r="P51" s="135">
        <f t="shared" si="3"/>
        <v>2220</v>
      </c>
      <c r="Q51" s="186"/>
    </row>
    <row r="52">
      <c r="A52" s="176" t="s">
        <v>16</v>
      </c>
      <c r="B52" s="177">
        <v>4320.0</v>
      </c>
      <c r="C52" s="176" t="s">
        <v>17</v>
      </c>
      <c r="D52" s="179" t="s">
        <v>183</v>
      </c>
      <c r="E52" s="149" t="s">
        <v>184</v>
      </c>
      <c r="F52" s="206" t="s">
        <v>185</v>
      </c>
      <c r="G52" s="257"/>
      <c r="H52" s="183">
        <v>36979.0</v>
      </c>
      <c r="I52" s="183">
        <v>44907.0</v>
      </c>
      <c r="J52" s="258"/>
      <c r="K52" s="221">
        <v>31.0</v>
      </c>
      <c r="L52" s="185">
        <v>45658.0</v>
      </c>
      <c r="M52" s="185">
        <v>45688.0</v>
      </c>
      <c r="N52" s="135">
        <f t="shared" si="1"/>
        <v>370</v>
      </c>
      <c r="O52" s="135">
        <f t="shared" si="2"/>
        <v>1850</v>
      </c>
      <c r="P52" s="135">
        <f t="shared" si="3"/>
        <v>2220</v>
      </c>
      <c r="Q52" s="186"/>
    </row>
    <row r="53">
      <c r="A53" s="178" t="s">
        <v>16</v>
      </c>
      <c r="B53" s="180">
        <v>4320.0</v>
      </c>
      <c r="C53" s="178" t="s">
        <v>17</v>
      </c>
      <c r="D53" s="179" t="s">
        <v>301</v>
      </c>
      <c r="E53" s="149" t="s">
        <v>302</v>
      </c>
      <c r="F53" s="206" t="s">
        <v>303</v>
      </c>
      <c r="G53" s="257"/>
      <c r="H53" s="201">
        <v>36991.0</v>
      </c>
      <c r="I53" s="183">
        <v>45205.0</v>
      </c>
      <c r="J53" s="258"/>
      <c r="K53" s="221">
        <v>31.0</v>
      </c>
      <c r="L53" s="185">
        <v>45658.0</v>
      </c>
      <c r="M53" s="185">
        <v>45688.0</v>
      </c>
      <c r="N53" s="135">
        <f t="shared" si="1"/>
        <v>370</v>
      </c>
      <c r="O53" s="135">
        <f t="shared" si="2"/>
        <v>1850</v>
      </c>
      <c r="P53" s="135">
        <f t="shared" si="3"/>
        <v>2220</v>
      </c>
      <c r="Q53" s="186"/>
    </row>
    <row r="54">
      <c r="A54" s="178" t="s">
        <v>16</v>
      </c>
      <c r="B54" s="180">
        <v>4320.0</v>
      </c>
      <c r="C54" s="178" t="s">
        <v>17</v>
      </c>
      <c r="D54" s="179" t="s">
        <v>432</v>
      </c>
      <c r="E54" s="149" t="s">
        <v>521</v>
      </c>
      <c r="F54" s="206" t="s">
        <v>433</v>
      </c>
      <c r="G54" s="257"/>
      <c r="H54" s="183">
        <v>34504.0</v>
      </c>
      <c r="I54" s="183">
        <v>45481.0</v>
      </c>
      <c r="J54" s="258"/>
      <c r="K54" s="221">
        <v>31.0</v>
      </c>
      <c r="L54" s="185">
        <v>45658.0</v>
      </c>
      <c r="M54" s="185">
        <v>45688.0</v>
      </c>
      <c r="N54" s="135">
        <f t="shared" si="1"/>
        <v>370</v>
      </c>
      <c r="O54" s="135">
        <f t="shared" si="2"/>
        <v>1850</v>
      </c>
      <c r="P54" s="135">
        <f t="shared" si="3"/>
        <v>2220</v>
      </c>
      <c r="Q54" s="186"/>
    </row>
    <row r="55">
      <c r="A55" s="178" t="s">
        <v>16</v>
      </c>
      <c r="B55" s="180">
        <v>4320.0</v>
      </c>
      <c r="C55" s="178" t="s">
        <v>17</v>
      </c>
      <c r="D55" s="179" t="s">
        <v>434</v>
      </c>
      <c r="E55" s="149" t="s">
        <v>522</v>
      </c>
      <c r="F55" s="206" t="s">
        <v>435</v>
      </c>
      <c r="G55" s="257"/>
      <c r="H55" s="183">
        <v>37446.0</v>
      </c>
      <c r="I55" s="183">
        <v>45495.0</v>
      </c>
      <c r="J55" s="258"/>
      <c r="K55" s="221">
        <v>31.0</v>
      </c>
      <c r="L55" s="185">
        <v>45658.0</v>
      </c>
      <c r="M55" s="185">
        <v>45688.0</v>
      </c>
      <c r="N55" s="135">
        <f t="shared" si="1"/>
        <v>370</v>
      </c>
      <c r="O55" s="135">
        <f t="shared" si="2"/>
        <v>1850</v>
      </c>
      <c r="P55" s="135">
        <f t="shared" si="3"/>
        <v>2220</v>
      </c>
      <c r="Q55" s="186"/>
    </row>
    <row r="56">
      <c r="A56" s="178" t="s">
        <v>16</v>
      </c>
      <c r="B56" s="180">
        <v>4320.0</v>
      </c>
      <c r="C56" s="178" t="s">
        <v>17</v>
      </c>
      <c r="D56" s="179" t="s">
        <v>460</v>
      </c>
      <c r="E56" s="149" t="s">
        <v>523</v>
      </c>
      <c r="F56" s="206" t="s">
        <v>461</v>
      </c>
      <c r="G56" s="257"/>
      <c r="H56" s="183">
        <v>36856.0</v>
      </c>
      <c r="I56" s="183">
        <v>45505.0</v>
      </c>
      <c r="J56" s="258"/>
      <c r="K56" s="221">
        <v>31.0</v>
      </c>
      <c r="L56" s="185">
        <v>45658.0</v>
      </c>
      <c r="M56" s="185">
        <v>45688.0</v>
      </c>
      <c r="N56" s="135">
        <f t="shared" si="1"/>
        <v>370</v>
      </c>
      <c r="O56" s="135">
        <f t="shared" si="2"/>
        <v>1850</v>
      </c>
      <c r="P56" s="135">
        <f t="shared" si="3"/>
        <v>2220</v>
      </c>
      <c r="Q56" s="186"/>
    </row>
    <row r="57">
      <c r="A57" s="176" t="s">
        <v>16</v>
      </c>
      <c r="B57" s="177">
        <v>4320.0</v>
      </c>
      <c r="C57" s="176" t="s">
        <v>17</v>
      </c>
      <c r="D57" s="179" t="s">
        <v>423</v>
      </c>
      <c r="E57" s="149" t="s">
        <v>524</v>
      </c>
      <c r="F57" s="206" t="s">
        <v>424</v>
      </c>
      <c r="G57" s="257"/>
      <c r="H57" s="183">
        <v>37818.0</v>
      </c>
      <c r="I57" s="183">
        <v>45467.0</v>
      </c>
      <c r="J57" s="258"/>
      <c r="K57" s="221">
        <v>31.0</v>
      </c>
      <c r="L57" s="185">
        <v>45658.0</v>
      </c>
      <c r="M57" s="185">
        <v>45688.0</v>
      </c>
      <c r="N57" s="135">
        <f t="shared" si="1"/>
        <v>370</v>
      </c>
      <c r="O57" s="135">
        <f t="shared" si="2"/>
        <v>1850</v>
      </c>
      <c r="P57" s="135">
        <f t="shared" si="3"/>
        <v>2220</v>
      </c>
      <c r="Q57" s="186"/>
    </row>
    <row r="58">
      <c r="A58" s="178" t="s">
        <v>16</v>
      </c>
      <c r="B58" s="180">
        <v>4320.0</v>
      </c>
      <c r="C58" s="178" t="s">
        <v>17</v>
      </c>
      <c r="D58" s="179" t="s">
        <v>304</v>
      </c>
      <c r="E58" s="149" t="s">
        <v>305</v>
      </c>
      <c r="F58" s="206" t="s">
        <v>306</v>
      </c>
      <c r="G58" s="257"/>
      <c r="H58" s="183">
        <v>35697.0</v>
      </c>
      <c r="I58" s="183">
        <v>45348.0</v>
      </c>
      <c r="J58" s="258"/>
      <c r="K58" s="221">
        <v>31.0</v>
      </c>
      <c r="L58" s="185">
        <v>45658.0</v>
      </c>
      <c r="M58" s="185">
        <v>45688.0</v>
      </c>
      <c r="N58" s="135">
        <f t="shared" si="1"/>
        <v>370</v>
      </c>
      <c r="O58" s="135">
        <f t="shared" si="2"/>
        <v>1850</v>
      </c>
      <c r="P58" s="135">
        <f t="shared" si="3"/>
        <v>2220</v>
      </c>
      <c r="Q58" s="186"/>
    </row>
    <row r="59">
      <c r="A59" s="178" t="s">
        <v>16</v>
      </c>
      <c r="B59" s="180">
        <v>4320.0</v>
      </c>
      <c r="C59" s="178" t="s">
        <v>17</v>
      </c>
      <c r="D59" s="179" t="s">
        <v>213</v>
      </c>
      <c r="E59" s="149" t="s">
        <v>214</v>
      </c>
      <c r="F59" s="206" t="s">
        <v>215</v>
      </c>
      <c r="G59" s="257"/>
      <c r="H59" s="183">
        <v>36797.0</v>
      </c>
      <c r="I59" s="183">
        <v>44886.0</v>
      </c>
      <c r="J59" s="258"/>
      <c r="K59" s="221">
        <v>31.0</v>
      </c>
      <c r="L59" s="185">
        <v>45658.0</v>
      </c>
      <c r="M59" s="185">
        <v>45688.0</v>
      </c>
      <c r="N59" s="135">
        <f t="shared" si="1"/>
        <v>370</v>
      </c>
      <c r="O59" s="135">
        <f t="shared" si="2"/>
        <v>1850</v>
      </c>
      <c r="P59" s="135">
        <f t="shared" si="3"/>
        <v>2220</v>
      </c>
      <c r="Q59" s="186"/>
    </row>
    <row r="60">
      <c r="A60" s="176" t="s">
        <v>16</v>
      </c>
      <c r="B60" s="177">
        <v>4320.0</v>
      </c>
      <c r="C60" s="176" t="s">
        <v>17</v>
      </c>
      <c r="D60" s="179" t="s">
        <v>427</v>
      </c>
      <c r="E60" s="149" t="s">
        <v>525</v>
      </c>
      <c r="F60" s="206" t="s">
        <v>428</v>
      </c>
      <c r="G60" s="257"/>
      <c r="H60" s="183">
        <v>36451.0</v>
      </c>
      <c r="I60" s="183">
        <v>45453.0</v>
      </c>
      <c r="J60" s="258"/>
      <c r="K60" s="221">
        <v>31.0</v>
      </c>
      <c r="L60" s="185">
        <v>45658.0</v>
      </c>
      <c r="M60" s="185">
        <v>45688.0</v>
      </c>
      <c r="N60" s="135">
        <f t="shared" si="1"/>
        <v>370</v>
      </c>
      <c r="O60" s="135">
        <f t="shared" si="2"/>
        <v>1850</v>
      </c>
      <c r="P60" s="135">
        <f t="shared" si="3"/>
        <v>2220</v>
      </c>
      <c r="Q60" s="186"/>
    </row>
    <row r="61">
      <c r="A61" s="178" t="s">
        <v>16</v>
      </c>
      <c r="B61" s="180">
        <v>4320.0</v>
      </c>
      <c r="C61" s="178" t="s">
        <v>17</v>
      </c>
      <c r="D61" s="179" t="s">
        <v>222</v>
      </c>
      <c r="E61" s="149" t="s">
        <v>223</v>
      </c>
      <c r="F61" s="206" t="s">
        <v>224</v>
      </c>
      <c r="G61" s="257"/>
      <c r="H61" s="183">
        <v>35818.0</v>
      </c>
      <c r="I61" s="183">
        <v>45089.0</v>
      </c>
      <c r="J61" s="258"/>
      <c r="K61" s="221">
        <v>31.0</v>
      </c>
      <c r="L61" s="185">
        <v>45658.0</v>
      </c>
      <c r="M61" s="185">
        <v>45688.0</v>
      </c>
      <c r="N61" s="135">
        <f t="shared" si="1"/>
        <v>370</v>
      </c>
      <c r="O61" s="135">
        <f t="shared" si="2"/>
        <v>1850</v>
      </c>
      <c r="P61" s="135">
        <f t="shared" si="3"/>
        <v>2220</v>
      </c>
      <c r="Q61" s="186"/>
    </row>
    <row r="62">
      <c r="A62" s="178" t="s">
        <v>16</v>
      </c>
      <c r="B62" s="180">
        <v>4320.0</v>
      </c>
      <c r="C62" s="178" t="s">
        <v>17</v>
      </c>
      <c r="D62" s="179" t="s">
        <v>225</v>
      </c>
      <c r="E62" s="149" t="s">
        <v>226</v>
      </c>
      <c r="F62" s="206" t="s">
        <v>227</v>
      </c>
      <c r="G62" s="257"/>
      <c r="H62" s="183">
        <v>36177.0</v>
      </c>
      <c r="I62" s="183">
        <v>45320.0</v>
      </c>
      <c r="J62" s="258"/>
      <c r="K62" s="221">
        <v>31.0</v>
      </c>
      <c r="L62" s="185">
        <v>45658.0</v>
      </c>
      <c r="M62" s="185">
        <v>45688.0</v>
      </c>
      <c r="N62" s="135">
        <f t="shared" si="1"/>
        <v>370</v>
      </c>
      <c r="O62" s="135">
        <f t="shared" si="2"/>
        <v>1850</v>
      </c>
      <c r="P62" s="135">
        <f t="shared" si="3"/>
        <v>2220</v>
      </c>
      <c r="Q62" s="186"/>
    </row>
    <row r="63">
      <c r="A63" s="178" t="s">
        <v>16</v>
      </c>
      <c r="B63" s="180">
        <v>4320.0</v>
      </c>
      <c r="C63" s="178" t="s">
        <v>17</v>
      </c>
      <c r="D63" s="179" t="s">
        <v>462</v>
      </c>
      <c r="E63" s="149" t="s">
        <v>526</v>
      </c>
      <c r="F63" s="206" t="s">
        <v>463</v>
      </c>
      <c r="G63" s="257"/>
      <c r="H63" s="183">
        <v>34588.0</v>
      </c>
      <c r="I63" s="201">
        <v>45530.0</v>
      </c>
      <c r="J63" s="258"/>
      <c r="K63" s="221">
        <v>31.0</v>
      </c>
      <c r="L63" s="185">
        <v>45658.0</v>
      </c>
      <c r="M63" s="185">
        <v>45688.0</v>
      </c>
      <c r="N63" s="135">
        <f t="shared" si="1"/>
        <v>370</v>
      </c>
      <c r="O63" s="135">
        <f t="shared" si="2"/>
        <v>1850</v>
      </c>
      <c r="P63" s="135">
        <f t="shared" si="3"/>
        <v>2220</v>
      </c>
      <c r="Q63" s="186"/>
    </row>
    <row r="64">
      <c r="A64" s="178" t="s">
        <v>16</v>
      </c>
      <c r="B64" s="180">
        <v>4320.0</v>
      </c>
      <c r="C64" s="178" t="s">
        <v>17</v>
      </c>
      <c r="D64" s="179" t="s">
        <v>468</v>
      </c>
      <c r="E64" s="149" t="s">
        <v>527</v>
      </c>
      <c r="F64" s="206" t="s">
        <v>469</v>
      </c>
      <c r="G64" s="257"/>
      <c r="H64" s="183">
        <v>35986.0</v>
      </c>
      <c r="I64" s="183">
        <v>45537.0</v>
      </c>
      <c r="J64" s="258"/>
      <c r="K64" s="221">
        <v>31.0</v>
      </c>
      <c r="L64" s="185">
        <v>45658.0</v>
      </c>
      <c r="M64" s="185">
        <v>45688.0</v>
      </c>
      <c r="N64" s="135">
        <f t="shared" si="1"/>
        <v>370</v>
      </c>
      <c r="O64" s="135">
        <f t="shared" si="2"/>
        <v>1850</v>
      </c>
      <c r="P64" s="135">
        <f t="shared" si="3"/>
        <v>2220</v>
      </c>
      <c r="Q64" s="186"/>
    </row>
    <row r="65">
      <c r="A65" s="178" t="s">
        <v>16</v>
      </c>
      <c r="B65" s="180">
        <v>4320.0</v>
      </c>
      <c r="C65" s="178" t="s">
        <v>17</v>
      </c>
      <c r="D65" s="179" t="s">
        <v>470</v>
      </c>
      <c r="E65" s="149" t="s">
        <v>528</v>
      </c>
      <c r="F65" s="206" t="s">
        <v>472</v>
      </c>
      <c r="G65" s="257"/>
      <c r="H65" s="183">
        <v>37278.0</v>
      </c>
      <c r="I65" s="183">
        <v>45544.0</v>
      </c>
      <c r="J65" s="258"/>
      <c r="K65" s="221">
        <v>31.0</v>
      </c>
      <c r="L65" s="185">
        <v>45658.0</v>
      </c>
      <c r="M65" s="185">
        <v>45688.0</v>
      </c>
      <c r="N65" s="135">
        <f t="shared" si="1"/>
        <v>370</v>
      </c>
      <c r="O65" s="135">
        <f t="shared" si="2"/>
        <v>1850</v>
      </c>
      <c r="P65" s="135">
        <f t="shared" si="3"/>
        <v>2220</v>
      </c>
      <c r="Q65" s="186"/>
    </row>
    <row r="66">
      <c r="A66" s="178" t="s">
        <v>16</v>
      </c>
      <c r="B66" s="180">
        <v>4320.0</v>
      </c>
      <c r="C66" s="178" t="s">
        <v>17</v>
      </c>
      <c r="D66" s="179" t="s">
        <v>476</v>
      </c>
      <c r="E66" s="149" t="s">
        <v>529</v>
      </c>
      <c r="F66" s="206" t="s">
        <v>477</v>
      </c>
      <c r="G66" s="257"/>
      <c r="H66" s="183">
        <v>37220.0</v>
      </c>
      <c r="I66" s="183">
        <v>45572.0</v>
      </c>
      <c r="J66" s="258"/>
      <c r="K66" s="221">
        <v>31.0</v>
      </c>
      <c r="L66" s="185">
        <v>45658.0</v>
      </c>
      <c r="M66" s="185">
        <v>45688.0</v>
      </c>
      <c r="N66" s="135">
        <f t="shared" si="1"/>
        <v>370</v>
      </c>
      <c r="O66" s="135">
        <f t="shared" si="2"/>
        <v>1850</v>
      </c>
      <c r="P66" s="135">
        <f t="shared" si="3"/>
        <v>2220</v>
      </c>
      <c r="Q66" s="186"/>
    </row>
    <row r="67">
      <c r="A67" s="178" t="s">
        <v>16</v>
      </c>
      <c r="B67" s="180">
        <v>4320.0</v>
      </c>
      <c r="C67" s="178" t="s">
        <v>17</v>
      </c>
      <c r="D67" s="179" t="s">
        <v>473</v>
      </c>
      <c r="E67" s="149" t="s">
        <v>530</v>
      </c>
      <c r="F67" s="206" t="s">
        <v>475</v>
      </c>
      <c r="G67" s="257"/>
      <c r="H67" s="183">
        <v>37459.0</v>
      </c>
      <c r="I67" s="183">
        <v>45586.0</v>
      </c>
      <c r="J67" s="258"/>
      <c r="K67" s="221">
        <v>31.0</v>
      </c>
      <c r="L67" s="185">
        <v>45658.0</v>
      </c>
      <c r="M67" s="185">
        <v>45688.0</v>
      </c>
      <c r="N67" s="135">
        <f t="shared" si="1"/>
        <v>370</v>
      </c>
      <c r="O67" s="135">
        <f t="shared" si="2"/>
        <v>1850</v>
      </c>
      <c r="P67" s="135">
        <f t="shared" si="3"/>
        <v>2220</v>
      </c>
      <c r="Q67" s="186"/>
    </row>
    <row r="68">
      <c r="A68" s="176" t="s">
        <v>16</v>
      </c>
      <c r="B68" s="177">
        <v>4320.0</v>
      </c>
      <c r="C68" s="176" t="s">
        <v>17</v>
      </c>
      <c r="D68" s="179" t="s">
        <v>481</v>
      </c>
      <c r="E68" s="149" t="s">
        <v>531</v>
      </c>
      <c r="F68" s="206" t="s">
        <v>482</v>
      </c>
      <c r="G68" s="257"/>
      <c r="H68" s="183">
        <v>35096.0</v>
      </c>
      <c r="I68" s="183">
        <v>45602.0</v>
      </c>
      <c r="J68" s="259"/>
      <c r="K68" s="221">
        <v>31.0</v>
      </c>
      <c r="L68" s="185">
        <v>45658.0</v>
      </c>
      <c r="M68" s="185">
        <v>45688.0</v>
      </c>
      <c r="N68" s="135">
        <f t="shared" si="1"/>
        <v>370</v>
      </c>
      <c r="O68" s="135">
        <f t="shared" si="2"/>
        <v>1850</v>
      </c>
      <c r="P68" s="135">
        <f t="shared" si="3"/>
        <v>2220</v>
      </c>
      <c r="Q68" s="186"/>
    </row>
    <row r="69">
      <c r="A69" s="178" t="s">
        <v>16</v>
      </c>
      <c r="B69" s="180">
        <v>4320.0</v>
      </c>
      <c r="C69" s="178" t="s">
        <v>17</v>
      </c>
      <c r="D69" s="179" t="s">
        <v>493</v>
      </c>
      <c r="E69" s="149" t="s">
        <v>532</v>
      </c>
      <c r="F69" s="206" t="s">
        <v>494</v>
      </c>
      <c r="G69" s="257"/>
      <c r="H69" s="183">
        <v>36208.0</v>
      </c>
      <c r="I69" s="183">
        <v>45602.0</v>
      </c>
      <c r="J69" s="258"/>
      <c r="K69" s="221">
        <v>31.0</v>
      </c>
      <c r="L69" s="185">
        <v>45658.0</v>
      </c>
      <c r="M69" s="185">
        <v>45688.0</v>
      </c>
      <c r="N69" s="135">
        <f t="shared" si="1"/>
        <v>370</v>
      </c>
      <c r="O69" s="135">
        <f t="shared" si="2"/>
        <v>1850</v>
      </c>
      <c r="P69" s="135">
        <f t="shared" si="3"/>
        <v>2220</v>
      </c>
      <c r="Q69" s="186"/>
    </row>
    <row r="70">
      <c r="A70" s="176" t="s">
        <v>16</v>
      </c>
      <c r="B70" s="177">
        <v>4320.0</v>
      </c>
      <c r="C70" s="176" t="s">
        <v>17</v>
      </c>
      <c r="D70" s="179" t="s">
        <v>487</v>
      </c>
      <c r="E70" s="149" t="s">
        <v>533</v>
      </c>
      <c r="F70" s="206" t="s">
        <v>488</v>
      </c>
      <c r="G70" s="257"/>
      <c r="H70" s="183">
        <v>35195.0</v>
      </c>
      <c r="I70" s="183">
        <v>45602.0</v>
      </c>
      <c r="J70" s="258"/>
      <c r="K70" s="221">
        <v>31.0</v>
      </c>
      <c r="L70" s="185">
        <v>45658.0</v>
      </c>
      <c r="M70" s="185">
        <v>45688.0</v>
      </c>
      <c r="N70" s="135">
        <f t="shared" si="1"/>
        <v>370</v>
      </c>
      <c r="O70" s="135">
        <f t="shared" si="2"/>
        <v>1850</v>
      </c>
      <c r="P70" s="135">
        <f t="shared" si="3"/>
        <v>2220</v>
      </c>
      <c r="Q70" s="186"/>
    </row>
    <row r="71">
      <c r="A71" s="178" t="s">
        <v>16</v>
      </c>
      <c r="B71" s="180">
        <v>4320.0</v>
      </c>
      <c r="C71" s="178" t="s">
        <v>17</v>
      </c>
      <c r="D71" s="179" t="s">
        <v>491</v>
      </c>
      <c r="E71" s="149" t="s">
        <v>534</v>
      </c>
      <c r="F71" s="206" t="s">
        <v>492</v>
      </c>
      <c r="G71" s="257"/>
      <c r="H71" s="183">
        <v>36849.0</v>
      </c>
      <c r="I71" s="183">
        <v>45602.0</v>
      </c>
      <c r="J71" s="258"/>
      <c r="K71" s="221">
        <v>31.0</v>
      </c>
      <c r="L71" s="185">
        <v>45658.0</v>
      </c>
      <c r="M71" s="185">
        <v>45688.0</v>
      </c>
      <c r="N71" s="135">
        <f t="shared" si="1"/>
        <v>370</v>
      </c>
      <c r="O71" s="135">
        <f t="shared" si="2"/>
        <v>1850</v>
      </c>
      <c r="P71" s="135">
        <f t="shared" si="3"/>
        <v>2220</v>
      </c>
      <c r="Q71" s="186"/>
    </row>
    <row r="72">
      <c r="A72" s="178" t="s">
        <v>16</v>
      </c>
      <c r="B72" s="180">
        <v>4320.0</v>
      </c>
      <c r="C72" s="178" t="s">
        <v>17</v>
      </c>
      <c r="D72" s="179" t="s">
        <v>485</v>
      </c>
      <c r="E72" s="149" t="s">
        <v>535</v>
      </c>
      <c r="F72" s="206" t="s">
        <v>486</v>
      </c>
      <c r="G72" s="257"/>
      <c r="H72" s="183">
        <v>36994.0</v>
      </c>
      <c r="I72" s="183">
        <v>45602.0</v>
      </c>
      <c r="J72" s="258"/>
      <c r="K72" s="221">
        <v>31.0</v>
      </c>
      <c r="L72" s="185">
        <v>45658.0</v>
      </c>
      <c r="M72" s="185">
        <v>45688.0</v>
      </c>
      <c r="N72" s="135">
        <f t="shared" si="1"/>
        <v>370</v>
      </c>
      <c r="O72" s="135">
        <f t="shared" si="2"/>
        <v>1850</v>
      </c>
      <c r="P72" s="135">
        <f t="shared" si="3"/>
        <v>2220</v>
      </c>
      <c r="Q72" s="186"/>
    </row>
    <row r="73">
      <c r="A73" s="178" t="s">
        <v>16</v>
      </c>
      <c r="B73" s="180">
        <v>4320.0</v>
      </c>
      <c r="C73" s="178" t="s">
        <v>17</v>
      </c>
      <c r="D73" s="179" t="s">
        <v>489</v>
      </c>
      <c r="E73" s="149" t="s">
        <v>536</v>
      </c>
      <c r="F73" s="206" t="s">
        <v>490</v>
      </c>
      <c r="G73" s="257"/>
      <c r="H73" s="201">
        <v>37105.0</v>
      </c>
      <c r="I73" s="183">
        <v>45602.0</v>
      </c>
      <c r="J73" s="258"/>
      <c r="K73" s="221">
        <v>31.0</v>
      </c>
      <c r="L73" s="185">
        <v>45658.0</v>
      </c>
      <c r="M73" s="185">
        <v>45688.0</v>
      </c>
      <c r="N73" s="135">
        <f t="shared" si="1"/>
        <v>370</v>
      </c>
      <c r="O73" s="135">
        <f t="shared" si="2"/>
        <v>1850</v>
      </c>
      <c r="P73" s="135">
        <f t="shared" si="3"/>
        <v>2220</v>
      </c>
      <c r="Q73" s="186"/>
    </row>
    <row r="74">
      <c r="A74" s="176" t="s">
        <v>16</v>
      </c>
      <c r="B74" s="177">
        <v>4320.0</v>
      </c>
      <c r="C74" s="176" t="s">
        <v>17</v>
      </c>
      <c r="D74" s="179" t="s">
        <v>483</v>
      </c>
      <c r="E74" s="149" t="s">
        <v>537</v>
      </c>
      <c r="F74" s="206" t="s">
        <v>484</v>
      </c>
      <c r="G74" s="257"/>
      <c r="H74" s="183">
        <v>36286.0</v>
      </c>
      <c r="I74" s="183">
        <v>45602.0</v>
      </c>
      <c r="J74" s="258"/>
      <c r="K74" s="221">
        <v>31.0</v>
      </c>
      <c r="L74" s="185">
        <v>45658.0</v>
      </c>
      <c r="M74" s="185">
        <v>45688.0</v>
      </c>
      <c r="N74" s="135">
        <f t="shared" si="1"/>
        <v>370</v>
      </c>
      <c r="O74" s="135">
        <f t="shared" si="2"/>
        <v>1850</v>
      </c>
      <c r="P74" s="135">
        <f t="shared" si="3"/>
        <v>2220</v>
      </c>
      <c r="Q74" s="186"/>
    </row>
    <row r="75">
      <c r="A75" s="176" t="s">
        <v>16</v>
      </c>
      <c r="B75" s="177">
        <v>4320.0</v>
      </c>
      <c r="C75" s="176" t="s">
        <v>17</v>
      </c>
      <c r="D75" s="179" t="s">
        <v>495</v>
      </c>
      <c r="E75" s="149" t="s">
        <v>538</v>
      </c>
      <c r="F75" s="218" t="s">
        <v>496</v>
      </c>
      <c r="G75" s="257"/>
      <c r="H75" s="183">
        <v>33452.0</v>
      </c>
      <c r="I75" s="260">
        <v>45628.0</v>
      </c>
      <c r="J75" s="258"/>
      <c r="K75" s="186">
        <v>31.0</v>
      </c>
      <c r="L75" s="185">
        <v>45658.0</v>
      </c>
      <c r="M75" s="185">
        <v>45688.0</v>
      </c>
      <c r="N75" s="135">
        <f t="shared" si="1"/>
        <v>370</v>
      </c>
      <c r="O75" s="135">
        <f t="shared" si="2"/>
        <v>1850</v>
      </c>
      <c r="P75" s="135">
        <f t="shared" si="3"/>
        <v>2220</v>
      </c>
      <c r="Q75" s="186"/>
    </row>
    <row r="76">
      <c r="A76" s="176" t="s">
        <v>16</v>
      </c>
      <c r="B76" s="177">
        <v>4320.0</v>
      </c>
      <c r="C76" s="176" t="s">
        <v>17</v>
      </c>
      <c r="D76" s="179" t="s">
        <v>497</v>
      </c>
      <c r="E76" s="149" t="s">
        <v>539</v>
      </c>
      <c r="F76" s="218" t="s">
        <v>498</v>
      </c>
      <c r="G76" s="257"/>
      <c r="H76" s="183">
        <v>37026.0</v>
      </c>
      <c r="I76" s="261">
        <v>45628.0</v>
      </c>
      <c r="J76" s="258"/>
      <c r="K76" s="186">
        <v>31.0</v>
      </c>
      <c r="L76" s="185">
        <v>45658.0</v>
      </c>
      <c r="M76" s="185">
        <v>45688.0</v>
      </c>
      <c r="N76" s="135">
        <f t="shared" si="1"/>
        <v>370</v>
      </c>
      <c r="O76" s="135">
        <f t="shared" si="2"/>
        <v>1850</v>
      </c>
      <c r="P76" s="135">
        <f t="shared" si="3"/>
        <v>2220</v>
      </c>
      <c r="Q76" s="186"/>
    </row>
    <row r="77">
      <c r="A77" s="176" t="s">
        <v>16</v>
      </c>
      <c r="B77" s="177">
        <v>4320.0</v>
      </c>
      <c r="C77" s="176" t="s">
        <v>17</v>
      </c>
      <c r="D77" s="179" t="s">
        <v>499</v>
      </c>
      <c r="E77" s="149" t="s">
        <v>540</v>
      </c>
      <c r="F77" s="218" t="s">
        <v>500</v>
      </c>
      <c r="G77" s="257"/>
      <c r="H77" s="201">
        <v>36144.0</v>
      </c>
      <c r="I77" s="260">
        <v>45628.0</v>
      </c>
      <c r="J77" s="258"/>
      <c r="K77" s="186">
        <v>31.0</v>
      </c>
      <c r="L77" s="185">
        <v>45658.0</v>
      </c>
      <c r="M77" s="185">
        <v>45688.0</v>
      </c>
      <c r="N77" s="135">
        <f t="shared" si="1"/>
        <v>370</v>
      </c>
      <c r="O77" s="135">
        <f t="shared" si="2"/>
        <v>1850</v>
      </c>
      <c r="P77" s="135">
        <f t="shared" si="3"/>
        <v>2220</v>
      </c>
      <c r="Q77" s="186"/>
    </row>
    <row r="78">
      <c r="A78" s="178" t="s">
        <v>16</v>
      </c>
      <c r="B78" s="180">
        <v>4320.0</v>
      </c>
      <c r="C78" s="176" t="s">
        <v>17</v>
      </c>
      <c r="D78" s="179" t="s">
        <v>501</v>
      </c>
      <c r="E78" s="149" t="s">
        <v>541</v>
      </c>
      <c r="F78" s="218" t="s">
        <v>502</v>
      </c>
      <c r="G78" s="257"/>
      <c r="H78" s="183">
        <v>36062.0</v>
      </c>
      <c r="I78" s="261">
        <v>45628.0</v>
      </c>
      <c r="J78" s="258"/>
      <c r="K78" s="186">
        <v>31.0</v>
      </c>
      <c r="L78" s="185">
        <v>45658.0</v>
      </c>
      <c r="M78" s="185">
        <v>45688.0</v>
      </c>
      <c r="N78" s="135">
        <f t="shared" si="1"/>
        <v>370</v>
      </c>
      <c r="O78" s="135">
        <f t="shared" si="2"/>
        <v>1850</v>
      </c>
      <c r="P78" s="135">
        <f t="shared" si="3"/>
        <v>2220</v>
      </c>
      <c r="Q78" s="186"/>
    </row>
    <row r="79">
      <c r="A79" s="178" t="s">
        <v>16</v>
      </c>
      <c r="B79" s="180">
        <v>4320.0</v>
      </c>
      <c r="C79" s="176" t="s">
        <v>17</v>
      </c>
      <c r="D79" s="179" t="s">
        <v>503</v>
      </c>
      <c r="E79" s="149" t="s">
        <v>542</v>
      </c>
      <c r="F79" s="218" t="s">
        <v>504</v>
      </c>
      <c r="G79" s="257"/>
      <c r="H79" s="201">
        <v>37422.0</v>
      </c>
      <c r="I79" s="260">
        <v>45635.0</v>
      </c>
      <c r="J79" s="262"/>
      <c r="K79" s="186">
        <v>31.0</v>
      </c>
      <c r="L79" s="185">
        <v>45658.0</v>
      </c>
      <c r="M79" s="185">
        <v>45688.0</v>
      </c>
      <c r="N79" s="135">
        <f t="shared" si="1"/>
        <v>370</v>
      </c>
      <c r="O79" s="135">
        <f t="shared" si="2"/>
        <v>1850</v>
      </c>
      <c r="P79" s="135">
        <f t="shared" si="3"/>
        <v>2220</v>
      </c>
      <c r="Q79" s="186"/>
    </row>
    <row r="80">
      <c r="A80" s="178" t="s">
        <v>16</v>
      </c>
      <c r="B80" s="180">
        <v>4320.0</v>
      </c>
      <c r="C80" s="176" t="s">
        <v>17</v>
      </c>
      <c r="D80" s="179" t="s">
        <v>63</v>
      </c>
      <c r="E80" s="149" t="s">
        <v>543</v>
      </c>
      <c r="F80" s="218" t="s">
        <v>505</v>
      </c>
      <c r="G80" s="257"/>
      <c r="H80" s="183">
        <v>36725.0</v>
      </c>
      <c r="I80" s="261">
        <v>45635.0</v>
      </c>
      <c r="J80" s="262"/>
      <c r="K80" s="186">
        <v>31.0</v>
      </c>
      <c r="L80" s="185">
        <v>45658.0</v>
      </c>
      <c r="M80" s="185">
        <v>45688.0</v>
      </c>
      <c r="N80" s="135">
        <f t="shared" si="1"/>
        <v>370</v>
      </c>
      <c r="O80" s="135">
        <f t="shared" si="2"/>
        <v>1850</v>
      </c>
      <c r="P80" s="135">
        <f t="shared" si="3"/>
        <v>2220</v>
      </c>
      <c r="Q80" s="186"/>
    </row>
    <row r="81">
      <c r="A81" s="178" t="s">
        <v>16</v>
      </c>
      <c r="B81" s="180">
        <v>4320.0</v>
      </c>
      <c r="C81" s="176" t="s">
        <v>17</v>
      </c>
      <c r="D81" s="179" t="s">
        <v>506</v>
      </c>
      <c r="E81" s="149" t="s">
        <v>544</v>
      </c>
      <c r="F81" s="218" t="s">
        <v>507</v>
      </c>
      <c r="G81" s="257"/>
      <c r="H81" s="183">
        <v>36981.0</v>
      </c>
      <c r="I81" s="260">
        <v>45642.0</v>
      </c>
      <c r="J81" s="262"/>
      <c r="K81" s="186">
        <v>31.0</v>
      </c>
      <c r="L81" s="185">
        <v>45658.0</v>
      </c>
      <c r="M81" s="185">
        <v>45688.0</v>
      </c>
      <c r="N81" s="135">
        <f t="shared" si="1"/>
        <v>370</v>
      </c>
      <c r="O81" s="135">
        <f t="shared" si="2"/>
        <v>1850</v>
      </c>
      <c r="P81" s="135">
        <f t="shared" si="3"/>
        <v>2220</v>
      </c>
      <c r="Q81" s="186"/>
    </row>
    <row r="82">
      <c r="A82" s="178" t="s">
        <v>16</v>
      </c>
      <c r="B82" s="180">
        <v>4320.0</v>
      </c>
      <c r="C82" s="176" t="s">
        <v>17</v>
      </c>
      <c r="D82" s="179" t="s">
        <v>508</v>
      </c>
      <c r="E82" s="149" t="s">
        <v>545</v>
      </c>
      <c r="F82" s="218" t="s">
        <v>509</v>
      </c>
      <c r="G82" s="257"/>
      <c r="H82" s="183">
        <v>36637.0</v>
      </c>
      <c r="I82" s="263">
        <v>45649.0</v>
      </c>
      <c r="J82" s="262"/>
      <c r="K82" s="186">
        <v>31.0</v>
      </c>
      <c r="L82" s="185">
        <v>45658.0</v>
      </c>
      <c r="M82" s="185">
        <v>45688.0</v>
      </c>
      <c r="N82" s="135">
        <f t="shared" si="1"/>
        <v>370</v>
      </c>
      <c r="O82" s="135">
        <f t="shared" si="2"/>
        <v>1850</v>
      </c>
      <c r="P82" s="135">
        <f t="shared" si="3"/>
        <v>2220</v>
      </c>
      <c r="Q82" s="186"/>
    </row>
    <row r="83">
      <c r="A83" s="178" t="s">
        <v>16</v>
      </c>
      <c r="B83" s="180">
        <v>4320.0</v>
      </c>
      <c r="C83" s="176" t="s">
        <v>17</v>
      </c>
      <c r="D83" s="179" t="s">
        <v>546</v>
      </c>
      <c r="E83" s="149" t="s">
        <v>547</v>
      </c>
      <c r="F83" s="193" t="s">
        <v>548</v>
      </c>
      <c r="G83" s="264"/>
      <c r="H83" s="153">
        <v>38255.0</v>
      </c>
      <c r="I83" s="265">
        <v>45658.0</v>
      </c>
      <c r="J83" s="264"/>
      <c r="K83" s="186">
        <v>31.0</v>
      </c>
      <c r="L83" s="185">
        <v>45658.0</v>
      </c>
      <c r="M83" s="185">
        <v>45688.0</v>
      </c>
      <c r="N83" s="135">
        <f t="shared" si="1"/>
        <v>370</v>
      </c>
      <c r="O83" s="135">
        <f t="shared" si="2"/>
        <v>1850</v>
      </c>
      <c r="P83" s="135">
        <f t="shared" si="3"/>
        <v>2220</v>
      </c>
    </row>
    <row r="84">
      <c r="A84" s="178" t="s">
        <v>16</v>
      </c>
      <c r="B84" s="180">
        <v>4320.0</v>
      </c>
      <c r="C84" s="176" t="s">
        <v>17</v>
      </c>
      <c r="D84" s="179" t="s">
        <v>549</v>
      </c>
      <c r="E84" s="149" t="s">
        <v>550</v>
      </c>
      <c r="F84" s="193" t="s">
        <v>551</v>
      </c>
      <c r="G84" s="227"/>
      <c r="H84" s="153">
        <v>37636.0</v>
      </c>
      <c r="I84" s="265">
        <v>45663.0</v>
      </c>
      <c r="J84" s="227"/>
      <c r="K84" s="186">
        <v>26.0</v>
      </c>
      <c r="L84" s="185">
        <v>45658.0</v>
      </c>
      <c r="M84" s="185">
        <v>45688.0</v>
      </c>
      <c r="N84" s="135">
        <f t="shared" si="1"/>
        <v>311</v>
      </c>
      <c r="O84" s="135">
        <f t="shared" si="2"/>
        <v>1555</v>
      </c>
      <c r="P84" s="135">
        <f t="shared" si="3"/>
        <v>1866</v>
      </c>
    </row>
    <row r="85">
      <c r="A85" s="178" t="s">
        <v>16</v>
      </c>
      <c r="B85" s="180">
        <v>4320.0</v>
      </c>
      <c r="C85" s="176" t="s">
        <v>17</v>
      </c>
      <c r="D85" s="179" t="s">
        <v>552</v>
      </c>
      <c r="E85" s="149" t="s">
        <v>553</v>
      </c>
      <c r="F85" s="193" t="s">
        <v>554</v>
      </c>
      <c r="G85" s="227"/>
      <c r="H85" s="153">
        <v>36904.0</v>
      </c>
      <c r="I85" s="265">
        <v>45663.0</v>
      </c>
      <c r="J85" s="227"/>
      <c r="K85" s="186">
        <v>26.0</v>
      </c>
      <c r="L85" s="185">
        <v>45658.0</v>
      </c>
      <c r="M85" s="185">
        <v>45688.0</v>
      </c>
      <c r="N85" s="135">
        <f t="shared" si="1"/>
        <v>311</v>
      </c>
      <c r="O85" s="135">
        <f t="shared" si="2"/>
        <v>1555</v>
      </c>
      <c r="P85" s="135">
        <f t="shared" si="3"/>
        <v>1866</v>
      </c>
    </row>
    <row r="86">
      <c r="A86" s="178" t="s">
        <v>16</v>
      </c>
      <c r="B86" s="180">
        <v>4320.0</v>
      </c>
      <c r="C86" s="176" t="s">
        <v>17</v>
      </c>
      <c r="D86" s="179" t="s">
        <v>555</v>
      </c>
      <c r="E86" s="149" t="s">
        <v>556</v>
      </c>
      <c r="F86" s="193" t="s">
        <v>557</v>
      </c>
      <c r="G86" s="227"/>
      <c r="H86" s="153">
        <v>36135.0</v>
      </c>
      <c r="I86" s="153">
        <v>45663.0</v>
      </c>
      <c r="J86" s="227"/>
      <c r="K86" s="186">
        <v>26.0</v>
      </c>
      <c r="L86" s="185">
        <v>45658.0</v>
      </c>
      <c r="M86" s="185">
        <v>45688.0</v>
      </c>
      <c r="N86" s="135">
        <f t="shared" si="1"/>
        <v>311</v>
      </c>
      <c r="O86" s="135">
        <f t="shared" si="2"/>
        <v>1555</v>
      </c>
      <c r="P86" s="135">
        <f t="shared" si="3"/>
        <v>1866</v>
      </c>
    </row>
    <row r="87">
      <c r="A87" s="178" t="s">
        <v>16</v>
      </c>
      <c r="B87" s="180">
        <v>4320.0</v>
      </c>
      <c r="C87" s="176" t="s">
        <v>17</v>
      </c>
      <c r="D87" s="179" t="s">
        <v>558</v>
      </c>
      <c r="E87" s="149" t="s">
        <v>559</v>
      </c>
      <c r="F87" s="266" t="s">
        <v>560</v>
      </c>
      <c r="G87" s="227"/>
      <c r="H87" s="153">
        <v>33811.0</v>
      </c>
      <c r="I87" s="153">
        <v>45663.0</v>
      </c>
      <c r="J87" s="153">
        <v>45667.0</v>
      </c>
      <c r="K87" s="186">
        <v>5.0</v>
      </c>
      <c r="L87" s="185">
        <v>45658.0</v>
      </c>
      <c r="M87" s="185">
        <v>45688.0</v>
      </c>
      <c r="N87" s="135">
        <f t="shared" si="1"/>
        <v>60</v>
      </c>
      <c r="O87" s="135">
        <f t="shared" si="2"/>
        <v>300</v>
      </c>
      <c r="P87" s="135">
        <f t="shared" si="3"/>
        <v>360</v>
      </c>
    </row>
    <row r="88">
      <c r="A88" s="178" t="s">
        <v>16</v>
      </c>
      <c r="B88" s="180">
        <v>4320.0</v>
      </c>
      <c r="C88" s="176" t="s">
        <v>17</v>
      </c>
      <c r="D88" s="179" t="s">
        <v>561</v>
      </c>
      <c r="E88" s="149" t="s">
        <v>562</v>
      </c>
      <c r="F88" s="193" t="s">
        <v>563</v>
      </c>
      <c r="G88" s="227"/>
      <c r="H88" s="153">
        <v>36879.0</v>
      </c>
      <c r="I88" s="153">
        <v>45670.0</v>
      </c>
      <c r="J88" s="227"/>
      <c r="K88" s="186">
        <v>19.0</v>
      </c>
      <c r="L88" s="185">
        <v>45658.0</v>
      </c>
      <c r="M88" s="185">
        <v>45688.0</v>
      </c>
      <c r="N88" s="135">
        <f t="shared" si="1"/>
        <v>227</v>
      </c>
      <c r="O88" s="135">
        <f t="shared" si="2"/>
        <v>1135</v>
      </c>
      <c r="P88" s="135">
        <f t="shared" si="3"/>
        <v>1362</v>
      </c>
    </row>
    <row r="89">
      <c r="A89" s="178" t="s">
        <v>16</v>
      </c>
      <c r="B89" s="180">
        <v>4320.0</v>
      </c>
      <c r="C89" s="176" t="s">
        <v>17</v>
      </c>
      <c r="D89" s="179" t="s">
        <v>564</v>
      </c>
      <c r="E89" s="149" t="s">
        <v>565</v>
      </c>
      <c r="F89" s="193" t="s">
        <v>566</v>
      </c>
      <c r="G89" s="227"/>
      <c r="H89" s="153">
        <v>34799.0</v>
      </c>
      <c r="I89" s="153">
        <v>45670.0</v>
      </c>
      <c r="J89" s="227"/>
      <c r="K89" s="186">
        <v>19.0</v>
      </c>
      <c r="L89" s="185">
        <v>45658.0</v>
      </c>
      <c r="M89" s="185">
        <v>45688.0</v>
      </c>
      <c r="N89" s="135">
        <f t="shared" si="1"/>
        <v>227</v>
      </c>
      <c r="O89" s="135">
        <f t="shared" si="2"/>
        <v>1135</v>
      </c>
      <c r="P89" s="135">
        <f t="shared" si="3"/>
        <v>1362</v>
      </c>
    </row>
    <row r="90">
      <c r="A90" s="178" t="s">
        <v>16</v>
      </c>
      <c r="B90" s="180">
        <v>4320.0</v>
      </c>
      <c r="C90" s="176" t="s">
        <v>17</v>
      </c>
      <c r="D90" s="179" t="s">
        <v>567</v>
      </c>
      <c r="E90" s="149" t="s">
        <v>568</v>
      </c>
      <c r="F90" s="193" t="s">
        <v>569</v>
      </c>
      <c r="G90" s="227"/>
      <c r="H90" s="153">
        <v>37962.0</v>
      </c>
      <c r="I90" s="153">
        <v>45677.0</v>
      </c>
      <c r="J90" s="227"/>
      <c r="K90" s="186">
        <v>12.0</v>
      </c>
      <c r="L90" s="185">
        <v>45658.0</v>
      </c>
      <c r="M90" s="185">
        <v>45688.0</v>
      </c>
      <c r="N90" s="135">
        <f t="shared" si="1"/>
        <v>144</v>
      </c>
      <c r="O90" s="135">
        <f t="shared" si="2"/>
        <v>720</v>
      </c>
      <c r="P90" s="135">
        <f t="shared" si="3"/>
        <v>864</v>
      </c>
    </row>
    <row r="91">
      <c r="A91" s="178" t="s">
        <v>16</v>
      </c>
      <c r="B91" s="180">
        <v>4320.0</v>
      </c>
      <c r="C91" s="176" t="s">
        <v>17</v>
      </c>
      <c r="D91" s="179" t="s">
        <v>570</v>
      </c>
      <c r="E91" s="149" t="s">
        <v>571</v>
      </c>
      <c r="F91" s="193" t="s">
        <v>572</v>
      </c>
      <c r="G91" s="227"/>
      <c r="H91" s="153">
        <v>37362.0</v>
      </c>
      <c r="I91" s="153">
        <v>45677.0</v>
      </c>
      <c r="J91" s="227"/>
      <c r="K91" s="186">
        <v>12.0</v>
      </c>
      <c r="L91" s="185">
        <v>45658.0</v>
      </c>
      <c r="M91" s="185">
        <v>45688.0</v>
      </c>
      <c r="N91" s="135">
        <f t="shared" si="1"/>
        <v>144</v>
      </c>
      <c r="O91" s="135">
        <f t="shared" si="2"/>
        <v>720</v>
      </c>
      <c r="P91" s="135">
        <f t="shared" si="3"/>
        <v>864</v>
      </c>
    </row>
    <row r="92">
      <c r="A92" s="178" t="s">
        <v>16</v>
      </c>
      <c r="B92" s="180">
        <v>4320.0</v>
      </c>
      <c r="C92" s="176" t="s">
        <v>17</v>
      </c>
      <c r="D92" s="179" t="s">
        <v>573</v>
      </c>
      <c r="E92" s="149" t="s">
        <v>574</v>
      </c>
      <c r="F92" s="143" t="s">
        <v>575</v>
      </c>
      <c r="G92" s="227"/>
      <c r="H92" s="153">
        <v>36061.0</v>
      </c>
      <c r="I92" s="153">
        <v>45677.0</v>
      </c>
      <c r="J92" s="227"/>
      <c r="K92" s="186">
        <v>12.0</v>
      </c>
      <c r="L92" s="185">
        <v>45658.0</v>
      </c>
      <c r="M92" s="185">
        <v>45688.0</v>
      </c>
      <c r="N92" s="135">
        <f t="shared" si="1"/>
        <v>144</v>
      </c>
      <c r="O92" s="135">
        <f t="shared" si="2"/>
        <v>720</v>
      </c>
      <c r="P92" s="135">
        <f t="shared" si="3"/>
        <v>864</v>
      </c>
    </row>
    <row r="93">
      <c r="A93" s="178" t="s">
        <v>16</v>
      </c>
      <c r="B93" s="180">
        <v>4320.0</v>
      </c>
      <c r="C93" s="176" t="s">
        <v>17</v>
      </c>
      <c r="D93" s="179" t="s">
        <v>576</v>
      </c>
      <c r="E93" s="267" t="s">
        <v>577</v>
      </c>
      <c r="F93" s="143" t="s">
        <v>578</v>
      </c>
      <c r="G93" s="227"/>
      <c r="H93" s="153">
        <v>37944.0</v>
      </c>
      <c r="I93" s="153">
        <v>45677.0</v>
      </c>
      <c r="J93" s="227"/>
      <c r="K93" s="186">
        <v>12.0</v>
      </c>
      <c r="L93" s="185">
        <v>45658.0</v>
      </c>
      <c r="M93" s="185">
        <v>45688.0</v>
      </c>
      <c r="N93" s="135">
        <f t="shared" si="1"/>
        <v>144</v>
      </c>
      <c r="O93" s="135">
        <f t="shared" si="2"/>
        <v>720</v>
      </c>
      <c r="P93" s="135">
        <f t="shared" si="3"/>
        <v>864</v>
      </c>
    </row>
    <row r="94">
      <c r="A94" s="178" t="s">
        <v>16</v>
      </c>
      <c r="B94" s="180">
        <v>4320.0</v>
      </c>
      <c r="C94" s="176" t="s">
        <v>17</v>
      </c>
      <c r="D94" s="179" t="s">
        <v>579</v>
      </c>
      <c r="E94" s="267" t="s">
        <v>580</v>
      </c>
      <c r="F94" s="143" t="s">
        <v>581</v>
      </c>
      <c r="G94" s="227"/>
      <c r="H94" s="153">
        <v>37609.0</v>
      </c>
      <c r="I94" s="153">
        <v>45677.0</v>
      </c>
      <c r="J94" s="227"/>
      <c r="K94" s="186">
        <v>12.0</v>
      </c>
      <c r="L94" s="185">
        <v>45658.0</v>
      </c>
      <c r="M94" s="185">
        <v>45688.0</v>
      </c>
      <c r="N94" s="135">
        <f t="shared" si="1"/>
        <v>144</v>
      </c>
      <c r="O94" s="135">
        <f t="shared" si="2"/>
        <v>720</v>
      </c>
      <c r="P94" s="135">
        <f t="shared" si="3"/>
        <v>864</v>
      </c>
    </row>
    <row r="95">
      <c r="A95" s="178" t="s">
        <v>16</v>
      </c>
      <c r="B95" s="180">
        <v>4320.0</v>
      </c>
      <c r="C95" s="176" t="s">
        <v>17</v>
      </c>
      <c r="D95" s="179" t="s">
        <v>582</v>
      </c>
      <c r="E95" s="149" t="s">
        <v>583</v>
      </c>
      <c r="F95" s="193" t="s">
        <v>584</v>
      </c>
      <c r="G95" s="227"/>
      <c r="H95" s="153">
        <v>37880.0</v>
      </c>
      <c r="I95" s="153">
        <v>45677.0</v>
      </c>
      <c r="J95" s="227"/>
      <c r="K95" s="186">
        <v>12.0</v>
      </c>
      <c r="L95" s="185">
        <v>45658.0</v>
      </c>
      <c r="M95" s="185">
        <v>45688.0</v>
      </c>
      <c r="N95" s="135">
        <f t="shared" si="1"/>
        <v>144</v>
      </c>
      <c r="O95" s="135">
        <f t="shared" si="2"/>
        <v>720</v>
      </c>
      <c r="P95" s="135">
        <f t="shared" si="3"/>
        <v>864</v>
      </c>
    </row>
    <row r="96">
      <c r="A96" s="178" t="s">
        <v>16</v>
      </c>
      <c r="B96" s="180">
        <v>4320.0</v>
      </c>
      <c r="C96" s="176" t="s">
        <v>17</v>
      </c>
      <c r="D96" s="179" t="s">
        <v>585</v>
      </c>
      <c r="E96" s="149" t="s">
        <v>586</v>
      </c>
      <c r="F96" s="193" t="s">
        <v>587</v>
      </c>
      <c r="G96" s="227"/>
      <c r="H96" s="153">
        <v>35827.0</v>
      </c>
      <c r="I96" s="153">
        <v>45684.0</v>
      </c>
      <c r="J96" s="227"/>
      <c r="K96" s="186">
        <v>5.0</v>
      </c>
      <c r="L96" s="185">
        <v>45658.0</v>
      </c>
      <c r="M96" s="185">
        <v>45688.0</v>
      </c>
      <c r="N96" s="135">
        <f t="shared" si="1"/>
        <v>60</v>
      </c>
      <c r="O96" s="135">
        <f t="shared" si="2"/>
        <v>300</v>
      </c>
      <c r="P96" s="135">
        <f t="shared" si="3"/>
        <v>360</v>
      </c>
    </row>
    <row r="97">
      <c r="A97" s="178" t="s">
        <v>16</v>
      </c>
      <c r="B97" s="180">
        <v>4320.0</v>
      </c>
      <c r="C97" s="176" t="s">
        <v>17</v>
      </c>
      <c r="D97" s="179" t="s">
        <v>588</v>
      </c>
      <c r="E97" s="149" t="s">
        <v>589</v>
      </c>
      <c r="F97" s="193" t="s">
        <v>590</v>
      </c>
      <c r="G97" s="227"/>
      <c r="H97" s="153">
        <v>34190.0</v>
      </c>
      <c r="I97" s="153">
        <v>45684.0</v>
      </c>
      <c r="J97" s="227"/>
      <c r="K97" s="186">
        <v>5.0</v>
      </c>
      <c r="L97" s="185">
        <v>45658.0</v>
      </c>
      <c r="M97" s="185">
        <v>45688.0</v>
      </c>
      <c r="N97" s="135">
        <f t="shared" si="1"/>
        <v>60</v>
      </c>
      <c r="O97" s="135">
        <f t="shared" si="2"/>
        <v>300</v>
      </c>
      <c r="P97" s="135">
        <f t="shared" si="3"/>
        <v>360</v>
      </c>
    </row>
    <row r="98">
      <c r="A98" s="178" t="s">
        <v>16</v>
      </c>
      <c r="B98" s="180">
        <v>4320.0</v>
      </c>
      <c r="C98" s="176" t="s">
        <v>17</v>
      </c>
      <c r="D98" s="179" t="s">
        <v>591</v>
      </c>
      <c r="E98" s="149" t="s">
        <v>592</v>
      </c>
      <c r="F98" s="193" t="s">
        <v>593</v>
      </c>
      <c r="G98" s="227"/>
      <c r="H98" s="268">
        <v>37041.0</v>
      </c>
      <c r="I98" s="153">
        <v>45684.0</v>
      </c>
      <c r="J98" s="227"/>
      <c r="K98" s="186">
        <v>5.0</v>
      </c>
      <c r="L98" s="185">
        <v>45658.0</v>
      </c>
      <c r="M98" s="185">
        <v>45688.0</v>
      </c>
      <c r="N98" s="135">
        <f t="shared" si="1"/>
        <v>60</v>
      </c>
      <c r="O98" s="135">
        <f t="shared" si="2"/>
        <v>300</v>
      </c>
      <c r="P98" s="135">
        <f t="shared" si="3"/>
        <v>360</v>
      </c>
    </row>
    <row r="99">
      <c r="A99" s="178" t="s">
        <v>16</v>
      </c>
      <c r="B99" s="180">
        <v>4320.0</v>
      </c>
      <c r="C99" s="176" t="s">
        <v>17</v>
      </c>
      <c r="D99" s="179" t="s">
        <v>594</v>
      </c>
      <c r="E99" s="149" t="s">
        <v>595</v>
      </c>
      <c r="F99" s="193" t="s">
        <v>596</v>
      </c>
      <c r="G99" s="227"/>
      <c r="H99" s="153">
        <v>37809.0</v>
      </c>
      <c r="I99" s="153">
        <v>45684.0</v>
      </c>
      <c r="J99" s="227"/>
      <c r="K99" s="186">
        <v>5.0</v>
      </c>
      <c r="L99" s="185">
        <v>45658.0</v>
      </c>
      <c r="M99" s="185">
        <v>45688.0</v>
      </c>
      <c r="N99" s="135">
        <f t="shared" si="1"/>
        <v>60</v>
      </c>
      <c r="O99" s="135">
        <f t="shared" si="2"/>
        <v>300</v>
      </c>
      <c r="P99" s="135">
        <f t="shared" si="3"/>
        <v>360</v>
      </c>
    </row>
    <row r="100">
      <c r="A100" s="178" t="s">
        <v>16</v>
      </c>
      <c r="B100" s="180">
        <v>4320.0</v>
      </c>
      <c r="C100" s="176" t="s">
        <v>17</v>
      </c>
      <c r="D100" s="179" t="s">
        <v>597</v>
      </c>
      <c r="E100" s="149" t="s">
        <v>598</v>
      </c>
      <c r="F100" s="193" t="s">
        <v>599</v>
      </c>
      <c r="G100" s="227"/>
      <c r="H100" s="153">
        <v>37265.0</v>
      </c>
      <c r="I100" s="153">
        <v>45684.0</v>
      </c>
      <c r="J100" s="227"/>
      <c r="K100" s="186">
        <v>5.0</v>
      </c>
      <c r="L100" s="185">
        <v>45658.0</v>
      </c>
      <c r="M100" s="185">
        <v>45688.0</v>
      </c>
      <c r="N100" s="135">
        <f t="shared" si="1"/>
        <v>60</v>
      </c>
      <c r="O100" s="135">
        <f t="shared" si="2"/>
        <v>300</v>
      </c>
      <c r="P100" s="135">
        <f t="shared" si="3"/>
        <v>360</v>
      </c>
    </row>
    <row r="101">
      <c r="A101" s="178" t="s">
        <v>16</v>
      </c>
      <c r="B101" s="180">
        <v>4320.0</v>
      </c>
      <c r="C101" s="176" t="s">
        <v>17</v>
      </c>
      <c r="D101" s="179" t="s">
        <v>600</v>
      </c>
      <c r="E101" s="149" t="s">
        <v>601</v>
      </c>
      <c r="F101" s="193" t="s">
        <v>602</v>
      </c>
      <c r="G101" s="227"/>
      <c r="H101" s="153">
        <v>29741.0</v>
      </c>
      <c r="I101" s="153">
        <v>45658.0</v>
      </c>
      <c r="J101" s="227"/>
      <c r="K101" s="186">
        <v>31.0</v>
      </c>
      <c r="L101" s="185">
        <v>45658.0</v>
      </c>
      <c r="M101" s="185">
        <v>45688.0</v>
      </c>
      <c r="N101" s="135">
        <f t="shared" si="1"/>
        <v>370</v>
      </c>
      <c r="O101" s="135">
        <f t="shared" si="2"/>
        <v>1850</v>
      </c>
      <c r="P101" s="135">
        <f t="shared" si="3"/>
        <v>2220</v>
      </c>
    </row>
    <row r="102">
      <c r="D102" s="179"/>
      <c r="E102" s="227"/>
      <c r="N102" s="228">
        <f t="shared" ref="N102:P102" si="4">SUM(N2:N101)</f>
        <v>32558</v>
      </c>
      <c r="O102" s="228">
        <f t="shared" si="4"/>
        <v>162790</v>
      </c>
      <c r="P102" s="228">
        <f t="shared" si="4"/>
        <v>195348</v>
      </c>
    </row>
    <row r="103">
      <c r="D103" s="179"/>
    </row>
    <row r="104">
      <c r="D104" s="179"/>
    </row>
    <row r="105">
      <c r="D105" s="179"/>
      <c r="P105" s="269">
        <f>sum(P2:P101)</f>
        <v>195348</v>
      </c>
    </row>
    <row r="106">
      <c r="D106" s="179"/>
    </row>
    <row r="107">
      <c r="D107" s="179"/>
    </row>
    <row r="108">
      <c r="D108" s="179"/>
    </row>
    <row r="109">
      <c r="D109" s="179"/>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38"/>
  </cols>
  <sheetData>
    <row r="1">
      <c r="A1" s="149" t="s">
        <v>0</v>
      </c>
      <c r="B1" s="149" t="s">
        <v>1</v>
      </c>
      <c r="C1" s="149" t="s">
        <v>2</v>
      </c>
      <c r="D1" s="149" t="s">
        <v>603</v>
      </c>
      <c r="E1" s="149" t="s">
        <v>604</v>
      </c>
      <c r="F1" s="149" t="s">
        <v>4</v>
      </c>
      <c r="G1" s="149" t="s">
        <v>5</v>
      </c>
      <c r="H1" s="149" t="s">
        <v>6</v>
      </c>
      <c r="I1" s="149" t="s">
        <v>7</v>
      </c>
      <c r="J1" s="149" t="s">
        <v>8</v>
      </c>
      <c r="K1" s="149" t="s">
        <v>9</v>
      </c>
      <c r="L1" s="149" t="s">
        <v>10</v>
      </c>
      <c r="M1" s="149" t="s">
        <v>11</v>
      </c>
      <c r="N1" s="149" t="s">
        <v>12</v>
      </c>
      <c r="O1" s="239"/>
      <c r="P1" s="239"/>
      <c r="Q1" s="175"/>
    </row>
    <row r="2">
      <c r="A2" s="149" t="s">
        <v>16</v>
      </c>
      <c r="B2" s="221">
        <v>4320.0</v>
      </c>
      <c r="C2" s="239"/>
      <c r="D2" s="221">
        <v>0.0</v>
      </c>
      <c r="E2" s="270" t="s">
        <v>261</v>
      </c>
      <c r="F2" s="149" t="s">
        <v>262</v>
      </c>
      <c r="G2" s="149" t="s">
        <v>263</v>
      </c>
      <c r="I2" s="153">
        <v>36529.0</v>
      </c>
      <c r="J2" s="153">
        <v>45505.0</v>
      </c>
      <c r="K2" s="153">
        <v>45604.0</v>
      </c>
      <c r="L2" s="221">
        <v>0.0</v>
      </c>
      <c r="M2" s="153">
        <v>45658.0</v>
      </c>
      <c r="N2" s="153">
        <v>45688.0</v>
      </c>
      <c r="O2" s="239"/>
      <c r="P2" s="239"/>
      <c r="Q2" s="186"/>
    </row>
    <row r="3">
      <c r="A3" s="149" t="s">
        <v>16</v>
      </c>
      <c r="B3" s="221">
        <v>4320.0</v>
      </c>
      <c r="C3" s="239"/>
      <c r="D3" s="221">
        <v>0.0</v>
      </c>
      <c r="E3" s="149" t="s">
        <v>436</v>
      </c>
      <c r="F3" s="149" t="s">
        <v>362</v>
      </c>
      <c r="G3" s="149" t="s">
        <v>363</v>
      </c>
      <c r="I3" s="153">
        <v>37149.0</v>
      </c>
      <c r="J3" s="153">
        <v>45397.0</v>
      </c>
      <c r="K3" s="239"/>
      <c r="L3" s="221">
        <v>31.0</v>
      </c>
      <c r="M3" s="153">
        <v>45658.0</v>
      </c>
      <c r="N3" s="153">
        <v>45688.0</v>
      </c>
      <c r="O3" s="239"/>
      <c r="P3" s="239"/>
      <c r="Q3" s="186"/>
    </row>
    <row r="4">
      <c r="A4" s="149" t="s">
        <v>16</v>
      </c>
      <c r="B4" s="221">
        <v>4320.0</v>
      </c>
      <c r="C4" s="239"/>
      <c r="D4" s="221">
        <v>0.0</v>
      </c>
      <c r="E4" s="149" t="s">
        <v>310</v>
      </c>
      <c r="F4" s="149" t="s">
        <v>311</v>
      </c>
      <c r="G4" s="149" t="s">
        <v>312</v>
      </c>
      <c r="I4" s="153">
        <v>37282.0</v>
      </c>
      <c r="J4" s="153">
        <v>45362.0</v>
      </c>
      <c r="K4" s="268">
        <v>45443.0</v>
      </c>
      <c r="L4" s="221">
        <v>0.0</v>
      </c>
      <c r="M4" s="153">
        <v>45658.0</v>
      </c>
      <c r="N4" s="153">
        <v>45688.0</v>
      </c>
      <c r="O4" s="239"/>
      <c r="P4" s="239"/>
      <c r="Q4" s="186"/>
    </row>
    <row r="5">
      <c r="A5" s="149" t="s">
        <v>16</v>
      </c>
      <c r="B5" s="221">
        <v>4320.0</v>
      </c>
      <c r="C5" s="239"/>
      <c r="D5" s="221">
        <v>0.0</v>
      </c>
      <c r="E5" s="149" t="s">
        <v>437</v>
      </c>
      <c r="F5" s="149" t="s">
        <v>22</v>
      </c>
      <c r="G5" s="149" t="s">
        <v>23</v>
      </c>
      <c r="I5" s="153">
        <v>36358.0</v>
      </c>
      <c r="J5" s="153">
        <v>45027.0</v>
      </c>
      <c r="K5" s="153">
        <v>45603.0</v>
      </c>
      <c r="L5" s="221">
        <v>0.0</v>
      </c>
      <c r="M5" s="153">
        <v>45658.0</v>
      </c>
      <c r="N5" s="153">
        <v>45688.0</v>
      </c>
      <c r="O5" s="239"/>
      <c r="P5" s="239"/>
      <c r="Q5" s="186"/>
    </row>
    <row r="6">
      <c r="A6" s="149" t="s">
        <v>16</v>
      </c>
      <c r="B6" s="221">
        <v>4320.0</v>
      </c>
      <c r="C6" s="239"/>
      <c r="D6" s="221">
        <v>0.0</v>
      </c>
      <c r="E6" s="149" t="s">
        <v>561</v>
      </c>
      <c r="F6" s="149" t="s">
        <v>562</v>
      </c>
      <c r="G6" s="149" t="s">
        <v>563</v>
      </c>
      <c r="I6" s="153">
        <v>36879.0</v>
      </c>
      <c r="J6" s="268">
        <v>45670.0</v>
      </c>
      <c r="K6" s="239"/>
      <c r="L6" s="221">
        <v>19.0</v>
      </c>
      <c r="M6" s="153">
        <v>45658.0</v>
      </c>
      <c r="N6" s="153">
        <v>45688.0</v>
      </c>
      <c r="O6" s="239"/>
      <c r="P6" s="239"/>
      <c r="Q6" s="186"/>
    </row>
    <row r="7">
      <c r="A7" s="149" t="s">
        <v>16</v>
      </c>
      <c r="B7" s="221">
        <v>4320.0</v>
      </c>
      <c r="C7" s="239"/>
      <c r="D7" s="221">
        <v>0.0</v>
      </c>
      <c r="E7" s="149" t="s">
        <v>605</v>
      </c>
      <c r="F7" s="149" t="s">
        <v>25</v>
      </c>
      <c r="G7" s="149" t="s">
        <v>26</v>
      </c>
      <c r="I7" s="153">
        <v>36860.0</v>
      </c>
      <c r="J7" s="153">
        <v>45124.0</v>
      </c>
      <c r="K7" s="153">
        <v>45527.0</v>
      </c>
      <c r="L7" s="221">
        <v>0.0</v>
      </c>
      <c r="M7" s="153">
        <v>45658.0</v>
      </c>
      <c r="N7" s="153">
        <v>45688.0</v>
      </c>
      <c r="O7" s="239"/>
      <c r="P7" s="239"/>
      <c r="Q7" s="186"/>
    </row>
    <row r="8">
      <c r="A8" s="149" t="s">
        <v>16</v>
      </c>
      <c r="B8" s="221">
        <v>4320.0</v>
      </c>
      <c r="C8" s="239"/>
      <c r="D8" s="221">
        <v>0.0</v>
      </c>
      <c r="E8" s="149" t="s">
        <v>407</v>
      </c>
      <c r="F8" s="149" t="s">
        <v>97</v>
      </c>
      <c r="G8" s="149" t="s">
        <v>98</v>
      </c>
      <c r="I8" s="268">
        <v>36690.0</v>
      </c>
      <c r="J8" s="153">
        <v>44938.0</v>
      </c>
      <c r="K8" s="239"/>
      <c r="L8" s="221">
        <v>31.0</v>
      </c>
      <c r="M8" s="153">
        <v>45658.0</v>
      </c>
      <c r="N8" s="153">
        <v>45688.0</v>
      </c>
      <c r="O8" s="239"/>
      <c r="P8" s="239"/>
      <c r="Q8" s="186"/>
    </row>
    <row r="9">
      <c r="A9" s="149" t="s">
        <v>16</v>
      </c>
      <c r="B9" s="221">
        <v>4320.0</v>
      </c>
      <c r="C9" s="239"/>
      <c r="D9" s="221">
        <v>0.0</v>
      </c>
      <c r="E9" s="149" t="s">
        <v>473</v>
      </c>
      <c r="F9" s="149" t="s">
        <v>530</v>
      </c>
      <c r="G9" s="149" t="s">
        <v>475</v>
      </c>
      <c r="I9" s="153">
        <v>37459.0</v>
      </c>
      <c r="J9" s="153">
        <v>45586.0</v>
      </c>
      <c r="K9" s="239"/>
      <c r="L9" s="221">
        <v>31.0</v>
      </c>
      <c r="M9" s="153">
        <v>45658.0</v>
      </c>
      <c r="N9" s="153">
        <v>45688.0</v>
      </c>
      <c r="O9" s="239"/>
      <c r="P9" s="239"/>
      <c r="Q9" s="186"/>
    </row>
    <row r="10">
      <c r="A10" s="149" t="s">
        <v>16</v>
      </c>
      <c r="B10" s="221">
        <v>4320.0</v>
      </c>
      <c r="C10" s="239"/>
      <c r="D10" s="221">
        <v>0.0</v>
      </c>
      <c r="E10" s="149" t="s">
        <v>313</v>
      </c>
      <c r="F10" s="149" t="s">
        <v>314</v>
      </c>
      <c r="G10" s="149" t="s">
        <v>315</v>
      </c>
      <c r="I10" s="153">
        <v>35619.0</v>
      </c>
      <c r="J10" s="153">
        <v>45369.0</v>
      </c>
      <c r="K10" s="153">
        <v>45399.0</v>
      </c>
      <c r="L10" s="221">
        <v>0.0</v>
      </c>
      <c r="M10" s="153">
        <v>45658.0</v>
      </c>
      <c r="N10" s="153">
        <v>45688.0</v>
      </c>
      <c r="O10" s="239"/>
      <c r="P10" s="239"/>
      <c r="Q10" s="186"/>
    </row>
    <row r="11">
      <c r="A11" s="149" t="s">
        <v>16</v>
      </c>
      <c r="B11" s="221">
        <v>4320.0</v>
      </c>
      <c r="C11" s="239"/>
      <c r="D11" s="221">
        <v>0.0</v>
      </c>
      <c r="E11" s="149" t="s">
        <v>408</v>
      </c>
      <c r="F11" s="149" t="s">
        <v>409</v>
      </c>
      <c r="G11" s="149" t="s">
        <v>410</v>
      </c>
      <c r="I11" s="153">
        <v>37978.0</v>
      </c>
      <c r="J11" s="153">
        <v>45453.0</v>
      </c>
      <c r="K11" s="239"/>
      <c r="L11" s="221">
        <v>31.0</v>
      </c>
      <c r="M11" s="153">
        <v>45658.0</v>
      </c>
      <c r="N11" s="153">
        <v>45688.0</v>
      </c>
      <c r="O11" s="239"/>
      <c r="P11" s="239"/>
      <c r="Q11" s="186"/>
    </row>
    <row r="12">
      <c r="A12" s="149" t="s">
        <v>16</v>
      </c>
      <c r="B12" s="221">
        <v>4320.0</v>
      </c>
      <c r="C12" s="239"/>
      <c r="D12" s="221">
        <v>0.0</v>
      </c>
      <c r="E12" s="149" t="s">
        <v>606</v>
      </c>
      <c r="F12" s="149" t="s">
        <v>607</v>
      </c>
      <c r="G12" s="149" t="s">
        <v>608</v>
      </c>
      <c r="I12" s="153">
        <v>33844.0</v>
      </c>
      <c r="J12" s="153">
        <v>44562.0</v>
      </c>
      <c r="K12" s="153">
        <v>45199.0</v>
      </c>
      <c r="L12" s="221">
        <v>0.0</v>
      </c>
      <c r="M12" s="153">
        <v>45658.0</v>
      </c>
      <c r="N12" s="153">
        <v>45688.0</v>
      </c>
      <c r="O12" s="239"/>
      <c r="P12" s="239"/>
      <c r="Q12" s="186"/>
    </row>
    <row r="13">
      <c r="A13" s="149" t="s">
        <v>16</v>
      </c>
      <c r="B13" s="221">
        <v>4320.0</v>
      </c>
      <c r="C13" s="239"/>
      <c r="D13" s="221">
        <v>0.0</v>
      </c>
      <c r="E13" s="149" t="s">
        <v>609</v>
      </c>
      <c r="F13" s="149" t="s">
        <v>31</v>
      </c>
      <c r="G13" s="149" t="s">
        <v>32</v>
      </c>
      <c r="I13" s="153">
        <v>35997.0</v>
      </c>
      <c r="J13" s="153">
        <v>45061.0</v>
      </c>
      <c r="K13" s="153">
        <v>45569.0</v>
      </c>
      <c r="L13" s="221">
        <v>0.0</v>
      </c>
      <c r="M13" s="153">
        <v>45658.0</v>
      </c>
      <c r="N13" s="153">
        <v>45688.0</v>
      </c>
      <c r="O13" s="239"/>
      <c r="P13" s="239"/>
      <c r="Q13" s="186"/>
    </row>
    <row r="14">
      <c r="A14" s="149" t="s">
        <v>16</v>
      </c>
      <c r="B14" s="221">
        <v>4320.0</v>
      </c>
      <c r="C14" s="239"/>
      <c r="D14" s="221">
        <v>0.0</v>
      </c>
      <c r="E14" s="149" t="s">
        <v>246</v>
      </c>
      <c r="F14" s="149" t="s">
        <v>247</v>
      </c>
      <c r="G14" s="149" t="s">
        <v>248</v>
      </c>
      <c r="I14" s="153">
        <v>36501.0</v>
      </c>
      <c r="J14" s="153">
        <v>45246.0</v>
      </c>
      <c r="K14" s="239"/>
      <c r="L14" s="221">
        <v>31.0</v>
      </c>
      <c r="M14" s="153">
        <v>45658.0</v>
      </c>
      <c r="N14" s="153">
        <v>45688.0</v>
      </c>
      <c r="O14" s="239"/>
      <c r="P14" s="239"/>
      <c r="Q14" s="186"/>
    </row>
    <row r="15">
      <c r="A15" s="149" t="s">
        <v>16</v>
      </c>
      <c r="B15" s="221">
        <v>4320.0</v>
      </c>
      <c r="C15" s="239"/>
      <c r="D15" s="221">
        <v>0.0</v>
      </c>
      <c r="E15" s="149" t="s">
        <v>380</v>
      </c>
      <c r="F15" s="149" t="s">
        <v>381</v>
      </c>
      <c r="G15" s="149" t="s">
        <v>382</v>
      </c>
      <c r="I15" s="153">
        <v>35669.0</v>
      </c>
      <c r="J15" s="268">
        <v>45418.0</v>
      </c>
      <c r="K15" s="153">
        <v>45481.0</v>
      </c>
      <c r="L15" s="221">
        <v>0.0</v>
      </c>
      <c r="M15" s="153">
        <v>45658.0</v>
      </c>
      <c r="N15" s="153">
        <v>45688.0</v>
      </c>
      <c r="O15" s="239"/>
      <c r="P15" s="239"/>
      <c r="Q15" s="186"/>
    </row>
    <row r="16">
      <c r="A16" s="149" t="s">
        <v>16</v>
      </c>
      <c r="B16" s="221">
        <v>4320.0</v>
      </c>
      <c r="C16" s="239"/>
      <c r="D16" s="221">
        <v>0.0</v>
      </c>
      <c r="E16" s="149" t="s">
        <v>610</v>
      </c>
      <c r="F16" s="149" t="s">
        <v>611</v>
      </c>
      <c r="G16" s="149" t="s">
        <v>612</v>
      </c>
      <c r="I16" s="268">
        <v>35400.0</v>
      </c>
      <c r="J16" s="153">
        <v>45061.0</v>
      </c>
      <c r="K16" s="153">
        <v>45503.0</v>
      </c>
      <c r="L16" s="221">
        <v>0.0</v>
      </c>
      <c r="M16" s="153">
        <v>45658.0</v>
      </c>
      <c r="N16" s="153">
        <v>45688.0</v>
      </c>
      <c r="O16" s="239"/>
      <c r="P16" s="239"/>
      <c r="Q16" s="186"/>
    </row>
    <row r="17">
      <c r="A17" s="149" t="s">
        <v>16</v>
      </c>
      <c r="B17" s="221">
        <v>4320.0</v>
      </c>
      <c r="C17" s="239"/>
      <c r="D17" s="221">
        <v>0.0</v>
      </c>
      <c r="E17" s="149" t="s">
        <v>613</v>
      </c>
      <c r="F17" s="149" t="s">
        <v>34</v>
      </c>
      <c r="G17" s="149" t="s">
        <v>35</v>
      </c>
      <c r="I17" s="153">
        <v>35053.0</v>
      </c>
      <c r="J17" s="153">
        <v>45173.0</v>
      </c>
      <c r="K17" s="153">
        <v>45322.0</v>
      </c>
      <c r="L17" s="221">
        <v>0.0</v>
      </c>
      <c r="M17" s="153">
        <v>45658.0</v>
      </c>
      <c r="N17" s="153">
        <v>45688.0</v>
      </c>
      <c r="O17" s="239"/>
      <c r="P17" s="239"/>
      <c r="Q17" s="186"/>
    </row>
    <row r="18">
      <c r="A18" s="149" t="s">
        <v>16</v>
      </c>
      <c r="B18" s="221">
        <v>4320.0</v>
      </c>
      <c r="C18" s="239"/>
      <c r="D18" s="221">
        <v>0.0</v>
      </c>
      <c r="E18" s="149" t="s">
        <v>564</v>
      </c>
      <c r="F18" s="149" t="s">
        <v>565</v>
      </c>
      <c r="G18" s="149" t="s">
        <v>566</v>
      </c>
      <c r="I18" s="153">
        <v>34799.0</v>
      </c>
      <c r="J18" s="153">
        <v>45670.0</v>
      </c>
      <c r="K18" s="239"/>
      <c r="L18" s="221">
        <v>19.0</v>
      </c>
      <c r="M18" s="153">
        <v>45658.0</v>
      </c>
      <c r="N18" s="153">
        <v>45688.0</v>
      </c>
      <c r="O18" s="239"/>
      <c r="P18" s="239"/>
      <c r="Q18" s="186"/>
    </row>
    <row r="19">
      <c r="A19" s="149" t="s">
        <v>16</v>
      </c>
      <c r="B19" s="221">
        <v>4320.0</v>
      </c>
      <c r="C19" s="239"/>
      <c r="D19" s="221">
        <v>0.0</v>
      </c>
      <c r="E19" s="149" t="s">
        <v>552</v>
      </c>
      <c r="F19" s="149" t="s">
        <v>553</v>
      </c>
      <c r="G19" s="149" t="s">
        <v>554</v>
      </c>
      <c r="I19" s="153">
        <v>36904.0</v>
      </c>
      <c r="J19" s="153">
        <v>45663.0</v>
      </c>
      <c r="K19" s="239"/>
      <c r="L19" s="221">
        <v>26.0</v>
      </c>
      <c r="M19" s="153">
        <v>45658.0</v>
      </c>
      <c r="N19" s="153">
        <v>45688.0</v>
      </c>
      <c r="O19" s="239"/>
      <c r="P19" s="239"/>
      <c r="Q19" s="186"/>
    </row>
    <row r="20">
      <c r="A20" s="149" t="s">
        <v>16</v>
      </c>
      <c r="B20" s="221">
        <v>4320.0</v>
      </c>
      <c r="C20" s="239"/>
      <c r="D20" s="221">
        <v>0.0</v>
      </c>
      <c r="E20" s="149" t="s">
        <v>614</v>
      </c>
      <c r="F20" s="149" t="s">
        <v>232</v>
      </c>
      <c r="G20" s="149" t="s">
        <v>233</v>
      </c>
      <c r="I20" s="153">
        <v>36634.0</v>
      </c>
      <c r="J20" s="153">
        <v>45250.0</v>
      </c>
      <c r="K20" s="268">
        <v>45428.0</v>
      </c>
      <c r="L20" s="221">
        <v>0.0</v>
      </c>
      <c r="M20" s="153">
        <v>45658.0</v>
      </c>
      <c r="N20" s="153">
        <v>45688.0</v>
      </c>
      <c r="O20" s="239"/>
      <c r="P20" s="239"/>
      <c r="Q20" s="186"/>
    </row>
    <row r="21">
      <c r="A21" s="149" t="s">
        <v>16</v>
      </c>
      <c r="B21" s="221">
        <v>4320.0</v>
      </c>
      <c r="C21" s="239"/>
      <c r="D21" s="221">
        <v>0.0</v>
      </c>
      <c r="E21" s="149" t="s">
        <v>36</v>
      </c>
      <c r="F21" s="149" t="s">
        <v>37</v>
      </c>
      <c r="G21" s="149" t="s">
        <v>38</v>
      </c>
      <c r="I21" s="153">
        <v>33408.0</v>
      </c>
      <c r="J21" s="153">
        <v>45078.0</v>
      </c>
      <c r="K21" s="153">
        <v>45366.0</v>
      </c>
      <c r="L21" s="221">
        <v>0.0</v>
      </c>
      <c r="M21" s="153">
        <v>45658.0</v>
      </c>
      <c r="N21" s="153">
        <v>45688.0</v>
      </c>
      <c r="O21" s="239"/>
      <c r="P21" s="239"/>
      <c r="Q21" s="186"/>
    </row>
    <row r="22">
      <c r="A22" s="149" t="s">
        <v>16</v>
      </c>
      <c r="B22" s="221">
        <v>4320.0</v>
      </c>
      <c r="C22" s="239"/>
      <c r="D22" s="221">
        <v>0.0</v>
      </c>
      <c r="E22" s="149" t="s">
        <v>39</v>
      </c>
      <c r="F22" s="149" t="s">
        <v>40</v>
      </c>
      <c r="G22" s="149" t="s">
        <v>41</v>
      </c>
      <c r="I22" s="153">
        <v>35983.0</v>
      </c>
      <c r="J22" s="153">
        <v>45082.0</v>
      </c>
      <c r="K22" s="153">
        <v>45362.0</v>
      </c>
      <c r="L22" s="221">
        <v>0.0</v>
      </c>
      <c r="M22" s="153">
        <v>45658.0</v>
      </c>
      <c r="N22" s="153">
        <v>45688.0</v>
      </c>
      <c r="O22" s="239"/>
      <c r="P22" s="239"/>
      <c r="Q22" s="186"/>
    </row>
    <row r="23">
      <c r="A23" s="149" t="s">
        <v>16</v>
      </c>
      <c r="B23" s="221">
        <v>4320.0</v>
      </c>
      <c r="C23" s="239"/>
      <c r="D23" s="221">
        <v>0.0</v>
      </c>
      <c r="E23" s="149" t="s">
        <v>615</v>
      </c>
      <c r="F23" s="149" t="s">
        <v>365</v>
      </c>
      <c r="G23" s="149" t="s">
        <v>366</v>
      </c>
      <c r="I23" s="153">
        <v>36703.0</v>
      </c>
      <c r="J23" s="153">
        <v>45411.0</v>
      </c>
      <c r="K23" s="268">
        <v>45432.0</v>
      </c>
      <c r="L23" s="221">
        <v>0.0</v>
      </c>
      <c r="M23" s="153">
        <v>45658.0</v>
      </c>
      <c r="N23" s="153">
        <v>45688.0</v>
      </c>
      <c r="O23" s="239"/>
      <c r="P23" s="239"/>
      <c r="Q23" s="186"/>
    </row>
    <row r="24">
      <c r="A24" s="149" t="s">
        <v>16</v>
      </c>
      <c r="B24" s="221">
        <v>4320.0</v>
      </c>
      <c r="C24" s="239"/>
      <c r="D24" s="221">
        <v>0.0</v>
      </c>
      <c r="E24" s="149" t="s">
        <v>234</v>
      </c>
      <c r="F24" s="149" t="s">
        <v>235</v>
      </c>
      <c r="G24" s="149" t="s">
        <v>236</v>
      </c>
      <c r="I24" s="153">
        <v>33048.0</v>
      </c>
      <c r="J24" s="153">
        <v>45243.0</v>
      </c>
      <c r="K24" s="153">
        <v>45329.0</v>
      </c>
      <c r="L24" s="221">
        <v>0.0</v>
      </c>
      <c r="M24" s="153">
        <v>45658.0</v>
      </c>
      <c r="N24" s="153">
        <v>45688.0</v>
      </c>
      <c r="O24" s="239"/>
      <c r="P24" s="239"/>
      <c r="Q24" s="186"/>
    </row>
    <row r="25">
      <c r="A25" s="149" t="s">
        <v>16</v>
      </c>
      <c r="B25" s="221">
        <v>4320.0</v>
      </c>
      <c r="C25" s="239"/>
      <c r="D25" s="221">
        <v>0.0</v>
      </c>
      <c r="E25" s="149" t="s">
        <v>616</v>
      </c>
      <c r="F25" s="149" t="s">
        <v>617</v>
      </c>
      <c r="G25" s="149" t="s">
        <v>618</v>
      </c>
      <c r="I25" s="153">
        <v>35082.0</v>
      </c>
      <c r="J25" s="153">
        <v>45194.0</v>
      </c>
      <c r="K25" s="153">
        <v>45199.0</v>
      </c>
      <c r="L25" s="221">
        <v>0.0</v>
      </c>
      <c r="M25" s="153">
        <v>45658.0</v>
      </c>
      <c r="N25" s="153">
        <v>45688.0</v>
      </c>
      <c r="O25" s="239"/>
      <c r="P25" s="239"/>
      <c r="Q25" s="186"/>
    </row>
    <row r="26">
      <c r="A26" s="149" t="s">
        <v>16</v>
      </c>
      <c r="B26" s="221">
        <v>4320.0</v>
      </c>
      <c r="C26" s="239"/>
      <c r="D26" s="221">
        <v>0.0</v>
      </c>
      <c r="E26" s="149" t="s">
        <v>316</v>
      </c>
      <c r="F26" s="149" t="s">
        <v>317</v>
      </c>
      <c r="G26" s="149" t="s">
        <v>318</v>
      </c>
      <c r="I26" s="153">
        <v>37274.0</v>
      </c>
      <c r="J26" s="153">
        <v>45362.0</v>
      </c>
      <c r="K26" s="239"/>
      <c r="L26" s="221">
        <v>31.0</v>
      </c>
      <c r="M26" s="153">
        <v>45658.0</v>
      </c>
      <c r="N26" s="153">
        <v>45688.0</v>
      </c>
      <c r="O26" s="239"/>
      <c r="P26" s="239"/>
      <c r="Q26" s="186"/>
    </row>
    <row r="27">
      <c r="A27" s="149" t="s">
        <v>16</v>
      </c>
      <c r="B27" s="221">
        <v>4320.0</v>
      </c>
      <c r="C27" s="239"/>
      <c r="D27" s="221">
        <v>0.0</v>
      </c>
      <c r="E27" s="149" t="s">
        <v>264</v>
      </c>
      <c r="F27" s="149" t="s">
        <v>265</v>
      </c>
      <c r="G27" s="149" t="s">
        <v>266</v>
      </c>
      <c r="I27" s="153">
        <v>37398.0</v>
      </c>
      <c r="J27" s="153">
        <v>45096.0</v>
      </c>
      <c r="K27" s="239"/>
      <c r="L27" s="221">
        <v>31.0</v>
      </c>
      <c r="M27" s="153">
        <v>45658.0</v>
      </c>
      <c r="N27" s="153">
        <v>45688.0</v>
      </c>
      <c r="O27" s="239"/>
      <c r="P27" s="239"/>
      <c r="Q27" s="186"/>
    </row>
    <row r="28">
      <c r="A28" s="149" t="s">
        <v>16</v>
      </c>
      <c r="B28" s="221">
        <v>4320.0</v>
      </c>
      <c r="C28" s="239"/>
      <c r="D28" s="221">
        <v>0.0</v>
      </c>
      <c r="E28" s="149" t="s">
        <v>411</v>
      </c>
      <c r="F28" s="149" t="s">
        <v>412</v>
      </c>
      <c r="G28" s="149" t="s">
        <v>413</v>
      </c>
      <c r="I28" s="153">
        <v>33230.0</v>
      </c>
      <c r="J28" s="153">
        <v>45453.0</v>
      </c>
      <c r="K28" s="239"/>
      <c r="L28" s="221">
        <v>31.0</v>
      </c>
      <c r="M28" s="153">
        <v>45658.0</v>
      </c>
      <c r="N28" s="153">
        <v>45688.0</v>
      </c>
      <c r="O28" s="239"/>
      <c r="P28" s="239"/>
      <c r="Q28" s="186"/>
    </row>
    <row r="29">
      <c r="A29" s="149" t="s">
        <v>16</v>
      </c>
      <c r="B29" s="221">
        <v>4320.0</v>
      </c>
      <c r="C29" s="239"/>
      <c r="D29" s="221">
        <v>0.0</v>
      </c>
      <c r="E29" s="149" t="s">
        <v>282</v>
      </c>
      <c r="F29" s="149" t="s">
        <v>283</v>
      </c>
      <c r="G29" s="149" t="s">
        <v>284</v>
      </c>
      <c r="I29" s="268">
        <v>35047.0</v>
      </c>
      <c r="J29" s="153">
        <v>45257.0</v>
      </c>
      <c r="K29" s="239"/>
      <c r="L29" s="221">
        <v>31.0</v>
      </c>
      <c r="M29" s="153">
        <v>45658.0</v>
      </c>
      <c r="N29" s="153">
        <v>45688.0</v>
      </c>
      <c r="O29" s="239"/>
      <c r="P29" s="239"/>
      <c r="Q29" s="186"/>
    </row>
    <row r="30">
      <c r="A30" s="149" t="s">
        <v>16</v>
      </c>
      <c r="B30" s="221">
        <v>4320.0</v>
      </c>
      <c r="C30" s="239"/>
      <c r="D30" s="221">
        <v>0.0</v>
      </c>
      <c r="E30" s="149" t="s">
        <v>481</v>
      </c>
      <c r="F30" s="149" t="s">
        <v>531</v>
      </c>
      <c r="G30" s="149" t="s">
        <v>482</v>
      </c>
      <c r="I30" s="153">
        <v>35096.0</v>
      </c>
      <c r="J30" s="153">
        <v>45602.0</v>
      </c>
      <c r="K30" s="239"/>
      <c r="L30" s="221">
        <v>31.0</v>
      </c>
      <c r="M30" s="153">
        <v>45658.0</v>
      </c>
      <c r="N30" s="153">
        <v>45688.0</v>
      </c>
      <c r="O30" s="239"/>
      <c r="P30" s="239"/>
      <c r="Q30" s="186"/>
    </row>
    <row r="31">
      <c r="A31" s="149" t="s">
        <v>16</v>
      </c>
      <c r="B31" s="221">
        <v>4320.0</v>
      </c>
      <c r="C31" s="239"/>
      <c r="D31" s="221">
        <v>0.0</v>
      </c>
      <c r="E31" s="149" t="s">
        <v>45</v>
      </c>
      <c r="F31" s="149" t="s">
        <v>46</v>
      </c>
      <c r="G31" s="149" t="s">
        <v>47</v>
      </c>
      <c r="I31" s="153">
        <v>37370.0</v>
      </c>
      <c r="J31" s="153">
        <v>44739.0</v>
      </c>
      <c r="K31" s="239"/>
      <c r="L31" s="221">
        <v>31.0</v>
      </c>
      <c r="M31" s="153">
        <v>45658.0</v>
      </c>
      <c r="N31" s="153">
        <v>45688.0</v>
      </c>
      <c r="O31" s="239"/>
      <c r="P31" s="239"/>
      <c r="Q31" s="186"/>
    </row>
    <row r="32">
      <c r="A32" s="149" t="s">
        <v>16</v>
      </c>
      <c r="B32" s="221">
        <v>4320.0</v>
      </c>
      <c r="C32" s="239"/>
      <c r="D32" s="221">
        <v>0.0</v>
      </c>
      <c r="E32" s="149" t="s">
        <v>48</v>
      </c>
      <c r="F32" s="149" t="s">
        <v>49</v>
      </c>
      <c r="G32" s="149" t="s">
        <v>50</v>
      </c>
      <c r="I32" s="153">
        <v>36399.0</v>
      </c>
      <c r="J32" s="268">
        <v>45229.0</v>
      </c>
      <c r="K32" s="239"/>
      <c r="L32" s="221">
        <v>31.0</v>
      </c>
      <c r="M32" s="153">
        <v>45658.0</v>
      </c>
      <c r="N32" s="153">
        <v>45688.0</v>
      </c>
      <c r="O32" s="239"/>
      <c r="P32" s="239"/>
      <c r="Q32" s="186"/>
    </row>
    <row r="33">
      <c r="A33" s="149" t="s">
        <v>16</v>
      </c>
      <c r="B33" s="221">
        <v>4320.0</v>
      </c>
      <c r="C33" s="239"/>
      <c r="D33" s="221">
        <v>0.0</v>
      </c>
      <c r="E33" s="149" t="s">
        <v>444</v>
      </c>
      <c r="F33" s="149" t="s">
        <v>320</v>
      </c>
      <c r="G33" s="149" t="s">
        <v>321</v>
      </c>
      <c r="I33" s="153">
        <v>36360.0</v>
      </c>
      <c r="J33" s="153">
        <v>45355.0</v>
      </c>
      <c r="K33" s="239"/>
      <c r="L33" s="221">
        <v>31.0</v>
      </c>
      <c r="M33" s="153">
        <v>45658.0</v>
      </c>
      <c r="N33" s="153">
        <v>45688.0</v>
      </c>
      <c r="O33" s="239"/>
      <c r="P33" s="239"/>
      <c r="Q33" s="186"/>
    </row>
    <row r="34">
      <c r="A34" s="149" t="s">
        <v>16</v>
      </c>
      <c r="B34" s="221">
        <v>4320.0</v>
      </c>
      <c r="C34" s="239"/>
      <c r="D34" s="221">
        <v>0.0</v>
      </c>
      <c r="E34" s="149" t="s">
        <v>383</v>
      </c>
      <c r="F34" s="149" t="s">
        <v>384</v>
      </c>
      <c r="G34" s="149" t="s">
        <v>385</v>
      </c>
      <c r="I34" s="268">
        <v>36183.0</v>
      </c>
      <c r="J34" s="153">
        <v>45418.0</v>
      </c>
      <c r="K34" s="239"/>
      <c r="L34" s="221">
        <v>31.0</v>
      </c>
      <c r="M34" s="153">
        <v>45658.0</v>
      </c>
      <c r="N34" s="153">
        <v>45688.0</v>
      </c>
      <c r="O34" s="239"/>
      <c r="P34" s="239"/>
      <c r="Q34" s="186"/>
    </row>
    <row r="35">
      <c r="A35" s="149" t="s">
        <v>16</v>
      </c>
      <c r="B35" s="221">
        <v>4320.0</v>
      </c>
      <c r="C35" s="239"/>
      <c r="D35" s="221">
        <v>0.0</v>
      </c>
      <c r="E35" s="149" t="s">
        <v>386</v>
      </c>
      <c r="F35" s="149" t="s">
        <v>387</v>
      </c>
      <c r="G35" s="149" t="s">
        <v>388</v>
      </c>
      <c r="I35" s="153">
        <v>37144.0</v>
      </c>
      <c r="J35" s="153">
        <v>45418.0</v>
      </c>
      <c r="K35" s="268">
        <v>45418.0</v>
      </c>
      <c r="L35" s="221">
        <v>0.0</v>
      </c>
      <c r="M35" s="153">
        <v>45658.0</v>
      </c>
      <c r="N35" s="153">
        <v>45688.0</v>
      </c>
      <c r="O35" s="239"/>
      <c r="P35" s="239"/>
      <c r="Q35" s="186"/>
    </row>
    <row r="36">
      <c r="A36" s="149" t="s">
        <v>16</v>
      </c>
      <c r="B36" s="221">
        <v>4320.0</v>
      </c>
      <c r="C36" s="239"/>
      <c r="D36" s="221">
        <v>0.0</v>
      </c>
      <c r="E36" s="149" t="s">
        <v>325</v>
      </c>
      <c r="F36" s="149" t="s">
        <v>326</v>
      </c>
      <c r="G36" s="149" t="s">
        <v>327</v>
      </c>
      <c r="I36" s="153">
        <v>36962.0</v>
      </c>
      <c r="J36" s="153">
        <v>45376.0</v>
      </c>
      <c r="K36" s="153">
        <v>45565.0</v>
      </c>
      <c r="L36" s="221">
        <v>0.0</v>
      </c>
      <c r="M36" s="153">
        <v>45658.0</v>
      </c>
      <c r="N36" s="153">
        <v>45688.0</v>
      </c>
      <c r="O36" s="239"/>
      <c r="P36" s="239"/>
      <c r="Q36" s="186"/>
    </row>
    <row r="37">
      <c r="A37" s="149" t="s">
        <v>16</v>
      </c>
      <c r="B37" s="221">
        <v>4320.0</v>
      </c>
      <c r="C37" s="239"/>
      <c r="D37" s="221">
        <v>0.0</v>
      </c>
      <c r="E37" s="149" t="s">
        <v>285</v>
      </c>
      <c r="F37" s="149" t="s">
        <v>286</v>
      </c>
      <c r="G37" s="149" t="s">
        <v>287</v>
      </c>
      <c r="I37" s="153">
        <v>37377.0</v>
      </c>
      <c r="J37" s="153">
        <v>45334.0</v>
      </c>
      <c r="K37" s="239"/>
      <c r="L37" s="221">
        <v>31.0</v>
      </c>
      <c r="M37" s="153">
        <v>45658.0</v>
      </c>
      <c r="N37" s="153">
        <v>45688.0</v>
      </c>
      <c r="O37" s="239"/>
      <c r="P37" s="239"/>
      <c r="Q37" s="186"/>
    </row>
    <row r="38">
      <c r="A38" s="149" t="s">
        <v>16</v>
      </c>
      <c r="B38" s="221">
        <v>4320.0</v>
      </c>
      <c r="C38" s="239"/>
      <c r="D38" s="221">
        <v>0.0</v>
      </c>
      <c r="E38" s="149" t="s">
        <v>288</v>
      </c>
      <c r="F38" s="149" t="s">
        <v>289</v>
      </c>
      <c r="G38" s="149" t="s">
        <v>290</v>
      </c>
      <c r="I38" s="153">
        <v>37047.0</v>
      </c>
      <c r="J38" s="153">
        <v>45257.0</v>
      </c>
      <c r="K38" s="239"/>
      <c r="L38" s="221">
        <v>31.0</v>
      </c>
      <c r="M38" s="153">
        <v>45658.0</v>
      </c>
      <c r="N38" s="153">
        <v>45688.0</v>
      </c>
      <c r="O38" s="239"/>
      <c r="P38" s="239"/>
      <c r="Q38" s="186"/>
    </row>
    <row r="39">
      <c r="A39" s="149" t="s">
        <v>16</v>
      </c>
      <c r="B39" s="221">
        <v>4320.0</v>
      </c>
      <c r="C39" s="239"/>
      <c r="D39" s="221">
        <v>0.0</v>
      </c>
      <c r="E39" s="149" t="s">
        <v>567</v>
      </c>
      <c r="F39" s="149" t="s">
        <v>568</v>
      </c>
      <c r="G39" s="149" t="s">
        <v>569</v>
      </c>
      <c r="I39" s="153">
        <v>37962.0</v>
      </c>
      <c r="J39" s="153">
        <v>45677.0</v>
      </c>
      <c r="K39" s="239"/>
      <c r="L39" s="221">
        <v>12.0</v>
      </c>
      <c r="M39" s="153">
        <v>45658.0</v>
      </c>
      <c r="N39" s="153">
        <v>45688.0</v>
      </c>
      <c r="O39" s="239"/>
      <c r="P39" s="239"/>
      <c r="Q39" s="186"/>
    </row>
    <row r="40">
      <c r="A40" s="149" t="s">
        <v>16</v>
      </c>
      <c r="B40" s="221">
        <v>4320.0</v>
      </c>
      <c r="C40" s="239"/>
      <c r="D40" s="221">
        <v>0.0</v>
      </c>
      <c r="E40" s="149" t="s">
        <v>51</v>
      </c>
      <c r="F40" s="149" t="s">
        <v>52</v>
      </c>
      <c r="G40" s="149" t="s">
        <v>53</v>
      </c>
      <c r="I40" s="153">
        <v>34601.0</v>
      </c>
      <c r="J40" s="153">
        <v>44986.0</v>
      </c>
      <c r="K40" s="239"/>
      <c r="L40" s="221">
        <v>31.0</v>
      </c>
      <c r="M40" s="153">
        <v>45658.0</v>
      </c>
      <c r="N40" s="153">
        <v>45688.0</v>
      </c>
      <c r="O40" s="239"/>
      <c r="P40" s="239"/>
      <c r="Q40" s="186"/>
    </row>
    <row r="41">
      <c r="A41" s="149" t="s">
        <v>16</v>
      </c>
      <c r="B41" s="221">
        <v>4320.0</v>
      </c>
      <c r="C41" s="239"/>
      <c r="D41" s="221">
        <v>0.0</v>
      </c>
      <c r="E41" s="149" t="s">
        <v>445</v>
      </c>
      <c r="F41" s="149" t="s">
        <v>510</v>
      </c>
      <c r="G41" s="149" t="s">
        <v>447</v>
      </c>
      <c r="I41" s="153">
        <v>37047.0</v>
      </c>
      <c r="J41" s="153">
        <v>45505.0</v>
      </c>
      <c r="K41" s="239"/>
      <c r="L41" s="221">
        <v>31.0</v>
      </c>
      <c r="M41" s="153">
        <v>45658.0</v>
      </c>
      <c r="N41" s="153">
        <v>45688.0</v>
      </c>
      <c r="O41" s="239"/>
      <c r="P41" s="239"/>
      <c r="Q41" s="186"/>
    </row>
    <row r="42">
      <c r="A42" s="149" t="s">
        <v>16</v>
      </c>
      <c r="B42" s="221">
        <v>4320.0</v>
      </c>
      <c r="C42" s="239"/>
      <c r="D42" s="221">
        <v>0.0</v>
      </c>
      <c r="E42" s="149" t="s">
        <v>467</v>
      </c>
      <c r="F42" s="149" t="s">
        <v>511</v>
      </c>
      <c r="G42" s="149" t="s">
        <v>450</v>
      </c>
      <c r="I42" s="153">
        <v>36682.0</v>
      </c>
      <c r="J42" s="153">
        <v>45505.0</v>
      </c>
      <c r="K42" s="239"/>
      <c r="L42" s="221">
        <v>31.0</v>
      </c>
      <c r="M42" s="153">
        <v>45658.0</v>
      </c>
      <c r="N42" s="153">
        <v>45688.0</v>
      </c>
      <c r="O42" s="239"/>
      <c r="P42" s="239"/>
      <c r="Q42" s="186"/>
    </row>
    <row r="43">
      <c r="A43" s="149" t="s">
        <v>16</v>
      </c>
      <c r="B43" s="221">
        <v>4320.0</v>
      </c>
      <c r="C43" s="239"/>
      <c r="D43" s="221">
        <v>0.0</v>
      </c>
      <c r="E43" s="149" t="s">
        <v>503</v>
      </c>
      <c r="F43" s="149" t="s">
        <v>542</v>
      </c>
      <c r="G43" s="149" t="s">
        <v>504</v>
      </c>
      <c r="I43" s="153">
        <v>37422.0</v>
      </c>
      <c r="J43" s="268">
        <v>45635.0</v>
      </c>
      <c r="K43" s="239"/>
      <c r="L43" s="221">
        <v>31.0</v>
      </c>
      <c r="M43" s="153">
        <v>45658.0</v>
      </c>
      <c r="N43" s="153">
        <v>45688.0</v>
      </c>
      <c r="O43" s="239"/>
      <c r="P43" s="239"/>
      <c r="Q43" s="186"/>
    </row>
    <row r="44">
      <c r="A44" s="149" t="s">
        <v>16</v>
      </c>
      <c r="B44" s="221">
        <v>4320.0</v>
      </c>
      <c r="C44" s="239"/>
      <c r="D44" s="221">
        <v>0.0</v>
      </c>
      <c r="E44" s="149" t="s">
        <v>497</v>
      </c>
      <c r="F44" s="149" t="s">
        <v>539</v>
      </c>
      <c r="G44" s="149" t="s">
        <v>498</v>
      </c>
      <c r="I44" s="268">
        <v>37026.0</v>
      </c>
      <c r="J44" s="153">
        <v>45628.0</v>
      </c>
      <c r="K44" s="239"/>
      <c r="L44" s="221">
        <v>31.0</v>
      </c>
      <c r="M44" s="153">
        <v>45658.0</v>
      </c>
      <c r="N44" s="153">
        <v>45688.0</v>
      </c>
      <c r="O44" s="239"/>
      <c r="P44" s="239"/>
      <c r="Q44" s="186"/>
    </row>
    <row r="45">
      <c r="A45" s="149" t="s">
        <v>16</v>
      </c>
      <c r="B45" s="221">
        <v>4320.0</v>
      </c>
      <c r="C45" s="239"/>
      <c r="D45" s="221">
        <v>0.0</v>
      </c>
      <c r="E45" s="149" t="s">
        <v>249</v>
      </c>
      <c r="F45" s="149" t="s">
        <v>250</v>
      </c>
      <c r="G45" s="149" t="s">
        <v>251</v>
      </c>
      <c r="I45" s="153">
        <v>37322.0</v>
      </c>
      <c r="J45" s="153">
        <v>45096.0</v>
      </c>
      <c r="K45" s="153">
        <v>45523.0</v>
      </c>
      <c r="L45" s="221">
        <v>0.0</v>
      </c>
      <c r="M45" s="153">
        <v>45658.0</v>
      </c>
      <c r="N45" s="153">
        <v>45688.0</v>
      </c>
      <c r="O45" s="239"/>
      <c r="P45" s="239"/>
      <c r="Q45" s="186"/>
    </row>
    <row r="46">
      <c r="A46" s="149" t="s">
        <v>16</v>
      </c>
      <c r="B46" s="221">
        <v>4320.0</v>
      </c>
      <c r="C46" s="239"/>
      <c r="D46" s="221">
        <v>0.0</v>
      </c>
      <c r="E46" s="149" t="s">
        <v>291</v>
      </c>
      <c r="F46" s="149" t="s">
        <v>292</v>
      </c>
      <c r="G46" s="149" t="s">
        <v>293</v>
      </c>
      <c r="I46" s="153">
        <v>37219.0</v>
      </c>
      <c r="J46" s="153">
        <v>45257.0</v>
      </c>
      <c r="K46" s="239"/>
      <c r="L46" s="221">
        <v>31.0</v>
      </c>
      <c r="M46" s="153">
        <v>45658.0</v>
      </c>
      <c r="N46" s="153">
        <v>45688.0</v>
      </c>
      <c r="O46" s="239"/>
      <c r="P46" s="239"/>
      <c r="Q46" s="186"/>
    </row>
    <row r="47">
      <c r="A47" s="149" t="s">
        <v>16</v>
      </c>
      <c r="B47" s="221">
        <v>4320.0</v>
      </c>
      <c r="C47" s="239"/>
      <c r="D47" s="221">
        <v>0.0</v>
      </c>
      <c r="E47" s="149" t="s">
        <v>619</v>
      </c>
      <c r="F47" s="149" t="s">
        <v>220</v>
      </c>
      <c r="G47" s="149" t="s">
        <v>221</v>
      </c>
      <c r="I47" s="153">
        <v>36408.0</v>
      </c>
      <c r="J47" s="153">
        <v>45173.0</v>
      </c>
      <c r="K47" s="153">
        <v>45412.0</v>
      </c>
      <c r="L47" s="221">
        <v>0.0</v>
      </c>
      <c r="M47" s="153">
        <v>45658.0</v>
      </c>
      <c r="N47" s="153">
        <v>45688.0</v>
      </c>
      <c r="O47" s="239"/>
      <c r="P47" s="239"/>
      <c r="Q47" s="186"/>
    </row>
    <row r="48">
      <c r="A48" s="149" t="s">
        <v>16</v>
      </c>
      <c r="B48" s="221">
        <v>4320.0</v>
      </c>
      <c r="C48" s="239"/>
      <c r="D48" s="221">
        <v>0.0</v>
      </c>
      <c r="E48" s="149" t="s">
        <v>367</v>
      </c>
      <c r="F48" s="149" t="s">
        <v>368</v>
      </c>
      <c r="G48" s="149" t="s">
        <v>369</v>
      </c>
      <c r="I48" s="268">
        <v>36718.0</v>
      </c>
      <c r="J48" s="153">
        <v>45397.0</v>
      </c>
      <c r="K48" s="153">
        <v>45485.0</v>
      </c>
      <c r="L48" s="221">
        <v>0.0</v>
      </c>
      <c r="M48" s="153">
        <v>45658.0</v>
      </c>
      <c r="N48" s="153">
        <v>45688.0</v>
      </c>
      <c r="O48" s="239"/>
      <c r="P48" s="239"/>
      <c r="Q48" s="186"/>
    </row>
    <row r="49">
      <c r="A49" s="149" t="s">
        <v>16</v>
      </c>
      <c r="B49" s="221">
        <v>4320.0</v>
      </c>
      <c r="C49" s="239"/>
      <c r="D49" s="221">
        <v>0.0</v>
      </c>
      <c r="E49" s="149" t="s">
        <v>594</v>
      </c>
      <c r="F49" s="149" t="s">
        <v>595</v>
      </c>
      <c r="G49" s="149" t="s">
        <v>596</v>
      </c>
      <c r="I49" s="153">
        <v>37809.0</v>
      </c>
      <c r="J49" s="153">
        <v>45684.0</v>
      </c>
      <c r="K49" s="239"/>
      <c r="L49" s="221">
        <v>5.0</v>
      </c>
      <c r="M49" s="153">
        <v>45658.0</v>
      </c>
      <c r="N49" s="153">
        <v>45688.0</v>
      </c>
      <c r="O49" s="239"/>
      <c r="P49" s="239"/>
      <c r="Q49" s="186"/>
    </row>
    <row r="50">
      <c r="A50" s="149" t="s">
        <v>16</v>
      </c>
      <c r="B50" s="221">
        <v>4320.0</v>
      </c>
      <c r="C50" s="239"/>
      <c r="D50" s="221">
        <v>0.0</v>
      </c>
      <c r="E50" s="149" t="s">
        <v>60</v>
      </c>
      <c r="F50" s="149" t="s">
        <v>61</v>
      </c>
      <c r="G50" s="149" t="s">
        <v>62</v>
      </c>
      <c r="I50" s="153">
        <v>36246.0</v>
      </c>
      <c r="J50" s="153">
        <v>44851.0</v>
      </c>
      <c r="K50" s="239"/>
      <c r="L50" s="221">
        <v>31.0</v>
      </c>
      <c r="M50" s="153">
        <v>45658.0</v>
      </c>
      <c r="N50" s="153">
        <v>45688.0</v>
      </c>
      <c r="O50" s="239"/>
      <c r="P50" s="239"/>
      <c r="Q50" s="186"/>
    </row>
    <row r="51">
      <c r="A51" s="149" t="s">
        <v>16</v>
      </c>
      <c r="B51" s="221">
        <v>4320.0</v>
      </c>
      <c r="C51" s="239"/>
      <c r="D51" s="221">
        <v>0.0</v>
      </c>
      <c r="E51" s="149" t="s">
        <v>63</v>
      </c>
      <c r="F51" s="149" t="s">
        <v>64</v>
      </c>
      <c r="G51" s="149" t="s">
        <v>65</v>
      </c>
      <c r="I51" s="153">
        <v>35606.0</v>
      </c>
      <c r="J51" s="153">
        <v>44896.0</v>
      </c>
      <c r="K51" s="239"/>
      <c r="L51" s="221">
        <v>31.0</v>
      </c>
      <c r="M51" s="153">
        <v>45658.0</v>
      </c>
      <c r="N51" s="153">
        <v>45688.0</v>
      </c>
      <c r="O51" s="239"/>
      <c r="P51" s="239"/>
      <c r="Q51" s="186"/>
    </row>
    <row r="52">
      <c r="A52" s="149" t="s">
        <v>16</v>
      </c>
      <c r="B52" s="221">
        <v>4320.0</v>
      </c>
      <c r="C52" s="239"/>
      <c r="D52" s="221">
        <v>0.0</v>
      </c>
      <c r="E52" s="149" t="s">
        <v>63</v>
      </c>
      <c r="F52" s="149" t="s">
        <v>543</v>
      </c>
      <c r="G52" s="149" t="s">
        <v>505</v>
      </c>
      <c r="I52" s="153">
        <v>36725.0</v>
      </c>
      <c r="J52" s="153">
        <v>45635.0</v>
      </c>
      <c r="K52" s="239"/>
      <c r="L52" s="221">
        <v>31.0</v>
      </c>
      <c r="M52" s="153">
        <v>45658.0</v>
      </c>
      <c r="N52" s="153">
        <v>45688.0</v>
      </c>
      <c r="O52" s="239"/>
      <c r="P52" s="239"/>
      <c r="Q52" s="186"/>
    </row>
    <row r="53">
      <c r="A53" s="149" t="s">
        <v>16</v>
      </c>
      <c r="B53" s="221">
        <v>4320.0</v>
      </c>
      <c r="C53" s="239"/>
      <c r="D53" s="221">
        <v>0.0</v>
      </c>
      <c r="E53" s="149" t="s">
        <v>620</v>
      </c>
      <c r="F53" s="149" t="s">
        <v>621</v>
      </c>
      <c r="G53" s="149" t="s">
        <v>622</v>
      </c>
      <c r="I53" s="153">
        <v>37067.0</v>
      </c>
      <c r="J53" s="153">
        <v>45216.0</v>
      </c>
      <c r="K53" s="153">
        <v>45453.0</v>
      </c>
      <c r="L53" s="221">
        <v>0.0</v>
      </c>
      <c r="M53" s="153">
        <v>45658.0</v>
      </c>
      <c r="N53" s="153">
        <v>45688.0</v>
      </c>
      <c r="O53" s="239"/>
      <c r="P53" s="239"/>
      <c r="Q53" s="186"/>
    </row>
    <row r="54">
      <c r="A54" s="149" t="s">
        <v>16</v>
      </c>
      <c r="B54" s="221">
        <v>4320.0</v>
      </c>
      <c r="C54" s="239"/>
      <c r="D54" s="221">
        <v>0.0</v>
      </c>
      <c r="E54" s="149" t="s">
        <v>591</v>
      </c>
      <c r="F54" s="149" t="s">
        <v>592</v>
      </c>
      <c r="G54" s="149" t="s">
        <v>593</v>
      </c>
      <c r="I54" s="153">
        <v>37041.0</v>
      </c>
      <c r="J54" s="153">
        <v>45684.0</v>
      </c>
      <c r="K54" s="239"/>
      <c r="L54" s="221">
        <v>5.0</v>
      </c>
      <c r="M54" s="153">
        <v>45658.0</v>
      </c>
      <c r="N54" s="153">
        <v>45688.0</v>
      </c>
      <c r="O54" s="239"/>
      <c r="P54" s="239"/>
      <c r="Q54" s="186"/>
    </row>
    <row r="55">
      <c r="A55" s="149" t="s">
        <v>16</v>
      </c>
      <c r="B55" s="221">
        <v>4320.0</v>
      </c>
      <c r="C55" s="239"/>
      <c r="D55" s="221">
        <v>0.0</v>
      </c>
      <c r="E55" s="149" t="s">
        <v>597</v>
      </c>
      <c r="F55" s="149" t="s">
        <v>598</v>
      </c>
      <c r="G55" s="149" t="s">
        <v>599</v>
      </c>
      <c r="I55" s="153">
        <v>37265.0</v>
      </c>
      <c r="J55" s="153">
        <v>45684.0</v>
      </c>
      <c r="K55" s="239"/>
      <c r="L55" s="221">
        <v>5.0</v>
      </c>
      <c r="M55" s="153">
        <v>45658.0</v>
      </c>
      <c r="N55" s="153">
        <v>45688.0</v>
      </c>
      <c r="O55" s="239"/>
      <c r="P55" s="239"/>
      <c r="Q55" s="186"/>
    </row>
    <row r="56">
      <c r="A56" s="149" t="s">
        <v>16</v>
      </c>
      <c r="B56" s="221">
        <v>4320.0</v>
      </c>
      <c r="C56" s="239"/>
      <c r="D56" s="221">
        <v>0.0</v>
      </c>
      <c r="E56" s="149" t="s">
        <v>66</v>
      </c>
      <c r="F56" s="149" t="s">
        <v>67</v>
      </c>
      <c r="G56" s="149" t="s">
        <v>68</v>
      </c>
      <c r="I56" s="153">
        <v>34973.0</v>
      </c>
      <c r="J56" s="153">
        <v>44986.0</v>
      </c>
      <c r="K56" s="153">
        <v>45562.0</v>
      </c>
      <c r="L56" s="221">
        <v>0.0</v>
      </c>
      <c r="M56" s="153">
        <v>45658.0</v>
      </c>
      <c r="N56" s="153">
        <v>45688.0</v>
      </c>
      <c r="O56" s="239"/>
      <c r="P56" s="239"/>
      <c r="Q56" s="186"/>
    </row>
    <row r="57">
      <c r="A57" s="149" t="s">
        <v>16</v>
      </c>
      <c r="B57" s="221">
        <v>4320.0</v>
      </c>
      <c r="C57" s="239"/>
      <c r="D57" s="221">
        <v>0.0</v>
      </c>
      <c r="E57" s="149" t="s">
        <v>267</v>
      </c>
      <c r="F57" s="149" t="s">
        <v>268</v>
      </c>
      <c r="G57" s="149" t="s">
        <v>269</v>
      </c>
      <c r="I57" s="153">
        <v>34590.0</v>
      </c>
      <c r="J57" s="153">
        <v>45313.0</v>
      </c>
      <c r="K57" s="239"/>
      <c r="L57" s="221">
        <v>31.0</v>
      </c>
      <c r="M57" s="153">
        <v>45658.0</v>
      </c>
      <c r="N57" s="153">
        <v>45688.0</v>
      </c>
      <c r="O57" s="239"/>
      <c r="P57" s="239"/>
      <c r="Q57" s="186"/>
    </row>
    <row r="58">
      <c r="A58" s="149" t="s">
        <v>16</v>
      </c>
      <c r="B58" s="221">
        <v>4320.0</v>
      </c>
      <c r="C58" s="239"/>
      <c r="D58" s="221">
        <v>0.0</v>
      </c>
      <c r="E58" s="149" t="s">
        <v>69</v>
      </c>
      <c r="F58" s="149" t="s">
        <v>70</v>
      </c>
      <c r="G58" s="149" t="s">
        <v>71</v>
      </c>
      <c r="I58" s="153">
        <v>36891.0</v>
      </c>
      <c r="J58" s="153">
        <v>44739.0</v>
      </c>
      <c r="K58" s="239"/>
      <c r="L58" s="221">
        <v>31.0</v>
      </c>
      <c r="M58" s="153">
        <v>45658.0</v>
      </c>
      <c r="N58" s="153">
        <v>45688.0</v>
      </c>
      <c r="O58" s="239"/>
      <c r="P58" s="239"/>
      <c r="Q58" s="186"/>
    </row>
    <row r="59">
      <c r="A59" s="149" t="s">
        <v>16</v>
      </c>
      <c r="B59" s="221">
        <v>4320.0</v>
      </c>
      <c r="C59" s="239"/>
      <c r="D59" s="221">
        <v>0.0</v>
      </c>
      <c r="E59" s="149" t="s">
        <v>252</v>
      </c>
      <c r="F59" s="149" t="s">
        <v>253</v>
      </c>
      <c r="G59" s="149" t="s">
        <v>254</v>
      </c>
      <c r="I59" s="153">
        <v>37516.0</v>
      </c>
      <c r="J59" s="153">
        <v>45159.0</v>
      </c>
      <c r="K59" s="153">
        <v>45450.0</v>
      </c>
      <c r="L59" s="221">
        <v>0.0</v>
      </c>
      <c r="M59" s="153">
        <v>45658.0</v>
      </c>
      <c r="N59" s="153">
        <v>45688.0</v>
      </c>
      <c r="O59" s="239"/>
      <c r="P59" s="239"/>
      <c r="Q59" s="186"/>
    </row>
    <row r="60">
      <c r="A60" s="149" t="s">
        <v>16</v>
      </c>
      <c r="B60" s="221">
        <v>4320.0</v>
      </c>
      <c r="C60" s="239"/>
      <c r="D60" s="221">
        <v>0.0</v>
      </c>
      <c r="E60" s="149" t="s">
        <v>468</v>
      </c>
      <c r="F60" s="149" t="s">
        <v>527</v>
      </c>
      <c r="G60" s="149" t="s">
        <v>469</v>
      </c>
      <c r="I60" s="153">
        <v>35986.0</v>
      </c>
      <c r="J60" s="153">
        <v>45537.0</v>
      </c>
      <c r="K60" s="239"/>
      <c r="L60" s="221">
        <v>31.0</v>
      </c>
      <c r="M60" s="153">
        <v>45658.0</v>
      </c>
      <c r="N60" s="153">
        <v>45688.0</v>
      </c>
      <c r="O60" s="239"/>
      <c r="P60" s="239"/>
      <c r="Q60" s="186"/>
    </row>
    <row r="61">
      <c r="A61" s="149" t="s">
        <v>16</v>
      </c>
      <c r="B61" s="221">
        <v>4320.0</v>
      </c>
      <c r="C61" s="239"/>
      <c r="D61" s="221">
        <v>0.0</v>
      </c>
      <c r="E61" s="149" t="s">
        <v>72</v>
      </c>
      <c r="F61" s="149" t="s">
        <v>73</v>
      </c>
      <c r="G61" s="149" t="s">
        <v>74</v>
      </c>
      <c r="I61" s="153">
        <v>37210.0</v>
      </c>
      <c r="J61" s="153">
        <v>44562.0</v>
      </c>
      <c r="K61" s="268">
        <v>45442.0</v>
      </c>
      <c r="L61" s="221">
        <v>0.0</v>
      </c>
      <c r="M61" s="153">
        <v>45658.0</v>
      </c>
      <c r="N61" s="153">
        <v>45688.0</v>
      </c>
      <c r="O61" s="239"/>
      <c r="P61" s="239"/>
      <c r="Q61" s="186"/>
    </row>
    <row r="62">
      <c r="A62" s="149" t="s">
        <v>16</v>
      </c>
      <c r="B62" s="221">
        <v>4320.0</v>
      </c>
      <c r="C62" s="239"/>
      <c r="D62" s="221">
        <v>0.0</v>
      </c>
      <c r="E62" s="149" t="s">
        <v>78</v>
      </c>
      <c r="F62" s="149" t="s">
        <v>79</v>
      </c>
      <c r="G62" s="149" t="s">
        <v>80</v>
      </c>
      <c r="I62" s="153">
        <v>36401.0</v>
      </c>
      <c r="J62" s="153">
        <v>45096.0</v>
      </c>
      <c r="K62" s="239"/>
      <c r="L62" s="221">
        <v>31.0</v>
      </c>
      <c r="M62" s="153">
        <v>45658.0</v>
      </c>
      <c r="N62" s="153">
        <v>45688.0</v>
      </c>
      <c r="O62" s="239"/>
      <c r="P62" s="239"/>
      <c r="Q62" s="186"/>
    </row>
    <row r="63">
      <c r="A63" s="149" t="s">
        <v>16</v>
      </c>
      <c r="B63" s="221">
        <v>4320.0</v>
      </c>
      <c r="C63" s="239"/>
      <c r="D63" s="221">
        <v>0.0</v>
      </c>
      <c r="E63" s="149" t="s">
        <v>555</v>
      </c>
      <c r="F63" s="149" t="s">
        <v>556</v>
      </c>
      <c r="G63" s="149" t="s">
        <v>557</v>
      </c>
      <c r="I63" s="268">
        <v>36135.0</v>
      </c>
      <c r="J63" s="153">
        <v>45663.0</v>
      </c>
      <c r="K63" s="239"/>
      <c r="L63" s="221">
        <v>26.0</v>
      </c>
      <c r="M63" s="153">
        <v>45658.0</v>
      </c>
      <c r="N63" s="153">
        <v>45688.0</v>
      </c>
      <c r="O63" s="239"/>
      <c r="P63" s="239"/>
      <c r="Q63" s="186"/>
    </row>
    <row r="64">
      <c r="A64" s="149" t="s">
        <v>16</v>
      </c>
      <c r="B64" s="221">
        <v>4320.0</v>
      </c>
      <c r="C64" s="239"/>
      <c r="D64" s="221">
        <v>0.0</v>
      </c>
      <c r="E64" s="149" t="s">
        <v>483</v>
      </c>
      <c r="F64" s="149" t="s">
        <v>537</v>
      </c>
      <c r="G64" s="149" t="s">
        <v>484</v>
      </c>
      <c r="I64" s="153">
        <v>36286.0</v>
      </c>
      <c r="J64" s="153">
        <v>45602.0</v>
      </c>
      <c r="K64" s="239"/>
      <c r="L64" s="221">
        <v>31.0</v>
      </c>
      <c r="M64" s="153">
        <v>45658.0</v>
      </c>
      <c r="N64" s="153">
        <v>45688.0</v>
      </c>
      <c r="O64" s="239"/>
      <c r="P64" s="239"/>
      <c r="Q64" s="186"/>
    </row>
    <row r="65">
      <c r="A65" s="149" t="s">
        <v>16</v>
      </c>
      <c r="B65" s="221">
        <v>4320.0</v>
      </c>
      <c r="C65" s="239"/>
      <c r="D65" s="221">
        <v>0.0</v>
      </c>
      <c r="E65" s="149" t="s">
        <v>81</v>
      </c>
      <c r="F65" s="149" t="s">
        <v>82</v>
      </c>
      <c r="G65" s="149" t="s">
        <v>83</v>
      </c>
      <c r="I65" s="153">
        <v>36113.0</v>
      </c>
      <c r="J65" s="153">
        <v>44866.0</v>
      </c>
      <c r="K65" s="153">
        <v>45299.0</v>
      </c>
      <c r="L65" s="221">
        <v>0.0</v>
      </c>
      <c r="M65" s="153">
        <v>45658.0</v>
      </c>
      <c r="N65" s="153">
        <v>45688.0</v>
      </c>
      <c r="O65" s="239"/>
      <c r="P65" s="239"/>
      <c r="Q65" s="186"/>
    </row>
    <row r="66">
      <c r="A66" s="149" t="s">
        <v>16</v>
      </c>
      <c r="B66" s="221">
        <v>4320.0</v>
      </c>
      <c r="C66" s="239"/>
      <c r="D66" s="221">
        <v>0.0</v>
      </c>
      <c r="E66" s="149" t="s">
        <v>485</v>
      </c>
      <c r="F66" s="149" t="s">
        <v>535</v>
      </c>
      <c r="G66" s="149" t="s">
        <v>486</v>
      </c>
      <c r="I66" s="153">
        <v>36994.0</v>
      </c>
      <c r="J66" s="153">
        <v>45602.0</v>
      </c>
      <c r="K66" s="239"/>
      <c r="L66" s="221">
        <v>31.0</v>
      </c>
      <c r="M66" s="153">
        <v>45658.0</v>
      </c>
      <c r="N66" s="153">
        <v>45688.0</v>
      </c>
      <c r="O66" s="239"/>
      <c r="P66" s="239"/>
      <c r="Q66" s="186"/>
    </row>
    <row r="67">
      <c r="A67" s="149" t="s">
        <v>16</v>
      </c>
      <c r="B67" s="221">
        <v>4320.0</v>
      </c>
      <c r="C67" s="239"/>
      <c r="D67" s="221">
        <v>0.0</v>
      </c>
      <c r="E67" s="149" t="s">
        <v>331</v>
      </c>
      <c r="F67" s="149" t="s">
        <v>332</v>
      </c>
      <c r="G67" s="149" t="s">
        <v>333</v>
      </c>
      <c r="I67" s="153">
        <v>37958.0</v>
      </c>
      <c r="J67" s="153">
        <v>45369.0</v>
      </c>
      <c r="K67" s="239"/>
      <c r="L67" s="221">
        <v>31.0</v>
      </c>
      <c r="M67" s="153">
        <v>45658.0</v>
      </c>
      <c r="N67" s="153">
        <v>45688.0</v>
      </c>
      <c r="O67" s="239"/>
      <c r="P67" s="239"/>
      <c r="Q67" s="186"/>
    </row>
    <row r="68">
      <c r="A68" s="149" t="s">
        <v>16</v>
      </c>
      <c r="B68" s="221">
        <v>4320.0</v>
      </c>
      <c r="C68" s="239"/>
      <c r="D68" s="221">
        <v>0.0</v>
      </c>
      <c r="E68" s="149" t="s">
        <v>392</v>
      </c>
      <c r="F68" s="149" t="s">
        <v>393</v>
      </c>
      <c r="G68" s="149" t="s">
        <v>394</v>
      </c>
      <c r="I68" s="153">
        <v>34922.0</v>
      </c>
      <c r="J68" s="268">
        <v>45418.0</v>
      </c>
      <c r="K68" s="239"/>
      <c r="L68" s="221">
        <v>31.0</v>
      </c>
      <c r="M68" s="153">
        <v>45658.0</v>
      </c>
      <c r="N68" s="153">
        <v>45688.0</v>
      </c>
      <c r="O68" s="239"/>
      <c r="P68" s="239"/>
      <c r="Q68" s="186"/>
    </row>
    <row r="69">
      <c r="A69" s="149" t="s">
        <v>16</v>
      </c>
      <c r="B69" s="221">
        <v>4320.0</v>
      </c>
      <c r="C69" s="239"/>
      <c r="D69" s="221">
        <v>0.0</v>
      </c>
      <c r="E69" s="149" t="s">
        <v>576</v>
      </c>
      <c r="F69" s="149" t="s">
        <v>577</v>
      </c>
      <c r="G69" s="149" t="s">
        <v>578</v>
      </c>
      <c r="I69" s="153">
        <v>37944.0</v>
      </c>
      <c r="J69" s="153">
        <v>45677.0</v>
      </c>
      <c r="K69" s="239"/>
      <c r="L69" s="221">
        <v>12.0</v>
      </c>
      <c r="M69" s="153">
        <v>45658.0</v>
      </c>
      <c r="N69" s="153">
        <v>45688.0</v>
      </c>
      <c r="O69" s="239"/>
      <c r="P69" s="239"/>
      <c r="Q69" s="186"/>
    </row>
    <row r="70">
      <c r="A70" s="149" t="s">
        <v>16</v>
      </c>
      <c r="B70" s="221">
        <v>4320.0</v>
      </c>
      <c r="C70" s="239"/>
      <c r="D70" s="221">
        <v>0.0</v>
      </c>
      <c r="E70" s="149" t="s">
        <v>546</v>
      </c>
      <c r="F70" s="149" t="s">
        <v>547</v>
      </c>
      <c r="G70" s="149" t="s">
        <v>548</v>
      </c>
      <c r="I70" s="153">
        <v>38255.0</v>
      </c>
      <c r="J70" s="153">
        <v>45658.0</v>
      </c>
      <c r="K70" s="239"/>
      <c r="L70" s="221">
        <v>31.0</v>
      </c>
      <c r="M70" s="153">
        <v>45658.0</v>
      </c>
      <c r="N70" s="153">
        <v>45688.0</v>
      </c>
      <c r="O70" s="239"/>
      <c r="P70" s="239"/>
      <c r="Q70" s="186"/>
    </row>
    <row r="71">
      <c r="A71" s="149" t="s">
        <v>16</v>
      </c>
      <c r="B71" s="221">
        <v>4320.0</v>
      </c>
      <c r="C71" s="239"/>
      <c r="D71" s="221">
        <v>0.0</v>
      </c>
      <c r="E71" s="149" t="s">
        <v>294</v>
      </c>
      <c r="F71" s="149" t="s">
        <v>295</v>
      </c>
      <c r="G71" s="149" t="s">
        <v>296</v>
      </c>
      <c r="I71" s="153">
        <v>36551.0</v>
      </c>
      <c r="J71" s="153">
        <v>45278.0</v>
      </c>
      <c r="K71" s="153">
        <v>45359.0</v>
      </c>
      <c r="L71" s="221">
        <v>0.0</v>
      </c>
      <c r="M71" s="153">
        <v>45658.0</v>
      </c>
      <c r="N71" s="153">
        <v>45688.0</v>
      </c>
      <c r="O71" s="239"/>
      <c r="P71" s="239"/>
      <c r="Q71" s="186"/>
    </row>
    <row r="72">
      <c r="A72" s="149" t="s">
        <v>16</v>
      </c>
      <c r="B72" s="221">
        <v>4320.0</v>
      </c>
      <c r="C72" s="239"/>
      <c r="D72" s="221">
        <v>0.0</v>
      </c>
      <c r="E72" s="149" t="s">
        <v>623</v>
      </c>
      <c r="F72" s="149" t="s">
        <v>624</v>
      </c>
      <c r="G72" s="149" t="s">
        <v>625</v>
      </c>
      <c r="I72" s="153">
        <v>37489.0</v>
      </c>
      <c r="J72" s="153">
        <v>45397.0</v>
      </c>
      <c r="K72" s="153">
        <v>45488.0</v>
      </c>
      <c r="L72" s="221">
        <v>0.0</v>
      </c>
      <c r="M72" s="153">
        <v>45658.0</v>
      </c>
      <c r="N72" s="153">
        <v>45688.0</v>
      </c>
      <c r="O72" s="239"/>
      <c r="P72" s="239"/>
      <c r="Q72" s="186"/>
    </row>
    <row r="73">
      <c r="A73" s="149" t="s">
        <v>16</v>
      </c>
      <c r="B73" s="221">
        <v>4320.0</v>
      </c>
      <c r="C73" s="239"/>
      <c r="D73" s="221">
        <v>0.0</v>
      </c>
      <c r="E73" s="149" t="s">
        <v>626</v>
      </c>
      <c r="F73" s="149" t="s">
        <v>627</v>
      </c>
      <c r="G73" s="149" t="s">
        <v>628</v>
      </c>
      <c r="I73" s="153">
        <v>35257.0</v>
      </c>
      <c r="J73" s="153">
        <v>44795.0</v>
      </c>
      <c r="K73" s="153">
        <v>45199.0</v>
      </c>
      <c r="L73" s="221">
        <v>0.0</v>
      </c>
      <c r="M73" s="153">
        <v>45658.0</v>
      </c>
      <c r="N73" s="153">
        <v>45688.0</v>
      </c>
      <c r="O73" s="239"/>
      <c r="P73" s="239"/>
      <c r="Q73" s="186"/>
    </row>
    <row r="74">
      <c r="A74" s="149" t="s">
        <v>16</v>
      </c>
      <c r="B74" s="221">
        <v>4320.0</v>
      </c>
      <c r="C74" s="239"/>
      <c r="D74" s="221">
        <v>0.0</v>
      </c>
      <c r="E74" s="149" t="s">
        <v>629</v>
      </c>
      <c r="F74" s="149" t="s">
        <v>630</v>
      </c>
      <c r="G74" s="149" t="s">
        <v>631</v>
      </c>
      <c r="I74" s="153">
        <v>34807.0</v>
      </c>
      <c r="J74" s="153">
        <v>45110.0</v>
      </c>
      <c r="K74" s="153">
        <v>45199.0</v>
      </c>
      <c r="L74" s="221">
        <v>0.0</v>
      </c>
      <c r="M74" s="153">
        <v>45658.0</v>
      </c>
      <c r="N74" s="153">
        <v>45688.0</v>
      </c>
      <c r="O74" s="239"/>
      <c r="P74" s="239"/>
      <c r="Q74" s="186"/>
    </row>
    <row r="75">
      <c r="A75" s="149" t="s">
        <v>16</v>
      </c>
      <c r="B75" s="221">
        <v>4320.0</v>
      </c>
      <c r="C75" s="239"/>
      <c r="D75" s="221">
        <v>0.0</v>
      </c>
      <c r="E75" s="149" t="s">
        <v>501</v>
      </c>
      <c r="F75" s="149" t="s">
        <v>541</v>
      </c>
      <c r="G75" s="149" t="s">
        <v>502</v>
      </c>
      <c r="I75" s="153">
        <v>36062.0</v>
      </c>
      <c r="J75" s="153">
        <v>45628.0</v>
      </c>
      <c r="K75" s="239"/>
      <c r="L75" s="221">
        <v>31.0</v>
      </c>
      <c r="M75" s="153">
        <v>45658.0</v>
      </c>
      <c r="N75" s="153">
        <v>45688.0</v>
      </c>
      <c r="O75" s="239"/>
      <c r="P75" s="239"/>
      <c r="Q75" s="186"/>
    </row>
    <row r="76">
      <c r="A76" s="149" t="s">
        <v>16</v>
      </c>
      <c r="B76" s="221">
        <v>4320.0</v>
      </c>
      <c r="C76" s="239"/>
      <c r="D76" s="221">
        <v>0.0</v>
      </c>
      <c r="E76" s="149" t="s">
        <v>270</v>
      </c>
      <c r="F76" s="149" t="s">
        <v>271</v>
      </c>
      <c r="G76" s="149" t="s">
        <v>272</v>
      </c>
      <c r="I76" s="153">
        <v>36769.0</v>
      </c>
      <c r="J76" s="153">
        <v>45313.0</v>
      </c>
      <c r="K76" s="268">
        <v>45415.0</v>
      </c>
      <c r="L76" s="221">
        <v>0.0</v>
      </c>
      <c r="M76" s="153">
        <v>45658.0</v>
      </c>
      <c r="N76" s="153">
        <v>45688.0</v>
      </c>
      <c r="O76" s="239"/>
      <c r="P76" s="239"/>
      <c r="Q76" s="186"/>
    </row>
    <row r="77">
      <c r="A77" s="149" t="s">
        <v>16</v>
      </c>
      <c r="B77" s="221">
        <v>4320.0</v>
      </c>
      <c r="C77" s="239"/>
      <c r="D77" s="221">
        <v>0.0</v>
      </c>
      <c r="E77" s="149" t="s">
        <v>451</v>
      </c>
      <c r="F77" s="149" t="s">
        <v>512</v>
      </c>
      <c r="G77" s="149" t="s">
        <v>415</v>
      </c>
      <c r="I77" s="153">
        <v>36443.0</v>
      </c>
      <c r="J77" s="153">
        <v>45446.0</v>
      </c>
      <c r="K77" s="239"/>
      <c r="L77" s="221">
        <v>31.0</v>
      </c>
      <c r="M77" s="153">
        <v>45658.0</v>
      </c>
      <c r="N77" s="153">
        <v>45688.0</v>
      </c>
      <c r="O77" s="239"/>
      <c r="P77" s="239"/>
      <c r="Q77" s="186"/>
    </row>
    <row r="78">
      <c r="A78" s="149" t="s">
        <v>16</v>
      </c>
      <c r="B78" s="221">
        <v>4320.0</v>
      </c>
      <c r="C78" s="239"/>
      <c r="D78" s="221">
        <v>0.0</v>
      </c>
      <c r="E78" s="149" t="s">
        <v>87</v>
      </c>
      <c r="F78" s="149" t="s">
        <v>88</v>
      </c>
      <c r="G78" s="149" t="s">
        <v>89</v>
      </c>
      <c r="I78" s="153">
        <v>33737.0</v>
      </c>
      <c r="J78" s="153">
        <v>45139.0</v>
      </c>
      <c r="K78" s="239"/>
      <c r="L78" s="221">
        <v>31.0</v>
      </c>
      <c r="M78" s="153">
        <v>45658.0</v>
      </c>
      <c r="N78" s="153">
        <v>45688.0</v>
      </c>
      <c r="O78" s="239"/>
      <c r="P78" s="239"/>
      <c r="Q78" s="186"/>
    </row>
    <row r="79">
      <c r="A79" s="149" t="s">
        <v>16</v>
      </c>
      <c r="B79" s="221">
        <v>4320.0</v>
      </c>
      <c r="C79" s="239"/>
      <c r="D79" s="221">
        <v>0.0</v>
      </c>
      <c r="E79" s="149" t="s">
        <v>632</v>
      </c>
      <c r="F79" s="149" t="s">
        <v>633</v>
      </c>
      <c r="G79" s="149" t="s">
        <v>634</v>
      </c>
      <c r="I79" s="153">
        <v>35300.0</v>
      </c>
      <c r="J79" s="153">
        <v>45103.0</v>
      </c>
      <c r="K79" s="153">
        <v>45310.0</v>
      </c>
      <c r="L79" s="221">
        <v>0.0</v>
      </c>
      <c r="M79" s="153">
        <v>45658.0</v>
      </c>
      <c r="N79" s="153">
        <v>45688.0</v>
      </c>
      <c r="O79" s="239"/>
      <c r="P79" s="239"/>
      <c r="Q79" s="186"/>
    </row>
    <row r="80">
      <c r="A80" s="149" t="s">
        <v>16</v>
      </c>
      <c r="B80" s="221">
        <v>4320.0</v>
      </c>
      <c r="C80" s="239"/>
      <c r="D80" s="221">
        <v>0.0</v>
      </c>
      <c r="E80" s="149" t="s">
        <v>573</v>
      </c>
      <c r="F80" s="149" t="s">
        <v>574</v>
      </c>
      <c r="G80" s="149" t="s">
        <v>575</v>
      </c>
      <c r="I80" s="153">
        <v>36061.0</v>
      </c>
      <c r="J80" s="153">
        <v>45677.0</v>
      </c>
      <c r="K80" s="239"/>
      <c r="L80" s="221">
        <v>12.0</v>
      </c>
      <c r="M80" s="153">
        <v>45658.0</v>
      </c>
      <c r="N80" s="153">
        <v>45688.0</v>
      </c>
      <c r="O80" s="239"/>
      <c r="P80" s="239"/>
      <c r="Q80" s="186"/>
    </row>
    <row r="81">
      <c r="A81" s="149" t="s">
        <v>16</v>
      </c>
      <c r="B81" s="221">
        <v>4320.0</v>
      </c>
      <c r="C81" s="239"/>
      <c r="D81" s="221">
        <v>0.0</v>
      </c>
      <c r="E81" s="149" t="s">
        <v>90</v>
      </c>
      <c r="F81" s="149" t="s">
        <v>91</v>
      </c>
      <c r="G81" s="149" t="s">
        <v>92</v>
      </c>
      <c r="I81" s="153">
        <v>33917.0</v>
      </c>
      <c r="J81" s="153">
        <v>45166.0</v>
      </c>
      <c r="K81" s="153">
        <v>45321.0</v>
      </c>
      <c r="L81" s="221">
        <v>0.0</v>
      </c>
      <c r="M81" s="153">
        <v>45658.0</v>
      </c>
      <c r="N81" s="153">
        <v>45688.0</v>
      </c>
      <c r="O81" s="239"/>
      <c r="P81" s="239"/>
      <c r="Q81" s="186"/>
    </row>
    <row r="82">
      <c r="A82" s="271" t="s">
        <v>16</v>
      </c>
      <c r="B82" s="272">
        <v>4320.0</v>
      </c>
      <c r="C82" s="273"/>
      <c r="D82" s="272">
        <v>0.0</v>
      </c>
      <c r="E82" s="271" t="s">
        <v>337</v>
      </c>
      <c r="F82" s="271" t="s">
        <v>338</v>
      </c>
      <c r="G82" s="271" t="s">
        <v>339</v>
      </c>
      <c r="I82" s="274">
        <v>37539.0</v>
      </c>
      <c r="J82" s="275">
        <v>45362.0</v>
      </c>
      <c r="K82" s="275">
        <v>45657.0</v>
      </c>
      <c r="L82" s="272">
        <v>0.0</v>
      </c>
      <c r="M82" s="275">
        <v>45658.0</v>
      </c>
      <c r="N82" s="275">
        <v>45688.0</v>
      </c>
      <c r="O82" s="239"/>
      <c r="P82" s="149" t="s">
        <v>635</v>
      </c>
      <c r="Q82" s="186"/>
    </row>
    <row r="83">
      <c r="A83" s="149" t="s">
        <v>16</v>
      </c>
      <c r="B83" s="221">
        <v>4320.0</v>
      </c>
      <c r="C83" s="239"/>
      <c r="D83" s="221">
        <v>0.0</v>
      </c>
      <c r="E83" s="149" t="s">
        <v>297</v>
      </c>
      <c r="F83" s="149" t="s">
        <v>298</v>
      </c>
      <c r="G83" s="149" t="s">
        <v>299</v>
      </c>
      <c r="I83" s="265">
        <v>36692.0</v>
      </c>
      <c r="J83" s="153">
        <v>45243.0</v>
      </c>
      <c r="K83" s="153">
        <v>45365.0</v>
      </c>
      <c r="L83" s="221">
        <v>0.0</v>
      </c>
      <c r="M83" s="153">
        <v>45658.0</v>
      </c>
      <c r="N83" s="153">
        <v>45688.0</v>
      </c>
      <c r="O83" s="239"/>
      <c r="P83" s="239"/>
    </row>
    <row r="84">
      <c r="A84" s="149" t="s">
        <v>16</v>
      </c>
      <c r="B84" s="221">
        <v>4320.0</v>
      </c>
      <c r="C84" s="239"/>
      <c r="D84" s="221">
        <v>0.0</v>
      </c>
      <c r="E84" s="149" t="s">
        <v>93</v>
      </c>
      <c r="F84" s="149" t="s">
        <v>94</v>
      </c>
      <c r="G84" s="149" t="s">
        <v>95</v>
      </c>
      <c r="I84" s="265">
        <v>36137.0</v>
      </c>
      <c r="J84" s="153">
        <v>45098.0</v>
      </c>
      <c r="K84" s="153">
        <v>45246.0</v>
      </c>
      <c r="L84" s="221">
        <v>0.0</v>
      </c>
      <c r="M84" s="153">
        <v>45658.0</v>
      </c>
      <c r="N84" s="153">
        <v>45688.0</v>
      </c>
      <c r="O84" s="239"/>
      <c r="P84" s="239"/>
    </row>
    <row r="85">
      <c r="A85" s="149" t="s">
        <v>16</v>
      </c>
      <c r="B85" s="221">
        <v>4320.0</v>
      </c>
      <c r="C85" s="239"/>
      <c r="D85" s="221">
        <v>0.0</v>
      </c>
      <c r="E85" s="149" t="s">
        <v>636</v>
      </c>
      <c r="F85" s="149" t="s">
        <v>637</v>
      </c>
      <c r="G85" s="149" t="s">
        <v>638</v>
      </c>
      <c r="I85" s="265">
        <v>36354.0</v>
      </c>
      <c r="J85" s="153">
        <v>44562.0</v>
      </c>
      <c r="K85" s="153">
        <v>45199.0</v>
      </c>
      <c r="L85" s="221">
        <v>0.0</v>
      </c>
      <c r="M85" s="153">
        <v>45658.0</v>
      </c>
      <c r="N85" s="153">
        <v>45688.0</v>
      </c>
      <c r="O85" s="239"/>
      <c r="P85" s="239"/>
    </row>
    <row r="86">
      <c r="A86" s="149" t="s">
        <v>16</v>
      </c>
      <c r="B86" s="221">
        <v>4320.0</v>
      </c>
      <c r="C86" s="239"/>
      <c r="D86" s="221">
        <v>0.0</v>
      </c>
      <c r="E86" s="149" t="s">
        <v>579</v>
      </c>
      <c r="F86" s="149" t="s">
        <v>580</v>
      </c>
      <c r="G86" s="149" t="s">
        <v>581</v>
      </c>
      <c r="I86" s="153">
        <v>37609.0</v>
      </c>
      <c r="J86" s="153">
        <v>45677.0</v>
      </c>
      <c r="K86" s="239"/>
      <c r="L86" s="221">
        <v>12.0</v>
      </c>
      <c r="M86" s="153">
        <v>45658.0</v>
      </c>
      <c r="N86" s="153">
        <v>45688.0</v>
      </c>
      <c r="O86" s="239"/>
      <c r="P86" s="239"/>
    </row>
    <row r="87">
      <c r="A87" s="149" t="s">
        <v>16</v>
      </c>
      <c r="B87" s="221">
        <v>4320.0</v>
      </c>
      <c r="C87" s="239"/>
      <c r="D87" s="221">
        <v>0.0</v>
      </c>
      <c r="E87" s="149" t="s">
        <v>452</v>
      </c>
      <c r="F87" s="149" t="s">
        <v>513</v>
      </c>
      <c r="G87" s="149" t="s">
        <v>454</v>
      </c>
      <c r="I87" s="153">
        <v>37834.0</v>
      </c>
      <c r="J87" s="153">
        <v>45505.0</v>
      </c>
      <c r="K87" s="153">
        <v>45667.0</v>
      </c>
      <c r="L87" s="221">
        <v>10.0</v>
      </c>
      <c r="M87" s="153">
        <v>45658.0</v>
      </c>
      <c r="N87" s="153">
        <v>45688.0</v>
      </c>
      <c r="O87" s="239"/>
      <c r="P87" s="239"/>
    </row>
    <row r="88">
      <c r="A88" s="149" t="s">
        <v>16</v>
      </c>
      <c r="B88" s="221">
        <v>4320.0</v>
      </c>
      <c r="C88" s="239"/>
      <c r="D88" s="221">
        <v>0.0</v>
      </c>
      <c r="E88" s="149" t="s">
        <v>99</v>
      </c>
      <c r="F88" s="149" t="s">
        <v>100</v>
      </c>
      <c r="G88" s="149" t="s">
        <v>101</v>
      </c>
      <c r="I88" s="153">
        <v>37240.0</v>
      </c>
      <c r="J88" s="153">
        <v>45176.0</v>
      </c>
      <c r="K88" s="153">
        <v>45535.0</v>
      </c>
      <c r="L88" s="221">
        <v>0.0</v>
      </c>
      <c r="M88" s="153">
        <v>45658.0</v>
      </c>
      <c r="N88" s="153">
        <v>45688.0</v>
      </c>
      <c r="O88" s="239"/>
      <c r="P88" s="239"/>
    </row>
    <row r="89">
      <c r="A89" s="149" t="s">
        <v>16</v>
      </c>
      <c r="B89" s="221">
        <v>4320.0</v>
      </c>
      <c r="C89" s="239"/>
      <c r="D89" s="221">
        <v>0.0</v>
      </c>
      <c r="E89" s="149" t="s">
        <v>476</v>
      </c>
      <c r="F89" s="149" t="s">
        <v>529</v>
      </c>
      <c r="G89" s="149" t="s">
        <v>477</v>
      </c>
      <c r="I89" s="153">
        <v>37220.0</v>
      </c>
      <c r="J89" s="153">
        <v>45572.0</v>
      </c>
      <c r="K89" s="239"/>
      <c r="L89" s="221">
        <v>31.0</v>
      </c>
      <c r="M89" s="153">
        <v>45658.0</v>
      </c>
      <c r="N89" s="153">
        <v>45688.0</v>
      </c>
      <c r="O89" s="239"/>
      <c r="P89" s="239"/>
    </row>
    <row r="90">
      <c r="A90" s="149" t="s">
        <v>16</v>
      </c>
      <c r="B90" s="221">
        <v>4320.0</v>
      </c>
      <c r="C90" s="239"/>
      <c r="D90" s="221">
        <v>0.0</v>
      </c>
      <c r="E90" s="149" t="s">
        <v>102</v>
      </c>
      <c r="F90" s="149" t="s">
        <v>103</v>
      </c>
      <c r="G90" s="149" t="s">
        <v>104</v>
      </c>
      <c r="I90" s="153">
        <v>33240.0</v>
      </c>
      <c r="J90" s="153">
        <v>44287.0</v>
      </c>
      <c r="K90" s="239"/>
      <c r="L90" s="221">
        <v>31.0</v>
      </c>
      <c r="M90" s="153">
        <v>45658.0</v>
      </c>
      <c r="N90" s="153">
        <v>45688.0</v>
      </c>
      <c r="O90" s="239"/>
      <c r="P90" s="239"/>
    </row>
    <row r="91">
      <c r="A91" s="149" t="s">
        <v>16</v>
      </c>
      <c r="B91" s="221">
        <v>4320.0</v>
      </c>
      <c r="C91" s="239"/>
      <c r="D91" s="221">
        <v>0.0</v>
      </c>
      <c r="E91" s="149" t="s">
        <v>255</v>
      </c>
      <c r="F91" s="149" t="s">
        <v>256</v>
      </c>
      <c r="G91" s="149" t="s">
        <v>257</v>
      </c>
      <c r="I91" s="153">
        <v>35173.0</v>
      </c>
      <c r="J91" s="153">
        <v>45264.0</v>
      </c>
      <c r="K91" s="239"/>
      <c r="L91" s="221">
        <v>31.0</v>
      </c>
      <c r="M91" s="153">
        <v>45658.0</v>
      </c>
      <c r="N91" s="153">
        <v>45688.0</v>
      </c>
      <c r="O91" s="239"/>
      <c r="P91" s="239"/>
    </row>
    <row r="92">
      <c r="A92" s="149" t="s">
        <v>16</v>
      </c>
      <c r="B92" s="221">
        <v>4320.0</v>
      </c>
      <c r="C92" s="239"/>
      <c r="D92" s="221">
        <v>0.0</v>
      </c>
      <c r="E92" s="149" t="s">
        <v>438</v>
      </c>
      <c r="F92" s="149" t="s">
        <v>341</v>
      </c>
      <c r="G92" s="149" t="s">
        <v>342</v>
      </c>
      <c r="I92" s="153">
        <v>37964.0</v>
      </c>
      <c r="J92" s="153">
        <v>45355.0</v>
      </c>
      <c r="K92" s="239"/>
      <c r="L92" s="221">
        <v>31.0</v>
      </c>
      <c r="M92" s="153">
        <v>45658.0</v>
      </c>
      <c r="N92" s="153">
        <v>45688.0</v>
      </c>
      <c r="O92" s="239"/>
      <c r="P92" s="239"/>
    </row>
    <row r="93">
      <c r="A93" s="149" t="s">
        <v>16</v>
      </c>
      <c r="B93" s="221">
        <v>4320.0</v>
      </c>
      <c r="C93" s="239"/>
      <c r="D93" s="221">
        <v>0.0</v>
      </c>
      <c r="E93" s="149" t="s">
        <v>105</v>
      </c>
      <c r="F93" s="149" t="s">
        <v>106</v>
      </c>
      <c r="G93" s="149" t="s">
        <v>107</v>
      </c>
      <c r="I93" s="153">
        <v>37136.0</v>
      </c>
      <c r="J93" s="153">
        <v>45181.0</v>
      </c>
      <c r="K93" s="268">
        <v>45054.0</v>
      </c>
      <c r="L93" s="221">
        <v>0.0</v>
      </c>
      <c r="M93" s="153">
        <v>45658.0</v>
      </c>
      <c r="N93" s="153">
        <v>45688.0</v>
      </c>
      <c r="O93" s="239"/>
      <c r="P93" s="239"/>
    </row>
    <row r="94">
      <c r="A94" s="149" t="s">
        <v>16</v>
      </c>
      <c r="B94" s="221">
        <v>4320.0</v>
      </c>
      <c r="C94" s="239"/>
      <c r="D94" s="221">
        <v>0.0</v>
      </c>
      <c r="E94" s="149" t="s">
        <v>639</v>
      </c>
      <c r="F94" s="149" t="s">
        <v>323</v>
      </c>
      <c r="G94" s="149" t="s">
        <v>324</v>
      </c>
      <c r="I94" s="153">
        <v>37100.0</v>
      </c>
      <c r="J94" s="153">
        <v>45376.0</v>
      </c>
      <c r="K94" s="268">
        <v>45425.0</v>
      </c>
      <c r="L94" s="221">
        <v>0.0</v>
      </c>
      <c r="M94" s="153">
        <v>45658.0</v>
      </c>
      <c r="N94" s="153">
        <v>45688.0</v>
      </c>
      <c r="O94" s="239"/>
      <c r="P94" s="239"/>
    </row>
    <row r="95">
      <c r="A95" s="149" t="s">
        <v>16</v>
      </c>
      <c r="B95" s="221">
        <v>4320.0</v>
      </c>
      <c r="C95" s="239"/>
      <c r="D95" s="221">
        <v>0.0</v>
      </c>
      <c r="E95" s="149" t="s">
        <v>508</v>
      </c>
      <c r="F95" s="149" t="s">
        <v>545</v>
      </c>
      <c r="G95" s="149" t="s">
        <v>509</v>
      </c>
      <c r="I95" s="153">
        <v>36637.0</v>
      </c>
      <c r="J95" s="153">
        <v>45649.0</v>
      </c>
      <c r="K95" s="239"/>
      <c r="L95" s="221">
        <v>31.0</v>
      </c>
      <c r="M95" s="153">
        <v>45658.0</v>
      </c>
      <c r="N95" s="153">
        <v>45688.0</v>
      </c>
      <c r="O95" s="239"/>
      <c r="P95" s="239"/>
    </row>
    <row r="96">
      <c r="A96" s="149" t="s">
        <v>16</v>
      </c>
      <c r="B96" s="221">
        <v>4320.0</v>
      </c>
      <c r="C96" s="239"/>
      <c r="D96" s="221">
        <v>0.0</v>
      </c>
      <c r="E96" s="149" t="s">
        <v>395</v>
      </c>
      <c r="F96" s="149" t="s">
        <v>396</v>
      </c>
      <c r="G96" s="149" t="s">
        <v>397</v>
      </c>
      <c r="I96" s="153">
        <v>36557.0</v>
      </c>
      <c r="J96" s="268">
        <v>45432.0</v>
      </c>
      <c r="K96" s="239"/>
      <c r="L96" s="221">
        <v>31.0</v>
      </c>
      <c r="M96" s="153">
        <v>45658.0</v>
      </c>
      <c r="N96" s="153">
        <v>45688.0</v>
      </c>
      <c r="O96" s="239"/>
      <c r="P96" s="239"/>
    </row>
    <row r="97">
      <c r="A97" s="149" t="s">
        <v>16</v>
      </c>
      <c r="B97" s="221">
        <v>4320.0</v>
      </c>
      <c r="C97" s="239"/>
      <c r="D97" s="221">
        <v>0.0</v>
      </c>
      <c r="E97" s="149" t="s">
        <v>370</v>
      </c>
      <c r="F97" s="149" t="s">
        <v>371</v>
      </c>
      <c r="G97" s="149" t="s">
        <v>372</v>
      </c>
      <c r="I97" s="153">
        <v>35551.0</v>
      </c>
      <c r="J97" s="153">
        <v>45383.0</v>
      </c>
      <c r="K97" s="239"/>
      <c r="L97" s="221">
        <v>31.0</v>
      </c>
      <c r="M97" s="153">
        <v>45658.0</v>
      </c>
      <c r="N97" s="153">
        <v>45688.0</v>
      </c>
      <c r="O97" s="239"/>
      <c r="P97" s="239"/>
    </row>
    <row r="98">
      <c r="A98" s="149" t="s">
        <v>16</v>
      </c>
      <c r="B98" s="221">
        <v>4320.0</v>
      </c>
      <c r="C98" s="239"/>
      <c r="D98" s="221">
        <v>0.0</v>
      </c>
      <c r="E98" s="149" t="s">
        <v>640</v>
      </c>
      <c r="F98" s="149" t="s">
        <v>641</v>
      </c>
      <c r="G98" s="149" t="s">
        <v>642</v>
      </c>
      <c r="I98" s="153">
        <v>35152.0</v>
      </c>
      <c r="J98" s="153">
        <v>45180.0</v>
      </c>
      <c r="K98" s="153">
        <v>45233.0</v>
      </c>
      <c r="L98" s="221">
        <v>0.0</v>
      </c>
      <c r="M98" s="153">
        <v>45658.0</v>
      </c>
      <c r="N98" s="153">
        <v>45688.0</v>
      </c>
      <c r="O98" s="239"/>
      <c r="P98" s="239"/>
    </row>
    <row r="99">
      <c r="A99" s="149" t="s">
        <v>16</v>
      </c>
      <c r="B99" s="221">
        <v>4320.0</v>
      </c>
      <c r="C99" s="239"/>
      <c r="D99" s="221">
        <v>0.0</v>
      </c>
      <c r="E99" s="149" t="s">
        <v>111</v>
      </c>
      <c r="F99" s="149" t="s">
        <v>112</v>
      </c>
      <c r="G99" s="149" t="s">
        <v>113</v>
      </c>
      <c r="I99" s="153">
        <v>36898.0</v>
      </c>
      <c r="J99" s="153">
        <v>44988.0</v>
      </c>
      <c r="K99" s="153">
        <v>45412.0</v>
      </c>
      <c r="L99" s="221">
        <v>0.0</v>
      </c>
      <c r="M99" s="153">
        <v>45658.0</v>
      </c>
      <c r="N99" s="153">
        <v>45688.0</v>
      </c>
      <c r="O99" s="239"/>
      <c r="P99" s="239"/>
    </row>
    <row r="100">
      <c r="A100" s="149" t="s">
        <v>16</v>
      </c>
      <c r="B100" s="221">
        <v>4320.0</v>
      </c>
      <c r="C100" s="239"/>
      <c r="D100" s="221">
        <v>0.0</v>
      </c>
      <c r="E100" s="149" t="s">
        <v>114</v>
      </c>
      <c r="F100" s="149" t="s">
        <v>514</v>
      </c>
      <c r="G100" s="149" t="s">
        <v>456</v>
      </c>
      <c r="I100" s="153">
        <v>35872.0</v>
      </c>
      <c r="J100" s="153">
        <v>45523.0</v>
      </c>
      <c r="K100" s="239"/>
      <c r="L100" s="221">
        <v>31.0</v>
      </c>
      <c r="M100" s="153">
        <v>45658.0</v>
      </c>
      <c r="N100" s="153">
        <v>45688.0</v>
      </c>
      <c r="O100" s="239"/>
      <c r="P100" s="239"/>
    </row>
    <row r="101">
      <c r="A101" s="149" t="s">
        <v>16</v>
      </c>
      <c r="B101" s="221">
        <v>4320.0</v>
      </c>
      <c r="C101" s="239"/>
      <c r="D101" s="221">
        <v>0.0</v>
      </c>
      <c r="E101" s="149" t="s">
        <v>114</v>
      </c>
      <c r="F101" s="149" t="s">
        <v>115</v>
      </c>
      <c r="G101" s="149" t="s">
        <v>116</v>
      </c>
      <c r="I101" s="153">
        <v>35159.0</v>
      </c>
      <c r="J101" s="153">
        <v>45078.0</v>
      </c>
      <c r="K101" s="153">
        <v>45322.0</v>
      </c>
      <c r="L101" s="221">
        <v>0.0</v>
      </c>
      <c r="M101" s="153">
        <v>45658.0</v>
      </c>
      <c r="N101" s="153">
        <v>45688.0</v>
      </c>
      <c r="O101" s="239"/>
      <c r="P101" s="239"/>
    </row>
    <row r="102">
      <c r="A102" s="149" t="s">
        <v>16</v>
      </c>
      <c r="B102" s="221">
        <v>4320.0</v>
      </c>
      <c r="C102" s="227"/>
      <c r="D102" s="221">
        <v>0.0</v>
      </c>
      <c r="E102" s="149" t="s">
        <v>457</v>
      </c>
      <c r="F102" s="149" t="s">
        <v>515</v>
      </c>
      <c r="G102" s="149" t="s">
        <v>458</v>
      </c>
      <c r="I102" s="153">
        <v>37061.0</v>
      </c>
      <c r="J102" s="153">
        <v>45505.0</v>
      </c>
      <c r="K102" s="227"/>
      <c r="L102" s="221">
        <v>31.0</v>
      </c>
      <c r="M102" s="153">
        <v>45658.0</v>
      </c>
      <c r="N102" s="153">
        <v>45688.0</v>
      </c>
      <c r="O102" s="227"/>
      <c r="P102" s="227"/>
    </row>
    <row r="103">
      <c r="A103" s="149" t="s">
        <v>16</v>
      </c>
      <c r="B103" s="221">
        <v>4320.0</v>
      </c>
      <c r="C103" s="227"/>
      <c r="D103" s="221">
        <v>0.0</v>
      </c>
      <c r="E103" s="149" t="s">
        <v>439</v>
      </c>
      <c r="F103" s="149" t="s">
        <v>121</v>
      </c>
      <c r="G103" s="149" t="s">
        <v>122</v>
      </c>
      <c r="I103" s="153">
        <v>36794.0</v>
      </c>
      <c r="J103" s="153">
        <v>44915.0</v>
      </c>
      <c r="K103" s="227"/>
      <c r="L103" s="221">
        <v>31.0</v>
      </c>
      <c r="M103" s="153">
        <v>45658.0</v>
      </c>
      <c r="N103" s="153">
        <v>45688.0</v>
      </c>
      <c r="O103" s="227"/>
      <c r="P103" s="227"/>
    </row>
    <row r="104">
      <c r="A104" s="149" t="s">
        <v>16</v>
      </c>
      <c r="B104" s="221">
        <v>4320.0</v>
      </c>
      <c r="C104" s="227"/>
      <c r="D104" s="221">
        <v>0.0</v>
      </c>
      <c r="E104" s="149" t="s">
        <v>643</v>
      </c>
      <c r="F104" s="149" t="s">
        <v>124</v>
      </c>
      <c r="G104" s="149" t="s">
        <v>125</v>
      </c>
      <c r="I104" s="153">
        <v>37149.0</v>
      </c>
      <c r="J104" s="153">
        <v>45124.0</v>
      </c>
      <c r="K104" s="153">
        <v>45453.0</v>
      </c>
      <c r="L104" s="221">
        <v>0.0</v>
      </c>
      <c r="M104" s="153">
        <v>45658.0</v>
      </c>
      <c r="N104" s="153">
        <v>45688.0</v>
      </c>
      <c r="O104" s="227"/>
      <c r="P104" s="227"/>
    </row>
    <row r="105">
      <c r="A105" s="149" t="s">
        <v>16</v>
      </c>
      <c r="B105" s="221">
        <v>4320.0</v>
      </c>
      <c r="C105" s="227"/>
      <c r="D105" s="221">
        <v>0.0</v>
      </c>
      <c r="E105" s="149" t="s">
        <v>237</v>
      </c>
      <c r="F105" s="149" t="s">
        <v>238</v>
      </c>
      <c r="G105" s="149" t="s">
        <v>239</v>
      </c>
      <c r="I105" s="153">
        <v>34503.0</v>
      </c>
      <c r="J105" s="153">
        <v>45251.0</v>
      </c>
      <c r="K105" s="153">
        <v>45338.0</v>
      </c>
      <c r="L105" s="221">
        <v>0.0</v>
      </c>
      <c r="M105" s="153">
        <v>45658.0</v>
      </c>
      <c r="N105" s="153">
        <v>45688.0</v>
      </c>
      <c r="O105" s="227"/>
      <c r="P105" s="227"/>
    </row>
    <row r="106">
      <c r="A106" s="149" t="s">
        <v>16</v>
      </c>
      <c r="B106" s="221">
        <v>4320.0</v>
      </c>
      <c r="C106" s="227"/>
      <c r="D106" s="221">
        <v>0.0</v>
      </c>
      <c r="E106" s="149" t="s">
        <v>506</v>
      </c>
      <c r="F106" s="149" t="s">
        <v>544</v>
      </c>
      <c r="G106" s="149" t="s">
        <v>507</v>
      </c>
      <c r="I106" s="153">
        <v>36981.0</v>
      </c>
      <c r="J106" s="153">
        <v>45642.0</v>
      </c>
      <c r="K106" s="227"/>
      <c r="L106" s="221">
        <v>31.0</v>
      </c>
      <c r="M106" s="153">
        <v>45658.0</v>
      </c>
      <c r="N106" s="153">
        <v>45688.0</v>
      </c>
      <c r="O106" s="227"/>
      <c r="P106" s="227"/>
    </row>
    <row r="107">
      <c r="A107" s="149" t="s">
        <v>16</v>
      </c>
      <c r="B107" s="221">
        <v>4320.0</v>
      </c>
      <c r="C107" s="227"/>
      <c r="D107" s="221">
        <v>0.0</v>
      </c>
      <c r="E107" s="149" t="s">
        <v>487</v>
      </c>
      <c r="F107" s="149" t="s">
        <v>533</v>
      </c>
      <c r="G107" s="149" t="s">
        <v>488</v>
      </c>
      <c r="I107" s="268">
        <v>35195.0</v>
      </c>
      <c r="J107" s="153">
        <v>45602.0</v>
      </c>
      <c r="K107" s="227"/>
      <c r="L107" s="221">
        <v>31.0</v>
      </c>
      <c r="M107" s="153">
        <v>45658.0</v>
      </c>
      <c r="N107" s="153">
        <v>45688.0</v>
      </c>
      <c r="O107" s="227"/>
      <c r="P107" s="227"/>
    </row>
    <row r="108">
      <c r="A108" s="149" t="s">
        <v>16</v>
      </c>
      <c r="B108" s="221">
        <v>4320.0</v>
      </c>
      <c r="C108" s="227"/>
      <c r="D108" s="221">
        <v>0.0</v>
      </c>
      <c r="E108" s="149" t="s">
        <v>343</v>
      </c>
      <c r="F108" s="149" t="s">
        <v>344</v>
      </c>
      <c r="G108" s="149" t="s">
        <v>345</v>
      </c>
      <c r="I108" s="153">
        <v>36821.0</v>
      </c>
      <c r="J108" s="153">
        <v>45362.0</v>
      </c>
      <c r="K108" s="227"/>
      <c r="L108" s="221">
        <v>31.0</v>
      </c>
      <c r="M108" s="153">
        <v>45658.0</v>
      </c>
      <c r="N108" s="153">
        <v>45688.0</v>
      </c>
      <c r="O108" s="227"/>
      <c r="P108" s="227"/>
    </row>
    <row r="109">
      <c r="A109" s="149" t="s">
        <v>16</v>
      </c>
      <c r="B109" s="221">
        <v>4320.0</v>
      </c>
      <c r="C109" s="227"/>
      <c r="D109" s="221">
        <v>0.0</v>
      </c>
      <c r="E109" s="149" t="s">
        <v>129</v>
      </c>
      <c r="F109" s="149" t="s">
        <v>130</v>
      </c>
      <c r="G109" s="149" t="s">
        <v>131</v>
      </c>
      <c r="I109" s="153">
        <v>36207.0</v>
      </c>
      <c r="J109" s="268">
        <v>45054.0</v>
      </c>
      <c r="K109" s="153">
        <v>44960.0</v>
      </c>
      <c r="L109" s="221">
        <v>0.0</v>
      </c>
      <c r="M109" s="153">
        <v>45658.0</v>
      </c>
      <c r="N109" s="153">
        <v>45688.0</v>
      </c>
      <c r="O109" s="227"/>
      <c r="P109" s="227"/>
    </row>
    <row r="110">
      <c r="A110" s="149" t="s">
        <v>16</v>
      </c>
      <c r="B110" s="221">
        <v>4320.0</v>
      </c>
      <c r="C110" s="227"/>
      <c r="D110" s="221">
        <v>0.0</v>
      </c>
      <c r="E110" s="149" t="s">
        <v>429</v>
      </c>
      <c r="F110" s="149" t="s">
        <v>516</v>
      </c>
      <c r="G110" s="149" t="s">
        <v>430</v>
      </c>
      <c r="I110" s="153">
        <v>37257.0</v>
      </c>
      <c r="J110" s="153">
        <v>45481.0</v>
      </c>
      <c r="K110" s="227"/>
      <c r="L110" s="221">
        <v>31.0</v>
      </c>
      <c r="M110" s="153">
        <v>45658.0</v>
      </c>
      <c r="N110" s="153">
        <v>45688.0</v>
      </c>
      <c r="O110" s="227"/>
      <c r="P110" s="227"/>
    </row>
    <row r="111">
      <c r="A111" s="149" t="s">
        <v>16</v>
      </c>
      <c r="B111" s="221">
        <v>4320.0</v>
      </c>
      <c r="C111" s="227"/>
      <c r="D111" s="221">
        <v>0.0</v>
      </c>
      <c r="E111" s="149" t="s">
        <v>489</v>
      </c>
      <c r="F111" s="149" t="s">
        <v>536</v>
      </c>
      <c r="G111" s="149" t="s">
        <v>490</v>
      </c>
      <c r="I111" s="153">
        <v>37105.0</v>
      </c>
      <c r="J111" s="153">
        <v>45602.0</v>
      </c>
      <c r="K111" s="227"/>
      <c r="L111" s="221">
        <v>31.0</v>
      </c>
      <c r="M111" s="153">
        <v>45658.0</v>
      </c>
      <c r="N111" s="153">
        <v>45688.0</v>
      </c>
      <c r="O111" s="227"/>
      <c r="P111" s="227"/>
    </row>
    <row r="112">
      <c r="A112" s="149" t="s">
        <v>16</v>
      </c>
      <c r="B112" s="221">
        <v>4320.0</v>
      </c>
      <c r="C112" s="227"/>
      <c r="D112" s="221">
        <v>0.0</v>
      </c>
      <c r="E112" s="149" t="s">
        <v>644</v>
      </c>
      <c r="F112" s="149" t="s">
        <v>190</v>
      </c>
      <c r="G112" s="149" t="s">
        <v>191</v>
      </c>
      <c r="I112" s="153">
        <v>36421.0</v>
      </c>
      <c r="J112" s="153">
        <v>45166.0</v>
      </c>
      <c r="K112" s="153">
        <v>45535.0</v>
      </c>
      <c r="L112" s="221">
        <v>0.0</v>
      </c>
      <c r="M112" s="153">
        <v>45658.0</v>
      </c>
      <c r="N112" s="153">
        <v>45688.0</v>
      </c>
      <c r="O112" s="227"/>
      <c r="P112" s="227"/>
    </row>
    <row r="113">
      <c r="A113" s="149" t="s">
        <v>16</v>
      </c>
      <c r="B113" s="221">
        <v>4320.0</v>
      </c>
      <c r="C113" s="227"/>
      <c r="D113" s="221">
        <v>0.0</v>
      </c>
      <c r="E113" s="149" t="s">
        <v>645</v>
      </c>
      <c r="F113" s="149" t="s">
        <v>646</v>
      </c>
      <c r="G113" s="149" t="s">
        <v>647</v>
      </c>
      <c r="I113" s="153">
        <v>37123.0</v>
      </c>
      <c r="J113" s="153">
        <v>44984.0</v>
      </c>
      <c r="K113" s="153">
        <v>45199.0</v>
      </c>
      <c r="L113" s="221">
        <v>0.0</v>
      </c>
      <c r="M113" s="153">
        <v>45658.0</v>
      </c>
      <c r="N113" s="153">
        <v>45688.0</v>
      </c>
      <c r="O113" s="227"/>
      <c r="P113" s="227"/>
    </row>
    <row r="114">
      <c r="A114" s="149" t="s">
        <v>16</v>
      </c>
      <c r="B114" s="221">
        <v>4320.0</v>
      </c>
      <c r="C114" s="227"/>
      <c r="D114" s="221">
        <v>0.0</v>
      </c>
      <c r="E114" s="149" t="s">
        <v>416</v>
      </c>
      <c r="F114" s="149" t="s">
        <v>517</v>
      </c>
      <c r="G114" s="149" t="s">
        <v>417</v>
      </c>
      <c r="I114" s="153">
        <v>36346.0</v>
      </c>
      <c r="J114" s="153">
        <v>45453.0</v>
      </c>
      <c r="K114" s="227"/>
      <c r="L114" s="221">
        <v>31.0</v>
      </c>
      <c r="M114" s="153">
        <v>45658.0</v>
      </c>
      <c r="N114" s="153">
        <v>45688.0</v>
      </c>
      <c r="O114" s="227"/>
      <c r="P114" s="227"/>
    </row>
    <row r="115">
      <c r="A115" s="149" t="s">
        <v>16</v>
      </c>
      <c r="B115" s="221">
        <v>4320.0</v>
      </c>
      <c r="C115" s="227"/>
      <c r="D115" s="221">
        <v>0.0</v>
      </c>
      <c r="E115" s="149" t="s">
        <v>582</v>
      </c>
      <c r="F115" s="149" t="s">
        <v>583</v>
      </c>
      <c r="G115" s="149" t="s">
        <v>584</v>
      </c>
      <c r="I115" s="153">
        <v>37880.0</v>
      </c>
      <c r="J115" s="153">
        <v>45677.0</v>
      </c>
      <c r="K115" s="227"/>
      <c r="L115" s="221">
        <v>12.0</v>
      </c>
      <c r="M115" s="153">
        <v>45658.0</v>
      </c>
      <c r="N115" s="153">
        <v>45688.0</v>
      </c>
      <c r="O115" s="227"/>
      <c r="P115" s="227"/>
    </row>
    <row r="116">
      <c r="A116" s="149" t="s">
        <v>16</v>
      </c>
      <c r="B116" s="221">
        <v>4320.0</v>
      </c>
      <c r="C116" s="227"/>
      <c r="D116" s="221">
        <v>0.0</v>
      </c>
      <c r="E116" s="149" t="s">
        <v>648</v>
      </c>
      <c r="F116" s="149" t="s">
        <v>649</v>
      </c>
      <c r="G116" s="149" t="s">
        <v>650</v>
      </c>
      <c r="I116" s="153">
        <v>35039.0</v>
      </c>
      <c r="J116" s="153">
        <v>44986.0</v>
      </c>
      <c r="K116" s="153">
        <v>45199.0</v>
      </c>
      <c r="L116" s="221">
        <v>0.0</v>
      </c>
      <c r="M116" s="153">
        <v>45658.0</v>
      </c>
      <c r="N116" s="153">
        <v>45688.0</v>
      </c>
      <c r="O116" s="227"/>
      <c r="P116" s="227"/>
    </row>
    <row r="117">
      <c r="A117" s="149" t="s">
        <v>16</v>
      </c>
      <c r="B117" s="221">
        <v>4320.0</v>
      </c>
      <c r="C117" s="227"/>
      <c r="D117" s="221">
        <v>0.0</v>
      </c>
      <c r="E117" s="149" t="s">
        <v>478</v>
      </c>
      <c r="F117" s="149" t="s">
        <v>518</v>
      </c>
      <c r="G117" s="149" t="s">
        <v>426</v>
      </c>
      <c r="I117" s="153">
        <v>36530.0</v>
      </c>
      <c r="J117" s="153">
        <v>45446.0</v>
      </c>
      <c r="K117" s="227"/>
      <c r="L117" s="221">
        <v>31.0</v>
      </c>
      <c r="M117" s="153">
        <v>45658.0</v>
      </c>
      <c r="N117" s="153">
        <v>45688.0</v>
      </c>
      <c r="O117" s="227"/>
      <c r="P117" s="227"/>
    </row>
    <row r="118">
      <c r="A118" s="149" t="s">
        <v>16</v>
      </c>
      <c r="B118" s="221">
        <v>4320.0</v>
      </c>
      <c r="C118" s="227"/>
      <c r="D118" s="221">
        <v>0.0</v>
      </c>
      <c r="E118" s="149" t="s">
        <v>132</v>
      </c>
      <c r="F118" s="149" t="s">
        <v>519</v>
      </c>
      <c r="G118" s="149" t="s">
        <v>418</v>
      </c>
      <c r="I118" s="153">
        <v>37494.0</v>
      </c>
      <c r="J118" s="153">
        <v>45467.0</v>
      </c>
      <c r="K118" s="227"/>
      <c r="L118" s="221">
        <v>31.0</v>
      </c>
      <c r="M118" s="153">
        <v>45658.0</v>
      </c>
      <c r="N118" s="153">
        <v>45688.0</v>
      </c>
      <c r="O118" s="227"/>
      <c r="P118" s="227"/>
    </row>
    <row r="119">
      <c r="A119" s="149" t="s">
        <v>16</v>
      </c>
      <c r="B119" s="221">
        <v>4320.0</v>
      </c>
      <c r="C119" s="227"/>
      <c r="D119" s="221">
        <v>0.0</v>
      </c>
      <c r="E119" s="149" t="s">
        <v>132</v>
      </c>
      <c r="F119" s="149" t="s">
        <v>347</v>
      </c>
      <c r="G119" s="149" t="s">
        <v>348</v>
      </c>
      <c r="I119" s="153">
        <v>36778.0</v>
      </c>
      <c r="J119" s="153">
        <v>45369.0</v>
      </c>
      <c r="K119" s="153">
        <v>45565.0</v>
      </c>
      <c r="L119" s="221">
        <v>0.0</v>
      </c>
      <c r="M119" s="153">
        <v>45658.0</v>
      </c>
      <c r="N119" s="153">
        <v>45688.0</v>
      </c>
      <c r="O119" s="227"/>
      <c r="P119" s="227"/>
    </row>
    <row r="120">
      <c r="A120" s="149" t="s">
        <v>16</v>
      </c>
      <c r="B120" s="221">
        <v>4320.0</v>
      </c>
      <c r="C120" s="227"/>
      <c r="D120" s="221">
        <v>0.0</v>
      </c>
      <c r="E120" s="149" t="s">
        <v>570</v>
      </c>
      <c r="F120" s="149" t="s">
        <v>571</v>
      </c>
      <c r="G120" s="149" t="s">
        <v>572</v>
      </c>
      <c r="I120" s="153">
        <v>37362.0</v>
      </c>
      <c r="J120" s="153">
        <v>45677.0</v>
      </c>
      <c r="K120" s="227"/>
      <c r="L120" s="221">
        <v>12.0</v>
      </c>
      <c r="M120" s="153">
        <v>45658.0</v>
      </c>
      <c r="N120" s="153">
        <v>45688.0</v>
      </c>
      <c r="O120" s="227"/>
      <c r="P120" s="227"/>
    </row>
    <row r="121">
      <c r="A121" s="149" t="s">
        <v>16</v>
      </c>
      <c r="B121" s="221">
        <v>4320.0</v>
      </c>
      <c r="C121" s="227"/>
      <c r="D121" s="221">
        <v>0.0</v>
      </c>
      <c r="E121" s="149" t="s">
        <v>491</v>
      </c>
      <c r="F121" s="149" t="s">
        <v>534</v>
      </c>
      <c r="G121" s="149" t="s">
        <v>492</v>
      </c>
      <c r="I121" s="153">
        <v>36849.0</v>
      </c>
      <c r="J121" s="153">
        <v>45602.0</v>
      </c>
      <c r="K121" s="227"/>
      <c r="L121" s="221">
        <v>31.0</v>
      </c>
      <c r="M121" s="153">
        <v>45658.0</v>
      </c>
      <c r="N121" s="153">
        <v>45688.0</v>
      </c>
      <c r="O121" s="227"/>
      <c r="P121" s="227"/>
    </row>
    <row r="122">
      <c r="A122" s="149" t="s">
        <v>16</v>
      </c>
      <c r="B122" s="221">
        <v>4320.0</v>
      </c>
      <c r="C122" s="227"/>
      <c r="D122" s="221">
        <v>0.0</v>
      </c>
      <c r="E122" s="149" t="s">
        <v>651</v>
      </c>
      <c r="F122" s="149" t="s">
        <v>652</v>
      </c>
      <c r="G122" s="149" t="s">
        <v>653</v>
      </c>
      <c r="I122" s="153">
        <v>34748.0</v>
      </c>
      <c r="J122" s="153">
        <v>45033.0</v>
      </c>
      <c r="K122" s="153">
        <v>45381.0</v>
      </c>
      <c r="L122" s="221">
        <v>0.0</v>
      </c>
      <c r="M122" s="153">
        <v>45658.0</v>
      </c>
      <c r="N122" s="153">
        <v>45688.0</v>
      </c>
      <c r="O122" s="227"/>
      <c r="P122" s="227"/>
    </row>
    <row r="123">
      <c r="A123" s="149" t="s">
        <v>16</v>
      </c>
      <c r="B123" s="221">
        <v>4320.0</v>
      </c>
      <c r="C123" s="227"/>
      <c r="D123" s="221">
        <v>0.0</v>
      </c>
      <c r="E123" s="149" t="s">
        <v>459</v>
      </c>
      <c r="F123" s="149" t="s">
        <v>374</v>
      </c>
      <c r="G123" s="149" t="s">
        <v>375</v>
      </c>
      <c r="I123" s="153">
        <v>37085.0</v>
      </c>
      <c r="J123" s="153">
        <v>45400.0</v>
      </c>
      <c r="K123" s="227"/>
      <c r="L123" s="221">
        <v>31.0</v>
      </c>
      <c r="M123" s="153">
        <v>45658.0</v>
      </c>
      <c r="N123" s="153">
        <v>45688.0</v>
      </c>
      <c r="O123" s="227"/>
      <c r="P123" s="227"/>
    </row>
    <row r="124">
      <c r="A124" s="149" t="s">
        <v>16</v>
      </c>
      <c r="B124" s="221">
        <v>4320.0</v>
      </c>
      <c r="C124" s="227"/>
      <c r="D124" s="221">
        <v>0.0</v>
      </c>
      <c r="E124" s="149" t="s">
        <v>135</v>
      </c>
      <c r="F124" s="149" t="s">
        <v>136</v>
      </c>
      <c r="G124" s="149" t="s">
        <v>137</v>
      </c>
      <c r="I124" s="153">
        <v>36768.0</v>
      </c>
      <c r="J124" s="153">
        <v>44888.0</v>
      </c>
      <c r="K124" s="153">
        <v>45260.0</v>
      </c>
      <c r="L124" s="221">
        <v>0.0</v>
      </c>
      <c r="M124" s="153">
        <v>45658.0</v>
      </c>
      <c r="N124" s="153">
        <v>45688.0</v>
      </c>
      <c r="O124" s="227"/>
      <c r="P124" s="227"/>
    </row>
    <row r="125">
      <c r="A125" s="149" t="s">
        <v>16</v>
      </c>
      <c r="B125" s="221">
        <v>4320.0</v>
      </c>
      <c r="C125" s="227"/>
      <c r="D125" s="221">
        <v>0.0</v>
      </c>
      <c r="E125" s="149" t="s">
        <v>349</v>
      </c>
      <c r="F125" s="149" t="s">
        <v>350</v>
      </c>
      <c r="G125" s="149" t="s">
        <v>351</v>
      </c>
      <c r="I125" s="153">
        <v>37647.0</v>
      </c>
      <c r="J125" s="153">
        <v>45355.0</v>
      </c>
      <c r="K125" s="227"/>
      <c r="L125" s="221">
        <v>31.0</v>
      </c>
      <c r="M125" s="153">
        <v>45658.0</v>
      </c>
      <c r="N125" s="153">
        <v>45688.0</v>
      </c>
      <c r="O125" s="227"/>
      <c r="P125" s="227"/>
    </row>
    <row r="126">
      <c r="A126" s="149" t="s">
        <v>16</v>
      </c>
      <c r="B126" s="221">
        <v>4320.0</v>
      </c>
      <c r="C126" s="227"/>
      <c r="D126" s="221">
        <v>0.0</v>
      </c>
      <c r="E126" s="149" t="s">
        <v>654</v>
      </c>
      <c r="F126" s="149" t="s">
        <v>655</v>
      </c>
      <c r="G126" s="149" t="s">
        <v>656</v>
      </c>
      <c r="I126" s="153">
        <v>34318.0</v>
      </c>
      <c r="J126" s="153">
        <v>45229.0</v>
      </c>
      <c r="K126" s="153">
        <v>45523.0</v>
      </c>
      <c r="L126" s="221">
        <v>0.0</v>
      </c>
      <c r="M126" s="153">
        <v>45658.0</v>
      </c>
      <c r="N126" s="153">
        <v>45688.0</v>
      </c>
      <c r="O126" s="227"/>
      <c r="P126" s="227"/>
    </row>
    <row r="127">
      <c r="A127" s="149" t="s">
        <v>16</v>
      </c>
      <c r="B127" s="221">
        <v>4320.0</v>
      </c>
      <c r="C127" s="227"/>
      <c r="D127" s="221">
        <v>0.0</v>
      </c>
      <c r="E127" s="149" t="s">
        <v>141</v>
      </c>
      <c r="F127" s="149" t="s">
        <v>142</v>
      </c>
      <c r="G127" s="149" t="s">
        <v>143</v>
      </c>
      <c r="I127" s="153">
        <v>34300.0</v>
      </c>
      <c r="J127" s="153">
        <v>45183.0</v>
      </c>
      <c r="K127" s="153">
        <v>45565.0</v>
      </c>
      <c r="L127" s="221">
        <v>0.0</v>
      </c>
      <c r="M127" s="153">
        <v>45658.0</v>
      </c>
      <c r="N127" s="153">
        <v>45688.0</v>
      </c>
      <c r="O127" s="227"/>
      <c r="P127" s="227"/>
    </row>
    <row r="128">
      <c r="A128" s="149" t="s">
        <v>16</v>
      </c>
      <c r="B128" s="221">
        <v>4320.0</v>
      </c>
      <c r="C128" s="227"/>
      <c r="D128" s="221">
        <v>0.0</v>
      </c>
      <c r="E128" s="149" t="s">
        <v>657</v>
      </c>
      <c r="F128" s="149" t="s">
        <v>658</v>
      </c>
      <c r="G128" s="149" t="s">
        <v>659</v>
      </c>
      <c r="I128" s="153">
        <v>35147.0</v>
      </c>
      <c r="J128" s="153">
        <v>44886.0</v>
      </c>
      <c r="K128" s="153">
        <v>45243.0</v>
      </c>
      <c r="L128" s="221">
        <v>0.0</v>
      </c>
      <c r="M128" s="153">
        <v>45658.0</v>
      </c>
      <c r="N128" s="153">
        <v>45688.0</v>
      </c>
      <c r="O128" s="227"/>
      <c r="P128" s="227"/>
    </row>
    <row r="129">
      <c r="A129" s="149" t="s">
        <v>16</v>
      </c>
      <c r="B129" s="221">
        <v>4320.0</v>
      </c>
      <c r="C129" s="227"/>
      <c r="D129" s="221">
        <v>0.0</v>
      </c>
      <c r="E129" s="149" t="s">
        <v>352</v>
      </c>
      <c r="F129" s="149" t="s">
        <v>353</v>
      </c>
      <c r="G129" s="149" t="s">
        <v>354</v>
      </c>
      <c r="I129" s="153">
        <v>36412.0</v>
      </c>
      <c r="J129" s="153">
        <v>45355.0</v>
      </c>
      <c r="K129" s="227"/>
      <c r="L129" s="221">
        <v>31.0</v>
      </c>
      <c r="M129" s="153">
        <v>45658.0</v>
      </c>
      <c r="N129" s="153">
        <v>45688.0</v>
      </c>
      <c r="O129" s="227"/>
      <c r="P129" s="227"/>
    </row>
    <row r="130">
      <c r="A130" s="149" t="s">
        <v>16</v>
      </c>
      <c r="B130" s="221">
        <v>4320.0</v>
      </c>
      <c r="C130" s="227"/>
      <c r="D130" s="221">
        <v>0.0</v>
      </c>
      <c r="E130" s="149" t="s">
        <v>419</v>
      </c>
      <c r="F130" s="149" t="s">
        <v>520</v>
      </c>
      <c r="G130" s="149" t="s">
        <v>420</v>
      </c>
      <c r="I130" s="153">
        <v>36907.0</v>
      </c>
      <c r="J130" s="153">
        <v>45446.0</v>
      </c>
      <c r="K130" s="153">
        <v>45676.0</v>
      </c>
      <c r="L130" s="221">
        <v>19.0</v>
      </c>
      <c r="M130" s="153">
        <v>45658.0</v>
      </c>
      <c r="N130" s="153">
        <v>45688.0</v>
      </c>
      <c r="O130" s="227"/>
      <c r="P130" s="227"/>
    </row>
    <row r="131">
      <c r="A131" s="149" t="s">
        <v>16</v>
      </c>
      <c r="B131" s="221">
        <v>4320.0</v>
      </c>
      <c r="C131" s="227"/>
      <c r="D131" s="221">
        <v>0.0</v>
      </c>
      <c r="E131" s="149" t="s">
        <v>660</v>
      </c>
      <c r="F131" s="149" t="s">
        <v>127</v>
      </c>
      <c r="G131" s="149" t="s">
        <v>128</v>
      </c>
      <c r="I131" s="153">
        <v>36132.0</v>
      </c>
      <c r="J131" s="153">
        <v>45117.0</v>
      </c>
      <c r="K131" s="153">
        <v>45260.0</v>
      </c>
      <c r="L131" s="221">
        <v>0.0</v>
      </c>
      <c r="M131" s="153">
        <v>45658.0</v>
      </c>
      <c r="N131" s="153">
        <v>45688.0</v>
      </c>
      <c r="O131" s="227"/>
      <c r="P131" s="227"/>
    </row>
    <row r="132">
      <c r="A132" s="149" t="s">
        <v>16</v>
      </c>
      <c r="B132" s="221">
        <v>4320.0</v>
      </c>
      <c r="C132" s="227"/>
      <c r="D132" s="221">
        <v>0.0</v>
      </c>
      <c r="E132" s="149" t="s">
        <v>398</v>
      </c>
      <c r="F132" s="149" t="s">
        <v>399</v>
      </c>
      <c r="G132" s="149" t="s">
        <v>400</v>
      </c>
      <c r="I132" s="268">
        <v>36655.0</v>
      </c>
      <c r="J132" s="268">
        <v>45418.0</v>
      </c>
      <c r="K132" s="153">
        <v>45539.0</v>
      </c>
      <c r="L132" s="221">
        <v>0.0</v>
      </c>
      <c r="M132" s="153">
        <v>45658.0</v>
      </c>
      <c r="N132" s="153">
        <v>45688.0</v>
      </c>
      <c r="O132" s="227"/>
      <c r="P132" s="227"/>
    </row>
    <row r="133">
      <c r="A133" s="149" t="s">
        <v>16</v>
      </c>
      <c r="B133" s="221">
        <v>4320.0</v>
      </c>
      <c r="C133" s="227"/>
      <c r="D133" s="221">
        <v>0.0</v>
      </c>
      <c r="E133" s="149" t="s">
        <v>661</v>
      </c>
      <c r="F133" s="149" t="s">
        <v>662</v>
      </c>
      <c r="G133" s="149" t="s">
        <v>663</v>
      </c>
      <c r="I133" s="153">
        <v>31262.0</v>
      </c>
      <c r="J133" s="268">
        <v>45048.0</v>
      </c>
      <c r="K133" s="153">
        <v>45199.0</v>
      </c>
      <c r="L133" s="221">
        <v>0.0</v>
      </c>
      <c r="M133" s="153">
        <v>45658.0</v>
      </c>
      <c r="N133" s="153">
        <v>45688.0</v>
      </c>
      <c r="O133" s="227"/>
      <c r="P133" s="227"/>
    </row>
    <row r="134">
      <c r="A134" s="149" t="s">
        <v>16</v>
      </c>
      <c r="B134" s="221">
        <v>4320.0</v>
      </c>
      <c r="C134" s="227"/>
      <c r="D134" s="221">
        <v>0.0</v>
      </c>
      <c r="E134" s="149" t="s">
        <v>147</v>
      </c>
      <c r="F134" s="149" t="s">
        <v>148</v>
      </c>
      <c r="G134" s="149" t="s">
        <v>149</v>
      </c>
      <c r="I134" s="153">
        <v>36541.0</v>
      </c>
      <c r="J134" s="153">
        <v>44755.0</v>
      </c>
      <c r="K134" s="153">
        <v>45386.0</v>
      </c>
      <c r="L134" s="221">
        <v>0.0</v>
      </c>
      <c r="M134" s="153">
        <v>45658.0</v>
      </c>
      <c r="N134" s="153">
        <v>45688.0</v>
      </c>
      <c r="O134" s="227"/>
      <c r="P134" s="227"/>
    </row>
    <row r="135">
      <c r="A135" s="149" t="s">
        <v>16</v>
      </c>
      <c r="B135" s="221">
        <v>4320.0</v>
      </c>
      <c r="C135" s="227"/>
      <c r="D135" s="221">
        <v>0.0</v>
      </c>
      <c r="E135" s="149" t="s">
        <v>150</v>
      </c>
      <c r="F135" s="149" t="s">
        <v>151</v>
      </c>
      <c r="G135" s="149" t="s">
        <v>152</v>
      </c>
      <c r="I135" s="153">
        <v>34335.0</v>
      </c>
      <c r="J135" s="153">
        <v>45078.0</v>
      </c>
      <c r="K135" s="153">
        <v>45400.0</v>
      </c>
      <c r="L135" s="221">
        <v>0.0</v>
      </c>
      <c r="M135" s="153">
        <v>45658.0</v>
      </c>
      <c r="N135" s="153">
        <v>45688.0</v>
      </c>
      <c r="O135" s="227"/>
      <c r="P135" s="227"/>
    </row>
    <row r="136">
      <c r="A136" s="149" t="s">
        <v>16</v>
      </c>
      <c r="B136" s="221">
        <v>4320.0</v>
      </c>
      <c r="C136" s="227"/>
      <c r="D136" s="221">
        <v>0.0</v>
      </c>
      <c r="E136" s="149" t="s">
        <v>153</v>
      </c>
      <c r="F136" s="149" t="s">
        <v>154</v>
      </c>
      <c r="G136" s="149" t="s">
        <v>155</v>
      </c>
      <c r="I136" s="153">
        <v>31014.0</v>
      </c>
      <c r="J136" s="153">
        <v>44805.0</v>
      </c>
      <c r="K136" s="153">
        <v>45199.0</v>
      </c>
      <c r="L136" s="221">
        <v>0.0</v>
      </c>
      <c r="M136" s="153">
        <v>45658.0</v>
      </c>
      <c r="N136" s="153">
        <v>45688.0</v>
      </c>
      <c r="O136" s="227"/>
      <c r="P136" s="227"/>
    </row>
    <row r="137">
      <c r="A137" s="149" t="s">
        <v>16</v>
      </c>
      <c r="B137" s="221">
        <v>4320.0</v>
      </c>
      <c r="C137" s="227"/>
      <c r="D137" s="221">
        <v>0.0</v>
      </c>
      <c r="E137" s="149" t="s">
        <v>273</v>
      </c>
      <c r="F137" s="149" t="s">
        <v>274</v>
      </c>
      <c r="G137" s="149" t="s">
        <v>275</v>
      </c>
      <c r="I137" s="153">
        <v>34522.0</v>
      </c>
      <c r="J137" s="153">
        <v>45292.0</v>
      </c>
      <c r="K137" s="227"/>
      <c r="L137" s="221">
        <v>31.0</v>
      </c>
      <c r="M137" s="153">
        <v>45658.0</v>
      </c>
      <c r="N137" s="153">
        <v>45688.0</v>
      </c>
      <c r="O137" s="227"/>
      <c r="P137" s="227"/>
    </row>
    <row r="138">
      <c r="A138" s="149" t="s">
        <v>16</v>
      </c>
      <c r="B138" s="221">
        <v>4320.0</v>
      </c>
      <c r="C138" s="227"/>
      <c r="D138" s="221">
        <v>0.0</v>
      </c>
      <c r="E138" s="149" t="s">
        <v>470</v>
      </c>
      <c r="F138" s="149" t="s">
        <v>528</v>
      </c>
      <c r="G138" s="149" t="s">
        <v>472</v>
      </c>
      <c r="I138" s="153">
        <v>37278.0</v>
      </c>
      <c r="J138" s="153">
        <v>45544.0</v>
      </c>
      <c r="K138" s="227"/>
      <c r="L138" s="221">
        <v>31.0</v>
      </c>
      <c r="M138" s="153">
        <v>45658.0</v>
      </c>
      <c r="N138" s="153">
        <v>45688.0</v>
      </c>
      <c r="O138" s="227"/>
      <c r="P138" s="227"/>
    </row>
    <row r="139">
      <c r="A139" s="149" t="s">
        <v>16</v>
      </c>
      <c r="B139" s="221">
        <v>4320.0</v>
      </c>
      <c r="C139" s="227"/>
      <c r="D139" s="221">
        <v>0.0</v>
      </c>
      <c r="E139" s="149" t="s">
        <v>558</v>
      </c>
      <c r="F139" s="149" t="s">
        <v>559</v>
      </c>
      <c r="G139" s="149" t="s">
        <v>560</v>
      </c>
      <c r="I139" s="153">
        <v>33811.0</v>
      </c>
      <c r="J139" s="153">
        <v>45663.0</v>
      </c>
      <c r="K139" s="153">
        <v>45667.0</v>
      </c>
      <c r="L139" s="221">
        <v>5.0</v>
      </c>
      <c r="M139" s="153">
        <v>45658.0</v>
      </c>
      <c r="N139" s="153">
        <v>45688.0</v>
      </c>
      <c r="O139" s="227"/>
      <c r="P139" s="227"/>
    </row>
    <row r="140">
      <c r="A140" s="149" t="s">
        <v>16</v>
      </c>
      <c r="B140" s="221">
        <v>4320.0</v>
      </c>
      <c r="C140" s="227"/>
      <c r="D140" s="221">
        <v>0.0</v>
      </c>
      <c r="E140" s="149" t="s">
        <v>664</v>
      </c>
      <c r="F140" s="149" t="s">
        <v>157</v>
      </c>
      <c r="G140" s="149" t="s">
        <v>158</v>
      </c>
      <c r="I140" s="153">
        <v>35150.0</v>
      </c>
      <c r="J140" s="153">
        <v>45079.0</v>
      </c>
      <c r="K140" s="153">
        <v>45322.0</v>
      </c>
      <c r="L140" s="221">
        <v>0.0</v>
      </c>
      <c r="M140" s="153">
        <v>45658.0</v>
      </c>
      <c r="N140" s="153">
        <v>45688.0</v>
      </c>
      <c r="O140" s="227"/>
      <c r="P140" s="227"/>
    </row>
    <row r="141">
      <c r="A141" s="149" t="s">
        <v>16</v>
      </c>
      <c r="B141" s="221">
        <v>4320.0</v>
      </c>
      <c r="C141" s="227"/>
      <c r="D141" s="221">
        <v>0.0</v>
      </c>
      <c r="E141" s="149" t="s">
        <v>495</v>
      </c>
      <c r="F141" s="149" t="s">
        <v>538</v>
      </c>
      <c r="G141" s="149" t="s">
        <v>496</v>
      </c>
      <c r="I141" s="153">
        <v>33452.0</v>
      </c>
      <c r="J141" s="153">
        <v>45628.0</v>
      </c>
      <c r="K141" s="227"/>
      <c r="L141" s="221">
        <v>31.0</v>
      </c>
      <c r="M141" s="153">
        <v>45658.0</v>
      </c>
      <c r="N141" s="153">
        <v>45688.0</v>
      </c>
      <c r="O141" s="227"/>
      <c r="P141" s="227"/>
    </row>
    <row r="142">
      <c r="A142" s="149" t="s">
        <v>16</v>
      </c>
      <c r="B142" s="221">
        <v>4320.0</v>
      </c>
      <c r="C142" s="227"/>
      <c r="D142" s="221">
        <v>0.0</v>
      </c>
      <c r="E142" s="149" t="s">
        <v>665</v>
      </c>
      <c r="F142" s="149" t="s">
        <v>160</v>
      </c>
      <c r="G142" s="149" t="s">
        <v>161</v>
      </c>
      <c r="I142" s="153">
        <v>35779.0</v>
      </c>
      <c r="J142" s="153">
        <v>45176.0</v>
      </c>
      <c r="K142" s="153">
        <v>45317.0</v>
      </c>
      <c r="L142" s="221">
        <v>0.0</v>
      </c>
      <c r="M142" s="153">
        <v>45658.0</v>
      </c>
      <c r="N142" s="153">
        <v>45688.0</v>
      </c>
      <c r="O142" s="227"/>
      <c r="P142" s="227"/>
    </row>
    <row r="143">
      <c r="A143" s="149" t="s">
        <v>16</v>
      </c>
      <c r="B143" s="221">
        <v>4320.0</v>
      </c>
      <c r="C143" s="227"/>
      <c r="D143" s="221">
        <v>0.0</v>
      </c>
      <c r="E143" s="149" t="s">
        <v>162</v>
      </c>
      <c r="F143" s="149" t="s">
        <v>163</v>
      </c>
      <c r="G143" s="149" t="s">
        <v>164</v>
      </c>
      <c r="I143" s="153">
        <v>34732.0</v>
      </c>
      <c r="J143" s="153">
        <v>44986.0</v>
      </c>
      <c r="K143" s="227"/>
      <c r="L143" s="221">
        <v>31.0</v>
      </c>
      <c r="M143" s="153">
        <v>45658.0</v>
      </c>
      <c r="N143" s="153">
        <v>45688.0</v>
      </c>
      <c r="O143" s="227"/>
      <c r="P143" s="227"/>
    </row>
    <row r="144">
      <c r="A144" s="149" t="s">
        <v>16</v>
      </c>
      <c r="B144" s="221">
        <v>4320.0</v>
      </c>
      <c r="C144" s="227"/>
      <c r="D144" s="221">
        <v>0.0</v>
      </c>
      <c r="E144" s="149" t="s">
        <v>549</v>
      </c>
      <c r="F144" s="149" t="s">
        <v>550</v>
      </c>
      <c r="G144" s="149" t="s">
        <v>551</v>
      </c>
      <c r="I144" s="153">
        <v>37636.0</v>
      </c>
      <c r="J144" s="153">
        <v>45663.0</v>
      </c>
      <c r="K144" s="227"/>
      <c r="L144" s="221">
        <v>26.0</v>
      </c>
      <c r="M144" s="153">
        <v>45658.0</v>
      </c>
      <c r="N144" s="153">
        <v>45688.0</v>
      </c>
      <c r="O144" s="227"/>
      <c r="P144" s="227"/>
    </row>
    <row r="145">
      <c r="A145" s="149" t="s">
        <v>16</v>
      </c>
      <c r="B145" s="221">
        <v>4320.0</v>
      </c>
      <c r="C145" s="227"/>
      <c r="D145" s="221">
        <v>0.0</v>
      </c>
      <c r="E145" s="149" t="s">
        <v>240</v>
      </c>
      <c r="F145" s="149" t="s">
        <v>241</v>
      </c>
      <c r="G145" s="149" t="s">
        <v>242</v>
      </c>
      <c r="I145" s="153">
        <v>33762.0</v>
      </c>
      <c r="J145" s="153">
        <v>45222.0</v>
      </c>
      <c r="K145" s="153">
        <v>45046.0</v>
      </c>
      <c r="L145" s="221">
        <v>0.0</v>
      </c>
      <c r="M145" s="153">
        <v>45658.0</v>
      </c>
      <c r="N145" s="153">
        <v>45688.0</v>
      </c>
      <c r="O145" s="227"/>
      <c r="P145" s="227"/>
    </row>
    <row r="146">
      <c r="A146" s="149" t="s">
        <v>16</v>
      </c>
      <c r="B146" s="221">
        <v>4320.0</v>
      </c>
      <c r="C146" s="227"/>
      <c r="D146" s="221">
        <v>0.0</v>
      </c>
      <c r="E146" s="149" t="s">
        <v>168</v>
      </c>
      <c r="F146" s="149" t="s">
        <v>169</v>
      </c>
      <c r="G146" s="149" t="s">
        <v>170</v>
      </c>
      <c r="I146" s="268">
        <v>35931.0</v>
      </c>
      <c r="J146" s="153">
        <v>44958.0</v>
      </c>
      <c r="K146" s="153">
        <v>45322.0</v>
      </c>
      <c r="L146" s="221">
        <v>0.0</v>
      </c>
      <c r="M146" s="153">
        <v>45658.0</v>
      </c>
      <c r="N146" s="153">
        <v>45688.0</v>
      </c>
      <c r="O146" s="227"/>
      <c r="P146" s="227"/>
    </row>
    <row r="147">
      <c r="A147" s="149" t="s">
        <v>16</v>
      </c>
      <c r="B147" s="221">
        <v>4320.0</v>
      </c>
      <c r="C147" s="227"/>
      <c r="D147" s="221">
        <v>0.0</v>
      </c>
      <c r="E147" s="149" t="s">
        <v>355</v>
      </c>
      <c r="F147" s="149" t="s">
        <v>356</v>
      </c>
      <c r="G147" s="149" t="s">
        <v>357</v>
      </c>
      <c r="I147" s="153">
        <v>35395.0</v>
      </c>
      <c r="J147" s="153">
        <v>45376.0</v>
      </c>
      <c r="K147" s="227"/>
      <c r="L147" s="221">
        <v>31.0</v>
      </c>
      <c r="M147" s="153">
        <v>45658.0</v>
      </c>
      <c r="N147" s="153">
        <v>45688.0</v>
      </c>
      <c r="O147" s="227"/>
      <c r="P147" s="227"/>
    </row>
    <row r="148">
      <c r="A148" s="149" t="s">
        <v>16</v>
      </c>
      <c r="B148" s="221">
        <v>4320.0</v>
      </c>
      <c r="C148" s="227"/>
      <c r="D148" s="221">
        <v>0.0</v>
      </c>
      <c r="E148" s="149" t="s">
        <v>358</v>
      </c>
      <c r="F148" s="149" t="s">
        <v>359</v>
      </c>
      <c r="G148" s="149" t="s">
        <v>360</v>
      </c>
      <c r="I148" s="268">
        <v>37397.0</v>
      </c>
      <c r="J148" s="153">
        <v>45377.0</v>
      </c>
      <c r="K148" s="153">
        <v>45454.0</v>
      </c>
      <c r="L148" s="221">
        <v>0.0</v>
      </c>
      <c r="M148" s="153">
        <v>45658.0</v>
      </c>
      <c r="N148" s="153">
        <v>45688.0</v>
      </c>
      <c r="O148" s="227"/>
      <c r="P148" s="227"/>
    </row>
    <row r="149">
      <c r="A149" s="149" t="s">
        <v>16</v>
      </c>
      <c r="B149" s="221">
        <v>4320.0</v>
      </c>
      <c r="C149" s="227"/>
      <c r="D149" s="221">
        <v>0.0</v>
      </c>
      <c r="E149" s="149" t="s">
        <v>276</v>
      </c>
      <c r="F149" s="149" t="s">
        <v>277</v>
      </c>
      <c r="G149" s="149" t="s">
        <v>278</v>
      </c>
      <c r="I149" s="153">
        <v>37479.0</v>
      </c>
      <c r="J149" s="153">
        <v>45320.0</v>
      </c>
      <c r="K149" s="153">
        <v>45453.0</v>
      </c>
      <c r="L149" s="221">
        <v>0.0</v>
      </c>
      <c r="M149" s="153">
        <v>45658.0</v>
      </c>
      <c r="N149" s="153">
        <v>45688.0</v>
      </c>
      <c r="O149" s="227"/>
      <c r="P149" s="227"/>
    </row>
    <row r="150">
      <c r="A150" s="149" t="s">
        <v>16</v>
      </c>
      <c r="B150" s="221">
        <v>4320.0</v>
      </c>
      <c r="C150" s="227"/>
      <c r="D150" s="221">
        <v>0.0</v>
      </c>
      <c r="E150" s="149" t="s">
        <v>171</v>
      </c>
      <c r="F150" s="149" t="s">
        <v>172</v>
      </c>
      <c r="G150" s="149" t="s">
        <v>173</v>
      </c>
      <c r="I150" s="153">
        <v>37005.0</v>
      </c>
      <c r="J150" s="153">
        <v>44802.0</v>
      </c>
      <c r="K150" s="153">
        <v>45303.0</v>
      </c>
      <c r="L150" s="221">
        <v>0.0</v>
      </c>
      <c r="M150" s="153">
        <v>45658.0</v>
      </c>
      <c r="N150" s="153">
        <v>45688.0</v>
      </c>
      <c r="O150" s="227"/>
      <c r="P150" s="227"/>
    </row>
    <row r="151">
      <c r="A151" s="149" t="s">
        <v>16</v>
      </c>
      <c r="B151" s="221">
        <v>4320.0</v>
      </c>
      <c r="C151" s="227"/>
      <c r="D151" s="221">
        <v>0.0</v>
      </c>
      <c r="E151" s="149" t="s">
        <v>243</v>
      </c>
      <c r="F151" s="149" t="s">
        <v>244</v>
      </c>
      <c r="G151" s="149" t="s">
        <v>245</v>
      </c>
      <c r="I151" s="153">
        <v>36109.0</v>
      </c>
      <c r="J151" s="153">
        <v>45250.0</v>
      </c>
      <c r="K151" s="268">
        <v>45416.0</v>
      </c>
      <c r="L151" s="221">
        <v>0.0</v>
      </c>
      <c r="M151" s="153">
        <v>45658.0</v>
      </c>
      <c r="N151" s="153">
        <v>45688.0</v>
      </c>
      <c r="O151" s="227"/>
      <c r="P151" s="227"/>
    </row>
    <row r="152">
      <c r="A152" s="149" t="s">
        <v>16</v>
      </c>
      <c r="B152" s="221">
        <v>4320.0</v>
      </c>
      <c r="C152" s="227"/>
      <c r="D152" s="221">
        <v>0.0</v>
      </c>
      <c r="E152" s="149" t="s">
        <v>600</v>
      </c>
      <c r="F152" s="149" t="s">
        <v>601</v>
      </c>
      <c r="G152" s="149" t="s">
        <v>602</v>
      </c>
      <c r="I152" s="153">
        <v>29741.0</v>
      </c>
      <c r="J152" s="153">
        <v>45658.0</v>
      </c>
      <c r="K152" s="227"/>
      <c r="L152" s="221">
        <v>31.0</v>
      </c>
      <c r="M152" s="153">
        <v>45658.0</v>
      </c>
      <c r="N152" s="153">
        <v>45688.0</v>
      </c>
      <c r="O152" s="227"/>
      <c r="P152" s="227"/>
    </row>
    <row r="153">
      <c r="A153" s="149" t="s">
        <v>16</v>
      </c>
      <c r="B153" s="221">
        <v>4320.0</v>
      </c>
      <c r="C153" s="227"/>
      <c r="D153" s="221">
        <v>0.0</v>
      </c>
      <c r="E153" s="149" t="s">
        <v>431</v>
      </c>
      <c r="F153" s="149" t="s">
        <v>377</v>
      </c>
      <c r="G153" s="149" t="s">
        <v>378</v>
      </c>
      <c r="I153" s="268">
        <v>36289.0</v>
      </c>
      <c r="J153" s="153">
        <v>45476.0</v>
      </c>
      <c r="K153" s="227"/>
      <c r="L153" s="221">
        <v>31.0</v>
      </c>
      <c r="M153" s="153">
        <v>45658.0</v>
      </c>
      <c r="N153" s="153">
        <v>45688.0</v>
      </c>
      <c r="O153" s="227"/>
      <c r="P153" s="227"/>
    </row>
    <row r="154">
      <c r="A154" s="149" t="s">
        <v>16</v>
      </c>
      <c r="B154" s="221">
        <v>4320.0</v>
      </c>
      <c r="C154" s="227"/>
      <c r="D154" s="221">
        <v>0.0</v>
      </c>
      <c r="E154" s="149" t="s">
        <v>180</v>
      </c>
      <c r="F154" s="149" t="s">
        <v>181</v>
      </c>
      <c r="G154" s="149" t="s">
        <v>182</v>
      </c>
      <c r="I154" s="268">
        <v>36297.0</v>
      </c>
      <c r="J154" s="153">
        <v>45001.0</v>
      </c>
      <c r="K154" s="153">
        <v>45359.0</v>
      </c>
      <c r="L154" s="221">
        <v>0.0</v>
      </c>
      <c r="M154" s="153">
        <v>45658.0</v>
      </c>
      <c r="N154" s="153">
        <v>45688.0</v>
      </c>
      <c r="O154" s="227"/>
      <c r="P154" s="227"/>
    </row>
    <row r="155">
      <c r="A155" s="149" t="s">
        <v>16</v>
      </c>
      <c r="B155" s="221">
        <v>4320.0</v>
      </c>
      <c r="C155" s="227"/>
      <c r="D155" s="221">
        <v>0.0</v>
      </c>
      <c r="E155" s="149" t="s">
        <v>183</v>
      </c>
      <c r="F155" s="149" t="s">
        <v>184</v>
      </c>
      <c r="G155" s="149" t="s">
        <v>185</v>
      </c>
      <c r="I155" s="153">
        <v>36979.0</v>
      </c>
      <c r="J155" s="153">
        <v>44907.0</v>
      </c>
      <c r="K155" s="227"/>
      <c r="L155" s="221">
        <v>31.0</v>
      </c>
      <c r="M155" s="153">
        <v>45658.0</v>
      </c>
      <c r="N155" s="153">
        <v>45688.0</v>
      </c>
      <c r="O155" s="227"/>
      <c r="P155" s="227"/>
    </row>
    <row r="156">
      <c r="A156" s="149" t="s">
        <v>16</v>
      </c>
      <c r="B156" s="221">
        <v>4320.0</v>
      </c>
      <c r="C156" s="227"/>
      <c r="D156" s="221">
        <v>0.0</v>
      </c>
      <c r="E156" s="149" t="s">
        <v>258</v>
      </c>
      <c r="F156" s="149" t="s">
        <v>259</v>
      </c>
      <c r="G156" s="149" t="s">
        <v>260</v>
      </c>
      <c r="I156" s="153">
        <v>35447.0</v>
      </c>
      <c r="J156" s="153">
        <v>45273.0</v>
      </c>
      <c r="K156" s="153">
        <v>45565.0</v>
      </c>
      <c r="L156" s="221">
        <v>0.0</v>
      </c>
      <c r="M156" s="153">
        <v>45658.0</v>
      </c>
      <c r="N156" s="153">
        <v>45688.0</v>
      </c>
      <c r="O156" s="227"/>
      <c r="P156" s="149" t="s">
        <v>666</v>
      </c>
    </row>
    <row r="157">
      <c r="A157" s="149" t="s">
        <v>16</v>
      </c>
      <c r="B157" s="221">
        <v>4320.0</v>
      </c>
      <c r="C157" s="227"/>
      <c r="D157" s="221">
        <v>0.0</v>
      </c>
      <c r="E157" s="149" t="s">
        <v>192</v>
      </c>
      <c r="F157" s="149" t="s">
        <v>193</v>
      </c>
      <c r="G157" s="149" t="s">
        <v>194</v>
      </c>
      <c r="I157" s="153">
        <v>36075.0</v>
      </c>
      <c r="J157" s="153">
        <v>44977.0</v>
      </c>
      <c r="K157" s="153">
        <v>45351.0</v>
      </c>
      <c r="L157" s="221">
        <v>0.0</v>
      </c>
      <c r="M157" s="153">
        <v>45658.0</v>
      </c>
      <c r="N157" s="153">
        <v>45688.0</v>
      </c>
      <c r="O157" s="227"/>
      <c r="P157" s="227"/>
    </row>
    <row r="158">
      <c r="A158" s="149" t="s">
        <v>16</v>
      </c>
      <c r="B158" s="221">
        <v>4320.0</v>
      </c>
      <c r="C158" s="227"/>
      <c r="D158" s="221">
        <v>0.0</v>
      </c>
      <c r="E158" s="149" t="s">
        <v>201</v>
      </c>
      <c r="F158" s="149" t="s">
        <v>202</v>
      </c>
      <c r="G158" s="149" t="s">
        <v>203</v>
      </c>
      <c r="I158" s="153">
        <v>36574.0</v>
      </c>
      <c r="J158" s="153">
        <v>45187.0</v>
      </c>
      <c r="K158" s="153">
        <v>45544.0</v>
      </c>
      <c r="L158" s="221">
        <v>0.0</v>
      </c>
      <c r="M158" s="153">
        <v>45658.0</v>
      </c>
      <c r="N158" s="153">
        <v>45688.0</v>
      </c>
      <c r="O158" s="227"/>
      <c r="P158" s="227"/>
    </row>
    <row r="159">
      <c r="A159" s="149" t="s">
        <v>16</v>
      </c>
      <c r="B159" s="221">
        <v>4320.0</v>
      </c>
      <c r="C159" s="227"/>
      <c r="D159" s="221">
        <v>0.0</v>
      </c>
      <c r="E159" s="149" t="s">
        <v>499</v>
      </c>
      <c r="F159" s="149" t="s">
        <v>540</v>
      </c>
      <c r="G159" s="149" t="s">
        <v>500</v>
      </c>
      <c r="I159" s="153">
        <v>36144.0</v>
      </c>
      <c r="J159" s="153">
        <v>45628.0</v>
      </c>
      <c r="K159" s="276"/>
      <c r="L159" s="221">
        <v>31.0</v>
      </c>
      <c r="M159" s="153">
        <v>45658.0</v>
      </c>
      <c r="N159" s="153">
        <v>45688.0</v>
      </c>
      <c r="O159" s="227"/>
      <c r="P159" s="227"/>
    </row>
    <row r="160">
      <c r="A160" s="149" t="s">
        <v>16</v>
      </c>
      <c r="B160" s="221">
        <v>4320.0</v>
      </c>
      <c r="C160" s="227"/>
      <c r="D160" s="221">
        <v>0.0</v>
      </c>
      <c r="E160" s="149" t="s">
        <v>301</v>
      </c>
      <c r="F160" s="149" t="s">
        <v>302</v>
      </c>
      <c r="G160" s="149" t="s">
        <v>303</v>
      </c>
      <c r="I160" s="153">
        <v>36991.0</v>
      </c>
      <c r="J160" s="153">
        <v>45205.0</v>
      </c>
      <c r="K160" s="227"/>
      <c r="L160" s="221">
        <v>31.0</v>
      </c>
      <c r="M160" s="153">
        <v>45658.0</v>
      </c>
      <c r="N160" s="153">
        <v>45688.0</v>
      </c>
      <c r="O160" s="227"/>
      <c r="P160" s="227"/>
    </row>
    <row r="161">
      <c r="A161" s="149" t="s">
        <v>16</v>
      </c>
      <c r="B161" s="221">
        <v>4320.0</v>
      </c>
      <c r="C161" s="227"/>
      <c r="D161" s="221">
        <v>0.0</v>
      </c>
      <c r="E161" s="149" t="s">
        <v>432</v>
      </c>
      <c r="F161" s="149" t="s">
        <v>521</v>
      </c>
      <c r="G161" s="149" t="s">
        <v>433</v>
      </c>
      <c r="I161" s="153">
        <v>34504.0</v>
      </c>
      <c r="J161" s="153">
        <v>45481.0</v>
      </c>
      <c r="K161" s="227"/>
      <c r="L161" s="221">
        <v>31.0</v>
      </c>
      <c r="M161" s="153">
        <v>45658.0</v>
      </c>
      <c r="N161" s="153">
        <v>45688.0</v>
      </c>
      <c r="O161" s="227"/>
      <c r="P161" s="227"/>
    </row>
    <row r="162">
      <c r="A162" s="149" t="s">
        <v>16</v>
      </c>
      <c r="B162" s="221">
        <v>4320.0</v>
      </c>
      <c r="C162" s="227"/>
      <c r="D162" s="221">
        <v>0.0</v>
      </c>
      <c r="E162" s="149" t="s">
        <v>434</v>
      </c>
      <c r="F162" s="149" t="s">
        <v>522</v>
      </c>
      <c r="G162" s="149" t="s">
        <v>435</v>
      </c>
      <c r="I162" s="153">
        <v>37446.0</v>
      </c>
      <c r="J162" s="153">
        <v>45495.0</v>
      </c>
      <c r="K162" s="227"/>
      <c r="L162" s="221">
        <v>31.0</v>
      </c>
      <c r="M162" s="153">
        <v>45658.0</v>
      </c>
      <c r="N162" s="153">
        <v>45688.0</v>
      </c>
      <c r="O162" s="227"/>
      <c r="P162" s="227"/>
    </row>
    <row r="163">
      <c r="A163" s="149" t="s">
        <v>16</v>
      </c>
      <c r="B163" s="221">
        <v>4320.0</v>
      </c>
      <c r="C163" s="227"/>
      <c r="D163" s="221">
        <v>0.0</v>
      </c>
      <c r="E163" s="149" t="s">
        <v>667</v>
      </c>
      <c r="F163" s="149" t="s">
        <v>668</v>
      </c>
      <c r="G163" s="149" t="s">
        <v>669</v>
      </c>
      <c r="I163" s="153">
        <v>33961.0</v>
      </c>
      <c r="J163" s="153">
        <v>45229.0</v>
      </c>
      <c r="K163" s="153">
        <v>45408.0</v>
      </c>
      <c r="L163" s="221">
        <v>0.0</v>
      </c>
      <c r="M163" s="153">
        <v>45658.0</v>
      </c>
      <c r="N163" s="153">
        <v>45688.0</v>
      </c>
      <c r="O163" s="227"/>
      <c r="P163" s="227"/>
    </row>
    <row r="164">
      <c r="A164" s="149" t="s">
        <v>16</v>
      </c>
      <c r="B164" s="221">
        <v>4320.0</v>
      </c>
      <c r="C164" s="227"/>
      <c r="D164" s="221">
        <v>0.0</v>
      </c>
      <c r="E164" s="149" t="s">
        <v>670</v>
      </c>
      <c r="F164" s="149" t="s">
        <v>671</v>
      </c>
      <c r="G164" s="149" t="s">
        <v>672</v>
      </c>
      <c r="I164" s="153">
        <v>36386.0</v>
      </c>
      <c r="J164" s="153">
        <v>45111.0</v>
      </c>
      <c r="K164" s="153">
        <v>45394.0</v>
      </c>
      <c r="L164" s="221">
        <v>0.0</v>
      </c>
      <c r="M164" s="153">
        <v>45658.0</v>
      </c>
      <c r="N164" s="153">
        <v>45688.0</v>
      </c>
      <c r="O164" s="227"/>
      <c r="P164" s="227"/>
    </row>
    <row r="165">
      <c r="A165" s="149" t="s">
        <v>16</v>
      </c>
      <c r="B165" s="221">
        <v>4320.0</v>
      </c>
      <c r="C165" s="227"/>
      <c r="D165" s="221">
        <v>0.0</v>
      </c>
      <c r="E165" s="149" t="s">
        <v>460</v>
      </c>
      <c r="F165" s="149" t="s">
        <v>523</v>
      </c>
      <c r="G165" s="149" t="s">
        <v>461</v>
      </c>
      <c r="I165" s="153">
        <v>36856.0</v>
      </c>
      <c r="J165" s="153">
        <v>45505.0</v>
      </c>
      <c r="K165" s="276"/>
      <c r="L165" s="221">
        <v>31.0</v>
      </c>
      <c r="M165" s="153">
        <v>45658.0</v>
      </c>
      <c r="N165" s="153">
        <v>45688.0</v>
      </c>
      <c r="O165" s="227"/>
      <c r="P165" s="227"/>
    </row>
    <row r="166">
      <c r="A166" s="149" t="s">
        <v>16</v>
      </c>
      <c r="B166" s="221">
        <v>4320.0</v>
      </c>
      <c r="C166" s="227"/>
      <c r="D166" s="221">
        <v>0.0</v>
      </c>
      <c r="E166" s="149" t="s">
        <v>462</v>
      </c>
      <c r="F166" s="149" t="s">
        <v>526</v>
      </c>
      <c r="G166" s="149" t="s">
        <v>463</v>
      </c>
      <c r="I166" s="153">
        <v>34588.0</v>
      </c>
      <c r="J166" s="153">
        <v>45530.0</v>
      </c>
      <c r="K166" s="227"/>
      <c r="L166" s="221">
        <v>31.0</v>
      </c>
      <c r="M166" s="153">
        <v>45658.0</v>
      </c>
      <c r="N166" s="153">
        <v>45688.0</v>
      </c>
      <c r="O166" s="227"/>
      <c r="P166" s="227"/>
    </row>
    <row r="167">
      <c r="A167" s="149" t="s">
        <v>16</v>
      </c>
      <c r="B167" s="221">
        <v>4320.0</v>
      </c>
      <c r="C167" s="227"/>
      <c r="D167" s="221">
        <v>0.0</v>
      </c>
      <c r="E167" s="149" t="s">
        <v>423</v>
      </c>
      <c r="F167" s="149" t="s">
        <v>524</v>
      </c>
      <c r="G167" s="149" t="s">
        <v>424</v>
      </c>
      <c r="I167" s="153">
        <v>37818.0</v>
      </c>
      <c r="J167" s="153">
        <v>45467.0</v>
      </c>
      <c r="K167" s="227"/>
      <c r="L167" s="221">
        <v>31.0</v>
      </c>
      <c r="M167" s="153">
        <v>45658.0</v>
      </c>
      <c r="N167" s="153">
        <v>45688.0</v>
      </c>
      <c r="O167" s="227"/>
      <c r="P167" s="227"/>
    </row>
    <row r="168">
      <c r="A168" s="149" t="s">
        <v>16</v>
      </c>
      <c r="B168" s="221">
        <v>4320.0</v>
      </c>
      <c r="C168" s="227"/>
      <c r="D168" s="221">
        <v>0.0</v>
      </c>
      <c r="E168" s="149" t="s">
        <v>207</v>
      </c>
      <c r="F168" s="149" t="s">
        <v>208</v>
      </c>
      <c r="G168" s="149" t="s">
        <v>209</v>
      </c>
      <c r="I168" s="153">
        <v>33156.0</v>
      </c>
      <c r="J168" s="153">
        <v>44562.0</v>
      </c>
      <c r="K168" s="153">
        <v>45473.0</v>
      </c>
      <c r="L168" s="221">
        <v>0.0</v>
      </c>
      <c r="M168" s="153">
        <v>45658.0</v>
      </c>
      <c r="N168" s="153">
        <v>45688.0</v>
      </c>
      <c r="O168" s="227"/>
      <c r="P168" s="227"/>
    </row>
    <row r="169">
      <c r="A169" s="149" t="s">
        <v>16</v>
      </c>
      <c r="B169" s="221">
        <v>4320.0</v>
      </c>
      <c r="C169" s="227"/>
      <c r="D169" s="221">
        <v>0.0</v>
      </c>
      <c r="E169" s="149" t="s">
        <v>304</v>
      </c>
      <c r="F169" s="149" t="s">
        <v>305</v>
      </c>
      <c r="G169" s="149" t="s">
        <v>306</v>
      </c>
      <c r="I169" s="153">
        <v>35697.0</v>
      </c>
      <c r="J169" s="153">
        <v>45348.0</v>
      </c>
      <c r="K169" s="276"/>
      <c r="L169" s="221">
        <v>31.0</v>
      </c>
      <c r="M169" s="153">
        <v>45658.0</v>
      </c>
      <c r="N169" s="153">
        <v>45688.0</v>
      </c>
      <c r="O169" s="227"/>
      <c r="P169" s="227"/>
    </row>
    <row r="170">
      <c r="A170" s="149" t="s">
        <v>16</v>
      </c>
      <c r="B170" s="221">
        <v>4320.0</v>
      </c>
      <c r="C170" s="227"/>
      <c r="D170" s="221">
        <v>0.0</v>
      </c>
      <c r="E170" s="149" t="s">
        <v>213</v>
      </c>
      <c r="F170" s="149" t="s">
        <v>214</v>
      </c>
      <c r="G170" s="149" t="s">
        <v>215</v>
      </c>
      <c r="I170" s="153">
        <v>36797.0</v>
      </c>
      <c r="J170" s="153">
        <v>44886.0</v>
      </c>
      <c r="K170" s="227"/>
      <c r="L170" s="221">
        <v>31.0</v>
      </c>
      <c r="M170" s="153">
        <v>45658.0</v>
      </c>
      <c r="N170" s="153">
        <v>45688.0</v>
      </c>
      <c r="O170" s="227"/>
      <c r="P170" s="227"/>
    </row>
    <row r="171">
      <c r="A171" s="149" t="s">
        <v>16</v>
      </c>
      <c r="B171" s="221">
        <v>4320.0</v>
      </c>
      <c r="C171" s="227"/>
      <c r="D171" s="221">
        <v>0.0</v>
      </c>
      <c r="E171" s="149" t="s">
        <v>673</v>
      </c>
      <c r="F171" s="149" t="s">
        <v>674</v>
      </c>
      <c r="G171" s="149" t="s">
        <v>675</v>
      </c>
      <c r="I171" s="153">
        <v>36961.0</v>
      </c>
      <c r="J171" s="153">
        <v>44593.0</v>
      </c>
      <c r="K171" s="153">
        <v>45457.0</v>
      </c>
      <c r="L171" s="221">
        <v>0.0</v>
      </c>
      <c r="M171" s="153">
        <v>45658.0</v>
      </c>
      <c r="N171" s="153">
        <v>45688.0</v>
      </c>
      <c r="O171" s="227"/>
      <c r="P171" s="227"/>
    </row>
    <row r="172">
      <c r="A172" s="149" t="s">
        <v>16</v>
      </c>
      <c r="B172" s="221">
        <v>4320.0</v>
      </c>
      <c r="C172" s="227"/>
      <c r="D172" s="221">
        <v>0.0</v>
      </c>
      <c r="E172" s="149" t="s">
        <v>588</v>
      </c>
      <c r="F172" s="149" t="s">
        <v>589</v>
      </c>
      <c r="G172" s="149" t="s">
        <v>590</v>
      </c>
      <c r="I172" s="153">
        <v>34190.0</v>
      </c>
      <c r="J172" s="153">
        <v>45684.0</v>
      </c>
      <c r="K172" s="276"/>
      <c r="L172" s="221">
        <v>5.0</v>
      </c>
      <c r="M172" s="153">
        <v>45658.0</v>
      </c>
      <c r="N172" s="153">
        <v>45688.0</v>
      </c>
      <c r="O172" s="227"/>
      <c r="P172" s="227"/>
    </row>
    <row r="173">
      <c r="A173" s="149" t="s">
        <v>16</v>
      </c>
      <c r="B173" s="221">
        <v>4320.0</v>
      </c>
      <c r="C173" s="227"/>
      <c r="D173" s="221">
        <v>0.0</v>
      </c>
      <c r="E173" s="149" t="s">
        <v>427</v>
      </c>
      <c r="F173" s="149" t="s">
        <v>525</v>
      </c>
      <c r="G173" s="149" t="s">
        <v>428</v>
      </c>
      <c r="I173" s="153">
        <v>36451.0</v>
      </c>
      <c r="J173" s="153">
        <v>45453.0</v>
      </c>
      <c r="K173" s="227"/>
      <c r="L173" s="221">
        <v>31.0</v>
      </c>
      <c r="M173" s="153">
        <v>45658.0</v>
      </c>
      <c r="N173" s="153">
        <v>45688.0</v>
      </c>
      <c r="O173" s="227"/>
      <c r="P173" s="227"/>
    </row>
    <row r="174">
      <c r="A174" s="149" t="s">
        <v>16</v>
      </c>
      <c r="B174" s="221">
        <v>4320.0</v>
      </c>
      <c r="C174" s="227"/>
      <c r="D174" s="221">
        <v>0.0</v>
      </c>
      <c r="E174" s="149" t="s">
        <v>493</v>
      </c>
      <c r="F174" s="149" t="s">
        <v>532</v>
      </c>
      <c r="G174" s="149" t="s">
        <v>494</v>
      </c>
      <c r="I174" s="153">
        <v>36208.0</v>
      </c>
      <c r="J174" s="153">
        <v>45602.0</v>
      </c>
      <c r="K174" s="227"/>
      <c r="L174" s="221">
        <v>31.0</v>
      </c>
      <c r="M174" s="153">
        <v>45658.0</v>
      </c>
      <c r="N174" s="153">
        <v>45688.0</v>
      </c>
      <c r="O174" s="227"/>
      <c r="P174" s="227"/>
    </row>
    <row r="175">
      <c r="A175" s="149" t="s">
        <v>16</v>
      </c>
      <c r="B175" s="221">
        <v>4320.0</v>
      </c>
      <c r="C175" s="227"/>
      <c r="D175" s="221">
        <v>0.0</v>
      </c>
      <c r="E175" s="149" t="s">
        <v>222</v>
      </c>
      <c r="F175" s="149" t="s">
        <v>223</v>
      </c>
      <c r="G175" s="149" t="s">
        <v>224</v>
      </c>
      <c r="I175" s="153">
        <v>35818.0</v>
      </c>
      <c r="J175" s="153">
        <v>45089.0</v>
      </c>
      <c r="K175" s="227"/>
      <c r="L175" s="221">
        <v>31.0</v>
      </c>
      <c r="M175" s="153">
        <v>45658.0</v>
      </c>
      <c r="N175" s="153">
        <v>45688.0</v>
      </c>
      <c r="O175" s="227"/>
      <c r="P175" s="227"/>
    </row>
    <row r="176">
      <c r="A176" s="149" t="s">
        <v>16</v>
      </c>
      <c r="B176" s="221">
        <v>4320.0</v>
      </c>
      <c r="C176" s="227"/>
      <c r="D176" s="221">
        <v>0.0</v>
      </c>
      <c r="E176" s="149" t="s">
        <v>585</v>
      </c>
      <c r="F176" s="149" t="s">
        <v>586</v>
      </c>
      <c r="G176" s="149" t="s">
        <v>587</v>
      </c>
      <c r="I176" s="153">
        <v>35827.0</v>
      </c>
      <c r="J176" s="153">
        <v>45684.0</v>
      </c>
      <c r="K176" s="227"/>
      <c r="L176" s="221">
        <v>5.0</v>
      </c>
      <c r="M176" s="153">
        <v>45658.0</v>
      </c>
      <c r="N176" s="153">
        <v>45688.0</v>
      </c>
      <c r="O176" s="227"/>
      <c r="P176" s="227"/>
    </row>
    <row r="177">
      <c r="A177" s="149" t="s">
        <v>16</v>
      </c>
      <c r="B177" s="221">
        <v>4320.0</v>
      </c>
      <c r="C177" s="227"/>
      <c r="D177" s="221">
        <v>0.0</v>
      </c>
      <c r="E177" s="149" t="s">
        <v>225</v>
      </c>
      <c r="F177" s="149" t="s">
        <v>226</v>
      </c>
      <c r="G177" s="149" t="s">
        <v>227</v>
      </c>
      <c r="I177" s="153">
        <v>36177.0</v>
      </c>
      <c r="J177" s="153">
        <v>45320.0</v>
      </c>
      <c r="K177" s="227"/>
      <c r="L177" s="221">
        <v>31.0</v>
      </c>
      <c r="M177" s="153">
        <v>45658.0</v>
      </c>
      <c r="N177" s="153">
        <v>45688.0</v>
      </c>
      <c r="O177" s="227"/>
      <c r="P177" s="227"/>
    </row>
    <row r="178">
      <c r="A178" s="149" t="s">
        <v>16</v>
      </c>
      <c r="B178" s="221">
        <v>4320.0</v>
      </c>
      <c r="C178" s="227"/>
      <c r="D178" s="221">
        <v>0.0</v>
      </c>
      <c r="E178" s="149" t="s">
        <v>676</v>
      </c>
      <c r="F178" s="149" t="s">
        <v>677</v>
      </c>
      <c r="G178" s="149" t="s">
        <v>678</v>
      </c>
      <c r="I178" s="153">
        <v>36096.0</v>
      </c>
      <c r="J178" s="153">
        <v>44562.0</v>
      </c>
      <c r="K178" s="153">
        <v>45199.0</v>
      </c>
      <c r="L178" s="221">
        <v>0.0</v>
      </c>
      <c r="M178" s="153">
        <v>45658.0</v>
      </c>
      <c r="N178" s="153">
        <v>45688.0</v>
      </c>
      <c r="O178" s="227"/>
      <c r="P178" s="227"/>
    </row>
    <row r="179">
      <c r="A179" s="149" t="s">
        <v>16</v>
      </c>
      <c r="B179" s="221">
        <v>4320.0</v>
      </c>
      <c r="C179" s="227"/>
      <c r="D179" s="221">
        <v>0.0</v>
      </c>
      <c r="E179" s="149" t="s">
        <v>679</v>
      </c>
      <c r="F179" s="149" t="s">
        <v>680</v>
      </c>
      <c r="G179" s="149" t="s">
        <v>681</v>
      </c>
      <c r="I179" s="153">
        <v>34915.0</v>
      </c>
      <c r="J179" s="153">
        <v>45153.0</v>
      </c>
      <c r="K179" s="153">
        <v>45306.0</v>
      </c>
      <c r="L179" s="221">
        <v>0.0</v>
      </c>
      <c r="M179" s="153">
        <v>45658.0</v>
      </c>
      <c r="N179" s="153">
        <v>45688.0</v>
      </c>
      <c r="O179" s="227"/>
      <c r="P179" s="227"/>
    </row>
    <row r="180">
      <c r="A180" s="149" t="s">
        <v>16</v>
      </c>
      <c r="B180" s="221">
        <v>4320.0</v>
      </c>
      <c r="C180" s="227"/>
      <c r="D180" s="221">
        <v>0.0</v>
      </c>
      <c r="E180" s="149" t="s">
        <v>682</v>
      </c>
      <c r="F180" s="149" t="s">
        <v>683</v>
      </c>
      <c r="G180" s="149" t="s">
        <v>684</v>
      </c>
      <c r="I180" s="153">
        <v>36545.0</v>
      </c>
      <c r="J180" s="153">
        <v>44562.0</v>
      </c>
      <c r="K180" s="153">
        <v>45476.0</v>
      </c>
      <c r="L180" s="221">
        <v>0.0</v>
      </c>
      <c r="M180" s="153">
        <v>45658.0</v>
      </c>
      <c r="N180" s="153">
        <v>45688.0</v>
      </c>
      <c r="O180" s="227"/>
      <c r="P180" s="227"/>
    </row>
    <row r="181">
      <c r="A181" s="149" t="s">
        <v>16</v>
      </c>
      <c r="B181" s="221">
        <v>4320.0</v>
      </c>
      <c r="C181" s="227"/>
      <c r="D181" s="221">
        <v>0.0</v>
      </c>
      <c r="E181" s="149" t="s">
        <v>307</v>
      </c>
      <c r="F181" s="149" t="s">
        <v>308</v>
      </c>
      <c r="G181" s="149" t="s">
        <v>309</v>
      </c>
      <c r="I181" s="153">
        <v>36522.0</v>
      </c>
      <c r="J181" s="153">
        <v>45328.0</v>
      </c>
      <c r="K181" s="153">
        <v>45572.0</v>
      </c>
      <c r="L181" s="221">
        <v>0.0</v>
      </c>
      <c r="M181" s="153">
        <v>45658.0</v>
      </c>
      <c r="N181" s="153">
        <v>45688.0</v>
      </c>
      <c r="O181" s="227"/>
      <c r="P181" s="227"/>
    </row>
    <row r="182">
      <c r="A182" s="149"/>
      <c r="B182" s="221"/>
      <c r="C182" s="227"/>
      <c r="D182" s="221"/>
      <c r="E182" s="270"/>
      <c r="F182" s="149"/>
      <c r="G182" s="149"/>
      <c r="I182" s="153"/>
      <c r="J182" s="153"/>
      <c r="K182" s="153"/>
      <c r="L182" s="221"/>
      <c r="M182" s="153"/>
      <c r="N182" s="153"/>
      <c r="O182" s="227"/>
      <c r="P182" s="227"/>
    </row>
  </sheetData>
  <mergeCells count="18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7:H177"/>
    <mergeCell ref="G178:H178"/>
    <mergeCell ref="G179:H179"/>
    <mergeCell ref="G180:H180"/>
    <mergeCell ref="G181:H181"/>
    <mergeCell ref="G182:H182"/>
    <mergeCell ref="G170:H170"/>
    <mergeCell ref="G171:H171"/>
    <mergeCell ref="G172:H172"/>
    <mergeCell ref="G173:H173"/>
    <mergeCell ref="G174:H174"/>
    <mergeCell ref="G175:H175"/>
    <mergeCell ref="G176:H176"/>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9" t="s">
        <v>0</v>
      </c>
      <c r="B1" s="149" t="s">
        <v>1</v>
      </c>
      <c r="C1" s="149" t="s">
        <v>2</v>
      </c>
      <c r="D1" s="149" t="s">
        <v>603</v>
      </c>
      <c r="E1" s="149" t="s">
        <v>604</v>
      </c>
      <c r="F1" s="149" t="s">
        <v>4</v>
      </c>
      <c r="G1" s="149" t="s">
        <v>5</v>
      </c>
      <c r="H1" s="149" t="s">
        <v>6</v>
      </c>
      <c r="I1" s="149" t="s">
        <v>7</v>
      </c>
      <c r="J1" s="149" t="s">
        <v>8</v>
      </c>
      <c r="K1" s="149" t="s">
        <v>9</v>
      </c>
      <c r="L1" s="149" t="s">
        <v>10</v>
      </c>
      <c r="M1" s="149" t="s">
        <v>11</v>
      </c>
      <c r="N1" s="149" t="s">
        <v>12</v>
      </c>
    </row>
    <row r="2">
      <c r="A2" s="149" t="s">
        <v>16</v>
      </c>
      <c r="B2" s="221">
        <v>4320.0</v>
      </c>
      <c r="C2" s="227"/>
      <c r="D2" s="221">
        <v>0.0</v>
      </c>
      <c r="E2" s="149" t="s">
        <v>261</v>
      </c>
      <c r="F2" s="149" t="s">
        <v>262</v>
      </c>
      <c r="G2" s="149" t="s">
        <v>263</v>
      </c>
      <c r="H2" s="227"/>
      <c r="I2" s="153">
        <v>36617.0</v>
      </c>
      <c r="J2" s="153">
        <v>45299.0</v>
      </c>
      <c r="K2" s="153">
        <v>45604.0</v>
      </c>
      <c r="L2" s="221">
        <v>39.0</v>
      </c>
      <c r="M2" s="153">
        <v>45566.0</v>
      </c>
      <c r="N2" s="153">
        <v>45657.0</v>
      </c>
    </row>
    <row r="3">
      <c r="A3" s="149" t="s">
        <v>16</v>
      </c>
      <c r="B3" s="221">
        <v>4320.0</v>
      </c>
      <c r="C3" s="227"/>
      <c r="D3" s="221">
        <v>0.0</v>
      </c>
      <c r="E3" s="149" t="s">
        <v>361</v>
      </c>
      <c r="F3" s="149" t="s">
        <v>362</v>
      </c>
      <c r="G3" s="149" t="s">
        <v>363</v>
      </c>
      <c r="H3" s="227"/>
      <c r="I3" s="153">
        <v>37149.0</v>
      </c>
      <c r="J3" s="153">
        <v>45397.0</v>
      </c>
      <c r="K3" s="227"/>
      <c r="L3" s="221">
        <v>92.0</v>
      </c>
      <c r="M3" s="153">
        <v>45566.0</v>
      </c>
      <c r="N3" s="153">
        <v>45657.0</v>
      </c>
    </row>
    <row r="4">
      <c r="A4" s="149" t="s">
        <v>16</v>
      </c>
      <c r="B4" s="221">
        <v>4320.0</v>
      </c>
      <c r="C4" s="227"/>
      <c r="D4" s="221">
        <v>0.0</v>
      </c>
      <c r="E4" s="149" t="s">
        <v>437</v>
      </c>
      <c r="F4" s="149" t="s">
        <v>22</v>
      </c>
      <c r="G4" s="149" t="s">
        <v>23</v>
      </c>
      <c r="H4" s="227"/>
      <c r="I4" s="153">
        <v>36358.0</v>
      </c>
      <c r="J4" s="153">
        <v>45027.0</v>
      </c>
      <c r="K4" s="153">
        <v>45603.0</v>
      </c>
      <c r="L4" s="221">
        <v>38.0</v>
      </c>
      <c r="M4" s="153">
        <v>45566.0</v>
      </c>
      <c r="N4" s="153">
        <v>45657.0</v>
      </c>
    </row>
    <row r="5">
      <c r="A5" s="149" t="s">
        <v>16</v>
      </c>
      <c r="B5" s="221">
        <v>4320.0</v>
      </c>
      <c r="C5" s="227"/>
      <c r="D5" s="221">
        <v>0.0</v>
      </c>
      <c r="E5" s="149" t="s">
        <v>473</v>
      </c>
      <c r="F5" s="149" t="s">
        <v>530</v>
      </c>
      <c r="G5" s="149" t="s">
        <v>475</v>
      </c>
      <c r="H5" s="227"/>
      <c r="I5" s="153">
        <v>37459.0</v>
      </c>
      <c r="J5" s="153">
        <v>45586.0</v>
      </c>
      <c r="K5" s="227"/>
      <c r="L5" s="221">
        <v>72.0</v>
      </c>
      <c r="M5" s="153">
        <v>45566.0</v>
      </c>
      <c r="N5" s="153">
        <v>45657.0</v>
      </c>
    </row>
    <row r="6">
      <c r="A6" s="149" t="s">
        <v>16</v>
      </c>
      <c r="B6" s="221">
        <v>4320.0</v>
      </c>
      <c r="C6" s="227"/>
      <c r="D6" s="221">
        <v>0.0</v>
      </c>
      <c r="E6" s="149" t="s">
        <v>408</v>
      </c>
      <c r="F6" s="149" t="s">
        <v>409</v>
      </c>
      <c r="G6" s="149" t="s">
        <v>410</v>
      </c>
      <c r="H6" s="227"/>
      <c r="I6" s="153">
        <v>37978.0</v>
      </c>
      <c r="J6" s="153">
        <v>45453.0</v>
      </c>
      <c r="K6" s="227"/>
      <c r="L6" s="221">
        <v>92.0</v>
      </c>
      <c r="M6" s="153">
        <v>45566.0</v>
      </c>
      <c r="N6" s="153">
        <v>45657.0</v>
      </c>
    </row>
    <row r="7">
      <c r="A7" s="149" t="s">
        <v>16</v>
      </c>
      <c r="B7" s="221">
        <v>4320.0</v>
      </c>
      <c r="C7" s="227"/>
      <c r="D7" s="221">
        <v>0.0</v>
      </c>
      <c r="E7" s="149" t="s">
        <v>246</v>
      </c>
      <c r="F7" s="149" t="s">
        <v>247</v>
      </c>
      <c r="G7" s="149" t="s">
        <v>248</v>
      </c>
      <c r="H7" s="227"/>
      <c r="I7" s="153">
        <v>36353.0</v>
      </c>
      <c r="J7" s="153">
        <v>45278.0</v>
      </c>
      <c r="K7" s="227"/>
      <c r="L7" s="221">
        <v>92.0</v>
      </c>
      <c r="M7" s="153">
        <v>45566.0</v>
      </c>
      <c r="N7" s="153">
        <v>45657.0</v>
      </c>
    </row>
    <row r="8">
      <c r="A8" s="149" t="s">
        <v>16</v>
      </c>
      <c r="B8" s="221">
        <v>4320.0</v>
      </c>
      <c r="C8" s="227"/>
      <c r="D8" s="221">
        <v>0.0</v>
      </c>
      <c r="E8" s="149" t="s">
        <v>316</v>
      </c>
      <c r="F8" s="149" t="s">
        <v>317</v>
      </c>
      <c r="G8" s="149" t="s">
        <v>318</v>
      </c>
      <c r="H8" s="227"/>
      <c r="I8" s="153">
        <v>37274.0</v>
      </c>
      <c r="J8" s="153">
        <v>45362.0</v>
      </c>
      <c r="K8" s="227"/>
      <c r="L8" s="221">
        <v>92.0</v>
      </c>
      <c r="M8" s="153">
        <v>45566.0</v>
      </c>
      <c r="N8" s="153">
        <v>45657.0</v>
      </c>
    </row>
    <row r="9">
      <c r="A9" s="149" t="s">
        <v>16</v>
      </c>
      <c r="B9" s="221">
        <v>4320.0</v>
      </c>
      <c r="C9" s="227"/>
      <c r="D9" s="221">
        <v>0.0</v>
      </c>
      <c r="E9" s="149" t="s">
        <v>264</v>
      </c>
      <c r="F9" s="149" t="s">
        <v>265</v>
      </c>
      <c r="G9" s="149" t="s">
        <v>266</v>
      </c>
      <c r="H9" s="227"/>
      <c r="I9" s="268">
        <v>37398.0</v>
      </c>
      <c r="J9" s="153">
        <v>45096.0</v>
      </c>
      <c r="K9" s="227"/>
      <c r="L9" s="221">
        <v>92.0</v>
      </c>
      <c r="M9" s="153">
        <v>45566.0</v>
      </c>
      <c r="N9" s="153">
        <v>45657.0</v>
      </c>
    </row>
    <row r="10">
      <c r="A10" s="149" t="s">
        <v>16</v>
      </c>
      <c r="B10" s="221">
        <v>4320.0</v>
      </c>
      <c r="C10" s="227"/>
      <c r="D10" s="221">
        <v>0.0</v>
      </c>
      <c r="E10" s="149" t="s">
        <v>319</v>
      </c>
      <c r="F10" s="149" t="s">
        <v>320</v>
      </c>
      <c r="G10" s="149" t="s">
        <v>321</v>
      </c>
      <c r="H10" s="227"/>
      <c r="I10" s="153">
        <v>36360.0</v>
      </c>
      <c r="J10" s="153">
        <v>45355.0</v>
      </c>
      <c r="K10" s="227"/>
      <c r="L10" s="221">
        <v>92.0</v>
      </c>
      <c r="M10" s="153">
        <v>45566.0</v>
      </c>
      <c r="N10" s="153">
        <v>45657.0</v>
      </c>
    </row>
    <row r="11">
      <c r="A11" s="149" t="s">
        <v>16</v>
      </c>
      <c r="B11" s="221">
        <v>4320.0</v>
      </c>
      <c r="C11" s="227"/>
      <c r="D11" s="221">
        <v>0.0</v>
      </c>
      <c r="E11" s="149" t="s">
        <v>411</v>
      </c>
      <c r="F11" s="149" t="s">
        <v>412</v>
      </c>
      <c r="G11" s="149" t="s">
        <v>413</v>
      </c>
      <c r="H11" s="227"/>
      <c r="I11" s="153">
        <v>33230.0</v>
      </c>
      <c r="J11" s="153">
        <v>45453.0</v>
      </c>
      <c r="K11" s="227"/>
      <c r="L11" s="221">
        <v>92.0</v>
      </c>
      <c r="M11" s="153">
        <v>45566.0</v>
      </c>
      <c r="N11" s="153">
        <v>45657.0</v>
      </c>
    </row>
    <row r="12">
      <c r="A12" s="149" t="s">
        <v>16</v>
      </c>
      <c r="B12" s="221">
        <v>4320.0</v>
      </c>
      <c r="C12" s="227"/>
      <c r="D12" s="221">
        <v>0.0</v>
      </c>
      <c r="E12" s="149" t="s">
        <v>282</v>
      </c>
      <c r="F12" s="149" t="s">
        <v>283</v>
      </c>
      <c r="G12" s="149" t="s">
        <v>284</v>
      </c>
      <c r="H12" s="227"/>
      <c r="I12" s="153">
        <v>35047.0</v>
      </c>
      <c r="J12" s="153">
        <v>45257.0</v>
      </c>
      <c r="K12" s="227"/>
      <c r="L12" s="221">
        <v>92.0</v>
      </c>
      <c r="M12" s="153">
        <v>45566.0</v>
      </c>
      <c r="N12" s="153">
        <v>45657.0</v>
      </c>
    </row>
    <row r="13">
      <c r="A13" s="149" t="s">
        <v>16</v>
      </c>
      <c r="B13" s="221">
        <v>4320.0</v>
      </c>
      <c r="C13" s="227"/>
      <c r="D13" s="221">
        <v>0.0</v>
      </c>
      <c r="E13" s="149" t="s">
        <v>45</v>
      </c>
      <c r="F13" s="149" t="s">
        <v>46</v>
      </c>
      <c r="G13" s="149" t="s">
        <v>47</v>
      </c>
      <c r="H13" s="227"/>
      <c r="I13" s="153">
        <v>37370.0</v>
      </c>
      <c r="J13" s="153">
        <v>44739.0</v>
      </c>
      <c r="K13" s="227"/>
      <c r="L13" s="221">
        <v>92.0</v>
      </c>
      <c r="M13" s="153">
        <v>45566.0</v>
      </c>
      <c r="N13" s="153">
        <v>45657.0</v>
      </c>
    </row>
    <row r="14">
      <c r="A14" s="149" t="s">
        <v>16</v>
      </c>
      <c r="B14" s="221">
        <v>4320.0</v>
      </c>
      <c r="C14" s="227"/>
      <c r="D14" s="221">
        <v>0.0</v>
      </c>
      <c r="E14" s="149" t="s">
        <v>48</v>
      </c>
      <c r="F14" s="149" t="s">
        <v>49</v>
      </c>
      <c r="G14" s="149" t="s">
        <v>50</v>
      </c>
      <c r="H14" s="227"/>
      <c r="I14" s="153">
        <v>36399.0</v>
      </c>
      <c r="J14" s="153">
        <v>45229.0</v>
      </c>
      <c r="K14" s="227"/>
      <c r="L14" s="221">
        <v>92.0</v>
      </c>
      <c r="M14" s="153">
        <v>45566.0</v>
      </c>
      <c r="N14" s="153">
        <v>45657.0</v>
      </c>
    </row>
    <row r="15">
      <c r="A15" s="149" t="s">
        <v>16</v>
      </c>
      <c r="B15" s="221">
        <v>4320.0</v>
      </c>
      <c r="C15" s="227"/>
      <c r="D15" s="221">
        <v>0.0</v>
      </c>
      <c r="E15" s="149" t="s">
        <v>383</v>
      </c>
      <c r="F15" s="149" t="s">
        <v>384</v>
      </c>
      <c r="G15" s="149" t="s">
        <v>385</v>
      </c>
      <c r="H15" s="227"/>
      <c r="I15" s="153">
        <v>36183.0</v>
      </c>
      <c r="J15" s="268">
        <v>45418.0</v>
      </c>
      <c r="K15" s="227"/>
      <c r="L15" s="221">
        <v>92.0</v>
      </c>
      <c r="M15" s="153">
        <v>45566.0</v>
      </c>
      <c r="N15" s="153">
        <v>45657.0</v>
      </c>
    </row>
    <row r="16">
      <c r="A16" s="149" t="s">
        <v>16</v>
      </c>
      <c r="B16" s="221">
        <v>4320.0</v>
      </c>
      <c r="C16" s="227"/>
      <c r="D16" s="221">
        <v>0.0</v>
      </c>
      <c r="E16" s="149" t="s">
        <v>285</v>
      </c>
      <c r="F16" s="149" t="s">
        <v>286</v>
      </c>
      <c r="G16" s="149" t="s">
        <v>287</v>
      </c>
      <c r="H16" s="227"/>
      <c r="I16" s="268">
        <v>37377.0</v>
      </c>
      <c r="J16" s="153">
        <v>45334.0</v>
      </c>
      <c r="K16" s="227"/>
      <c r="L16" s="221">
        <v>92.0</v>
      </c>
      <c r="M16" s="153">
        <v>45566.0</v>
      </c>
      <c r="N16" s="153">
        <v>45657.0</v>
      </c>
    </row>
    <row r="17">
      <c r="A17" s="149" t="s">
        <v>16</v>
      </c>
      <c r="B17" s="221">
        <v>4320.0</v>
      </c>
      <c r="C17" s="227"/>
      <c r="D17" s="221">
        <v>0.0</v>
      </c>
      <c r="E17" s="149" t="s">
        <v>288</v>
      </c>
      <c r="F17" s="149" t="s">
        <v>289</v>
      </c>
      <c r="G17" s="149" t="s">
        <v>290</v>
      </c>
      <c r="H17" s="227"/>
      <c r="I17" s="153">
        <v>37047.0</v>
      </c>
      <c r="J17" s="153">
        <v>45257.0</v>
      </c>
      <c r="K17" s="227"/>
      <c r="L17" s="221">
        <v>92.0</v>
      </c>
      <c r="M17" s="153">
        <v>45566.0</v>
      </c>
      <c r="N17" s="153">
        <v>45657.0</v>
      </c>
    </row>
    <row r="18">
      <c r="A18" s="149" t="s">
        <v>16</v>
      </c>
      <c r="B18" s="221">
        <v>4320.0</v>
      </c>
      <c r="C18" s="227"/>
      <c r="D18" s="221">
        <v>0.0</v>
      </c>
      <c r="E18" s="149" t="s">
        <v>51</v>
      </c>
      <c r="F18" s="149" t="s">
        <v>52</v>
      </c>
      <c r="G18" s="149" t="s">
        <v>53</v>
      </c>
      <c r="H18" s="227"/>
      <c r="I18" s="153">
        <v>34601.0</v>
      </c>
      <c r="J18" s="153">
        <v>44986.0</v>
      </c>
      <c r="K18" s="227"/>
      <c r="L18" s="221">
        <v>92.0</v>
      </c>
      <c r="M18" s="153">
        <v>45566.0</v>
      </c>
      <c r="N18" s="153">
        <v>45657.0</v>
      </c>
    </row>
    <row r="19">
      <c r="A19" s="149" t="s">
        <v>16</v>
      </c>
      <c r="B19" s="221">
        <v>4320.0</v>
      </c>
      <c r="C19" s="227"/>
      <c r="D19" s="221">
        <v>0.0</v>
      </c>
      <c r="E19" s="149" t="s">
        <v>445</v>
      </c>
      <c r="F19" s="149" t="s">
        <v>510</v>
      </c>
      <c r="G19" s="149" t="s">
        <v>447</v>
      </c>
      <c r="H19" s="227"/>
      <c r="I19" s="153">
        <v>37047.0</v>
      </c>
      <c r="J19" s="153">
        <v>45505.0</v>
      </c>
      <c r="K19" s="227"/>
      <c r="L19" s="221">
        <v>92.0</v>
      </c>
      <c r="M19" s="153">
        <v>45566.0</v>
      </c>
      <c r="N19" s="153">
        <v>45657.0</v>
      </c>
    </row>
    <row r="20">
      <c r="A20" s="149" t="s">
        <v>16</v>
      </c>
      <c r="B20" s="221">
        <v>4320.0</v>
      </c>
      <c r="C20" s="227"/>
      <c r="D20" s="221">
        <v>0.0</v>
      </c>
      <c r="E20" s="149" t="s">
        <v>448</v>
      </c>
      <c r="F20" s="149" t="s">
        <v>511</v>
      </c>
      <c r="G20" s="149" t="s">
        <v>450</v>
      </c>
      <c r="H20" s="227"/>
      <c r="I20" s="153">
        <v>36682.0</v>
      </c>
      <c r="J20" s="153">
        <v>45505.0</v>
      </c>
      <c r="K20" s="227"/>
      <c r="L20" s="221">
        <v>92.0</v>
      </c>
      <c r="M20" s="153">
        <v>45566.0</v>
      </c>
      <c r="N20" s="153">
        <v>45657.0</v>
      </c>
    </row>
    <row r="21">
      <c r="A21" s="149" t="s">
        <v>16</v>
      </c>
      <c r="B21" s="221">
        <v>4320.0</v>
      </c>
      <c r="C21" s="227"/>
      <c r="D21" s="221">
        <v>0.0</v>
      </c>
      <c r="E21" s="149" t="s">
        <v>57</v>
      </c>
      <c r="F21" s="149" t="s">
        <v>58</v>
      </c>
      <c r="G21" s="149" t="s">
        <v>59</v>
      </c>
      <c r="H21" s="227"/>
      <c r="I21" s="153">
        <v>35704.0</v>
      </c>
      <c r="J21" s="153">
        <v>44760.0</v>
      </c>
      <c r="K21" s="153">
        <v>45632.0</v>
      </c>
      <c r="L21" s="221">
        <v>67.0</v>
      </c>
      <c r="M21" s="153">
        <v>45566.0</v>
      </c>
      <c r="N21" s="153">
        <v>45657.0</v>
      </c>
    </row>
    <row r="22">
      <c r="A22" s="149" t="s">
        <v>16</v>
      </c>
      <c r="B22" s="221">
        <v>4320.0</v>
      </c>
      <c r="C22" s="227"/>
      <c r="D22" s="221">
        <v>0.0</v>
      </c>
      <c r="E22" s="149" t="s">
        <v>291</v>
      </c>
      <c r="F22" s="149" t="s">
        <v>292</v>
      </c>
      <c r="G22" s="149" t="s">
        <v>293</v>
      </c>
      <c r="H22" s="227"/>
      <c r="I22" s="153">
        <v>37219.0</v>
      </c>
      <c r="J22" s="153">
        <v>45257.0</v>
      </c>
      <c r="K22" s="227"/>
      <c r="L22" s="221">
        <v>92.0</v>
      </c>
      <c r="M22" s="153">
        <v>45566.0</v>
      </c>
      <c r="N22" s="153">
        <v>45657.0</v>
      </c>
    </row>
    <row r="23">
      <c r="A23" s="149" t="s">
        <v>16</v>
      </c>
      <c r="B23" s="221">
        <v>4320.0</v>
      </c>
      <c r="C23" s="227"/>
      <c r="D23" s="221">
        <v>0.0</v>
      </c>
      <c r="E23" s="149" t="s">
        <v>60</v>
      </c>
      <c r="F23" s="149" t="s">
        <v>61</v>
      </c>
      <c r="G23" s="149" t="s">
        <v>62</v>
      </c>
      <c r="H23" s="227"/>
      <c r="I23" s="153">
        <v>36246.0</v>
      </c>
      <c r="J23" s="153">
        <v>44851.0</v>
      </c>
      <c r="K23" s="227"/>
      <c r="L23" s="221">
        <v>92.0</v>
      </c>
      <c r="M23" s="153">
        <v>45566.0</v>
      </c>
      <c r="N23" s="153">
        <v>45657.0</v>
      </c>
    </row>
    <row r="24">
      <c r="A24" s="149" t="s">
        <v>16</v>
      </c>
      <c r="B24" s="221">
        <v>4320.0</v>
      </c>
      <c r="C24" s="227"/>
      <c r="D24" s="221">
        <v>0.0</v>
      </c>
      <c r="E24" s="149" t="s">
        <v>63</v>
      </c>
      <c r="F24" s="149" t="s">
        <v>64</v>
      </c>
      <c r="G24" s="149" t="s">
        <v>65</v>
      </c>
      <c r="H24" s="227"/>
      <c r="I24" s="153">
        <v>35606.0</v>
      </c>
      <c r="J24" s="153">
        <v>44896.0</v>
      </c>
      <c r="K24" s="227"/>
      <c r="L24" s="221">
        <v>92.0</v>
      </c>
      <c r="M24" s="153">
        <v>45566.0</v>
      </c>
      <c r="N24" s="153">
        <v>45657.0</v>
      </c>
    </row>
    <row r="25">
      <c r="A25" s="149" t="s">
        <v>16</v>
      </c>
      <c r="B25" s="221">
        <v>4320.0</v>
      </c>
      <c r="C25" s="227"/>
      <c r="D25" s="221">
        <v>0.0</v>
      </c>
      <c r="E25" s="149" t="s">
        <v>389</v>
      </c>
      <c r="F25" s="149" t="s">
        <v>390</v>
      </c>
      <c r="G25" s="149" t="s">
        <v>391</v>
      </c>
      <c r="H25" s="227"/>
      <c r="I25" s="153">
        <v>36111.0</v>
      </c>
      <c r="J25" s="268">
        <v>45418.0</v>
      </c>
      <c r="K25" s="153">
        <v>45571.0</v>
      </c>
      <c r="L25" s="221">
        <v>6.0</v>
      </c>
      <c r="M25" s="153">
        <v>45566.0</v>
      </c>
      <c r="N25" s="153">
        <v>45657.0</v>
      </c>
    </row>
    <row r="26">
      <c r="A26" s="149" t="s">
        <v>16</v>
      </c>
      <c r="B26" s="221">
        <v>4320.0</v>
      </c>
      <c r="C26" s="227"/>
      <c r="D26" s="221">
        <v>0.0</v>
      </c>
      <c r="E26" s="149" t="s">
        <v>267</v>
      </c>
      <c r="F26" s="149" t="s">
        <v>268</v>
      </c>
      <c r="G26" s="149" t="s">
        <v>269</v>
      </c>
      <c r="H26" s="227"/>
      <c r="I26" s="153">
        <v>34590.0</v>
      </c>
      <c r="J26" s="153">
        <v>45313.0</v>
      </c>
      <c r="K26" s="227"/>
      <c r="L26" s="221">
        <v>92.0</v>
      </c>
      <c r="M26" s="153">
        <v>45566.0</v>
      </c>
      <c r="N26" s="153">
        <v>45657.0</v>
      </c>
    </row>
    <row r="27">
      <c r="A27" s="149" t="s">
        <v>16</v>
      </c>
      <c r="B27" s="221">
        <v>4320.0</v>
      </c>
      <c r="C27" s="227"/>
      <c r="D27" s="221">
        <v>0.0</v>
      </c>
      <c r="E27" s="149" t="s">
        <v>69</v>
      </c>
      <c r="F27" s="149" t="s">
        <v>70</v>
      </c>
      <c r="G27" s="149" t="s">
        <v>71</v>
      </c>
      <c r="H27" s="227"/>
      <c r="I27" s="153">
        <v>36891.0</v>
      </c>
      <c r="J27" s="153">
        <v>44739.0</v>
      </c>
      <c r="K27" s="227"/>
      <c r="L27" s="221">
        <v>92.0</v>
      </c>
      <c r="M27" s="153">
        <v>45566.0</v>
      </c>
      <c r="N27" s="153">
        <v>45657.0</v>
      </c>
    </row>
    <row r="28">
      <c r="A28" s="149" t="s">
        <v>16</v>
      </c>
      <c r="B28" s="221">
        <v>4320.0</v>
      </c>
      <c r="C28" s="227"/>
      <c r="D28" s="221">
        <v>0.0</v>
      </c>
      <c r="E28" s="149" t="s">
        <v>468</v>
      </c>
      <c r="F28" s="149" t="s">
        <v>527</v>
      </c>
      <c r="G28" s="149" t="s">
        <v>469</v>
      </c>
      <c r="H28" s="227"/>
      <c r="I28" s="153">
        <v>35986.0</v>
      </c>
      <c r="J28" s="153">
        <v>45537.0</v>
      </c>
      <c r="K28" s="227"/>
      <c r="L28" s="221">
        <v>92.0</v>
      </c>
      <c r="M28" s="153">
        <v>45566.0</v>
      </c>
      <c r="N28" s="153">
        <v>45657.0</v>
      </c>
    </row>
    <row r="29">
      <c r="A29" s="149" t="s">
        <v>16</v>
      </c>
      <c r="B29" s="221">
        <v>4320.0</v>
      </c>
      <c r="C29" s="227"/>
      <c r="D29" s="221">
        <v>0.0</v>
      </c>
      <c r="E29" s="149" t="s">
        <v>78</v>
      </c>
      <c r="F29" s="149" t="s">
        <v>79</v>
      </c>
      <c r="G29" s="149" t="s">
        <v>80</v>
      </c>
      <c r="H29" s="227"/>
      <c r="I29" s="153">
        <v>36401.0</v>
      </c>
      <c r="J29" s="153">
        <v>45096.0</v>
      </c>
      <c r="K29" s="227"/>
      <c r="L29" s="221">
        <v>92.0</v>
      </c>
      <c r="M29" s="153">
        <v>45566.0</v>
      </c>
      <c r="N29" s="153">
        <v>45657.0</v>
      </c>
    </row>
    <row r="30">
      <c r="A30" s="149" t="s">
        <v>16</v>
      </c>
      <c r="B30" s="221">
        <v>4320.0</v>
      </c>
      <c r="C30" s="227"/>
      <c r="D30" s="221">
        <v>0.0</v>
      </c>
      <c r="E30" s="149" t="s">
        <v>331</v>
      </c>
      <c r="F30" s="149" t="s">
        <v>332</v>
      </c>
      <c r="G30" s="149" t="s">
        <v>333</v>
      </c>
      <c r="H30" s="227"/>
      <c r="I30" s="153">
        <v>37958.0</v>
      </c>
      <c r="J30" s="153">
        <v>45369.0</v>
      </c>
      <c r="K30" s="227"/>
      <c r="L30" s="221">
        <v>92.0</v>
      </c>
      <c r="M30" s="153">
        <v>45566.0</v>
      </c>
      <c r="N30" s="153">
        <v>45657.0</v>
      </c>
    </row>
    <row r="31">
      <c r="A31" s="149" t="s">
        <v>16</v>
      </c>
      <c r="B31" s="221">
        <v>4320.0</v>
      </c>
      <c r="C31" s="227"/>
      <c r="D31" s="221">
        <v>0.0</v>
      </c>
      <c r="E31" s="149" t="s">
        <v>392</v>
      </c>
      <c r="F31" s="149" t="s">
        <v>393</v>
      </c>
      <c r="G31" s="149" t="s">
        <v>394</v>
      </c>
      <c r="H31" s="227"/>
      <c r="I31" s="153">
        <v>34922.0</v>
      </c>
      <c r="J31" s="268">
        <v>45418.0</v>
      </c>
      <c r="K31" s="227"/>
      <c r="L31" s="221">
        <v>92.0</v>
      </c>
      <c r="M31" s="153">
        <v>45566.0</v>
      </c>
      <c r="N31" s="153">
        <v>45657.0</v>
      </c>
    </row>
    <row r="32">
      <c r="A32" s="149" t="s">
        <v>16</v>
      </c>
      <c r="B32" s="221">
        <v>4320.0</v>
      </c>
      <c r="C32" s="227"/>
      <c r="D32" s="221">
        <v>0.0</v>
      </c>
      <c r="E32" s="149" t="s">
        <v>451</v>
      </c>
      <c r="F32" s="149" t="s">
        <v>512</v>
      </c>
      <c r="G32" s="149" t="s">
        <v>415</v>
      </c>
      <c r="H32" s="227"/>
      <c r="I32" s="153">
        <v>36443.0</v>
      </c>
      <c r="J32" s="153">
        <v>45446.0</v>
      </c>
      <c r="K32" s="227"/>
      <c r="L32" s="221">
        <v>92.0</v>
      </c>
      <c r="M32" s="153">
        <v>45566.0</v>
      </c>
      <c r="N32" s="153">
        <v>45657.0</v>
      </c>
    </row>
    <row r="33">
      <c r="A33" s="149" t="s">
        <v>16</v>
      </c>
      <c r="B33" s="221">
        <v>4320.0</v>
      </c>
      <c r="C33" s="227"/>
      <c r="D33" s="221">
        <v>0.0</v>
      </c>
      <c r="E33" s="149" t="s">
        <v>87</v>
      </c>
      <c r="F33" s="149" t="s">
        <v>88</v>
      </c>
      <c r="G33" s="149" t="s">
        <v>89</v>
      </c>
      <c r="H33" s="227"/>
      <c r="I33" s="268">
        <v>33737.0</v>
      </c>
      <c r="J33" s="153">
        <v>45139.0</v>
      </c>
      <c r="K33" s="227"/>
      <c r="L33" s="221">
        <v>92.0</v>
      </c>
      <c r="M33" s="153">
        <v>45566.0</v>
      </c>
      <c r="N33" s="153">
        <v>45657.0</v>
      </c>
    </row>
    <row r="34">
      <c r="A34" s="149" t="s">
        <v>16</v>
      </c>
      <c r="B34" s="221">
        <v>4320.0</v>
      </c>
      <c r="C34" s="227"/>
      <c r="D34" s="221">
        <v>0.0</v>
      </c>
      <c r="E34" s="149" t="s">
        <v>334</v>
      </c>
      <c r="F34" s="149" t="s">
        <v>335</v>
      </c>
      <c r="G34" s="149" t="s">
        <v>336</v>
      </c>
      <c r="H34" s="227"/>
      <c r="I34" s="153">
        <v>35272.0</v>
      </c>
      <c r="J34" s="153">
        <v>45355.0</v>
      </c>
      <c r="K34" s="153">
        <v>45641.0</v>
      </c>
      <c r="L34" s="221">
        <v>76.0</v>
      </c>
      <c r="M34" s="153">
        <v>45566.0</v>
      </c>
      <c r="N34" s="153">
        <v>45657.0</v>
      </c>
    </row>
    <row r="35">
      <c r="A35" s="149" t="s">
        <v>16</v>
      </c>
      <c r="B35" s="221">
        <v>4320.0</v>
      </c>
      <c r="C35" s="227"/>
      <c r="D35" s="221">
        <v>0.0</v>
      </c>
      <c r="E35" s="149" t="s">
        <v>337</v>
      </c>
      <c r="F35" s="149" t="s">
        <v>338</v>
      </c>
      <c r="G35" s="149" t="s">
        <v>339</v>
      </c>
      <c r="H35" s="227"/>
      <c r="I35" s="153">
        <v>37539.0</v>
      </c>
      <c r="J35" s="153">
        <v>45362.0</v>
      </c>
      <c r="K35" s="227"/>
      <c r="L35" s="221">
        <v>92.0</v>
      </c>
      <c r="M35" s="153">
        <v>45566.0</v>
      </c>
      <c r="N35" s="153">
        <v>45657.0</v>
      </c>
    </row>
    <row r="36">
      <c r="A36" s="149" t="s">
        <v>16</v>
      </c>
      <c r="B36" s="221">
        <v>4320.0</v>
      </c>
      <c r="C36" s="227"/>
      <c r="D36" s="221">
        <v>0.0</v>
      </c>
      <c r="E36" s="149" t="s">
        <v>96</v>
      </c>
      <c r="F36" s="149" t="s">
        <v>97</v>
      </c>
      <c r="G36" s="149" t="s">
        <v>98</v>
      </c>
      <c r="H36" s="227"/>
      <c r="I36" s="153">
        <v>36690.0</v>
      </c>
      <c r="J36" s="153">
        <v>44938.0</v>
      </c>
      <c r="K36" s="227"/>
      <c r="L36" s="221">
        <v>92.0</v>
      </c>
      <c r="M36" s="153">
        <v>45566.0</v>
      </c>
      <c r="N36" s="153">
        <v>45657.0</v>
      </c>
    </row>
    <row r="37">
      <c r="A37" s="149" t="s">
        <v>16</v>
      </c>
      <c r="B37" s="221">
        <v>4320.0</v>
      </c>
      <c r="C37" s="227"/>
      <c r="D37" s="221">
        <v>0.0</v>
      </c>
      <c r="E37" s="149" t="s">
        <v>452</v>
      </c>
      <c r="F37" s="149" t="s">
        <v>513</v>
      </c>
      <c r="G37" s="149" t="s">
        <v>454</v>
      </c>
      <c r="H37" s="227"/>
      <c r="I37" s="153">
        <v>37834.0</v>
      </c>
      <c r="J37" s="153">
        <v>45505.0</v>
      </c>
      <c r="K37" s="227"/>
      <c r="L37" s="221">
        <v>92.0</v>
      </c>
      <c r="M37" s="153">
        <v>45566.0</v>
      </c>
      <c r="N37" s="153">
        <v>45657.0</v>
      </c>
    </row>
    <row r="38">
      <c r="A38" s="149" t="s">
        <v>16</v>
      </c>
      <c r="B38" s="221">
        <v>4320.0</v>
      </c>
      <c r="C38" s="227"/>
      <c r="D38" s="221">
        <v>0.0</v>
      </c>
      <c r="E38" s="149" t="s">
        <v>476</v>
      </c>
      <c r="F38" s="149" t="s">
        <v>529</v>
      </c>
      <c r="G38" s="149" t="s">
        <v>477</v>
      </c>
      <c r="H38" s="227"/>
      <c r="I38" s="153">
        <v>37220.0</v>
      </c>
      <c r="J38" s="153">
        <v>45572.0</v>
      </c>
      <c r="K38" s="227"/>
      <c r="L38" s="221">
        <v>86.0</v>
      </c>
      <c r="M38" s="153">
        <v>45566.0</v>
      </c>
      <c r="N38" s="153">
        <v>45657.0</v>
      </c>
    </row>
    <row r="39">
      <c r="A39" s="149" t="s">
        <v>16</v>
      </c>
      <c r="B39" s="221">
        <v>4320.0</v>
      </c>
      <c r="C39" s="227"/>
      <c r="D39" s="221">
        <v>0.0</v>
      </c>
      <c r="E39" s="149" t="s">
        <v>102</v>
      </c>
      <c r="F39" s="149" t="s">
        <v>103</v>
      </c>
      <c r="G39" s="149" t="s">
        <v>104</v>
      </c>
      <c r="H39" s="227"/>
      <c r="I39" s="153">
        <v>33240.0</v>
      </c>
      <c r="J39" s="153">
        <v>44287.0</v>
      </c>
      <c r="K39" s="227"/>
      <c r="L39" s="221">
        <v>92.0</v>
      </c>
      <c r="M39" s="153">
        <v>45566.0</v>
      </c>
      <c r="N39" s="153">
        <v>45657.0</v>
      </c>
    </row>
    <row r="40">
      <c r="A40" s="149" t="s">
        <v>16</v>
      </c>
      <c r="B40" s="221">
        <v>4320.0</v>
      </c>
      <c r="C40" s="227"/>
      <c r="D40" s="221">
        <v>0.0</v>
      </c>
      <c r="E40" s="149" t="s">
        <v>255</v>
      </c>
      <c r="F40" s="149" t="s">
        <v>256</v>
      </c>
      <c r="G40" s="149" t="s">
        <v>257</v>
      </c>
      <c r="H40" s="227"/>
      <c r="I40" s="153">
        <v>35173.0</v>
      </c>
      <c r="J40" s="153">
        <v>45264.0</v>
      </c>
      <c r="K40" s="227"/>
      <c r="L40" s="221">
        <v>92.0</v>
      </c>
      <c r="M40" s="153">
        <v>45566.0</v>
      </c>
      <c r="N40" s="153">
        <v>45657.0</v>
      </c>
    </row>
    <row r="41">
      <c r="A41" s="149" t="s">
        <v>16</v>
      </c>
      <c r="B41" s="221">
        <v>4320.0</v>
      </c>
      <c r="C41" s="227"/>
      <c r="D41" s="221">
        <v>0.0</v>
      </c>
      <c r="E41" s="149" t="s">
        <v>340</v>
      </c>
      <c r="F41" s="149" t="s">
        <v>341</v>
      </c>
      <c r="G41" s="149" t="s">
        <v>342</v>
      </c>
      <c r="H41" s="227"/>
      <c r="I41" s="153">
        <v>37964.0</v>
      </c>
      <c r="J41" s="153">
        <v>45355.0</v>
      </c>
      <c r="K41" s="227"/>
      <c r="L41" s="221">
        <v>92.0</v>
      </c>
      <c r="M41" s="153">
        <v>45566.0</v>
      </c>
      <c r="N41" s="153">
        <v>45657.0</v>
      </c>
    </row>
    <row r="42">
      <c r="A42" s="149" t="s">
        <v>16</v>
      </c>
      <c r="B42" s="221">
        <v>4320.0</v>
      </c>
      <c r="C42" s="227"/>
      <c r="D42" s="221">
        <v>0.0</v>
      </c>
      <c r="E42" s="149" t="s">
        <v>108</v>
      </c>
      <c r="F42" s="149" t="s">
        <v>109</v>
      </c>
      <c r="G42" s="149" t="s">
        <v>110</v>
      </c>
      <c r="H42" s="227"/>
      <c r="I42" s="268">
        <v>35943.0</v>
      </c>
      <c r="J42" s="153">
        <v>45215.0</v>
      </c>
      <c r="K42" s="153">
        <v>45583.0</v>
      </c>
      <c r="L42" s="221">
        <v>18.0</v>
      </c>
      <c r="M42" s="153">
        <v>45566.0</v>
      </c>
      <c r="N42" s="153">
        <v>45657.0</v>
      </c>
    </row>
    <row r="43">
      <c r="A43" s="149" t="s">
        <v>16</v>
      </c>
      <c r="B43" s="221">
        <v>4320.0</v>
      </c>
      <c r="C43" s="227"/>
      <c r="D43" s="221">
        <v>0.0</v>
      </c>
      <c r="E43" s="149" t="s">
        <v>395</v>
      </c>
      <c r="F43" s="149" t="s">
        <v>396</v>
      </c>
      <c r="G43" s="149" t="s">
        <v>397</v>
      </c>
      <c r="H43" s="227"/>
      <c r="I43" s="153">
        <v>36557.0</v>
      </c>
      <c r="J43" s="268">
        <v>45432.0</v>
      </c>
      <c r="K43" s="227"/>
      <c r="L43" s="221">
        <v>92.0</v>
      </c>
      <c r="M43" s="153">
        <v>45566.0</v>
      </c>
      <c r="N43" s="153">
        <v>45657.0</v>
      </c>
    </row>
    <row r="44">
      <c r="A44" s="149" t="s">
        <v>16</v>
      </c>
      <c r="B44" s="221">
        <v>4320.0</v>
      </c>
      <c r="C44" s="227"/>
      <c r="D44" s="221">
        <v>0.0</v>
      </c>
      <c r="E44" s="149" t="s">
        <v>370</v>
      </c>
      <c r="F44" s="149" t="s">
        <v>371</v>
      </c>
      <c r="G44" s="149" t="s">
        <v>372</v>
      </c>
      <c r="H44" s="227"/>
      <c r="I44" s="268">
        <v>35551.0</v>
      </c>
      <c r="J44" s="153">
        <v>45383.0</v>
      </c>
      <c r="K44" s="227"/>
      <c r="L44" s="221">
        <v>92.0</v>
      </c>
      <c r="M44" s="153">
        <v>45566.0</v>
      </c>
      <c r="N44" s="153">
        <v>45657.0</v>
      </c>
    </row>
    <row r="45">
      <c r="A45" s="149" t="s">
        <v>16</v>
      </c>
      <c r="B45" s="221">
        <v>4320.0</v>
      </c>
      <c r="C45" s="227"/>
      <c r="D45" s="221">
        <v>0.0</v>
      </c>
      <c r="E45" s="149" t="s">
        <v>114</v>
      </c>
      <c r="F45" s="149" t="s">
        <v>514</v>
      </c>
      <c r="G45" s="149" t="s">
        <v>456</v>
      </c>
      <c r="H45" s="227"/>
      <c r="I45" s="153">
        <v>35872.0</v>
      </c>
      <c r="J45" s="153">
        <v>45523.0</v>
      </c>
      <c r="K45" s="227"/>
      <c r="L45" s="221">
        <v>92.0</v>
      </c>
      <c r="M45" s="153">
        <v>45566.0</v>
      </c>
      <c r="N45" s="153">
        <v>45657.0</v>
      </c>
    </row>
    <row r="46">
      <c r="A46" s="149" t="s">
        <v>16</v>
      </c>
      <c r="B46" s="221">
        <v>4320.0</v>
      </c>
      <c r="C46" s="227"/>
      <c r="D46" s="221">
        <v>0.0</v>
      </c>
      <c r="E46" s="149" t="s">
        <v>457</v>
      </c>
      <c r="F46" s="149" t="s">
        <v>515</v>
      </c>
      <c r="G46" s="149" t="s">
        <v>458</v>
      </c>
      <c r="H46" s="227"/>
      <c r="I46" s="153">
        <v>37061.0</v>
      </c>
      <c r="J46" s="153">
        <v>45505.0</v>
      </c>
      <c r="K46" s="227"/>
      <c r="L46" s="221">
        <v>92.0</v>
      </c>
      <c r="M46" s="153">
        <v>45566.0</v>
      </c>
      <c r="N46" s="153">
        <v>45657.0</v>
      </c>
    </row>
    <row r="47">
      <c r="A47" s="149" t="s">
        <v>16</v>
      </c>
      <c r="B47" s="221">
        <v>4320.0</v>
      </c>
      <c r="C47" s="227"/>
      <c r="D47" s="221">
        <v>0.0</v>
      </c>
      <c r="E47" s="149" t="s">
        <v>120</v>
      </c>
      <c r="F47" s="149" t="s">
        <v>121</v>
      </c>
      <c r="G47" s="149" t="s">
        <v>122</v>
      </c>
      <c r="H47" s="227"/>
      <c r="I47" s="153">
        <v>36794.0</v>
      </c>
      <c r="J47" s="153">
        <v>44915.0</v>
      </c>
      <c r="K47" s="227"/>
      <c r="L47" s="221">
        <v>92.0</v>
      </c>
      <c r="M47" s="153">
        <v>45566.0</v>
      </c>
      <c r="N47" s="153">
        <v>45657.0</v>
      </c>
    </row>
    <row r="48">
      <c r="A48" s="149" t="s">
        <v>16</v>
      </c>
      <c r="B48" s="221">
        <v>4320.0</v>
      </c>
      <c r="C48" s="227"/>
      <c r="D48" s="221">
        <v>0.0</v>
      </c>
      <c r="E48" s="149" t="s">
        <v>343</v>
      </c>
      <c r="F48" s="149" t="s">
        <v>344</v>
      </c>
      <c r="G48" s="149" t="s">
        <v>345</v>
      </c>
      <c r="H48" s="227"/>
      <c r="I48" s="153">
        <v>36821.0</v>
      </c>
      <c r="J48" s="153">
        <v>45362.0</v>
      </c>
      <c r="K48" s="227"/>
      <c r="L48" s="221">
        <v>92.0</v>
      </c>
      <c r="M48" s="153">
        <v>45566.0</v>
      </c>
      <c r="N48" s="153">
        <v>45657.0</v>
      </c>
    </row>
    <row r="49">
      <c r="A49" s="149" t="s">
        <v>16</v>
      </c>
      <c r="B49" s="221">
        <v>4320.0</v>
      </c>
      <c r="C49" s="227"/>
      <c r="D49" s="221">
        <v>0.0</v>
      </c>
      <c r="E49" s="149" t="s">
        <v>429</v>
      </c>
      <c r="F49" s="149" t="s">
        <v>516</v>
      </c>
      <c r="G49" s="149" t="s">
        <v>430</v>
      </c>
      <c r="H49" s="227"/>
      <c r="I49" s="153">
        <v>37257.0</v>
      </c>
      <c r="J49" s="153">
        <v>45481.0</v>
      </c>
      <c r="K49" s="227"/>
      <c r="L49" s="221">
        <v>92.0</v>
      </c>
      <c r="M49" s="153">
        <v>45566.0</v>
      </c>
      <c r="N49" s="153">
        <v>45657.0</v>
      </c>
    </row>
    <row r="50">
      <c r="A50" s="149" t="s">
        <v>16</v>
      </c>
      <c r="B50" s="221">
        <v>4320.0</v>
      </c>
      <c r="C50" s="227"/>
      <c r="D50" s="221">
        <v>0.0</v>
      </c>
      <c r="E50" s="149" t="s">
        <v>416</v>
      </c>
      <c r="F50" s="149" t="s">
        <v>517</v>
      </c>
      <c r="G50" s="149" t="s">
        <v>417</v>
      </c>
      <c r="H50" s="227"/>
      <c r="I50" s="153">
        <v>36346.0</v>
      </c>
      <c r="J50" s="153">
        <v>45453.0</v>
      </c>
      <c r="K50" s="227"/>
      <c r="L50" s="221">
        <v>92.0</v>
      </c>
      <c r="M50" s="153">
        <v>45566.0</v>
      </c>
      <c r="N50" s="153">
        <v>45657.0</v>
      </c>
    </row>
    <row r="51">
      <c r="A51" s="149" t="s">
        <v>16</v>
      </c>
      <c r="B51" s="221">
        <v>4320.0</v>
      </c>
      <c r="C51" s="227"/>
      <c r="D51" s="221">
        <v>0.0</v>
      </c>
      <c r="E51" s="149" t="s">
        <v>132</v>
      </c>
      <c r="F51" s="149" t="s">
        <v>519</v>
      </c>
      <c r="G51" s="149" t="s">
        <v>418</v>
      </c>
      <c r="H51" s="227"/>
      <c r="I51" s="153">
        <v>37494.0</v>
      </c>
      <c r="J51" s="153">
        <v>45467.0</v>
      </c>
      <c r="K51" s="227"/>
      <c r="L51" s="221">
        <v>92.0</v>
      </c>
      <c r="M51" s="153">
        <v>45566.0</v>
      </c>
      <c r="N51" s="153">
        <v>45657.0</v>
      </c>
    </row>
    <row r="52">
      <c r="A52" s="149" t="s">
        <v>16</v>
      </c>
      <c r="B52" s="221">
        <v>4320.0</v>
      </c>
      <c r="C52" s="227"/>
      <c r="D52" s="221">
        <v>0.0</v>
      </c>
      <c r="E52" s="149" t="s">
        <v>373</v>
      </c>
      <c r="F52" s="149" t="s">
        <v>374</v>
      </c>
      <c r="G52" s="149" t="s">
        <v>375</v>
      </c>
      <c r="H52" s="227"/>
      <c r="I52" s="153">
        <v>37085.0</v>
      </c>
      <c r="J52" s="153">
        <v>45400.0</v>
      </c>
      <c r="K52" s="227"/>
      <c r="L52" s="221">
        <v>92.0</v>
      </c>
      <c r="M52" s="153">
        <v>45566.0</v>
      </c>
      <c r="N52" s="153">
        <v>45657.0</v>
      </c>
    </row>
    <row r="53">
      <c r="A53" s="149" t="s">
        <v>16</v>
      </c>
      <c r="B53" s="221">
        <v>4320.0</v>
      </c>
      <c r="C53" s="227"/>
      <c r="D53" s="221">
        <v>0.0</v>
      </c>
      <c r="E53" s="149" t="s">
        <v>349</v>
      </c>
      <c r="F53" s="149" t="s">
        <v>350</v>
      </c>
      <c r="G53" s="149" t="s">
        <v>351</v>
      </c>
      <c r="H53" s="227"/>
      <c r="I53" s="153">
        <v>37647.0</v>
      </c>
      <c r="J53" s="153">
        <v>45355.0</v>
      </c>
      <c r="K53" s="227"/>
      <c r="L53" s="221">
        <v>92.0</v>
      </c>
      <c r="M53" s="153">
        <v>45566.0</v>
      </c>
      <c r="N53" s="153">
        <v>45657.0</v>
      </c>
    </row>
    <row r="54">
      <c r="A54" s="149" t="s">
        <v>16</v>
      </c>
      <c r="B54" s="221">
        <v>4320.0</v>
      </c>
      <c r="C54" s="227"/>
      <c r="D54" s="221">
        <v>0.0</v>
      </c>
      <c r="E54" s="149" t="s">
        <v>352</v>
      </c>
      <c r="F54" s="149" t="s">
        <v>353</v>
      </c>
      <c r="G54" s="149" t="s">
        <v>354</v>
      </c>
      <c r="H54" s="227"/>
      <c r="I54" s="153">
        <v>36412.0</v>
      </c>
      <c r="J54" s="153">
        <v>45355.0</v>
      </c>
      <c r="K54" s="227"/>
      <c r="L54" s="221">
        <v>92.0</v>
      </c>
      <c r="M54" s="153">
        <v>45566.0</v>
      </c>
      <c r="N54" s="153">
        <v>45657.0</v>
      </c>
    </row>
    <row r="55">
      <c r="A55" s="149" t="s">
        <v>16</v>
      </c>
      <c r="B55" s="221">
        <v>4320.0</v>
      </c>
      <c r="C55" s="227"/>
      <c r="D55" s="221">
        <v>0.0</v>
      </c>
      <c r="E55" s="149" t="s">
        <v>419</v>
      </c>
      <c r="F55" s="149" t="s">
        <v>520</v>
      </c>
      <c r="G55" s="149" t="s">
        <v>420</v>
      </c>
      <c r="H55" s="227"/>
      <c r="I55" s="153">
        <v>36907.0</v>
      </c>
      <c r="J55" s="153">
        <v>45446.0</v>
      </c>
      <c r="K55" s="227"/>
      <c r="L55" s="221">
        <v>92.0</v>
      </c>
      <c r="M55" s="153">
        <v>45566.0</v>
      </c>
      <c r="N55" s="153">
        <v>45657.0</v>
      </c>
    </row>
    <row r="56">
      <c r="A56" s="149" t="s">
        <v>16</v>
      </c>
      <c r="B56" s="221">
        <v>4320.0</v>
      </c>
      <c r="C56" s="227"/>
      <c r="D56" s="221">
        <v>0.0</v>
      </c>
      <c r="E56" s="149" t="s">
        <v>273</v>
      </c>
      <c r="F56" s="149" t="s">
        <v>274</v>
      </c>
      <c r="G56" s="149" t="s">
        <v>275</v>
      </c>
      <c r="H56" s="227"/>
      <c r="I56" s="153">
        <v>34522.0</v>
      </c>
      <c r="J56" s="153">
        <v>45292.0</v>
      </c>
      <c r="K56" s="227"/>
      <c r="L56" s="221">
        <v>92.0</v>
      </c>
      <c r="M56" s="153">
        <v>45566.0</v>
      </c>
      <c r="N56" s="153">
        <v>45657.0</v>
      </c>
    </row>
    <row r="57">
      <c r="A57" s="149" t="s">
        <v>16</v>
      </c>
      <c r="B57" s="221">
        <v>4320.0</v>
      </c>
      <c r="C57" s="227"/>
      <c r="D57" s="221">
        <v>0.0</v>
      </c>
      <c r="E57" s="149" t="s">
        <v>470</v>
      </c>
      <c r="F57" s="149" t="s">
        <v>528</v>
      </c>
      <c r="G57" s="149" t="s">
        <v>472</v>
      </c>
      <c r="H57" s="227"/>
      <c r="I57" s="153">
        <v>37278.0</v>
      </c>
      <c r="J57" s="153">
        <v>45544.0</v>
      </c>
      <c r="K57" s="227"/>
      <c r="L57" s="221">
        <v>92.0</v>
      </c>
      <c r="M57" s="153">
        <v>45566.0</v>
      </c>
      <c r="N57" s="153">
        <v>45657.0</v>
      </c>
    </row>
    <row r="58">
      <c r="A58" s="149" t="s">
        <v>16</v>
      </c>
      <c r="B58" s="221">
        <v>4320.0</v>
      </c>
      <c r="C58" s="227"/>
      <c r="D58" s="221">
        <v>0.0</v>
      </c>
      <c r="E58" s="149" t="s">
        <v>162</v>
      </c>
      <c r="F58" s="149" t="s">
        <v>163</v>
      </c>
      <c r="G58" s="149" t="s">
        <v>164</v>
      </c>
      <c r="H58" s="227"/>
      <c r="I58" s="153">
        <v>34732.0</v>
      </c>
      <c r="J58" s="153">
        <v>44986.0</v>
      </c>
      <c r="K58" s="227"/>
      <c r="L58" s="221">
        <v>92.0</v>
      </c>
      <c r="M58" s="153">
        <v>45566.0</v>
      </c>
      <c r="N58" s="153">
        <v>45657.0</v>
      </c>
    </row>
    <row r="59">
      <c r="A59" s="149" t="s">
        <v>16</v>
      </c>
      <c r="B59" s="221">
        <v>4320.0</v>
      </c>
      <c r="C59" s="227"/>
      <c r="D59" s="221">
        <v>0.0</v>
      </c>
      <c r="E59" s="149" t="s">
        <v>355</v>
      </c>
      <c r="F59" s="149" t="s">
        <v>356</v>
      </c>
      <c r="G59" s="149" t="s">
        <v>357</v>
      </c>
      <c r="H59" s="227"/>
      <c r="I59" s="153">
        <v>35395.0</v>
      </c>
      <c r="J59" s="153">
        <v>45376.0</v>
      </c>
      <c r="K59" s="227"/>
      <c r="L59" s="221">
        <v>92.0</v>
      </c>
      <c r="M59" s="153">
        <v>45566.0</v>
      </c>
      <c r="N59" s="153">
        <v>45657.0</v>
      </c>
    </row>
    <row r="60">
      <c r="A60" s="149" t="s">
        <v>16</v>
      </c>
      <c r="B60" s="221">
        <v>4320.0</v>
      </c>
      <c r="C60" s="227"/>
      <c r="D60" s="221">
        <v>0.0</v>
      </c>
      <c r="E60" s="149" t="s">
        <v>431</v>
      </c>
      <c r="F60" s="149" t="s">
        <v>377</v>
      </c>
      <c r="G60" s="149" t="s">
        <v>378</v>
      </c>
      <c r="H60" s="227"/>
      <c r="I60" s="268">
        <v>36289.0</v>
      </c>
      <c r="J60" s="153">
        <v>45476.0</v>
      </c>
      <c r="K60" s="227"/>
      <c r="L60" s="221">
        <v>92.0</v>
      </c>
      <c r="M60" s="153">
        <v>45566.0</v>
      </c>
      <c r="N60" s="153">
        <v>45657.0</v>
      </c>
    </row>
    <row r="61">
      <c r="A61" s="149" t="s">
        <v>16</v>
      </c>
      <c r="B61" s="221">
        <v>4320.0</v>
      </c>
      <c r="C61" s="227"/>
      <c r="D61" s="221">
        <v>0.0</v>
      </c>
      <c r="E61" s="149" t="s">
        <v>183</v>
      </c>
      <c r="F61" s="149" t="s">
        <v>184</v>
      </c>
      <c r="G61" s="149" t="s">
        <v>185</v>
      </c>
      <c r="H61" s="227"/>
      <c r="I61" s="153">
        <v>36979.0</v>
      </c>
      <c r="J61" s="153">
        <v>44907.0</v>
      </c>
      <c r="K61" s="227"/>
      <c r="L61" s="221">
        <v>92.0</v>
      </c>
      <c r="M61" s="153">
        <v>45566.0</v>
      </c>
      <c r="N61" s="153">
        <v>45657.0</v>
      </c>
    </row>
    <row r="62">
      <c r="A62" s="149" t="s">
        <v>16</v>
      </c>
      <c r="B62" s="221">
        <v>4320.0</v>
      </c>
      <c r="C62" s="227"/>
      <c r="D62" s="221">
        <v>0.0</v>
      </c>
      <c r="E62" s="149" t="s">
        <v>301</v>
      </c>
      <c r="F62" s="149" t="s">
        <v>302</v>
      </c>
      <c r="G62" s="149" t="s">
        <v>303</v>
      </c>
      <c r="H62" s="227"/>
      <c r="I62" s="153">
        <v>36991.0</v>
      </c>
      <c r="J62" s="153">
        <v>45205.0</v>
      </c>
      <c r="K62" s="227"/>
      <c r="L62" s="221">
        <v>92.0</v>
      </c>
      <c r="M62" s="153">
        <v>45566.0</v>
      </c>
      <c r="N62" s="153">
        <v>45657.0</v>
      </c>
    </row>
    <row r="63">
      <c r="A63" s="149" t="s">
        <v>16</v>
      </c>
      <c r="B63" s="221">
        <v>4320.0</v>
      </c>
      <c r="C63" s="227"/>
      <c r="D63" s="221">
        <v>0.0</v>
      </c>
      <c r="E63" s="149" t="s">
        <v>432</v>
      </c>
      <c r="F63" s="149" t="s">
        <v>521</v>
      </c>
      <c r="G63" s="149" t="s">
        <v>433</v>
      </c>
      <c r="H63" s="227"/>
      <c r="I63" s="153">
        <v>34504.0</v>
      </c>
      <c r="J63" s="153">
        <v>45481.0</v>
      </c>
      <c r="K63" s="227"/>
      <c r="L63" s="221">
        <v>92.0</v>
      </c>
      <c r="M63" s="153">
        <v>45566.0</v>
      </c>
      <c r="N63" s="153">
        <v>45657.0</v>
      </c>
    </row>
    <row r="64">
      <c r="A64" s="149" t="s">
        <v>16</v>
      </c>
      <c r="B64" s="221">
        <v>4320.0</v>
      </c>
      <c r="C64" s="227"/>
      <c r="D64" s="221">
        <v>0.0</v>
      </c>
      <c r="E64" s="149" t="s">
        <v>434</v>
      </c>
      <c r="F64" s="149" t="s">
        <v>522</v>
      </c>
      <c r="G64" s="149" t="s">
        <v>435</v>
      </c>
      <c r="H64" s="227"/>
      <c r="I64" s="153">
        <v>37446.0</v>
      </c>
      <c r="J64" s="153">
        <v>45495.0</v>
      </c>
      <c r="K64" s="227"/>
      <c r="L64" s="221">
        <v>92.0</v>
      </c>
      <c r="M64" s="153">
        <v>45566.0</v>
      </c>
      <c r="N64" s="153">
        <v>45657.0</v>
      </c>
    </row>
    <row r="65">
      <c r="A65" s="149" t="s">
        <v>16</v>
      </c>
      <c r="B65" s="221">
        <v>4320.0</v>
      </c>
      <c r="C65" s="227"/>
      <c r="D65" s="221">
        <v>0.0</v>
      </c>
      <c r="E65" s="149" t="s">
        <v>401</v>
      </c>
      <c r="F65" s="149" t="s">
        <v>402</v>
      </c>
      <c r="G65" s="149" t="s">
        <v>403</v>
      </c>
      <c r="H65" s="227"/>
      <c r="I65" s="153">
        <v>36433.0</v>
      </c>
      <c r="J65" s="268">
        <v>45432.0</v>
      </c>
      <c r="K65" s="153">
        <v>45626.0</v>
      </c>
      <c r="L65" s="221">
        <v>61.0</v>
      </c>
      <c r="M65" s="153">
        <v>45566.0</v>
      </c>
      <c r="N65" s="153">
        <v>45657.0</v>
      </c>
    </row>
    <row r="66">
      <c r="A66" s="149" t="s">
        <v>16</v>
      </c>
      <c r="B66" s="221">
        <v>4320.0</v>
      </c>
      <c r="C66" s="227"/>
      <c r="D66" s="221">
        <v>0.0</v>
      </c>
      <c r="E66" s="149" t="s">
        <v>460</v>
      </c>
      <c r="F66" s="149" t="s">
        <v>523</v>
      </c>
      <c r="G66" s="149" t="s">
        <v>461</v>
      </c>
      <c r="H66" s="227"/>
      <c r="I66" s="153">
        <v>36856.0</v>
      </c>
      <c r="J66" s="153">
        <v>45505.0</v>
      </c>
      <c r="K66" s="227"/>
      <c r="L66" s="221">
        <v>92.0</v>
      </c>
      <c r="M66" s="153">
        <v>45566.0</v>
      </c>
      <c r="N66" s="153">
        <v>45657.0</v>
      </c>
    </row>
    <row r="67">
      <c r="A67" s="149" t="s">
        <v>16</v>
      </c>
      <c r="B67" s="221">
        <v>4320.0</v>
      </c>
      <c r="C67" s="227"/>
      <c r="D67" s="221">
        <v>0.0</v>
      </c>
      <c r="E67" s="149" t="s">
        <v>462</v>
      </c>
      <c r="F67" s="149" t="s">
        <v>526</v>
      </c>
      <c r="G67" s="149" t="s">
        <v>463</v>
      </c>
      <c r="H67" s="227"/>
      <c r="I67" s="153">
        <v>34588.0</v>
      </c>
      <c r="J67" s="153">
        <v>45530.0</v>
      </c>
      <c r="K67" s="227"/>
      <c r="L67" s="221">
        <v>92.0</v>
      </c>
      <c r="M67" s="153">
        <v>45566.0</v>
      </c>
      <c r="N67" s="153">
        <v>45657.0</v>
      </c>
    </row>
    <row r="68">
      <c r="A68" s="149" t="s">
        <v>16</v>
      </c>
      <c r="B68" s="221">
        <v>4320.0</v>
      </c>
      <c r="C68" s="227"/>
      <c r="D68" s="221">
        <v>0.0</v>
      </c>
      <c r="E68" s="149" t="s">
        <v>423</v>
      </c>
      <c r="F68" s="149" t="s">
        <v>524</v>
      </c>
      <c r="G68" s="149" t="s">
        <v>424</v>
      </c>
      <c r="H68" s="227"/>
      <c r="I68" s="153">
        <v>37818.0</v>
      </c>
      <c r="J68" s="153">
        <v>45467.0</v>
      </c>
      <c r="K68" s="227"/>
      <c r="L68" s="221">
        <v>92.0</v>
      </c>
      <c r="M68" s="153">
        <v>45566.0</v>
      </c>
      <c r="N68" s="153">
        <v>45657.0</v>
      </c>
    </row>
    <row r="69">
      <c r="A69" s="149" t="s">
        <v>16</v>
      </c>
      <c r="B69" s="221">
        <v>4320.0</v>
      </c>
      <c r="C69" s="227"/>
      <c r="D69" s="221">
        <v>0.0</v>
      </c>
      <c r="E69" s="149" t="s">
        <v>304</v>
      </c>
      <c r="F69" s="149" t="s">
        <v>305</v>
      </c>
      <c r="G69" s="149" t="s">
        <v>306</v>
      </c>
      <c r="H69" s="227"/>
      <c r="I69" s="153">
        <v>35697.0</v>
      </c>
      <c r="J69" s="153">
        <v>45348.0</v>
      </c>
      <c r="K69" s="227"/>
      <c r="L69" s="221">
        <v>92.0</v>
      </c>
      <c r="M69" s="153">
        <v>45566.0</v>
      </c>
      <c r="N69" s="153">
        <v>45657.0</v>
      </c>
    </row>
    <row r="70">
      <c r="A70" s="149" t="s">
        <v>16</v>
      </c>
      <c r="B70" s="221">
        <v>4320.0</v>
      </c>
      <c r="C70" s="227"/>
      <c r="D70" s="221">
        <v>0.0</v>
      </c>
      <c r="E70" s="149" t="s">
        <v>213</v>
      </c>
      <c r="F70" s="149" t="s">
        <v>214</v>
      </c>
      <c r="G70" s="149" t="s">
        <v>215</v>
      </c>
      <c r="H70" s="227"/>
      <c r="I70" s="153">
        <v>36797.0</v>
      </c>
      <c r="J70" s="153">
        <v>44886.0</v>
      </c>
      <c r="K70" s="227"/>
      <c r="L70" s="221">
        <v>92.0</v>
      </c>
      <c r="M70" s="153">
        <v>45566.0</v>
      </c>
      <c r="N70" s="153">
        <v>45657.0</v>
      </c>
    </row>
    <row r="71">
      <c r="A71" s="149" t="s">
        <v>16</v>
      </c>
      <c r="B71" s="221">
        <v>4320.0</v>
      </c>
      <c r="C71" s="227"/>
      <c r="D71" s="221">
        <v>0.0</v>
      </c>
      <c r="E71" s="149" t="s">
        <v>425</v>
      </c>
      <c r="F71" s="149" t="s">
        <v>518</v>
      </c>
      <c r="G71" s="149" t="s">
        <v>426</v>
      </c>
      <c r="H71" s="227"/>
      <c r="I71" s="153">
        <v>36530.0</v>
      </c>
      <c r="J71" s="153">
        <v>45446.0</v>
      </c>
      <c r="K71" s="227"/>
      <c r="L71" s="221">
        <v>92.0</v>
      </c>
      <c r="M71" s="153">
        <v>45566.0</v>
      </c>
      <c r="N71" s="153">
        <v>45657.0</v>
      </c>
    </row>
    <row r="72">
      <c r="A72" s="149" t="s">
        <v>16</v>
      </c>
      <c r="B72" s="221">
        <v>4320.0</v>
      </c>
      <c r="C72" s="227"/>
      <c r="D72" s="221">
        <v>0.0</v>
      </c>
      <c r="E72" s="149" t="s">
        <v>442</v>
      </c>
      <c r="F72" s="149" t="s">
        <v>217</v>
      </c>
      <c r="G72" s="149" t="s">
        <v>218</v>
      </c>
      <c r="H72" s="227"/>
      <c r="I72" s="153">
        <v>33769.0</v>
      </c>
      <c r="J72" s="153">
        <v>44816.0</v>
      </c>
      <c r="K72" s="153">
        <v>45639.0</v>
      </c>
      <c r="L72" s="221">
        <v>74.0</v>
      </c>
      <c r="M72" s="153">
        <v>45566.0</v>
      </c>
      <c r="N72" s="153">
        <v>45657.0</v>
      </c>
    </row>
    <row r="73">
      <c r="A73" s="149" t="s">
        <v>16</v>
      </c>
      <c r="B73" s="221">
        <v>4320.0</v>
      </c>
      <c r="C73" s="227"/>
      <c r="D73" s="221">
        <v>0.0</v>
      </c>
      <c r="E73" s="149" t="s">
        <v>427</v>
      </c>
      <c r="F73" s="149" t="s">
        <v>525</v>
      </c>
      <c r="G73" s="149" t="s">
        <v>428</v>
      </c>
      <c r="H73" s="227"/>
      <c r="I73" s="153">
        <v>36451.0</v>
      </c>
      <c r="J73" s="153">
        <v>45453.0</v>
      </c>
      <c r="K73" s="227"/>
      <c r="L73" s="221">
        <v>92.0</v>
      </c>
      <c r="M73" s="153">
        <v>45566.0</v>
      </c>
      <c r="N73" s="153">
        <v>45657.0</v>
      </c>
    </row>
    <row r="74">
      <c r="A74" s="149" t="s">
        <v>16</v>
      </c>
      <c r="B74" s="221">
        <v>4320.0</v>
      </c>
      <c r="C74" s="227"/>
      <c r="D74" s="221">
        <v>0.0</v>
      </c>
      <c r="E74" s="149" t="s">
        <v>222</v>
      </c>
      <c r="F74" s="149" t="s">
        <v>223</v>
      </c>
      <c r="G74" s="149" t="s">
        <v>224</v>
      </c>
      <c r="H74" s="227"/>
      <c r="I74" s="153">
        <v>35818.0</v>
      </c>
      <c r="J74" s="153">
        <v>45089.0</v>
      </c>
      <c r="K74" s="227"/>
      <c r="L74" s="221">
        <v>92.0</v>
      </c>
      <c r="M74" s="153">
        <v>45566.0</v>
      </c>
      <c r="N74" s="153">
        <v>45657.0</v>
      </c>
    </row>
    <row r="75">
      <c r="A75" s="149" t="s">
        <v>16</v>
      </c>
      <c r="B75" s="221">
        <v>4320.0</v>
      </c>
      <c r="C75" s="227"/>
      <c r="D75" s="221">
        <v>0.0</v>
      </c>
      <c r="E75" s="149" t="s">
        <v>225</v>
      </c>
      <c r="F75" s="149" t="s">
        <v>226</v>
      </c>
      <c r="G75" s="149" t="s">
        <v>227</v>
      </c>
      <c r="H75" s="227"/>
      <c r="I75" s="153">
        <v>36177.0</v>
      </c>
      <c r="J75" s="153">
        <v>45320.0</v>
      </c>
      <c r="K75" s="227"/>
      <c r="L75" s="221">
        <v>92.0</v>
      </c>
      <c r="M75" s="153">
        <v>45566.0</v>
      </c>
      <c r="N75" s="153">
        <v>45657.0</v>
      </c>
    </row>
    <row r="76">
      <c r="A76" s="149" t="s">
        <v>16</v>
      </c>
      <c r="B76" s="221">
        <v>4320.0</v>
      </c>
      <c r="C76" s="227"/>
      <c r="D76" s="221">
        <v>0.0</v>
      </c>
      <c r="E76" s="149" t="s">
        <v>465</v>
      </c>
      <c r="F76" s="149" t="s">
        <v>685</v>
      </c>
      <c r="G76" s="149" t="s">
        <v>466</v>
      </c>
      <c r="H76" s="227"/>
      <c r="I76" s="153">
        <v>36881.0</v>
      </c>
      <c r="J76" s="153">
        <v>45523.0</v>
      </c>
      <c r="K76" s="153">
        <v>45626.0</v>
      </c>
      <c r="L76" s="221">
        <v>61.0</v>
      </c>
      <c r="M76" s="153">
        <v>45566.0</v>
      </c>
      <c r="N76" s="153">
        <v>45657.0</v>
      </c>
    </row>
    <row r="77">
      <c r="A77" s="149" t="s">
        <v>16</v>
      </c>
      <c r="B77" s="221">
        <v>4320.0</v>
      </c>
      <c r="C77" s="227"/>
      <c r="D77" s="221">
        <v>0.0</v>
      </c>
      <c r="E77" s="149" t="s">
        <v>228</v>
      </c>
      <c r="F77" s="149" t="s">
        <v>229</v>
      </c>
      <c r="G77" s="149" t="s">
        <v>230</v>
      </c>
      <c r="H77" s="227"/>
      <c r="I77" s="153">
        <v>35743.0</v>
      </c>
      <c r="J77" s="153">
        <v>45222.0</v>
      </c>
      <c r="K77" s="153">
        <v>45611.0</v>
      </c>
      <c r="L77" s="221">
        <v>46.0</v>
      </c>
      <c r="M77" s="153">
        <v>45566.0</v>
      </c>
      <c r="N77" s="153">
        <v>45657.0</v>
      </c>
    </row>
    <row r="78">
      <c r="A78" s="149" t="s">
        <v>16</v>
      </c>
      <c r="B78" s="221">
        <v>4320.0</v>
      </c>
      <c r="C78" s="227"/>
      <c r="D78" s="221">
        <v>0.0</v>
      </c>
      <c r="E78" s="149" t="s">
        <v>479</v>
      </c>
      <c r="F78" s="149" t="s">
        <v>686</v>
      </c>
      <c r="G78" s="149" t="s">
        <v>480</v>
      </c>
      <c r="H78" s="227"/>
      <c r="I78" s="153">
        <v>36544.0</v>
      </c>
      <c r="J78" s="153">
        <v>45566.0</v>
      </c>
      <c r="K78" s="153">
        <v>45622.0</v>
      </c>
      <c r="L78" s="221">
        <v>57.0</v>
      </c>
      <c r="M78" s="153">
        <v>45566.0</v>
      </c>
      <c r="N78" s="153">
        <v>45657.0</v>
      </c>
    </row>
    <row r="79">
      <c r="A79" s="149" t="s">
        <v>16</v>
      </c>
      <c r="B79" s="221">
        <v>4320.0</v>
      </c>
      <c r="C79" s="227"/>
      <c r="D79" s="221">
        <v>0.0</v>
      </c>
      <c r="E79" s="149" t="s">
        <v>481</v>
      </c>
      <c r="F79" s="277" t="s">
        <v>531</v>
      </c>
      <c r="G79" s="193" t="s">
        <v>482</v>
      </c>
      <c r="H79" s="227"/>
      <c r="I79" s="153">
        <v>35096.0</v>
      </c>
      <c r="J79" s="278">
        <v>45602.0</v>
      </c>
      <c r="K79" s="227"/>
      <c r="L79" s="221">
        <v>56.0</v>
      </c>
      <c r="M79" s="153">
        <v>45566.0</v>
      </c>
      <c r="N79" s="153">
        <v>45657.0</v>
      </c>
    </row>
    <row r="80">
      <c r="A80" s="149" t="s">
        <v>16</v>
      </c>
      <c r="B80" s="221">
        <v>4320.0</v>
      </c>
      <c r="C80" s="227"/>
      <c r="D80" s="221">
        <v>0.0</v>
      </c>
      <c r="E80" s="149" t="s">
        <v>493</v>
      </c>
      <c r="F80" s="277" t="s">
        <v>532</v>
      </c>
      <c r="G80" s="193" t="s">
        <v>494</v>
      </c>
      <c r="H80" s="227"/>
      <c r="I80" s="153">
        <v>36208.0</v>
      </c>
      <c r="J80" s="279">
        <v>45602.0</v>
      </c>
      <c r="K80" s="227"/>
      <c r="L80" s="221">
        <v>56.0</v>
      </c>
      <c r="M80" s="153">
        <v>45566.0</v>
      </c>
      <c r="N80" s="153">
        <v>45657.0</v>
      </c>
    </row>
    <row r="81">
      <c r="A81" s="149" t="s">
        <v>16</v>
      </c>
      <c r="B81" s="221">
        <v>4320.0</v>
      </c>
      <c r="C81" s="227"/>
      <c r="D81" s="221">
        <v>0.0</v>
      </c>
      <c r="E81" s="149" t="s">
        <v>487</v>
      </c>
      <c r="F81" s="277" t="s">
        <v>533</v>
      </c>
      <c r="G81" s="193" t="s">
        <v>488</v>
      </c>
      <c r="H81" s="227"/>
      <c r="I81" s="268">
        <v>35195.0</v>
      </c>
      <c r="J81" s="279">
        <v>45602.0</v>
      </c>
      <c r="K81" s="227"/>
      <c r="L81" s="221">
        <v>56.0</v>
      </c>
      <c r="M81" s="153">
        <v>45566.0</v>
      </c>
      <c r="N81" s="153">
        <v>45657.0</v>
      </c>
    </row>
    <row r="82">
      <c r="A82" s="149" t="s">
        <v>16</v>
      </c>
      <c r="B82" s="221">
        <v>4320.0</v>
      </c>
      <c r="C82" s="227"/>
      <c r="D82" s="221">
        <v>0.0</v>
      </c>
      <c r="E82" s="149" t="s">
        <v>491</v>
      </c>
      <c r="F82" s="277" t="s">
        <v>534</v>
      </c>
      <c r="G82" s="193" t="s">
        <v>492</v>
      </c>
      <c r="H82" s="227"/>
      <c r="I82" s="153">
        <v>36849.0</v>
      </c>
      <c r="J82" s="280">
        <v>45602.0</v>
      </c>
      <c r="K82" s="227"/>
      <c r="L82" s="221">
        <v>56.0</v>
      </c>
      <c r="M82" s="153">
        <v>45566.0</v>
      </c>
      <c r="N82" s="153">
        <v>45657.0</v>
      </c>
    </row>
    <row r="83">
      <c r="A83" s="149" t="s">
        <v>16</v>
      </c>
      <c r="B83" s="221">
        <v>4320.0</v>
      </c>
      <c r="C83" s="227"/>
      <c r="D83" s="221">
        <v>0.0</v>
      </c>
      <c r="E83" s="149" t="s">
        <v>485</v>
      </c>
      <c r="F83" s="277" t="s">
        <v>535</v>
      </c>
      <c r="G83" s="193" t="s">
        <v>486</v>
      </c>
      <c r="H83" s="227"/>
      <c r="I83" s="153">
        <v>36994.0</v>
      </c>
      <c r="J83" s="279">
        <v>45602.0</v>
      </c>
      <c r="K83" s="227"/>
      <c r="L83" s="221">
        <v>56.0</v>
      </c>
      <c r="M83" s="153">
        <v>45566.0</v>
      </c>
      <c r="N83" s="153">
        <v>45657.0</v>
      </c>
    </row>
    <row r="84">
      <c r="A84" s="149" t="s">
        <v>16</v>
      </c>
      <c r="B84" s="221">
        <v>4320.0</v>
      </c>
      <c r="C84" s="227"/>
      <c r="D84" s="221">
        <v>0.0</v>
      </c>
      <c r="E84" s="149" t="s">
        <v>489</v>
      </c>
      <c r="F84" s="277" t="s">
        <v>536</v>
      </c>
      <c r="G84" s="143" t="s">
        <v>490</v>
      </c>
      <c r="H84" s="227"/>
      <c r="I84" s="153">
        <v>37105.0</v>
      </c>
      <c r="J84" s="280">
        <v>45602.0</v>
      </c>
      <c r="K84" s="227"/>
      <c r="L84" s="221">
        <v>56.0</v>
      </c>
      <c r="M84" s="153">
        <v>45566.0</v>
      </c>
      <c r="N84" s="153">
        <v>45657.0</v>
      </c>
    </row>
    <row r="85">
      <c r="A85" s="149" t="s">
        <v>16</v>
      </c>
      <c r="B85" s="221">
        <v>4320.0</v>
      </c>
      <c r="C85" s="227"/>
      <c r="D85" s="221">
        <v>0.0</v>
      </c>
      <c r="E85" s="149" t="s">
        <v>483</v>
      </c>
      <c r="F85" s="277" t="s">
        <v>537</v>
      </c>
      <c r="G85" s="143" t="s">
        <v>484</v>
      </c>
      <c r="H85" s="227"/>
      <c r="I85" s="268">
        <v>36286.0</v>
      </c>
      <c r="J85" s="279">
        <v>45602.0</v>
      </c>
      <c r="K85" s="227"/>
      <c r="L85" s="221">
        <v>56.0</v>
      </c>
      <c r="M85" s="153">
        <v>45566.0</v>
      </c>
      <c r="N85" s="153">
        <v>45657.0</v>
      </c>
    </row>
    <row r="86">
      <c r="A86" s="149" t="s">
        <v>16</v>
      </c>
      <c r="B86" s="221">
        <v>4320.0</v>
      </c>
      <c r="C86" s="227"/>
      <c r="D86" s="221">
        <v>0.0</v>
      </c>
      <c r="E86" s="149" t="s">
        <v>495</v>
      </c>
      <c r="F86" s="277" t="s">
        <v>538</v>
      </c>
      <c r="G86" s="149" t="s">
        <v>496</v>
      </c>
      <c r="H86" s="227"/>
      <c r="I86" s="153">
        <v>33452.0</v>
      </c>
      <c r="J86" s="280">
        <v>45628.0</v>
      </c>
      <c r="K86" s="227"/>
      <c r="L86" s="221">
        <v>30.0</v>
      </c>
      <c r="M86" s="153">
        <v>45566.0</v>
      </c>
      <c r="N86" s="153">
        <v>45657.0</v>
      </c>
    </row>
    <row r="87">
      <c r="A87" s="149" t="s">
        <v>16</v>
      </c>
      <c r="B87" s="221">
        <v>4320.0</v>
      </c>
      <c r="C87" s="227"/>
      <c r="D87" s="221">
        <v>0.0</v>
      </c>
      <c r="E87" s="149" t="s">
        <v>497</v>
      </c>
      <c r="F87" s="277" t="s">
        <v>539</v>
      </c>
      <c r="G87" s="149" t="s">
        <v>498</v>
      </c>
      <c r="H87" s="227"/>
      <c r="I87" s="268">
        <v>37026.0</v>
      </c>
      <c r="J87" s="279">
        <v>45628.0</v>
      </c>
      <c r="K87" s="227"/>
      <c r="L87" s="221">
        <v>30.0</v>
      </c>
      <c r="M87" s="153">
        <v>45566.0</v>
      </c>
      <c r="N87" s="153">
        <v>45657.0</v>
      </c>
    </row>
    <row r="88">
      <c r="A88" s="149" t="s">
        <v>16</v>
      </c>
      <c r="B88" s="221">
        <v>4320.0</v>
      </c>
      <c r="C88" s="227"/>
      <c r="D88" s="221">
        <v>0.0</v>
      </c>
      <c r="E88" s="149" t="s">
        <v>499</v>
      </c>
      <c r="F88" s="277" t="s">
        <v>540</v>
      </c>
      <c r="G88" s="193" t="s">
        <v>500</v>
      </c>
      <c r="H88" s="227"/>
      <c r="I88" s="153">
        <v>36144.0</v>
      </c>
      <c r="J88" s="280">
        <v>45628.0</v>
      </c>
      <c r="K88" s="227"/>
      <c r="L88" s="221">
        <v>30.0</v>
      </c>
      <c r="M88" s="153">
        <v>45566.0</v>
      </c>
      <c r="N88" s="153">
        <v>45657.0</v>
      </c>
    </row>
    <row r="89">
      <c r="A89" s="149" t="s">
        <v>16</v>
      </c>
      <c r="B89" s="221">
        <v>4320.0</v>
      </c>
      <c r="C89" s="227"/>
      <c r="D89" s="221">
        <v>0.0</v>
      </c>
      <c r="E89" s="149" t="s">
        <v>501</v>
      </c>
      <c r="F89" s="277" t="s">
        <v>541</v>
      </c>
      <c r="G89" s="193" t="s">
        <v>502</v>
      </c>
      <c r="H89" s="227"/>
      <c r="I89" s="153">
        <v>36062.0</v>
      </c>
      <c r="J89" s="279">
        <v>45628.0</v>
      </c>
      <c r="K89" s="227"/>
      <c r="L89" s="221">
        <v>30.0</v>
      </c>
      <c r="M89" s="153">
        <v>45566.0</v>
      </c>
      <c r="N89" s="153">
        <v>45657.0</v>
      </c>
    </row>
    <row r="90">
      <c r="A90" s="149" t="s">
        <v>16</v>
      </c>
      <c r="B90" s="221">
        <v>4320.0</v>
      </c>
      <c r="C90" s="227"/>
      <c r="D90" s="221">
        <v>0.0</v>
      </c>
      <c r="E90" s="149" t="s">
        <v>503</v>
      </c>
      <c r="F90" s="277" t="s">
        <v>542</v>
      </c>
      <c r="G90" s="193" t="s">
        <v>504</v>
      </c>
      <c r="H90" s="227"/>
      <c r="I90" s="153">
        <v>37422.0</v>
      </c>
      <c r="J90" s="280">
        <v>45635.0</v>
      </c>
      <c r="K90" s="227"/>
      <c r="L90" s="221">
        <v>23.0</v>
      </c>
      <c r="M90" s="153">
        <v>45566.0</v>
      </c>
      <c r="N90" s="153">
        <v>45657.0</v>
      </c>
    </row>
    <row r="91">
      <c r="A91" s="149" t="s">
        <v>16</v>
      </c>
      <c r="B91" s="221">
        <v>4320.0</v>
      </c>
      <c r="C91" s="227"/>
      <c r="D91" s="221">
        <v>0.0</v>
      </c>
      <c r="E91" s="149" t="s">
        <v>63</v>
      </c>
      <c r="F91" s="277" t="s">
        <v>543</v>
      </c>
      <c r="G91" s="193" t="s">
        <v>505</v>
      </c>
      <c r="H91" s="227"/>
      <c r="I91" s="153">
        <v>36725.0</v>
      </c>
      <c r="J91" s="279">
        <v>45635.0</v>
      </c>
      <c r="K91" s="227"/>
      <c r="L91" s="221">
        <v>23.0</v>
      </c>
      <c r="M91" s="153">
        <v>45566.0</v>
      </c>
      <c r="N91" s="153">
        <v>45657.0</v>
      </c>
    </row>
    <row r="92">
      <c r="A92" s="149" t="s">
        <v>16</v>
      </c>
      <c r="B92" s="221">
        <v>4320.0</v>
      </c>
      <c r="C92" s="227"/>
      <c r="D92" s="221">
        <v>0.0</v>
      </c>
      <c r="E92" s="149" t="s">
        <v>506</v>
      </c>
      <c r="F92" s="277" t="s">
        <v>544</v>
      </c>
      <c r="G92" s="193" t="s">
        <v>507</v>
      </c>
      <c r="H92" s="227"/>
      <c r="I92" s="153">
        <v>36981.0</v>
      </c>
      <c r="J92" s="280">
        <v>45642.0</v>
      </c>
      <c r="K92" s="227"/>
      <c r="L92" s="221">
        <v>16.0</v>
      </c>
      <c r="M92" s="153">
        <v>45566.0</v>
      </c>
      <c r="N92" s="153">
        <v>45657.0</v>
      </c>
    </row>
    <row r="93">
      <c r="A93" s="149" t="s">
        <v>16</v>
      </c>
      <c r="B93" s="221">
        <v>4320.0</v>
      </c>
      <c r="C93" s="227"/>
      <c r="D93" s="221">
        <v>0.0</v>
      </c>
      <c r="E93" s="149" t="s">
        <v>508</v>
      </c>
      <c r="F93" s="277" t="s">
        <v>545</v>
      </c>
      <c r="G93" s="193" t="s">
        <v>509</v>
      </c>
      <c r="H93" s="227"/>
      <c r="I93" s="153">
        <v>36637.0</v>
      </c>
      <c r="J93" s="153">
        <v>45649.0</v>
      </c>
      <c r="K93" s="227"/>
      <c r="L93" s="221">
        <v>9.0</v>
      </c>
      <c r="M93" s="153">
        <v>45566.0</v>
      </c>
      <c r="N93" s="153">
        <v>45657.0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38"/>
  </cols>
  <sheetData>
    <row r="1">
      <c r="A1" s="281" t="s">
        <v>0</v>
      </c>
      <c r="B1" s="281" t="s">
        <v>1</v>
      </c>
      <c r="C1" s="281" t="s">
        <v>2</v>
      </c>
      <c r="D1" s="281" t="s">
        <v>603</v>
      </c>
      <c r="E1" s="281" t="s">
        <v>604</v>
      </c>
      <c r="F1" s="281" t="s">
        <v>4</v>
      </c>
      <c r="G1" s="281" t="s">
        <v>5</v>
      </c>
      <c r="H1" s="281" t="s">
        <v>6</v>
      </c>
      <c r="I1" s="281" t="s">
        <v>7</v>
      </c>
      <c r="J1" s="281" t="s">
        <v>8</v>
      </c>
      <c r="K1" s="281" t="s">
        <v>9</v>
      </c>
      <c r="L1" s="281" t="s">
        <v>10</v>
      </c>
      <c r="M1" s="281" t="s">
        <v>11</v>
      </c>
      <c r="N1" s="281" t="s">
        <v>12</v>
      </c>
      <c r="O1" s="281" t="s">
        <v>379</v>
      </c>
      <c r="P1" s="281" t="s">
        <v>14</v>
      </c>
      <c r="Q1" s="281" t="s">
        <v>15</v>
      </c>
      <c r="R1" s="66"/>
      <c r="S1" s="66"/>
      <c r="T1" s="66"/>
    </row>
    <row r="2">
      <c r="A2" s="282" t="s">
        <v>16</v>
      </c>
      <c r="B2" s="283">
        <v>4320.0</v>
      </c>
      <c r="C2" s="284"/>
      <c r="D2" s="285">
        <v>0.0</v>
      </c>
      <c r="E2" s="282" t="s">
        <v>436</v>
      </c>
      <c r="F2" s="282" t="s">
        <v>362</v>
      </c>
      <c r="G2" s="286" t="s">
        <v>363</v>
      </c>
      <c r="H2" s="287"/>
      <c r="I2" s="288">
        <v>37149.0</v>
      </c>
      <c r="J2" s="288">
        <v>45397.0</v>
      </c>
      <c r="K2" s="289"/>
      <c r="L2" s="283">
        <v>28.0</v>
      </c>
      <c r="M2" s="288">
        <v>45689.0</v>
      </c>
      <c r="N2" s="288">
        <v>45716.0</v>
      </c>
      <c r="O2" s="290">
        <f t="shared" ref="O2:O106" si="1">ROUNDUP(L2/28*370,0)</f>
        <v>370</v>
      </c>
      <c r="P2" s="290">
        <f t="shared" ref="P2:P106" si="2">O2*5</f>
        <v>1850</v>
      </c>
      <c r="Q2" s="290">
        <f t="shared" ref="Q2:Q106" si="3">O2+P2</f>
        <v>2220</v>
      </c>
    </row>
    <row r="3">
      <c r="A3" s="282" t="s">
        <v>16</v>
      </c>
      <c r="B3" s="283">
        <v>4320.0</v>
      </c>
      <c r="C3" s="289"/>
      <c r="D3" s="285">
        <v>0.0</v>
      </c>
      <c r="E3" s="291" t="s">
        <v>687</v>
      </c>
      <c r="F3" s="292" t="s">
        <v>688</v>
      </c>
      <c r="G3" s="286" t="s">
        <v>689</v>
      </c>
      <c r="H3" s="287"/>
      <c r="I3" s="293">
        <v>37214.0</v>
      </c>
      <c r="J3" s="288">
        <v>45691.0</v>
      </c>
      <c r="K3" s="289"/>
      <c r="L3" s="283">
        <v>26.0</v>
      </c>
      <c r="M3" s="288">
        <v>45689.0</v>
      </c>
      <c r="N3" s="288">
        <v>45716.0</v>
      </c>
      <c r="O3" s="290">
        <f t="shared" si="1"/>
        <v>344</v>
      </c>
      <c r="P3" s="290">
        <f t="shared" si="2"/>
        <v>1720</v>
      </c>
      <c r="Q3" s="290">
        <f t="shared" si="3"/>
        <v>2064</v>
      </c>
    </row>
    <row r="4">
      <c r="A4" s="282" t="s">
        <v>16</v>
      </c>
      <c r="B4" s="283">
        <v>4320.0</v>
      </c>
      <c r="C4" s="284"/>
      <c r="D4" s="285">
        <v>0.0</v>
      </c>
      <c r="E4" s="282" t="s">
        <v>561</v>
      </c>
      <c r="F4" s="282" t="s">
        <v>562</v>
      </c>
      <c r="G4" s="286" t="s">
        <v>563</v>
      </c>
      <c r="H4" s="287"/>
      <c r="I4" s="288">
        <v>36879.0</v>
      </c>
      <c r="J4" s="294">
        <v>45670.0</v>
      </c>
      <c r="K4" s="289"/>
      <c r="L4" s="283">
        <v>28.0</v>
      </c>
      <c r="M4" s="288">
        <v>45689.0</v>
      </c>
      <c r="N4" s="288">
        <v>45716.0</v>
      </c>
      <c r="O4" s="290">
        <f t="shared" si="1"/>
        <v>370</v>
      </c>
      <c r="P4" s="290">
        <f t="shared" si="2"/>
        <v>1850</v>
      </c>
      <c r="Q4" s="290">
        <f t="shared" si="3"/>
        <v>2220</v>
      </c>
    </row>
    <row r="5">
      <c r="A5" s="282" t="s">
        <v>16</v>
      </c>
      <c r="B5" s="283">
        <v>4320.0</v>
      </c>
      <c r="C5" s="284"/>
      <c r="D5" s="285">
        <v>0.0</v>
      </c>
      <c r="E5" s="282" t="s">
        <v>407</v>
      </c>
      <c r="F5" s="282" t="s">
        <v>97</v>
      </c>
      <c r="G5" s="286" t="s">
        <v>98</v>
      </c>
      <c r="H5" s="287"/>
      <c r="I5" s="294">
        <v>36690.0</v>
      </c>
      <c r="J5" s="288">
        <v>44938.0</v>
      </c>
      <c r="K5" s="289"/>
      <c r="L5" s="283">
        <v>28.0</v>
      </c>
      <c r="M5" s="288">
        <v>45689.0</v>
      </c>
      <c r="N5" s="288">
        <v>45716.0</v>
      </c>
      <c r="O5" s="290">
        <f t="shared" si="1"/>
        <v>370</v>
      </c>
      <c r="P5" s="290">
        <f t="shared" si="2"/>
        <v>1850</v>
      </c>
      <c r="Q5" s="290">
        <f t="shared" si="3"/>
        <v>2220</v>
      </c>
    </row>
    <row r="6">
      <c r="A6" s="282" t="s">
        <v>16</v>
      </c>
      <c r="B6" s="283">
        <v>4320.0</v>
      </c>
      <c r="C6" s="284"/>
      <c r="D6" s="285">
        <v>0.0</v>
      </c>
      <c r="E6" s="282" t="s">
        <v>473</v>
      </c>
      <c r="F6" s="282" t="s">
        <v>530</v>
      </c>
      <c r="G6" s="286" t="s">
        <v>475</v>
      </c>
      <c r="H6" s="287"/>
      <c r="I6" s="288">
        <v>37459.0</v>
      </c>
      <c r="J6" s="288">
        <v>45586.0</v>
      </c>
      <c r="K6" s="289"/>
      <c r="L6" s="283">
        <v>28.0</v>
      </c>
      <c r="M6" s="288">
        <v>45689.0</v>
      </c>
      <c r="N6" s="288">
        <v>45716.0</v>
      </c>
      <c r="O6" s="290">
        <f t="shared" si="1"/>
        <v>370</v>
      </c>
      <c r="P6" s="290">
        <f t="shared" si="2"/>
        <v>1850</v>
      </c>
      <c r="Q6" s="290">
        <f t="shared" si="3"/>
        <v>2220</v>
      </c>
    </row>
    <row r="7">
      <c r="A7" s="282" t="s">
        <v>16</v>
      </c>
      <c r="B7" s="283">
        <v>4320.0</v>
      </c>
      <c r="C7" s="284"/>
      <c r="D7" s="285">
        <v>0.0</v>
      </c>
      <c r="E7" s="282" t="s">
        <v>408</v>
      </c>
      <c r="F7" s="282" t="s">
        <v>409</v>
      </c>
      <c r="G7" s="286" t="s">
        <v>410</v>
      </c>
      <c r="H7" s="287"/>
      <c r="I7" s="288">
        <v>37978.0</v>
      </c>
      <c r="J7" s="288">
        <v>45453.0</v>
      </c>
      <c r="K7" s="289"/>
      <c r="L7" s="283">
        <v>28.0</v>
      </c>
      <c r="M7" s="288">
        <v>45689.0</v>
      </c>
      <c r="N7" s="288">
        <v>45716.0</v>
      </c>
      <c r="O7" s="290">
        <f t="shared" si="1"/>
        <v>370</v>
      </c>
      <c r="P7" s="290">
        <f t="shared" si="2"/>
        <v>1850</v>
      </c>
      <c r="Q7" s="290">
        <f t="shared" si="3"/>
        <v>2220</v>
      </c>
    </row>
    <row r="8">
      <c r="A8" s="282" t="s">
        <v>16</v>
      </c>
      <c r="B8" s="283">
        <v>4320.0</v>
      </c>
      <c r="C8" s="284"/>
      <c r="D8" s="285">
        <v>0.0</v>
      </c>
      <c r="E8" s="282" t="s">
        <v>246</v>
      </c>
      <c r="F8" s="282" t="s">
        <v>247</v>
      </c>
      <c r="G8" s="286" t="s">
        <v>248</v>
      </c>
      <c r="H8" s="287"/>
      <c r="I8" s="288">
        <v>36501.0</v>
      </c>
      <c r="J8" s="288">
        <v>45246.0</v>
      </c>
      <c r="K8" s="289"/>
      <c r="L8" s="283">
        <v>28.0</v>
      </c>
      <c r="M8" s="288">
        <v>45689.0</v>
      </c>
      <c r="N8" s="288">
        <v>45716.0</v>
      </c>
      <c r="O8" s="290">
        <f t="shared" si="1"/>
        <v>370</v>
      </c>
      <c r="P8" s="290">
        <f t="shared" si="2"/>
        <v>1850</v>
      </c>
      <c r="Q8" s="290">
        <f t="shared" si="3"/>
        <v>2220</v>
      </c>
    </row>
    <row r="9">
      <c r="A9" s="282" t="s">
        <v>16</v>
      </c>
      <c r="B9" s="283">
        <v>4320.0</v>
      </c>
      <c r="C9" s="284"/>
      <c r="D9" s="285">
        <v>0.0</v>
      </c>
      <c r="E9" s="282" t="s">
        <v>564</v>
      </c>
      <c r="F9" s="282" t="s">
        <v>565</v>
      </c>
      <c r="G9" s="286" t="s">
        <v>566</v>
      </c>
      <c r="H9" s="287"/>
      <c r="I9" s="288">
        <v>34799.0</v>
      </c>
      <c r="J9" s="288">
        <v>45670.0</v>
      </c>
      <c r="K9" s="289"/>
      <c r="L9" s="283">
        <v>28.0</v>
      </c>
      <c r="M9" s="288">
        <v>45689.0</v>
      </c>
      <c r="N9" s="288">
        <v>45716.0</v>
      </c>
      <c r="O9" s="290">
        <f t="shared" si="1"/>
        <v>370</v>
      </c>
      <c r="P9" s="290">
        <f t="shared" si="2"/>
        <v>1850</v>
      </c>
      <c r="Q9" s="290">
        <f t="shared" si="3"/>
        <v>2220</v>
      </c>
    </row>
    <row r="10">
      <c r="A10" s="282" t="s">
        <v>16</v>
      </c>
      <c r="B10" s="283">
        <v>4320.0</v>
      </c>
      <c r="C10" s="284"/>
      <c r="D10" s="285">
        <v>0.0</v>
      </c>
      <c r="E10" s="282" t="s">
        <v>552</v>
      </c>
      <c r="F10" s="282" t="s">
        <v>553</v>
      </c>
      <c r="G10" s="286" t="s">
        <v>554</v>
      </c>
      <c r="H10" s="287"/>
      <c r="I10" s="288">
        <v>36904.0</v>
      </c>
      <c r="J10" s="288">
        <v>45663.0</v>
      </c>
      <c r="K10" s="289"/>
      <c r="L10" s="283">
        <v>28.0</v>
      </c>
      <c r="M10" s="288">
        <v>45689.0</v>
      </c>
      <c r="N10" s="288">
        <v>45716.0</v>
      </c>
      <c r="O10" s="290">
        <f t="shared" si="1"/>
        <v>370</v>
      </c>
      <c r="P10" s="290">
        <f t="shared" si="2"/>
        <v>1850</v>
      </c>
      <c r="Q10" s="290">
        <f t="shared" si="3"/>
        <v>2220</v>
      </c>
    </row>
    <row r="11">
      <c r="A11" s="282" t="s">
        <v>16</v>
      </c>
      <c r="B11" s="283">
        <v>4320.0</v>
      </c>
      <c r="C11" s="284"/>
      <c r="D11" s="285">
        <v>0.0</v>
      </c>
      <c r="E11" s="282" t="s">
        <v>264</v>
      </c>
      <c r="F11" s="282" t="s">
        <v>265</v>
      </c>
      <c r="G11" s="286" t="s">
        <v>266</v>
      </c>
      <c r="H11" s="287"/>
      <c r="I11" s="288">
        <v>37398.0</v>
      </c>
      <c r="J11" s="288">
        <v>45096.0</v>
      </c>
      <c r="K11" s="289"/>
      <c r="L11" s="283">
        <v>28.0</v>
      </c>
      <c r="M11" s="288">
        <v>45689.0</v>
      </c>
      <c r="N11" s="288">
        <v>45716.0</v>
      </c>
      <c r="O11" s="290">
        <f t="shared" si="1"/>
        <v>370</v>
      </c>
      <c r="P11" s="290">
        <f t="shared" si="2"/>
        <v>1850</v>
      </c>
      <c r="Q11" s="290">
        <f t="shared" si="3"/>
        <v>2220</v>
      </c>
    </row>
    <row r="12">
      <c r="A12" s="282" t="s">
        <v>16</v>
      </c>
      <c r="B12" s="283">
        <v>4320.0</v>
      </c>
      <c r="C12" s="284"/>
      <c r="D12" s="283">
        <v>0.0</v>
      </c>
      <c r="E12" s="282" t="s">
        <v>411</v>
      </c>
      <c r="F12" s="282" t="s">
        <v>412</v>
      </c>
      <c r="G12" s="286" t="s">
        <v>413</v>
      </c>
      <c r="H12" s="287"/>
      <c r="I12" s="288">
        <v>33230.0</v>
      </c>
      <c r="J12" s="288">
        <v>45453.0</v>
      </c>
      <c r="K12" s="289"/>
      <c r="L12" s="283">
        <v>28.0</v>
      </c>
      <c r="M12" s="288">
        <v>45689.0</v>
      </c>
      <c r="N12" s="288">
        <v>45716.0</v>
      </c>
      <c r="O12" s="290">
        <f t="shared" si="1"/>
        <v>370</v>
      </c>
      <c r="P12" s="290">
        <f t="shared" si="2"/>
        <v>1850</v>
      </c>
      <c r="Q12" s="290">
        <f t="shared" si="3"/>
        <v>2220</v>
      </c>
    </row>
    <row r="13">
      <c r="A13" s="282" t="s">
        <v>16</v>
      </c>
      <c r="B13" s="283">
        <v>4320.0</v>
      </c>
      <c r="C13" s="289"/>
      <c r="D13" s="285">
        <v>0.0</v>
      </c>
      <c r="E13" s="291" t="s">
        <v>690</v>
      </c>
      <c r="F13" s="295" t="s">
        <v>691</v>
      </c>
      <c r="G13" s="286" t="s">
        <v>692</v>
      </c>
      <c r="H13" s="287"/>
      <c r="I13" s="288">
        <v>37137.0</v>
      </c>
      <c r="J13" s="288">
        <v>45691.0</v>
      </c>
      <c r="K13" s="296"/>
      <c r="L13" s="283">
        <v>26.0</v>
      </c>
      <c r="M13" s="288">
        <v>45689.0</v>
      </c>
      <c r="N13" s="288">
        <v>45716.0</v>
      </c>
      <c r="O13" s="290">
        <f t="shared" si="1"/>
        <v>344</v>
      </c>
      <c r="P13" s="290">
        <f t="shared" si="2"/>
        <v>1720</v>
      </c>
      <c r="Q13" s="290">
        <f t="shared" si="3"/>
        <v>2064</v>
      </c>
    </row>
    <row r="14">
      <c r="A14" s="282" t="s">
        <v>16</v>
      </c>
      <c r="B14" s="283">
        <v>4320.0</v>
      </c>
      <c r="C14" s="289"/>
      <c r="D14" s="285">
        <v>0.0</v>
      </c>
      <c r="E14" s="291" t="s">
        <v>693</v>
      </c>
      <c r="F14" s="297" t="s">
        <v>694</v>
      </c>
      <c r="G14" s="289" t="s">
        <v>695</v>
      </c>
      <c r="H14" s="289"/>
      <c r="I14" s="293">
        <v>35599.0</v>
      </c>
      <c r="J14" s="288">
        <v>45712.0</v>
      </c>
      <c r="K14" s="289"/>
      <c r="L14" s="283">
        <v>5.0</v>
      </c>
      <c r="M14" s="288">
        <v>45689.0</v>
      </c>
      <c r="N14" s="288">
        <v>45716.0</v>
      </c>
      <c r="O14" s="290">
        <f t="shared" si="1"/>
        <v>67</v>
      </c>
      <c r="P14" s="290">
        <f t="shared" si="2"/>
        <v>335</v>
      </c>
      <c r="Q14" s="290">
        <f t="shared" si="3"/>
        <v>402</v>
      </c>
    </row>
    <row r="15">
      <c r="A15" s="282" t="s">
        <v>16</v>
      </c>
      <c r="B15" s="283">
        <v>4320.0</v>
      </c>
      <c r="C15" s="284"/>
      <c r="D15" s="285">
        <v>0.0</v>
      </c>
      <c r="E15" s="282" t="s">
        <v>282</v>
      </c>
      <c r="F15" s="282" t="s">
        <v>283</v>
      </c>
      <c r="G15" s="286" t="s">
        <v>284</v>
      </c>
      <c r="H15" s="287"/>
      <c r="I15" s="294">
        <v>35047.0</v>
      </c>
      <c r="J15" s="288">
        <v>45257.0</v>
      </c>
      <c r="K15" s="289"/>
      <c r="L15" s="283">
        <v>28.0</v>
      </c>
      <c r="M15" s="288">
        <v>45689.0</v>
      </c>
      <c r="N15" s="288">
        <v>45716.0</v>
      </c>
      <c r="O15" s="290">
        <f t="shared" si="1"/>
        <v>370</v>
      </c>
      <c r="P15" s="290">
        <f t="shared" si="2"/>
        <v>1850</v>
      </c>
      <c r="Q15" s="290">
        <f t="shared" si="3"/>
        <v>2220</v>
      </c>
    </row>
    <row r="16">
      <c r="A16" s="282" t="s">
        <v>16</v>
      </c>
      <c r="B16" s="283">
        <v>4320.0</v>
      </c>
      <c r="C16" s="284"/>
      <c r="D16" s="285">
        <v>0.0</v>
      </c>
      <c r="E16" s="282" t="s">
        <v>481</v>
      </c>
      <c r="F16" s="282" t="s">
        <v>531</v>
      </c>
      <c r="G16" s="286" t="s">
        <v>482</v>
      </c>
      <c r="H16" s="287"/>
      <c r="I16" s="288">
        <v>35096.0</v>
      </c>
      <c r="J16" s="288">
        <v>45602.0</v>
      </c>
      <c r="K16" s="289"/>
      <c r="L16" s="283">
        <v>28.0</v>
      </c>
      <c r="M16" s="288">
        <v>45689.0</v>
      </c>
      <c r="N16" s="288">
        <v>45716.0</v>
      </c>
      <c r="O16" s="290">
        <f t="shared" si="1"/>
        <v>370</v>
      </c>
      <c r="P16" s="290">
        <f t="shared" si="2"/>
        <v>1850</v>
      </c>
      <c r="Q16" s="290">
        <f t="shared" si="3"/>
        <v>2220</v>
      </c>
    </row>
    <row r="17">
      <c r="A17" s="282" t="s">
        <v>16</v>
      </c>
      <c r="B17" s="283">
        <v>4320.0</v>
      </c>
      <c r="C17" s="284"/>
      <c r="D17" s="285">
        <v>0.0</v>
      </c>
      <c r="E17" s="282" t="s">
        <v>45</v>
      </c>
      <c r="F17" s="282" t="s">
        <v>46</v>
      </c>
      <c r="G17" s="286" t="s">
        <v>47</v>
      </c>
      <c r="H17" s="287"/>
      <c r="I17" s="288">
        <v>37370.0</v>
      </c>
      <c r="J17" s="288">
        <v>44739.0</v>
      </c>
      <c r="K17" s="289"/>
      <c r="L17" s="283">
        <v>28.0</v>
      </c>
      <c r="M17" s="288">
        <v>45689.0</v>
      </c>
      <c r="N17" s="288">
        <v>45716.0</v>
      </c>
      <c r="O17" s="290">
        <f t="shared" si="1"/>
        <v>370</v>
      </c>
      <c r="P17" s="290">
        <f t="shared" si="2"/>
        <v>1850</v>
      </c>
      <c r="Q17" s="290">
        <f t="shared" si="3"/>
        <v>2220</v>
      </c>
    </row>
    <row r="18">
      <c r="A18" s="282" t="s">
        <v>16</v>
      </c>
      <c r="B18" s="283">
        <v>4320.0</v>
      </c>
      <c r="C18" s="284"/>
      <c r="D18" s="285">
        <v>0.0</v>
      </c>
      <c r="E18" s="282" t="s">
        <v>48</v>
      </c>
      <c r="F18" s="282" t="s">
        <v>49</v>
      </c>
      <c r="G18" s="286" t="s">
        <v>50</v>
      </c>
      <c r="H18" s="287"/>
      <c r="I18" s="288">
        <v>36399.0</v>
      </c>
      <c r="J18" s="294">
        <v>45229.0</v>
      </c>
      <c r="K18" s="289"/>
      <c r="L18" s="283">
        <v>28.0</v>
      </c>
      <c r="M18" s="288">
        <v>45689.0</v>
      </c>
      <c r="N18" s="288">
        <v>45716.0</v>
      </c>
      <c r="O18" s="290">
        <f t="shared" si="1"/>
        <v>370</v>
      </c>
      <c r="P18" s="290">
        <f t="shared" si="2"/>
        <v>1850</v>
      </c>
      <c r="Q18" s="290">
        <f t="shared" si="3"/>
        <v>2220</v>
      </c>
    </row>
    <row r="19">
      <c r="A19" s="282" t="s">
        <v>16</v>
      </c>
      <c r="B19" s="283">
        <v>4320.0</v>
      </c>
      <c r="C19" s="284"/>
      <c r="D19" s="285">
        <v>0.0</v>
      </c>
      <c r="E19" s="282" t="s">
        <v>444</v>
      </c>
      <c r="F19" s="282" t="s">
        <v>320</v>
      </c>
      <c r="G19" s="286" t="s">
        <v>321</v>
      </c>
      <c r="H19" s="287"/>
      <c r="I19" s="288">
        <v>36360.0</v>
      </c>
      <c r="J19" s="288">
        <v>45355.0</v>
      </c>
      <c r="K19" s="289"/>
      <c r="L19" s="283">
        <v>28.0</v>
      </c>
      <c r="M19" s="288">
        <v>45689.0</v>
      </c>
      <c r="N19" s="288">
        <v>45716.0</v>
      </c>
      <c r="O19" s="290">
        <f t="shared" si="1"/>
        <v>370</v>
      </c>
      <c r="P19" s="290">
        <f t="shared" si="2"/>
        <v>1850</v>
      </c>
      <c r="Q19" s="290">
        <f t="shared" si="3"/>
        <v>2220</v>
      </c>
    </row>
    <row r="20">
      <c r="A20" s="282" t="s">
        <v>16</v>
      </c>
      <c r="B20" s="283">
        <v>4320.0</v>
      </c>
      <c r="C20" s="284"/>
      <c r="D20" s="285">
        <v>0.0</v>
      </c>
      <c r="E20" s="282" t="s">
        <v>383</v>
      </c>
      <c r="F20" s="282" t="s">
        <v>384</v>
      </c>
      <c r="G20" s="286" t="s">
        <v>385</v>
      </c>
      <c r="H20" s="287"/>
      <c r="I20" s="294">
        <v>36183.0</v>
      </c>
      <c r="J20" s="288">
        <v>45418.0</v>
      </c>
      <c r="K20" s="289"/>
      <c r="L20" s="283">
        <v>28.0</v>
      </c>
      <c r="M20" s="288">
        <v>45689.0</v>
      </c>
      <c r="N20" s="288">
        <v>45716.0</v>
      </c>
      <c r="O20" s="290">
        <f t="shared" si="1"/>
        <v>370</v>
      </c>
      <c r="P20" s="290">
        <f t="shared" si="2"/>
        <v>1850</v>
      </c>
      <c r="Q20" s="290">
        <f t="shared" si="3"/>
        <v>2220</v>
      </c>
    </row>
    <row r="21">
      <c r="A21" s="282" t="s">
        <v>16</v>
      </c>
      <c r="B21" s="283">
        <v>4320.0</v>
      </c>
      <c r="C21" s="284"/>
      <c r="D21" s="285">
        <v>0.0</v>
      </c>
      <c r="E21" s="282" t="s">
        <v>288</v>
      </c>
      <c r="F21" s="282" t="s">
        <v>289</v>
      </c>
      <c r="G21" s="286" t="s">
        <v>290</v>
      </c>
      <c r="H21" s="287"/>
      <c r="I21" s="288">
        <v>37047.0</v>
      </c>
      <c r="J21" s="288">
        <v>45257.0</v>
      </c>
      <c r="K21" s="289"/>
      <c r="L21" s="283">
        <v>28.0</v>
      </c>
      <c r="M21" s="288">
        <v>45689.0</v>
      </c>
      <c r="N21" s="288">
        <v>45716.0</v>
      </c>
      <c r="O21" s="290">
        <f t="shared" si="1"/>
        <v>370</v>
      </c>
      <c r="P21" s="290">
        <f t="shared" si="2"/>
        <v>1850</v>
      </c>
      <c r="Q21" s="290">
        <f t="shared" si="3"/>
        <v>2220</v>
      </c>
    </row>
    <row r="22">
      <c r="A22" s="282" t="s">
        <v>16</v>
      </c>
      <c r="B22" s="283">
        <v>4320.0</v>
      </c>
      <c r="C22" s="284"/>
      <c r="D22" s="285">
        <v>0.0</v>
      </c>
      <c r="E22" s="282" t="s">
        <v>567</v>
      </c>
      <c r="F22" s="282" t="s">
        <v>568</v>
      </c>
      <c r="G22" s="286" t="s">
        <v>569</v>
      </c>
      <c r="H22" s="287"/>
      <c r="I22" s="288">
        <v>37962.0</v>
      </c>
      <c r="J22" s="288">
        <v>45677.0</v>
      </c>
      <c r="K22" s="289"/>
      <c r="L22" s="283">
        <v>28.0</v>
      </c>
      <c r="M22" s="288">
        <v>45689.0</v>
      </c>
      <c r="N22" s="288">
        <v>45716.0</v>
      </c>
      <c r="O22" s="290">
        <f t="shared" si="1"/>
        <v>370</v>
      </c>
      <c r="P22" s="290">
        <f t="shared" si="2"/>
        <v>1850</v>
      </c>
      <c r="Q22" s="290">
        <f t="shared" si="3"/>
        <v>2220</v>
      </c>
    </row>
    <row r="23">
      <c r="A23" s="282" t="s">
        <v>16</v>
      </c>
      <c r="B23" s="283">
        <v>4320.0</v>
      </c>
      <c r="C23" s="284"/>
      <c r="D23" s="285">
        <v>0.0</v>
      </c>
      <c r="E23" s="282" t="s">
        <v>51</v>
      </c>
      <c r="F23" s="282" t="s">
        <v>52</v>
      </c>
      <c r="G23" s="286" t="s">
        <v>53</v>
      </c>
      <c r="H23" s="287"/>
      <c r="I23" s="288">
        <v>34601.0</v>
      </c>
      <c r="J23" s="288">
        <v>44986.0</v>
      </c>
      <c r="K23" s="289"/>
      <c r="L23" s="283">
        <v>28.0</v>
      </c>
      <c r="M23" s="288">
        <v>45689.0</v>
      </c>
      <c r="N23" s="288">
        <v>45716.0</v>
      </c>
      <c r="O23" s="290">
        <f t="shared" si="1"/>
        <v>370</v>
      </c>
      <c r="P23" s="290">
        <f t="shared" si="2"/>
        <v>1850</v>
      </c>
      <c r="Q23" s="290">
        <f t="shared" si="3"/>
        <v>2220</v>
      </c>
    </row>
    <row r="24">
      <c r="A24" s="282" t="s">
        <v>16</v>
      </c>
      <c r="B24" s="283">
        <v>4320.0</v>
      </c>
      <c r="C24" s="284"/>
      <c r="D24" s="285">
        <v>0.0</v>
      </c>
      <c r="E24" s="298" t="s">
        <v>445</v>
      </c>
      <c r="F24" s="282" t="s">
        <v>510</v>
      </c>
      <c r="G24" s="286" t="s">
        <v>447</v>
      </c>
      <c r="H24" s="287"/>
      <c r="I24" s="288">
        <v>37047.0</v>
      </c>
      <c r="J24" s="288">
        <v>45505.0</v>
      </c>
      <c r="K24" s="289"/>
      <c r="L24" s="283">
        <v>28.0</v>
      </c>
      <c r="M24" s="288">
        <v>45689.0</v>
      </c>
      <c r="N24" s="288">
        <v>45716.0</v>
      </c>
      <c r="O24" s="290">
        <f t="shared" si="1"/>
        <v>370</v>
      </c>
      <c r="P24" s="290">
        <f t="shared" si="2"/>
        <v>1850</v>
      </c>
      <c r="Q24" s="290">
        <f t="shared" si="3"/>
        <v>2220</v>
      </c>
    </row>
    <row r="25">
      <c r="A25" s="282" t="s">
        <v>16</v>
      </c>
      <c r="B25" s="283">
        <v>4320.0</v>
      </c>
      <c r="C25" s="284"/>
      <c r="D25" s="285">
        <v>0.0</v>
      </c>
      <c r="E25" s="282" t="s">
        <v>467</v>
      </c>
      <c r="F25" s="282" t="s">
        <v>511</v>
      </c>
      <c r="G25" s="286" t="s">
        <v>450</v>
      </c>
      <c r="H25" s="287"/>
      <c r="I25" s="288">
        <v>36682.0</v>
      </c>
      <c r="J25" s="288">
        <v>45505.0</v>
      </c>
      <c r="K25" s="289"/>
      <c r="L25" s="283">
        <v>28.0</v>
      </c>
      <c r="M25" s="288">
        <v>45689.0</v>
      </c>
      <c r="N25" s="288">
        <v>45716.0</v>
      </c>
      <c r="O25" s="290">
        <f t="shared" si="1"/>
        <v>370</v>
      </c>
      <c r="P25" s="290">
        <f t="shared" si="2"/>
        <v>1850</v>
      </c>
      <c r="Q25" s="290">
        <f t="shared" si="3"/>
        <v>2220</v>
      </c>
    </row>
    <row r="26">
      <c r="A26" s="282" t="s">
        <v>16</v>
      </c>
      <c r="B26" s="283">
        <v>4320.0</v>
      </c>
      <c r="C26" s="284"/>
      <c r="D26" s="285">
        <v>0.0</v>
      </c>
      <c r="E26" s="282" t="s">
        <v>503</v>
      </c>
      <c r="F26" s="282" t="s">
        <v>542</v>
      </c>
      <c r="G26" s="286" t="s">
        <v>504</v>
      </c>
      <c r="H26" s="287"/>
      <c r="I26" s="288">
        <v>37422.0</v>
      </c>
      <c r="J26" s="294">
        <v>45635.0</v>
      </c>
      <c r="K26" s="289"/>
      <c r="L26" s="283">
        <v>28.0</v>
      </c>
      <c r="M26" s="288">
        <v>45689.0</v>
      </c>
      <c r="N26" s="288">
        <v>45716.0</v>
      </c>
      <c r="O26" s="290">
        <f t="shared" si="1"/>
        <v>370</v>
      </c>
      <c r="P26" s="290">
        <f t="shared" si="2"/>
        <v>1850</v>
      </c>
      <c r="Q26" s="290">
        <f t="shared" si="3"/>
        <v>2220</v>
      </c>
    </row>
    <row r="27">
      <c r="A27" s="282" t="s">
        <v>16</v>
      </c>
      <c r="B27" s="283">
        <v>4320.0</v>
      </c>
      <c r="C27" s="284"/>
      <c r="D27" s="285">
        <v>0.0</v>
      </c>
      <c r="E27" s="282" t="s">
        <v>497</v>
      </c>
      <c r="F27" s="282" t="s">
        <v>539</v>
      </c>
      <c r="G27" s="286" t="s">
        <v>498</v>
      </c>
      <c r="H27" s="287"/>
      <c r="I27" s="294">
        <v>37026.0</v>
      </c>
      <c r="J27" s="288">
        <v>45628.0</v>
      </c>
      <c r="K27" s="289"/>
      <c r="L27" s="283">
        <v>28.0</v>
      </c>
      <c r="M27" s="288">
        <v>45689.0</v>
      </c>
      <c r="N27" s="288">
        <v>45716.0</v>
      </c>
      <c r="O27" s="290">
        <f t="shared" si="1"/>
        <v>370</v>
      </c>
      <c r="P27" s="290">
        <f t="shared" si="2"/>
        <v>1850</v>
      </c>
      <c r="Q27" s="290">
        <f t="shared" si="3"/>
        <v>2220</v>
      </c>
    </row>
    <row r="28">
      <c r="A28" s="282" t="s">
        <v>16</v>
      </c>
      <c r="B28" s="283">
        <v>4320.0</v>
      </c>
      <c r="C28" s="284"/>
      <c r="D28" s="285">
        <v>0.0</v>
      </c>
      <c r="E28" s="282" t="s">
        <v>291</v>
      </c>
      <c r="F28" s="282" t="s">
        <v>292</v>
      </c>
      <c r="G28" s="286" t="s">
        <v>293</v>
      </c>
      <c r="H28" s="287"/>
      <c r="I28" s="288">
        <v>37219.0</v>
      </c>
      <c r="J28" s="288">
        <v>45257.0</v>
      </c>
      <c r="K28" s="289"/>
      <c r="L28" s="283">
        <v>28.0</v>
      </c>
      <c r="M28" s="288">
        <v>45689.0</v>
      </c>
      <c r="N28" s="288">
        <v>45716.0</v>
      </c>
      <c r="O28" s="290">
        <f t="shared" si="1"/>
        <v>370</v>
      </c>
      <c r="P28" s="290">
        <f t="shared" si="2"/>
        <v>1850</v>
      </c>
      <c r="Q28" s="290">
        <f t="shared" si="3"/>
        <v>2220</v>
      </c>
    </row>
    <row r="29">
      <c r="A29" s="282" t="s">
        <v>16</v>
      </c>
      <c r="B29" s="283">
        <v>4320.0</v>
      </c>
      <c r="C29" s="284"/>
      <c r="D29" s="285">
        <v>0.0</v>
      </c>
      <c r="E29" s="282" t="s">
        <v>594</v>
      </c>
      <c r="F29" s="282" t="s">
        <v>595</v>
      </c>
      <c r="G29" s="286" t="s">
        <v>596</v>
      </c>
      <c r="H29" s="287"/>
      <c r="I29" s="288">
        <v>37809.0</v>
      </c>
      <c r="J29" s="288">
        <v>45684.0</v>
      </c>
      <c r="K29" s="289"/>
      <c r="L29" s="283">
        <v>28.0</v>
      </c>
      <c r="M29" s="288">
        <v>45689.0</v>
      </c>
      <c r="N29" s="288">
        <v>45716.0</v>
      </c>
      <c r="O29" s="290">
        <f t="shared" si="1"/>
        <v>370</v>
      </c>
      <c r="P29" s="290">
        <f t="shared" si="2"/>
        <v>1850</v>
      </c>
      <c r="Q29" s="290">
        <f t="shared" si="3"/>
        <v>2220</v>
      </c>
    </row>
    <row r="30">
      <c r="A30" s="282" t="s">
        <v>16</v>
      </c>
      <c r="B30" s="283">
        <v>4320.0</v>
      </c>
      <c r="C30" s="284"/>
      <c r="D30" s="285">
        <v>0.0</v>
      </c>
      <c r="E30" s="282" t="s">
        <v>60</v>
      </c>
      <c r="F30" s="282" t="s">
        <v>61</v>
      </c>
      <c r="G30" s="286" t="s">
        <v>62</v>
      </c>
      <c r="H30" s="287"/>
      <c r="I30" s="288">
        <v>36246.0</v>
      </c>
      <c r="J30" s="288">
        <v>44851.0</v>
      </c>
      <c r="K30" s="289"/>
      <c r="L30" s="283">
        <v>28.0</v>
      </c>
      <c r="M30" s="288">
        <v>45689.0</v>
      </c>
      <c r="N30" s="288">
        <v>45716.0</v>
      </c>
      <c r="O30" s="290">
        <f t="shared" si="1"/>
        <v>370</v>
      </c>
      <c r="P30" s="290">
        <f t="shared" si="2"/>
        <v>1850</v>
      </c>
      <c r="Q30" s="290">
        <f t="shared" si="3"/>
        <v>2220</v>
      </c>
    </row>
    <row r="31">
      <c r="A31" s="282" t="s">
        <v>16</v>
      </c>
      <c r="B31" s="283">
        <v>4320.0</v>
      </c>
      <c r="C31" s="284"/>
      <c r="D31" s="285">
        <v>0.0</v>
      </c>
      <c r="E31" s="282" t="s">
        <v>63</v>
      </c>
      <c r="F31" s="282" t="s">
        <v>64</v>
      </c>
      <c r="G31" s="286" t="s">
        <v>65</v>
      </c>
      <c r="H31" s="287"/>
      <c r="I31" s="288">
        <v>35606.0</v>
      </c>
      <c r="J31" s="288">
        <v>44896.0</v>
      </c>
      <c r="K31" s="289"/>
      <c r="L31" s="283">
        <v>28.0</v>
      </c>
      <c r="M31" s="288">
        <v>45689.0</v>
      </c>
      <c r="N31" s="288">
        <v>45716.0</v>
      </c>
      <c r="O31" s="290">
        <f t="shared" si="1"/>
        <v>370</v>
      </c>
      <c r="P31" s="290">
        <f t="shared" si="2"/>
        <v>1850</v>
      </c>
      <c r="Q31" s="290">
        <f t="shared" si="3"/>
        <v>2220</v>
      </c>
    </row>
    <row r="32">
      <c r="A32" s="282" t="s">
        <v>16</v>
      </c>
      <c r="B32" s="283">
        <v>4320.0</v>
      </c>
      <c r="C32" s="284"/>
      <c r="D32" s="285">
        <v>0.0</v>
      </c>
      <c r="E32" s="282" t="s">
        <v>63</v>
      </c>
      <c r="F32" s="282" t="s">
        <v>543</v>
      </c>
      <c r="G32" s="286" t="s">
        <v>505</v>
      </c>
      <c r="H32" s="287"/>
      <c r="I32" s="288">
        <v>36725.0</v>
      </c>
      <c r="J32" s="288">
        <v>45635.0</v>
      </c>
      <c r="K32" s="289"/>
      <c r="L32" s="283">
        <v>28.0</v>
      </c>
      <c r="M32" s="288">
        <v>45689.0</v>
      </c>
      <c r="N32" s="288">
        <v>45716.0</v>
      </c>
      <c r="O32" s="290">
        <f t="shared" si="1"/>
        <v>370</v>
      </c>
      <c r="P32" s="290">
        <f t="shared" si="2"/>
        <v>1850</v>
      </c>
      <c r="Q32" s="290">
        <f t="shared" si="3"/>
        <v>2220</v>
      </c>
    </row>
    <row r="33">
      <c r="A33" s="282" t="s">
        <v>16</v>
      </c>
      <c r="B33" s="283">
        <v>4320.0</v>
      </c>
      <c r="C33" s="284"/>
      <c r="D33" s="285">
        <v>0.0</v>
      </c>
      <c r="E33" s="298" t="s">
        <v>591</v>
      </c>
      <c r="F33" s="282" t="s">
        <v>592</v>
      </c>
      <c r="G33" s="286" t="s">
        <v>593</v>
      </c>
      <c r="H33" s="287"/>
      <c r="I33" s="288">
        <v>37041.0</v>
      </c>
      <c r="J33" s="288">
        <v>45684.0</v>
      </c>
      <c r="K33" s="289"/>
      <c r="L33" s="283">
        <v>28.0</v>
      </c>
      <c r="M33" s="288">
        <v>45689.0</v>
      </c>
      <c r="N33" s="288">
        <v>45716.0</v>
      </c>
      <c r="O33" s="290">
        <f t="shared" si="1"/>
        <v>370</v>
      </c>
      <c r="P33" s="290">
        <f t="shared" si="2"/>
        <v>1850</v>
      </c>
      <c r="Q33" s="290">
        <f t="shared" si="3"/>
        <v>2220</v>
      </c>
    </row>
    <row r="34">
      <c r="A34" s="282" t="s">
        <v>16</v>
      </c>
      <c r="B34" s="283">
        <v>4320.0</v>
      </c>
      <c r="C34" s="284"/>
      <c r="D34" s="285">
        <v>0.0</v>
      </c>
      <c r="E34" s="282" t="s">
        <v>597</v>
      </c>
      <c r="F34" s="282" t="s">
        <v>598</v>
      </c>
      <c r="G34" s="286" t="s">
        <v>599</v>
      </c>
      <c r="H34" s="287"/>
      <c r="I34" s="288">
        <v>37265.0</v>
      </c>
      <c r="J34" s="288">
        <v>45684.0</v>
      </c>
      <c r="K34" s="289"/>
      <c r="L34" s="283">
        <v>28.0</v>
      </c>
      <c r="M34" s="288">
        <v>45689.0</v>
      </c>
      <c r="N34" s="288">
        <v>45716.0</v>
      </c>
      <c r="O34" s="290">
        <f t="shared" si="1"/>
        <v>370</v>
      </c>
      <c r="P34" s="290">
        <f t="shared" si="2"/>
        <v>1850</v>
      </c>
      <c r="Q34" s="290">
        <f t="shared" si="3"/>
        <v>2220</v>
      </c>
    </row>
    <row r="35">
      <c r="A35" s="282" t="s">
        <v>16</v>
      </c>
      <c r="B35" s="283">
        <v>4320.0</v>
      </c>
      <c r="C35" s="284"/>
      <c r="D35" s="285">
        <v>0.0</v>
      </c>
      <c r="E35" s="282" t="s">
        <v>267</v>
      </c>
      <c r="F35" s="282" t="s">
        <v>268</v>
      </c>
      <c r="G35" s="286" t="s">
        <v>269</v>
      </c>
      <c r="H35" s="287"/>
      <c r="I35" s="288">
        <v>34590.0</v>
      </c>
      <c r="J35" s="288">
        <v>45313.0</v>
      </c>
      <c r="K35" s="289"/>
      <c r="L35" s="283">
        <v>28.0</v>
      </c>
      <c r="M35" s="288">
        <v>45689.0</v>
      </c>
      <c r="N35" s="288">
        <v>45716.0</v>
      </c>
      <c r="O35" s="290">
        <f t="shared" si="1"/>
        <v>370</v>
      </c>
      <c r="P35" s="290">
        <f t="shared" si="2"/>
        <v>1850</v>
      </c>
      <c r="Q35" s="290">
        <f t="shared" si="3"/>
        <v>2220</v>
      </c>
    </row>
    <row r="36">
      <c r="A36" s="282" t="s">
        <v>16</v>
      </c>
      <c r="B36" s="283">
        <v>4320.0</v>
      </c>
      <c r="C36" s="284"/>
      <c r="D36" s="285">
        <v>0.0</v>
      </c>
      <c r="E36" s="282" t="s">
        <v>69</v>
      </c>
      <c r="F36" s="282" t="s">
        <v>70</v>
      </c>
      <c r="G36" s="286" t="s">
        <v>71</v>
      </c>
      <c r="H36" s="287"/>
      <c r="I36" s="288">
        <v>36891.0</v>
      </c>
      <c r="J36" s="288">
        <v>44739.0</v>
      </c>
      <c r="K36" s="289"/>
      <c r="L36" s="283">
        <v>28.0</v>
      </c>
      <c r="M36" s="288">
        <v>45689.0</v>
      </c>
      <c r="N36" s="288">
        <v>45716.0</v>
      </c>
      <c r="O36" s="290">
        <f t="shared" si="1"/>
        <v>370</v>
      </c>
      <c r="P36" s="290">
        <f t="shared" si="2"/>
        <v>1850</v>
      </c>
      <c r="Q36" s="290">
        <f t="shared" si="3"/>
        <v>2220</v>
      </c>
    </row>
    <row r="37">
      <c r="A37" s="282" t="s">
        <v>16</v>
      </c>
      <c r="B37" s="283">
        <v>4320.0</v>
      </c>
      <c r="C37" s="284"/>
      <c r="D37" s="285">
        <v>0.0</v>
      </c>
      <c r="E37" s="282" t="s">
        <v>468</v>
      </c>
      <c r="F37" s="282" t="s">
        <v>527</v>
      </c>
      <c r="G37" s="286" t="s">
        <v>469</v>
      </c>
      <c r="H37" s="287"/>
      <c r="I37" s="288">
        <v>35986.0</v>
      </c>
      <c r="J37" s="288">
        <v>45537.0</v>
      </c>
      <c r="K37" s="289"/>
      <c r="L37" s="283">
        <v>28.0</v>
      </c>
      <c r="M37" s="288">
        <v>45689.0</v>
      </c>
      <c r="N37" s="288">
        <v>45716.0</v>
      </c>
      <c r="O37" s="290">
        <f t="shared" si="1"/>
        <v>370</v>
      </c>
      <c r="P37" s="290">
        <f t="shared" si="2"/>
        <v>1850</v>
      </c>
      <c r="Q37" s="290">
        <f t="shared" si="3"/>
        <v>2220</v>
      </c>
    </row>
    <row r="38">
      <c r="A38" s="282" t="s">
        <v>16</v>
      </c>
      <c r="B38" s="283">
        <v>4320.0</v>
      </c>
      <c r="C38" s="284"/>
      <c r="D38" s="285">
        <v>0.0</v>
      </c>
      <c r="E38" s="282" t="s">
        <v>78</v>
      </c>
      <c r="F38" s="282" t="s">
        <v>79</v>
      </c>
      <c r="G38" s="286" t="s">
        <v>80</v>
      </c>
      <c r="H38" s="287"/>
      <c r="I38" s="288">
        <v>36401.0</v>
      </c>
      <c r="J38" s="288">
        <v>45096.0</v>
      </c>
      <c r="K38" s="289"/>
      <c r="L38" s="283">
        <v>28.0</v>
      </c>
      <c r="M38" s="288">
        <v>45689.0</v>
      </c>
      <c r="N38" s="288">
        <v>45716.0</v>
      </c>
      <c r="O38" s="290">
        <f t="shared" si="1"/>
        <v>370</v>
      </c>
      <c r="P38" s="290">
        <f t="shared" si="2"/>
        <v>1850</v>
      </c>
      <c r="Q38" s="290">
        <f t="shared" si="3"/>
        <v>2220</v>
      </c>
    </row>
    <row r="39">
      <c r="A39" s="282" t="s">
        <v>16</v>
      </c>
      <c r="B39" s="283">
        <v>4320.0</v>
      </c>
      <c r="C39" s="284"/>
      <c r="D39" s="285">
        <v>0.0</v>
      </c>
      <c r="E39" s="282" t="s">
        <v>555</v>
      </c>
      <c r="F39" s="282" t="s">
        <v>556</v>
      </c>
      <c r="G39" s="286" t="s">
        <v>557</v>
      </c>
      <c r="H39" s="287"/>
      <c r="I39" s="294">
        <v>36135.0</v>
      </c>
      <c r="J39" s="288">
        <v>45663.0</v>
      </c>
      <c r="K39" s="289"/>
      <c r="L39" s="283">
        <v>28.0</v>
      </c>
      <c r="M39" s="288">
        <v>45689.0</v>
      </c>
      <c r="N39" s="288">
        <v>45716.0</v>
      </c>
      <c r="O39" s="290">
        <f t="shared" si="1"/>
        <v>370</v>
      </c>
      <c r="P39" s="290">
        <f t="shared" si="2"/>
        <v>1850</v>
      </c>
      <c r="Q39" s="290">
        <f t="shared" si="3"/>
        <v>2220</v>
      </c>
    </row>
    <row r="40">
      <c r="A40" s="299" t="s">
        <v>16</v>
      </c>
      <c r="B40" s="300">
        <v>4320.0</v>
      </c>
      <c r="C40" s="284"/>
      <c r="D40" s="301">
        <v>0.0</v>
      </c>
      <c r="E40" s="282" t="s">
        <v>483</v>
      </c>
      <c r="F40" s="282" t="s">
        <v>537</v>
      </c>
      <c r="G40" s="286" t="s">
        <v>484</v>
      </c>
      <c r="H40" s="287"/>
      <c r="I40" s="288">
        <v>36286.0</v>
      </c>
      <c r="J40" s="288">
        <v>45602.0</v>
      </c>
      <c r="K40" s="289"/>
      <c r="L40" s="283">
        <v>28.0</v>
      </c>
      <c r="M40" s="288">
        <v>45689.0</v>
      </c>
      <c r="N40" s="288">
        <v>45716.0</v>
      </c>
      <c r="O40" s="290">
        <f t="shared" si="1"/>
        <v>370</v>
      </c>
      <c r="P40" s="290">
        <f t="shared" si="2"/>
        <v>1850</v>
      </c>
      <c r="Q40" s="290">
        <f t="shared" si="3"/>
        <v>2220</v>
      </c>
    </row>
    <row r="41">
      <c r="A41" s="299" t="s">
        <v>16</v>
      </c>
      <c r="B41" s="300">
        <v>4320.0</v>
      </c>
      <c r="C41" s="284"/>
      <c r="D41" s="301">
        <v>0.0</v>
      </c>
      <c r="E41" s="282" t="s">
        <v>485</v>
      </c>
      <c r="F41" s="282" t="s">
        <v>535</v>
      </c>
      <c r="G41" s="286" t="s">
        <v>486</v>
      </c>
      <c r="H41" s="287"/>
      <c r="I41" s="288">
        <v>36994.0</v>
      </c>
      <c r="J41" s="288">
        <v>45602.0</v>
      </c>
      <c r="K41" s="289"/>
      <c r="L41" s="283">
        <v>28.0</v>
      </c>
      <c r="M41" s="288">
        <v>45689.0</v>
      </c>
      <c r="N41" s="288">
        <v>45716.0</v>
      </c>
      <c r="O41" s="290">
        <f t="shared" si="1"/>
        <v>370</v>
      </c>
      <c r="P41" s="290">
        <f t="shared" si="2"/>
        <v>1850</v>
      </c>
      <c r="Q41" s="290">
        <f t="shared" si="3"/>
        <v>2220</v>
      </c>
    </row>
    <row r="42">
      <c r="A42" s="299" t="s">
        <v>16</v>
      </c>
      <c r="B42" s="300">
        <v>4320.0</v>
      </c>
      <c r="C42" s="284"/>
      <c r="D42" s="301">
        <v>0.0</v>
      </c>
      <c r="E42" s="298" t="s">
        <v>331</v>
      </c>
      <c r="F42" s="282" t="s">
        <v>332</v>
      </c>
      <c r="G42" s="286" t="s">
        <v>333</v>
      </c>
      <c r="H42" s="287"/>
      <c r="I42" s="288">
        <v>37958.0</v>
      </c>
      <c r="J42" s="288">
        <v>45369.0</v>
      </c>
      <c r="K42" s="289"/>
      <c r="L42" s="283">
        <v>28.0</v>
      </c>
      <c r="M42" s="288">
        <v>45689.0</v>
      </c>
      <c r="N42" s="288">
        <v>45716.0</v>
      </c>
      <c r="O42" s="290">
        <f t="shared" si="1"/>
        <v>370</v>
      </c>
      <c r="P42" s="290">
        <f t="shared" si="2"/>
        <v>1850</v>
      </c>
      <c r="Q42" s="290">
        <f t="shared" si="3"/>
        <v>2220</v>
      </c>
    </row>
    <row r="43">
      <c r="A43" s="282" t="s">
        <v>16</v>
      </c>
      <c r="B43" s="283">
        <v>4320.0</v>
      </c>
      <c r="C43" s="284"/>
      <c r="D43" s="301">
        <v>0.0</v>
      </c>
      <c r="E43" s="282" t="s">
        <v>392</v>
      </c>
      <c r="F43" s="282" t="s">
        <v>393</v>
      </c>
      <c r="G43" s="286" t="s">
        <v>394</v>
      </c>
      <c r="H43" s="287"/>
      <c r="I43" s="288">
        <v>34922.0</v>
      </c>
      <c r="J43" s="294">
        <v>45418.0</v>
      </c>
      <c r="K43" s="289"/>
      <c r="L43" s="283">
        <v>28.0</v>
      </c>
      <c r="M43" s="288">
        <v>45689.0</v>
      </c>
      <c r="N43" s="288">
        <v>45716.0</v>
      </c>
      <c r="O43" s="290">
        <f t="shared" si="1"/>
        <v>370</v>
      </c>
      <c r="P43" s="290">
        <f t="shared" si="2"/>
        <v>1850</v>
      </c>
      <c r="Q43" s="290">
        <f t="shared" si="3"/>
        <v>2220</v>
      </c>
    </row>
    <row r="44">
      <c r="A44" s="282" t="s">
        <v>16</v>
      </c>
      <c r="B44" s="283">
        <v>4320.0</v>
      </c>
      <c r="C44" s="289"/>
      <c r="D44" s="285">
        <v>0.0</v>
      </c>
      <c r="E44" s="291" t="s">
        <v>696</v>
      </c>
      <c r="F44" s="292" t="s">
        <v>697</v>
      </c>
      <c r="G44" s="289" t="s">
        <v>698</v>
      </c>
      <c r="H44" s="289"/>
      <c r="I44" s="293">
        <v>36474.0</v>
      </c>
      <c r="J44" s="288">
        <v>45698.0</v>
      </c>
      <c r="K44" s="289"/>
      <c r="L44" s="302">
        <v>19.0</v>
      </c>
      <c r="M44" s="288">
        <v>45689.0</v>
      </c>
      <c r="N44" s="288">
        <v>45716.0</v>
      </c>
      <c r="O44" s="290">
        <f t="shared" si="1"/>
        <v>252</v>
      </c>
      <c r="P44" s="290">
        <f t="shared" si="2"/>
        <v>1260</v>
      </c>
      <c r="Q44" s="290">
        <f t="shared" si="3"/>
        <v>1512</v>
      </c>
    </row>
    <row r="45">
      <c r="A45" s="282" t="s">
        <v>16</v>
      </c>
      <c r="B45" s="283">
        <v>4320.0</v>
      </c>
      <c r="C45" s="289"/>
      <c r="D45" s="285">
        <v>0.0</v>
      </c>
      <c r="E45" s="303" t="s">
        <v>699</v>
      </c>
      <c r="F45" s="304" t="s">
        <v>700</v>
      </c>
      <c r="G45" s="289" t="s">
        <v>701</v>
      </c>
      <c r="H45" s="289"/>
      <c r="I45" s="293">
        <v>36474.0</v>
      </c>
      <c r="J45" s="288">
        <v>45698.0</v>
      </c>
      <c r="K45" s="289"/>
      <c r="L45" s="302">
        <v>19.0</v>
      </c>
      <c r="M45" s="288">
        <v>45689.0</v>
      </c>
      <c r="N45" s="288">
        <v>45716.0</v>
      </c>
      <c r="O45" s="290">
        <f t="shared" si="1"/>
        <v>252</v>
      </c>
      <c r="P45" s="290">
        <f t="shared" si="2"/>
        <v>1260</v>
      </c>
      <c r="Q45" s="290">
        <f t="shared" si="3"/>
        <v>1512</v>
      </c>
    </row>
    <row r="46">
      <c r="A46" s="282" t="s">
        <v>16</v>
      </c>
      <c r="B46" s="283">
        <v>4320.0</v>
      </c>
      <c r="C46" s="284"/>
      <c r="D46" s="301">
        <v>0.0</v>
      </c>
      <c r="E46" s="282" t="s">
        <v>576</v>
      </c>
      <c r="F46" s="282" t="s">
        <v>577</v>
      </c>
      <c r="G46" s="286" t="s">
        <v>578</v>
      </c>
      <c r="H46" s="287"/>
      <c r="I46" s="288">
        <v>37944.0</v>
      </c>
      <c r="J46" s="288">
        <v>45677.0</v>
      </c>
      <c r="K46" s="289"/>
      <c r="L46" s="283">
        <v>28.0</v>
      </c>
      <c r="M46" s="288">
        <v>45689.0</v>
      </c>
      <c r="N46" s="288">
        <v>45716.0</v>
      </c>
      <c r="O46" s="290">
        <f t="shared" si="1"/>
        <v>370</v>
      </c>
      <c r="P46" s="290">
        <f t="shared" si="2"/>
        <v>1850</v>
      </c>
      <c r="Q46" s="290">
        <f t="shared" si="3"/>
        <v>2220</v>
      </c>
    </row>
    <row r="47">
      <c r="A47" s="282" t="s">
        <v>16</v>
      </c>
      <c r="B47" s="283">
        <v>4320.0</v>
      </c>
      <c r="C47" s="284"/>
      <c r="D47" s="301">
        <v>0.0</v>
      </c>
      <c r="E47" s="282" t="s">
        <v>546</v>
      </c>
      <c r="F47" s="282" t="s">
        <v>547</v>
      </c>
      <c r="G47" s="286" t="s">
        <v>548</v>
      </c>
      <c r="H47" s="287"/>
      <c r="I47" s="288">
        <v>38255.0</v>
      </c>
      <c r="J47" s="288">
        <v>45658.0</v>
      </c>
      <c r="K47" s="289"/>
      <c r="L47" s="283">
        <v>28.0</v>
      </c>
      <c r="M47" s="288">
        <v>45689.0</v>
      </c>
      <c r="N47" s="288">
        <v>45716.0</v>
      </c>
      <c r="O47" s="290">
        <f t="shared" si="1"/>
        <v>370</v>
      </c>
      <c r="P47" s="290">
        <f t="shared" si="2"/>
        <v>1850</v>
      </c>
      <c r="Q47" s="290">
        <f t="shared" si="3"/>
        <v>2220</v>
      </c>
    </row>
    <row r="48">
      <c r="A48" s="299" t="s">
        <v>16</v>
      </c>
      <c r="B48" s="300">
        <v>4320.0</v>
      </c>
      <c r="C48" s="284"/>
      <c r="D48" s="305">
        <v>0.0</v>
      </c>
      <c r="E48" s="282" t="s">
        <v>501</v>
      </c>
      <c r="F48" s="282" t="s">
        <v>541</v>
      </c>
      <c r="G48" s="286" t="s">
        <v>502</v>
      </c>
      <c r="H48" s="287"/>
      <c r="I48" s="288">
        <v>36062.0</v>
      </c>
      <c r="J48" s="288">
        <v>45628.0</v>
      </c>
      <c r="K48" s="289"/>
      <c r="L48" s="283">
        <v>28.0</v>
      </c>
      <c r="M48" s="288">
        <v>45689.0</v>
      </c>
      <c r="N48" s="288">
        <v>45716.0</v>
      </c>
      <c r="O48" s="290">
        <f t="shared" si="1"/>
        <v>370</v>
      </c>
      <c r="P48" s="290">
        <f t="shared" si="2"/>
        <v>1850</v>
      </c>
      <c r="Q48" s="290">
        <f t="shared" si="3"/>
        <v>2220</v>
      </c>
    </row>
    <row r="49">
      <c r="A49" s="282" t="s">
        <v>16</v>
      </c>
      <c r="B49" s="283">
        <v>4320.0</v>
      </c>
      <c r="C49" s="284"/>
      <c r="D49" s="305">
        <v>0.0</v>
      </c>
      <c r="E49" s="282" t="s">
        <v>451</v>
      </c>
      <c r="F49" s="282" t="s">
        <v>512</v>
      </c>
      <c r="G49" s="286" t="s">
        <v>415</v>
      </c>
      <c r="H49" s="287"/>
      <c r="I49" s="288">
        <v>36443.0</v>
      </c>
      <c r="J49" s="288">
        <v>45446.0</v>
      </c>
      <c r="K49" s="289"/>
      <c r="L49" s="283">
        <v>28.0</v>
      </c>
      <c r="M49" s="288">
        <v>45689.0</v>
      </c>
      <c r="N49" s="288">
        <v>45716.0</v>
      </c>
      <c r="O49" s="290">
        <f t="shared" si="1"/>
        <v>370</v>
      </c>
      <c r="P49" s="290">
        <f t="shared" si="2"/>
        <v>1850</v>
      </c>
      <c r="Q49" s="290">
        <f t="shared" si="3"/>
        <v>2220</v>
      </c>
    </row>
    <row r="50">
      <c r="A50" s="282" t="s">
        <v>16</v>
      </c>
      <c r="B50" s="283">
        <v>4320.0</v>
      </c>
      <c r="C50" s="284"/>
      <c r="D50" s="305">
        <v>0.0</v>
      </c>
      <c r="E50" s="282" t="s">
        <v>87</v>
      </c>
      <c r="F50" s="282" t="s">
        <v>88</v>
      </c>
      <c r="G50" s="286" t="s">
        <v>89</v>
      </c>
      <c r="H50" s="287"/>
      <c r="I50" s="288">
        <v>33737.0</v>
      </c>
      <c r="J50" s="288">
        <v>45139.0</v>
      </c>
      <c r="K50" s="289"/>
      <c r="L50" s="283">
        <v>28.0</v>
      </c>
      <c r="M50" s="288">
        <v>45689.0</v>
      </c>
      <c r="N50" s="288">
        <v>45716.0</v>
      </c>
      <c r="O50" s="290">
        <f t="shared" si="1"/>
        <v>370</v>
      </c>
      <c r="P50" s="290">
        <f t="shared" si="2"/>
        <v>1850</v>
      </c>
      <c r="Q50" s="290">
        <f t="shared" si="3"/>
        <v>2220</v>
      </c>
    </row>
    <row r="51">
      <c r="A51" s="282" t="s">
        <v>16</v>
      </c>
      <c r="B51" s="283">
        <v>4320.0</v>
      </c>
      <c r="C51" s="284"/>
      <c r="D51" s="305">
        <v>0.0</v>
      </c>
      <c r="E51" s="282" t="s">
        <v>573</v>
      </c>
      <c r="F51" s="282" t="s">
        <v>574</v>
      </c>
      <c r="G51" s="286" t="s">
        <v>575</v>
      </c>
      <c r="H51" s="287"/>
      <c r="I51" s="288">
        <v>36061.0</v>
      </c>
      <c r="J51" s="288">
        <v>45677.0</v>
      </c>
      <c r="K51" s="289"/>
      <c r="L51" s="283">
        <v>28.0</v>
      </c>
      <c r="M51" s="288">
        <v>45689.0</v>
      </c>
      <c r="N51" s="288">
        <v>45716.0</v>
      </c>
      <c r="O51" s="290">
        <f t="shared" si="1"/>
        <v>370</v>
      </c>
      <c r="P51" s="290">
        <f t="shared" si="2"/>
        <v>1850</v>
      </c>
      <c r="Q51" s="290">
        <f t="shared" si="3"/>
        <v>2220</v>
      </c>
    </row>
    <row r="52">
      <c r="A52" s="282" t="s">
        <v>16</v>
      </c>
      <c r="B52" s="283">
        <v>4320.0</v>
      </c>
      <c r="C52" s="284"/>
      <c r="D52" s="301">
        <v>0.0</v>
      </c>
      <c r="E52" s="282" t="s">
        <v>579</v>
      </c>
      <c r="F52" s="282" t="s">
        <v>580</v>
      </c>
      <c r="G52" s="286" t="s">
        <v>581</v>
      </c>
      <c r="H52" s="287"/>
      <c r="I52" s="288">
        <v>37609.0</v>
      </c>
      <c r="J52" s="288">
        <v>45677.0</v>
      </c>
      <c r="K52" s="289"/>
      <c r="L52" s="283">
        <v>28.0</v>
      </c>
      <c r="M52" s="288">
        <v>45689.0</v>
      </c>
      <c r="N52" s="288">
        <v>45716.0</v>
      </c>
      <c r="O52" s="290">
        <f t="shared" si="1"/>
        <v>370</v>
      </c>
      <c r="P52" s="290">
        <f t="shared" si="2"/>
        <v>1850</v>
      </c>
      <c r="Q52" s="290">
        <f t="shared" si="3"/>
        <v>2220</v>
      </c>
    </row>
    <row r="53">
      <c r="A53" s="282" t="s">
        <v>16</v>
      </c>
      <c r="B53" s="283">
        <v>4320.0</v>
      </c>
      <c r="C53" s="284"/>
      <c r="D53" s="301">
        <v>0.0</v>
      </c>
      <c r="E53" s="282" t="s">
        <v>476</v>
      </c>
      <c r="F53" s="282" t="s">
        <v>529</v>
      </c>
      <c r="G53" s="286" t="s">
        <v>477</v>
      </c>
      <c r="H53" s="287"/>
      <c r="I53" s="288">
        <v>37220.0</v>
      </c>
      <c r="J53" s="288">
        <v>45572.0</v>
      </c>
      <c r="K53" s="289"/>
      <c r="L53" s="283">
        <v>28.0</v>
      </c>
      <c r="M53" s="288">
        <v>45689.0</v>
      </c>
      <c r="N53" s="288">
        <v>45716.0</v>
      </c>
      <c r="O53" s="290">
        <f t="shared" si="1"/>
        <v>370</v>
      </c>
      <c r="P53" s="290">
        <f t="shared" si="2"/>
        <v>1850</v>
      </c>
      <c r="Q53" s="290">
        <f t="shared" si="3"/>
        <v>2220</v>
      </c>
    </row>
    <row r="54">
      <c r="A54" s="282" t="s">
        <v>16</v>
      </c>
      <c r="B54" s="283">
        <v>4320.0</v>
      </c>
      <c r="C54" s="284"/>
      <c r="D54" s="301">
        <v>0.0</v>
      </c>
      <c r="E54" s="282" t="s">
        <v>102</v>
      </c>
      <c r="F54" s="282" t="s">
        <v>103</v>
      </c>
      <c r="G54" s="286" t="s">
        <v>104</v>
      </c>
      <c r="H54" s="287"/>
      <c r="I54" s="288">
        <v>33240.0</v>
      </c>
      <c r="J54" s="288">
        <v>44287.0</v>
      </c>
      <c r="K54" s="289"/>
      <c r="L54" s="283">
        <v>28.0</v>
      </c>
      <c r="M54" s="288">
        <v>45689.0</v>
      </c>
      <c r="N54" s="288">
        <v>45716.0</v>
      </c>
      <c r="O54" s="290">
        <f t="shared" si="1"/>
        <v>370</v>
      </c>
      <c r="P54" s="290">
        <f t="shared" si="2"/>
        <v>1850</v>
      </c>
      <c r="Q54" s="290">
        <f t="shared" si="3"/>
        <v>2220</v>
      </c>
    </row>
    <row r="55">
      <c r="A55" s="282" t="s">
        <v>16</v>
      </c>
      <c r="B55" s="283">
        <v>4320.0</v>
      </c>
      <c r="C55" s="284"/>
      <c r="D55" s="301">
        <v>0.0</v>
      </c>
      <c r="E55" s="282" t="s">
        <v>255</v>
      </c>
      <c r="F55" s="282" t="s">
        <v>256</v>
      </c>
      <c r="G55" s="286" t="s">
        <v>257</v>
      </c>
      <c r="H55" s="287"/>
      <c r="I55" s="288">
        <v>35173.0</v>
      </c>
      <c r="J55" s="288">
        <v>45264.0</v>
      </c>
      <c r="K55" s="289"/>
      <c r="L55" s="283">
        <v>28.0</v>
      </c>
      <c r="M55" s="288">
        <v>45689.0</v>
      </c>
      <c r="N55" s="288">
        <v>45716.0</v>
      </c>
      <c r="O55" s="290">
        <f t="shared" si="1"/>
        <v>370</v>
      </c>
      <c r="P55" s="290">
        <f t="shared" si="2"/>
        <v>1850</v>
      </c>
      <c r="Q55" s="290">
        <f t="shared" si="3"/>
        <v>2220</v>
      </c>
    </row>
    <row r="56">
      <c r="A56" s="282" t="s">
        <v>16</v>
      </c>
      <c r="B56" s="283">
        <v>4320.0</v>
      </c>
      <c r="C56" s="284"/>
      <c r="D56" s="305">
        <v>0.0</v>
      </c>
      <c r="E56" s="282" t="s">
        <v>438</v>
      </c>
      <c r="F56" s="282" t="s">
        <v>341</v>
      </c>
      <c r="G56" s="286" t="s">
        <v>342</v>
      </c>
      <c r="H56" s="287"/>
      <c r="I56" s="288">
        <v>37964.0</v>
      </c>
      <c r="J56" s="288">
        <v>45355.0</v>
      </c>
      <c r="K56" s="289"/>
      <c r="L56" s="283">
        <v>28.0</v>
      </c>
      <c r="M56" s="288">
        <v>45689.0</v>
      </c>
      <c r="N56" s="288">
        <v>45716.0</v>
      </c>
      <c r="O56" s="290">
        <f t="shared" si="1"/>
        <v>370</v>
      </c>
      <c r="P56" s="290">
        <f t="shared" si="2"/>
        <v>1850</v>
      </c>
      <c r="Q56" s="290">
        <f t="shared" si="3"/>
        <v>2220</v>
      </c>
    </row>
    <row r="57">
      <c r="A57" s="282" t="s">
        <v>16</v>
      </c>
      <c r="B57" s="283">
        <v>4320.0</v>
      </c>
      <c r="C57" s="284"/>
      <c r="D57" s="305">
        <v>0.0</v>
      </c>
      <c r="E57" s="282" t="s">
        <v>508</v>
      </c>
      <c r="F57" s="282" t="s">
        <v>545</v>
      </c>
      <c r="G57" s="286" t="s">
        <v>509</v>
      </c>
      <c r="H57" s="287"/>
      <c r="I57" s="288">
        <v>36637.0</v>
      </c>
      <c r="J57" s="288">
        <v>45649.0</v>
      </c>
      <c r="K57" s="289"/>
      <c r="L57" s="283">
        <v>28.0</v>
      </c>
      <c r="M57" s="288">
        <v>45689.0</v>
      </c>
      <c r="N57" s="288">
        <v>45716.0</v>
      </c>
      <c r="O57" s="290">
        <f t="shared" si="1"/>
        <v>370</v>
      </c>
      <c r="P57" s="290">
        <f t="shared" si="2"/>
        <v>1850</v>
      </c>
      <c r="Q57" s="290">
        <f t="shared" si="3"/>
        <v>2220</v>
      </c>
    </row>
    <row r="58">
      <c r="A58" s="282" t="s">
        <v>16</v>
      </c>
      <c r="B58" s="283">
        <v>4320.0</v>
      </c>
      <c r="C58" s="284"/>
      <c r="D58" s="305">
        <v>0.0</v>
      </c>
      <c r="E58" s="282" t="s">
        <v>395</v>
      </c>
      <c r="F58" s="282" t="s">
        <v>396</v>
      </c>
      <c r="G58" s="286" t="s">
        <v>397</v>
      </c>
      <c r="H58" s="287"/>
      <c r="I58" s="288">
        <v>36557.0</v>
      </c>
      <c r="J58" s="294">
        <v>45432.0</v>
      </c>
      <c r="K58" s="289"/>
      <c r="L58" s="283">
        <v>28.0</v>
      </c>
      <c r="M58" s="288">
        <v>45689.0</v>
      </c>
      <c r="N58" s="288">
        <v>45716.0</v>
      </c>
      <c r="O58" s="290">
        <f t="shared" si="1"/>
        <v>370</v>
      </c>
      <c r="P58" s="290">
        <f t="shared" si="2"/>
        <v>1850</v>
      </c>
      <c r="Q58" s="290">
        <f t="shared" si="3"/>
        <v>2220</v>
      </c>
    </row>
    <row r="59">
      <c r="A59" s="282" t="s">
        <v>16</v>
      </c>
      <c r="B59" s="283">
        <v>4320.0</v>
      </c>
      <c r="C59" s="284"/>
      <c r="D59" s="301">
        <v>0.0</v>
      </c>
      <c r="E59" s="282" t="s">
        <v>370</v>
      </c>
      <c r="F59" s="282" t="s">
        <v>371</v>
      </c>
      <c r="G59" s="286" t="s">
        <v>372</v>
      </c>
      <c r="H59" s="287"/>
      <c r="I59" s="288">
        <v>35551.0</v>
      </c>
      <c r="J59" s="288">
        <v>45383.0</v>
      </c>
      <c r="K59" s="289"/>
      <c r="L59" s="283">
        <v>28.0</v>
      </c>
      <c r="M59" s="288">
        <v>45689.0</v>
      </c>
      <c r="N59" s="288">
        <v>45716.0</v>
      </c>
      <c r="O59" s="290">
        <f t="shared" si="1"/>
        <v>370</v>
      </c>
      <c r="P59" s="290">
        <f t="shared" si="2"/>
        <v>1850</v>
      </c>
      <c r="Q59" s="290">
        <f t="shared" si="3"/>
        <v>2220</v>
      </c>
    </row>
    <row r="60">
      <c r="A60" s="282" t="s">
        <v>16</v>
      </c>
      <c r="B60" s="283">
        <v>4320.0</v>
      </c>
      <c r="C60" s="284"/>
      <c r="D60" s="305">
        <v>0.0</v>
      </c>
      <c r="E60" s="282" t="s">
        <v>114</v>
      </c>
      <c r="F60" s="282" t="s">
        <v>514</v>
      </c>
      <c r="G60" s="286" t="s">
        <v>456</v>
      </c>
      <c r="H60" s="287"/>
      <c r="I60" s="288">
        <v>35872.0</v>
      </c>
      <c r="J60" s="288">
        <v>45523.0</v>
      </c>
      <c r="K60" s="289"/>
      <c r="L60" s="283">
        <v>28.0</v>
      </c>
      <c r="M60" s="288">
        <v>45689.0</v>
      </c>
      <c r="N60" s="288">
        <v>45716.0</v>
      </c>
      <c r="O60" s="290">
        <f t="shared" si="1"/>
        <v>370</v>
      </c>
      <c r="P60" s="290">
        <f t="shared" si="2"/>
        <v>1850</v>
      </c>
      <c r="Q60" s="290">
        <f t="shared" si="3"/>
        <v>2220</v>
      </c>
    </row>
    <row r="61">
      <c r="A61" s="282" t="s">
        <v>16</v>
      </c>
      <c r="B61" s="283">
        <v>4320.0</v>
      </c>
      <c r="C61" s="284"/>
      <c r="D61" s="301">
        <v>0.0</v>
      </c>
      <c r="E61" s="282" t="s">
        <v>457</v>
      </c>
      <c r="F61" s="282" t="s">
        <v>515</v>
      </c>
      <c r="G61" s="286" t="s">
        <v>458</v>
      </c>
      <c r="H61" s="287"/>
      <c r="I61" s="288">
        <v>37061.0</v>
      </c>
      <c r="J61" s="288">
        <v>45505.0</v>
      </c>
      <c r="K61" s="289"/>
      <c r="L61" s="283">
        <v>28.0</v>
      </c>
      <c r="M61" s="288">
        <v>45689.0</v>
      </c>
      <c r="N61" s="288">
        <v>45716.0</v>
      </c>
      <c r="O61" s="290">
        <f t="shared" si="1"/>
        <v>370</v>
      </c>
      <c r="P61" s="290">
        <f t="shared" si="2"/>
        <v>1850</v>
      </c>
      <c r="Q61" s="290">
        <f t="shared" si="3"/>
        <v>2220</v>
      </c>
    </row>
    <row r="62">
      <c r="A62" s="282" t="s">
        <v>16</v>
      </c>
      <c r="B62" s="283">
        <v>4320.0</v>
      </c>
      <c r="C62" s="284"/>
      <c r="D62" s="301">
        <v>0.0</v>
      </c>
      <c r="E62" s="282" t="s">
        <v>439</v>
      </c>
      <c r="F62" s="282" t="s">
        <v>121</v>
      </c>
      <c r="G62" s="286" t="s">
        <v>122</v>
      </c>
      <c r="H62" s="287"/>
      <c r="I62" s="288">
        <v>36794.0</v>
      </c>
      <c r="J62" s="288">
        <v>44915.0</v>
      </c>
      <c r="K62" s="288">
        <v>45709.0</v>
      </c>
      <c r="L62" s="283">
        <v>21.0</v>
      </c>
      <c r="M62" s="288">
        <v>45689.0</v>
      </c>
      <c r="N62" s="288">
        <v>45716.0</v>
      </c>
      <c r="O62" s="290">
        <f t="shared" si="1"/>
        <v>278</v>
      </c>
      <c r="P62" s="290">
        <f t="shared" si="2"/>
        <v>1390</v>
      </c>
      <c r="Q62" s="290">
        <f t="shared" si="3"/>
        <v>1668</v>
      </c>
    </row>
    <row r="63">
      <c r="A63" s="282" t="s">
        <v>16</v>
      </c>
      <c r="B63" s="283">
        <v>4320.0</v>
      </c>
      <c r="C63" s="284"/>
      <c r="D63" s="301">
        <v>0.0</v>
      </c>
      <c r="E63" s="282" t="s">
        <v>506</v>
      </c>
      <c r="F63" s="282" t="s">
        <v>544</v>
      </c>
      <c r="G63" s="286" t="s">
        <v>507</v>
      </c>
      <c r="H63" s="287"/>
      <c r="I63" s="288">
        <v>36981.0</v>
      </c>
      <c r="J63" s="288">
        <v>45642.0</v>
      </c>
      <c r="K63" s="289"/>
      <c r="L63" s="283">
        <v>28.0</v>
      </c>
      <c r="M63" s="288">
        <v>45689.0</v>
      </c>
      <c r="N63" s="288">
        <v>45716.0</v>
      </c>
      <c r="O63" s="290">
        <f t="shared" si="1"/>
        <v>370</v>
      </c>
      <c r="P63" s="290">
        <f t="shared" si="2"/>
        <v>1850</v>
      </c>
      <c r="Q63" s="290">
        <f t="shared" si="3"/>
        <v>2220</v>
      </c>
    </row>
    <row r="64">
      <c r="A64" s="282" t="s">
        <v>16</v>
      </c>
      <c r="B64" s="283">
        <v>4320.0</v>
      </c>
      <c r="C64" s="284"/>
      <c r="D64" s="301">
        <v>0.0</v>
      </c>
      <c r="E64" s="282" t="s">
        <v>487</v>
      </c>
      <c r="F64" s="282" t="s">
        <v>533</v>
      </c>
      <c r="G64" s="286" t="s">
        <v>488</v>
      </c>
      <c r="H64" s="287"/>
      <c r="I64" s="294">
        <v>35195.0</v>
      </c>
      <c r="J64" s="288">
        <v>45602.0</v>
      </c>
      <c r="K64" s="289"/>
      <c r="L64" s="283">
        <v>28.0</v>
      </c>
      <c r="M64" s="288">
        <v>45689.0</v>
      </c>
      <c r="N64" s="288">
        <v>45716.0</v>
      </c>
      <c r="O64" s="290">
        <f t="shared" si="1"/>
        <v>370</v>
      </c>
      <c r="P64" s="290">
        <f t="shared" si="2"/>
        <v>1850</v>
      </c>
      <c r="Q64" s="290">
        <f t="shared" si="3"/>
        <v>2220</v>
      </c>
    </row>
    <row r="65">
      <c r="A65" s="282" t="s">
        <v>16</v>
      </c>
      <c r="B65" s="283">
        <v>4320.0</v>
      </c>
      <c r="C65" s="289"/>
      <c r="D65" s="305">
        <v>0.0</v>
      </c>
      <c r="E65" s="282" t="s">
        <v>343</v>
      </c>
      <c r="F65" s="282" t="s">
        <v>344</v>
      </c>
      <c r="G65" s="286" t="s">
        <v>345</v>
      </c>
      <c r="H65" s="287"/>
      <c r="I65" s="288">
        <v>36821.0</v>
      </c>
      <c r="J65" s="288">
        <v>45362.0</v>
      </c>
      <c r="K65" s="289"/>
      <c r="L65" s="283">
        <v>28.0</v>
      </c>
      <c r="M65" s="288">
        <v>45689.0</v>
      </c>
      <c r="N65" s="288">
        <v>45716.0</v>
      </c>
      <c r="O65" s="290">
        <f t="shared" si="1"/>
        <v>370</v>
      </c>
      <c r="P65" s="290">
        <f t="shared" si="2"/>
        <v>1850</v>
      </c>
      <c r="Q65" s="290">
        <f t="shared" si="3"/>
        <v>2220</v>
      </c>
    </row>
    <row r="66">
      <c r="A66" s="282" t="s">
        <v>16</v>
      </c>
      <c r="B66" s="283">
        <v>4320.0</v>
      </c>
      <c r="C66" s="289"/>
      <c r="D66" s="285">
        <v>0.0</v>
      </c>
      <c r="E66" s="306" t="s">
        <v>429</v>
      </c>
      <c r="F66" s="282" t="s">
        <v>516</v>
      </c>
      <c r="G66" s="286" t="s">
        <v>430</v>
      </c>
      <c r="H66" s="287"/>
      <c r="I66" s="288">
        <v>37257.0</v>
      </c>
      <c r="J66" s="288">
        <v>45481.0</v>
      </c>
      <c r="K66" s="289"/>
      <c r="L66" s="283">
        <v>28.0</v>
      </c>
      <c r="M66" s="288">
        <v>45689.0</v>
      </c>
      <c r="N66" s="288">
        <v>45716.0</v>
      </c>
      <c r="O66" s="290">
        <f t="shared" si="1"/>
        <v>370</v>
      </c>
      <c r="P66" s="290">
        <f t="shared" si="2"/>
        <v>1850</v>
      </c>
      <c r="Q66" s="290">
        <f t="shared" si="3"/>
        <v>2220</v>
      </c>
    </row>
    <row r="67">
      <c r="A67" s="282" t="s">
        <v>16</v>
      </c>
      <c r="B67" s="283">
        <v>4320.0</v>
      </c>
      <c r="C67" s="289"/>
      <c r="D67" s="285">
        <v>0.0</v>
      </c>
      <c r="E67" s="306" t="s">
        <v>489</v>
      </c>
      <c r="F67" s="282" t="s">
        <v>536</v>
      </c>
      <c r="G67" s="286" t="s">
        <v>490</v>
      </c>
      <c r="H67" s="287"/>
      <c r="I67" s="288">
        <v>37105.0</v>
      </c>
      <c r="J67" s="288">
        <v>45602.0</v>
      </c>
      <c r="K67" s="289"/>
      <c r="L67" s="283">
        <v>28.0</v>
      </c>
      <c r="M67" s="288">
        <v>45689.0</v>
      </c>
      <c r="N67" s="288">
        <v>45716.0</v>
      </c>
      <c r="O67" s="290">
        <f t="shared" si="1"/>
        <v>370</v>
      </c>
      <c r="P67" s="290">
        <f t="shared" si="2"/>
        <v>1850</v>
      </c>
      <c r="Q67" s="290">
        <f t="shared" si="3"/>
        <v>2220</v>
      </c>
    </row>
    <row r="68">
      <c r="A68" s="282" t="s">
        <v>16</v>
      </c>
      <c r="B68" s="283">
        <v>4320.0</v>
      </c>
      <c r="C68" s="289"/>
      <c r="D68" s="285">
        <v>0.0</v>
      </c>
      <c r="E68" s="306" t="s">
        <v>416</v>
      </c>
      <c r="F68" s="282" t="s">
        <v>517</v>
      </c>
      <c r="G68" s="286" t="s">
        <v>417</v>
      </c>
      <c r="H68" s="287"/>
      <c r="I68" s="288">
        <v>36346.0</v>
      </c>
      <c r="J68" s="288">
        <v>45453.0</v>
      </c>
      <c r="K68" s="289"/>
      <c r="L68" s="283">
        <v>28.0</v>
      </c>
      <c r="M68" s="288">
        <v>45689.0</v>
      </c>
      <c r="N68" s="288">
        <v>45716.0</v>
      </c>
      <c r="O68" s="290">
        <f t="shared" si="1"/>
        <v>370</v>
      </c>
      <c r="P68" s="290">
        <f t="shared" si="2"/>
        <v>1850</v>
      </c>
      <c r="Q68" s="290">
        <f t="shared" si="3"/>
        <v>2220</v>
      </c>
    </row>
    <row r="69">
      <c r="A69" s="282" t="s">
        <v>16</v>
      </c>
      <c r="B69" s="283">
        <v>4320.0</v>
      </c>
      <c r="C69" s="289"/>
      <c r="D69" s="285">
        <v>0.0</v>
      </c>
      <c r="E69" s="306" t="s">
        <v>582</v>
      </c>
      <c r="F69" s="282" t="s">
        <v>583</v>
      </c>
      <c r="G69" s="286" t="s">
        <v>584</v>
      </c>
      <c r="H69" s="287"/>
      <c r="I69" s="288">
        <v>37880.0</v>
      </c>
      <c r="J69" s="288">
        <v>45677.0</v>
      </c>
      <c r="K69" s="289"/>
      <c r="L69" s="283">
        <v>28.0</v>
      </c>
      <c r="M69" s="288">
        <v>45689.0</v>
      </c>
      <c r="N69" s="288">
        <v>45716.0</v>
      </c>
      <c r="O69" s="290">
        <f t="shared" si="1"/>
        <v>370</v>
      </c>
      <c r="P69" s="290">
        <f t="shared" si="2"/>
        <v>1850</v>
      </c>
      <c r="Q69" s="290">
        <f t="shared" si="3"/>
        <v>2220</v>
      </c>
    </row>
    <row r="70">
      <c r="A70" s="282" t="s">
        <v>16</v>
      </c>
      <c r="B70" s="283">
        <v>4320.0</v>
      </c>
      <c r="C70" s="289"/>
      <c r="D70" s="285">
        <v>0.0</v>
      </c>
      <c r="E70" s="306" t="s">
        <v>478</v>
      </c>
      <c r="F70" s="282" t="s">
        <v>518</v>
      </c>
      <c r="G70" s="286" t="s">
        <v>426</v>
      </c>
      <c r="H70" s="287"/>
      <c r="I70" s="288">
        <v>36530.0</v>
      </c>
      <c r="J70" s="288">
        <v>45446.0</v>
      </c>
      <c r="K70" s="289"/>
      <c r="L70" s="283">
        <v>28.0</v>
      </c>
      <c r="M70" s="288">
        <v>45689.0</v>
      </c>
      <c r="N70" s="288">
        <v>45716.0</v>
      </c>
      <c r="O70" s="290">
        <f t="shared" si="1"/>
        <v>370</v>
      </c>
      <c r="P70" s="290">
        <f t="shared" si="2"/>
        <v>1850</v>
      </c>
      <c r="Q70" s="290">
        <f t="shared" si="3"/>
        <v>2220</v>
      </c>
    </row>
    <row r="71">
      <c r="A71" s="282" t="s">
        <v>16</v>
      </c>
      <c r="B71" s="283">
        <v>4320.0</v>
      </c>
      <c r="C71" s="289"/>
      <c r="D71" s="285">
        <v>0.0</v>
      </c>
      <c r="E71" s="306" t="s">
        <v>132</v>
      </c>
      <c r="F71" s="282" t="s">
        <v>519</v>
      </c>
      <c r="G71" s="286" t="s">
        <v>418</v>
      </c>
      <c r="H71" s="287"/>
      <c r="I71" s="288">
        <v>37494.0</v>
      </c>
      <c r="J71" s="288">
        <v>45467.0</v>
      </c>
      <c r="K71" s="289"/>
      <c r="L71" s="283">
        <v>28.0</v>
      </c>
      <c r="M71" s="288">
        <v>45689.0</v>
      </c>
      <c r="N71" s="288">
        <v>45716.0</v>
      </c>
      <c r="O71" s="290">
        <f t="shared" si="1"/>
        <v>370</v>
      </c>
      <c r="P71" s="290">
        <f t="shared" si="2"/>
        <v>1850</v>
      </c>
      <c r="Q71" s="290">
        <f t="shared" si="3"/>
        <v>2220</v>
      </c>
    </row>
    <row r="72">
      <c r="A72" s="282" t="s">
        <v>16</v>
      </c>
      <c r="B72" s="283">
        <v>4320.0</v>
      </c>
      <c r="C72" s="289"/>
      <c r="D72" s="285">
        <v>0.0</v>
      </c>
      <c r="E72" s="306" t="s">
        <v>570</v>
      </c>
      <c r="F72" s="282" t="s">
        <v>571</v>
      </c>
      <c r="G72" s="286" t="s">
        <v>572</v>
      </c>
      <c r="H72" s="287"/>
      <c r="I72" s="288">
        <v>37362.0</v>
      </c>
      <c r="J72" s="288">
        <v>45677.0</v>
      </c>
      <c r="K72" s="289"/>
      <c r="L72" s="283">
        <v>28.0</v>
      </c>
      <c r="M72" s="288">
        <v>45689.0</v>
      </c>
      <c r="N72" s="288">
        <v>45716.0</v>
      </c>
      <c r="O72" s="290">
        <f t="shared" si="1"/>
        <v>370</v>
      </c>
      <c r="P72" s="290">
        <f t="shared" si="2"/>
        <v>1850</v>
      </c>
      <c r="Q72" s="290">
        <f t="shared" si="3"/>
        <v>2220</v>
      </c>
    </row>
    <row r="73">
      <c r="A73" s="282" t="s">
        <v>16</v>
      </c>
      <c r="B73" s="283">
        <v>4320.0</v>
      </c>
      <c r="C73" s="289"/>
      <c r="D73" s="285">
        <v>0.0</v>
      </c>
      <c r="E73" s="291" t="s">
        <v>702</v>
      </c>
      <c r="F73" s="292" t="s">
        <v>703</v>
      </c>
      <c r="G73" s="289" t="s">
        <v>704</v>
      </c>
      <c r="H73" s="289"/>
      <c r="I73" s="293">
        <v>35714.0</v>
      </c>
      <c r="J73" s="288">
        <v>45705.0</v>
      </c>
      <c r="K73" s="289"/>
      <c r="L73" s="283">
        <v>12.0</v>
      </c>
      <c r="M73" s="288">
        <v>45689.0</v>
      </c>
      <c r="N73" s="288">
        <v>45716.0</v>
      </c>
      <c r="O73" s="290">
        <f t="shared" si="1"/>
        <v>159</v>
      </c>
      <c r="P73" s="290">
        <f t="shared" si="2"/>
        <v>795</v>
      </c>
      <c r="Q73" s="290">
        <f t="shared" si="3"/>
        <v>954</v>
      </c>
    </row>
    <row r="74">
      <c r="A74" s="282" t="s">
        <v>16</v>
      </c>
      <c r="B74" s="283">
        <v>4320.0</v>
      </c>
      <c r="C74" s="289"/>
      <c r="D74" s="285">
        <v>0.0</v>
      </c>
      <c r="E74" s="306" t="s">
        <v>491</v>
      </c>
      <c r="F74" s="282" t="s">
        <v>534</v>
      </c>
      <c r="G74" s="286" t="s">
        <v>492</v>
      </c>
      <c r="H74" s="287"/>
      <c r="I74" s="288">
        <v>36849.0</v>
      </c>
      <c r="J74" s="288">
        <v>45602.0</v>
      </c>
      <c r="K74" s="288">
        <v>45700.0</v>
      </c>
      <c r="L74" s="283">
        <v>12.0</v>
      </c>
      <c r="M74" s="288">
        <v>45689.0</v>
      </c>
      <c r="N74" s="288">
        <v>45716.0</v>
      </c>
      <c r="O74" s="290">
        <f t="shared" si="1"/>
        <v>159</v>
      </c>
      <c r="P74" s="290">
        <f t="shared" si="2"/>
        <v>795</v>
      </c>
      <c r="Q74" s="290">
        <f t="shared" si="3"/>
        <v>954</v>
      </c>
    </row>
    <row r="75">
      <c r="A75" s="282" t="s">
        <v>16</v>
      </c>
      <c r="B75" s="283">
        <v>4320.0</v>
      </c>
      <c r="C75" s="289"/>
      <c r="D75" s="285">
        <v>0.0</v>
      </c>
      <c r="E75" s="306" t="s">
        <v>459</v>
      </c>
      <c r="F75" s="282" t="s">
        <v>374</v>
      </c>
      <c r="G75" s="286" t="s">
        <v>375</v>
      </c>
      <c r="H75" s="287"/>
      <c r="I75" s="288">
        <v>37085.0</v>
      </c>
      <c r="J75" s="288">
        <v>45400.0</v>
      </c>
      <c r="K75" s="289"/>
      <c r="L75" s="283">
        <v>28.0</v>
      </c>
      <c r="M75" s="288">
        <v>45689.0</v>
      </c>
      <c r="N75" s="288">
        <v>45716.0</v>
      </c>
      <c r="O75" s="290">
        <f t="shared" si="1"/>
        <v>370</v>
      </c>
      <c r="P75" s="290">
        <f t="shared" si="2"/>
        <v>1850</v>
      </c>
      <c r="Q75" s="290">
        <f t="shared" si="3"/>
        <v>2220</v>
      </c>
    </row>
    <row r="76">
      <c r="A76" s="282" t="s">
        <v>16</v>
      </c>
      <c r="B76" s="283">
        <v>4320.0</v>
      </c>
      <c r="C76" s="289"/>
      <c r="D76" s="285">
        <v>0.0</v>
      </c>
      <c r="E76" s="306" t="s">
        <v>349</v>
      </c>
      <c r="F76" s="282" t="s">
        <v>350</v>
      </c>
      <c r="G76" s="286" t="s">
        <v>351</v>
      </c>
      <c r="H76" s="287"/>
      <c r="I76" s="288">
        <v>37647.0</v>
      </c>
      <c r="J76" s="288">
        <v>45355.0</v>
      </c>
      <c r="K76" s="289"/>
      <c r="L76" s="283">
        <v>28.0</v>
      </c>
      <c r="M76" s="288">
        <v>45689.0</v>
      </c>
      <c r="N76" s="288">
        <v>45716.0</v>
      </c>
      <c r="O76" s="290">
        <f t="shared" si="1"/>
        <v>370</v>
      </c>
      <c r="P76" s="290">
        <f t="shared" si="2"/>
        <v>1850</v>
      </c>
      <c r="Q76" s="290">
        <f t="shared" si="3"/>
        <v>2220</v>
      </c>
    </row>
    <row r="77">
      <c r="A77" s="282" t="s">
        <v>16</v>
      </c>
      <c r="B77" s="283">
        <v>4320.0</v>
      </c>
      <c r="C77" s="289"/>
      <c r="D77" s="285">
        <v>0.0</v>
      </c>
      <c r="E77" s="306" t="s">
        <v>352</v>
      </c>
      <c r="F77" s="282" t="s">
        <v>353</v>
      </c>
      <c r="G77" s="286" t="s">
        <v>354</v>
      </c>
      <c r="H77" s="287"/>
      <c r="I77" s="288">
        <v>36412.0</v>
      </c>
      <c r="J77" s="288">
        <v>45355.0</v>
      </c>
      <c r="K77" s="289"/>
      <c r="L77" s="283">
        <v>28.0</v>
      </c>
      <c r="M77" s="288">
        <v>45689.0</v>
      </c>
      <c r="N77" s="288">
        <v>45716.0</v>
      </c>
      <c r="O77" s="290">
        <f t="shared" si="1"/>
        <v>370</v>
      </c>
      <c r="P77" s="290">
        <f t="shared" si="2"/>
        <v>1850</v>
      </c>
      <c r="Q77" s="290">
        <f t="shared" si="3"/>
        <v>2220</v>
      </c>
    </row>
    <row r="78">
      <c r="A78" s="282" t="s">
        <v>16</v>
      </c>
      <c r="B78" s="283">
        <v>4320.0</v>
      </c>
      <c r="C78" s="289"/>
      <c r="D78" s="285">
        <v>0.0</v>
      </c>
      <c r="E78" s="303" t="s">
        <v>705</v>
      </c>
      <c r="F78" s="295" t="s">
        <v>706</v>
      </c>
      <c r="G78" s="289" t="s">
        <v>707</v>
      </c>
      <c r="H78" s="289"/>
      <c r="I78" s="293">
        <v>36594.0</v>
      </c>
      <c r="J78" s="288">
        <v>45712.0</v>
      </c>
      <c r="K78" s="289"/>
      <c r="L78" s="283">
        <v>5.0</v>
      </c>
      <c r="M78" s="288">
        <v>45689.0</v>
      </c>
      <c r="N78" s="288">
        <v>45716.0</v>
      </c>
      <c r="O78" s="290">
        <f t="shared" si="1"/>
        <v>67</v>
      </c>
      <c r="P78" s="290">
        <f t="shared" si="2"/>
        <v>335</v>
      </c>
      <c r="Q78" s="290">
        <f t="shared" si="3"/>
        <v>402</v>
      </c>
    </row>
    <row r="79">
      <c r="A79" s="282" t="s">
        <v>16</v>
      </c>
      <c r="B79" s="283">
        <v>4320.0</v>
      </c>
      <c r="C79" s="289"/>
      <c r="D79" s="285">
        <v>0.0</v>
      </c>
      <c r="E79" s="306" t="s">
        <v>273</v>
      </c>
      <c r="F79" s="282" t="s">
        <v>274</v>
      </c>
      <c r="G79" s="286" t="s">
        <v>275</v>
      </c>
      <c r="H79" s="287"/>
      <c r="I79" s="288">
        <v>34522.0</v>
      </c>
      <c r="J79" s="288">
        <v>45292.0</v>
      </c>
      <c r="K79" s="289"/>
      <c r="L79" s="283">
        <v>28.0</v>
      </c>
      <c r="M79" s="288">
        <v>45689.0</v>
      </c>
      <c r="N79" s="288">
        <v>45716.0</v>
      </c>
      <c r="O79" s="290">
        <f t="shared" si="1"/>
        <v>370</v>
      </c>
      <c r="P79" s="290">
        <f t="shared" si="2"/>
        <v>1850</v>
      </c>
      <c r="Q79" s="290">
        <f t="shared" si="3"/>
        <v>2220</v>
      </c>
    </row>
    <row r="80">
      <c r="A80" s="282" t="s">
        <v>16</v>
      </c>
      <c r="B80" s="283">
        <v>4320.0</v>
      </c>
      <c r="C80" s="289"/>
      <c r="D80" s="285">
        <v>0.0</v>
      </c>
      <c r="E80" s="303" t="s">
        <v>708</v>
      </c>
      <c r="F80" s="295" t="s">
        <v>709</v>
      </c>
      <c r="G80" s="289" t="s">
        <v>710</v>
      </c>
      <c r="H80" s="289"/>
      <c r="I80" s="293">
        <v>37028.0</v>
      </c>
      <c r="J80" s="288">
        <v>45705.0</v>
      </c>
      <c r="K80" s="289"/>
      <c r="L80" s="283">
        <v>12.0</v>
      </c>
      <c r="M80" s="288">
        <v>45689.0</v>
      </c>
      <c r="N80" s="288">
        <v>45716.0</v>
      </c>
      <c r="O80" s="290">
        <f t="shared" si="1"/>
        <v>159</v>
      </c>
      <c r="P80" s="290">
        <f t="shared" si="2"/>
        <v>795</v>
      </c>
      <c r="Q80" s="290">
        <f t="shared" si="3"/>
        <v>954</v>
      </c>
    </row>
    <row r="81">
      <c r="A81" s="282" t="s">
        <v>16</v>
      </c>
      <c r="B81" s="283">
        <v>4320.0</v>
      </c>
      <c r="C81" s="289"/>
      <c r="D81" s="285">
        <v>0.0</v>
      </c>
      <c r="E81" s="306" t="s">
        <v>470</v>
      </c>
      <c r="F81" s="282" t="s">
        <v>528</v>
      </c>
      <c r="G81" s="286" t="s">
        <v>472</v>
      </c>
      <c r="H81" s="287"/>
      <c r="I81" s="288">
        <v>37278.0</v>
      </c>
      <c r="J81" s="288">
        <v>45544.0</v>
      </c>
      <c r="K81" s="289"/>
      <c r="L81" s="283">
        <v>28.0</v>
      </c>
      <c r="M81" s="288">
        <v>45689.0</v>
      </c>
      <c r="N81" s="288">
        <v>45716.0</v>
      </c>
      <c r="O81" s="290">
        <f t="shared" si="1"/>
        <v>370</v>
      </c>
      <c r="P81" s="290">
        <f t="shared" si="2"/>
        <v>1850</v>
      </c>
      <c r="Q81" s="290">
        <f t="shared" si="3"/>
        <v>2220</v>
      </c>
    </row>
    <row r="82">
      <c r="A82" s="282" t="s">
        <v>16</v>
      </c>
      <c r="B82" s="283">
        <v>4320.0</v>
      </c>
      <c r="C82" s="289"/>
      <c r="D82" s="285">
        <v>0.0</v>
      </c>
      <c r="E82" s="306" t="s">
        <v>495</v>
      </c>
      <c r="F82" s="282" t="s">
        <v>538</v>
      </c>
      <c r="G82" s="286" t="s">
        <v>496</v>
      </c>
      <c r="H82" s="287"/>
      <c r="I82" s="288">
        <v>33452.0</v>
      </c>
      <c r="J82" s="288">
        <v>45628.0</v>
      </c>
      <c r="K82" s="289"/>
      <c r="L82" s="283">
        <v>28.0</v>
      </c>
      <c r="M82" s="288">
        <v>45689.0</v>
      </c>
      <c r="N82" s="288">
        <v>45716.0</v>
      </c>
      <c r="O82" s="290">
        <f t="shared" si="1"/>
        <v>370</v>
      </c>
      <c r="P82" s="290">
        <f t="shared" si="2"/>
        <v>1850</v>
      </c>
      <c r="Q82" s="290">
        <f t="shared" si="3"/>
        <v>2220</v>
      </c>
    </row>
    <row r="83">
      <c r="A83" s="282" t="s">
        <v>16</v>
      </c>
      <c r="B83" s="283">
        <v>4320.0</v>
      </c>
      <c r="C83" s="289"/>
      <c r="D83" s="285">
        <v>0.0</v>
      </c>
      <c r="E83" s="306" t="s">
        <v>162</v>
      </c>
      <c r="F83" s="282" t="s">
        <v>163</v>
      </c>
      <c r="G83" s="286" t="s">
        <v>164</v>
      </c>
      <c r="H83" s="287"/>
      <c r="I83" s="288">
        <v>34732.0</v>
      </c>
      <c r="J83" s="288">
        <v>44986.0</v>
      </c>
      <c r="K83" s="289"/>
      <c r="L83" s="283">
        <v>28.0</v>
      </c>
      <c r="M83" s="288">
        <v>45689.0</v>
      </c>
      <c r="N83" s="288">
        <v>45716.0</v>
      </c>
      <c r="O83" s="290">
        <f t="shared" si="1"/>
        <v>370</v>
      </c>
      <c r="P83" s="290">
        <f t="shared" si="2"/>
        <v>1850</v>
      </c>
      <c r="Q83" s="290">
        <f t="shared" si="3"/>
        <v>2220</v>
      </c>
    </row>
    <row r="84">
      <c r="A84" s="282" t="s">
        <v>16</v>
      </c>
      <c r="B84" s="283">
        <v>4320.0</v>
      </c>
      <c r="C84" s="289"/>
      <c r="D84" s="285">
        <v>0.0</v>
      </c>
      <c r="E84" s="306" t="s">
        <v>549</v>
      </c>
      <c r="F84" s="282" t="s">
        <v>550</v>
      </c>
      <c r="G84" s="286" t="s">
        <v>551</v>
      </c>
      <c r="H84" s="287"/>
      <c r="I84" s="288">
        <v>37636.0</v>
      </c>
      <c r="J84" s="288">
        <v>45663.0</v>
      </c>
      <c r="K84" s="289"/>
      <c r="L84" s="283">
        <v>28.0</v>
      </c>
      <c r="M84" s="288">
        <v>45689.0</v>
      </c>
      <c r="N84" s="288">
        <v>45716.0</v>
      </c>
      <c r="O84" s="290">
        <f t="shared" si="1"/>
        <v>370</v>
      </c>
      <c r="P84" s="290">
        <f t="shared" si="2"/>
        <v>1850</v>
      </c>
      <c r="Q84" s="290">
        <f t="shared" si="3"/>
        <v>2220</v>
      </c>
    </row>
    <row r="85">
      <c r="A85" s="282" t="s">
        <v>16</v>
      </c>
      <c r="B85" s="283">
        <v>4320.0</v>
      </c>
      <c r="C85" s="289"/>
      <c r="D85" s="285">
        <v>0.0</v>
      </c>
      <c r="E85" s="291" t="s">
        <v>711</v>
      </c>
      <c r="F85" s="295" t="s">
        <v>712</v>
      </c>
      <c r="G85" s="289" t="s">
        <v>713</v>
      </c>
      <c r="H85" s="289"/>
      <c r="I85" s="293">
        <v>34694.0</v>
      </c>
      <c r="J85" s="288">
        <v>45712.0</v>
      </c>
      <c r="K85" s="289"/>
      <c r="L85" s="283">
        <v>5.0</v>
      </c>
      <c r="M85" s="288">
        <v>45689.0</v>
      </c>
      <c r="N85" s="288">
        <v>45716.0</v>
      </c>
      <c r="O85" s="290">
        <f t="shared" si="1"/>
        <v>67</v>
      </c>
      <c r="P85" s="290">
        <f t="shared" si="2"/>
        <v>335</v>
      </c>
      <c r="Q85" s="290">
        <f t="shared" si="3"/>
        <v>402</v>
      </c>
    </row>
    <row r="86">
      <c r="A86" s="282" t="s">
        <v>16</v>
      </c>
      <c r="B86" s="283">
        <v>4320.0</v>
      </c>
      <c r="C86" s="289"/>
      <c r="D86" s="285">
        <v>0.0</v>
      </c>
      <c r="E86" s="306" t="s">
        <v>355</v>
      </c>
      <c r="F86" s="282" t="s">
        <v>356</v>
      </c>
      <c r="G86" s="286" t="s">
        <v>357</v>
      </c>
      <c r="H86" s="287"/>
      <c r="I86" s="288">
        <v>35395.0</v>
      </c>
      <c r="J86" s="288">
        <v>45376.0</v>
      </c>
      <c r="K86" s="289"/>
      <c r="L86" s="283">
        <v>28.0</v>
      </c>
      <c r="M86" s="288">
        <v>45689.0</v>
      </c>
      <c r="N86" s="288">
        <v>45716.0</v>
      </c>
      <c r="O86" s="290">
        <f t="shared" si="1"/>
        <v>370</v>
      </c>
      <c r="P86" s="290">
        <f t="shared" si="2"/>
        <v>1850</v>
      </c>
      <c r="Q86" s="290">
        <f t="shared" si="3"/>
        <v>2220</v>
      </c>
    </row>
    <row r="87">
      <c r="A87" s="282" t="s">
        <v>16</v>
      </c>
      <c r="B87" s="283">
        <v>4320.0</v>
      </c>
      <c r="C87" s="289"/>
      <c r="D87" s="285">
        <v>0.0</v>
      </c>
      <c r="E87" s="291" t="s">
        <v>714</v>
      </c>
      <c r="F87" s="295" t="s">
        <v>715</v>
      </c>
      <c r="G87" s="289" t="s">
        <v>716</v>
      </c>
      <c r="H87" s="289"/>
      <c r="I87" s="293">
        <v>36514.0</v>
      </c>
      <c r="J87" s="288">
        <v>45698.0</v>
      </c>
      <c r="K87" s="289"/>
      <c r="L87" s="302">
        <v>19.0</v>
      </c>
      <c r="M87" s="288">
        <v>45689.0</v>
      </c>
      <c r="N87" s="288">
        <v>45716.0</v>
      </c>
      <c r="O87" s="290">
        <f t="shared" si="1"/>
        <v>252</v>
      </c>
      <c r="P87" s="290">
        <f t="shared" si="2"/>
        <v>1260</v>
      </c>
      <c r="Q87" s="290">
        <f t="shared" si="3"/>
        <v>1512</v>
      </c>
    </row>
    <row r="88">
      <c r="A88" s="282" t="s">
        <v>16</v>
      </c>
      <c r="B88" s="283">
        <v>4320.0</v>
      </c>
      <c r="C88" s="289"/>
      <c r="D88" s="285">
        <v>0.0</v>
      </c>
      <c r="E88" s="306" t="s">
        <v>600</v>
      </c>
      <c r="F88" s="282" t="s">
        <v>601</v>
      </c>
      <c r="G88" s="286" t="s">
        <v>602</v>
      </c>
      <c r="H88" s="287"/>
      <c r="I88" s="288">
        <v>29741.0</v>
      </c>
      <c r="J88" s="288">
        <v>45658.0</v>
      </c>
      <c r="K88" s="289"/>
      <c r="L88" s="283">
        <v>28.0</v>
      </c>
      <c r="M88" s="288">
        <v>45689.0</v>
      </c>
      <c r="N88" s="288">
        <v>45716.0</v>
      </c>
      <c r="O88" s="290">
        <f t="shared" si="1"/>
        <v>370</v>
      </c>
      <c r="P88" s="290">
        <f t="shared" si="2"/>
        <v>1850</v>
      </c>
      <c r="Q88" s="290">
        <f t="shared" si="3"/>
        <v>2220</v>
      </c>
    </row>
    <row r="89">
      <c r="A89" s="282" t="s">
        <v>16</v>
      </c>
      <c r="B89" s="283">
        <v>4320.0</v>
      </c>
      <c r="C89" s="289"/>
      <c r="D89" s="285">
        <v>0.0</v>
      </c>
      <c r="E89" s="306" t="s">
        <v>431</v>
      </c>
      <c r="F89" s="282" t="s">
        <v>377</v>
      </c>
      <c r="G89" s="286" t="s">
        <v>378</v>
      </c>
      <c r="H89" s="287"/>
      <c r="I89" s="294">
        <v>36289.0</v>
      </c>
      <c r="J89" s="288">
        <v>45476.0</v>
      </c>
      <c r="K89" s="289"/>
      <c r="L89" s="283">
        <v>28.0</v>
      </c>
      <c r="M89" s="288">
        <v>45689.0</v>
      </c>
      <c r="N89" s="288">
        <v>45716.0</v>
      </c>
      <c r="O89" s="290">
        <f t="shared" si="1"/>
        <v>370</v>
      </c>
      <c r="P89" s="290">
        <f t="shared" si="2"/>
        <v>1850</v>
      </c>
      <c r="Q89" s="290">
        <f t="shared" si="3"/>
        <v>2220</v>
      </c>
    </row>
    <row r="90">
      <c r="A90" s="282" t="s">
        <v>16</v>
      </c>
      <c r="B90" s="283">
        <v>4320.0</v>
      </c>
      <c r="C90" s="289"/>
      <c r="D90" s="285">
        <v>0.0</v>
      </c>
      <c r="E90" s="306" t="s">
        <v>183</v>
      </c>
      <c r="F90" s="282" t="s">
        <v>184</v>
      </c>
      <c r="G90" s="286" t="s">
        <v>185</v>
      </c>
      <c r="H90" s="287"/>
      <c r="I90" s="288">
        <v>36979.0</v>
      </c>
      <c r="J90" s="288">
        <v>44907.0</v>
      </c>
      <c r="K90" s="289"/>
      <c r="L90" s="283">
        <v>28.0</v>
      </c>
      <c r="M90" s="288">
        <v>45689.0</v>
      </c>
      <c r="N90" s="288">
        <v>45716.0</v>
      </c>
      <c r="O90" s="290">
        <f t="shared" si="1"/>
        <v>370</v>
      </c>
      <c r="P90" s="290">
        <f t="shared" si="2"/>
        <v>1850</v>
      </c>
      <c r="Q90" s="290">
        <f t="shared" si="3"/>
        <v>2220</v>
      </c>
    </row>
    <row r="91">
      <c r="A91" s="282" t="s">
        <v>16</v>
      </c>
      <c r="B91" s="283">
        <v>4320.0</v>
      </c>
      <c r="C91" s="289"/>
      <c r="D91" s="285">
        <v>0.0</v>
      </c>
      <c r="E91" s="306" t="s">
        <v>499</v>
      </c>
      <c r="F91" s="282" t="s">
        <v>540</v>
      </c>
      <c r="G91" s="286" t="s">
        <v>500</v>
      </c>
      <c r="H91" s="287"/>
      <c r="I91" s="288">
        <v>36144.0</v>
      </c>
      <c r="J91" s="288">
        <v>45628.0</v>
      </c>
      <c r="K91" s="296"/>
      <c r="L91" s="283">
        <v>28.0</v>
      </c>
      <c r="M91" s="288">
        <v>45689.0</v>
      </c>
      <c r="N91" s="288">
        <v>45716.0</v>
      </c>
      <c r="O91" s="290">
        <f t="shared" si="1"/>
        <v>370</v>
      </c>
      <c r="P91" s="290">
        <f t="shared" si="2"/>
        <v>1850</v>
      </c>
      <c r="Q91" s="290">
        <f t="shared" si="3"/>
        <v>2220</v>
      </c>
    </row>
    <row r="92">
      <c r="A92" s="282" t="s">
        <v>16</v>
      </c>
      <c r="B92" s="283">
        <v>4320.0</v>
      </c>
      <c r="C92" s="289"/>
      <c r="D92" s="285">
        <v>0.0</v>
      </c>
      <c r="E92" s="306" t="s">
        <v>301</v>
      </c>
      <c r="F92" s="282" t="s">
        <v>302</v>
      </c>
      <c r="G92" s="286" t="s">
        <v>303</v>
      </c>
      <c r="H92" s="287"/>
      <c r="I92" s="288">
        <v>36991.0</v>
      </c>
      <c r="J92" s="288">
        <v>45205.0</v>
      </c>
      <c r="K92" s="289"/>
      <c r="L92" s="283">
        <v>28.0</v>
      </c>
      <c r="M92" s="288">
        <v>45689.0</v>
      </c>
      <c r="N92" s="288">
        <v>45716.0</v>
      </c>
      <c r="O92" s="290">
        <f t="shared" si="1"/>
        <v>370</v>
      </c>
      <c r="P92" s="290">
        <f t="shared" si="2"/>
        <v>1850</v>
      </c>
      <c r="Q92" s="290">
        <f t="shared" si="3"/>
        <v>2220</v>
      </c>
    </row>
    <row r="93">
      <c r="A93" s="282" t="s">
        <v>16</v>
      </c>
      <c r="B93" s="283">
        <v>4320.0</v>
      </c>
      <c r="C93" s="289"/>
      <c r="D93" s="285">
        <v>0.0</v>
      </c>
      <c r="E93" s="306" t="s">
        <v>432</v>
      </c>
      <c r="F93" s="282" t="s">
        <v>521</v>
      </c>
      <c r="G93" s="286" t="s">
        <v>433</v>
      </c>
      <c r="H93" s="287"/>
      <c r="I93" s="288">
        <v>34504.0</v>
      </c>
      <c r="J93" s="288">
        <v>45481.0</v>
      </c>
      <c r="K93" s="289"/>
      <c r="L93" s="283">
        <v>28.0</v>
      </c>
      <c r="M93" s="288">
        <v>45689.0</v>
      </c>
      <c r="N93" s="288">
        <v>45716.0</v>
      </c>
      <c r="O93" s="290">
        <f t="shared" si="1"/>
        <v>370</v>
      </c>
      <c r="P93" s="290">
        <f t="shared" si="2"/>
        <v>1850</v>
      </c>
      <c r="Q93" s="290">
        <f t="shared" si="3"/>
        <v>2220</v>
      </c>
    </row>
    <row r="94">
      <c r="A94" s="282" t="s">
        <v>16</v>
      </c>
      <c r="B94" s="283">
        <v>4320.0</v>
      </c>
      <c r="C94" s="289"/>
      <c r="D94" s="285">
        <v>0.0</v>
      </c>
      <c r="E94" s="306" t="s">
        <v>434</v>
      </c>
      <c r="F94" s="282" t="s">
        <v>522</v>
      </c>
      <c r="G94" s="286" t="s">
        <v>435</v>
      </c>
      <c r="H94" s="287"/>
      <c r="I94" s="288">
        <v>37446.0</v>
      </c>
      <c r="J94" s="288">
        <v>45495.0</v>
      </c>
      <c r="K94" s="289"/>
      <c r="L94" s="283">
        <v>28.0</v>
      </c>
      <c r="M94" s="288">
        <v>45689.0</v>
      </c>
      <c r="N94" s="288">
        <v>45716.0</v>
      </c>
      <c r="O94" s="290">
        <f t="shared" si="1"/>
        <v>370</v>
      </c>
      <c r="P94" s="290">
        <f t="shared" si="2"/>
        <v>1850</v>
      </c>
      <c r="Q94" s="290">
        <f t="shared" si="3"/>
        <v>2220</v>
      </c>
    </row>
    <row r="95">
      <c r="A95" s="282" t="s">
        <v>16</v>
      </c>
      <c r="B95" s="283">
        <v>4320.0</v>
      </c>
      <c r="C95" s="289"/>
      <c r="D95" s="285">
        <v>0.0</v>
      </c>
      <c r="E95" s="306" t="s">
        <v>460</v>
      </c>
      <c r="F95" s="282" t="s">
        <v>523</v>
      </c>
      <c r="G95" s="286" t="s">
        <v>461</v>
      </c>
      <c r="H95" s="287"/>
      <c r="I95" s="288">
        <v>36856.0</v>
      </c>
      <c r="J95" s="288">
        <v>45505.0</v>
      </c>
      <c r="K95" s="296"/>
      <c r="L95" s="283">
        <v>28.0</v>
      </c>
      <c r="M95" s="288">
        <v>45689.0</v>
      </c>
      <c r="N95" s="288">
        <v>45716.0</v>
      </c>
      <c r="O95" s="290">
        <f t="shared" si="1"/>
        <v>370</v>
      </c>
      <c r="P95" s="290">
        <f t="shared" si="2"/>
        <v>1850</v>
      </c>
      <c r="Q95" s="290">
        <f t="shared" si="3"/>
        <v>2220</v>
      </c>
    </row>
    <row r="96">
      <c r="A96" s="282" t="s">
        <v>16</v>
      </c>
      <c r="B96" s="283">
        <v>4320.0</v>
      </c>
      <c r="C96" s="289"/>
      <c r="D96" s="285">
        <v>0.0</v>
      </c>
      <c r="E96" s="306" t="s">
        <v>462</v>
      </c>
      <c r="F96" s="282" t="s">
        <v>526</v>
      </c>
      <c r="G96" s="286" t="s">
        <v>463</v>
      </c>
      <c r="H96" s="287"/>
      <c r="I96" s="288">
        <v>34588.0</v>
      </c>
      <c r="J96" s="288">
        <v>45530.0</v>
      </c>
      <c r="K96" s="289"/>
      <c r="L96" s="283">
        <v>28.0</v>
      </c>
      <c r="M96" s="288">
        <v>45689.0</v>
      </c>
      <c r="N96" s="288">
        <v>45716.0</v>
      </c>
      <c r="O96" s="290">
        <f t="shared" si="1"/>
        <v>370</v>
      </c>
      <c r="P96" s="290">
        <f t="shared" si="2"/>
        <v>1850</v>
      </c>
      <c r="Q96" s="290">
        <f t="shared" si="3"/>
        <v>2220</v>
      </c>
    </row>
    <row r="97">
      <c r="A97" s="282" t="s">
        <v>16</v>
      </c>
      <c r="B97" s="283">
        <v>4320.0</v>
      </c>
      <c r="C97" s="289"/>
      <c r="D97" s="285">
        <v>0.0</v>
      </c>
      <c r="E97" s="306" t="s">
        <v>423</v>
      </c>
      <c r="F97" s="282" t="s">
        <v>524</v>
      </c>
      <c r="G97" s="286" t="s">
        <v>424</v>
      </c>
      <c r="H97" s="287"/>
      <c r="I97" s="288">
        <v>37818.0</v>
      </c>
      <c r="J97" s="288">
        <v>45467.0</v>
      </c>
      <c r="K97" s="289"/>
      <c r="L97" s="283">
        <v>28.0</v>
      </c>
      <c r="M97" s="288">
        <v>45689.0</v>
      </c>
      <c r="N97" s="288">
        <v>45716.0</v>
      </c>
      <c r="O97" s="290">
        <f t="shared" si="1"/>
        <v>370</v>
      </c>
      <c r="P97" s="290">
        <f t="shared" si="2"/>
        <v>1850</v>
      </c>
      <c r="Q97" s="290">
        <f t="shared" si="3"/>
        <v>2220</v>
      </c>
    </row>
    <row r="98">
      <c r="A98" s="282" t="s">
        <v>16</v>
      </c>
      <c r="B98" s="283">
        <v>4320.0</v>
      </c>
      <c r="C98" s="289"/>
      <c r="D98" s="285">
        <v>0.0</v>
      </c>
      <c r="E98" s="306" t="s">
        <v>304</v>
      </c>
      <c r="F98" s="282" t="s">
        <v>305</v>
      </c>
      <c r="G98" s="286" t="s">
        <v>306</v>
      </c>
      <c r="H98" s="287"/>
      <c r="I98" s="288">
        <v>35697.0</v>
      </c>
      <c r="J98" s="288">
        <v>45348.0</v>
      </c>
      <c r="K98" s="288">
        <v>45698.0</v>
      </c>
      <c r="L98" s="283">
        <v>10.0</v>
      </c>
      <c r="M98" s="288">
        <v>45689.0</v>
      </c>
      <c r="N98" s="288">
        <v>45716.0</v>
      </c>
      <c r="O98" s="290">
        <f t="shared" si="1"/>
        <v>133</v>
      </c>
      <c r="P98" s="290">
        <f t="shared" si="2"/>
        <v>665</v>
      </c>
      <c r="Q98" s="290">
        <f t="shared" si="3"/>
        <v>798</v>
      </c>
    </row>
    <row r="99">
      <c r="A99" s="282" t="s">
        <v>16</v>
      </c>
      <c r="B99" s="283">
        <v>4320.0</v>
      </c>
      <c r="C99" s="289"/>
      <c r="D99" s="285">
        <v>0.0</v>
      </c>
      <c r="E99" s="306" t="s">
        <v>213</v>
      </c>
      <c r="F99" s="282" t="s">
        <v>214</v>
      </c>
      <c r="G99" s="286" t="s">
        <v>215</v>
      </c>
      <c r="H99" s="287"/>
      <c r="I99" s="288">
        <v>36797.0</v>
      </c>
      <c r="J99" s="288">
        <v>44886.0</v>
      </c>
      <c r="K99" s="289"/>
      <c r="L99" s="283">
        <v>28.0</v>
      </c>
      <c r="M99" s="288">
        <v>45689.0</v>
      </c>
      <c r="N99" s="288">
        <v>45716.0</v>
      </c>
      <c r="O99" s="290">
        <f t="shared" si="1"/>
        <v>370</v>
      </c>
      <c r="P99" s="290">
        <f t="shared" si="2"/>
        <v>1850</v>
      </c>
      <c r="Q99" s="290">
        <f t="shared" si="3"/>
        <v>2220</v>
      </c>
    </row>
    <row r="100">
      <c r="A100" s="282" t="s">
        <v>16</v>
      </c>
      <c r="B100" s="283">
        <v>4320.0</v>
      </c>
      <c r="C100" s="289"/>
      <c r="D100" s="285">
        <v>0.0</v>
      </c>
      <c r="E100" s="291" t="s">
        <v>717</v>
      </c>
      <c r="F100" s="292" t="s">
        <v>718</v>
      </c>
      <c r="G100" s="289" t="s">
        <v>719</v>
      </c>
      <c r="H100" s="289"/>
      <c r="I100" s="293">
        <v>36505.0</v>
      </c>
      <c r="J100" s="288">
        <v>45712.0</v>
      </c>
      <c r="K100" s="289"/>
      <c r="L100" s="283">
        <v>5.0</v>
      </c>
      <c r="M100" s="288">
        <v>45689.0</v>
      </c>
      <c r="N100" s="288">
        <v>45716.0</v>
      </c>
      <c r="O100" s="290">
        <f t="shared" si="1"/>
        <v>67</v>
      </c>
      <c r="P100" s="290">
        <f t="shared" si="2"/>
        <v>335</v>
      </c>
      <c r="Q100" s="290">
        <f t="shared" si="3"/>
        <v>402</v>
      </c>
    </row>
    <row r="101">
      <c r="A101" s="282" t="s">
        <v>16</v>
      </c>
      <c r="B101" s="283">
        <v>4320.0</v>
      </c>
      <c r="C101" s="289"/>
      <c r="D101" s="285">
        <v>0.0</v>
      </c>
      <c r="E101" s="306" t="s">
        <v>588</v>
      </c>
      <c r="F101" s="282" t="s">
        <v>589</v>
      </c>
      <c r="G101" s="286" t="s">
        <v>590</v>
      </c>
      <c r="H101" s="287"/>
      <c r="I101" s="288">
        <v>34190.0</v>
      </c>
      <c r="J101" s="288">
        <v>45684.0</v>
      </c>
      <c r="K101" s="296"/>
      <c r="L101" s="283">
        <v>28.0</v>
      </c>
      <c r="M101" s="288">
        <v>45689.0</v>
      </c>
      <c r="N101" s="288">
        <v>45716.0</v>
      </c>
      <c r="O101" s="290">
        <f t="shared" si="1"/>
        <v>370</v>
      </c>
      <c r="P101" s="290">
        <f t="shared" si="2"/>
        <v>1850</v>
      </c>
      <c r="Q101" s="290">
        <f t="shared" si="3"/>
        <v>2220</v>
      </c>
    </row>
    <row r="102">
      <c r="A102" s="282" t="s">
        <v>16</v>
      </c>
      <c r="B102" s="283">
        <v>4320.0</v>
      </c>
      <c r="C102" s="289"/>
      <c r="D102" s="285">
        <v>0.0</v>
      </c>
      <c r="E102" s="306" t="s">
        <v>427</v>
      </c>
      <c r="F102" s="282" t="s">
        <v>525</v>
      </c>
      <c r="G102" s="286" t="s">
        <v>428</v>
      </c>
      <c r="H102" s="287"/>
      <c r="I102" s="288">
        <v>36451.0</v>
      </c>
      <c r="J102" s="288">
        <v>45453.0</v>
      </c>
      <c r="K102" s="289"/>
      <c r="L102" s="283">
        <v>28.0</v>
      </c>
      <c r="M102" s="288">
        <v>45689.0</v>
      </c>
      <c r="N102" s="288">
        <v>45716.0</v>
      </c>
      <c r="O102" s="290">
        <f t="shared" si="1"/>
        <v>370</v>
      </c>
      <c r="P102" s="290">
        <f t="shared" si="2"/>
        <v>1850</v>
      </c>
      <c r="Q102" s="290">
        <f t="shared" si="3"/>
        <v>2220</v>
      </c>
    </row>
    <row r="103">
      <c r="A103" s="282" t="s">
        <v>16</v>
      </c>
      <c r="B103" s="283">
        <v>4320.0</v>
      </c>
      <c r="C103" s="289"/>
      <c r="D103" s="285">
        <v>0.0</v>
      </c>
      <c r="E103" s="306" t="s">
        <v>493</v>
      </c>
      <c r="F103" s="282" t="s">
        <v>532</v>
      </c>
      <c r="G103" s="286" t="s">
        <v>494</v>
      </c>
      <c r="H103" s="287"/>
      <c r="I103" s="288">
        <v>36208.0</v>
      </c>
      <c r="J103" s="288">
        <v>45602.0</v>
      </c>
      <c r="K103" s="289"/>
      <c r="L103" s="283">
        <v>28.0</v>
      </c>
      <c r="M103" s="288">
        <v>45689.0</v>
      </c>
      <c r="N103" s="288">
        <v>45716.0</v>
      </c>
      <c r="O103" s="290">
        <f t="shared" si="1"/>
        <v>370</v>
      </c>
      <c r="P103" s="290">
        <f t="shared" si="2"/>
        <v>1850</v>
      </c>
      <c r="Q103" s="290">
        <f t="shared" si="3"/>
        <v>2220</v>
      </c>
    </row>
    <row r="104">
      <c r="A104" s="282" t="s">
        <v>16</v>
      </c>
      <c r="B104" s="283">
        <v>4320.0</v>
      </c>
      <c r="C104" s="289"/>
      <c r="D104" s="285">
        <v>0.0</v>
      </c>
      <c r="E104" s="306" t="s">
        <v>222</v>
      </c>
      <c r="F104" s="282" t="s">
        <v>223</v>
      </c>
      <c r="G104" s="286" t="s">
        <v>224</v>
      </c>
      <c r="H104" s="287"/>
      <c r="I104" s="288">
        <v>35818.0</v>
      </c>
      <c r="J104" s="288">
        <v>45089.0</v>
      </c>
      <c r="K104" s="289"/>
      <c r="L104" s="283">
        <v>28.0</v>
      </c>
      <c r="M104" s="288">
        <v>45689.0</v>
      </c>
      <c r="N104" s="288">
        <v>45716.0</v>
      </c>
      <c r="O104" s="290">
        <f t="shared" si="1"/>
        <v>370</v>
      </c>
      <c r="P104" s="290">
        <f t="shared" si="2"/>
        <v>1850</v>
      </c>
      <c r="Q104" s="290">
        <f t="shared" si="3"/>
        <v>2220</v>
      </c>
    </row>
    <row r="105">
      <c r="A105" s="282" t="s">
        <v>16</v>
      </c>
      <c r="B105" s="283">
        <v>4320.0</v>
      </c>
      <c r="C105" s="289"/>
      <c r="D105" s="285">
        <v>0.0</v>
      </c>
      <c r="E105" s="306" t="s">
        <v>585</v>
      </c>
      <c r="F105" s="282" t="s">
        <v>586</v>
      </c>
      <c r="G105" s="286" t="s">
        <v>587</v>
      </c>
      <c r="H105" s="287"/>
      <c r="I105" s="288">
        <v>35827.0</v>
      </c>
      <c r="J105" s="288">
        <v>45684.0</v>
      </c>
      <c r="K105" s="289"/>
      <c r="L105" s="283">
        <v>28.0</v>
      </c>
      <c r="M105" s="288">
        <v>45689.0</v>
      </c>
      <c r="N105" s="288">
        <v>45716.0</v>
      </c>
      <c r="O105" s="290">
        <f t="shared" si="1"/>
        <v>370</v>
      </c>
      <c r="P105" s="290">
        <f t="shared" si="2"/>
        <v>1850</v>
      </c>
      <c r="Q105" s="290">
        <f t="shared" si="3"/>
        <v>2220</v>
      </c>
    </row>
    <row r="106">
      <c r="A106" s="282" t="s">
        <v>16</v>
      </c>
      <c r="B106" s="283">
        <v>4320.0</v>
      </c>
      <c r="C106" s="289"/>
      <c r="D106" s="285">
        <v>0.0</v>
      </c>
      <c r="E106" s="306" t="s">
        <v>225</v>
      </c>
      <c r="F106" s="282" t="s">
        <v>226</v>
      </c>
      <c r="G106" s="286" t="s">
        <v>227</v>
      </c>
      <c r="H106" s="287"/>
      <c r="I106" s="288">
        <v>36177.0</v>
      </c>
      <c r="J106" s="288">
        <v>45320.0</v>
      </c>
      <c r="K106" s="289"/>
      <c r="L106" s="283">
        <v>28.0</v>
      </c>
      <c r="M106" s="288">
        <v>45689.0</v>
      </c>
      <c r="N106" s="288">
        <v>45716.0</v>
      </c>
      <c r="O106" s="290">
        <f t="shared" si="1"/>
        <v>370</v>
      </c>
      <c r="P106" s="290">
        <f t="shared" si="2"/>
        <v>1850</v>
      </c>
      <c r="Q106" s="290">
        <f t="shared" si="3"/>
        <v>2220</v>
      </c>
    </row>
    <row r="107">
      <c r="A107" s="307"/>
      <c r="B107" s="307"/>
      <c r="C107" s="307"/>
      <c r="D107" s="308"/>
      <c r="E107" s="309"/>
      <c r="F107" s="307"/>
      <c r="G107" s="307"/>
      <c r="H107" s="307"/>
      <c r="I107" s="307"/>
      <c r="J107" s="307"/>
      <c r="K107" s="307"/>
      <c r="L107" s="307">
        <f>SUM(L2:L106)</f>
        <v>2744</v>
      </c>
      <c r="M107" s="307"/>
      <c r="N107" s="307"/>
      <c r="O107" s="307">
        <f t="shared" ref="O107:Q107" si="4">SUM(O2:O106)</f>
        <v>36270</v>
      </c>
      <c r="P107" s="307">
        <f t="shared" si="4"/>
        <v>181350</v>
      </c>
      <c r="Q107" s="307">
        <f t="shared" si="4"/>
        <v>217620</v>
      </c>
    </row>
    <row r="108">
      <c r="D108" s="310"/>
      <c r="E108" s="311"/>
    </row>
    <row r="109">
      <c r="D109" s="310"/>
      <c r="E109" s="311"/>
    </row>
    <row r="110">
      <c r="D110" s="310"/>
      <c r="E110" s="311"/>
    </row>
    <row r="111">
      <c r="D111" s="310"/>
      <c r="E111" s="311"/>
    </row>
    <row r="112">
      <c r="D112" s="310"/>
      <c r="E112" s="311"/>
    </row>
    <row r="113">
      <c r="D113" s="310"/>
      <c r="E113" s="311"/>
    </row>
    <row r="114">
      <c r="D114" s="310"/>
      <c r="E114" s="311"/>
    </row>
    <row r="115">
      <c r="D115" s="310"/>
      <c r="E115" s="311"/>
    </row>
    <row r="116">
      <c r="D116" s="310"/>
      <c r="E116" s="311"/>
    </row>
    <row r="117">
      <c r="D117" s="310"/>
      <c r="E117" s="311"/>
    </row>
    <row r="118">
      <c r="D118" s="310"/>
      <c r="E118" s="311"/>
    </row>
    <row r="119">
      <c r="D119" s="310"/>
      <c r="E119" s="311"/>
    </row>
    <row r="120">
      <c r="D120" s="310"/>
      <c r="E120" s="311"/>
    </row>
    <row r="121">
      <c r="D121" s="310"/>
      <c r="E121" s="311"/>
    </row>
    <row r="122">
      <c r="D122" s="310"/>
      <c r="E122" s="311"/>
    </row>
    <row r="123">
      <c r="D123" s="310"/>
      <c r="E123" s="311"/>
    </row>
    <row r="124">
      <c r="D124" s="310"/>
      <c r="E124" s="311"/>
    </row>
    <row r="125">
      <c r="D125" s="310"/>
      <c r="E125" s="311"/>
    </row>
    <row r="126">
      <c r="D126" s="310"/>
      <c r="E126" s="311"/>
    </row>
    <row r="127">
      <c r="D127" s="310"/>
      <c r="E127" s="311"/>
    </row>
    <row r="128">
      <c r="D128" s="310"/>
      <c r="E128" s="311"/>
    </row>
    <row r="129">
      <c r="D129" s="310"/>
      <c r="E129" s="311"/>
    </row>
    <row r="130">
      <c r="D130" s="310"/>
      <c r="E130" s="311"/>
    </row>
    <row r="131">
      <c r="D131" s="310"/>
      <c r="E131" s="311"/>
    </row>
    <row r="132">
      <c r="D132" s="310"/>
      <c r="E132" s="311"/>
    </row>
    <row r="133">
      <c r="D133" s="310"/>
      <c r="E133" s="311"/>
    </row>
    <row r="134">
      <c r="D134" s="310"/>
      <c r="E134" s="311"/>
    </row>
    <row r="135">
      <c r="D135" s="310"/>
      <c r="E135" s="311"/>
    </row>
    <row r="136">
      <c r="D136" s="310"/>
      <c r="E136" s="311"/>
    </row>
    <row r="137">
      <c r="D137" s="310"/>
      <c r="E137" s="311"/>
    </row>
    <row r="138">
      <c r="D138" s="310"/>
      <c r="E138" s="311"/>
    </row>
    <row r="139">
      <c r="D139" s="310"/>
      <c r="E139" s="311"/>
    </row>
    <row r="140">
      <c r="D140" s="310"/>
      <c r="E140" s="311"/>
    </row>
    <row r="141">
      <c r="D141" s="310"/>
      <c r="E141" s="311"/>
    </row>
    <row r="142">
      <c r="D142" s="310"/>
      <c r="E142" s="311"/>
    </row>
    <row r="143">
      <c r="D143" s="310"/>
      <c r="E143" s="311"/>
    </row>
    <row r="144">
      <c r="D144" s="310"/>
      <c r="E144" s="311"/>
    </row>
    <row r="145">
      <c r="D145" s="310"/>
      <c r="E145" s="311"/>
    </row>
    <row r="146">
      <c r="D146" s="310"/>
      <c r="E146" s="311"/>
    </row>
    <row r="147">
      <c r="D147" s="310"/>
      <c r="E147" s="311"/>
    </row>
    <row r="148">
      <c r="D148" s="310"/>
      <c r="E148" s="311"/>
    </row>
    <row r="149">
      <c r="D149" s="310"/>
      <c r="E149" s="311"/>
    </row>
    <row r="150">
      <c r="D150" s="310"/>
      <c r="E150" s="311"/>
    </row>
    <row r="151">
      <c r="D151" s="310"/>
      <c r="E151" s="311"/>
    </row>
    <row r="152">
      <c r="D152" s="310"/>
      <c r="E152" s="311"/>
    </row>
    <row r="153">
      <c r="D153" s="310"/>
      <c r="E153" s="311"/>
    </row>
    <row r="154">
      <c r="D154" s="310"/>
      <c r="E154" s="311"/>
    </row>
    <row r="155">
      <c r="D155" s="310"/>
      <c r="E155" s="311"/>
    </row>
    <row r="156">
      <c r="D156" s="310"/>
      <c r="E156" s="311"/>
    </row>
    <row r="157">
      <c r="D157" s="310"/>
      <c r="E157" s="311"/>
    </row>
    <row r="158">
      <c r="D158" s="310"/>
      <c r="E158" s="311"/>
    </row>
    <row r="159">
      <c r="D159" s="310"/>
      <c r="E159" s="311"/>
    </row>
    <row r="160">
      <c r="D160" s="310"/>
      <c r="E160" s="311"/>
    </row>
    <row r="161">
      <c r="D161" s="310"/>
      <c r="E161" s="311"/>
    </row>
    <row r="162">
      <c r="D162" s="310"/>
      <c r="E162" s="311"/>
    </row>
    <row r="163">
      <c r="D163" s="310"/>
      <c r="E163" s="311"/>
    </row>
    <row r="164">
      <c r="D164" s="310"/>
      <c r="E164" s="311"/>
    </row>
    <row r="165">
      <c r="D165" s="310"/>
      <c r="E165" s="311"/>
    </row>
    <row r="166">
      <c r="D166" s="310"/>
      <c r="E166" s="311"/>
    </row>
    <row r="167">
      <c r="D167" s="310"/>
      <c r="E167" s="311"/>
    </row>
    <row r="168">
      <c r="D168" s="310"/>
      <c r="E168" s="311"/>
    </row>
    <row r="169">
      <c r="D169" s="310"/>
      <c r="E169" s="311"/>
    </row>
    <row r="170">
      <c r="D170" s="310"/>
      <c r="E170" s="311"/>
    </row>
    <row r="171">
      <c r="D171" s="310"/>
      <c r="E171" s="311"/>
    </row>
    <row r="172">
      <c r="D172" s="310"/>
      <c r="E172" s="311"/>
    </row>
    <row r="173">
      <c r="D173" s="310"/>
      <c r="E173" s="311"/>
    </row>
    <row r="174">
      <c r="D174" s="310"/>
      <c r="E174" s="311"/>
    </row>
    <row r="175">
      <c r="D175" s="310"/>
      <c r="E175" s="311"/>
    </row>
    <row r="176">
      <c r="D176" s="310"/>
      <c r="E176" s="311"/>
    </row>
    <row r="177">
      <c r="D177" s="310"/>
      <c r="E177" s="311"/>
    </row>
    <row r="178">
      <c r="D178" s="310"/>
      <c r="E178" s="311"/>
    </row>
    <row r="179">
      <c r="D179" s="310"/>
      <c r="E179" s="311"/>
    </row>
    <row r="180">
      <c r="D180" s="310"/>
      <c r="E180" s="311"/>
    </row>
    <row r="181">
      <c r="D181" s="310"/>
      <c r="E181" s="311"/>
    </row>
    <row r="182">
      <c r="D182" s="310"/>
      <c r="E182" s="311"/>
    </row>
    <row r="183">
      <c r="D183" s="310"/>
      <c r="E183" s="311"/>
    </row>
    <row r="184">
      <c r="D184" s="310"/>
      <c r="E184" s="311"/>
    </row>
    <row r="185">
      <c r="D185" s="310"/>
      <c r="E185" s="311"/>
    </row>
    <row r="186">
      <c r="D186" s="310"/>
      <c r="E186" s="311"/>
    </row>
    <row r="187">
      <c r="D187" s="310"/>
      <c r="E187" s="311"/>
    </row>
    <row r="188">
      <c r="D188" s="310"/>
      <c r="E188" s="311"/>
    </row>
    <row r="189">
      <c r="D189" s="310"/>
      <c r="E189" s="311"/>
    </row>
    <row r="190">
      <c r="D190" s="310"/>
      <c r="E190" s="311"/>
    </row>
    <row r="191">
      <c r="D191" s="310"/>
      <c r="E191" s="311"/>
    </row>
    <row r="192">
      <c r="D192" s="310"/>
      <c r="E192" s="311"/>
    </row>
    <row r="193">
      <c r="D193" s="310"/>
      <c r="E193" s="311"/>
    </row>
    <row r="194">
      <c r="D194" s="310"/>
      <c r="E194" s="311"/>
    </row>
    <row r="195">
      <c r="D195" s="310"/>
      <c r="E195" s="311"/>
    </row>
    <row r="196">
      <c r="D196" s="310"/>
      <c r="E196" s="311"/>
    </row>
    <row r="197">
      <c r="D197" s="310"/>
      <c r="E197" s="311"/>
    </row>
    <row r="198">
      <c r="D198" s="310"/>
      <c r="E198" s="311"/>
    </row>
    <row r="199">
      <c r="D199" s="310"/>
      <c r="E199" s="311"/>
    </row>
    <row r="200">
      <c r="D200" s="310"/>
      <c r="E200" s="311"/>
    </row>
    <row r="201">
      <c r="D201" s="310"/>
      <c r="E201" s="311"/>
    </row>
    <row r="202">
      <c r="D202" s="310"/>
      <c r="E202" s="311"/>
    </row>
    <row r="203">
      <c r="D203" s="310"/>
      <c r="E203" s="311"/>
    </row>
    <row r="204">
      <c r="D204" s="310"/>
      <c r="E204" s="311"/>
    </row>
    <row r="205">
      <c r="D205" s="310"/>
      <c r="E205" s="311"/>
    </row>
    <row r="206">
      <c r="D206" s="310"/>
      <c r="E206" s="311"/>
    </row>
    <row r="207">
      <c r="D207" s="310"/>
      <c r="E207" s="311"/>
    </row>
    <row r="208">
      <c r="D208" s="310"/>
      <c r="E208" s="311"/>
    </row>
    <row r="209">
      <c r="D209" s="310"/>
      <c r="E209" s="311"/>
    </row>
    <row r="210">
      <c r="D210" s="310"/>
      <c r="E210" s="311"/>
    </row>
    <row r="211">
      <c r="D211" s="310"/>
      <c r="E211" s="311"/>
    </row>
    <row r="212">
      <c r="D212" s="310"/>
      <c r="E212" s="311"/>
    </row>
    <row r="213">
      <c r="D213" s="310"/>
      <c r="E213" s="311"/>
    </row>
    <row r="214">
      <c r="D214" s="310"/>
      <c r="E214" s="311"/>
    </row>
    <row r="215">
      <c r="D215" s="310"/>
      <c r="E215" s="311"/>
    </row>
    <row r="216">
      <c r="D216" s="310"/>
      <c r="E216" s="311"/>
    </row>
    <row r="217">
      <c r="D217" s="310"/>
      <c r="E217" s="311"/>
    </row>
    <row r="218">
      <c r="D218" s="310"/>
      <c r="E218" s="311"/>
    </row>
    <row r="219">
      <c r="D219" s="310"/>
      <c r="E219" s="311"/>
    </row>
    <row r="220">
      <c r="D220" s="310"/>
      <c r="E220" s="311"/>
    </row>
    <row r="221">
      <c r="D221" s="310"/>
      <c r="E221" s="311"/>
    </row>
    <row r="222">
      <c r="D222" s="310"/>
      <c r="E222" s="311"/>
    </row>
    <row r="223">
      <c r="D223" s="310"/>
      <c r="E223" s="311"/>
    </row>
    <row r="224">
      <c r="D224" s="310"/>
      <c r="E224" s="311"/>
    </row>
    <row r="225">
      <c r="D225" s="310"/>
      <c r="E225" s="311"/>
    </row>
    <row r="226">
      <c r="D226" s="310"/>
      <c r="E226" s="311"/>
    </row>
    <row r="227">
      <c r="D227" s="310"/>
      <c r="E227" s="311"/>
    </row>
    <row r="228">
      <c r="D228" s="310"/>
      <c r="E228" s="311"/>
    </row>
    <row r="229">
      <c r="D229" s="310"/>
      <c r="E229" s="311"/>
    </row>
    <row r="230">
      <c r="D230" s="310"/>
      <c r="E230" s="311"/>
    </row>
    <row r="231">
      <c r="D231" s="310"/>
      <c r="E231" s="311"/>
    </row>
    <row r="232">
      <c r="D232" s="310"/>
      <c r="E232" s="311"/>
    </row>
    <row r="233">
      <c r="D233" s="310"/>
      <c r="E233" s="311"/>
    </row>
    <row r="234">
      <c r="D234" s="310"/>
      <c r="E234" s="311"/>
    </row>
    <row r="235">
      <c r="D235" s="310"/>
      <c r="E235" s="311"/>
    </row>
    <row r="236">
      <c r="D236" s="310"/>
      <c r="E236" s="311"/>
    </row>
    <row r="237">
      <c r="D237" s="310"/>
      <c r="E237" s="311"/>
    </row>
    <row r="238">
      <c r="D238" s="310"/>
      <c r="E238" s="311"/>
    </row>
    <row r="239">
      <c r="D239" s="310"/>
      <c r="E239" s="311"/>
    </row>
    <row r="240">
      <c r="D240" s="310"/>
      <c r="E240" s="311"/>
    </row>
    <row r="241">
      <c r="D241" s="310"/>
      <c r="E241" s="311"/>
    </row>
    <row r="242">
      <c r="D242" s="310"/>
      <c r="E242" s="311"/>
    </row>
    <row r="243">
      <c r="D243" s="310"/>
      <c r="E243" s="3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row r="734">
      <c r="D734" s="310"/>
      <c r="E734" s="311"/>
    </row>
    <row r="735">
      <c r="D735" s="310"/>
      <c r="E735" s="311"/>
    </row>
    <row r="736">
      <c r="D736" s="310"/>
      <c r="E736" s="311"/>
    </row>
    <row r="737">
      <c r="D737" s="310"/>
      <c r="E737" s="311"/>
    </row>
    <row r="738">
      <c r="D738" s="310"/>
      <c r="E738" s="311"/>
    </row>
    <row r="739">
      <c r="D739" s="310"/>
      <c r="E739" s="311"/>
    </row>
    <row r="740">
      <c r="D740" s="310"/>
      <c r="E740" s="311"/>
    </row>
    <row r="741">
      <c r="D741" s="310"/>
      <c r="E741" s="311"/>
    </row>
    <row r="742">
      <c r="D742" s="310"/>
      <c r="E742" s="311"/>
    </row>
    <row r="743">
      <c r="D743" s="310"/>
      <c r="E743" s="311"/>
    </row>
    <row r="744">
      <c r="D744" s="310"/>
      <c r="E744" s="311"/>
    </row>
    <row r="745">
      <c r="D745" s="310"/>
      <c r="E745" s="311"/>
    </row>
    <row r="746">
      <c r="D746" s="310"/>
      <c r="E746" s="311"/>
    </row>
    <row r="747">
      <c r="D747" s="310"/>
      <c r="E747" s="311"/>
    </row>
    <row r="748">
      <c r="D748" s="310"/>
      <c r="E748" s="311"/>
    </row>
    <row r="749">
      <c r="D749" s="310"/>
      <c r="E749" s="311"/>
    </row>
    <row r="750">
      <c r="D750" s="310"/>
      <c r="E750" s="311"/>
    </row>
    <row r="751">
      <c r="D751" s="310"/>
      <c r="E751" s="311"/>
    </row>
    <row r="752">
      <c r="D752" s="310"/>
      <c r="E752" s="311"/>
    </row>
    <row r="753">
      <c r="D753" s="310"/>
      <c r="E753" s="311"/>
    </row>
    <row r="754">
      <c r="D754" s="310"/>
      <c r="E754" s="311"/>
    </row>
    <row r="755">
      <c r="D755" s="310"/>
      <c r="E755" s="311"/>
    </row>
    <row r="756">
      <c r="D756" s="310"/>
      <c r="E756" s="311"/>
    </row>
    <row r="757">
      <c r="D757" s="310"/>
      <c r="E757" s="311"/>
    </row>
    <row r="758">
      <c r="D758" s="310"/>
      <c r="E758" s="311"/>
    </row>
    <row r="759">
      <c r="D759" s="310"/>
      <c r="E759" s="311"/>
    </row>
    <row r="760">
      <c r="D760" s="310"/>
      <c r="E760" s="311"/>
    </row>
    <row r="761">
      <c r="D761" s="310"/>
      <c r="E761" s="311"/>
    </row>
    <row r="762">
      <c r="D762" s="310"/>
      <c r="E762" s="311"/>
    </row>
    <row r="763">
      <c r="D763" s="310"/>
      <c r="E763" s="311"/>
    </row>
    <row r="764">
      <c r="D764" s="310"/>
      <c r="E764" s="311"/>
    </row>
    <row r="765">
      <c r="D765" s="310"/>
      <c r="E765" s="311"/>
    </row>
    <row r="766">
      <c r="D766" s="310"/>
      <c r="E766" s="311"/>
    </row>
    <row r="767">
      <c r="D767" s="310"/>
      <c r="E767" s="311"/>
    </row>
    <row r="768">
      <c r="D768" s="310"/>
      <c r="E768" s="311"/>
    </row>
    <row r="769">
      <c r="D769" s="310"/>
      <c r="E769" s="311"/>
    </row>
    <row r="770">
      <c r="D770" s="310"/>
      <c r="E770" s="311"/>
    </row>
    <row r="771">
      <c r="D771" s="310"/>
      <c r="E771" s="311"/>
    </row>
    <row r="772">
      <c r="D772" s="310"/>
      <c r="E772" s="311"/>
    </row>
    <row r="773">
      <c r="D773" s="310"/>
      <c r="E773" s="311"/>
    </row>
    <row r="774">
      <c r="D774" s="310"/>
      <c r="E774" s="311"/>
    </row>
    <row r="775">
      <c r="D775" s="310"/>
      <c r="E775" s="311"/>
    </row>
    <row r="776">
      <c r="D776" s="310"/>
      <c r="E776" s="311"/>
    </row>
    <row r="777">
      <c r="D777" s="310"/>
      <c r="E777" s="311"/>
    </row>
    <row r="778">
      <c r="D778" s="310"/>
      <c r="E778" s="311"/>
    </row>
    <row r="779">
      <c r="D779" s="310"/>
      <c r="E779" s="311"/>
    </row>
    <row r="780">
      <c r="D780" s="310"/>
      <c r="E780" s="311"/>
    </row>
    <row r="781">
      <c r="D781" s="310"/>
      <c r="E781" s="311"/>
    </row>
    <row r="782">
      <c r="D782" s="310"/>
      <c r="E782" s="311"/>
    </row>
    <row r="783">
      <c r="D783" s="310"/>
      <c r="E783" s="311"/>
    </row>
    <row r="784">
      <c r="D784" s="310"/>
      <c r="E784" s="311"/>
    </row>
    <row r="785">
      <c r="D785" s="310"/>
      <c r="E785" s="311"/>
    </row>
    <row r="786">
      <c r="D786" s="310"/>
      <c r="E786" s="311"/>
    </row>
    <row r="787">
      <c r="D787" s="310"/>
      <c r="E787" s="311"/>
    </row>
    <row r="788">
      <c r="D788" s="310"/>
      <c r="E788" s="311"/>
    </row>
    <row r="789">
      <c r="D789" s="310"/>
      <c r="E789" s="311"/>
    </row>
    <row r="790">
      <c r="D790" s="310"/>
      <c r="E790" s="311"/>
    </row>
    <row r="791">
      <c r="D791" s="310"/>
      <c r="E791" s="311"/>
    </row>
    <row r="792">
      <c r="D792" s="310"/>
      <c r="E792" s="311"/>
    </row>
    <row r="793">
      <c r="D793" s="310"/>
      <c r="E793" s="311"/>
    </row>
    <row r="794">
      <c r="D794" s="310"/>
      <c r="E794" s="311"/>
    </row>
    <row r="795">
      <c r="D795" s="310"/>
      <c r="E795" s="311"/>
    </row>
    <row r="796">
      <c r="D796" s="310"/>
      <c r="E796" s="311"/>
    </row>
    <row r="797">
      <c r="D797" s="310"/>
      <c r="E797" s="311"/>
    </row>
    <row r="798">
      <c r="D798" s="310"/>
      <c r="E798" s="311"/>
    </row>
    <row r="799">
      <c r="D799" s="310"/>
      <c r="E799" s="311"/>
    </row>
    <row r="800">
      <c r="D800" s="310"/>
      <c r="E800" s="311"/>
    </row>
    <row r="801">
      <c r="D801" s="310"/>
      <c r="E801" s="311"/>
    </row>
    <row r="802">
      <c r="D802" s="310"/>
      <c r="E802" s="311"/>
    </row>
    <row r="803">
      <c r="D803" s="310"/>
      <c r="E803" s="311"/>
    </row>
    <row r="804">
      <c r="D804" s="310"/>
      <c r="E804" s="311"/>
    </row>
    <row r="805">
      <c r="D805" s="310"/>
      <c r="E805" s="311"/>
    </row>
    <row r="806">
      <c r="D806" s="310"/>
      <c r="E806" s="311"/>
    </row>
    <row r="807">
      <c r="D807" s="310"/>
      <c r="E807" s="311"/>
    </row>
    <row r="808">
      <c r="D808" s="310"/>
      <c r="E808" s="311"/>
    </row>
    <row r="809">
      <c r="D809" s="310"/>
      <c r="E809" s="311"/>
    </row>
    <row r="810">
      <c r="D810" s="310"/>
      <c r="E810" s="311"/>
    </row>
    <row r="811">
      <c r="D811" s="310"/>
      <c r="E811" s="311"/>
    </row>
    <row r="812">
      <c r="D812" s="310"/>
      <c r="E812" s="311"/>
    </row>
    <row r="813">
      <c r="D813" s="310"/>
      <c r="E813" s="311"/>
    </row>
    <row r="814">
      <c r="D814" s="310"/>
      <c r="E814" s="311"/>
    </row>
    <row r="815">
      <c r="D815" s="310"/>
      <c r="E815" s="311"/>
    </row>
    <row r="816">
      <c r="D816" s="310"/>
      <c r="E816" s="311"/>
    </row>
    <row r="817">
      <c r="D817" s="310"/>
      <c r="E817" s="311"/>
    </row>
    <row r="818">
      <c r="D818" s="310"/>
      <c r="E818" s="311"/>
    </row>
    <row r="819">
      <c r="D819" s="310"/>
      <c r="E819" s="311"/>
    </row>
    <row r="820">
      <c r="D820" s="310"/>
      <c r="E820" s="311"/>
    </row>
    <row r="821">
      <c r="D821" s="310"/>
      <c r="E821" s="311"/>
    </row>
    <row r="822">
      <c r="D822" s="310"/>
      <c r="E822" s="311"/>
    </row>
    <row r="823">
      <c r="D823" s="310"/>
      <c r="E823" s="311"/>
    </row>
    <row r="824">
      <c r="D824" s="310"/>
      <c r="E824" s="311"/>
    </row>
    <row r="825">
      <c r="D825" s="310"/>
      <c r="E825" s="311"/>
    </row>
    <row r="826">
      <c r="D826" s="310"/>
      <c r="E826" s="311"/>
    </row>
    <row r="827">
      <c r="D827" s="310"/>
      <c r="E827" s="311"/>
    </row>
    <row r="828">
      <c r="D828" s="310"/>
      <c r="E828" s="311"/>
    </row>
    <row r="829">
      <c r="D829" s="310"/>
      <c r="E829" s="311"/>
    </row>
    <row r="830">
      <c r="D830" s="310"/>
      <c r="E830" s="311"/>
    </row>
    <row r="831">
      <c r="D831" s="310"/>
      <c r="E831" s="311"/>
    </row>
    <row r="832">
      <c r="D832" s="310"/>
      <c r="E832" s="311"/>
    </row>
    <row r="833">
      <c r="D833" s="310"/>
      <c r="E833" s="311"/>
    </row>
    <row r="834">
      <c r="D834" s="310"/>
      <c r="E834" s="311"/>
    </row>
    <row r="835">
      <c r="D835" s="310"/>
      <c r="E835" s="311"/>
    </row>
    <row r="836">
      <c r="D836" s="310"/>
      <c r="E836" s="311"/>
    </row>
    <row r="837">
      <c r="D837" s="310"/>
      <c r="E837" s="311"/>
    </row>
    <row r="838">
      <c r="D838" s="310"/>
      <c r="E838" s="311"/>
    </row>
    <row r="839">
      <c r="D839" s="310"/>
      <c r="E839" s="311"/>
    </row>
    <row r="840">
      <c r="D840" s="310"/>
      <c r="E840" s="311"/>
    </row>
    <row r="841">
      <c r="D841" s="310"/>
      <c r="E841" s="311"/>
    </row>
    <row r="842">
      <c r="D842" s="310"/>
      <c r="E842" s="311"/>
    </row>
    <row r="843">
      <c r="D843" s="310"/>
      <c r="E843" s="311"/>
    </row>
    <row r="844">
      <c r="D844" s="310"/>
      <c r="E844" s="311"/>
    </row>
    <row r="845">
      <c r="D845" s="310"/>
      <c r="E845" s="311"/>
    </row>
    <row r="846">
      <c r="D846" s="310"/>
      <c r="E846" s="311"/>
    </row>
    <row r="847">
      <c r="D847" s="310"/>
      <c r="E847" s="311"/>
    </row>
    <row r="848">
      <c r="D848" s="310"/>
      <c r="E848" s="311"/>
    </row>
    <row r="849">
      <c r="D849" s="310"/>
      <c r="E849" s="311"/>
    </row>
    <row r="850">
      <c r="D850" s="310"/>
      <c r="E850" s="311"/>
    </row>
    <row r="851">
      <c r="D851" s="310"/>
      <c r="E851" s="311"/>
    </row>
    <row r="852">
      <c r="D852" s="310"/>
      <c r="E852" s="311"/>
    </row>
    <row r="853">
      <c r="D853" s="310"/>
      <c r="E853" s="311"/>
    </row>
    <row r="854">
      <c r="D854" s="310"/>
      <c r="E854" s="311"/>
    </row>
    <row r="855">
      <c r="D855" s="310"/>
      <c r="E855" s="311"/>
    </row>
    <row r="856">
      <c r="D856" s="310"/>
      <c r="E856" s="311"/>
    </row>
    <row r="857">
      <c r="D857" s="310"/>
      <c r="E857" s="311"/>
    </row>
    <row r="858">
      <c r="D858" s="310"/>
      <c r="E858" s="311"/>
    </row>
    <row r="859">
      <c r="D859" s="310"/>
      <c r="E859" s="311"/>
    </row>
    <row r="860">
      <c r="D860" s="310"/>
      <c r="E860" s="311"/>
    </row>
    <row r="861">
      <c r="D861" s="310"/>
      <c r="E861" s="311"/>
    </row>
    <row r="862">
      <c r="D862" s="310"/>
      <c r="E862" s="311"/>
    </row>
    <row r="863">
      <c r="D863" s="310"/>
      <c r="E863" s="311"/>
    </row>
  </sheetData>
  <mergeCells count="96">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4:H74"/>
    <mergeCell ref="G75:H75"/>
    <mergeCell ref="G76:H76"/>
    <mergeCell ref="G77:H77"/>
    <mergeCell ref="G79:H79"/>
    <mergeCell ref="G81:H81"/>
    <mergeCell ref="G82:H82"/>
    <mergeCell ref="G83:H83"/>
    <mergeCell ref="G84:H84"/>
    <mergeCell ref="G86:H86"/>
    <mergeCell ref="G88:H88"/>
    <mergeCell ref="G89:H89"/>
    <mergeCell ref="G90:H90"/>
    <mergeCell ref="G91:H91"/>
    <mergeCell ref="G92:H92"/>
    <mergeCell ref="G93:H93"/>
    <mergeCell ref="G102:H102"/>
    <mergeCell ref="G103:H103"/>
    <mergeCell ref="G104:H104"/>
    <mergeCell ref="G105:H105"/>
    <mergeCell ref="G106:H106"/>
    <mergeCell ref="G94:H94"/>
    <mergeCell ref="G95:H95"/>
    <mergeCell ref="G96:H96"/>
    <mergeCell ref="G97:H97"/>
    <mergeCell ref="G98:H98"/>
    <mergeCell ref="G99:H99"/>
    <mergeCell ref="G101:H101"/>
    <mergeCell ref="G2:H2"/>
    <mergeCell ref="G3:H3"/>
    <mergeCell ref="G4:H4"/>
    <mergeCell ref="G5:H5"/>
    <mergeCell ref="G6:H6"/>
    <mergeCell ref="G7:H7"/>
    <mergeCell ref="G8:H8"/>
    <mergeCell ref="G9:H9"/>
    <mergeCell ref="G10:H10"/>
    <mergeCell ref="G11:H11"/>
    <mergeCell ref="G12:H12"/>
    <mergeCell ref="G13:H13"/>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6:H46"/>
    <mergeCell ref="G47:H47"/>
    <mergeCell ref="G48:H48"/>
    <mergeCell ref="G49:H49"/>
    <mergeCell ref="G50:H50"/>
    <mergeCell ref="G51:H51"/>
    <mergeCell ref="G52:H52"/>
    <mergeCell ref="G53:H53"/>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12" max="12" width="18.38"/>
  </cols>
  <sheetData>
    <row r="1">
      <c r="A1" s="312">
        <f>SUM(L2:L192)</f>
        <v>2744</v>
      </c>
      <c r="B1" s="312" t="s">
        <v>1</v>
      </c>
      <c r="C1" s="313" t="s">
        <v>2</v>
      </c>
      <c r="D1" s="314" t="s">
        <v>603</v>
      </c>
      <c r="E1" s="315" t="s">
        <v>604</v>
      </c>
      <c r="F1" s="312" t="s">
        <v>4</v>
      </c>
      <c r="G1" s="312" t="s">
        <v>5</v>
      </c>
      <c r="H1" s="312" t="s">
        <v>6</v>
      </c>
      <c r="I1" s="312" t="s">
        <v>7</v>
      </c>
      <c r="J1" s="312" t="s">
        <v>8</v>
      </c>
      <c r="K1" s="312" t="s">
        <v>9</v>
      </c>
      <c r="L1" s="312" t="s">
        <v>10</v>
      </c>
      <c r="M1" s="312" t="s">
        <v>11</v>
      </c>
      <c r="N1" s="312" t="s">
        <v>12</v>
      </c>
    </row>
    <row r="2">
      <c r="A2" s="316" t="s">
        <v>16</v>
      </c>
      <c r="B2" s="317">
        <v>4320.0</v>
      </c>
      <c r="C2" s="318"/>
      <c r="D2" s="319" t="s">
        <v>720</v>
      </c>
      <c r="E2" s="320" t="s">
        <v>261</v>
      </c>
      <c r="F2" s="316" t="s">
        <v>262</v>
      </c>
      <c r="G2" s="316" t="s">
        <v>263</v>
      </c>
      <c r="I2" s="321">
        <v>36529.0</v>
      </c>
      <c r="J2" s="321">
        <v>45505.0</v>
      </c>
      <c r="K2" s="321">
        <v>45604.0</v>
      </c>
      <c r="L2" s="317">
        <v>0.0</v>
      </c>
      <c r="M2" s="321">
        <v>45689.0</v>
      </c>
      <c r="N2" s="321">
        <v>45716.0</v>
      </c>
    </row>
    <row r="3">
      <c r="A3" s="316" t="s">
        <v>16</v>
      </c>
      <c r="B3" s="317">
        <v>4320.0</v>
      </c>
      <c r="C3" s="318"/>
      <c r="D3" s="322">
        <v>0.0</v>
      </c>
      <c r="E3" s="316" t="s">
        <v>436</v>
      </c>
      <c r="F3" s="316" t="s">
        <v>362</v>
      </c>
      <c r="G3" s="316" t="s">
        <v>363</v>
      </c>
      <c r="I3" s="321">
        <v>37149.0</v>
      </c>
      <c r="J3" s="321">
        <v>45397.0</v>
      </c>
      <c r="K3" s="66"/>
      <c r="L3" s="317">
        <v>28.0</v>
      </c>
      <c r="M3" s="321">
        <v>45689.0</v>
      </c>
      <c r="N3" s="321">
        <v>45716.0</v>
      </c>
    </row>
    <row r="4">
      <c r="A4" s="316" t="s">
        <v>16</v>
      </c>
      <c r="B4" s="317">
        <v>4320.0</v>
      </c>
      <c r="C4" s="318"/>
      <c r="D4" s="322">
        <v>0.0</v>
      </c>
      <c r="E4" s="316" t="s">
        <v>310</v>
      </c>
      <c r="F4" s="316" t="s">
        <v>311</v>
      </c>
      <c r="G4" s="316" t="s">
        <v>312</v>
      </c>
      <c r="I4" s="321">
        <v>37282.0</v>
      </c>
      <c r="J4" s="321">
        <v>45362.0</v>
      </c>
      <c r="K4" s="323">
        <v>45443.0</v>
      </c>
      <c r="L4" s="317">
        <v>0.0</v>
      </c>
      <c r="M4" s="321">
        <v>45689.0</v>
      </c>
      <c r="N4" s="321">
        <v>45716.0</v>
      </c>
    </row>
    <row r="5">
      <c r="A5" s="316" t="s">
        <v>16</v>
      </c>
      <c r="B5" s="317">
        <v>4320.0</v>
      </c>
      <c r="C5" s="318"/>
      <c r="D5" s="322">
        <v>0.0</v>
      </c>
      <c r="E5" s="316" t="s">
        <v>437</v>
      </c>
      <c r="F5" s="316" t="s">
        <v>22</v>
      </c>
      <c r="G5" s="316" t="s">
        <v>23</v>
      </c>
      <c r="I5" s="321">
        <v>36358.0</v>
      </c>
      <c r="J5" s="321">
        <v>45027.0</v>
      </c>
      <c r="K5" s="321">
        <v>45603.0</v>
      </c>
      <c r="L5" s="317">
        <v>0.0</v>
      </c>
      <c r="M5" s="321">
        <v>45689.0</v>
      </c>
      <c r="N5" s="321">
        <v>45716.0</v>
      </c>
    </row>
    <row r="6">
      <c r="A6" s="316" t="s">
        <v>16</v>
      </c>
      <c r="B6" s="317">
        <v>4320.0</v>
      </c>
      <c r="C6" s="318"/>
      <c r="D6" s="322">
        <v>0.0</v>
      </c>
      <c r="E6" s="316" t="s">
        <v>561</v>
      </c>
      <c r="F6" s="316" t="s">
        <v>562</v>
      </c>
      <c r="G6" s="316" t="s">
        <v>563</v>
      </c>
      <c r="I6" s="321">
        <v>36879.0</v>
      </c>
      <c r="J6" s="323">
        <v>45670.0</v>
      </c>
      <c r="K6" s="66"/>
      <c r="L6" s="317">
        <v>28.0</v>
      </c>
      <c r="M6" s="321">
        <v>45689.0</v>
      </c>
      <c r="N6" s="321">
        <v>45716.0</v>
      </c>
    </row>
    <row r="7">
      <c r="A7" s="316" t="s">
        <v>16</v>
      </c>
      <c r="B7" s="317">
        <v>4320.0</v>
      </c>
      <c r="C7" s="318"/>
      <c r="D7" s="322">
        <v>0.0</v>
      </c>
      <c r="E7" s="316" t="s">
        <v>605</v>
      </c>
      <c r="F7" s="316" t="s">
        <v>25</v>
      </c>
      <c r="G7" s="316" t="s">
        <v>26</v>
      </c>
      <c r="I7" s="321">
        <v>36860.0</v>
      </c>
      <c r="J7" s="321">
        <v>45124.0</v>
      </c>
      <c r="K7" s="321">
        <v>45527.0</v>
      </c>
      <c r="L7" s="317">
        <v>0.0</v>
      </c>
      <c r="M7" s="321">
        <v>45689.0</v>
      </c>
      <c r="N7" s="321">
        <v>45716.0</v>
      </c>
    </row>
    <row r="8">
      <c r="A8" s="316" t="s">
        <v>16</v>
      </c>
      <c r="B8" s="317">
        <v>4320.0</v>
      </c>
      <c r="C8" s="318"/>
      <c r="D8" s="322">
        <v>0.0</v>
      </c>
      <c r="E8" s="316" t="s">
        <v>407</v>
      </c>
      <c r="F8" s="316" t="s">
        <v>97</v>
      </c>
      <c r="G8" s="316" t="s">
        <v>98</v>
      </c>
      <c r="I8" s="323">
        <v>36690.0</v>
      </c>
      <c r="J8" s="321">
        <v>44938.0</v>
      </c>
      <c r="K8" s="66"/>
      <c r="L8" s="317">
        <v>28.0</v>
      </c>
      <c r="M8" s="321">
        <v>45689.0</v>
      </c>
      <c r="N8" s="321">
        <v>45716.0</v>
      </c>
    </row>
    <row r="9">
      <c r="A9" s="316" t="s">
        <v>16</v>
      </c>
      <c r="B9" s="317">
        <v>4320.0</v>
      </c>
      <c r="C9" s="318"/>
      <c r="D9" s="322">
        <v>0.0</v>
      </c>
      <c r="E9" s="316" t="s">
        <v>473</v>
      </c>
      <c r="F9" s="316" t="s">
        <v>530</v>
      </c>
      <c r="G9" s="316" t="s">
        <v>475</v>
      </c>
      <c r="I9" s="321">
        <v>37459.0</v>
      </c>
      <c r="J9" s="321">
        <v>45586.0</v>
      </c>
      <c r="K9" s="66"/>
      <c r="L9" s="317">
        <v>28.0</v>
      </c>
      <c r="M9" s="321">
        <v>45689.0</v>
      </c>
      <c r="N9" s="321">
        <v>45716.0</v>
      </c>
    </row>
    <row r="10">
      <c r="A10" s="316" t="s">
        <v>16</v>
      </c>
      <c r="B10" s="317">
        <v>4320.0</v>
      </c>
      <c r="C10" s="318"/>
      <c r="D10" s="322">
        <v>0.0</v>
      </c>
      <c r="E10" s="316" t="s">
        <v>313</v>
      </c>
      <c r="F10" s="316" t="s">
        <v>314</v>
      </c>
      <c r="G10" s="316" t="s">
        <v>315</v>
      </c>
      <c r="I10" s="321">
        <v>35619.0</v>
      </c>
      <c r="J10" s="321">
        <v>45369.0</v>
      </c>
      <c r="K10" s="321">
        <v>45399.0</v>
      </c>
      <c r="L10" s="317">
        <v>0.0</v>
      </c>
      <c r="M10" s="321">
        <v>45689.0</v>
      </c>
      <c r="N10" s="321">
        <v>45716.0</v>
      </c>
    </row>
    <row r="11">
      <c r="A11" s="316" t="s">
        <v>16</v>
      </c>
      <c r="B11" s="317">
        <v>4320.0</v>
      </c>
      <c r="C11" s="318"/>
      <c r="D11" s="322">
        <v>0.0</v>
      </c>
      <c r="E11" s="316" t="s">
        <v>408</v>
      </c>
      <c r="F11" s="316" t="s">
        <v>409</v>
      </c>
      <c r="G11" s="316" t="s">
        <v>410</v>
      </c>
      <c r="I11" s="321">
        <v>37978.0</v>
      </c>
      <c r="J11" s="321">
        <v>45453.0</v>
      </c>
      <c r="K11" s="66"/>
      <c r="L11" s="317">
        <v>28.0</v>
      </c>
      <c r="M11" s="321">
        <v>45689.0</v>
      </c>
      <c r="N11" s="321">
        <v>45716.0</v>
      </c>
    </row>
    <row r="12">
      <c r="A12" s="316" t="s">
        <v>16</v>
      </c>
      <c r="B12" s="317">
        <v>4320.0</v>
      </c>
      <c r="C12" s="318"/>
      <c r="D12" s="322">
        <v>0.0</v>
      </c>
      <c r="E12" s="316" t="s">
        <v>606</v>
      </c>
      <c r="F12" s="316" t="s">
        <v>607</v>
      </c>
      <c r="G12" s="316" t="s">
        <v>608</v>
      </c>
      <c r="I12" s="321">
        <v>33844.0</v>
      </c>
      <c r="J12" s="321">
        <v>44562.0</v>
      </c>
      <c r="K12" s="321">
        <v>45199.0</v>
      </c>
      <c r="L12" s="317">
        <v>0.0</v>
      </c>
      <c r="M12" s="321">
        <v>45689.0</v>
      </c>
      <c r="N12" s="321">
        <v>45716.0</v>
      </c>
    </row>
    <row r="13">
      <c r="A13" s="316" t="s">
        <v>16</v>
      </c>
      <c r="B13" s="317">
        <v>4320.0</v>
      </c>
      <c r="C13" s="318"/>
      <c r="D13" s="322">
        <v>0.0</v>
      </c>
      <c r="E13" s="316" t="s">
        <v>609</v>
      </c>
      <c r="F13" s="316" t="s">
        <v>31</v>
      </c>
      <c r="G13" s="316" t="s">
        <v>32</v>
      </c>
      <c r="I13" s="321">
        <v>35997.0</v>
      </c>
      <c r="J13" s="321">
        <v>45061.0</v>
      </c>
      <c r="K13" s="321">
        <v>45569.0</v>
      </c>
      <c r="L13" s="317">
        <v>0.0</v>
      </c>
      <c r="M13" s="321">
        <v>45689.0</v>
      </c>
      <c r="N13" s="321">
        <v>45716.0</v>
      </c>
    </row>
    <row r="14">
      <c r="A14" s="316" t="s">
        <v>16</v>
      </c>
      <c r="B14" s="317">
        <v>4320.0</v>
      </c>
      <c r="C14" s="318"/>
      <c r="D14" s="322">
        <v>0.0</v>
      </c>
      <c r="E14" s="316" t="s">
        <v>246</v>
      </c>
      <c r="F14" s="316" t="s">
        <v>247</v>
      </c>
      <c r="G14" s="316" t="s">
        <v>248</v>
      </c>
      <c r="I14" s="321">
        <v>36501.0</v>
      </c>
      <c r="J14" s="321">
        <v>45246.0</v>
      </c>
      <c r="K14" s="66"/>
      <c r="L14" s="317">
        <v>28.0</v>
      </c>
      <c r="M14" s="321">
        <v>45689.0</v>
      </c>
      <c r="N14" s="321">
        <v>45716.0</v>
      </c>
    </row>
    <row r="15">
      <c r="A15" s="316" t="s">
        <v>16</v>
      </c>
      <c r="B15" s="317">
        <v>4320.0</v>
      </c>
      <c r="C15" s="318"/>
      <c r="D15" s="322">
        <v>0.0</v>
      </c>
      <c r="E15" s="316" t="s">
        <v>380</v>
      </c>
      <c r="F15" s="316" t="s">
        <v>381</v>
      </c>
      <c r="G15" s="316" t="s">
        <v>382</v>
      </c>
      <c r="I15" s="321">
        <v>35669.0</v>
      </c>
      <c r="J15" s="323">
        <v>45418.0</v>
      </c>
      <c r="K15" s="321">
        <v>45481.0</v>
      </c>
      <c r="L15" s="317">
        <v>0.0</v>
      </c>
      <c r="M15" s="321">
        <v>45689.0</v>
      </c>
      <c r="N15" s="321">
        <v>45716.0</v>
      </c>
    </row>
    <row r="16">
      <c r="A16" s="316" t="s">
        <v>16</v>
      </c>
      <c r="B16" s="317">
        <v>4320.0</v>
      </c>
      <c r="C16" s="318"/>
      <c r="D16" s="322">
        <v>0.0</v>
      </c>
      <c r="E16" s="316" t="s">
        <v>610</v>
      </c>
      <c r="F16" s="316" t="s">
        <v>611</v>
      </c>
      <c r="G16" s="316" t="s">
        <v>612</v>
      </c>
      <c r="I16" s="323">
        <v>35400.0</v>
      </c>
      <c r="J16" s="321">
        <v>45061.0</v>
      </c>
      <c r="K16" s="321">
        <v>45503.0</v>
      </c>
      <c r="L16" s="317">
        <v>0.0</v>
      </c>
      <c r="M16" s="321">
        <v>45689.0</v>
      </c>
      <c r="N16" s="321">
        <v>45716.0</v>
      </c>
    </row>
    <row r="17">
      <c r="A17" s="316" t="s">
        <v>16</v>
      </c>
      <c r="B17" s="317">
        <v>4320.0</v>
      </c>
      <c r="C17" s="318"/>
      <c r="D17" s="322">
        <v>0.0</v>
      </c>
      <c r="E17" s="316" t="s">
        <v>613</v>
      </c>
      <c r="F17" s="316" t="s">
        <v>34</v>
      </c>
      <c r="G17" s="316" t="s">
        <v>35</v>
      </c>
      <c r="I17" s="321">
        <v>35053.0</v>
      </c>
      <c r="J17" s="321">
        <v>45173.0</v>
      </c>
      <c r="K17" s="321">
        <v>45322.0</v>
      </c>
      <c r="L17" s="317">
        <v>0.0</v>
      </c>
      <c r="M17" s="321">
        <v>45689.0</v>
      </c>
      <c r="N17" s="321">
        <v>45716.0</v>
      </c>
    </row>
    <row r="18">
      <c r="A18" s="316" t="s">
        <v>16</v>
      </c>
      <c r="B18" s="317">
        <v>4320.0</v>
      </c>
      <c r="C18" s="318"/>
      <c r="D18" s="322">
        <v>0.0</v>
      </c>
      <c r="E18" s="316" t="s">
        <v>564</v>
      </c>
      <c r="F18" s="316" t="s">
        <v>565</v>
      </c>
      <c r="G18" s="316" t="s">
        <v>566</v>
      </c>
      <c r="I18" s="321">
        <v>34799.0</v>
      </c>
      <c r="J18" s="321">
        <v>45670.0</v>
      </c>
      <c r="K18" s="66"/>
      <c r="L18" s="317">
        <v>28.0</v>
      </c>
      <c r="M18" s="321">
        <v>45689.0</v>
      </c>
      <c r="N18" s="321">
        <v>45716.0</v>
      </c>
    </row>
    <row r="19">
      <c r="A19" s="316" t="s">
        <v>16</v>
      </c>
      <c r="B19" s="317">
        <v>4320.0</v>
      </c>
      <c r="C19" s="318"/>
      <c r="D19" s="322">
        <v>0.0</v>
      </c>
      <c r="E19" s="316" t="s">
        <v>552</v>
      </c>
      <c r="F19" s="316" t="s">
        <v>553</v>
      </c>
      <c r="G19" s="316" t="s">
        <v>554</v>
      </c>
      <c r="I19" s="321">
        <v>36904.0</v>
      </c>
      <c r="J19" s="321">
        <v>45663.0</v>
      </c>
      <c r="K19" s="66"/>
      <c r="L19" s="317">
        <v>28.0</v>
      </c>
      <c r="M19" s="321">
        <v>45689.0</v>
      </c>
      <c r="N19" s="321">
        <v>45716.0</v>
      </c>
    </row>
    <row r="20">
      <c r="A20" s="316" t="s">
        <v>16</v>
      </c>
      <c r="B20" s="317">
        <v>4320.0</v>
      </c>
      <c r="C20" s="318"/>
      <c r="D20" s="322">
        <v>0.0</v>
      </c>
      <c r="E20" s="316" t="s">
        <v>614</v>
      </c>
      <c r="F20" s="316" t="s">
        <v>232</v>
      </c>
      <c r="G20" s="316" t="s">
        <v>233</v>
      </c>
      <c r="I20" s="321">
        <v>36634.0</v>
      </c>
      <c r="J20" s="321">
        <v>45250.0</v>
      </c>
      <c r="K20" s="323">
        <v>45428.0</v>
      </c>
      <c r="L20" s="317">
        <v>0.0</v>
      </c>
      <c r="M20" s="321">
        <v>45689.0</v>
      </c>
      <c r="N20" s="321">
        <v>45716.0</v>
      </c>
    </row>
    <row r="21">
      <c r="A21" s="316" t="s">
        <v>16</v>
      </c>
      <c r="B21" s="317">
        <v>4320.0</v>
      </c>
      <c r="C21" s="318"/>
      <c r="D21" s="322">
        <v>0.0</v>
      </c>
      <c r="E21" s="316" t="s">
        <v>36</v>
      </c>
      <c r="F21" s="316" t="s">
        <v>37</v>
      </c>
      <c r="G21" s="316" t="s">
        <v>38</v>
      </c>
      <c r="I21" s="321">
        <v>33408.0</v>
      </c>
      <c r="J21" s="321">
        <v>45078.0</v>
      </c>
      <c r="K21" s="321">
        <v>45366.0</v>
      </c>
      <c r="L21" s="317">
        <v>0.0</v>
      </c>
      <c r="M21" s="321">
        <v>45689.0</v>
      </c>
      <c r="N21" s="321">
        <v>45716.0</v>
      </c>
    </row>
    <row r="22">
      <c r="A22" s="316" t="s">
        <v>16</v>
      </c>
      <c r="B22" s="317">
        <v>4320.0</v>
      </c>
      <c r="C22" s="318"/>
      <c r="D22" s="322">
        <v>0.0</v>
      </c>
      <c r="E22" s="316" t="s">
        <v>39</v>
      </c>
      <c r="F22" s="316" t="s">
        <v>40</v>
      </c>
      <c r="G22" s="316" t="s">
        <v>41</v>
      </c>
      <c r="I22" s="321">
        <v>35983.0</v>
      </c>
      <c r="J22" s="321">
        <v>45082.0</v>
      </c>
      <c r="K22" s="321">
        <v>45362.0</v>
      </c>
      <c r="L22" s="317">
        <v>0.0</v>
      </c>
      <c r="M22" s="321">
        <v>45689.0</v>
      </c>
      <c r="N22" s="321">
        <v>45716.0</v>
      </c>
    </row>
    <row r="23">
      <c r="A23" s="316" t="s">
        <v>16</v>
      </c>
      <c r="B23" s="317">
        <v>4320.0</v>
      </c>
      <c r="C23" s="318"/>
      <c r="D23" s="322">
        <v>0.0</v>
      </c>
      <c r="E23" s="316" t="s">
        <v>615</v>
      </c>
      <c r="F23" s="316" t="s">
        <v>365</v>
      </c>
      <c r="G23" s="316" t="s">
        <v>366</v>
      </c>
      <c r="I23" s="321">
        <v>36703.0</v>
      </c>
      <c r="J23" s="321">
        <v>45411.0</v>
      </c>
      <c r="K23" s="323">
        <v>45432.0</v>
      </c>
      <c r="L23" s="317">
        <v>0.0</v>
      </c>
      <c r="M23" s="321">
        <v>45689.0</v>
      </c>
      <c r="N23" s="321">
        <v>45716.0</v>
      </c>
    </row>
    <row r="24">
      <c r="A24" s="316" t="s">
        <v>16</v>
      </c>
      <c r="B24" s="317">
        <v>4320.0</v>
      </c>
      <c r="C24" s="318"/>
      <c r="D24" s="322">
        <v>0.0</v>
      </c>
      <c r="E24" s="316" t="s">
        <v>234</v>
      </c>
      <c r="F24" s="316" t="s">
        <v>235</v>
      </c>
      <c r="G24" s="316" t="s">
        <v>236</v>
      </c>
      <c r="I24" s="321">
        <v>33048.0</v>
      </c>
      <c r="J24" s="321">
        <v>45243.0</v>
      </c>
      <c r="K24" s="321">
        <v>45329.0</v>
      </c>
      <c r="L24" s="317">
        <v>0.0</v>
      </c>
      <c r="M24" s="321">
        <v>45689.0</v>
      </c>
      <c r="N24" s="321">
        <v>45716.0</v>
      </c>
    </row>
    <row r="25">
      <c r="A25" s="316" t="s">
        <v>16</v>
      </c>
      <c r="B25" s="317">
        <v>4320.0</v>
      </c>
      <c r="C25" s="318"/>
      <c r="D25" s="322">
        <v>0.0</v>
      </c>
      <c r="E25" s="316" t="s">
        <v>616</v>
      </c>
      <c r="F25" s="316" t="s">
        <v>617</v>
      </c>
      <c r="G25" s="316" t="s">
        <v>618</v>
      </c>
      <c r="I25" s="321">
        <v>35082.0</v>
      </c>
      <c r="J25" s="321">
        <v>45194.0</v>
      </c>
      <c r="K25" s="321">
        <v>45199.0</v>
      </c>
      <c r="L25" s="317">
        <v>0.0</v>
      </c>
      <c r="M25" s="321">
        <v>45689.0</v>
      </c>
      <c r="N25" s="321">
        <v>45716.0</v>
      </c>
    </row>
    <row r="26">
      <c r="A26" s="316" t="s">
        <v>16</v>
      </c>
      <c r="B26" s="317">
        <v>4320.0</v>
      </c>
      <c r="C26" s="318"/>
      <c r="D26" s="322">
        <v>0.0</v>
      </c>
      <c r="E26" s="316" t="s">
        <v>316</v>
      </c>
      <c r="F26" s="316" t="s">
        <v>317</v>
      </c>
      <c r="G26" s="316" t="s">
        <v>318</v>
      </c>
      <c r="I26" s="321">
        <v>37274.0</v>
      </c>
      <c r="J26" s="321">
        <v>45362.0</v>
      </c>
      <c r="K26" s="321">
        <v>45688.0</v>
      </c>
      <c r="L26" s="317">
        <v>0.0</v>
      </c>
      <c r="M26" s="321">
        <v>45689.0</v>
      </c>
      <c r="N26" s="321">
        <v>45716.0</v>
      </c>
    </row>
    <row r="27">
      <c r="A27" s="316" t="s">
        <v>16</v>
      </c>
      <c r="B27" s="317">
        <v>4320.0</v>
      </c>
      <c r="C27" s="318"/>
      <c r="D27" s="322">
        <v>0.0</v>
      </c>
      <c r="E27" s="316" t="s">
        <v>264</v>
      </c>
      <c r="F27" s="316" t="s">
        <v>265</v>
      </c>
      <c r="G27" s="316" t="s">
        <v>266</v>
      </c>
      <c r="I27" s="321">
        <v>37398.0</v>
      </c>
      <c r="J27" s="321">
        <v>45096.0</v>
      </c>
      <c r="K27" s="66"/>
      <c r="L27" s="317">
        <v>28.0</v>
      </c>
      <c r="M27" s="321">
        <v>45689.0</v>
      </c>
      <c r="N27" s="321">
        <v>45716.0</v>
      </c>
    </row>
    <row r="28">
      <c r="A28" s="316" t="s">
        <v>16</v>
      </c>
      <c r="B28" s="317">
        <v>4320.0</v>
      </c>
      <c r="C28" s="318"/>
      <c r="D28" s="317">
        <v>0.0</v>
      </c>
      <c r="E28" s="316" t="s">
        <v>411</v>
      </c>
      <c r="F28" s="316" t="s">
        <v>412</v>
      </c>
      <c r="G28" s="316" t="s">
        <v>413</v>
      </c>
      <c r="I28" s="321">
        <v>33230.0</v>
      </c>
      <c r="J28" s="321">
        <v>45453.0</v>
      </c>
      <c r="K28" s="66"/>
      <c r="L28" s="317">
        <v>28.0</v>
      </c>
      <c r="M28" s="321">
        <v>45689.0</v>
      </c>
      <c r="N28" s="321">
        <v>45716.0</v>
      </c>
    </row>
    <row r="29">
      <c r="A29" s="316" t="s">
        <v>16</v>
      </c>
      <c r="B29" s="317">
        <v>4320.0</v>
      </c>
      <c r="C29" s="318"/>
      <c r="D29" s="322">
        <v>0.0</v>
      </c>
      <c r="E29" s="316" t="s">
        <v>282</v>
      </c>
      <c r="F29" s="316" t="s">
        <v>283</v>
      </c>
      <c r="G29" s="316" t="s">
        <v>284</v>
      </c>
      <c r="I29" s="323">
        <v>35047.0</v>
      </c>
      <c r="J29" s="321">
        <v>45257.0</v>
      </c>
      <c r="K29" s="66"/>
      <c r="L29" s="317">
        <v>28.0</v>
      </c>
      <c r="M29" s="321">
        <v>45689.0</v>
      </c>
      <c r="N29" s="321">
        <v>45716.0</v>
      </c>
    </row>
    <row r="30">
      <c r="A30" s="316" t="s">
        <v>16</v>
      </c>
      <c r="B30" s="317">
        <v>4320.0</v>
      </c>
      <c r="C30" s="318"/>
      <c r="D30" s="322">
        <v>0.0</v>
      </c>
      <c r="E30" s="316" t="s">
        <v>481</v>
      </c>
      <c r="F30" s="316" t="s">
        <v>531</v>
      </c>
      <c r="G30" s="316" t="s">
        <v>482</v>
      </c>
      <c r="I30" s="321">
        <v>35096.0</v>
      </c>
      <c r="J30" s="321">
        <v>45602.0</v>
      </c>
      <c r="K30" s="66"/>
      <c r="L30" s="317">
        <v>28.0</v>
      </c>
      <c r="M30" s="321">
        <v>45689.0</v>
      </c>
      <c r="N30" s="321">
        <v>45716.0</v>
      </c>
    </row>
    <row r="31">
      <c r="A31" s="316" t="s">
        <v>16</v>
      </c>
      <c r="B31" s="317">
        <v>4320.0</v>
      </c>
      <c r="C31" s="318"/>
      <c r="D31" s="322">
        <v>0.0</v>
      </c>
      <c r="E31" s="316" t="s">
        <v>45</v>
      </c>
      <c r="F31" s="316" t="s">
        <v>46</v>
      </c>
      <c r="G31" s="316" t="s">
        <v>47</v>
      </c>
      <c r="I31" s="321">
        <v>37370.0</v>
      </c>
      <c r="J31" s="321">
        <v>44739.0</v>
      </c>
      <c r="K31" s="66"/>
      <c r="L31" s="317">
        <v>28.0</v>
      </c>
      <c r="M31" s="321">
        <v>45689.0</v>
      </c>
      <c r="N31" s="321">
        <v>45716.0</v>
      </c>
    </row>
    <row r="32">
      <c r="A32" s="316" t="s">
        <v>16</v>
      </c>
      <c r="B32" s="317">
        <v>4320.0</v>
      </c>
      <c r="C32" s="318"/>
      <c r="D32" s="322">
        <v>0.0</v>
      </c>
      <c r="E32" s="316" t="s">
        <v>48</v>
      </c>
      <c r="F32" s="316" t="s">
        <v>49</v>
      </c>
      <c r="G32" s="316" t="s">
        <v>50</v>
      </c>
      <c r="I32" s="321">
        <v>36399.0</v>
      </c>
      <c r="J32" s="323">
        <v>45229.0</v>
      </c>
      <c r="K32" s="66"/>
      <c r="L32" s="317">
        <v>28.0</v>
      </c>
      <c r="M32" s="321">
        <v>45689.0</v>
      </c>
      <c r="N32" s="321">
        <v>45716.0</v>
      </c>
    </row>
    <row r="33">
      <c r="A33" s="316" t="s">
        <v>16</v>
      </c>
      <c r="B33" s="317">
        <v>4320.0</v>
      </c>
      <c r="C33" s="318"/>
      <c r="D33" s="322">
        <v>0.0</v>
      </c>
      <c r="E33" s="316" t="s">
        <v>444</v>
      </c>
      <c r="F33" s="316" t="s">
        <v>320</v>
      </c>
      <c r="G33" s="316" t="s">
        <v>321</v>
      </c>
      <c r="I33" s="321">
        <v>36360.0</v>
      </c>
      <c r="J33" s="321">
        <v>45355.0</v>
      </c>
      <c r="K33" s="66"/>
      <c r="L33" s="317">
        <v>28.0</v>
      </c>
      <c r="M33" s="321">
        <v>45689.0</v>
      </c>
      <c r="N33" s="321">
        <v>45716.0</v>
      </c>
    </row>
    <row r="34">
      <c r="A34" s="316" t="s">
        <v>16</v>
      </c>
      <c r="B34" s="317">
        <v>4320.0</v>
      </c>
      <c r="C34" s="318"/>
      <c r="D34" s="322">
        <v>0.0</v>
      </c>
      <c r="E34" s="316" t="s">
        <v>383</v>
      </c>
      <c r="F34" s="316" t="s">
        <v>384</v>
      </c>
      <c r="G34" s="316" t="s">
        <v>385</v>
      </c>
      <c r="I34" s="323">
        <v>36183.0</v>
      </c>
      <c r="J34" s="321">
        <v>45418.0</v>
      </c>
      <c r="K34" s="66"/>
      <c r="L34" s="317">
        <v>28.0</v>
      </c>
      <c r="M34" s="321">
        <v>45689.0</v>
      </c>
      <c r="N34" s="321">
        <v>45716.0</v>
      </c>
    </row>
    <row r="35">
      <c r="A35" s="316" t="s">
        <v>16</v>
      </c>
      <c r="B35" s="317">
        <v>4320.0</v>
      </c>
      <c r="C35" s="318"/>
      <c r="D35" s="322">
        <v>0.0</v>
      </c>
      <c r="E35" s="324" t="s">
        <v>386</v>
      </c>
      <c r="F35" s="316" t="s">
        <v>387</v>
      </c>
      <c r="G35" s="316" t="s">
        <v>388</v>
      </c>
      <c r="I35" s="321">
        <v>37144.0</v>
      </c>
      <c r="J35" s="321">
        <v>45418.0</v>
      </c>
      <c r="K35" s="323">
        <v>45418.0</v>
      </c>
      <c r="L35" s="317">
        <v>0.0</v>
      </c>
      <c r="M35" s="321">
        <v>45689.0</v>
      </c>
      <c r="N35" s="321">
        <v>45716.0</v>
      </c>
    </row>
    <row r="36">
      <c r="A36" s="316" t="s">
        <v>16</v>
      </c>
      <c r="B36" s="317">
        <v>4320.0</v>
      </c>
      <c r="C36" s="318"/>
      <c r="D36" s="322">
        <v>0.0</v>
      </c>
      <c r="E36" s="316" t="s">
        <v>325</v>
      </c>
      <c r="F36" s="316" t="s">
        <v>326</v>
      </c>
      <c r="G36" s="316" t="s">
        <v>327</v>
      </c>
      <c r="I36" s="321">
        <v>36962.0</v>
      </c>
      <c r="J36" s="321">
        <v>45376.0</v>
      </c>
      <c r="K36" s="321">
        <v>45565.0</v>
      </c>
      <c r="L36" s="317">
        <v>0.0</v>
      </c>
      <c r="M36" s="321">
        <v>45689.0</v>
      </c>
      <c r="N36" s="321">
        <v>45716.0</v>
      </c>
    </row>
    <row r="37">
      <c r="A37" s="316" t="s">
        <v>16</v>
      </c>
      <c r="B37" s="317">
        <v>4320.0</v>
      </c>
      <c r="C37" s="318"/>
      <c r="D37" s="322">
        <v>0.0</v>
      </c>
      <c r="E37" s="316" t="s">
        <v>285</v>
      </c>
      <c r="F37" s="316" t="s">
        <v>286</v>
      </c>
      <c r="G37" s="316" t="s">
        <v>287</v>
      </c>
      <c r="I37" s="321">
        <v>37377.0</v>
      </c>
      <c r="J37" s="321">
        <v>45334.0</v>
      </c>
      <c r="K37" s="321">
        <v>45688.0</v>
      </c>
      <c r="L37" s="317">
        <v>0.0</v>
      </c>
      <c r="M37" s="321">
        <v>45689.0</v>
      </c>
      <c r="N37" s="321">
        <v>45716.0</v>
      </c>
    </row>
    <row r="38">
      <c r="A38" s="316" t="s">
        <v>16</v>
      </c>
      <c r="B38" s="317">
        <v>4320.0</v>
      </c>
      <c r="C38" s="318"/>
      <c r="D38" s="322">
        <v>0.0</v>
      </c>
      <c r="E38" s="316" t="s">
        <v>288</v>
      </c>
      <c r="F38" s="316" t="s">
        <v>289</v>
      </c>
      <c r="G38" s="316" t="s">
        <v>290</v>
      </c>
      <c r="I38" s="321">
        <v>37047.0</v>
      </c>
      <c r="J38" s="321">
        <v>45257.0</v>
      </c>
      <c r="K38" s="66"/>
      <c r="L38" s="317">
        <v>28.0</v>
      </c>
      <c r="M38" s="321">
        <v>45689.0</v>
      </c>
      <c r="N38" s="321">
        <v>45716.0</v>
      </c>
    </row>
    <row r="39">
      <c r="A39" s="316" t="s">
        <v>16</v>
      </c>
      <c r="B39" s="317">
        <v>4320.0</v>
      </c>
      <c r="C39" s="318"/>
      <c r="D39" s="322">
        <v>0.0</v>
      </c>
      <c r="E39" s="316" t="s">
        <v>567</v>
      </c>
      <c r="F39" s="316" t="s">
        <v>568</v>
      </c>
      <c r="G39" s="316" t="s">
        <v>569</v>
      </c>
      <c r="I39" s="321">
        <v>37962.0</v>
      </c>
      <c r="J39" s="321">
        <v>45677.0</v>
      </c>
      <c r="K39" s="66"/>
      <c r="L39" s="317">
        <v>28.0</v>
      </c>
      <c r="M39" s="321">
        <v>45689.0</v>
      </c>
      <c r="N39" s="321">
        <v>45716.0</v>
      </c>
    </row>
    <row r="40">
      <c r="A40" s="316" t="s">
        <v>16</v>
      </c>
      <c r="B40" s="317">
        <v>4320.0</v>
      </c>
      <c r="C40" s="318"/>
      <c r="D40" s="322">
        <v>0.0</v>
      </c>
      <c r="E40" s="316" t="s">
        <v>51</v>
      </c>
      <c r="F40" s="316" t="s">
        <v>52</v>
      </c>
      <c r="G40" s="316" t="s">
        <v>53</v>
      </c>
      <c r="I40" s="321">
        <v>34601.0</v>
      </c>
      <c r="J40" s="321">
        <v>44986.0</v>
      </c>
      <c r="K40" s="66"/>
      <c r="L40" s="317">
        <v>28.0</v>
      </c>
      <c r="M40" s="321">
        <v>45689.0</v>
      </c>
      <c r="N40" s="321">
        <v>45716.0</v>
      </c>
    </row>
    <row r="41">
      <c r="A41" s="316" t="s">
        <v>16</v>
      </c>
      <c r="B41" s="317">
        <v>4320.0</v>
      </c>
      <c r="C41" s="318"/>
      <c r="D41" s="322">
        <v>0.0</v>
      </c>
      <c r="E41" s="324" t="s">
        <v>445</v>
      </c>
      <c r="F41" s="316" t="s">
        <v>510</v>
      </c>
      <c r="G41" s="316" t="s">
        <v>447</v>
      </c>
      <c r="I41" s="321">
        <v>37047.0</v>
      </c>
      <c r="J41" s="321">
        <v>45505.0</v>
      </c>
      <c r="K41" s="66"/>
      <c r="L41" s="317">
        <v>28.0</v>
      </c>
      <c r="M41" s="321">
        <v>45689.0</v>
      </c>
      <c r="N41" s="321">
        <v>45716.0</v>
      </c>
    </row>
    <row r="42">
      <c r="A42" s="316" t="s">
        <v>16</v>
      </c>
      <c r="B42" s="317">
        <v>4320.0</v>
      </c>
      <c r="C42" s="318"/>
      <c r="D42" s="322">
        <v>0.0</v>
      </c>
      <c r="E42" s="316" t="s">
        <v>467</v>
      </c>
      <c r="F42" s="316" t="s">
        <v>511</v>
      </c>
      <c r="G42" s="316" t="s">
        <v>450</v>
      </c>
      <c r="I42" s="321">
        <v>36682.0</v>
      </c>
      <c r="J42" s="321">
        <v>45505.0</v>
      </c>
      <c r="K42" s="66"/>
      <c r="L42" s="317">
        <v>28.0</v>
      </c>
      <c r="M42" s="321">
        <v>45689.0</v>
      </c>
      <c r="N42" s="321">
        <v>45716.0</v>
      </c>
    </row>
    <row r="43">
      <c r="A43" s="316" t="s">
        <v>16</v>
      </c>
      <c r="B43" s="317">
        <v>4320.0</v>
      </c>
      <c r="C43" s="318"/>
      <c r="D43" s="322">
        <v>0.0</v>
      </c>
      <c r="E43" s="316" t="s">
        <v>503</v>
      </c>
      <c r="F43" s="316" t="s">
        <v>542</v>
      </c>
      <c r="G43" s="316" t="s">
        <v>504</v>
      </c>
      <c r="I43" s="321">
        <v>37422.0</v>
      </c>
      <c r="J43" s="323">
        <v>45635.0</v>
      </c>
      <c r="K43" s="66"/>
      <c r="L43" s="317">
        <v>28.0</v>
      </c>
      <c r="M43" s="321">
        <v>45689.0</v>
      </c>
      <c r="N43" s="321">
        <v>45716.0</v>
      </c>
    </row>
    <row r="44">
      <c r="A44" s="316" t="s">
        <v>16</v>
      </c>
      <c r="B44" s="317">
        <v>4320.0</v>
      </c>
      <c r="C44" s="318"/>
      <c r="D44" s="322">
        <v>0.0</v>
      </c>
      <c r="E44" s="316" t="s">
        <v>497</v>
      </c>
      <c r="F44" s="316" t="s">
        <v>539</v>
      </c>
      <c r="G44" s="316" t="s">
        <v>498</v>
      </c>
      <c r="I44" s="323">
        <v>37026.0</v>
      </c>
      <c r="J44" s="321">
        <v>45628.0</v>
      </c>
      <c r="K44" s="66"/>
      <c r="L44" s="317">
        <v>28.0</v>
      </c>
      <c r="M44" s="321">
        <v>45689.0</v>
      </c>
      <c r="N44" s="321">
        <v>45716.0</v>
      </c>
    </row>
    <row r="45">
      <c r="A45" s="316" t="s">
        <v>16</v>
      </c>
      <c r="B45" s="317">
        <v>4320.0</v>
      </c>
      <c r="C45" s="318"/>
      <c r="D45" s="322">
        <v>0.0</v>
      </c>
      <c r="E45" s="316" t="s">
        <v>249</v>
      </c>
      <c r="F45" s="316" t="s">
        <v>250</v>
      </c>
      <c r="G45" s="316" t="s">
        <v>251</v>
      </c>
      <c r="I45" s="321">
        <v>37322.0</v>
      </c>
      <c r="J45" s="321">
        <v>45096.0</v>
      </c>
      <c r="K45" s="321">
        <v>45523.0</v>
      </c>
      <c r="L45" s="317">
        <v>0.0</v>
      </c>
      <c r="M45" s="321">
        <v>45689.0</v>
      </c>
      <c r="N45" s="321">
        <v>45716.0</v>
      </c>
    </row>
    <row r="46">
      <c r="A46" s="316" t="s">
        <v>16</v>
      </c>
      <c r="B46" s="317">
        <v>4320.0</v>
      </c>
      <c r="C46" s="318"/>
      <c r="D46" s="322">
        <v>0.0</v>
      </c>
      <c r="E46" s="316" t="s">
        <v>291</v>
      </c>
      <c r="F46" s="316" t="s">
        <v>292</v>
      </c>
      <c r="G46" s="316" t="s">
        <v>293</v>
      </c>
      <c r="I46" s="321">
        <v>37219.0</v>
      </c>
      <c r="J46" s="321">
        <v>45257.0</v>
      </c>
      <c r="K46" s="66"/>
      <c r="L46" s="317">
        <v>28.0</v>
      </c>
      <c r="M46" s="321">
        <v>45689.0</v>
      </c>
      <c r="N46" s="321">
        <v>45716.0</v>
      </c>
    </row>
    <row r="47">
      <c r="A47" s="316" t="s">
        <v>16</v>
      </c>
      <c r="B47" s="317">
        <v>4320.0</v>
      </c>
      <c r="C47" s="318"/>
      <c r="D47" s="322">
        <v>0.0</v>
      </c>
      <c r="E47" s="316" t="s">
        <v>619</v>
      </c>
      <c r="F47" s="316" t="s">
        <v>220</v>
      </c>
      <c r="G47" s="316" t="s">
        <v>221</v>
      </c>
      <c r="I47" s="321">
        <v>36408.0</v>
      </c>
      <c r="J47" s="321">
        <v>45173.0</v>
      </c>
      <c r="K47" s="321">
        <v>45412.0</v>
      </c>
      <c r="L47" s="317">
        <v>0.0</v>
      </c>
      <c r="M47" s="321">
        <v>45689.0</v>
      </c>
      <c r="N47" s="321">
        <v>45716.0</v>
      </c>
    </row>
    <row r="48">
      <c r="A48" s="316" t="s">
        <v>16</v>
      </c>
      <c r="B48" s="317">
        <v>4320.0</v>
      </c>
      <c r="C48" s="318"/>
      <c r="D48" s="322">
        <v>0.0</v>
      </c>
      <c r="E48" s="316" t="s">
        <v>367</v>
      </c>
      <c r="F48" s="316" t="s">
        <v>368</v>
      </c>
      <c r="G48" s="316" t="s">
        <v>369</v>
      </c>
      <c r="I48" s="323">
        <v>36718.0</v>
      </c>
      <c r="J48" s="321">
        <v>45397.0</v>
      </c>
      <c r="K48" s="321">
        <v>45485.0</v>
      </c>
      <c r="L48" s="317">
        <v>0.0</v>
      </c>
      <c r="M48" s="321">
        <v>45689.0</v>
      </c>
      <c r="N48" s="321">
        <v>45716.0</v>
      </c>
    </row>
    <row r="49">
      <c r="A49" s="316" t="s">
        <v>16</v>
      </c>
      <c r="B49" s="317">
        <v>4320.0</v>
      </c>
      <c r="C49" s="318"/>
      <c r="D49" s="322">
        <v>0.0</v>
      </c>
      <c r="E49" s="316" t="s">
        <v>594</v>
      </c>
      <c r="F49" s="316" t="s">
        <v>595</v>
      </c>
      <c r="G49" s="316" t="s">
        <v>596</v>
      </c>
      <c r="I49" s="321">
        <v>37809.0</v>
      </c>
      <c r="J49" s="321">
        <v>45684.0</v>
      </c>
      <c r="K49" s="66"/>
      <c r="L49" s="317">
        <v>28.0</v>
      </c>
      <c r="M49" s="321">
        <v>45689.0</v>
      </c>
      <c r="N49" s="321">
        <v>45716.0</v>
      </c>
    </row>
    <row r="50">
      <c r="A50" s="316" t="s">
        <v>16</v>
      </c>
      <c r="B50" s="317">
        <v>4320.0</v>
      </c>
      <c r="C50" s="318"/>
      <c r="D50" s="322">
        <v>0.0</v>
      </c>
      <c r="E50" s="316" t="s">
        <v>60</v>
      </c>
      <c r="F50" s="316" t="s">
        <v>61</v>
      </c>
      <c r="G50" s="316" t="s">
        <v>62</v>
      </c>
      <c r="I50" s="321">
        <v>36246.0</v>
      </c>
      <c r="J50" s="321">
        <v>44851.0</v>
      </c>
      <c r="K50" s="66"/>
      <c r="L50" s="317">
        <v>28.0</v>
      </c>
      <c r="M50" s="321">
        <v>45689.0</v>
      </c>
      <c r="N50" s="321">
        <v>45716.0</v>
      </c>
    </row>
    <row r="51">
      <c r="A51" s="316" t="s">
        <v>16</v>
      </c>
      <c r="B51" s="317">
        <v>4320.0</v>
      </c>
      <c r="C51" s="318"/>
      <c r="D51" s="322">
        <v>0.0</v>
      </c>
      <c r="E51" s="316" t="s">
        <v>63</v>
      </c>
      <c r="F51" s="316" t="s">
        <v>64</v>
      </c>
      <c r="G51" s="316" t="s">
        <v>65</v>
      </c>
      <c r="I51" s="321">
        <v>35606.0</v>
      </c>
      <c r="J51" s="321">
        <v>44896.0</v>
      </c>
      <c r="K51" s="66"/>
      <c r="L51" s="317">
        <v>28.0</v>
      </c>
      <c r="M51" s="321">
        <v>45689.0</v>
      </c>
      <c r="N51" s="321">
        <v>45716.0</v>
      </c>
    </row>
    <row r="52">
      <c r="A52" s="316" t="s">
        <v>16</v>
      </c>
      <c r="B52" s="317">
        <v>4320.0</v>
      </c>
      <c r="C52" s="318"/>
      <c r="D52" s="322">
        <v>0.0</v>
      </c>
      <c r="E52" s="316" t="s">
        <v>63</v>
      </c>
      <c r="F52" s="316" t="s">
        <v>543</v>
      </c>
      <c r="G52" s="316" t="s">
        <v>505</v>
      </c>
      <c r="I52" s="321">
        <v>36725.0</v>
      </c>
      <c r="J52" s="321">
        <v>45635.0</v>
      </c>
      <c r="K52" s="66"/>
      <c r="L52" s="317">
        <v>28.0</v>
      </c>
      <c r="M52" s="321">
        <v>45689.0</v>
      </c>
      <c r="N52" s="321">
        <v>45716.0</v>
      </c>
    </row>
    <row r="53">
      <c r="A53" s="316" t="s">
        <v>16</v>
      </c>
      <c r="B53" s="317">
        <v>4320.0</v>
      </c>
      <c r="C53" s="318"/>
      <c r="D53" s="322">
        <v>0.0</v>
      </c>
      <c r="E53" s="316" t="s">
        <v>620</v>
      </c>
      <c r="F53" s="316" t="s">
        <v>621</v>
      </c>
      <c r="G53" s="316" t="s">
        <v>622</v>
      </c>
      <c r="I53" s="321">
        <v>37067.0</v>
      </c>
      <c r="J53" s="321">
        <v>45216.0</v>
      </c>
      <c r="K53" s="321">
        <v>45453.0</v>
      </c>
      <c r="L53" s="317">
        <v>0.0</v>
      </c>
      <c r="M53" s="321">
        <v>45689.0</v>
      </c>
      <c r="N53" s="321">
        <v>45716.0</v>
      </c>
    </row>
    <row r="54">
      <c r="A54" s="316" t="s">
        <v>16</v>
      </c>
      <c r="B54" s="317">
        <v>4320.0</v>
      </c>
      <c r="C54" s="318"/>
      <c r="D54" s="322">
        <v>0.0</v>
      </c>
      <c r="E54" s="324" t="s">
        <v>591</v>
      </c>
      <c r="F54" s="316" t="s">
        <v>592</v>
      </c>
      <c r="G54" s="316" t="s">
        <v>593</v>
      </c>
      <c r="I54" s="321">
        <v>37041.0</v>
      </c>
      <c r="J54" s="321">
        <v>45684.0</v>
      </c>
      <c r="K54" s="66"/>
      <c r="L54" s="317">
        <v>28.0</v>
      </c>
      <c r="M54" s="321">
        <v>45689.0</v>
      </c>
      <c r="N54" s="321">
        <v>45716.0</v>
      </c>
    </row>
    <row r="55">
      <c r="A55" s="316" t="s">
        <v>16</v>
      </c>
      <c r="B55" s="317">
        <v>4320.0</v>
      </c>
      <c r="C55" s="318"/>
      <c r="D55" s="322">
        <v>0.0</v>
      </c>
      <c r="E55" s="316" t="s">
        <v>597</v>
      </c>
      <c r="F55" s="316" t="s">
        <v>598</v>
      </c>
      <c r="G55" s="316" t="s">
        <v>599</v>
      </c>
      <c r="I55" s="321">
        <v>37265.0</v>
      </c>
      <c r="J55" s="321">
        <v>45684.0</v>
      </c>
      <c r="K55" s="66"/>
      <c r="L55" s="317">
        <v>28.0</v>
      </c>
      <c r="M55" s="321">
        <v>45689.0</v>
      </c>
      <c r="N55" s="321">
        <v>45716.0</v>
      </c>
    </row>
    <row r="56">
      <c r="A56" s="316" t="s">
        <v>16</v>
      </c>
      <c r="B56" s="317">
        <v>4320.0</v>
      </c>
      <c r="C56" s="318"/>
      <c r="D56" s="322">
        <v>0.0</v>
      </c>
      <c r="E56" s="316" t="s">
        <v>66</v>
      </c>
      <c r="F56" s="316" t="s">
        <v>67</v>
      </c>
      <c r="G56" s="316" t="s">
        <v>68</v>
      </c>
      <c r="I56" s="321">
        <v>34973.0</v>
      </c>
      <c r="J56" s="321">
        <v>44986.0</v>
      </c>
      <c r="K56" s="321">
        <v>45562.0</v>
      </c>
      <c r="L56" s="317">
        <v>0.0</v>
      </c>
      <c r="M56" s="321">
        <v>45689.0</v>
      </c>
      <c r="N56" s="321">
        <v>45716.0</v>
      </c>
    </row>
    <row r="57">
      <c r="A57" s="316" t="s">
        <v>16</v>
      </c>
      <c r="B57" s="317">
        <v>4320.0</v>
      </c>
      <c r="C57" s="318"/>
      <c r="D57" s="322">
        <v>0.0</v>
      </c>
      <c r="E57" s="316" t="s">
        <v>267</v>
      </c>
      <c r="F57" s="316" t="s">
        <v>268</v>
      </c>
      <c r="G57" s="316" t="s">
        <v>269</v>
      </c>
      <c r="I57" s="321">
        <v>34590.0</v>
      </c>
      <c r="J57" s="321">
        <v>45313.0</v>
      </c>
      <c r="K57" s="66"/>
      <c r="L57" s="317">
        <v>28.0</v>
      </c>
      <c r="M57" s="321">
        <v>45689.0</v>
      </c>
      <c r="N57" s="321">
        <v>45716.0</v>
      </c>
    </row>
    <row r="58">
      <c r="A58" s="316" t="s">
        <v>16</v>
      </c>
      <c r="B58" s="317">
        <v>4320.0</v>
      </c>
      <c r="C58" s="318"/>
      <c r="D58" s="322">
        <v>0.0</v>
      </c>
      <c r="E58" s="316" t="s">
        <v>69</v>
      </c>
      <c r="F58" s="316" t="s">
        <v>70</v>
      </c>
      <c r="G58" s="316" t="s">
        <v>71</v>
      </c>
      <c r="I58" s="321">
        <v>36891.0</v>
      </c>
      <c r="J58" s="321">
        <v>44739.0</v>
      </c>
      <c r="K58" s="66"/>
      <c r="L58" s="317">
        <v>28.0</v>
      </c>
      <c r="M58" s="321">
        <v>45689.0</v>
      </c>
      <c r="N58" s="321">
        <v>45716.0</v>
      </c>
    </row>
    <row r="59">
      <c r="A59" s="316" t="s">
        <v>16</v>
      </c>
      <c r="B59" s="317">
        <v>4320.0</v>
      </c>
      <c r="C59" s="318"/>
      <c r="D59" s="322">
        <v>0.0</v>
      </c>
      <c r="E59" s="316" t="s">
        <v>252</v>
      </c>
      <c r="F59" s="316" t="s">
        <v>253</v>
      </c>
      <c r="G59" s="316" t="s">
        <v>254</v>
      </c>
      <c r="I59" s="321">
        <v>37516.0</v>
      </c>
      <c r="J59" s="321">
        <v>45159.0</v>
      </c>
      <c r="K59" s="321">
        <v>45450.0</v>
      </c>
      <c r="L59" s="317">
        <v>0.0</v>
      </c>
      <c r="M59" s="321">
        <v>45689.0</v>
      </c>
      <c r="N59" s="321">
        <v>45716.0</v>
      </c>
    </row>
    <row r="60">
      <c r="A60" s="316" t="s">
        <v>16</v>
      </c>
      <c r="B60" s="317">
        <v>4320.0</v>
      </c>
      <c r="C60" s="318"/>
      <c r="D60" s="322">
        <v>0.0</v>
      </c>
      <c r="E60" s="316" t="s">
        <v>468</v>
      </c>
      <c r="F60" s="316" t="s">
        <v>527</v>
      </c>
      <c r="G60" s="316" t="s">
        <v>469</v>
      </c>
      <c r="I60" s="321">
        <v>35986.0</v>
      </c>
      <c r="J60" s="321">
        <v>45537.0</v>
      </c>
      <c r="K60" s="66"/>
      <c r="L60" s="317">
        <v>28.0</v>
      </c>
      <c r="M60" s="321">
        <v>45689.0</v>
      </c>
      <c r="N60" s="321">
        <v>45716.0</v>
      </c>
    </row>
    <row r="61">
      <c r="A61" s="316" t="s">
        <v>16</v>
      </c>
      <c r="B61" s="317">
        <v>4320.0</v>
      </c>
      <c r="C61" s="318"/>
      <c r="D61" s="322">
        <v>0.0</v>
      </c>
      <c r="E61" s="316" t="s">
        <v>72</v>
      </c>
      <c r="F61" s="316" t="s">
        <v>73</v>
      </c>
      <c r="G61" s="316" t="s">
        <v>74</v>
      </c>
      <c r="I61" s="321">
        <v>37210.0</v>
      </c>
      <c r="J61" s="321">
        <v>44562.0</v>
      </c>
      <c r="K61" s="323">
        <v>45442.0</v>
      </c>
      <c r="L61" s="317">
        <v>0.0</v>
      </c>
      <c r="M61" s="321">
        <v>45689.0</v>
      </c>
      <c r="N61" s="321">
        <v>45716.0</v>
      </c>
    </row>
    <row r="62">
      <c r="A62" s="316" t="s">
        <v>16</v>
      </c>
      <c r="B62" s="317">
        <v>4320.0</v>
      </c>
      <c r="C62" s="318"/>
      <c r="D62" s="322">
        <v>0.0</v>
      </c>
      <c r="E62" s="316" t="s">
        <v>78</v>
      </c>
      <c r="F62" s="316" t="s">
        <v>79</v>
      </c>
      <c r="G62" s="316" t="s">
        <v>80</v>
      </c>
      <c r="I62" s="321">
        <v>36401.0</v>
      </c>
      <c r="J62" s="321">
        <v>45096.0</v>
      </c>
      <c r="K62" s="66"/>
      <c r="L62" s="317">
        <v>28.0</v>
      </c>
      <c r="M62" s="321">
        <v>45689.0</v>
      </c>
      <c r="N62" s="321">
        <v>45716.0</v>
      </c>
    </row>
    <row r="63">
      <c r="A63" s="316" t="s">
        <v>16</v>
      </c>
      <c r="B63" s="317">
        <v>4320.0</v>
      </c>
      <c r="C63" s="318"/>
      <c r="D63" s="322">
        <v>0.0</v>
      </c>
      <c r="E63" s="316" t="s">
        <v>555</v>
      </c>
      <c r="F63" s="316" t="s">
        <v>556</v>
      </c>
      <c r="G63" s="316" t="s">
        <v>557</v>
      </c>
      <c r="I63" s="323">
        <v>36135.0</v>
      </c>
      <c r="J63" s="321">
        <v>45663.0</v>
      </c>
      <c r="K63" s="66"/>
      <c r="L63" s="317">
        <v>28.0</v>
      </c>
      <c r="M63" s="321">
        <v>45689.0</v>
      </c>
      <c r="N63" s="321">
        <v>45716.0</v>
      </c>
    </row>
    <row r="64">
      <c r="A64" s="325" t="s">
        <v>16</v>
      </c>
      <c r="B64" s="326">
        <v>4320.0</v>
      </c>
      <c r="C64" s="318"/>
      <c r="D64" s="327">
        <v>0.0</v>
      </c>
      <c r="E64" s="316" t="s">
        <v>483</v>
      </c>
      <c r="F64" s="316" t="s">
        <v>537</v>
      </c>
      <c r="G64" s="316" t="s">
        <v>484</v>
      </c>
      <c r="I64" s="321">
        <v>36286.0</v>
      </c>
      <c r="J64" s="321">
        <v>45602.0</v>
      </c>
      <c r="K64" s="66"/>
      <c r="L64" s="317">
        <v>28.0</v>
      </c>
      <c r="M64" s="321">
        <v>45689.0</v>
      </c>
      <c r="N64" s="321">
        <v>45716.0</v>
      </c>
    </row>
    <row r="65">
      <c r="A65" s="325" t="s">
        <v>16</v>
      </c>
      <c r="B65" s="326">
        <v>4320.0</v>
      </c>
      <c r="C65" s="318"/>
      <c r="D65" s="327">
        <v>0.0</v>
      </c>
      <c r="E65" s="316" t="s">
        <v>81</v>
      </c>
      <c r="F65" s="316" t="s">
        <v>82</v>
      </c>
      <c r="G65" s="316" t="s">
        <v>83</v>
      </c>
      <c r="I65" s="321">
        <v>36113.0</v>
      </c>
      <c r="J65" s="321">
        <v>44866.0</v>
      </c>
      <c r="K65" s="321">
        <v>45299.0</v>
      </c>
      <c r="L65" s="317">
        <v>0.0</v>
      </c>
      <c r="M65" s="321">
        <v>45689.0</v>
      </c>
      <c r="N65" s="321">
        <v>45716.0</v>
      </c>
    </row>
    <row r="66">
      <c r="A66" s="325" t="s">
        <v>16</v>
      </c>
      <c r="B66" s="326">
        <v>4320.0</v>
      </c>
      <c r="C66" s="318"/>
      <c r="D66" s="327">
        <v>0.0</v>
      </c>
      <c r="E66" s="316" t="s">
        <v>485</v>
      </c>
      <c r="F66" s="316" t="s">
        <v>535</v>
      </c>
      <c r="G66" s="316" t="s">
        <v>486</v>
      </c>
      <c r="I66" s="321">
        <v>36994.0</v>
      </c>
      <c r="J66" s="321">
        <v>45602.0</v>
      </c>
      <c r="K66" s="66"/>
      <c r="L66" s="317">
        <v>28.0</v>
      </c>
      <c r="M66" s="321">
        <v>45689.0</v>
      </c>
      <c r="N66" s="321">
        <v>45716.0</v>
      </c>
    </row>
    <row r="67">
      <c r="A67" s="325" t="s">
        <v>16</v>
      </c>
      <c r="B67" s="326">
        <v>4320.0</v>
      </c>
      <c r="C67" s="318"/>
      <c r="D67" s="327">
        <v>0.0</v>
      </c>
      <c r="E67" s="324" t="s">
        <v>331</v>
      </c>
      <c r="F67" s="316" t="s">
        <v>332</v>
      </c>
      <c r="G67" s="316" t="s">
        <v>333</v>
      </c>
      <c r="I67" s="321">
        <v>37958.0</v>
      </c>
      <c r="J67" s="321">
        <v>45369.0</v>
      </c>
      <c r="K67" s="66"/>
      <c r="L67" s="317">
        <v>28.0</v>
      </c>
      <c r="M67" s="321">
        <v>45689.0</v>
      </c>
      <c r="N67" s="321">
        <v>45716.0</v>
      </c>
    </row>
    <row r="68">
      <c r="A68" s="316" t="s">
        <v>16</v>
      </c>
      <c r="B68" s="317">
        <v>4320.0</v>
      </c>
      <c r="C68" s="318"/>
      <c r="D68" s="327">
        <v>0.0</v>
      </c>
      <c r="E68" s="316" t="s">
        <v>392</v>
      </c>
      <c r="F68" s="316" t="s">
        <v>393</v>
      </c>
      <c r="G68" s="316" t="s">
        <v>394</v>
      </c>
      <c r="I68" s="321">
        <v>34922.0</v>
      </c>
      <c r="J68" s="323">
        <v>45418.0</v>
      </c>
      <c r="K68" s="66"/>
      <c r="L68" s="317">
        <v>28.0</v>
      </c>
      <c r="M68" s="321">
        <v>45689.0</v>
      </c>
      <c r="N68" s="321">
        <v>45716.0</v>
      </c>
    </row>
    <row r="69">
      <c r="A69" s="316" t="s">
        <v>16</v>
      </c>
      <c r="B69" s="317">
        <v>4320.0</v>
      </c>
      <c r="C69" s="318"/>
      <c r="D69" s="327">
        <v>0.0</v>
      </c>
      <c r="E69" s="316" t="s">
        <v>576</v>
      </c>
      <c r="F69" s="316" t="s">
        <v>577</v>
      </c>
      <c r="G69" s="316" t="s">
        <v>578</v>
      </c>
      <c r="I69" s="321">
        <v>37944.0</v>
      </c>
      <c r="J69" s="321">
        <v>45677.0</v>
      </c>
      <c r="K69" s="66"/>
      <c r="L69" s="317">
        <v>28.0</v>
      </c>
      <c r="M69" s="321">
        <v>45689.0</v>
      </c>
      <c r="N69" s="321">
        <v>45716.0</v>
      </c>
    </row>
    <row r="70">
      <c r="A70" s="316" t="s">
        <v>16</v>
      </c>
      <c r="B70" s="317">
        <v>4320.0</v>
      </c>
      <c r="C70" s="318"/>
      <c r="D70" s="327">
        <v>0.0</v>
      </c>
      <c r="E70" s="316" t="s">
        <v>546</v>
      </c>
      <c r="F70" s="316" t="s">
        <v>547</v>
      </c>
      <c r="G70" s="316" t="s">
        <v>548</v>
      </c>
      <c r="I70" s="321">
        <v>38255.0</v>
      </c>
      <c r="J70" s="321">
        <v>45658.0</v>
      </c>
      <c r="K70" s="66"/>
      <c r="L70" s="317">
        <v>28.0</v>
      </c>
      <c r="M70" s="321">
        <v>45689.0</v>
      </c>
      <c r="N70" s="321">
        <v>45716.0</v>
      </c>
    </row>
    <row r="71">
      <c r="A71" s="316" t="s">
        <v>16</v>
      </c>
      <c r="B71" s="317">
        <v>4320.0</v>
      </c>
      <c r="C71" s="318"/>
      <c r="D71" s="327">
        <v>0.0</v>
      </c>
      <c r="E71" s="316" t="s">
        <v>294</v>
      </c>
      <c r="F71" s="316" t="s">
        <v>295</v>
      </c>
      <c r="G71" s="316" t="s">
        <v>296</v>
      </c>
      <c r="I71" s="321">
        <v>36551.0</v>
      </c>
      <c r="J71" s="321">
        <v>45278.0</v>
      </c>
      <c r="K71" s="321">
        <v>45359.0</v>
      </c>
      <c r="L71" s="317">
        <v>0.0</v>
      </c>
      <c r="M71" s="321">
        <v>45689.0</v>
      </c>
      <c r="N71" s="321">
        <v>45716.0</v>
      </c>
    </row>
    <row r="72">
      <c r="A72" s="325" t="s">
        <v>16</v>
      </c>
      <c r="B72" s="326">
        <v>4320.0</v>
      </c>
      <c r="C72" s="318"/>
      <c r="D72" s="327">
        <v>0.0</v>
      </c>
      <c r="E72" s="316" t="s">
        <v>623</v>
      </c>
      <c r="F72" s="316" t="s">
        <v>624</v>
      </c>
      <c r="G72" s="316" t="s">
        <v>625</v>
      </c>
      <c r="I72" s="321">
        <v>37489.0</v>
      </c>
      <c r="J72" s="321">
        <v>45397.0</v>
      </c>
      <c r="K72" s="321">
        <v>45488.0</v>
      </c>
      <c r="L72" s="317">
        <v>0.0</v>
      </c>
      <c r="M72" s="321">
        <v>45689.0</v>
      </c>
      <c r="N72" s="321">
        <v>45716.0</v>
      </c>
    </row>
    <row r="73">
      <c r="A73" s="325" t="s">
        <v>16</v>
      </c>
      <c r="B73" s="326">
        <v>4320.0</v>
      </c>
      <c r="C73" s="318"/>
      <c r="D73" s="327">
        <v>0.0</v>
      </c>
      <c r="E73" s="316" t="s">
        <v>626</v>
      </c>
      <c r="F73" s="316" t="s">
        <v>627</v>
      </c>
      <c r="G73" s="316" t="s">
        <v>628</v>
      </c>
      <c r="I73" s="321">
        <v>35257.0</v>
      </c>
      <c r="J73" s="321">
        <v>44795.0</v>
      </c>
      <c r="K73" s="321">
        <v>45199.0</v>
      </c>
      <c r="L73" s="317">
        <v>0.0</v>
      </c>
      <c r="M73" s="321">
        <v>45689.0</v>
      </c>
      <c r="N73" s="321">
        <v>45716.0</v>
      </c>
    </row>
    <row r="74">
      <c r="A74" s="316" t="s">
        <v>16</v>
      </c>
      <c r="B74" s="317">
        <v>4320.0</v>
      </c>
      <c r="C74" s="318"/>
      <c r="D74" s="327">
        <v>0.0</v>
      </c>
      <c r="E74" s="316" t="s">
        <v>629</v>
      </c>
      <c r="F74" s="316" t="s">
        <v>630</v>
      </c>
      <c r="G74" s="316" t="s">
        <v>631</v>
      </c>
      <c r="I74" s="321">
        <v>34807.0</v>
      </c>
      <c r="J74" s="321">
        <v>45110.0</v>
      </c>
      <c r="K74" s="321">
        <v>45199.0</v>
      </c>
      <c r="L74" s="317">
        <v>0.0</v>
      </c>
      <c r="M74" s="321">
        <v>45689.0</v>
      </c>
      <c r="N74" s="321">
        <v>45716.0</v>
      </c>
    </row>
    <row r="75">
      <c r="A75" s="325" t="s">
        <v>16</v>
      </c>
      <c r="B75" s="326">
        <v>4320.0</v>
      </c>
      <c r="C75" s="318"/>
      <c r="D75" s="328">
        <v>0.0</v>
      </c>
      <c r="E75" s="316" t="s">
        <v>501</v>
      </c>
      <c r="F75" s="316" t="s">
        <v>541</v>
      </c>
      <c r="G75" s="316" t="s">
        <v>502</v>
      </c>
      <c r="I75" s="321">
        <v>36062.0</v>
      </c>
      <c r="J75" s="321">
        <v>45628.0</v>
      </c>
      <c r="K75" s="66"/>
      <c r="L75" s="317">
        <v>28.0</v>
      </c>
      <c r="M75" s="321">
        <v>45689.0</v>
      </c>
      <c r="N75" s="321">
        <v>45716.0</v>
      </c>
    </row>
    <row r="76">
      <c r="A76" s="325" t="s">
        <v>16</v>
      </c>
      <c r="B76" s="326">
        <v>4320.0</v>
      </c>
      <c r="C76" s="318"/>
      <c r="D76" s="328">
        <v>0.0</v>
      </c>
      <c r="E76" s="316" t="s">
        <v>270</v>
      </c>
      <c r="F76" s="316" t="s">
        <v>271</v>
      </c>
      <c r="G76" s="316" t="s">
        <v>272</v>
      </c>
      <c r="I76" s="321">
        <v>36769.0</v>
      </c>
      <c r="J76" s="321">
        <v>45313.0</v>
      </c>
      <c r="K76" s="323">
        <v>45415.0</v>
      </c>
      <c r="L76" s="317">
        <v>0.0</v>
      </c>
      <c r="M76" s="321">
        <v>45689.0</v>
      </c>
      <c r="N76" s="321">
        <v>45716.0</v>
      </c>
    </row>
    <row r="77">
      <c r="A77" s="316" t="s">
        <v>16</v>
      </c>
      <c r="B77" s="317">
        <v>4320.0</v>
      </c>
      <c r="C77" s="318"/>
      <c r="D77" s="328">
        <v>0.0</v>
      </c>
      <c r="E77" s="316" t="s">
        <v>451</v>
      </c>
      <c r="F77" s="316" t="s">
        <v>512</v>
      </c>
      <c r="G77" s="316" t="s">
        <v>415</v>
      </c>
      <c r="I77" s="321">
        <v>36443.0</v>
      </c>
      <c r="J77" s="321">
        <v>45446.0</v>
      </c>
      <c r="K77" s="66"/>
      <c r="L77" s="317">
        <v>28.0</v>
      </c>
      <c r="M77" s="321">
        <v>45689.0</v>
      </c>
      <c r="N77" s="321">
        <v>45716.0</v>
      </c>
    </row>
    <row r="78">
      <c r="A78" s="316" t="s">
        <v>16</v>
      </c>
      <c r="B78" s="317">
        <v>4320.0</v>
      </c>
      <c r="C78" s="318"/>
      <c r="D78" s="328">
        <v>0.0</v>
      </c>
      <c r="E78" s="316" t="s">
        <v>87</v>
      </c>
      <c r="F78" s="316" t="s">
        <v>88</v>
      </c>
      <c r="G78" s="316" t="s">
        <v>89</v>
      </c>
      <c r="I78" s="321">
        <v>33737.0</v>
      </c>
      <c r="J78" s="321">
        <v>45139.0</v>
      </c>
      <c r="K78" s="66"/>
      <c r="L78" s="317">
        <v>28.0</v>
      </c>
      <c r="M78" s="321">
        <v>45689.0</v>
      </c>
      <c r="N78" s="321">
        <v>45716.0</v>
      </c>
    </row>
    <row r="79">
      <c r="A79" s="316" t="s">
        <v>16</v>
      </c>
      <c r="B79" s="317">
        <v>4320.0</v>
      </c>
      <c r="C79" s="318"/>
      <c r="D79" s="328">
        <v>0.0</v>
      </c>
      <c r="E79" s="316" t="s">
        <v>632</v>
      </c>
      <c r="F79" s="316" t="s">
        <v>633</v>
      </c>
      <c r="G79" s="316" t="s">
        <v>634</v>
      </c>
      <c r="I79" s="321">
        <v>35300.0</v>
      </c>
      <c r="J79" s="321">
        <v>45103.0</v>
      </c>
      <c r="K79" s="321">
        <v>45310.0</v>
      </c>
      <c r="L79" s="317">
        <v>0.0</v>
      </c>
      <c r="M79" s="321">
        <v>45689.0</v>
      </c>
      <c r="N79" s="321">
        <v>45716.0</v>
      </c>
    </row>
    <row r="80">
      <c r="A80" s="316" t="s">
        <v>16</v>
      </c>
      <c r="B80" s="317">
        <v>4320.0</v>
      </c>
      <c r="C80" s="318"/>
      <c r="D80" s="328">
        <v>0.0</v>
      </c>
      <c r="E80" s="316" t="s">
        <v>573</v>
      </c>
      <c r="F80" s="316" t="s">
        <v>574</v>
      </c>
      <c r="G80" s="316" t="s">
        <v>575</v>
      </c>
      <c r="I80" s="321">
        <v>36061.0</v>
      </c>
      <c r="J80" s="321">
        <v>45677.0</v>
      </c>
      <c r="K80" s="66"/>
      <c r="L80" s="317">
        <v>28.0</v>
      </c>
      <c r="M80" s="321">
        <v>45689.0</v>
      </c>
      <c r="N80" s="321">
        <v>45716.0</v>
      </c>
    </row>
    <row r="81">
      <c r="A81" s="316" t="s">
        <v>16</v>
      </c>
      <c r="B81" s="317">
        <v>4320.0</v>
      </c>
      <c r="C81" s="318"/>
      <c r="D81" s="327">
        <v>0.0</v>
      </c>
      <c r="E81" s="316" t="s">
        <v>90</v>
      </c>
      <c r="F81" s="316" t="s">
        <v>91</v>
      </c>
      <c r="G81" s="316" t="s">
        <v>92</v>
      </c>
      <c r="I81" s="321">
        <v>33917.0</v>
      </c>
      <c r="J81" s="321">
        <v>45166.0</v>
      </c>
      <c r="K81" s="321">
        <v>45321.0</v>
      </c>
      <c r="L81" s="317">
        <v>0.0</v>
      </c>
      <c r="M81" s="321">
        <v>45689.0</v>
      </c>
      <c r="N81" s="321">
        <v>45716.0</v>
      </c>
    </row>
    <row r="82">
      <c r="A82" s="329" t="s">
        <v>16</v>
      </c>
      <c r="B82" s="330">
        <v>4320.0</v>
      </c>
      <c r="C82" s="331"/>
      <c r="D82" s="332">
        <v>0.0</v>
      </c>
      <c r="E82" s="329" t="s">
        <v>337</v>
      </c>
      <c r="F82" s="329" t="s">
        <v>338</v>
      </c>
      <c r="G82" s="333" t="s">
        <v>339</v>
      </c>
      <c r="H82" s="334"/>
      <c r="I82" s="335">
        <v>37539.0</v>
      </c>
      <c r="J82" s="336">
        <v>45362.0</v>
      </c>
      <c r="K82" s="336">
        <v>45657.0</v>
      </c>
      <c r="L82" s="330">
        <v>0.0</v>
      </c>
      <c r="M82" s="321">
        <v>45689.0</v>
      </c>
      <c r="N82" s="321">
        <v>45716.0</v>
      </c>
    </row>
    <row r="83">
      <c r="A83" s="316" t="s">
        <v>16</v>
      </c>
      <c r="B83" s="317">
        <v>4320.0</v>
      </c>
      <c r="C83" s="318"/>
      <c r="D83" s="327">
        <v>0.0</v>
      </c>
      <c r="E83" s="316" t="s">
        <v>297</v>
      </c>
      <c r="F83" s="316" t="s">
        <v>298</v>
      </c>
      <c r="G83" s="316" t="s">
        <v>299</v>
      </c>
      <c r="I83" s="322">
        <v>36692.0</v>
      </c>
      <c r="J83" s="321">
        <v>45243.0</v>
      </c>
      <c r="K83" s="321">
        <v>45365.0</v>
      </c>
      <c r="L83" s="317">
        <v>0.0</v>
      </c>
      <c r="M83" s="321">
        <v>45689.0</v>
      </c>
      <c r="N83" s="321">
        <v>45716.0</v>
      </c>
    </row>
    <row r="84">
      <c r="A84" s="316" t="s">
        <v>16</v>
      </c>
      <c r="B84" s="317">
        <v>4320.0</v>
      </c>
      <c r="C84" s="318"/>
      <c r="D84" s="327">
        <v>0.0</v>
      </c>
      <c r="E84" s="316" t="s">
        <v>93</v>
      </c>
      <c r="F84" s="316" t="s">
        <v>94</v>
      </c>
      <c r="G84" s="316" t="s">
        <v>95</v>
      </c>
      <c r="I84" s="322">
        <v>36137.0</v>
      </c>
      <c r="J84" s="321">
        <v>45098.0</v>
      </c>
      <c r="K84" s="321">
        <v>45246.0</v>
      </c>
      <c r="L84" s="317">
        <v>0.0</v>
      </c>
      <c r="M84" s="321">
        <v>45689.0</v>
      </c>
      <c r="N84" s="321">
        <v>45716.0</v>
      </c>
    </row>
    <row r="85">
      <c r="A85" s="316" t="s">
        <v>16</v>
      </c>
      <c r="B85" s="317">
        <v>4320.0</v>
      </c>
      <c r="C85" s="318"/>
      <c r="D85" s="327">
        <v>0.0</v>
      </c>
      <c r="E85" s="316" t="s">
        <v>636</v>
      </c>
      <c r="F85" s="316" t="s">
        <v>637</v>
      </c>
      <c r="G85" s="316" t="s">
        <v>638</v>
      </c>
      <c r="I85" s="322">
        <v>36354.0</v>
      </c>
      <c r="J85" s="321">
        <v>44562.0</v>
      </c>
      <c r="K85" s="321">
        <v>45199.0</v>
      </c>
      <c r="L85" s="317">
        <v>0.0</v>
      </c>
      <c r="M85" s="321">
        <v>45689.0</v>
      </c>
      <c r="N85" s="321">
        <v>45716.0</v>
      </c>
    </row>
    <row r="86">
      <c r="A86" s="316" t="s">
        <v>16</v>
      </c>
      <c r="B86" s="317">
        <v>4320.0</v>
      </c>
      <c r="C86" s="318"/>
      <c r="D86" s="327">
        <v>0.0</v>
      </c>
      <c r="E86" s="316" t="s">
        <v>579</v>
      </c>
      <c r="F86" s="316" t="s">
        <v>580</v>
      </c>
      <c r="G86" s="316" t="s">
        <v>581</v>
      </c>
      <c r="I86" s="321">
        <v>37609.0</v>
      </c>
      <c r="J86" s="321">
        <v>45677.0</v>
      </c>
      <c r="K86" s="66"/>
      <c r="L86" s="317">
        <v>28.0</v>
      </c>
      <c r="M86" s="321">
        <v>45689.0</v>
      </c>
      <c r="N86" s="321">
        <v>45716.0</v>
      </c>
    </row>
    <row r="87">
      <c r="A87" s="316" t="s">
        <v>16</v>
      </c>
      <c r="B87" s="317">
        <v>4320.0</v>
      </c>
      <c r="C87" s="318"/>
      <c r="D87" s="327">
        <v>0.0</v>
      </c>
      <c r="E87" s="316" t="s">
        <v>452</v>
      </c>
      <c r="F87" s="316" t="s">
        <v>513</v>
      </c>
      <c r="G87" s="316" t="s">
        <v>454</v>
      </c>
      <c r="I87" s="321">
        <v>37834.0</v>
      </c>
      <c r="J87" s="321">
        <v>45505.0</v>
      </c>
      <c r="K87" s="321">
        <v>45667.0</v>
      </c>
      <c r="L87" s="317">
        <v>0.0</v>
      </c>
      <c r="M87" s="321">
        <v>45689.0</v>
      </c>
      <c r="N87" s="321">
        <v>45716.0</v>
      </c>
    </row>
    <row r="88">
      <c r="A88" s="316" t="s">
        <v>16</v>
      </c>
      <c r="B88" s="317">
        <v>4320.0</v>
      </c>
      <c r="C88" s="318"/>
      <c r="D88" s="327">
        <v>0.0</v>
      </c>
      <c r="E88" s="316" t="s">
        <v>99</v>
      </c>
      <c r="F88" s="316" t="s">
        <v>100</v>
      </c>
      <c r="G88" s="316" t="s">
        <v>101</v>
      </c>
      <c r="I88" s="321">
        <v>37240.0</v>
      </c>
      <c r="J88" s="321">
        <v>45176.0</v>
      </c>
      <c r="K88" s="321">
        <v>45535.0</v>
      </c>
      <c r="L88" s="317">
        <v>0.0</v>
      </c>
      <c r="M88" s="321">
        <v>45689.0</v>
      </c>
      <c r="N88" s="321">
        <v>45716.0</v>
      </c>
    </row>
    <row r="89">
      <c r="A89" s="316" t="s">
        <v>16</v>
      </c>
      <c r="B89" s="317">
        <v>4320.0</v>
      </c>
      <c r="C89" s="318"/>
      <c r="D89" s="327">
        <v>0.0</v>
      </c>
      <c r="E89" s="316" t="s">
        <v>476</v>
      </c>
      <c r="F89" s="316" t="s">
        <v>529</v>
      </c>
      <c r="G89" s="316" t="s">
        <v>477</v>
      </c>
      <c r="I89" s="321">
        <v>37220.0</v>
      </c>
      <c r="J89" s="321">
        <v>45572.0</v>
      </c>
      <c r="K89" s="66"/>
      <c r="L89" s="317">
        <v>28.0</v>
      </c>
      <c r="M89" s="321">
        <v>45689.0</v>
      </c>
      <c r="N89" s="321">
        <v>45716.0</v>
      </c>
    </row>
    <row r="90">
      <c r="A90" s="316" t="s">
        <v>16</v>
      </c>
      <c r="B90" s="317">
        <v>4320.0</v>
      </c>
      <c r="C90" s="318"/>
      <c r="D90" s="327">
        <v>0.0</v>
      </c>
      <c r="E90" s="316" t="s">
        <v>102</v>
      </c>
      <c r="F90" s="316" t="s">
        <v>103</v>
      </c>
      <c r="G90" s="316" t="s">
        <v>104</v>
      </c>
      <c r="I90" s="321">
        <v>33240.0</v>
      </c>
      <c r="J90" s="321">
        <v>44287.0</v>
      </c>
      <c r="K90" s="66"/>
      <c r="L90" s="317">
        <v>28.0</v>
      </c>
      <c r="M90" s="321">
        <v>45689.0</v>
      </c>
      <c r="N90" s="321">
        <v>45716.0</v>
      </c>
    </row>
    <row r="91">
      <c r="A91" s="316" t="s">
        <v>16</v>
      </c>
      <c r="B91" s="317">
        <v>4320.0</v>
      </c>
      <c r="C91" s="318"/>
      <c r="D91" s="327">
        <v>0.0</v>
      </c>
      <c r="E91" s="316" t="s">
        <v>255</v>
      </c>
      <c r="F91" s="316" t="s">
        <v>256</v>
      </c>
      <c r="G91" s="316" t="s">
        <v>257</v>
      </c>
      <c r="I91" s="321">
        <v>35173.0</v>
      </c>
      <c r="J91" s="321">
        <v>45264.0</v>
      </c>
      <c r="K91" s="66"/>
      <c r="L91" s="317">
        <v>28.0</v>
      </c>
      <c r="M91" s="321">
        <v>45689.0</v>
      </c>
      <c r="N91" s="321">
        <v>45716.0</v>
      </c>
    </row>
    <row r="92">
      <c r="A92" s="316" t="s">
        <v>16</v>
      </c>
      <c r="B92" s="317">
        <v>4320.0</v>
      </c>
      <c r="C92" s="318"/>
      <c r="D92" s="328">
        <v>0.0</v>
      </c>
      <c r="E92" s="316" t="s">
        <v>438</v>
      </c>
      <c r="F92" s="316" t="s">
        <v>341</v>
      </c>
      <c r="G92" s="316" t="s">
        <v>342</v>
      </c>
      <c r="I92" s="321">
        <v>37964.0</v>
      </c>
      <c r="J92" s="321">
        <v>45355.0</v>
      </c>
      <c r="K92" s="66"/>
      <c r="L92" s="317">
        <v>28.0</v>
      </c>
      <c r="M92" s="321">
        <v>45689.0</v>
      </c>
      <c r="N92" s="321">
        <v>45716.0</v>
      </c>
    </row>
    <row r="93">
      <c r="A93" s="316" t="s">
        <v>16</v>
      </c>
      <c r="B93" s="317">
        <v>4320.0</v>
      </c>
      <c r="C93" s="318"/>
      <c r="D93" s="328">
        <v>0.0</v>
      </c>
      <c r="E93" s="316" t="s">
        <v>105</v>
      </c>
      <c r="F93" s="316" t="s">
        <v>106</v>
      </c>
      <c r="G93" s="316" t="s">
        <v>107</v>
      </c>
      <c r="I93" s="321">
        <v>37136.0</v>
      </c>
      <c r="J93" s="321">
        <v>45181.0</v>
      </c>
      <c r="K93" s="323">
        <v>45054.0</v>
      </c>
      <c r="L93" s="317">
        <v>0.0</v>
      </c>
      <c r="M93" s="321">
        <v>45689.0</v>
      </c>
      <c r="N93" s="321">
        <v>45716.0</v>
      </c>
    </row>
    <row r="94">
      <c r="A94" s="316" t="s">
        <v>16</v>
      </c>
      <c r="B94" s="317">
        <v>4320.0</v>
      </c>
      <c r="C94" s="318"/>
      <c r="D94" s="328">
        <v>0.0</v>
      </c>
      <c r="E94" s="316" t="s">
        <v>639</v>
      </c>
      <c r="F94" s="316" t="s">
        <v>323</v>
      </c>
      <c r="G94" s="316" t="s">
        <v>324</v>
      </c>
      <c r="I94" s="321">
        <v>37100.0</v>
      </c>
      <c r="J94" s="321">
        <v>45376.0</v>
      </c>
      <c r="K94" s="323">
        <v>45425.0</v>
      </c>
      <c r="L94" s="317">
        <v>0.0</v>
      </c>
      <c r="M94" s="321">
        <v>45689.0</v>
      </c>
      <c r="N94" s="321">
        <v>45716.0</v>
      </c>
    </row>
    <row r="95">
      <c r="A95" s="316" t="s">
        <v>16</v>
      </c>
      <c r="B95" s="317">
        <v>4320.0</v>
      </c>
      <c r="C95" s="318"/>
      <c r="D95" s="328">
        <v>0.0</v>
      </c>
      <c r="E95" s="316" t="s">
        <v>508</v>
      </c>
      <c r="F95" s="316" t="s">
        <v>545</v>
      </c>
      <c r="G95" s="316" t="s">
        <v>509</v>
      </c>
      <c r="I95" s="321">
        <v>36637.0</v>
      </c>
      <c r="J95" s="321">
        <v>45649.0</v>
      </c>
      <c r="K95" s="66"/>
      <c r="L95" s="317">
        <v>28.0</v>
      </c>
      <c r="M95" s="321">
        <v>45689.0</v>
      </c>
      <c r="N95" s="321">
        <v>45716.0</v>
      </c>
    </row>
    <row r="96">
      <c r="A96" s="316" t="s">
        <v>16</v>
      </c>
      <c r="B96" s="317">
        <v>4320.0</v>
      </c>
      <c r="C96" s="318"/>
      <c r="D96" s="328">
        <v>0.0</v>
      </c>
      <c r="E96" s="316" t="s">
        <v>395</v>
      </c>
      <c r="F96" s="316" t="s">
        <v>396</v>
      </c>
      <c r="G96" s="316" t="s">
        <v>397</v>
      </c>
      <c r="I96" s="321">
        <v>36557.0</v>
      </c>
      <c r="J96" s="323">
        <v>45432.0</v>
      </c>
      <c r="K96" s="66"/>
      <c r="L96" s="317">
        <v>28.0</v>
      </c>
      <c r="M96" s="321">
        <v>45689.0</v>
      </c>
      <c r="N96" s="321">
        <v>45716.0</v>
      </c>
    </row>
    <row r="97">
      <c r="A97" s="316" t="s">
        <v>16</v>
      </c>
      <c r="B97" s="317">
        <v>4320.0</v>
      </c>
      <c r="C97" s="318"/>
      <c r="D97" s="327">
        <v>0.0</v>
      </c>
      <c r="E97" s="316" t="s">
        <v>370</v>
      </c>
      <c r="F97" s="316" t="s">
        <v>371</v>
      </c>
      <c r="G97" s="316" t="s">
        <v>372</v>
      </c>
      <c r="I97" s="321">
        <v>35551.0</v>
      </c>
      <c r="J97" s="321">
        <v>45383.0</v>
      </c>
      <c r="K97" s="66"/>
      <c r="L97" s="317">
        <v>28.0</v>
      </c>
      <c r="M97" s="321">
        <v>45689.0</v>
      </c>
      <c r="N97" s="321">
        <v>45716.0</v>
      </c>
    </row>
    <row r="98">
      <c r="A98" s="316" t="s">
        <v>16</v>
      </c>
      <c r="B98" s="317">
        <v>4320.0</v>
      </c>
      <c r="C98" s="318"/>
      <c r="D98" s="327">
        <v>0.0</v>
      </c>
      <c r="E98" s="316" t="s">
        <v>640</v>
      </c>
      <c r="F98" s="316" t="s">
        <v>641</v>
      </c>
      <c r="G98" s="316" t="s">
        <v>642</v>
      </c>
      <c r="I98" s="321">
        <v>35152.0</v>
      </c>
      <c r="J98" s="321">
        <v>45180.0</v>
      </c>
      <c r="K98" s="321">
        <v>45233.0</v>
      </c>
      <c r="L98" s="317">
        <v>0.0</v>
      </c>
      <c r="M98" s="321">
        <v>45689.0</v>
      </c>
      <c r="N98" s="321">
        <v>45716.0</v>
      </c>
    </row>
    <row r="99">
      <c r="A99" s="316" t="s">
        <v>16</v>
      </c>
      <c r="B99" s="317">
        <v>4320.0</v>
      </c>
      <c r="C99" s="318"/>
      <c r="D99" s="328">
        <v>0.0</v>
      </c>
      <c r="E99" s="316" t="s">
        <v>111</v>
      </c>
      <c r="F99" s="316" t="s">
        <v>112</v>
      </c>
      <c r="G99" s="316" t="s">
        <v>113</v>
      </c>
      <c r="I99" s="321">
        <v>36898.0</v>
      </c>
      <c r="J99" s="321">
        <v>44988.0</v>
      </c>
      <c r="K99" s="321">
        <v>45412.0</v>
      </c>
      <c r="L99" s="317">
        <v>0.0</v>
      </c>
      <c r="M99" s="321">
        <v>45689.0</v>
      </c>
      <c r="N99" s="321">
        <v>45716.0</v>
      </c>
    </row>
    <row r="100">
      <c r="A100" s="316" t="s">
        <v>16</v>
      </c>
      <c r="B100" s="317">
        <v>4320.0</v>
      </c>
      <c r="C100" s="318"/>
      <c r="D100" s="328">
        <v>0.0</v>
      </c>
      <c r="E100" s="316" t="s">
        <v>114</v>
      </c>
      <c r="F100" s="316" t="s">
        <v>514</v>
      </c>
      <c r="G100" s="316" t="s">
        <v>456</v>
      </c>
      <c r="I100" s="321">
        <v>35872.0</v>
      </c>
      <c r="J100" s="321">
        <v>45523.0</v>
      </c>
      <c r="K100" s="66"/>
      <c r="L100" s="317">
        <v>28.0</v>
      </c>
      <c r="M100" s="321">
        <v>45689.0</v>
      </c>
      <c r="N100" s="321">
        <v>45716.0</v>
      </c>
    </row>
    <row r="101">
      <c r="A101" s="316" t="s">
        <v>16</v>
      </c>
      <c r="B101" s="317">
        <v>4320.0</v>
      </c>
      <c r="C101" s="318"/>
      <c r="D101" s="328">
        <v>0.0</v>
      </c>
      <c r="E101" s="316" t="s">
        <v>114</v>
      </c>
      <c r="F101" s="316" t="s">
        <v>115</v>
      </c>
      <c r="G101" s="316" t="s">
        <v>116</v>
      </c>
      <c r="I101" s="321">
        <v>35159.0</v>
      </c>
      <c r="J101" s="321">
        <v>45078.0</v>
      </c>
      <c r="K101" s="321">
        <v>45322.0</v>
      </c>
      <c r="L101" s="317">
        <v>0.0</v>
      </c>
      <c r="M101" s="321">
        <v>45689.0</v>
      </c>
      <c r="N101" s="321">
        <v>45716.0</v>
      </c>
    </row>
    <row r="102">
      <c r="A102" s="316" t="s">
        <v>16</v>
      </c>
      <c r="B102" s="317">
        <v>4320.0</v>
      </c>
      <c r="C102" s="318"/>
      <c r="D102" s="327">
        <v>0.0</v>
      </c>
      <c r="E102" s="316" t="s">
        <v>457</v>
      </c>
      <c r="F102" s="316" t="s">
        <v>515</v>
      </c>
      <c r="G102" s="316" t="s">
        <v>458</v>
      </c>
      <c r="I102" s="321">
        <v>37061.0</v>
      </c>
      <c r="J102" s="321">
        <v>45505.0</v>
      </c>
      <c r="K102" s="66"/>
      <c r="L102" s="317">
        <v>28.0</v>
      </c>
      <c r="M102" s="321">
        <v>45689.0</v>
      </c>
      <c r="N102" s="321">
        <v>45716.0</v>
      </c>
    </row>
    <row r="103">
      <c r="A103" s="316" t="s">
        <v>16</v>
      </c>
      <c r="B103" s="317">
        <v>4320.0</v>
      </c>
      <c r="C103" s="318"/>
      <c r="D103" s="327">
        <v>0.0</v>
      </c>
      <c r="E103" s="316" t="s">
        <v>439</v>
      </c>
      <c r="F103" s="316" t="s">
        <v>121</v>
      </c>
      <c r="G103" s="316" t="s">
        <v>122</v>
      </c>
      <c r="I103" s="321">
        <v>36794.0</v>
      </c>
      <c r="J103" s="321">
        <v>44915.0</v>
      </c>
      <c r="K103" s="321">
        <v>45709.0</v>
      </c>
      <c r="L103" s="317">
        <v>21.0</v>
      </c>
      <c r="M103" s="321">
        <v>45689.0</v>
      </c>
      <c r="N103" s="321">
        <v>45716.0</v>
      </c>
    </row>
    <row r="104">
      <c r="A104" s="316" t="s">
        <v>16</v>
      </c>
      <c r="B104" s="317">
        <v>4320.0</v>
      </c>
      <c r="C104" s="318"/>
      <c r="D104" s="327">
        <v>0.0</v>
      </c>
      <c r="E104" s="316" t="s">
        <v>643</v>
      </c>
      <c r="F104" s="316" t="s">
        <v>124</v>
      </c>
      <c r="G104" s="316" t="s">
        <v>125</v>
      </c>
      <c r="I104" s="321">
        <v>37149.0</v>
      </c>
      <c r="J104" s="321">
        <v>45124.0</v>
      </c>
      <c r="K104" s="321">
        <v>45453.0</v>
      </c>
      <c r="L104" s="317">
        <v>0.0</v>
      </c>
      <c r="M104" s="321">
        <v>45689.0</v>
      </c>
      <c r="N104" s="321">
        <v>45716.0</v>
      </c>
    </row>
    <row r="105">
      <c r="A105" s="316" t="s">
        <v>16</v>
      </c>
      <c r="B105" s="317">
        <v>4320.0</v>
      </c>
      <c r="C105" s="318"/>
      <c r="D105" s="327">
        <v>0.0</v>
      </c>
      <c r="E105" s="316" t="s">
        <v>237</v>
      </c>
      <c r="F105" s="316" t="s">
        <v>238</v>
      </c>
      <c r="G105" s="316" t="s">
        <v>239</v>
      </c>
      <c r="I105" s="321">
        <v>34503.0</v>
      </c>
      <c r="J105" s="321">
        <v>45251.0</v>
      </c>
      <c r="K105" s="321">
        <v>45338.0</v>
      </c>
      <c r="L105" s="317">
        <v>0.0</v>
      </c>
      <c r="M105" s="321">
        <v>45689.0</v>
      </c>
      <c r="N105" s="321">
        <v>45716.0</v>
      </c>
    </row>
    <row r="106">
      <c r="A106" s="316" t="s">
        <v>16</v>
      </c>
      <c r="B106" s="317">
        <v>4320.0</v>
      </c>
      <c r="C106" s="318"/>
      <c r="D106" s="327">
        <v>0.0</v>
      </c>
      <c r="E106" s="316" t="s">
        <v>506</v>
      </c>
      <c r="F106" s="316" t="s">
        <v>544</v>
      </c>
      <c r="G106" s="316" t="s">
        <v>507</v>
      </c>
      <c r="I106" s="321">
        <v>36981.0</v>
      </c>
      <c r="J106" s="321">
        <v>45642.0</v>
      </c>
      <c r="K106" s="66"/>
      <c r="L106" s="317">
        <v>28.0</v>
      </c>
      <c r="M106" s="321">
        <v>45689.0</v>
      </c>
      <c r="N106" s="321">
        <v>45716.0</v>
      </c>
    </row>
    <row r="107">
      <c r="A107" s="316" t="s">
        <v>16</v>
      </c>
      <c r="B107" s="317">
        <v>4320.0</v>
      </c>
      <c r="C107" s="318"/>
      <c r="D107" s="327">
        <v>0.0</v>
      </c>
      <c r="E107" s="316" t="s">
        <v>487</v>
      </c>
      <c r="F107" s="316" t="s">
        <v>533</v>
      </c>
      <c r="G107" s="316" t="s">
        <v>488</v>
      </c>
      <c r="I107" s="323">
        <v>35195.0</v>
      </c>
      <c r="J107" s="321">
        <v>45602.0</v>
      </c>
      <c r="K107" s="66"/>
      <c r="L107" s="317">
        <v>28.0</v>
      </c>
      <c r="M107" s="321">
        <v>45689.0</v>
      </c>
      <c r="N107" s="321">
        <v>45716.0</v>
      </c>
    </row>
    <row r="108">
      <c r="A108" s="316" t="s">
        <v>16</v>
      </c>
      <c r="B108" s="317">
        <v>4320.0</v>
      </c>
      <c r="C108" s="66"/>
      <c r="D108" s="328">
        <v>0.0</v>
      </c>
      <c r="E108" s="316" t="s">
        <v>343</v>
      </c>
      <c r="F108" s="316" t="s">
        <v>344</v>
      </c>
      <c r="G108" s="316" t="s">
        <v>345</v>
      </c>
      <c r="I108" s="321">
        <v>36821.0</v>
      </c>
      <c r="J108" s="321">
        <v>45362.0</v>
      </c>
      <c r="K108" s="66"/>
      <c r="L108" s="317">
        <v>28.0</v>
      </c>
      <c r="M108" s="321">
        <v>45689.0</v>
      </c>
      <c r="N108" s="321">
        <v>45716.0</v>
      </c>
    </row>
    <row r="109">
      <c r="A109" s="316" t="s">
        <v>16</v>
      </c>
      <c r="B109" s="317">
        <v>4320.0</v>
      </c>
      <c r="C109" s="66"/>
      <c r="D109" s="322">
        <v>0.0</v>
      </c>
      <c r="E109" s="337" t="s">
        <v>129</v>
      </c>
      <c r="F109" s="316" t="s">
        <v>130</v>
      </c>
      <c r="G109" s="316" t="s">
        <v>131</v>
      </c>
      <c r="I109" s="321">
        <v>36207.0</v>
      </c>
      <c r="J109" s="323">
        <v>45054.0</v>
      </c>
      <c r="K109" s="321">
        <v>44960.0</v>
      </c>
      <c r="L109" s="317">
        <v>0.0</v>
      </c>
      <c r="M109" s="321">
        <v>45689.0</v>
      </c>
      <c r="N109" s="321">
        <v>45716.0</v>
      </c>
    </row>
    <row r="110">
      <c r="A110" s="316" t="s">
        <v>16</v>
      </c>
      <c r="B110" s="317">
        <v>4320.0</v>
      </c>
      <c r="C110" s="66"/>
      <c r="D110" s="322">
        <v>0.0</v>
      </c>
      <c r="E110" s="337" t="s">
        <v>429</v>
      </c>
      <c r="F110" s="316" t="s">
        <v>516</v>
      </c>
      <c r="G110" s="316" t="s">
        <v>430</v>
      </c>
      <c r="I110" s="321">
        <v>37257.0</v>
      </c>
      <c r="J110" s="321">
        <v>45481.0</v>
      </c>
      <c r="K110" s="66"/>
      <c r="L110" s="317">
        <v>28.0</v>
      </c>
      <c r="M110" s="321">
        <v>45689.0</v>
      </c>
      <c r="N110" s="321">
        <v>45716.0</v>
      </c>
    </row>
    <row r="111">
      <c r="A111" s="316" t="s">
        <v>16</v>
      </c>
      <c r="B111" s="317">
        <v>4320.0</v>
      </c>
      <c r="C111" s="66"/>
      <c r="D111" s="322">
        <v>0.0</v>
      </c>
      <c r="E111" s="337" t="s">
        <v>489</v>
      </c>
      <c r="F111" s="316" t="s">
        <v>536</v>
      </c>
      <c r="G111" s="316" t="s">
        <v>490</v>
      </c>
      <c r="I111" s="321">
        <v>37105.0</v>
      </c>
      <c r="J111" s="321">
        <v>45602.0</v>
      </c>
      <c r="K111" s="66"/>
      <c r="L111" s="317">
        <v>28.0</v>
      </c>
      <c r="M111" s="321">
        <v>45689.0</v>
      </c>
      <c r="N111" s="321">
        <v>45716.0</v>
      </c>
    </row>
    <row r="112">
      <c r="A112" s="316" t="s">
        <v>16</v>
      </c>
      <c r="B112" s="317">
        <v>4320.0</v>
      </c>
      <c r="C112" s="66"/>
      <c r="D112" s="322">
        <v>0.0</v>
      </c>
      <c r="E112" s="337" t="s">
        <v>644</v>
      </c>
      <c r="F112" s="316" t="s">
        <v>190</v>
      </c>
      <c r="G112" s="316" t="s">
        <v>191</v>
      </c>
      <c r="I112" s="321">
        <v>36421.0</v>
      </c>
      <c r="J112" s="321">
        <v>45166.0</v>
      </c>
      <c r="K112" s="321">
        <v>45535.0</v>
      </c>
      <c r="L112" s="317">
        <v>0.0</v>
      </c>
      <c r="M112" s="321">
        <v>45689.0</v>
      </c>
      <c r="N112" s="321">
        <v>45716.0</v>
      </c>
    </row>
    <row r="113">
      <c r="A113" s="316" t="s">
        <v>16</v>
      </c>
      <c r="B113" s="317">
        <v>4320.0</v>
      </c>
      <c r="C113" s="66"/>
      <c r="D113" s="322">
        <v>0.0</v>
      </c>
      <c r="E113" s="337" t="s">
        <v>645</v>
      </c>
      <c r="F113" s="316" t="s">
        <v>646</v>
      </c>
      <c r="G113" s="316" t="s">
        <v>647</v>
      </c>
      <c r="I113" s="321">
        <v>37123.0</v>
      </c>
      <c r="J113" s="321">
        <v>44984.0</v>
      </c>
      <c r="K113" s="321">
        <v>45199.0</v>
      </c>
      <c r="L113" s="317">
        <v>0.0</v>
      </c>
      <c r="M113" s="321">
        <v>45689.0</v>
      </c>
      <c r="N113" s="321">
        <v>45716.0</v>
      </c>
    </row>
    <row r="114">
      <c r="A114" s="316" t="s">
        <v>16</v>
      </c>
      <c r="B114" s="317">
        <v>4320.0</v>
      </c>
      <c r="C114" s="66"/>
      <c r="D114" s="322">
        <v>0.0</v>
      </c>
      <c r="E114" s="337" t="s">
        <v>416</v>
      </c>
      <c r="F114" s="316" t="s">
        <v>517</v>
      </c>
      <c r="G114" s="316" t="s">
        <v>417</v>
      </c>
      <c r="I114" s="321">
        <v>36346.0</v>
      </c>
      <c r="J114" s="321">
        <v>45453.0</v>
      </c>
      <c r="K114" s="66"/>
      <c r="L114" s="317">
        <v>28.0</v>
      </c>
      <c r="M114" s="321">
        <v>45689.0</v>
      </c>
      <c r="N114" s="321">
        <v>45716.0</v>
      </c>
    </row>
    <row r="115">
      <c r="A115" s="316" t="s">
        <v>16</v>
      </c>
      <c r="B115" s="317">
        <v>4320.0</v>
      </c>
      <c r="C115" s="66"/>
      <c r="D115" s="322">
        <v>0.0</v>
      </c>
      <c r="E115" s="337" t="s">
        <v>582</v>
      </c>
      <c r="F115" s="316" t="s">
        <v>583</v>
      </c>
      <c r="G115" s="316" t="s">
        <v>584</v>
      </c>
      <c r="I115" s="321">
        <v>37880.0</v>
      </c>
      <c r="J115" s="321">
        <v>45677.0</v>
      </c>
      <c r="K115" s="66"/>
      <c r="L115" s="317">
        <v>28.0</v>
      </c>
      <c r="M115" s="321">
        <v>45689.0</v>
      </c>
      <c r="N115" s="321">
        <v>45716.0</v>
      </c>
    </row>
    <row r="116">
      <c r="A116" s="316" t="s">
        <v>16</v>
      </c>
      <c r="B116" s="317">
        <v>4320.0</v>
      </c>
      <c r="C116" s="66"/>
      <c r="D116" s="322">
        <v>0.0</v>
      </c>
      <c r="E116" s="337" t="s">
        <v>648</v>
      </c>
      <c r="F116" s="316" t="s">
        <v>649</v>
      </c>
      <c r="G116" s="316" t="s">
        <v>650</v>
      </c>
      <c r="I116" s="321">
        <v>35039.0</v>
      </c>
      <c r="J116" s="321">
        <v>44986.0</v>
      </c>
      <c r="K116" s="321">
        <v>45199.0</v>
      </c>
      <c r="L116" s="317">
        <v>0.0</v>
      </c>
      <c r="M116" s="321">
        <v>45689.0</v>
      </c>
      <c r="N116" s="321">
        <v>45716.0</v>
      </c>
    </row>
    <row r="117">
      <c r="A117" s="316" t="s">
        <v>16</v>
      </c>
      <c r="B117" s="317">
        <v>4320.0</v>
      </c>
      <c r="C117" s="66"/>
      <c r="D117" s="322">
        <v>0.0</v>
      </c>
      <c r="E117" s="337" t="s">
        <v>478</v>
      </c>
      <c r="F117" s="316" t="s">
        <v>518</v>
      </c>
      <c r="G117" s="316" t="s">
        <v>426</v>
      </c>
      <c r="I117" s="321">
        <v>36530.0</v>
      </c>
      <c r="J117" s="321">
        <v>45446.0</v>
      </c>
      <c r="K117" s="66"/>
      <c r="L117" s="317">
        <v>28.0</v>
      </c>
      <c r="M117" s="321">
        <v>45689.0</v>
      </c>
      <c r="N117" s="321">
        <v>45716.0</v>
      </c>
    </row>
    <row r="118">
      <c r="A118" s="316" t="s">
        <v>16</v>
      </c>
      <c r="B118" s="317">
        <v>4320.0</v>
      </c>
      <c r="C118" s="66"/>
      <c r="D118" s="322">
        <v>0.0</v>
      </c>
      <c r="E118" s="337" t="s">
        <v>132</v>
      </c>
      <c r="F118" s="316" t="s">
        <v>519</v>
      </c>
      <c r="G118" s="316" t="s">
        <v>418</v>
      </c>
      <c r="I118" s="321">
        <v>37494.0</v>
      </c>
      <c r="J118" s="321">
        <v>45467.0</v>
      </c>
      <c r="K118" s="66"/>
      <c r="L118" s="317">
        <v>28.0</v>
      </c>
      <c r="M118" s="321">
        <v>45689.0</v>
      </c>
      <c r="N118" s="321">
        <v>45716.0</v>
      </c>
    </row>
    <row r="119">
      <c r="A119" s="316" t="s">
        <v>16</v>
      </c>
      <c r="B119" s="317">
        <v>4320.0</v>
      </c>
      <c r="C119" s="66"/>
      <c r="D119" s="322">
        <v>0.0</v>
      </c>
      <c r="E119" s="337" t="s">
        <v>132</v>
      </c>
      <c r="F119" s="316" t="s">
        <v>347</v>
      </c>
      <c r="G119" s="316" t="s">
        <v>348</v>
      </c>
      <c r="I119" s="321">
        <v>36778.0</v>
      </c>
      <c r="J119" s="321">
        <v>45369.0</v>
      </c>
      <c r="K119" s="321">
        <v>45565.0</v>
      </c>
      <c r="L119" s="317">
        <v>0.0</v>
      </c>
      <c r="M119" s="321">
        <v>45689.0</v>
      </c>
      <c r="N119" s="321">
        <v>45716.0</v>
      </c>
    </row>
    <row r="120">
      <c r="A120" s="316" t="s">
        <v>16</v>
      </c>
      <c r="B120" s="317">
        <v>4320.0</v>
      </c>
      <c r="C120" s="66"/>
      <c r="D120" s="322">
        <v>0.0</v>
      </c>
      <c r="E120" s="337" t="s">
        <v>570</v>
      </c>
      <c r="F120" s="316" t="s">
        <v>571</v>
      </c>
      <c r="G120" s="316" t="s">
        <v>572</v>
      </c>
      <c r="I120" s="321">
        <v>37362.0</v>
      </c>
      <c r="J120" s="321">
        <v>45677.0</v>
      </c>
      <c r="K120" s="66"/>
      <c r="L120" s="317">
        <v>28.0</v>
      </c>
      <c r="M120" s="321">
        <v>45689.0</v>
      </c>
      <c r="N120" s="321">
        <v>45716.0</v>
      </c>
    </row>
    <row r="121">
      <c r="A121" s="316" t="s">
        <v>16</v>
      </c>
      <c r="B121" s="317">
        <v>4320.0</v>
      </c>
      <c r="C121" s="66"/>
      <c r="D121" s="322">
        <v>0.0</v>
      </c>
      <c r="E121" s="337" t="s">
        <v>491</v>
      </c>
      <c r="F121" s="316" t="s">
        <v>534</v>
      </c>
      <c r="G121" s="316" t="s">
        <v>492</v>
      </c>
      <c r="I121" s="321">
        <v>36849.0</v>
      </c>
      <c r="J121" s="321">
        <v>45602.0</v>
      </c>
      <c r="K121" s="321">
        <v>45700.0</v>
      </c>
      <c r="L121" s="317">
        <v>12.0</v>
      </c>
      <c r="M121" s="321">
        <v>45689.0</v>
      </c>
      <c r="N121" s="321">
        <v>45716.0</v>
      </c>
    </row>
    <row r="122">
      <c r="A122" s="316" t="s">
        <v>16</v>
      </c>
      <c r="B122" s="317">
        <v>4320.0</v>
      </c>
      <c r="C122" s="66"/>
      <c r="D122" s="322">
        <v>0.0</v>
      </c>
      <c r="E122" s="337" t="s">
        <v>651</v>
      </c>
      <c r="F122" s="316" t="s">
        <v>652</v>
      </c>
      <c r="G122" s="316" t="s">
        <v>653</v>
      </c>
      <c r="I122" s="321">
        <v>34748.0</v>
      </c>
      <c r="J122" s="321">
        <v>45033.0</v>
      </c>
      <c r="K122" s="321">
        <v>45381.0</v>
      </c>
      <c r="L122" s="317">
        <v>0.0</v>
      </c>
      <c r="M122" s="321">
        <v>45689.0</v>
      </c>
      <c r="N122" s="321">
        <v>45716.0</v>
      </c>
    </row>
    <row r="123">
      <c r="A123" s="316" t="s">
        <v>16</v>
      </c>
      <c r="B123" s="317">
        <v>4320.0</v>
      </c>
      <c r="C123" s="66"/>
      <c r="D123" s="322">
        <v>0.0</v>
      </c>
      <c r="E123" s="337" t="s">
        <v>459</v>
      </c>
      <c r="F123" s="316" t="s">
        <v>374</v>
      </c>
      <c r="G123" s="316" t="s">
        <v>375</v>
      </c>
      <c r="I123" s="321">
        <v>37085.0</v>
      </c>
      <c r="J123" s="321">
        <v>45400.0</v>
      </c>
      <c r="K123" s="66"/>
      <c r="L123" s="317">
        <v>28.0</v>
      </c>
      <c r="M123" s="321">
        <v>45689.0</v>
      </c>
      <c r="N123" s="321">
        <v>45716.0</v>
      </c>
    </row>
    <row r="124">
      <c r="A124" s="316" t="s">
        <v>16</v>
      </c>
      <c r="B124" s="317">
        <v>4320.0</v>
      </c>
      <c r="C124" s="66"/>
      <c r="D124" s="322">
        <v>0.0</v>
      </c>
      <c r="E124" s="337" t="s">
        <v>135</v>
      </c>
      <c r="F124" s="316" t="s">
        <v>136</v>
      </c>
      <c r="G124" s="316" t="s">
        <v>137</v>
      </c>
      <c r="I124" s="321">
        <v>36768.0</v>
      </c>
      <c r="J124" s="321">
        <v>44888.0</v>
      </c>
      <c r="K124" s="321">
        <v>45260.0</v>
      </c>
      <c r="L124" s="317">
        <v>0.0</v>
      </c>
      <c r="M124" s="321">
        <v>45689.0</v>
      </c>
      <c r="N124" s="321">
        <v>45716.0</v>
      </c>
    </row>
    <row r="125">
      <c r="A125" s="316" t="s">
        <v>16</v>
      </c>
      <c r="B125" s="317">
        <v>4320.0</v>
      </c>
      <c r="C125" s="66"/>
      <c r="D125" s="322">
        <v>0.0</v>
      </c>
      <c r="E125" s="337" t="s">
        <v>349</v>
      </c>
      <c r="F125" s="316" t="s">
        <v>350</v>
      </c>
      <c r="G125" s="316" t="s">
        <v>351</v>
      </c>
      <c r="I125" s="321">
        <v>37647.0</v>
      </c>
      <c r="J125" s="321">
        <v>45355.0</v>
      </c>
      <c r="K125" s="66"/>
      <c r="L125" s="317">
        <v>28.0</v>
      </c>
      <c r="M125" s="321">
        <v>45689.0</v>
      </c>
      <c r="N125" s="321">
        <v>45716.0</v>
      </c>
    </row>
    <row r="126">
      <c r="A126" s="316" t="s">
        <v>16</v>
      </c>
      <c r="B126" s="317">
        <v>4320.0</v>
      </c>
      <c r="C126" s="66"/>
      <c r="D126" s="322">
        <v>0.0</v>
      </c>
      <c r="E126" s="337" t="s">
        <v>654</v>
      </c>
      <c r="F126" s="316" t="s">
        <v>655</v>
      </c>
      <c r="G126" s="316" t="s">
        <v>656</v>
      </c>
      <c r="I126" s="321">
        <v>34318.0</v>
      </c>
      <c r="J126" s="321">
        <v>45229.0</v>
      </c>
      <c r="K126" s="321">
        <v>45523.0</v>
      </c>
      <c r="L126" s="317">
        <v>0.0</v>
      </c>
      <c r="M126" s="321">
        <v>45689.0</v>
      </c>
      <c r="N126" s="321">
        <v>45716.0</v>
      </c>
    </row>
    <row r="127">
      <c r="A127" s="316" t="s">
        <v>16</v>
      </c>
      <c r="B127" s="317">
        <v>4320.0</v>
      </c>
      <c r="C127" s="66"/>
      <c r="D127" s="322">
        <v>0.0</v>
      </c>
      <c r="E127" s="337" t="s">
        <v>141</v>
      </c>
      <c r="F127" s="316" t="s">
        <v>142</v>
      </c>
      <c r="G127" s="316" t="s">
        <v>143</v>
      </c>
      <c r="I127" s="321">
        <v>34300.0</v>
      </c>
      <c r="J127" s="321">
        <v>45183.0</v>
      </c>
      <c r="K127" s="321">
        <v>45565.0</v>
      </c>
      <c r="L127" s="317">
        <v>0.0</v>
      </c>
      <c r="M127" s="321">
        <v>45689.0</v>
      </c>
      <c r="N127" s="321">
        <v>45716.0</v>
      </c>
    </row>
    <row r="128">
      <c r="A128" s="316" t="s">
        <v>16</v>
      </c>
      <c r="B128" s="317">
        <v>4320.0</v>
      </c>
      <c r="C128" s="66"/>
      <c r="D128" s="322">
        <v>0.0</v>
      </c>
      <c r="E128" s="337" t="s">
        <v>657</v>
      </c>
      <c r="F128" s="316" t="s">
        <v>658</v>
      </c>
      <c r="G128" s="316" t="s">
        <v>659</v>
      </c>
      <c r="I128" s="321">
        <v>35147.0</v>
      </c>
      <c r="J128" s="321">
        <v>44886.0</v>
      </c>
      <c r="K128" s="321">
        <v>45243.0</v>
      </c>
      <c r="L128" s="317">
        <v>0.0</v>
      </c>
      <c r="M128" s="321">
        <v>45689.0</v>
      </c>
      <c r="N128" s="321">
        <v>45716.0</v>
      </c>
    </row>
    <row r="129">
      <c r="A129" s="316" t="s">
        <v>16</v>
      </c>
      <c r="B129" s="317">
        <v>4320.0</v>
      </c>
      <c r="C129" s="66"/>
      <c r="D129" s="322">
        <v>0.0</v>
      </c>
      <c r="E129" s="337" t="s">
        <v>352</v>
      </c>
      <c r="F129" s="316" t="s">
        <v>353</v>
      </c>
      <c r="G129" s="316" t="s">
        <v>354</v>
      </c>
      <c r="I129" s="321">
        <v>36412.0</v>
      </c>
      <c r="J129" s="321">
        <v>45355.0</v>
      </c>
      <c r="K129" s="66"/>
      <c r="L129" s="317">
        <v>28.0</v>
      </c>
      <c r="M129" s="321">
        <v>45689.0</v>
      </c>
      <c r="N129" s="321">
        <v>45716.0</v>
      </c>
    </row>
    <row r="130">
      <c r="A130" s="316" t="s">
        <v>16</v>
      </c>
      <c r="B130" s="317">
        <v>4320.0</v>
      </c>
      <c r="C130" s="66"/>
      <c r="D130" s="322">
        <v>0.0</v>
      </c>
      <c r="E130" s="337" t="s">
        <v>419</v>
      </c>
      <c r="F130" s="316" t="s">
        <v>520</v>
      </c>
      <c r="G130" s="316" t="s">
        <v>420</v>
      </c>
      <c r="I130" s="321">
        <v>36907.0</v>
      </c>
      <c r="J130" s="321">
        <v>45446.0</v>
      </c>
      <c r="K130" s="321">
        <v>45676.0</v>
      </c>
      <c r="L130" s="317">
        <v>0.0</v>
      </c>
      <c r="M130" s="321">
        <v>45689.0</v>
      </c>
      <c r="N130" s="321">
        <v>45716.0</v>
      </c>
    </row>
    <row r="131">
      <c r="A131" s="316" t="s">
        <v>16</v>
      </c>
      <c r="B131" s="317">
        <v>4320.0</v>
      </c>
      <c r="C131" s="66"/>
      <c r="D131" s="322">
        <v>0.0</v>
      </c>
      <c r="E131" s="337" t="s">
        <v>660</v>
      </c>
      <c r="F131" s="316" t="s">
        <v>127</v>
      </c>
      <c r="G131" s="316" t="s">
        <v>128</v>
      </c>
      <c r="I131" s="321">
        <v>36132.0</v>
      </c>
      <c r="J131" s="321">
        <v>45117.0</v>
      </c>
      <c r="K131" s="321">
        <v>45260.0</v>
      </c>
      <c r="L131" s="317">
        <v>0.0</v>
      </c>
      <c r="M131" s="321">
        <v>45689.0</v>
      </c>
      <c r="N131" s="321">
        <v>45716.0</v>
      </c>
    </row>
    <row r="132">
      <c r="A132" s="316" t="s">
        <v>16</v>
      </c>
      <c r="B132" s="317">
        <v>4320.0</v>
      </c>
      <c r="C132" s="66"/>
      <c r="D132" s="322">
        <v>0.0</v>
      </c>
      <c r="E132" s="337" t="s">
        <v>398</v>
      </c>
      <c r="F132" s="316" t="s">
        <v>399</v>
      </c>
      <c r="G132" s="316" t="s">
        <v>400</v>
      </c>
      <c r="I132" s="323">
        <v>36655.0</v>
      </c>
      <c r="J132" s="323">
        <v>45418.0</v>
      </c>
      <c r="K132" s="321">
        <v>45539.0</v>
      </c>
      <c r="L132" s="317">
        <v>0.0</v>
      </c>
      <c r="M132" s="321">
        <v>45689.0</v>
      </c>
      <c r="N132" s="321">
        <v>45716.0</v>
      </c>
    </row>
    <row r="133">
      <c r="A133" s="316" t="s">
        <v>16</v>
      </c>
      <c r="B133" s="317">
        <v>4320.0</v>
      </c>
      <c r="C133" s="66"/>
      <c r="D133" s="322">
        <v>0.0</v>
      </c>
      <c r="E133" s="337" t="s">
        <v>661</v>
      </c>
      <c r="F133" s="316" t="s">
        <v>662</v>
      </c>
      <c r="G133" s="316" t="s">
        <v>663</v>
      </c>
      <c r="I133" s="321">
        <v>31262.0</v>
      </c>
      <c r="J133" s="323">
        <v>45048.0</v>
      </c>
      <c r="K133" s="321">
        <v>45199.0</v>
      </c>
      <c r="L133" s="317">
        <v>0.0</v>
      </c>
      <c r="M133" s="321">
        <v>45689.0</v>
      </c>
      <c r="N133" s="321">
        <v>45716.0</v>
      </c>
    </row>
    <row r="134">
      <c r="A134" s="316" t="s">
        <v>16</v>
      </c>
      <c r="B134" s="317">
        <v>4320.0</v>
      </c>
      <c r="C134" s="66"/>
      <c r="D134" s="322">
        <v>0.0</v>
      </c>
      <c r="E134" s="337" t="s">
        <v>147</v>
      </c>
      <c r="F134" s="316" t="s">
        <v>148</v>
      </c>
      <c r="G134" s="316" t="s">
        <v>149</v>
      </c>
      <c r="I134" s="321">
        <v>36541.0</v>
      </c>
      <c r="J134" s="321">
        <v>44755.0</v>
      </c>
      <c r="K134" s="321">
        <v>45386.0</v>
      </c>
      <c r="L134" s="317">
        <v>0.0</v>
      </c>
      <c r="M134" s="321">
        <v>45689.0</v>
      </c>
      <c r="N134" s="321">
        <v>45716.0</v>
      </c>
    </row>
    <row r="135">
      <c r="A135" s="316" t="s">
        <v>16</v>
      </c>
      <c r="B135" s="317">
        <v>4320.0</v>
      </c>
      <c r="C135" s="66"/>
      <c r="D135" s="322">
        <v>0.0</v>
      </c>
      <c r="E135" s="337" t="s">
        <v>150</v>
      </c>
      <c r="F135" s="316" t="s">
        <v>151</v>
      </c>
      <c r="G135" s="316" t="s">
        <v>152</v>
      </c>
      <c r="I135" s="321">
        <v>34335.0</v>
      </c>
      <c r="J135" s="321">
        <v>45078.0</v>
      </c>
      <c r="K135" s="321">
        <v>45400.0</v>
      </c>
      <c r="L135" s="317">
        <v>0.0</v>
      </c>
      <c r="M135" s="321">
        <v>45689.0</v>
      </c>
      <c r="N135" s="321">
        <v>45716.0</v>
      </c>
    </row>
    <row r="136">
      <c r="A136" s="316" t="s">
        <v>16</v>
      </c>
      <c r="B136" s="317">
        <v>4320.0</v>
      </c>
      <c r="C136" s="66"/>
      <c r="D136" s="322">
        <v>0.0</v>
      </c>
      <c r="E136" s="337" t="s">
        <v>153</v>
      </c>
      <c r="F136" s="316" t="s">
        <v>154</v>
      </c>
      <c r="G136" s="316" t="s">
        <v>155</v>
      </c>
      <c r="I136" s="321">
        <v>31014.0</v>
      </c>
      <c r="J136" s="321">
        <v>44805.0</v>
      </c>
      <c r="K136" s="321">
        <v>45199.0</v>
      </c>
      <c r="L136" s="317">
        <v>0.0</v>
      </c>
      <c r="M136" s="321">
        <v>45689.0</v>
      </c>
      <c r="N136" s="321">
        <v>45716.0</v>
      </c>
    </row>
    <row r="137">
      <c r="A137" s="316" t="s">
        <v>16</v>
      </c>
      <c r="B137" s="317">
        <v>4320.0</v>
      </c>
      <c r="C137" s="66"/>
      <c r="D137" s="322">
        <v>0.0</v>
      </c>
      <c r="E137" s="337" t="s">
        <v>273</v>
      </c>
      <c r="F137" s="316" t="s">
        <v>274</v>
      </c>
      <c r="G137" s="316" t="s">
        <v>275</v>
      </c>
      <c r="I137" s="321">
        <v>34522.0</v>
      </c>
      <c r="J137" s="321">
        <v>45292.0</v>
      </c>
      <c r="K137" s="66"/>
      <c r="L137" s="317">
        <v>28.0</v>
      </c>
      <c r="M137" s="321">
        <v>45689.0</v>
      </c>
      <c r="N137" s="321">
        <v>45716.0</v>
      </c>
    </row>
    <row r="138">
      <c r="A138" s="316" t="s">
        <v>16</v>
      </c>
      <c r="B138" s="317">
        <v>4320.0</v>
      </c>
      <c r="C138" s="66"/>
      <c r="D138" s="322">
        <v>0.0</v>
      </c>
      <c r="E138" s="337" t="s">
        <v>470</v>
      </c>
      <c r="F138" s="316" t="s">
        <v>528</v>
      </c>
      <c r="G138" s="316" t="s">
        <v>472</v>
      </c>
      <c r="I138" s="321">
        <v>37278.0</v>
      </c>
      <c r="J138" s="321">
        <v>45544.0</v>
      </c>
      <c r="K138" s="66"/>
      <c r="L138" s="317">
        <v>28.0</v>
      </c>
      <c r="M138" s="321">
        <v>45689.0</v>
      </c>
      <c r="N138" s="321">
        <v>45716.0</v>
      </c>
    </row>
    <row r="139">
      <c r="A139" s="316" t="s">
        <v>16</v>
      </c>
      <c r="B139" s="317">
        <v>4320.0</v>
      </c>
      <c r="C139" s="66"/>
      <c r="D139" s="322">
        <v>0.0</v>
      </c>
      <c r="E139" s="337" t="s">
        <v>558</v>
      </c>
      <c r="F139" s="316" t="s">
        <v>559</v>
      </c>
      <c r="G139" s="316" t="s">
        <v>560</v>
      </c>
      <c r="I139" s="321">
        <v>33811.0</v>
      </c>
      <c r="J139" s="321">
        <v>45663.0</v>
      </c>
      <c r="K139" s="321">
        <v>45667.0</v>
      </c>
      <c r="L139" s="317">
        <v>0.0</v>
      </c>
      <c r="M139" s="321">
        <v>45689.0</v>
      </c>
      <c r="N139" s="321">
        <v>45716.0</v>
      </c>
    </row>
    <row r="140">
      <c r="A140" s="316" t="s">
        <v>16</v>
      </c>
      <c r="B140" s="317">
        <v>4320.0</v>
      </c>
      <c r="C140" s="66"/>
      <c r="D140" s="322">
        <v>0.0</v>
      </c>
      <c r="E140" s="337" t="s">
        <v>664</v>
      </c>
      <c r="F140" s="316" t="s">
        <v>157</v>
      </c>
      <c r="G140" s="316" t="s">
        <v>158</v>
      </c>
      <c r="I140" s="321">
        <v>35150.0</v>
      </c>
      <c r="J140" s="321">
        <v>45079.0</v>
      </c>
      <c r="K140" s="321">
        <v>45322.0</v>
      </c>
      <c r="L140" s="317">
        <v>0.0</v>
      </c>
      <c r="M140" s="321">
        <v>45689.0</v>
      </c>
      <c r="N140" s="321">
        <v>45716.0</v>
      </c>
    </row>
    <row r="141">
      <c r="A141" s="316" t="s">
        <v>16</v>
      </c>
      <c r="B141" s="317">
        <v>4320.0</v>
      </c>
      <c r="C141" s="66"/>
      <c r="D141" s="322">
        <v>0.0</v>
      </c>
      <c r="E141" s="337" t="s">
        <v>495</v>
      </c>
      <c r="F141" s="316" t="s">
        <v>538</v>
      </c>
      <c r="G141" s="316" t="s">
        <v>496</v>
      </c>
      <c r="I141" s="321">
        <v>33452.0</v>
      </c>
      <c r="J141" s="321">
        <v>45628.0</v>
      </c>
      <c r="K141" s="66"/>
      <c r="L141" s="317">
        <v>28.0</v>
      </c>
      <c r="M141" s="321">
        <v>45689.0</v>
      </c>
      <c r="N141" s="321">
        <v>45716.0</v>
      </c>
    </row>
    <row r="142">
      <c r="A142" s="316" t="s">
        <v>16</v>
      </c>
      <c r="B142" s="317">
        <v>4320.0</v>
      </c>
      <c r="C142" s="66"/>
      <c r="D142" s="322">
        <v>0.0</v>
      </c>
      <c r="E142" s="337" t="s">
        <v>665</v>
      </c>
      <c r="F142" s="316" t="s">
        <v>160</v>
      </c>
      <c r="G142" s="316" t="s">
        <v>161</v>
      </c>
      <c r="I142" s="321">
        <v>35779.0</v>
      </c>
      <c r="J142" s="321">
        <v>45176.0</v>
      </c>
      <c r="K142" s="321">
        <v>45317.0</v>
      </c>
      <c r="L142" s="317">
        <v>0.0</v>
      </c>
      <c r="M142" s="321">
        <v>45689.0</v>
      </c>
      <c r="N142" s="321">
        <v>45716.0</v>
      </c>
    </row>
    <row r="143">
      <c r="A143" s="316" t="s">
        <v>16</v>
      </c>
      <c r="B143" s="317">
        <v>4320.0</v>
      </c>
      <c r="C143" s="66"/>
      <c r="D143" s="322">
        <v>0.0</v>
      </c>
      <c r="E143" s="337" t="s">
        <v>162</v>
      </c>
      <c r="F143" s="316" t="s">
        <v>163</v>
      </c>
      <c r="G143" s="316" t="s">
        <v>164</v>
      </c>
      <c r="I143" s="321">
        <v>34732.0</v>
      </c>
      <c r="J143" s="321">
        <v>44986.0</v>
      </c>
      <c r="K143" s="66"/>
      <c r="L143" s="317">
        <v>28.0</v>
      </c>
      <c r="M143" s="321">
        <v>45689.0</v>
      </c>
      <c r="N143" s="321">
        <v>45716.0</v>
      </c>
    </row>
    <row r="144">
      <c r="A144" s="316" t="s">
        <v>16</v>
      </c>
      <c r="B144" s="317">
        <v>4320.0</v>
      </c>
      <c r="C144" s="66"/>
      <c r="D144" s="322">
        <v>0.0</v>
      </c>
      <c r="E144" s="337" t="s">
        <v>549</v>
      </c>
      <c r="F144" s="316" t="s">
        <v>550</v>
      </c>
      <c r="G144" s="316" t="s">
        <v>551</v>
      </c>
      <c r="I144" s="321">
        <v>37636.0</v>
      </c>
      <c r="J144" s="321">
        <v>45663.0</v>
      </c>
      <c r="K144" s="66"/>
      <c r="L144" s="317">
        <v>28.0</v>
      </c>
      <c r="M144" s="321">
        <v>45689.0</v>
      </c>
      <c r="N144" s="321">
        <v>45716.0</v>
      </c>
    </row>
    <row r="145">
      <c r="A145" s="316" t="s">
        <v>16</v>
      </c>
      <c r="B145" s="317">
        <v>4320.0</v>
      </c>
      <c r="C145" s="66"/>
      <c r="D145" s="322">
        <v>0.0</v>
      </c>
      <c r="E145" s="337" t="s">
        <v>240</v>
      </c>
      <c r="F145" s="316" t="s">
        <v>241</v>
      </c>
      <c r="G145" s="316" t="s">
        <v>242</v>
      </c>
      <c r="I145" s="321">
        <v>33762.0</v>
      </c>
      <c r="J145" s="321">
        <v>45222.0</v>
      </c>
      <c r="K145" s="321">
        <v>45046.0</v>
      </c>
      <c r="L145" s="317">
        <v>0.0</v>
      </c>
      <c r="M145" s="321">
        <v>45689.0</v>
      </c>
      <c r="N145" s="321">
        <v>45716.0</v>
      </c>
    </row>
    <row r="146">
      <c r="A146" s="316" t="s">
        <v>16</v>
      </c>
      <c r="B146" s="317">
        <v>4320.0</v>
      </c>
      <c r="C146" s="66"/>
      <c r="D146" s="322">
        <v>0.0</v>
      </c>
      <c r="E146" s="337" t="s">
        <v>168</v>
      </c>
      <c r="F146" s="316" t="s">
        <v>169</v>
      </c>
      <c r="G146" s="316" t="s">
        <v>170</v>
      </c>
      <c r="I146" s="323">
        <v>35931.0</v>
      </c>
      <c r="J146" s="321">
        <v>44958.0</v>
      </c>
      <c r="K146" s="321">
        <v>45322.0</v>
      </c>
      <c r="L146" s="317">
        <v>0.0</v>
      </c>
      <c r="M146" s="321">
        <v>45689.0</v>
      </c>
      <c r="N146" s="321">
        <v>45716.0</v>
      </c>
    </row>
    <row r="147">
      <c r="A147" s="316" t="s">
        <v>16</v>
      </c>
      <c r="B147" s="317">
        <v>4320.0</v>
      </c>
      <c r="C147" s="66"/>
      <c r="D147" s="322">
        <v>0.0</v>
      </c>
      <c r="E147" s="337" t="s">
        <v>355</v>
      </c>
      <c r="F147" s="316" t="s">
        <v>356</v>
      </c>
      <c r="G147" s="316" t="s">
        <v>357</v>
      </c>
      <c r="I147" s="321">
        <v>35395.0</v>
      </c>
      <c r="J147" s="321">
        <v>45376.0</v>
      </c>
      <c r="K147" s="66"/>
      <c r="L147" s="317">
        <v>28.0</v>
      </c>
      <c r="M147" s="321">
        <v>45689.0</v>
      </c>
      <c r="N147" s="321">
        <v>45716.0</v>
      </c>
    </row>
    <row r="148">
      <c r="A148" s="316" t="s">
        <v>16</v>
      </c>
      <c r="B148" s="317">
        <v>4320.0</v>
      </c>
      <c r="C148" s="66"/>
      <c r="D148" s="322">
        <v>0.0</v>
      </c>
      <c r="E148" s="337" t="s">
        <v>358</v>
      </c>
      <c r="F148" s="316" t="s">
        <v>359</v>
      </c>
      <c r="G148" s="316" t="s">
        <v>360</v>
      </c>
      <c r="I148" s="323">
        <v>37397.0</v>
      </c>
      <c r="J148" s="321">
        <v>45377.0</v>
      </c>
      <c r="K148" s="321">
        <v>45454.0</v>
      </c>
      <c r="L148" s="317">
        <v>0.0</v>
      </c>
      <c r="M148" s="321">
        <v>45689.0</v>
      </c>
      <c r="N148" s="321">
        <v>45716.0</v>
      </c>
    </row>
    <row r="149">
      <c r="A149" s="316" t="s">
        <v>16</v>
      </c>
      <c r="B149" s="317">
        <v>4320.0</v>
      </c>
      <c r="C149" s="66"/>
      <c r="D149" s="322">
        <v>0.0</v>
      </c>
      <c r="E149" s="337" t="s">
        <v>276</v>
      </c>
      <c r="F149" s="316" t="s">
        <v>277</v>
      </c>
      <c r="G149" s="316" t="s">
        <v>278</v>
      </c>
      <c r="I149" s="321">
        <v>37479.0</v>
      </c>
      <c r="J149" s="321">
        <v>45320.0</v>
      </c>
      <c r="K149" s="321">
        <v>45453.0</v>
      </c>
      <c r="L149" s="317">
        <v>0.0</v>
      </c>
      <c r="M149" s="321">
        <v>45689.0</v>
      </c>
      <c r="N149" s="321">
        <v>45716.0</v>
      </c>
    </row>
    <row r="150">
      <c r="A150" s="316" t="s">
        <v>16</v>
      </c>
      <c r="B150" s="317">
        <v>4320.0</v>
      </c>
      <c r="C150" s="66"/>
      <c r="D150" s="322">
        <v>0.0</v>
      </c>
      <c r="E150" s="337" t="s">
        <v>171</v>
      </c>
      <c r="F150" s="316" t="s">
        <v>172</v>
      </c>
      <c r="G150" s="316" t="s">
        <v>173</v>
      </c>
      <c r="I150" s="321">
        <v>37005.0</v>
      </c>
      <c r="J150" s="321">
        <v>44802.0</v>
      </c>
      <c r="K150" s="321">
        <v>45303.0</v>
      </c>
      <c r="L150" s="317">
        <v>0.0</v>
      </c>
      <c r="M150" s="321">
        <v>45689.0</v>
      </c>
      <c r="N150" s="321">
        <v>45716.0</v>
      </c>
    </row>
    <row r="151">
      <c r="A151" s="316" t="s">
        <v>16</v>
      </c>
      <c r="B151" s="317">
        <v>4320.0</v>
      </c>
      <c r="C151" s="66"/>
      <c r="D151" s="322">
        <v>0.0</v>
      </c>
      <c r="E151" s="337" t="s">
        <v>243</v>
      </c>
      <c r="F151" s="316" t="s">
        <v>244</v>
      </c>
      <c r="G151" s="316" t="s">
        <v>245</v>
      </c>
      <c r="I151" s="321">
        <v>36109.0</v>
      </c>
      <c r="J151" s="321">
        <v>45250.0</v>
      </c>
      <c r="K151" s="323">
        <v>45416.0</v>
      </c>
      <c r="L151" s="317">
        <v>0.0</v>
      </c>
      <c r="M151" s="321">
        <v>45689.0</v>
      </c>
      <c r="N151" s="321">
        <v>45716.0</v>
      </c>
    </row>
    <row r="152">
      <c r="A152" s="316" t="s">
        <v>16</v>
      </c>
      <c r="B152" s="317">
        <v>4320.0</v>
      </c>
      <c r="C152" s="66"/>
      <c r="D152" s="322">
        <v>0.0</v>
      </c>
      <c r="E152" s="337" t="s">
        <v>600</v>
      </c>
      <c r="F152" s="316" t="s">
        <v>601</v>
      </c>
      <c r="G152" s="316" t="s">
        <v>602</v>
      </c>
      <c r="I152" s="321">
        <v>29741.0</v>
      </c>
      <c r="J152" s="321">
        <v>45658.0</v>
      </c>
      <c r="K152" s="66"/>
      <c r="L152" s="317">
        <v>28.0</v>
      </c>
      <c r="M152" s="321">
        <v>45689.0</v>
      </c>
      <c r="N152" s="321">
        <v>45716.0</v>
      </c>
    </row>
    <row r="153">
      <c r="A153" s="316" t="s">
        <v>16</v>
      </c>
      <c r="B153" s="317">
        <v>4320.0</v>
      </c>
      <c r="C153" s="66"/>
      <c r="D153" s="322">
        <v>0.0</v>
      </c>
      <c r="E153" s="337" t="s">
        <v>431</v>
      </c>
      <c r="F153" s="316" t="s">
        <v>377</v>
      </c>
      <c r="G153" s="316" t="s">
        <v>378</v>
      </c>
      <c r="I153" s="323">
        <v>36289.0</v>
      </c>
      <c r="J153" s="321">
        <v>45476.0</v>
      </c>
      <c r="K153" s="66"/>
      <c r="L153" s="317">
        <v>28.0</v>
      </c>
      <c r="M153" s="321">
        <v>45689.0</v>
      </c>
      <c r="N153" s="321">
        <v>45716.0</v>
      </c>
    </row>
    <row r="154">
      <c r="A154" s="316" t="s">
        <v>16</v>
      </c>
      <c r="B154" s="317">
        <v>4320.0</v>
      </c>
      <c r="C154" s="66"/>
      <c r="D154" s="322">
        <v>0.0</v>
      </c>
      <c r="E154" s="337" t="s">
        <v>180</v>
      </c>
      <c r="F154" s="316" t="s">
        <v>181</v>
      </c>
      <c r="G154" s="316" t="s">
        <v>182</v>
      </c>
      <c r="I154" s="323">
        <v>36297.0</v>
      </c>
      <c r="J154" s="321">
        <v>45001.0</v>
      </c>
      <c r="K154" s="321">
        <v>45359.0</v>
      </c>
      <c r="L154" s="317">
        <v>0.0</v>
      </c>
      <c r="M154" s="321">
        <v>45689.0</v>
      </c>
      <c r="N154" s="321">
        <v>45716.0</v>
      </c>
    </row>
    <row r="155">
      <c r="A155" s="316" t="s">
        <v>16</v>
      </c>
      <c r="B155" s="317">
        <v>4320.0</v>
      </c>
      <c r="C155" s="66"/>
      <c r="D155" s="322">
        <v>0.0</v>
      </c>
      <c r="E155" s="337" t="s">
        <v>183</v>
      </c>
      <c r="F155" s="316" t="s">
        <v>184</v>
      </c>
      <c r="G155" s="316" t="s">
        <v>185</v>
      </c>
      <c r="I155" s="321">
        <v>36979.0</v>
      </c>
      <c r="J155" s="321">
        <v>44907.0</v>
      </c>
      <c r="K155" s="66"/>
      <c r="L155" s="317">
        <v>28.0</v>
      </c>
      <c r="M155" s="321">
        <v>45689.0</v>
      </c>
      <c r="N155" s="321">
        <v>45716.0</v>
      </c>
    </row>
    <row r="156">
      <c r="A156" s="316" t="s">
        <v>16</v>
      </c>
      <c r="B156" s="317">
        <v>4320.0</v>
      </c>
      <c r="C156" s="66"/>
      <c r="D156" s="322">
        <v>0.0</v>
      </c>
      <c r="E156" s="337" t="s">
        <v>258</v>
      </c>
      <c r="F156" s="316" t="s">
        <v>259</v>
      </c>
      <c r="G156" s="316" t="s">
        <v>260</v>
      </c>
      <c r="I156" s="321">
        <v>35447.0</v>
      </c>
      <c r="J156" s="321">
        <v>45273.0</v>
      </c>
      <c r="K156" s="321">
        <v>45565.0</v>
      </c>
      <c r="L156" s="317">
        <v>0.0</v>
      </c>
      <c r="M156" s="321">
        <v>45689.0</v>
      </c>
      <c r="N156" s="321">
        <v>45716.0</v>
      </c>
    </row>
    <row r="157">
      <c r="A157" s="316" t="s">
        <v>16</v>
      </c>
      <c r="B157" s="317">
        <v>4320.0</v>
      </c>
      <c r="C157" s="66"/>
      <c r="D157" s="322">
        <v>0.0</v>
      </c>
      <c r="E157" s="337" t="s">
        <v>192</v>
      </c>
      <c r="F157" s="316" t="s">
        <v>193</v>
      </c>
      <c r="G157" s="316" t="s">
        <v>194</v>
      </c>
      <c r="I157" s="321">
        <v>36075.0</v>
      </c>
      <c r="J157" s="321">
        <v>44977.0</v>
      </c>
      <c r="K157" s="321">
        <v>45351.0</v>
      </c>
      <c r="L157" s="317">
        <v>0.0</v>
      </c>
      <c r="M157" s="321">
        <v>45689.0</v>
      </c>
      <c r="N157" s="321">
        <v>45716.0</v>
      </c>
    </row>
    <row r="158">
      <c r="A158" s="316" t="s">
        <v>16</v>
      </c>
      <c r="B158" s="317">
        <v>4320.0</v>
      </c>
      <c r="C158" s="66"/>
      <c r="D158" s="322">
        <v>0.0</v>
      </c>
      <c r="E158" s="337" t="s">
        <v>201</v>
      </c>
      <c r="F158" s="316" t="s">
        <v>202</v>
      </c>
      <c r="G158" s="316" t="s">
        <v>203</v>
      </c>
      <c r="I158" s="321">
        <v>36574.0</v>
      </c>
      <c r="J158" s="321">
        <v>45187.0</v>
      </c>
      <c r="K158" s="321">
        <v>45544.0</v>
      </c>
      <c r="L158" s="317">
        <v>0.0</v>
      </c>
      <c r="M158" s="321">
        <v>45689.0</v>
      </c>
      <c r="N158" s="321">
        <v>45716.0</v>
      </c>
    </row>
    <row r="159">
      <c r="A159" s="316" t="s">
        <v>16</v>
      </c>
      <c r="B159" s="317">
        <v>4320.0</v>
      </c>
      <c r="C159" s="66"/>
      <c r="D159" s="322">
        <v>0.0</v>
      </c>
      <c r="E159" s="337" t="s">
        <v>499</v>
      </c>
      <c r="F159" s="316" t="s">
        <v>540</v>
      </c>
      <c r="G159" s="316" t="s">
        <v>500</v>
      </c>
      <c r="I159" s="321">
        <v>36144.0</v>
      </c>
      <c r="J159" s="321">
        <v>45628.0</v>
      </c>
      <c r="K159" s="338"/>
      <c r="L159" s="317">
        <v>28.0</v>
      </c>
      <c r="M159" s="321">
        <v>45689.0</v>
      </c>
      <c r="N159" s="321">
        <v>45716.0</v>
      </c>
    </row>
    <row r="160">
      <c r="A160" s="316" t="s">
        <v>16</v>
      </c>
      <c r="B160" s="317">
        <v>4320.0</v>
      </c>
      <c r="C160" s="66"/>
      <c r="D160" s="322">
        <v>0.0</v>
      </c>
      <c r="E160" s="337" t="s">
        <v>301</v>
      </c>
      <c r="F160" s="316" t="s">
        <v>302</v>
      </c>
      <c r="G160" s="316" t="s">
        <v>303</v>
      </c>
      <c r="I160" s="321">
        <v>36991.0</v>
      </c>
      <c r="J160" s="321">
        <v>45205.0</v>
      </c>
      <c r="K160" s="66"/>
      <c r="L160" s="317">
        <v>28.0</v>
      </c>
      <c r="M160" s="321">
        <v>45689.0</v>
      </c>
      <c r="N160" s="321">
        <v>45716.0</v>
      </c>
    </row>
    <row r="161">
      <c r="A161" s="316" t="s">
        <v>16</v>
      </c>
      <c r="B161" s="317">
        <v>4320.0</v>
      </c>
      <c r="C161" s="66"/>
      <c r="D161" s="322">
        <v>0.0</v>
      </c>
      <c r="E161" s="337" t="s">
        <v>432</v>
      </c>
      <c r="F161" s="316" t="s">
        <v>521</v>
      </c>
      <c r="G161" s="316" t="s">
        <v>433</v>
      </c>
      <c r="I161" s="321">
        <v>34504.0</v>
      </c>
      <c r="J161" s="321">
        <v>45481.0</v>
      </c>
      <c r="K161" s="66"/>
      <c r="L161" s="317">
        <v>28.0</v>
      </c>
      <c r="M161" s="321">
        <v>45689.0</v>
      </c>
      <c r="N161" s="321">
        <v>45716.0</v>
      </c>
    </row>
    <row r="162">
      <c r="A162" s="316" t="s">
        <v>16</v>
      </c>
      <c r="B162" s="317">
        <v>4320.0</v>
      </c>
      <c r="C162" s="66"/>
      <c r="D162" s="322">
        <v>0.0</v>
      </c>
      <c r="E162" s="337" t="s">
        <v>434</v>
      </c>
      <c r="F162" s="316" t="s">
        <v>522</v>
      </c>
      <c r="G162" s="316" t="s">
        <v>435</v>
      </c>
      <c r="I162" s="321">
        <v>37446.0</v>
      </c>
      <c r="J162" s="321">
        <v>45495.0</v>
      </c>
      <c r="K162" s="66"/>
      <c r="L162" s="317">
        <v>28.0</v>
      </c>
      <c r="M162" s="321">
        <v>45689.0</v>
      </c>
      <c r="N162" s="321">
        <v>45716.0</v>
      </c>
    </row>
    <row r="163">
      <c r="A163" s="316" t="s">
        <v>16</v>
      </c>
      <c r="B163" s="317">
        <v>4320.0</v>
      </c>
      <c r="C163" s="66"/>
      <c r="D163" s="322">
        <v>0.0</v>
      </c>
      <c r="E163" s="337" t="s">
        <v>667</v>
      </c>
      <c r="F163" s="316" t="s">
        <v>668</v>
      </c>
      <c r="G163" s="316" t="s">
        <v>669</v>
      </c>
      <c r="I163" s="321">
        <v>33961.0</v>
      </c>
      <c r="J163" s="321">
        <v>45229.0</v>
      </c>
      <c r="K163" s="321">
        <v>45408.0</v>
      </c>
      <c r="L163" s="317">
        <v>0.0</v>
      </c>
      <c r="M163" s="321">
        <v>45689.0</v>
      </c>
      <c r="N163" s="321">
        <v>45716.0</v>
      </c>
    </row>
    <row r="164">
      <c r="A164" s="316" t="s">
        <v>16</v>
      </c>
      <c r="B164" s="317">
        <v>4320.0</v>
      </c>
      <c r="C164" s="66"/>
      <c r="D164" s="322">
        <v>0.0</v>
      </c>
      <c r="E164" s="337" t="s">
        <v>670</v>
      </c>
      <c r="F164" s="316" t="s">
        <v>671</v>
      </c>
      <c r="G164" s="316" t="s">
        <v>672</v>
      </c>
      <c r="I164" s="321">
        <v>36386.0</v>
      </c>
      <c r="J164" s="321">
        <v>45111.0</v>
      </c>
      <c r="K164" s="321">
        <v>45394.0</v>
      </c>
      <c r="L164" s="317">
        <v>0.0</v>
      </c>
      <c r="M164" s="321">
        <v>45689.0</v>
      </c>
      <c r="N164" s="321">
        <v>45716.0</v>
      </c>
    </row>
    <row r="165">
      <c r="A165" s="316" t="s">
        <v>16</v>
      </c>
      <c r="B165" s="317">
        <v>4320.0</v>
      </c>
      <c r="C165" s="66"/>
      <c r="D165" s="322">
        <v>0.0</v>
      </c>
      <c r="E165" s="337" t="s">
        <v>460</v>
      </c>
      <c r="F165" s="316" t="s">
        <v>523</v>
      </c>
      <c r="G165" s="316" t="s">
        <v>461</v>
      </c>
      <c r="I165" s="321">
        <v>36856.0</v>
      </c>
      <c r="J165" s="321">
        <v>45505.0</v>
      </c>
      <c r="K165" s="338"/>
      <c r="L165" s="317">
        <v>28.0</v>
      </c>
      <c r="M165" s="321">
        <v>45689.0</v>
      </c>
      <c r="N165" s="321">
        <v>45716.0</v>
      </c>
    </row>
    <row r="166">
      <c r="A166" s="316" t="s">
        <v>16</v>
      </c>
      <c r="B166" s="317">
        <v>4320.0</v>
      </c>
      <c r="C166" s="66"/>
      <c r="D166" s="322">
        <v>0.0</v>
      </c>
      <c r="E166" s="337" t="s">
        <v>462</v>
      </c>
      <c r="F166" s="316" t="s">
        <v>526</v>
      </c>
      <c r="G166" s="316" t="s">
        <v>463</v>
      </c>
      <c r="I166" s="321">
        <v>34588.0</v>
      </c>
      <c r="J166" s="321">
        <v>45530.0</v>
      </c>
      <c r="K166" s="66"/>
      <c r="L166" s="317">
        <v>28.0</v>
      </c>
      <c r="M166" s="321">
        <v>45689.0</v>
      </c>
      <c r="N166" s="321">
        <v>45716.0</v>
      </c>
    </row>
    <row r="167">
      <c r="A167" s="316" t="s">
        <v>16</v>
      </c>
      <c r="B167" s="317">
        <v>4320.0</v>
      </c>
      <c r="C167" s="66"/>
      <c r="D167" s="322">
        <v>0.0</v>
      </c>
      <c r="E167" s="337" t="s">
        <v>423</v>
      </c>
      <c r="F167" s="316" t="s">
        <v>524</v>
      </c>
      <c r="G167" s="316" t="s">
        <v>424</v>
      </c>
      <c r="I167" s="321">
        <v>37818.0</v>
      </c>
      <c r="J167" s="321">
        <v>45467.0</v>
      </c>
      <c r="K167" s="66"/>
      <c r="L167" s="317">
        <v>28.0</v>
      </c>
      <c r="M167" s="321">
        <v>45689.0</v>
      </c>
      <c r="N167" s="321">
        <v>45716.0</v>
      </c>
    </row>
    <row r="168">
      <c r="A168" s="316" t="s">
        <v>16</v>
      </c>
      <c r="B168" s="317">
        <v>4320.0</v>
      </c>
      <c r="C168" s="66"/>
      <c r="D168" s="322">
        <v>0.0</v>
      </c>
      <c r="E168" s="337" t="s">
        <v>207</v>
      </c>
      <c r="F168" s="316" t="s">
        <v>208</v>
      </c>
      <c r="G168" s="316" t="s">
        <v>209</v>
      </c>
      <c r="I168" s="321">
        <v>33156.0</v>
      </c>
      <c r="J168" s="321">
        <v>44562.0</v>
      </c>
      <c r="K168" s="321">
        <v>45473.0</v>
      </c>
      <c r="L168" s="317">
        <v>0.0</v>
      </c>
      <c r="M168" s="321">
        <v>45689.0</v>
      </c>
      <c r="N168" s="321">
        <v>45716.0</v>
      </c>
    </row>
    <row r="169">
      <c r="A169" s="316" t="s">
        <v>16</v>
      </c>
      <c r="B169" s="317">
        <v>4320.0</v>
      </c>
      <c r="C169" s="66"/>
      <c r="D169" s="322">
        <v>0.0</v>
      </c>
      <c r="E169" s="337" t="s">
        <v>304</v>
      </c>
      <c r="F169" s="316" t="s">
        <v>305</v>
      </c>
      <c r="G169" s="316" t="s">
        <v>306</v>
      </c>
      <c r="I169" s="321">
        <v>35697.0</v>
      </c>
      <c r="J169" s="321">
        <v>45348.0</v>
      </c>
      <c r="K169" s="321">
        <v>45698.0</v>
      </c>
      <c r="L169" s="317">
        <v>10.0</v>
      </c>
      <c r="M169" s="321">
        <v>45689.0</v>
      </c>
      <c r="N169" s="321">
        <v>45716.0</v>
      </c>
    </row>
    <row r="170">
      <c r="A170" s="316" t="s">
        <v>16</v>
      </c>
      <c r="B170" s="317">
        <v>4320.0</v>
      </c>
      <c r="C170" s="66"/>
      <c r="D170" s="322">
        <v>0.0</v>
      </c>
      <c r="E170" s="337" t="s">
        <v>213</v>
      </c>
      <c r="F170" s="316" t="s">
        <v>214</v>
      </c>
      <c r="G170" s="316" t="s">
        <v>215</v>
      </c>
      <c r="I170" s="321">
        <v>36797.0</v>
      </c>
      <c r="J170" s="321">
        <v>44886.0</v>
      </c>
      <c r="K170" s="66"/>
      <c r="L170" s="317">
        <v>28.0</v>
      </c>
      <c r="M170" s="321">
        <v>45689.0</v>
      </c>
      <c r="N170" s="321">
        <v>45716.0</v>
      </c>
    </row>
    <row r="171">
      <c r="A171" s="316" t="s">
        <v>16</v>
      </c>
      <c r="B171" s="317">
        <v>4320.0</v>
      </c>
      <c r="C171" s="66"/>
      <c r="D171" s="322">
        <v>0.0</v>
      </c>
      <c r="E171" s="337" t="s">
        <v>673</v>
      </c>
      <c r="F171" s="316" t="s">
        <v>674</v>
      </c>
      <c r="G171" s="316" t="s">
        <v>675</v>
      </c>
      <c r="I171" s="321">
        <v>36961.0</v>
      </c>
      <c r="J171" s="321">
        <v>44593.0</v>
      </c>
      <c r="K171" s="321">
        <v>45457.0</v>
      </c>
      <c r="L171" s="317">
        <v>0.0</v>
      </c>
      <c r="M171" s="321">
        <v>45689.0</v>
      </c>
      <c r="N171" s="321">
        <v>45716.0</v>
      </c>
    </row>
    <row r="172">
      <c r="A172" s="316" t="s">
        <v>16</v>
      </c>
      <c r="B172" s="317">
        <v>4320.0</v>
      </c>
      <c r="C172" s="66"/>
      <c r="D172" s="322">
        <v>0.0</v>
      </c>
      <c r="E172" s="337" t="s">
        <v>588</v>
      </c>
      <c r="F172" s="316" t="s">
        <v>589</v>
      </c>
      <c r="G172" s="316" t="s">
        <v>590</v>
      </c>
      <c r="I172" s="321">
        <v>34190.0</v>
      </c>
      <c r="J172" s="321">
        <v>45684.0</v>
      </c>
      <c r="K172" s="338"/>
      <c r="L172" s="317">
        <v>28.0</v>
      </c>
      <c r="M172" s="321">
        <v>45689.0</v>
      </c>
      <c r="N172" s="321">
        <v>45716.0</v>
      </c>
    </row>
    <row r="173">
      <c r="A173" s="316" t="s">
        <v>16</v>
      </c>
      <c r="B173" s="317">
        <v>4320.0</v>
      </c>
      <c r="C173" s="66"/>
      <c r="D173" s="322">
        <v>0.0</v>
      </c>
      <c r="E173" s="337" t="s">
        <v>427</v>
      </c>
      <c r="F173" s="316" t="s">
        <v>525</v>
      </c>
      <c r="G173" s="316" t="s">
        <v>428</v>
      </c>
      <c r="I173" s="321">
        <v>36451.0</v>
      </c>
      <c r="J173" s="321">
        <v>45453.0</v>
      </c>
      <c r="K173" s="66"/>
      <c r="L173" s="317">
        <v>28.0</v>
      </c>
      <c r="M173" s="321">
        <v>45689.0</v>
      </c>
      <c r="N173" s="321">
        <v>45716.0</v>
      </c>
    </row>
    <row r="174">
      <c r="A174" s="316" t="s">
        <v>16</v>
      </c>
      <c r="B174" s="317">
        <v>4320.0</v>
      </c>
      <c r="C174" s="66"/>
      <c r="D174" s="322">
        <v>0.0</v>
      </c>
      <c r="E174" s="337" t="s">
        <v>493</v>
      </c>
      <c r="F174" s="316" t="s">
        <v>532</v>
      </c>
      <c r="G174" s="316" t="s">
        <v>494</v>
      </c>
      <c r="I174" s="321">
        <v>36208.0</v>
      </c>
      <c r="J174" s="321">
        <v>45602.0</v>
      </c>
      <c r="K174" s="66"/>
      <c r="L174" s="317">
        <v>28.0</v>
      </c>
      <c r="M174" s="321">
        <v>45689.0</v>
      </c>
      <c r="N174" s="321">
        <v>45716.0</v>
      </c>
    </row>
    <row r="175">
      <c r="A175" s="316" t="s">
        <v>16</v>
      </c>
      <c r="B175" s="317">
        <v>4320.0</v>
      </c>
      <c r="C175" s="66"/>
      <c r="D175" s="322">
        <v>0.0</v>
      </c>
      <c r="E175" s="337" t="s">
        <v>222</v>
      </c>
      <c r="F175" s="316" t="s">
        <v>223</v>
      </c>
      <c r="G175" s="316" t="s">
        <v>224</v>
      </c>
      <c r="I175" s="321">
        <v>35818.0</v>
      </c>
      <c r="J175" s="321">
        <v>45089.0</v>
      </c>
      <c r="K175" s="66"/>
      <c r="L175" s="317">
        <v>28.0</v>
      </c>
      <c r="M175" s="321">
        <v>45689.0</v>
      </c>
      <c r="N175" s="321">
        <v>45716.0</v>
      </c>
    </row>
    <row r="176">
      <c r="A176" s="316" t="s">
        <v>16</v>
      </c>
      <c r="B176" s="317">
        <v>4320.0</v>
      </c>
      <c r="C176" s="66"/>
      <c r="D176" s="322">
        <v>0.0</v>
      </c>
      <c r="E176" s="337" t="s">
        <v>585</v>
      </c>
      <c r="F176" s="316" t="s">
        <v>586</v>
      </c>
      <c r="G176" s="316" t="s">
        <v>587</v>
      </c>
      <c r="I176" s="321">
        <v>35827.0</v>
      </c>
      <c r="J176" s="321">
        <v>45684.0</v>
      </c>
      <c r="K176" s="66"/>
      <c r="L176" s="317">
        <v>28.0</v>
      </c>
      <c r="M176" s="321">
        <v>45689.0</v>
      </c>
      <c r="N176" s="321">
        <v>45716.0</v>
      </c>
    </row>
    <row r="177">
      <c r="A177" s="316" t="s">
        <v>16</v>
      </c>
      <c r="B177" s="317">
        <v>4320.0</v>
      </c>
      <c r="C177" s="66"/>
      <c r="D177" s="322">
        <v>0.0</v>
      </c>
      <c r="E177" s="337" t="s">
        <v>225</v>
      </c>
      <c r="F177" s="316" t="s">
        <v>226</v>
      </c>
      <c r="G177" s="316" t="s">
        <v>227</v>
      </c>
      <c r="I177" s="321">
        <v>36177.0</v>
      </c>
      <c r="J177" s="321">
        <v>45320.0</v>
      </c>
      <c r="K177" s="66"/>
      <c r="L177" s="317">
        <v>28.0</v>
      </c>
      <c r="M177" s="321">
        <v>45689.0</v>
      </c>
      <c r="N177" s="321">
        <v>45716.0</v>
      </c>
    </row>
    <row r="178">
      <c r="A178" s="316" t="s">
        <v>16</v>
      </c>
      <c r="B178" s="317">
        <v>4320.0</v>
      </c>
      <c r="C178" s="66"/>
      <c r="D178" s="322">
        <v>0.0</v>
      </c>
      <c r="E178" s="337" t="s">
        <v>676</v>
      </c>
      <c r="F178" s="316" t="s">
        <v>677</v>
      </c>
      <c r="G178" s="316" t="s">
        <v>678</v>
      </c>
      <c r="I178" s="321">
        <v>36096.0</v>
      </c>
      <c r="J178" s="321">
        <v>44562.0</v>
      </c>
      <c r="K178" s="321">
        <v>45199.0</v>
      </c>
      <c r="L178" s="317">
        <v>0.0</v>
      </c>
      <c r="M178" s="321">
        <v>45689.0</v>
      </c>
      <c r="N178" s="321">
        <v>45716.0</v>
      </c>
    </row>
    <row r="179">
      <c r="A179" s="316" t="s">
        <v>16</v>
      </c>
      <c r="B179" s="317">
        <v>4320.0</v>
      </c>
      <c r="C179" s="66"/>
      <c r="D179" s="322">
        <v>0.0</v>
      </c>
      <c r="E179" s="337" t="s">
        <v>679</v>
      </c>
      <c r="F179" s="316" t="s">
        <v>680</v>
      </c>
      <c r="G179" s="316" t="s">
        <v>681</v>
      </c>
      <c r="I179" s="321">
        <v>34915.0</v>
      </c>
      <c r="J179" s="321">
        <v>45153.0</v>
      </c>
      <c r="K179" s="321">
        <v>45306.0</v>
      </c>
      <c r="L179" s="317">
        <v>0.0</v>
      </c>
      <c r="M179" s="321">
        <v>45689.0</v>
      </c>
      <c r="N179" s="321">
        <v>45716.0</v>
      </c>
    </row>
    <row r="180">
      <c r="A180" s="316" t="s">
        <v>16</v>
      </c>
      <c r="B180" s="317">
        <v>4320.0</v>
      </c>
      <c r="C180" s="66"/>
      <c r="D180" s="322">
        <v>0.0</v>
      </c>
      <c r="E180" s="337" t="s">
        <v>682</v>
      </c>
      <c r="F180" s="316" t="s">
        <v>683</v>
      </c>
      <c r="G180" s="316" t="s">
        <v>684</v>
      </c>
      <c r="I180" s="321">
        <v>36545.0</v>
      </c>
      <c r="J180" s="321">
        <v>44562.0</v>
      </c>
      <c r="K180" s="321">
        <v>45476.0</v>
      </c>
      <c r="L180" s="317">
        <v>0.0</v>
      </c>
      <c r="M180" s="321">
        <v>45689.0</v>
      </c>
      <c r="N180" s="321">
        <v>45716.0</v>
      </c>
    </row>
    <row r="181">
      <c r="A181" s="316" t="s">
        <v>16</v>
      </c>
      <c r="B181" s="317">
        <v>4320.0</v>
      </c>
      <c r="C181" s="66"/>
      <c r="D181" s="322">
        <v>0.0</v>
      </c>
      <c r="E181" s="337" t="s">
        <v>307</v>
      </c>
      <c r="F181" s="316" t="s">
        <v>308</v>
      </c>
      <c r="G181" s="316" t="s">
        <v>309</v>
      </c>
      <c r="I181" s="321">
        <v>36522.0</v>
      </c>
      <c r="J181" s="321">
        <v>45328.0</v>
      </c>
      <c r="K181" s="321">
        <v>45572.0</v>
      </c>
      <c r="L181" s="317">
        <v>0.0</v>
      </c>
      <c r="M181" s="321">
        <v>45689.0</v>
      </c>
      <c r="N181" s="321">
        <v>45716.0</v>
      </c>
    </row>
    <row r="182">
      <c r="A182" s="316" t="s">
        <v>16</v>
      </c>
      <c r="B182" s="317">
        <v>4320.0</v>
      </c>
      <c r="C182" s="66"/>
      <c r="D182" s="322">
        <v>0.0</v>
      </c>
      <c r="E182" s="339" t="s">
        <v>690</v>
      </c>
      <c r="F182" s="340" t="s">
        <v>721</v>
      </c>
      <c r="G182" s="316" t="s">
        <v>692</v>
      </c>
      <c r="I182" s="321">
        <v>37137.0</v>
      </c>
      <c r="J182" s="321">
        <v>45691.0</v>
      </c>
      <c r="K182" s="338"/>
      <c r="L182" s="317">
        <v>26.0</v>
      </c>
      <c r="M182" s="321">
        <v>45689.0</v>
      </c>
      <c r="N182" s="321">
        <v>45716.0</v>
      </c>
    </row>
    <row r="183">
      <c r="A183" s="316" t="s">
        <v>16</v>
      </c>
      <c r="B183" s="317">
        <v>4320.0</v>
      </c>
      <c r="C183" s="66"/>
      <c r="D183" s="322">
        <v>0.0</v>
      </c>
      <c r="E183" s="339" t="s">
        <v>687</v>
      </c>
      <c r="F183" s="341" t="s">
        <v>722</v>
      </c>
      <c r="G183" s="316" t="s">
        <v>689</v>
      </c>
      <c r="I183" s="342">
        <v>37214.0</v>
      </c>
      <c r="J183" s="321">
        <v>45691.0</v>
      </c>
      <c r="K183" s="66"/>
      <c r="L183" s="317">
        <v>26.0</v>
      </c>
      <c r="M183" s="321">
        <v>45689.0</v>
      </c>
      <c r="N183" s="321">
        <v>45716.0</v>
      </c>
    </row>
    <row r="184">
      <c r="A184" s="316" t="s">
        <v>16</v>
      </c>
      <c r="B184" s="317">
        <v>4320.0</v>
      </c>
      <c r="C184" s="66"/>
      <c r="D184" s="322">
        <v>0.0</v>
      </c>
      <c r="E184" s="339" t="s">
        <v>714</v>
      </c>
      <c r="F184" s="340" t="s">
        <v>723</v>
      </c>
      <c r="G184" s="66" t="s">
        <v>716</v>
      </c>
      <c r="H184" s="66"/>
      <c r="I184" s="342">
        <v>36514.0</v>
      </c>
      <c r="J184" s="321">
        <v>45698.0</v>
      </c>
      <c r="K184" s="66"/>
      <c r="L184" s="343">
        <v>19.0</v>
      </c>
      <c r="M184" s="321">
        <v>45689.0</v>
      </c>
      <c r="N184" s="321">
        <v>45716.0</v>
      </c>
    </row>
    <row r="185">
      <c r="A185" s="316" t="s">
        <v>16</v>
      </c>
      <c r="B185" s="317">
        <v>4320.0</v>
      </c>
      <c r="C185" s="66"/>
      <c r="D185" s="322">
        <v>0.0</v>
      </c>
      <c r="E185" s="339" t="s">
        <v>696</v>
      </c>
      <c r="F185" s="341" t="s">
        <v>724</v>
      </c>
      <c r="G185" s="66" t="s">
        <v>698</v>
      </c>
      <c r="H185" s="66"/>
      <c r="I185" s="342">
        <v>36474.0</v>
      </c>
      <c r="J185" s="321">
        <v>45698.0</v>
      </c>
      <c r="K185" s="66"/>
      <c r="L185" s="343">
        <v>19.0</v>
      </c>
      <c r="M185" s="321">
        <v>45689.0</v>
      </c>
      <c r="N185" s="321">
        <v>45716.0</v>
      </c>
    </row>
    <row r="186">
      <c r="A186" s="316" t="s">
        <v>16</v>
      </c>
      <c r="B186" s="317">
        <v>4320.0</v>
      </c>
      <c r="C186" s="66"/>
      <c r="D186" s="322">
        <v>0.0</v>
      </c>
      <c r="E186" s="344" t="s">
        <v>699</v>
      </c>
      <c r="F186" s="345" t="s">
        <v>725</v>
      </c>
      <c r="G186" s="66" t="s">
        <v>701</v>
      </c>
      <c r="H186" s="66"/>
      <c r="I186" s="342">
        <v>36474.0</v>
      </c>
      <c r="J186" s="321">
        <v>45698.0</v>
      </c>
      <c r="K186" s="66"/>
      <c r="L186" s="343">
        <v>19.0</v>
      </c>
      <c r="M186" s="321">
        <v>45689.0</v>
      </c>
      <c r="N186" s="321">
        <v>45716.0</v>
      </c>
    </row>
    <row r="187">
      <c r="A187" s="316" t="s">
        <v>16</v>
      </c>
      <c r="B187" s="317">
        <v>4320.0</v>
      </c>
      <c r="C187" s="66"/>
      <c r="D187" s="322">
        <v>0.0</v>
      </c>
      <c r="E187" s="339" t="s">
        <v>702</v>
      </c>
      <c r="F187" s="341" t="s">
        <v>703</v>
      </c>
      <c r="G187" s="66" t="s">
        <v>704</v>
      </c>
      <c r="H187" s="66"/>
      <c r="I187" s="342">
        <v>35714.0</v>
      </c>
      <c r="J187" s="321">
        <v>45705.0</v>
      </c>
      <c r="K187" s="66"/>
      <c r="L187" s="317">
        <v>12.0</v>
      </c>
      <c r="M187" s="321">
        <v>45689.0</v>
      </c>
      <c r="N187" s="321">
        <v>45716.0</v>
      </c>
    </row>
    <row r="188">
      <c r="A188" s="316" t="s">
        <v>16</v>
      </c>
      <c r="B188" s="317">
        <v>4320.0</v>
      </c>
      <c r="C188" s="66"/>
      <c r="D188" s="322">
        <v>0.0</v>
      </c>
      <c r="E188" s="344" t="s">
        <v>708</v>
      </c>
      <c r="F188" s="340" t="s">
        <v>726</v>
      </c>
      <c r="G188" s="66" t="s">
        <v>710</v>
      </c>
      <c r="H188" s="66"/>
      <c r="I188" s="342">
        <v>37028.0</v>
      </c>
      <c r="J188" s="321">
        <v>45705.0</v>
      </c>
      <c r="K188" s="66"/>
      <c r="L188" s="317">
        <v>12.0</v>
      </c>
      <c r="M188" s="321">
        <v>45689.0</v>
      </c>
      <c r="N188" s="321">
        <v>45716.0</v>
      </c>
    </row>
    <row r="189">
      <c r="A189" s="316" t="s">
        <v>16</v>
      </c>
      <c r="B189" s="317">
        <v>4320.0</v>
      </c>
      <c r="C189" s="66"/>
      <c r="D189" s="322">
        <v>0.0</v>
      </c>
      <c r="E189" s="339" t="s">
        <v>717</v>
      </c>
      <c r="F189" s="341" t="s">
        <v>718</v>
      </c>
      <c r="G189" s="66" t="s">
        <v>719</v>
      </c>
      <c r="H189" s="66"/>
      <c r="I189" s="342">
        <v>36505.0</v>
      </c>
      <c r="J189" s="321">
        <v>45712.0</v>
      </c>
      <c r="K189" s="66"/>
      <c r="L189" s="317">
        <v>5.0</v>
      </c>
      <c r="M189" s="321">
        <v>45689.0</v>
      </c>
      <c r="N189" s="321">
        <v>45716.0</v>
      </c>
    </row>
    <row r="190">
      <c r="A190" s="316" t="s">
        <v>16</v>
      </c>
      <c r="B190" s="317">
        <v>4320.0</v>
      </c>
      <c r="C190" s="66"/>
      <c r="D190" s="322">
        <v>0.0</v>
      </c>
      <c r="E190" s="339" t="s">
        <v>711</v>
      </c>
      <c r="F190" s="340" t="s">
        <v>727</v>
      </c>
      <c r="G190" s="66" t="s">
        <v>713</v>
      </c>
      <c r="H190" s="66"/>
      <c r="I190" s="342">
        <v>34694.0</v>
      </c>
      <c r="J190" s="321">
        <v>45712.0</v>
      </c>
      <c r="K190" s="66"/>
      <c r="L190" s="317">
        <v>5.0</v>
      </c>
      <c r="M190" s="321">
        <v>45689.0</v>
      </c>
      <c r="N190" s="321">
        <v>45716.0</v>
      </c>
    </row>
    <row r="191">
      <c r="A191" s="316" t="s">
        <v>16</v>
      </c>
      <c r="B191" s="317">
        <v>4320.0</v>
      </c>
      <c r="C191" s="66"/>
      <c r="D191" s="322">
        <v>0.0</v>
      </c>
      <c r="E191" s="339" t="s">
        <v>693</v>
      </c>
      <c r="F191" s="346" t="s">
        <v>694</v>
      </c>
      <c r="G191" s="66" t="s">
        <v>695</v>
      </c>
      <c r="H191" s="66"/>
      <c r="I191" s="342">
        <v>35599.0</v>
      </c>
      <c r="J191" s="321">
        <v>45712.0</v>
      </c>
      <c r="K191" s="66"/>
      <c r="L191" s="317">
        <v>5.0</v>
      </c>
      <c r="M191" s="321">
        <v>45689.0</v>
      </c>
      <c r="N191" s="321">
        <v>45716.0</v>
      </c>
    </row>
    <row r="192">
      <c r="A192" s="316" t="s">
        <v>16</v>
      </c>
      <c r="B192" s="317">
        <v>4320.0</v>
      </c>
      <c r="C192" s="66"/>
      <c r="D192" s="322">
        <v>0.0</v>
      </c>
      <c r="E192" s="344" t="s">
        <v>705</v>
      </c>
      <c r="F192" s="340" t="s">
        <v>728</v>
      </c>
      <c r="G192" s="66" t="s">
        <v>707</v>
      </c>
      <c r="H192" s="66"/>
      <c r="I192" s="342">
        <v>36594.0</v>
      </c>
      <c r="J192" s="321">
        <v>45712.0</v>
      </c>
      <c r="K192" s="66"/>
      <c r="L192" s="317">
        <v>5.0</v>
      </c>
      <c r="M192" s="321">
        <v>45689.0</v>
      </c>
      <c r="N192" s="321">
        <v>45716.0</v>
      </c>
    </row>
    <row r="193">
      <c r="D193" s="310"/>
      <c r="E193" s="311"/>
    </row>
    <row r="194">
      <c r="D194" s="310"/>
      <c r="E194" s="311"/>
    </row>
    <row r="195">
      <c r="D195" s="310"/>
      <c r="E195" s="311"/>
    </row>
    <row r="196">
      <c r="D196" s="310"/>
      <c r="E196" s="311"/>
    </row>
    <row r="197">
      <c r="D197" s="310"/>
      <c r="E197" s="311"/>
    </row>
    <row r="198">
      <c r="D198" s="310"/>
      <c r="E198" s="311"/>
    </row>
    <row r="199">
      <c r="D199" s="310"/>
      <c r="E199" s="311"/>
    </row>
    <row r="200">
      <c r="D200" s="310"/>
      <c r="E200" s="311"/>
    </row>
    <row r="201">
      <c r="D201" s="310"/>
      <c r="E201" s="311"/>
    </row>
    <row r="202">
      <c r="D202" s="310"/>
      <c r="E202" s="311"/>
    </row>
    <row r="203">
      <c r="D203" s="310"/>
      <c r="E203" s="311"/>
    </row>
    <row r="204">
      <c r="D204" s="310"/>
      <c r="E204" s="311"/>
    </row>
    <row r="205">
      <c r="D205" s="310"/>
      <c r="E205" s="311"/>
    </row>
    <row r="206">
      <c r="D206" s="310"/>
      <c r="E206" s="311"/>
    </row>
    <row r="207">
      <c r="D207" s="310"/>
      <c r="E207" s="311"/>
    </row>
    <row r="208">
      <c r="D208" s="310"/>
      <c r="E208" s="311"/>
    </row>
    <row r="209">
      <c r="D209" s="310"/>
      <c r="E209" s="311"/>
    </row>
    <row r="210">
      <c r="D210" s="310"/>
      <c r="E210" s="311"/>
    </row>
    <row r="211">
      <c r="D211" s="310"/>
      <c r="E211" s="311"/>
    </row>
    <row r="212">
      <c r="D212" s="310"/>
      <c r="E212" s="311"/>
    </row>
    <row r="213">
      <c r="D213" s="310"/>
      <c r="E213" s="311"/>
    </row>
    <row r="214">
      <c r="D214" s="310"/>
      <c r="E214" s="311"/>
    </row>
    <row r="215">
      <c r="D215" s="310"/>
      <c r="E215" s="311"/>
    </row>
    <row r="216">
      <c r="D216" s="310"/>
      <c r="E216" s="311"/>
    </row>
    <row r="217">
      <c r="D217" s="310"/>
      <c r="E217" s="311"/>
    </row>
    <row r="218">
      <c r="D218" s="310"/>
      <c r="E218" s="311"/>
    </row>
    <row r="219">
      <c r="D219" s="310"/>
      <c r="E219" s="311"/>
    </row>
    <row r="220">
      <c r="D220" s="310"/>
      <c r="E220" s="311"/>
    </row>
    <row r="221">
      <c r="D221" s="310"/>
      <c r="E221" s="311"/>
    </row>
    <row r="222">
      <c r="D222" s="310"/>
      <c r="E222" s="311"/>
    </row>
    <row r="223">
      <c r="D223" s="310"/>
      <c r="E223" s="311"/>
    </row>
    <row r="224">
      <c r="D224" s="310"/>
      <c r="E224" s="311"/>
    </row>
    <row r="225">
      <c r="D225" s="310"/>
      <c r="E225" s="311"/>
    </row>
    <row r="226">
      <c r="D226" s="310"/>
      <c r="E226" s="311"/>
    </row>
    <row r="227">
      <c r="D227" s="310"/>
      <c r="E227" s="311"/>
    </row>
    <row r="228">
      <c r="D228" s="310"/>
      <c r="E228" s="311"/>
    </row>
    <row r="229">
      <c r="D229" s="310"/>
      <c r="E229" s="311"/>
    </row>
    <row r="230">
      <c r="D230" s="310"/>
      <c r="E230" s="311"/>
    </row>
    <row r="231">
      <c r="D231" s="310"/>
      <c r="E231" s="311"/>
    </row>
    <row r="232">
      <c r="D232" s="310"/>
      <c r="E232" s="311"/>
    </row>
    <row r="233">
      <c r="D233" s="310"/>
      <c r="E233" s="311"/>
    </row>
    <row r="234">
      <c r="D234" s="310"/>
      <c r="E234" s="311"/>
    </row>
    <row r="235">
      <c r="D235" s="310"/>
      <c r="E235" s="311"/>
    </row>
    <row r="236">
      <c r="D236" s="310"/>
      <c r="E236" s="311"/>
    </row>
    <row r="237">
      <c r="D237" s="310"/>
      <c r="E237" s="311"/>
    </row>
    <row r="238">
      <c r="D238" s="310"/>
      <c r="E238" s="311"/>
    </row>
    <row r="239">
      <c r="D239" s="310"/>
      <c r="E239" s="311"/>
    </row>
    <row r="240">
      <c r="D240" s="310"/>
      <c r="E240" s="311"/>
    </row>
    <row r="241">
      <c r="D241" s="310"/>
      <c r="E241" s="311"/>
    </row>
    <row r="242">
      <c r="D242" s="310"/>
      <c r="E242" s="311"/>
    </row>
    <row r="243">
      <c r="D243" s="310"/>
      <c r="E243" s="3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row r="734">
      <c r="D734" s="310"/>
      <c r="E734" s="311"/>
    </row>
    <row r="735">
      <c r="D735" s="310"/>
      <c r="E735" s="311"/>
    </row>
    <row r="736">
      <c r="D736" s="310"/>
      <c r="E736" s="311"/>
    </row>
    <row r="737">
      <c r="D737" s="310"/>
      <c r="E737" s="311"/>
    </row>
    <row r="738">
      <c r="D738" s="310"/>
      <c r="E738" s="311"/>
    </row>
    <row r="739">
      <c r="D739" s="310"/>
      <c r="E739" s="311"/>
    </row>
    <row r="740">
      <c r="D740" s="310"/>
      <c r="E740" s="311"/>
    </row>
    <row r="741">
      <c r="D741" s="310"/>
      <c r="E741" s="311"/>
    </row>
    <row r="742">
      <c r="D742" s="310"/>
      <c r="E742" s="311"/>
    </row>
    <row r="743">
      <c r="D743" s="310"/>
      <c r="E743" s="311"/>
    </row>
    <row r="744">
      <c r="D744" s="310"/>
      <c r="E744" s="311"/>
    </row>
    <row r="745">
      <c r="D745" s="310"/>
      <c r="E745" s="311"/>
    </row>
    <row r="746">
      <c r="D746" s="310"/>
      <c r="E746" s="311"/>
    </row>
    <row r="747">
      <c r="D747" s="310"/>
      <c r="E747" s="311"/>
    </row>
    <row r="748">
      <c r="D748" s="310"/>
      <c r="E748" s="311"/>
    </row>
    <row r="749">
      <c r="D749" s="310"/>
      <c r="E749" s="311"/>
    </row>
    <row r="750">
      <c r="D750" s="310"/>
      <c r="E750" s="311"/>
    </row>
    <row r="751">
      <c r="D751" s="310"/>
      <c r="E751" s="311"/>
    </row>
    <row r="752">
      <c r="D752" s="310"/>
      <c r="E752" s="311"/>
    </row>
    <row r="753">
      <c r="D753" s="310"/>
      <c r="E753" s="311"/>
    </row>
    <row r="754">
      <c r="D754" s="310"/>
      <c r="E754" s="311"/>
    </row>
    <row r="755">
      <c r="D755" s="310"/>
      <c r="E755" s="311"/>
    </row>
    <row r="756">
      <c r="D756" s="310"/>
      <c r="E756" s="311"/>
    </row>
    <row r="757">
      <c r="D757" s="310"/>
      <c r="E757" s="311"/>
    </row>
    <row r="758">
      <c r="D758" s="310"/>
      <c r="E758" s="311"/>
    </row>
    <row r="759">
      <c r="D759" s="310"/>
      <c r="E759" s="311"/>
    </row>
    <row r="760">
      <c r="D760" s="310"/>
      <c r="E760" s="311"/>
    </row>
    <row r="761">
      <c r="D761" s="310"/>
      <c r="E761" s="311"/>
    </row>
    <row r="762">
      <c r="D762" s="310"/>
      <c r="E762" s="311"/>
    </row>
    <row r="763">
      <c r="D763" s="310"/>
      <c r="E763" s="311"/>
    </row>
    <row r="764">
      <c r="D764" s="310"/>
      <c r="E764" s="311"/>
    </row>
    <row r="765">
      <c r="D765" s="310"/>
      <c r="E765" s="311"/>
    </row>
    <row r="766">
      <c r="D766" s="310"/>
      <c r="E766" s="311"/>
    </row>
    <row r="767">
      <c r="D767" s="310"/>
      <c r="E767" s="311"/>
    </row>
    <row r="768">
      <c r="D768" s="310"/>
      <c r="E768" s="311"/>
    </row>
    <row r="769">
      <c r="D769" s="310"/>
      <c r="E769" s="311"/>
    </row>
    <row r="770">
      <c r="D770" s="310"/>
      <c r="E770" s="311"/>
    </row>
    <row r="771">
      <c r="D771" s="310"/>
      <c r="E771" s="311"/>
    </row>
    <row r="772">
      <c r="D772" s="310"/>
      <c r="E772" s="311"/>
    </row>
    <row r="773">
      <c r="D773" s="310"/>
      <c r="E773" s="311"/>
    </row>
    <row r="774">
      <c r="D774" s="310"/>
      <c r="E774" s="311"/>
    </row>
    <row r="775">
      <c r="D775" s="310"/>
      <c r="E775" s="311"/>
    </row>
    <row r="776">
      <c r="D776" s="310"/>
      <c r="E776" s="311"/>
    </row>
    <row r="777">
      <c r="D777" s="310"/>
      <c r="E777" s="311"/>
    </row>
    <row r="778">
      <c r="D778" s="310"/>
      <c r="E778" s="311"/>
    </row>
    <row r="779">
      <c r="D779" s="310"/>
      <c r="E779" s="311"/>
    </row>
    <row r="780">
      <c r="D780" s="310"/>
      <c r="E780" s="311"/>
    </row>
    <row r="781">
      <c r="D781" s="310"/>
      <c r="E781" s="311"/>
    </row>
    <row r="782">
      <c r="D782" s="310"/>
      <c r="E782" s="311"/>
    </row>
    <row r="783">
      <c r="D783" s="310"/>
      <c r="E783" s="311"/>
    </row>
    <row r="784">
      <c r="D784" s="310"/>
      <c r="E784" s="311"/>
    </row>
    <row r="785">
      <c r="D785" s="310"/>
      <c r="E785" s="311"/>
    </row>
    <row r="786">
      <c r="D786" s="310"/>
      <c r="E786" s="311"/>
    </row>
    <row r="787">
      <c r="D787" s="310"/>
      <c r="E787" s="311"/>
    </row>
    <row r="788">
      <c r="D788" s="310"/>
      <c r="E788" s="311"/>
    </row>
    <row r="789">
      <c r="D789" s="310"/>
      <c r="E789" s="311"/>
    </row>
    <row r="790">
      <c r="D790" s="310"/>
      <c r="E790" s="311"/>
    </row>
    <row r="791">
      <c r="D791" s="310"/>
      <c r="E791" s="311"/>
    </row>
    <row r="792">
      <c r="D792" s="310"/>
      <c r="E792" s="311"/>
    </row>
    <row r="793">
      <c r="D793" s="310"/>
      <c r="E793" s="311"/>
    </row>
    <row r="794">
      <c r="D794" s="310"/>
      <c r="E794" s="311"/>
    </row>
    <row r="795">
      <c r="D795" s="310"/>
      <c r="E795" s="311"/>
    </row>
    <row r="796">
      <c r="D796" s="310"/>
      <c r="E796" s="311"/>
    </row>
    <row r="797">
      <c r="D797" s="310"/>
      <c r="E797" s="311"/>
    </row>
    <row r="798">
      <c r="D798" s="310"/>
      <c r="E798" s="311"/>
    </row>
    <row r="799">
      <c r="D799" s="310"/>
      <c r="E799" s="311"/>
    </row>
    <row r="800">
      <c r="D800" s="310"/>
      <c r="E800" s="311"/>
    </row>
    <row r="801">
      <c r="D801" s="310"/>
      <c r="E801" s="311"/>
    </row>
    <row r="802">
      <c r="D802" s="310"/>
      <c r="E802" s="311"/>
    </row>
    <row r="803">
      <c r="D803" s="310"/>
      <c r="E803" s="311"/>
    </row>
    <row r="804">
      <c r="D804" s="310"/>
      <c r="E804" s="311"/>
    </row>
    <row r="805">
      <c r="D805" s="310"/>
      <c r="E805" s="311"/>
    </row>
    <row r="806">
      <c r="D806" s="310"/>
      <c r="E806" s="311"/>
    </row>
    <row r="807">
      <c r="D807" s="310"/>
      <c r="E807" s="311"/>
    </row>
    <row r="808">
      <c r="D808" s="310"/>
      <c r="E808" s="311"/>
    </row>
    <row r="809">
      <c r="D809" s="310"/>
      <c r="E809" s="311"/>
    </row>
    <row r="810">
      <c r="D810" s="310"/>
      <c r="E810" s="311"/>
    </row>
    <row r="811">
      <c r="D811" s="310"/>
      <c r="E811" s="311"/>
    </row>
    <row r="812">
      <c r="D812" s="310"/>
      <c r="E812" s="311"/>
    </row>
    <row r="813">
      <c r="D813" s="310"/>
      <c r="E813" s="311"/>
    </row>
    <row r="814">
      <c r="D814" s="310"/>
      <c r="E814" s="311"/>
    </row>
    <row r="815">
      <c r="D815" s="310"/>
      <c r="E815" s="311"/>
    </row>
    <row r="816">
      <c r="D816" s="310"/>
      <c r="E816" s="311"/>
    </row>
    <row r="817">
      <c r="D817" s="310"/>
      <c r="E817" s="311"/>
    </row>
    <row r="818">
      <c r="D818" s="310"/>
      <c r="E818" s="311"/>
    </row>
    <row r="819">
      <c r="D819" s="310"/>
      <c r="E819" s="311"/>
    </row>
    <row r="820">
      <c r="D820" s="310"/>
      <c r="E820" s="311"/>
    </row>
    <row r="821">
      <c r="D821" s="310"/>
      <c r="E821" s="311"/>
    </row>
    <row r="822">
      <c r="D822" s="310"/>
      <c r="E822" s="311"/>
    </row>
    <row r="823">
      <c r="D823" s="310"/>
      <c r="E823" s="311"/>
    </row>
    <row r="824">
      <c r="D824" s="310"/>
      <c r="E824" s="311"/>
    </row>
    <row r="825">
      <c r="D825" s="310"/>
      <c r="E825" s="311"/>
    </row>
    <row r="826">
      <c r="D826" s="310"/>
      <c r="E826" s="311"/>
    </row>
    <row r="827">
      <c r="D827" s="310"/>
      <c r="E827" s="311"/>
    </row>
    <row r="828">
      <c r="D828" s="310"/>
      <c r="E828" s="311"/>
    </row>
    <row r="829">
      <c r="D829" s="310"/>
      <c r="E829" s="311"/>
    </row>
    <row r="830">
      <c r="D830" s="310"/>
      <c r="E830" s="311"/>
    </row>
    <row r="831">
      <c r="D831" s="310"/>
      <c r="E831" s="311"/>
    </row>
    <row r="832">
      <c r="D832" s="310"/>
      <c r="E832" s="311"/>
    </row>
    <row r="833">
      <c r="D833" s="310"/>
      <c r="E833" s="311"/>
    </row>
    <row r="834">
      <c r="D834" s="310"/>
      <c r="E834" s="311"/>
    </row>
    <row r="835">
      <c r="D835" s="310"/>
      <c r="E835" s="311"/>
    </row>
    <row r="836">
      <c r="D836" s="310"/>
      <c r="E836" s="311"/>
    </row>
    <row r="837">
      <c r="D837" s="310"/>
      <c r="E837" s="311"/>
    </row>
    <row r="838">
      <c r="D838" s="310"/>
      <c r="E838" s="311"/>
    </row>
    <row r="839">
      <c r="D839" s="310"/>
      <c r="E839" s="311"/>
    </row>
    <row r="840">
      <c r="D840" s="310"/>
      <c r="E840" s="311"/>
    </row>
    <row r="841">
      <c r="D841" s="310"/>
      <c r="E841" s="311"/>
    </row>
    <row r="842">
      <c r="D842" s="310"/>
      <c r="E842" s="311"/>
    </row>
    <row r="843">
      <c r="D843" s="310"/>
      <c r="E843" s="311"/>
    </row>
    <row r="844">
      <c r="D844" s="310"/>
      <c r="E844" s="311"/>
    </row>
    <row r="845">
      <c r="D845" s="310"/>
      <c r="E845" s="311"/>
    </row>
    <row r="846">
      <c r="D846" s="310"/>
      <c r="E846" s="311"/>
    </row>
    <row r="847">
      <c r="D847" s="310"/>
      <c r="E847" s="311"/>
    </row>
    <row r="848">
      <c r="D848" s="310"/>
      <c r="E848" s="311"/>
    </row>
    <row r="849">
      <c r="D849" s="310"/>
      <c r="E849" s="311"/>
    </row>
    <row r="850">
      <c r="D850" s="310"/>
      <c r="E850" s="311"/>
    </row>
    <row r="851">
      <c r="D851" s="310"/>
      <c r="E851" s="311"/>
    </row>
    <row r="852">
      <c r="D852" s="310"/>
      <c r="E852" s="311"/>
    </row>
    <row r="853">
      <c r="D853" s="310"/>
      <c r="E853" s="311"/>
    </row>
    <row r="854">
      <c r="D854" s="310"/>
      <c r="E854" s="311"/>
    </row>
    <row r="855">
      <c r="D855" s="310"/>
      <c r="E855" s="311"/>
    </row>
    <row r="856">
      <c r="D856" s="310"/>
      <c r="E856" s="311"/>
    </row>
    <row r="857">
      <c r="D857" s="310"/>
      <c r="E857" s="311"/>
    </row>
    <row r="858">
      <c r="D858" s="310"/>
      <c r="E858" s="311"/>
    </row>
    <row r="859">
      <c r="D859" s="310"/>
      <c r="E859" s="311"/>
    </row>
    <row r="860">
      <c r="D860" s="310"/>
      <c r="E860" s="311"/>
    </row>
    <row r="861">
      <c r="D861" s="310"/>
      <c r="E861" s="311"/>
    </row>
    <row r="862">
      <c r="D862" s="310"/>
      <c r="E862" s="311"/>
    </row>
    <row r="863">
      <c r="D863" s="310"/>
      <c r="E863" s="311"/>
    </row>
    <row r="864">
      <c r="D864" s="310"/>
      <c r="E864" s="311"/>
    </row>
    <row r="865">
      <c r="D865" s="310"/>
      <c r="E865" s="311"/>
    </row>
    <row r="866">
      <c r="D866" s="310"/>
      <c r="E866" s="311"/>
    </row>
    <row r="867">
      <c r="D867" s="310"/>
      <c r="E867" s="311"/>
    </row>
    <row r="868">
      <c r="D868" s="310"/>
      <c r="E868" s="311"/>
    </row>
    <row r="869">
      <c r="D869" s="310"/>
      <c r="E869" s="311"/>
    </row>
    <row r="870">
      <c r="D870" s="310"/>
      <c r="E870" s="311"/>
    </row>
    <row r="871">
      <c r="D871" s="310"/>
      <c r="E871" s="311"/>
    </row>
    <row r="872">
      <c r="D872" s="310"/>
      <c r="E872" s="311"/>
    </row>
    <row r="873">
      <c r="D873" s="310"/>
      <c r="E873" s="311"/>
    </row>
    <row r="874">
      <c r="D874" s="310"/>
      <c r="E874" s="311"/>
    </row>
    <row r="875">
      <c r="D875" s="310"/>
      <c r="E875" s="311"/>
    </row>
    <row r="876">
      <c r="D876" s="310"/>
      <c r="E876" s="311"/>
    </row>
    <row r="877">
      <c r="D877" s="310"/>
      <c r="E877" s="311"/>
    </row>
    <row r="878">
      <c r="D878" s="310"/>
      <c r="E878" s="311"/>
    </row>
    <row r="879">
      <c r="D879" s="310"/>
      <c r="E879" s="311"/>
    </row>
    <row r="880">
      <c r="D880" s="310"/>
      <c r="E880" s="311"/>
    </row>
    <row r="881">
      <c r="D881" s="310"/>
      <c r="E881" s="311"/>
    </row>
    <row r="882">
      <c r="D882" s="310"/>
      <c r="E882" s="311"/>
    </row>
    <row r="883">
      <c r="D883" s="310"/>
      <c r="E883" s="311"/>
    </row>
    <row r="884">
      <c r="D884" s="310"/>
      <c r="E884" s="311"/>
    </row>
    <row r="885">
      <c r="D885" s="310"/>
      <c r="E885" s="311"/>
    </row>
    <row r="886">
      <c r="D886" s="310"/>
      <c r="E886" s="311"/>
    </row>
    <row r="887">
      <c r="D887" s="310"/>
      <c r="E887" s="311"/>
    </row>
    <row r="888">
      <c r="D888" s="310"/>
      <c r="E888" s="311"/>
    </row>
    <row r="889">
      <c r="D889" s="310"/>
      <c r="E889" s="311"/>
    </row>
    <row r="890">
      <c r="D890" s="310"/>
      <c r="E890" s="311"/>
    </row>
    <row r="891">
      <c r="D891" s="310"/>
      <c r="E891" s="311"/>
    </row>
    <row r="892">
      <c r="D892" s="310"/>
      <c r="E892" s="311"/>
    </row>
    <row r="893">
      <c r="D893" s="310"/>
      <c r="E893" s="311"/>
    </row>
    <row r="894">
      <c r="D894" s="310"/>
      <c r="E894" s="311"/>
    </row>
    <row r="895">
      <c r="D895" s="310"/>
      <c r="E895" s="311"/>
    </row>
    <row r="896">
      <c r="D896" s="310"/>
      <c r="E896" s="311"/>
    </row>
    <row r="897">
      <c r="D897" s="310"/>
      <c r="E897" s="311"/>
    </row>
    <row r="898">
      <c r="D898" s="310"/>
      <c r="E898" s="311"/>
    </row>
    <row r="899">
      <c r="D899" s="310"/>
      <c r="E899" s="311"/>
    </row>
    <row r="900">
      <c r="D900" s="310"/>
      <c r="E900" s="311"/>
    </row>
    <row r="901">
      <c r="D901" s="310"/>
      <c r="E901" s="311"/>
    </row>
    <row r="902">
      <c r="D902" s="310"/>
      <c r="E902" s="311"/>
    </row>
    <row r="903">
      <c r="D903" s="310"/>
      <c r="E903" s="311"/>
    </row>
    <row r="904">
      <c r="D904" s="310"/>
      <c r="E904" s="311"/>
    </row>
    <row r="905">
      <c r="D905" s="310"/>
      <c r="E905" s="311"/>
    </row>
    <row r="906">
      <c r="D906" s="310"/>
      <c r="E906" s="311"/>
    </row>
    <row r="907">
      <c r="D907" s="310"/>
      <c r="E907" s="311"/>
    </row>
    <row r="908">
      <c r="D908" s="310"/>
      <c r="E908" s="311"/>
    </row>
    <row r="909">
      <c r="D909" s="310"/>
      <c r="E909" s="311"/>
    </row>
    <row r="910">
      <c r="D910" s="310"/>
      <c r="E910" s="311"/>
    </row>
    <row r="911">
      <c r="D911" s="310"/>
      <c r="E911" s="311"/>
    </row>
    <row r="912">
      <c r="D912" s="310"/>
      <c r="E912" s="311"/>
    </row>
    <row r="913">
      <c r="D913" s="310"/>
      <c r="E913" s="311"/>
    </row>
    <row r="914">
      <c r="D914" s="310"/>
      <c r="E914" s="311"/>
    </row>
    <row r="915">
      <c r="D915" s="310"/>
      <c r="E915" s="311"/>
    </row>
    <row r="916">
      <c r="D916" s="310"/>
      <c r="E916" s="311"/>
    </row>
    <row r="917">
      <c r="D917" s="310"/>
      <c r="E917" s="311"/>
    </row>
    <row r="918">
      <c r="D918" s="310"/>
      <c r="E918" s="311"/>
    </row>
    <row r="919">
      <c r="D919" s="310"/>
      <c r="E919" s="311"/>
    </row>
    <row r="920">
      <c r="D920" s="310"/>
      <c r="E920" s="311"/>
    </row>
    <row r="921">
      <c r="D921" s="310"/>
      <c r="E921" s="311"/>
    </row>
    <row r="922">
      <c r="D922" s="310"/>
      <c r="E922" s="311"/>
    </row>
    <row r="923">
      <c r="D923" s="310"/>
      <c r="E923" s="311"/>
    </row>
    <row r="924">
      <c r="D924" s="310"/>
      <c r="E924" s="311"/>
    </row>
    <row r="925">
      <c r="D925" s="310"/>
      <c r="E925" s="311"/>
    </row>
    <row r="926">
      <c r="D926" s="310"/>
      <c r="E926" s="311"/>
    </row>
    <row r="927">
      <c r="D927" s="310"/>
      <c r="E927" s="311"/>
    </row>
    <row r="928">
      <c r="D928" s="310"/>
      <c r="E928" s="311"/>
    </row>
    <row r="929">
      <c r="D929" s="310"/>
      <c r="E929" s="311"/>
    </row>
    <row r="930">
      <c r="D930" s="310"/>
      <c r="E930" s="311"/>
    </row>
    <row r="931">
      <c r="D931" s="310"/>
      <c r="E931" s="311"/>
    </row>
    <row r="932">
      <c r="D932" s="310"/>
      <c r="E932" s="311"/>
    </row>
    <row r="933">
      <c r="D933" s="310"/>
      <c r="E933" s="311"/>
    </row>
    <row r="934">
      <c r="D934" s="310"/>
      <c r="E934" s="311"/>
    </row>
    <row r="935">
      <c r="D935" s="310"/>
      <c r="E935" s="311"/>
    </row>
    <row r="936">
      <c r="D936" s="310"/>
      <c r="E936" s="311"/>
    </row>
    <row r="937">
      <c r="D937" s="310"/>
      <c r="E937" s="311"/>
    </row>
    <row r="938">
      <c r="D938" s="310"/>
      <c r="E938" s="311"/>
    </row>
    <row r="939">
      <c r="D939" s="310"/>
      <c r="E939" s="311"/>
    </row>
    <row r="940">
      <c r="D940" s="310"/>
      <c r="E940" s="311"/>
    </row>
    <row r="941">
      <c r="D941" s="310"/>
      <c r="E941" s="311"/>
    </row>
    <row r="942">
      <c r="D942" s="310"/>
      <c r="E942" s="311"/>
    </row>
    <row r="943">
      <c r="D943" s="310"/>
      <c r="E943" s="311"/>
    </row>
    <row r="944">
      <c r="D944" s="310"/>
      <c r="E944" s="311"/>
    </row>
    <row r="945">
      <c r="D945" s="310"/>
      <c r="E945" s="311"/>
    </row>
    <row r="946">
      <c r="D946" s="310"/>
      <c r="E946" s="311"/>
    </row>
    <row r="947">
      <c r="D947" s="310"/>
      <c r="E947" s="311"/>
    </row>
    <row r="948">
      <c r="D948" s="310"/>
      <c r="E948" s="311"/>
    </row>
    <row r="949">
      <c r="D949" s="310"/>
      <c r="E949" s="311"/>
    </row>
  </sheetData>
  <autoFilter ref="$A$1:$N$192"/>
  <mergeCells count="182">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7:H177"/>
    <mergeCell ref="G178:H178"/>
    <mergeCell ref="G179:H179"/>
    <mergeCell ref="G180:H180"/>
    <mergeCell ref="G181:H181"/>
    <mergeCell ref="G182:H182"/>
    <mergeCell ref="G183:H183"/>
    <mergeCell ref="G170:H170"/>
    <mergeCell ref="G171:H171"/>
    <mergeCell ref="G172:H172"/>
    <mergeCell ref="G173:H173"/>
    <mergeCell ref="G174:H174"/>
    <mergeCell ref="G175:H175"/>
    <mergeCell ref="G176:H176"/>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1.38"/>
    <col customWidth="1" min="6" max="6" width="11.5"/>
    <col customWidth="1" min="7" max="7" width="14.25"/>
    <col customWidth="1" min="15" max="15" width="19.25"/>
  </cols>
  <sheetData>
    <row r="1">
      <c r="A1" s="347" t="s">
        <v>0</v>
      </c>
      <c r="B1" s="348" t="s">
        <v>1</v>
      </c>
      <c r="C1" s="281" t="s">
        <v>2</v>
      </c>
      <c r="D1" s="281" t="s">
        <v>603</v>
      </c>
      <c r="E1" s="281" t="s">
        <v>604</v>
      </c>
      <c r="F1" s="281" t="s">
        <v>4</v>
      </c>
      <c r="G1" s="281" t="s">
        <v>5</v>
      </c>
      <c r="H1" s="281" t="s">
        <v>6</v>
      </c>
      <c r="I1" s="281" t="s">
        <v>7</v>
      </c>
      <c r="J1" s="281" t="s">
        <v>8</v>
      </c>
      <c r="K1" s="281" t="s">
        <v>9</v>
      </c>
      <c r="L1" s="281" t="s">
        <v>10</v>
      </c>
      <c r="M1" s="281" t="s">
        <v>11</v>
      </c>
      <c r="N1" s="281" t="s">
        <v>12</v>
      </c>
      <c r="O1" s="281" t="s">
        <v>379</v>
      </c>
      <c r="P1" s="281" t="s">
        <v>14</v>
      </c>
      <c r="Q1" s="281" t="s">
        <v>15</v>
      </c>
      <c r="R1" s="66"/>
      <c r="S1" s="66"/>
      <c r="T1" s="66"/>
      <c r="U1" s="66"/>
      <c r="V1" s="66"/>
      <c r="W1" s="66"/>
      <c r="X1" s="66"/>
    </row>
    <row r="2">
      <c r="A2" s="349" t="s">
        <v>16</v>
      </c>
      <c r="B2" s="283">
        <v>4320.0</v>
      </c>
      <c r="C2" s="284"/>
      <c r="D2" s="285">
        <v>0.0</v>
      </c>
      <c r="E2" s="282" t="s">
        <v>436</v>
      </c>
      <c r="F2" s="282" t="s">
        <v>362</v>
      </c>
      <c r="G2" s="286" t="s">
        <v>363</v>
      </c>
      <c r="H2" s="287"/>
      <c r="I2" s="288">
        <v>37149.0</v>
      </c>
      <c r="J2" s="288">
        <v>45397.0</v>
      </c>
      <c r="K2" s="289"/>
      <c r="L2" s="302">
        <f t="shared" ref="L2:L108" si="1">N2-M2+1</f>
        <v>31</v>
      </c>
      <c r="M2" s="350">
        <v>45717.0</v>
      </c>
      <c r="N2" s="350">
        <v>45747.0</v>
      </c>
      <c r="O2" s="290">
        <f t="shared" ref="O2:O108" si="2">ROUNDUP(L2/31*370,0)</f>
        <v>370</v>
      </c>
      <c r="P2" s="290">
        <f t="shared" ref="P2:P108" si="3">O2*5</f>
        <v>1850</v>
      </c>
      <c r="Q2" s="290">
        <f t="shared" ref="Q2:Q108" si="4">O2+P2</f>
        <v>2220</v>
      </c>
    </row>
    <row r="3">
      <c r="A3" s="282" t="s">
        <v>16</v>
      </c>
      <c r="B3" s="283">
        <v>4320.0</v>
      </c>
      <c r="C3" s="289"/>
      <c r="D3" s="285">
        <v>0.0</v>
      </c>
      <c r="E3" s="291" t="s">
        <v>687</v>
      </c>
      <c r="F3" s="292" t="s">
        <v>729</v>
      </c>
      <c r="G3" s="286" t="s">
        <v>689</v>
      </c>
      <c r="H3" s="287"/>
      <c r="I3" s="293">
        <v>37214.0</v>
      </c>
      <c r="J3" s="288">
        <v>45691.0</v>
      </c>
      <c r="K3" s="289"/>
      <c r="L3" s="302">
        <f t="shared" si="1"/>
        <v>31</v>
      </c>
      <c r="M3" s="350">
        <v>45717.0</v>
      </c>
      <c r="N3" s="350">
        <v>45747.0</v>
      </c>
      <c r="O3" s="290">
        <f t="shared" si="2"/>
        <v>370</v>
      </c>
      <c r="P3" s="290">
        <f t="shared" si="3"/>
        <v>1850</v>
      </c>
      <c r="Q3" s="290">
        <f t="shared" si="4"/>
        <v>2220</v>
      </c>
    </row>
    <row r="4">
      <c r="A4" s="282" t="s">
        <v>16</v>
      </c>
      <c r="B4" s="283">
        <v>4320.0</v>
      </c>
      <c r="C4" s="284"/>
      <c r="D4" s="285">
        <v>0.0</v>
      </c>
      <c r="E4" s="282" t="s">
        <v>561</v>
      </c>
      <c r="F4" s="282" t="s">
        <v>562</v>
      </c>
      <c r="G4" s="286" t="s">
        <v>563</v>
      </c>
      <c r="H4" s="287"/>
      <c r="I4" s="288">
        <v>36879.0</v>
      </c>
      <c r="J4" s="294">
        <v>45670.0</v>
      </c>
      <c r="K4" s="289"/>
      <c r="L4" s="302">
        <f t="shared" si="1"/>
        <v>31</v>
      </c>
      <c r="M4" s="350">
        <v>45717.0</v>
      </c>
      <c r="N4" s="350">
        <v>45747.0</v>
      </c>
      <c r="O4" s="290">
        <f t="shared" si="2"/>
        <v>370</v>
      </c>
      <c r="P4" s="290">
        <f t="shared" si="3"/>
        <v>1850</v>
      </c>
      <c r="Q4" s="290">
        <f t="shared" si="4"/>
        <v>2220</v>
      </c>
    </row>
    <row r="5">
      <c r="A5" s="282" t="s">
        <v>16</v>
      </c>
      <c r="B5" s="283">
        <v>4320.0</v>
      </c>
      <c r="C5" s="284"/>
      <c r="D5" s="285">
        <v>0.0</v>
      </c>
      <c r="E5" s="282" t="s">
        <v>407</v>
      </c>
      <c r="F5" s="282" t="s">
        <v>97</v>
      </c>
      <c r="G5" s="286" t="s">
        <v>98</v>
      </c>
      <c r="H5" s="287"/>
      <c r="I5" s="294">
        <v>36690.0</v>
      </c>
      <c r="J5" s="288">
        <v>44938.0</v>
      </c>
      <c r="K5" s="289"/>
      <c r="L5" s="302">
        <f t="shared" si="1"/>
        <v>31</v>
      </c>
      <c r="M5" s="350">
        <v>45717.0</v>
      </c>
      <c r="N5" s="350">
        <v>45747.0</v>
      </c>
      <c r="O5" s="290">
        <f t="shared" si="2"/>
        <v>370</v>
      </c>
      <c r="P5" s="290">
        <f t="shared" si="3"/>
        <v>1850</v>
      </c>
      <c r="Q5" s="290">
        <f t="shared" si="4"/>
        <v>2220</v>
      </c>
    </row>
    <row r="6">
      <c r="A6" s="282" t="s">
        <v>16</v>
      </c>
      <c r="B6" s="283">
        <v>4320.0</v>
      </c>
      <c r="C6" s="284"/>
      <c r="D6" s="285">
        <v>0.0</v>
      </c>
      <c r="E6" s="282" t="s">
        <v>473</v>
      </c>
      <c r="F6" s="282" t="s">
        <v>530</v>
      </c>
      <c r="G6" s="286" t="s">
        <v>475</v>
      </c>
      <c r="H6" s="287"/>
      <c r="I6" s="288">
        <v>37459.0</v>
      </c>
      <c r="J6" s="288">
        <v>45586.0</v>
      </c>
      <c r="K6" s="289"/>
      <c r="L6" s="302">
        <f t="shared" si="1"/>
        <v>31</v>
      </c>
      <c r="M6" s="350">
        <v>45717.0</v>
      </c>
      <c r="N6" s="350">
        <v>45747.0</v>
      </c>
      <c r="O6" s="290">
        <f t="shared" si="2"/>
        <v>370</v>
      </c>
      <c r="P6" s="290">
        <f t="shared" si="3"/>
        <v>1850</v>
      </c>
      <c r="Q6" s="290">
        <f t="shared" si="4"/>
        <v>2220</v>
      </c>
    </row>
    <row r="7">
      <c r="A7" s="282" t="s">
        <v>16</v>
      </c>
      <c r="B7" s="283">
        <v>4320.0</v>
      </c>
      <c r="C7" s="284"/>
      <c r="D7" s="285">
        <v>0.0</v>
      </c>
      <c r="E7" s="282" t="s">
        <v>408</v>
      </c>
      <c r="F7" s="282" t="s">
        <v>409</v>
      </c>
      <c r="G7" s="286" t="s">
        <v>410</v>
      </c>
      <c r="H7" s="287"/>
      <c r="I7" s="288">
        <v>37978.0</v>
      </c>
      <c r="J7" s="288">
        <v>45453.0</v>
      </c>
      <c r="K7" s="289"/>
      <c r="L7" s="302">
        <f t="shared" si="1"/>
        <v>31</v>
      </c>
      <c r="M7" s="350">
        <v>45717.0</v>
      </c>
      <c r="N7" s="350">
        <v>45747.0</v>
      </c>
      <c r="O7" s="290">
        <f t="shared" si="2"/>
        <v>370</v>
      </c>
      <c r="P7" s="290">
        <f t="shared" si="3"/>
        <v>1850</v>
      </c>
      <c r="Q7" s="290">
        <f t="shared" si="4"/>
        <v>2220</v>
      </c>
    </row>
    <row r="8">
      <c r="A8" s="282" t="s">
        <v>16</v>
      </c>
      <c r="B8" s="283">
        <v>4320.0</v>
      </c>
      <c r="C8" s="284"/>
      <c r="D8" s="285">
        <v>1.0</v>
      </c>
      <c r="E8" s="351" t="s">
        <v>730</v>
      </c>
      <c r="F8" s="352" t="s">
        <v>731</v>
      </c>
      <c r="G8" s="352" t="s">
        <v>732</v>
      </c>
      <c r="H8" s="282"/>
      <c r="I8" s="350">
        <v>38263.0</v>
      </c>
      <c r="J8" s="350">
        <v>45355.0</v>
      </c>
      <c r="K8" s="289"/>
      <c r="L8" s="302">
        <f t="shared" si="1"/>
        <v>31</v>
      </c>
      <c r="M8" s="350">
        <v>45717.0</v>
      </c>
      <c r="N8" s="350">
        <v>45747.0</v>
      </c>
      <c r="O8" s="290">
        <f t="shared" si="2"/>
        <v>370</v>
      </c>
      <c r="P8" s="290">
        <f t="shared" si="3"/>
        <v>1850</v>
      </c>
      <c r="Q8" s="290">
        <f t="shared" si="4"/>
        <v>2220</v>
      </c>
    </row>
    <row r="9">
      <c r="A9" s="282" t="s">
        <v>16</v>
      </c>
      <c r="B9" s="283">
        <v>4320.0</v>
      </c>
      <c r="C9" s="284"/>
      <c r="D9" s="285">
        <v>0.0</v>
      </c>
      <c r="E9" s="282" t="s">
        <v>246</v>
      </c>
      <c r="F9" s="282" t="s">
        <v>247</v>
      </c>
      <c r="G9" s="286" t="s">
        <v>248</v>
      </c>
      <c r="H9" s="287"/>
      <c r="I9" s="288">
        <v>36501.0</v>
      </c>
      <c r="J9" s="288">
        <v>45246.0</v>
      </c>
      <c r="K9" s="289"/>
      <c r="L9" s="302">
        <f t="shared" si="1"/>
        <v>31</v>
      </c>
      <c r="M9" s="350">
        <v>45717.0</v>
      </c>
      <c r="N9" s="350">
        <v>45747.0</v>
      </c>
      <c r="O9" s="290">
        <f t="shared" si="2"/>
        <v>370</v>
      </c>
      <c r="P9" s="290">
        <f t="shared" si="3"/>
        <v>1850</v>
      </c>
      <c r="Q9" s="290">
        <f t="shared" si="4"/>
        <v>2220</v>
      </c>
    </row>
    <row r="10">
      <c r="A10" s="282" t="s">
        <v>16</v>
      </c>
      <c r="B10" s="283">
        <v>4320.0</v>
      </c>
      <c r="C10" s="284"/>
      <c r="D10" s="285">
        <v>0.0</v>
      </c>
      <c r="E10" s="282" t="s">
        <v>564</v>
      </c>
      <c r="F10" s="282" t="s">
        <v>565</v>
      </c>
      <c r="G10" s="286" t="s">
        <v>566</v>
      </c>
      <c r="H10" s="287"/>
      <c r="I10" s="288">
        <v>34799.0</v>
      </c>
      <c r="J10" s="288">
        <v>45670.0</v>
      </c>
      <c r="K10" s="289"/>
      <c r="L10" s="302">
        <f t="shared" si="1"/>
        <v>31</v>
      </c>
      <c r="M10" s="350">
        <v>45717.0</v>
      </c>
      <c r="N10" s="350">
        <v>45747.0</v>
      </c>
      <c r="O10" s="290">
        <f t="shared" si="2"/>
        <v>370</v>
      </c>
      <c r="P10" s="290">
        <f t="shared" si="3"/>
        <v>1850</v>
      </c>
      <c r="Q10" s="290">
        <f t="shared" si="4"/>
        <v>2220</v>
      </c>
    </row>
    <row r="11">
      <c r="A11" s="282" t="s">
        <v>16</v>
      </c>
      <c r="B11" s="283">
        <v>4320.0</v>
      </c>
      <c r="C11" s="284"/>
      <c r="D11" s="285">
        <v>0.0</v>
      </c>
      <c r="E11" s="282" t="s">
        <v>552</v>
      </c>
      <c r="F11" s="282" t="s">
        <v>553</v>
      </c>
      <c r="G11" s="286" t="s">
        <v>554</v>
      </c>
      <c r="H11" s="287"/>
      <c r="I11" s="288">
        <v>36904.0</v>
      </c>
      <c r="J11" s="288">
        <v>45663.0</v>
      </c>
      <c r="K11" s="289"/>
      <c r="L11" s="302">
        <f t="shared" si="1"/>
        <v>31</v>
      </c>
      <c r="M11" s="350">
        <v>45717.0</v>
      </c>
      <c r="N11" s="350">
        <v>45747.0</v>
      </c>
      <c r="O11" s="290">
        <f t="shared" si="2"/>
        <v>370</v>
      </c>
      <c r="P11" s="290">
        <f t="shared" si="3"/>
        <v>1850</v>
      </c>
      <c r="Q11" s="290">
        <f t="shared" si="4"/>
        <v>2220</v>
      </c>
    </row>
    <row r="12">
      <c r="A12" s="282" t="s">
        <v>16</v>
      </c>
      <c r="B12" s="283">
        <v>4320.0</v>
      </c>
      <c r="C12" s="284"/>
      <c r="D12" s="285">
        <v>0.0</v>
      </c>
      <c r="E12" s="282" t="s">
        <v>264</v>
      </c>
      <c r="F12" s="282" t="s">
        <v>265</v>
      </c>
      <c r="G12" s="286" t="s">
        <v>266</v>
      </c>
      <c r="H12" s="287"/>
      <c r="I12" s="288">
        <v>37398.0</v>
      </c>
      <c r="J12" s="288">
        <v>45096.0</v>
      </c>
      <c r="K12" s="289"/>
      <c r="L12" s="302">
        <f t="shared" si="1"/>
        <v>31</v>
      </c>
      <c r="M12" s="350">
        <v>45717.0</v>
      </c>
      <c r="N12" s="350">
        <v>45747.0</v>
      </c>
      <c r="O12" s="290">
        <f t="shared" si="2"/>
        <v>370</v>
      </c>
      <c r="P12" s="290">
        <f t="shared" si="3"/>
        <v>1850</v>
      </c>
      <c r="Q12" s="290">
        <f t="shared" si="4"/>
        <v>2220</v>
      </c>
    </row>
    <row r="13">
      <c r="A13" s="282" t="s">
        <v>16</v>
      </c>
      <c r="B13" s="283">
        <v>4320.0</v>
      </c>
      <c r="C13" s="284"/>
      <c r="D13" s="283">
        <v>0.0</v>
      </c>
      <c r="E13" s="282" t="s">
        <v>411</v>
      </c>
      <c r="F13" s="282" t="s">
        <v>412</v>
      </c>
      <c r="G13" s="286" t="s">
        <v>413</v>
      </c>
      <c r="H13" s="287"/>
      <c r="I13" s="288">
        <v>33230.0</v>
      </c>
      <c r="J13" s="288">
        <v>45453.0</v>
      </c>
      <c r="K13" s="289"/>
      <c r="L13" s="302">
        <f t="shared" si="1"/>
        <v>31</v>
      </c>
      <c r="M13" s="350">
        <v>45717.0</v>
      </c>
      <c r="N13" s="350">
        <v>45747.0</v>
      </c>
      <c r="O13" s="290">
        <f t="shared" si="2"/>
        <v>370</v>
      </c>
      <c r="P13" s="290">
        <f t="shared" si="3"/>
        <v>1850</v>
      </c>
      <c r="Q13" s="290">
        <f t="shared" si="4"/>
        <v>2220</v>
      </c>
    </row>
    <row r="14">
      <c r="A14" s="282" t="s">
        <v>16</v>
      </c>
      <c r="B14" s="283">
        <v>4320.0</v>
      </c>
      <c r="C14" s="289"/>
      <c r="D14" s="285">
        <v>0.0</v>
      </c>
      <c r="E14" s="291" t="s">
        <v>690</v>
      </c>
      <c r="F14" s="295" t="s">
        <v>733</v>
      </c>
      <c r="G14" s="286" t="s">
        <v>692</v>
      </c>
      <c r="H14" s="287"/>
      <c r="I14" s="288">
        <v>37137.0</v>
      </c>
      <c r="J14" s="288">
        <v>45691.0</v>
      </c>
      <c r="K14" s="296"/>
      <c r="L14" s="302">
        <f t="shared" si="1"/>
        <v>31</v>
      </c>
      <c r="M14" s="350">
        <v>45717.0</v>
      </c>
      <c r="N14" s="350">
        <v>45747.0</v>
      </c>
      <c r="O14" s="290">
        <f t="shared" si="2"/>
        <v>370</v>
      </c>
      <c r="P14" s="290">
        <f t="shared" si="3"/>
        <v>1850</v>
      </c>
      <c r="Q14" s="290">
        <f t="shared" si="4"/>
        <v>2220</v>
      </c>
    </row>
    <row r="15">
      <c r="A15" s="282" t="s">
        <v>16</v>
      </c>
      <c r="B15" s="283">
        <v>4320.0</v>
      </c>
      <c r="C15" s="289"/>
      <c r="D15" s="285">
        <v>0.0</v>
      </c>
      <c r="E15" s="291" t="s">
        <v>693</v>
      </c>
      <c r="F15" s="297" t="s">
        <v>694</v>
      </c>
      <c r="G15" s="289" t="s">
        <v>695</v>
      </c>
      <c r="H15" s="289"/>
      <c r="I15" s="293">
        <v>35599.0</v>
      </c>
      <c r="J15" s="288">
        <v>45712.0</v>
      </c>
      <c r="K15" s="289"/>
      <c r="L15" s="302">
        <f t="shared" si="1"/>
        <v>31</v>
      </c>
      <c r="M15" s="350">
        <v>45717.0</v>
      </c>
      <c r="N15" s="350">
        <v>45747.0</v>
      </c>
      <c r="O15" s="290">
        <f t="shared" si="2"/>
        <v>370</v>
      </c>
      <c r="P15" s="290">
        <f t="shared" si="3"/>
        <v>1850</v>
      </c>
      <c r="Q15" s="290">
        <f t="shared" si="4"/>
        <v>2220</v>
      </c>
    </row>
    <row r="16">
      <c r="A16" s="282" t="s">
        <v>16</v>
      </c>
      <c r="B16" s="283">
        <v>4320.0</v>
      </c>
      <c r="C16" s="284"/>
      <c r="D16" s="285">
        <v>0.0</v>
      </c>
      <c r="E16" s="282" t="s">
        <v>282</v>
      </c>
      <c r="F16" s="282" t="s">
        <v>283</v>
      </c>
      <c r="G16" s="286" t="s">
        <v>284</v>
      </c>
      <c r="H16" s="287"/>
      <c r="I16" s="294">
        <v>35047.0</v>
      </c>
      <c r="J16" s="288">
        <v>45257.0</v>
      </c>
      <c r="K16" s="289"/>
      <c r="L16" s="302">
        <f t="shared" si="1"/>
        <v>31</v>
      </c>
      <c r="M16" s="350">
        <v>45717.0</v>
      </c>
      <c r="N16" s="350">
        <v>45747.0</v>
      </c>
      <c r="O16" s="290">
        <f t="shared" si="2"/>
        <v>370</v>
      </c>
      <c r="P16" s="290">
        <f t="shared" si="3"/>
        <v>1850</v>
      </c>
      <c r="Q16" s="290">
        <f t="shared" si="4"/>
        <v>2220</v>
      </c>
    </row>
    <row r="17">
      <c r="A17" s="282" t="s">
        <v>16</v>
      </c>
      <c r="B17" s="283">
        <v>4320.0</v>
      </c>
      <c r="C17" s="284"/>
      <c r="D17" s="285">
        <v>0.0</v>
      </c>
      <c r="E17" s="282" t="s">
        <v>481</v>
      </c>
      <c r="F17" s="282" t="s">
        <v>531</v>
      </c>
      <c r="G17" s="286" t="s">
        <v>482</v>
      </c>
      <c r="H17" s="287"/>
      <c r="I17" s="288">
        <v>35096.0</v>
      </c>
      <c r="J17" s="288">
        <v>45602.0</v>
      </c>
      <c r="K17" s="289"/>
      <c r="L17" s="302">
        <f t="shared" si="1"/>
        <v>31</v>
      </c>
      <c r="M17" s="350">
        <v>45717.0</v>
      </c>
      <c r="N17" s="350">
        <v>45747.0</v>
      </c>
      <c r="O17" s="290">
        <f t="shared" si="2"/>
        <v>370</v>
      </c>
      <c r="P17" s="290">
        <f t="shared" si="3"/>
        <v>1850</v>
      </c>
      <c r="Q17" s="290">
        <f t="shared" si="4"/>
        <v>2220</v>
      </c>
    </row>
    <row r="18">
      <c r="A18" s="282" t="s">
        <v>16</v>
      </c>
      <c r="B18" s="283">
        <v>4320.0</v>
      </c>
      <c r="C18" s="284"/>
      <c r="D18" s="285">
        <v>0.0</v>
      </c>
      <c r="E18" s="282" t="s">
        <v>45</v>
      </c>
      <c r="F18" s="282" t="s">
        <v>46</v>
      </c>
      <c r="G18" s="286" t="s">
        <v>47</v>
      </c>
      <c r="H18" s="287"/>
      <c r="I18" s="288">
        <v>37370.0</v>
      </c>
      <c r="J18" s="288">
        <v>44739.0</v>
      </c>
      <c r="K18" s="289"/>
      <c r="L18" s="302">
        <f t="shared" si="1"/>
        <v>31</v>
      </c>
      <c r="M18" s="350">
        <v>45717.0</v>
      </c>
      <c r="N18" s="350">
        <v>45747.0</v>
      </c>
      <c r="O18" s="290">
        <f t="shared" si="2"/>
        <v>370</v>
      </c>
      <c r="P18" s="290">
        <f t="shared" si="3"/>
        <v>1850</v>
      </c>
      <c r="Q18" s="290">
        <f t="shared" si="4"/>
        <v>2220</v>
      </c>
    </row>
    <row r="19">
      <c r="A19" s="282" t="s">
        <v>16</v>
      </c>
      <c r="B19" s="283">
        <v>4320.0</v>
      </c>
      <c r="C19" s="284"/>
      <c r="D19" s="285">
        <v>0.0</v>
      </c>
      <c r="E19" s="282" t="s">
        <v>48</v>
      </c>
      <c r="F19" s="282" t="s">
        <v>49</v>
      </c>
      <c r="G19" s="286" t="s">
        <v>50</v>
      </c>
      <c r="H19" s="287"/>
      <c r="I19" s="288">
        <v>36399.0</v>
      </c>
      <c r="J19" s="294">
        <v>45229.0</v>
      </c>
      <c r="K19" s="289"/>
      <c r="L19" s="302">
        <f t="shared" si="1"/>
        <v>31</v>
      </c>
      <c r="M19" s="350">
        <v>45717.0</v>
      </c>
      <c r="N19" s="350">
        <v>45747.0</v>
      </c>
      <c r="O19" s="290">
        <f t="shared" si="2"/>
        <v>370</v>
      </c>
      <c r="P19" s="290">
        <f t="shared" si="3"/>
        <v>1850</v>
      </c>
      <c r="Q19" s="290">
        <f t="shared" si="4"/>
        <v>2220</v>
      </c>
    </row>
    <row r="20">
      <c r="A20" s="282" t="s">
        <v>16</v>
      </c>
      <c r="B20" s="283">
        <v>4320.0</v>
      </c>
      <c r="C20" s="284"/>
      <c r="D20" s="285">
        <v>0.0</v>
      </c>
      <c r="E20" s="282" t="s">
        <v>444</v>
      </c>
      <c r="F20" s="282" t="s">
        <v>320</v>
      </c>
      <c r="G20" s="286" t="s">
        <v>321</v>
      </c>
      <c r="H20" s="287"/>
      <c r="I20" s="288">
        <v>36360.0</v>
      </c>
      <c r="J20" s="288">
        <v>45355.0</v>
      </c>
      <c r="K20" s="289"/>
      <c r="L20" s="302">
        <f t="shared" si="1"/>
        <v>31</v>
      </c>
      <c r="M20" s="350">
        <v>45717.0</v>
      </c>
      <c r="N20" s="350">
        <v>45747.0</v>
      </c>
      <c r="O20" s="290">
        <f t="shared" si="2"/>
        <v>370</v>
      </c>
      <c r="P20" s="290">
        <f t="shared" si="3"/>
        <v>1850</v>
      </c>
      <c r="Q20" s="290">
        <f t="shared" si="4"/>
        <v>2220</v>
      </c>
    </row>
    <row r="21">
      <c r="A21" s="282" t="s">
        <v>16</v>
      </c>
      <c r="B21" s="283">
        <v>4320.0</v>
      </c>
      <c r="C21" s="284"/>
      <c r="D21" s="285">
        <v>0.0</v>
      </c>
      <c r="E21" s="282" t="s">
        <v>383</v>
      </c>
      <c r="F21" s="282" t="s">
        <v>384</v>
      </c>
      <c r="G21" s="286" t="s">
        <v>385</v>
      </c>
      <c r="H21" s="287"/>
      <c r="I21" s="294">
        <v>36183.0</v>
      </c>
      <c r="J21" s="288">
        <v>45418.0</v>
      </c>
      <c r="K21" s="289"/>
      <c r="L21" s="302">
        <f t="shared" si="1"/>
        <v>31</v>
      </c>
      <c r="M21" s="350">
        <v>45717.0</v>
      </c>
      <c r="N21" s="350">
        <v>45747.0</v>
      </c>
      <c r="O21" s="290">
        <f t="shared" si="2"/>
        <v>370</v>
      </c>
      <c r="P21" s="290">
        <f t="shared" si="3"/>
        <v>1850</v>
      </c>
      <c r="Q21" s="290">
        <f t="shared" si="4"/>
        <v>2220</v>
      </c>
    </row>
    <row r="22">
      <c r="A22" s="282" t="s">
        <v>16</v>
      </c>
      <c r="B22" s="283">
        <v>4320.0</v>
      </c>
      <c r="C22" s="284"/>
      <c r="D22" s="285">
        <v>0.0</v>
      </c>
      <c r="E22" s="282" t="s">
        <v>288</v>
      </c>
      <c r="F22" s="282" t="s">
        <v>289</v>
      </c>
      <c r="G22" s="286" t="s">
        <v>290</v>
      </c>
      <c r="H22" s="287"/>
      <c r="I22" s="288">
        <v>37047.0</v>
      </c>
      <c r="J22" s="288">
        <v>45257.0</v>
      </c>
      <c r="K22" s="289"/>
      <c r="L22" s="302">
        <f t="shared" si="1"/>
        <v>31</v>
      </c>
      <c r="M22" s="350">
        <v>45717.0</v>
      </c>
      <c r="N22" s="350">
        <v>45747.0</v>
      </c>
      <c r="O22" s="290">
        <f t="shared" si="2"/>
        <v>370</v>
      </c>
      <c r="P22" s="290">
        <f t="shared" si="3"/>
        <v>1850</v>
      </c>
      <c r="Q22" s="290">
        <f t="shared" si="4"/>
        <v>2220</v>
      </c>
    </row>
    <row r="23">
      <c r="A23" s="282" t="s">
        <v>16</v>
      </c>
      <c r="B23" s="283">
        <v>4320.0</v>
      </c>
      <c r="C23" s="284"/>
      <c r="D23" s="285">
        <v>0.0</v>
      </c>
      <c r="E23" s="282" t="s">
        <v>567</v>
      </c>
      <c r="F23" s="282" t="s">
        <v>568</v>
      </c>
      <c r="G23" s="286" t="s">
        <v>569</v>
      </c>
      <c r="H23" s="287"/>
      <c r="I23" s="288">
        <v>37962.0</v>
      </c>
      <c r="J23" s="288">
        <v>45677.0</v>
      </c>
      <c r="K23" s="289"/>
      <c r="L23" s="302">
        <f t="shared" si="1"/>
        <v>31</v>
      </c>
      <c r="M23" s="350">
        <v>45717.0</v>
      </c>
      <c r="N23" s="350">
        <v>45747.0</v>
      </c>
      <c r="O23" s="290">
        <f t="shared" si="2"/>
        <v>370</v>
      </c>
      <c r="P23" s="290">
        <f t="shared" si="3"/>
        <v>1850</v>
      </c>
      <c r="Q23" s="290">
        <f t="shared" si="4"/>
        <v>2220</v>
      </c>
    </row>
    <row r="24">
      <c r="A24" s="282" t="s">
        <v>16</v>
      </c>
      <c r="B24" s="283">
        <v>4320.0</v>
      </c>
      <c r="C24" s="284"/>
      <c r="D24" s="285">
        <v>0.0</v>
      </c>
      <c r="E24" s="282" t="s">
        <v>51</v>
      </c>
      <c r="F24" s="282" t="s">
        <v>52</v>
      </c>
      <c r="G24" s="286" t="s">
        <v>53</v>
      </c>
      <c r="H24" s="287"/>
      <c r="I24" s="288">
        <v>34601.0</v>
      </c>
      <c r="J24" s="288">
        <v>44986.0</v>
      </c>
      <c r="K24" s="289"/>
      <c r="L24" s="302">
        <f t="shared" si="1"/>
        <v>31</v>
      </c>
      <c r="M24" s="350">
        <v>45717.0</v>
      </c>
      <c r="N24" s="350">
        <v>45747.0</v>
      </c>
      <c r="O24" s="290">
        <f t="shared" si="2"/>
        <v>370</v>
      </c>
      <c r="P24" s="290">
        <f t="shared" si="3"/>
        <v>1850</v>
      </c>
      <c r="Q24" s="290">
        <f t="shared" si="4"/>
        <v>2220</v>
      </c>
    </row>
    <row r="25">
      <c r="A25" s="282" t="s">
        <v>16</v>
      </c>
      <c r="B25" s="283">
        <v>4320.0</v>
      </c>
      <c r="C25" s="284"/>
      <c r="D25" s="285">
        <v>0.0</v>
      </c>
      <c r="E25" s="298" t="s">
        <v>445</v>
      </c>
      <c r="F25" s="282" t="s">
        <v>510</v>
      </c>
      <c r="G25" s="286" t="s">
        <v>447</v>
      </c>
      <c r="H25" s="287"/>
      <c r="I25" s="288">
        <v>37047.0</v>
      </c>
      <c r="J25" s="288">
        <v>45505.0</v>
      </c>
      <c r="K25" s="289"/>
      <c r="L25" s="302">
        <f t="shared" si="1"/>
        <v>31</v>
      </c>
      <c r="M25" s="350">
        <v>45717.0</v>
      </c>
      <c r="N25" s="350">
        <v>45747.0</v>
      </c>
      <c r="O25" s="290">
        <f t="shared" si="2"/>
        <v>370</v>
      </c>
      <c r="P25" s="290">
        <f t="shared" si="3"/>
        <v>1850</v>
      </c>
      <c r="Q25" s="290">
        <f t="shared" si="4"/>
        <v>2220</v>
      </c>
    </row>
    <row r="26">
      <c r="A26" s="282" t="s">
        <v>16</v>
      </c>
      <c r="B26" s="283">
        <v>4320.0</v>
      </c>
      <c r="C26" s="284"/>
      <c r="D26" s="285">
        <v>0.0</v>
      </c>
      <c r="E26" s="282" t="s">
        <v>467</v>
      </c>
      <c r="F26" s="282" t="s">
        <v>511</v>
      </c>
      <c r="G26" s="286" t="s">
        <v>450</v>
      </c>
      <c r="H26" s="287"/>
      <c r="I26" s="288">
        <v>36682.0</v>
      </c>
      <c r="J26" s="288">
        <v>45505.0</v>
      </c>
      <c r="K26" s="289"/>
      <c r="L26" s="302">
        <f t="shared" si="1"/>
        <v>31</v>
      </c>
      <c r="M26" s="350">
        <v>45717.0</v>
      </c>
      <c r="N26" s="350">
        <v>45747.0</v>
      </c>
      <c r="O26" s="290">
        <f t="shared" si="2"/>
        <v>370</v>
      </c>
      <c r="P26" s="290">
        <f t="shared" si="3"/>
        <v>1850</v>
      </c>
      <c r="Q26" s="290">
        <f t="shared" si="4"/>
        <v>2220</v>
      </c>
    </row>
    <row r="27">
      <c r="A27" s="282" t="s">
        <v>16</v>
      </c>
      <c r="B27" s="283">
        <v>4320.0</v>
      </c>
      <c r="C27" s="284"/>
      <c r="D27" s="285">
        <v>0.0</v>
      </c>
      <c r="E27" s="282" t="s">
        <v>503</v>
      </c>
      <c r="F27" s="282" t="s">
        <v>542</v>
      </c>
      <c r="G27" s="286" t="s">
        <v>504</v>
      </c>
      <c r="H27" s="287"/>
      <c r="I27" s="288">
        <v>37422.0</v>
      </c>
      <c r="J27" s="294">
        <v>45635.0</v>
      </c>
      <c r="K27" s="289"/>
      <c r="L27" s="302">
        <f t="shared" si="1"/>
        <v>31</v>
      </c>
      <c r="M27" s="350">
        <v>45717.0</v>
      </c>
      <c r="N27" s="350">
        <v>45747.0</v>
      </c>
      <c r="O27" s="290">
        <f t="shared" si="2"/>
        <v>370</v>
      </c>
      <c r="P27" s="290">
        <f t="shared" si="3"/>
        <v>1850</v>
      </c>
      <c r="Q27" s="290">
        <f t="shared" si="4"/>
        <v>2220</v>
      </c>
    </row>
    <row r="28">
      <c r="A28" s="282" t="s">
        <v>16</v>
      </c>
      <c r="B28" s="283">
        <v>4320.0</v>
      </c>
      <c r="C28" s="284"/>
      <c r="D28" s="285">
        <v>0.0</v>
      </c>
      <c r="E28" s="282" t="s">
        <v>497</v>
      </c>
      <c r="F28" s="282" t="s">
        <v>539</v>
      </c>
      <c r="G28" s="286" t="s">
        <v>498</v>
      </c>
      <c r="H28" s="287"/>
      <c r="I28" s="294">
        <v>37026.0</v>
      </c>
      <c r="J28" s="288">
        <v>45628.0</v>
      </c>
      <c r="K28" s="289"/>
      <c r="L28" s="302">
        <f t="shared" si="1"/>
        <v>31</v>
      </c>
      <c r="M28" s="350">
        <v>45717.0</v>
      </c>
      <c r="N28" s="350">
        <v>45747.0</v>
      </c>
      <c r="O28" s="290">
        <f t="shared" si="2"/>
        <v>370</v>
      </c>
      <c r="P28" s="290">
        <f t="shared" si="3"/>
        <v>1850</v>
      </c>
      <c r="Q28" s="290">
        <f t="shared" si="4"/>
        <v>2220</v>
      </c>
    </row>
    <row r="29">
      <c r="A29" s="282" t="s">
        <v>16</v>
      </c>
      <c r="B29" s="283">
        <v>4320.0</v>
      </c>
      <c r="C29" s="284"/>
      <c r="D29" s="285">
        <v>0.0</v>
      </c>
      <c r="E29" s="282" t="s">
        <v>291</v>
      </c>
      <c r="F29" s="282" t="s">
        <v>292</v>
      </c>
      <c r="G29" s="286" t="s">
        <v>293</v>
      </c>
      <c r="H29" s="287"/>
      <c r="I29" s="288">
        <v>37219.0</v>
      </c>
      <c r="J29" s="288">
        <v>45257.0</v>
      </c>
      <c r="K29" s="289"/>
      <c r="L29" s="302">
        <f t="shared" si="1"/>
        <v>31</v>
      </c>
      <c r="M29" s="350">
        <v>45717.0</v>
      </c>
      <c r="N29" s="350">
        <v>45747.0</v>
      </c>
      <c r="O29" s="290">
        <f t="shared" si="2"/>
        <v>370</v>
      </c>
      <c r="P29" s="290">
        <f t="shared" si="3"/>
        <v>1850</v>
      </c>
      <c r="Q29" s="290">
        <f t="shared" si="4"/>
        <v>2220</v>
      </c>
    </row>
    <row r="30">
      <c r="A30" s="282" t="s">
        <v>16</v>
      </c>
      <c r="B30" s="283">
        <v>4320.0</v>
      </c>
      <c r="C30" s="284"/>
      <c r="D30" s="285">
        <v>0.0</v>
      </c>
      <c r="E30" s="282" t="s">
        <v>594</v>
      </c>
      <c r="F30" s="282" t="s">
        <v>595</v>
      </c>
      <c r="G30" s="286" t="s">
        <v>596</v>
      </c>
      <c r="H30" s="287"/>
      <c r="I30" s="288">
        <v>37809.0</v>
      </c>
      <c r="J30" s="288">
        <v>45684.0</v>
      </c>
      <c r="K30" s="289"/>
      <c r="L30" s="302">
        <f t="shared" si="1"/>
        <v>31</v>
      </c>
      <c r="M30" s="350">
        <v>45717.0</v>
      </c>
      <c r="N30" s="350">
        <v>45747.0</v>
      </c>
      <c r="O30" s="290">
        <f t="shared" si="2"/>
        <v>370</v>
      </c>
      <c r="P30" s="290">
        <f t="shared" si="3"/>
        <v>1850</v>
      </c>
      <c r="Q30" s="290">
        <f t="shared" si="4"/>
        <v>2220</v>
      </c>
    </row>
    <row r="31">
      <c r="A31" s="282" t="s">
        <v>16</v>
      </c>
      <c r="B31" s="283">
        <v>4320.0</v>
      </c>
      <c r="C31" s="284"/>
      <c r="D31" s="285">
        <v>0.0</v>
      </c>
      <c r="E31" s="282" t="s">
        <v>60</v>
      </c>
      <c r="F31" s="282" t="s">
        <v>61</v>
      </c>
      <c r="G31" s="286" t="s">
        <v>62</v>
      </c>
      <c r="H31" s="287"/>
      <c r="I31" s="288">
        <v>36246.0</v>
      </c>
      <c r="J31" s="288">
        <v>44851.0</v>
      </c>
      <c r="K31" s="289"/>
      <c r="L31" s="302">
        <f t="shared" si="1"/>
        <v>31</v>
      </c>
      <c r="M31" s="350">
        <v>45717.0</v>
      </c>
      <c r="N31" s="350">
        <v>45747.0</v>
      </c>
      <c r="O31" s="290">
        <f t="shared" si="2"/>
        <v>370</v>
      </c>
      <c r="P31" s="290">
        <f t="shared" si="3"/>
        <v>1850</v>
      </c>
      <c r="Q31" s="290">
        <f t="shared" si="4"/>
        <v>2220</v>
      </c>
    </row>
    <row r="32">
      <c r="A32" s="282" t="s">
        <v>16</v>
      </c>
      <c r="B32" s="283">
        <v>4320.0</v>
      </c>
      <c r="C32" s="284"/>
      <c r="D32" s="285">
        <v>0.0</v>
      </c>
      <c r="E32" s="282" t="s">
        <v>63</v>
      </c>
      <c r="F32" s="282" t="s">
        <v>64</v>
      </c>
      <c r="G32" s="286" t="s">
        <v>65</v>
      </c>
      <c r="H32" s="287"/>
      <c r="I32" s="288">
        <v>35606.0</v>
      </c>
      <c r="J32" s="288">
        <v>44896.0</v>
      </c>
      <c r="K32" s="289"/>
      <c r="L32" s="302">
        <f t="shared" si="1"/>
        <v>31</v>
      </c>
      <c r="M32" s="350">
        <v>45717.0</v>
      </c>
      <c r="N32" s="350">
        <v>45747.0</v>
      </c>
      <c r="O32" s="290">
        <f t="shared" si="2"/>
        <v>370</v>
      </c>
      <c r="P32" s="290">
        <f t="shared" si="3"/>
        <v>1850</v>
      </c>
      <c r="Q32" s="290">
        <f t="shared" si="4"/>
        <v>2220</v>
      </c>
    </row>
    <row r="33">
      <c r="A33" s="282" t="s">
        <v>16</v>
      </c>
      <c r="B33" s="283">
        <v>4320.0</v>
      </c>
      <c r="C33" s="284"/>
      <c r="D33" s="285">
        <v>0.0</v>
      </c>
      <c r="E33" s="282" t="s">
        <v>63</v>
      </c>
      <c r="F33" s="282" t="s">
        <v>543</v>
      </c>
      <c r="G33" s="286" t="s">
        <v>505</v>
      </c>
      <c r="H33" s="287"/>
      <c r="I33" s="288">
        <v>36725.0</v>
      </c>
      <c r="J33" s="288">
        <v>45635.0</v>
      </c>
      <c r="K33" s="289"/>
      <c r="L33" s="302">
        <f t="shared" si="1"/>
        <v>31</v>
      </c>
      <c r="M33" s="350">
        <v>45717.0</v>
      </c>
      <c r="N33" s="350">
        <v>45747.0</v>
      </c>
      <c r="O33" s="290">
        <f t="shared" si="2"/>
        <v>370</v>
      </c>
      <c r="P33" s="290">
        <f t="shared" si="3"/>
        <v>1850</v>
      </c>
      <c r="Q33" s="290">
        <f t="shared" si="4"/>
        <v>2220</v>
      </c>
    </row>
    <row r="34">
      <c r="A34" s="282" t="s">
        <v>16</v>
      </c>
      <c r="B34" s="283">
        <v>4320.0</v>
      </c>
      <c r="C34" s="284"/>
      <c r="D34" s="285">
        <v>0.0</v>
      </c>
      <c r="E34" s="298" t="s">
        <v>591</v>
      </c>
      <c r="F34" s="282" t="s">
        <v>592</v>
      </c>
      <c r="G34" s="286" t="s">
        <v>593</v>
      </c>
      <c r="H34" s="287"/>
      <c r="I34" s="288">
        <v>37041.0</v>
      </c>
      <c r="J34" s="288">
        <v>45684.0</v>
      </c>
      <c r="K34" s="289"/>
      <c r="L34" s="302">
        <f t="shared" si="1"/>
        <v>31</v>
      </c>
      <c r="M34" s="350">
        <v>45717.0</v>
      </c>
      <c r="N34" s="350">
        <v>45747.0</v>
      </c>
      <c r="O34" s="290">
        <f t="shared" si="2"/>
        <v>370</v>
      </c>
      <c r="P34" s="290">
        <f t="shared" si="3"/>
        <v>1850</v>
      </c>
      <c r="Q34" s="290">
        <f t="shared" si="4"/>
        <v>2220</v>
      </c>
    </row>
    <row r="35">
      <c r="A35" s="282" t="s">
        <v>16</v>
      </c>
      <c r="B35" s="283">
        <v>4320.0</v>
      </c>
      <c r="C35" s="284"/>
      <c r="D35" s="285">
        <v>0.0</v>
      </c>
      <c r="E35" s="282" t="s">
        <v>597</v>
      </c>
      <c r="F35" s="282" t="s">
        <v>598</v>
      </c>
      <c r="G35" s="286" t="s">
        <v>599</v>
      </c>
      <c r="H35" s="287"/>
      <c r="I35" s="288">
        <v>37265.0</v>
      </c>
      <c r="J35" s="288">
        <v>45684.0</v>
      </c>
      <c r="K35" s="289"/>
      <c r="L35" s="302">
        <f t="shared" si="1"/>
        <v>31</v>
      </c>
      <c r="M35" s="350">
        <v>45717.0</v>
      </c>
      <c r="N35" s="350">
        <v>45747.0</v>
      </c>
      <c r="O35" s="290">
        <f t="shared" si="2"/>
        <v>370</v>
      </c>
      <c r="P35" s="290">
        <f t="shared" si="3"/>
        <v>1850</v>
      </c>
      <c r="Q35" s="290">
        <f t="shared" si="4"/>
        <v>2220</v>
      </c>
    </row>
    <row r="36">
      <c r="A36" s="282" t="s">
        <v>16</v>
      </c>
      <c r="B36" s="283">
        <v>4320.0</v>
      </c>
      <c r="C36" s="284"/>
      <c r="D36" s="285">
        <v>0.0</v>
      </c>
      <c r="E36" s="282" t="s">
        <v>267</v>
      </c>
      <c r="F36" s="282" t="s">
        <v>268</v>
      </c>
      <c r="G36" s="286" t="s">
        <v>269</v>
      </c>
      <c r="H36" s="287"/>
      <c r="I36" s="288">
        <v>34590.0</v>
      </c>
      <c r="J36" s="288">
        <v>45313.0</v>
      </c>
      <c r="K36" s="289"/>
      <c r="L36" s="302">
        <f t="shared" si="1"/>
        <v>31</v>
      </c>
      <c r="M36" s="350">
        <v>45717.0</v>
      </c>
      <c r="N36" s="350">
        <v>45747.0</v>
      </c>
      <c r="O36" s="290">
        <f t="shared" si="2"/>
        <v>370</v>
      </c>
      <c r="P36" s="290">
        <f t="shared" si="3"/>
        <v>1850</v>
      </c>
      <c r="Q36" s="290">
        <f t="shared" si="4"/>
        <v>2220</v>
      </c>
    </row>
    <row r="37">
      <c r="A37" s="282" t="s">
        <v>16</v>
      </c>
      <c r="B37" s="283">
        <v>4320.0</v>
      </c>
      <c r="C37" s="284"/>
      <c r="D37" s="285">
        <v>0.0</v>
      </c>
      <c r="E37" s="282" t="s">
        <v>69</v>
      </c>
      <c r="F37" s="282" t="s">
        <v>70</v>
      </c>
      <c r="G37" s="286" t="s">
        <v>71</v>
      </c>
      <c r="H37" s="287"/>
      <c r="I37" s="288">
        <v>36891.0</v>
      </c>
      <c r="J37" s="288">
        <v>44739.0</v>
      </c>
      <c r="K37" s="289"/>
      <c r="L37" s="302">
        <f t="shared" si="1"/>
        <v>31</v>
      </c>
      <c r="M37" s="350">
        <v>45717.0</v>
      </c>
      <c r="N37" s="350">
        <v>45747.0</v>
      </c>
      <c r="O37" s="290">
        <f t="shared" si="2"/>
        <v>370</v>
      </c>
      <c r="P37" s="290">
        <f t="shared" si="3"/>
        <v>1850</v>
      </c>
      <c r="Q37" s="290">
        <f t="shared" si="4"/>
        <v>2220</v>
      </c>
    </row>
    <row r="38">
      <c r="A38" s="282" t="s">
        <v>16</v>
      </c>
      <c r="B38" s="283">
        <v>4320.0</v>
      </c>
      <c r="C38" s="284"/>
      <c r="D38" s="285">
        <v>0.0</v>
      </c>
      <c r="E38" s="282" t="s">
        <v>468</v>
      </c>
      <c r="F38" s="282" t="s">
        <v>527</v>
      </c>
      <c r="G38" s="286" t="s">
        <v>469</v>
      </c>
      <c r="H38" s="287"/>
      <c r="I38" s="288">
        <v>35986.0</v>
      </c>
      <c r="J38" s="288">
        <v>45537.0</v>
      </c>
      <c r="K38" s="289"/>
      <c r="L38" s="302">
        <f t="shared" si="1"/>
        <v>31</v>
      </c>
      <c r="M38" s="350">
        <v>45717.0</v>
      </c>
      <c r="N38" s="350">
        <v>45747.0</v>
      </c>
      <c r="O38" s="290">
        <f t="shared" si="2"/>
        <v>370</v>
      </c>
      <c r="P38" s="290">
        <f t="shared" si="3"/>
        <v>1850</v>
      </c>
      <c r="Q38" s="290">
        <f t="shared" si="4"/>
        <v>2220</v>
      </c>
    </row>
    <row r="39">
      <c r="A39" s="282" t="s">
        <v>16</v>
      </c>
      <c r="B39" s="283">
        <v>4320.0</v>
      </c>
      <c r="C39" s="284"/>
      <c r="D39" s="285">
        <v>0.0</v>
      </c>
      <c r="E39" s="282" t="s">
        <v>78</v>
      </c>
      <c r="F39" s="282" t="s">
        <v>79</v>
      </c>
      <c r="G39" s="286" t="s">
        <v>80</v>
      </c>
      <c r="H39" s="287"/>
      <c r="I39" s="288">
        <v>36401.0</v>
      </c>
      <c r="J39" s="288">
        <v>45096.0</v>
      </c>
      <c r="K39" s="289"/>
      <c r="L39" s="302">
        <f t="shared" si="1"/>
        <v>31</v>
      </c>
      <c r="M39" s="350">
        <v>45717.0</v>
      </c>
      <c r="N39" s="350">
        <v>45747.0</v>
      </c>
      <c r="O39" s="290">
        <f t="shared" si="2"/>
        <v>370</v>
      </c>
      <c r="P39" s="290">
        <f t="shared" si="3"/>
        <v>1850</v>
      </c>
      <c r="Q39" s="290">
        <f t="shared" si="4"/>
        <v>2220</v>
      </c>
    </row>
    <row r="40">
      <c r="A40" s="282" t="s">
        <v>16</v>
      </c>
      <c r="B40" s="283">
        <v>4320.0</v>
      </c>
      <c r="C40" s="284"/>
      <c r="D40" s="285">
        <v>0.0</v>
      </c>
      <c r="E40" s="282" t="s">
        <v>555</v>
      </c>
      <c r="F40" s="282" t="s">
        <v>556</v>
      </c>
      <c r="G40" s="286" t="s">
        <v>557</v>
      </c>
      <c r="H40" s="287"/>
      <c r="I40" s="294">
        <v>36135.0</v>
      </c>
      <c r="J40" s="288">
        <v>45663.0</v>
      </c>
      <c r="K40" s="289"/>
      <c r="L40" s="302">
        <f t="shared" si="1"/>
        <v>31</v>
      </c>
      <c r="M40" s="350">
        <v>45717.0</v>
      </c>
      <c r="N40" s="350">
        <v>45747.0</v>
      </c>
      <c r="O40" s="290">
        <f t="shared" si="2"/>
        <v>370</v>
      </c>
      <c r="P40" s="290">
        <f t="shared" si="3"/>
        <v>1850</v>
      </c>
      <c r="Q40" s="290">
        <f t="shared" si="4"/>
        <v>2220</v>
      </c>
    </row>
    <row r="41">
      <c r="A41" s="299" t="s">
        <v>16</v>
      </c>
      <c r="B41" s="300">
        <v>4320.0</v>
      </c>
      <c r="C41" s="284"/>
      <c r="D41" s="301">
        <v>0.0</v>
      </c>
      <c r="E41" s="282" t="s">
        <v>483</v>
      </c>
      <c r="F41" s="282" t="s">
        <v>537</v>
      </c>
      <c r="G41" s="286" t="s">
        <v>484</v>
      </c>
      <c r="H41" s="287"/>
      <c r="I41" s="288">
        <v>36286.0</v>
      </c>
      <c r="J41" s="288">
        <v>45602.0</v>
      </c>
      <c r="K41" s="350">
        <v>45723.0</v>
      </c>
      <c r="L41" s="302">
        <f t="shared" si="1"/>
        <v>7</v>
      </c>
      <c r="M41" s="350">
        <v>45717.0</v>
      </c>
      <c r="N41" s="350">
        <v>45723.0</v>
      </c>
      <c r="O41" s="290">
        <f t="shared" si="2"/>
        <v>84</v>
      </c>
      <c r="P41" s="290">
        <f t="shared" si="3"/>
        <v>420</v>
      </c>
      <c r="Q41" s="290">
        <f t="shared" si="4"/>
        <v>504</v>
      </c>
    </row>
    <row r="42">
      <c r="A42" s="299" t="s">
        <v>16</v>
      </c>
      <c r="B42" s="300">
        <v>4320.0</v>
      </c>
      <c r="C42" s="284"/>
      <c r="D42" s="301">
        <v>0.0</v>
      </c>
      <c r="E42" s="282" t="s">
        <v>485</v>
      </c>
      <c r="F42" s="282" t="s">
        <v>535</v>
      </c>
      <c r="G42" s="286" t="s">
        <v>486</v>
      </c>
      <c r="H42" s="287"/>
      <c r="I42" s="288">
        <v>36994.0</v>
      </c>
      <c r="J42" s="288">
        <v>45602.0</v>
      </c>
      <c r="K42" s="289"/>
      <c r="L42" s="302">
        <f t="shared" si="1"/>
        <v>31</v>
      </c>
      <c r="M42" s="350">
        <v>45717.0</v>
      </c>
      <c r="N42" s="350">
        <v>45747.0</v>
      </c>
      <c r="O42" s="290">
        <f t="shared" si="2"/>
        <v>370</v>
      </c>
      <c r="P42" s="290">
        <f t="shared" si="3"/>
        <v>1850</v>
      </c>
      <c r="Q42" s="290">
        <f t="shared" si="4"/>
        <v>2220</v>
      </c>
    </row>
    <row r="43">
      <c r="A43" s="299" t="s">
        <v>16</v>
      </c>
      <c r="B43" s="300">
        <v>4320.0</v>
      </c>
      <c r="C43" s="284"/>
      <c r="D43" s="301">
        <v>0.0</v>
      </c>
      <c r="E43" s="298" t="s">
        <v>331</v>
      </c>
      <c r="F43" s="282" t="s">
        <v>332</v>
      </c>
      <c r="G43" s="286" t="s">
        <v>333</v>
      </c>
      <c r="H43" s="287"/>
      <c r="I43" s="288">
        <v>37958.0</v>
      </c>
      <c r="J43" s="288">
        <v>45369.0</v>
      </c>
      <c r="K43" s="289"/>
      <c r="L43" s="302">
        <f t="shared" si="1"/>
        <v>31</v>
      </c>
      <c r="M43" s="350">
        <v>45717.0</v>
      </c>
      <c r="N43" s="350">
        <v>45747.0</v>
      </c>
      <c r="O43" s="290">
        <f t="shared" si="2"/>
        <v>370</v>
      </c>
      <c r="P43" s="290">
        <f t="shared" si="3"/>
        <v>1850</v>
      </c>
      <c r="Q43" s="290">
        <f t="shared" si="4"/>
        <v>2220</v>
      </c>
    </row>
    <row r="44">
      <c r="A44" s="282" t="s">
        <v>16</v>
      </c>
      <c r="B44" s="283">
        <v>4320.0</v>
      </c>
      <c r="C44" s="284"/>
      <c r="D44" s="301">
        <v>0.0</v>
      </c>
      <c r="E44" s="282" t="s">
        <v>392</v>
      </c>
      <c r="F44" s="282" t="s">
        <v>393</v>
      </c>
      <c r="G44" s="286" t="s">
        <v>394</v>
      </c>
      <c r="H44" s="287"/>
      <c r="I44" s="288">
        <v>34922.0</v>
      </c>
      <c r="J44" s="294">
        <v>45418.0</v>
      </c>
      <c r="K44" s="289"/>
      <c r="L44" s="302">
        <f t="shared" si="1"/>
        <v>31</v>
      </c>
      <c r="M44" s="350">
        <v>45717.0</v>
      </c>
      <c r="N44" s="350">
        <v>45747.0</v>
      </c>
      <c r="O44" s="290">
        <f t="shared" si="2"/>
        <v>370</v>
      </c>
      <c r="P44" s="290">
        <f t="shared" si="3"/>
        <v>1850</v>
      </c>
      <c r="Q44" s="290">
        <f t="shared" si="4"/>
        <v>2220</v>
      </c>
    </row>
    <row r="45">
      <c r="A45" s="282" t="s">
        <v>16</v>
      </c>
      <c r="B45" s="283">
        <v>4320.0</v>
      </c>
      <c r="C45" s="289"/>
      <c r="D45" s="285">
        <v>0.0</v>
      </c>
      <c r="E45" s="291" t="s">
        <v>696</v>
      </c>
      <c r="F45" s="292" t="s">
        <v>734</v>
      </c>
      <c r="G45" s="289" t="s">
        <v>698</v>
      </c>
      <c r="H45" s="289"/>
      <c r="I45" s="293">
        <v>36474.0</v>
      </c>
      <c r="J45" s="288">
        <v>45698.0</v>
      </c>
      <c r="K45" s="289"/>
      <c r="L45" s="302">
        <f t="shared" si="1"/>
        <v>31</v>
      </c>
      <c r="M45" s="350">
        <v>45717.0</v>
      </c>
      <c r="N45" s="350">
        <v>45747.0</v>
      </c>
      <c r="O45" s="290">
        <f t="shared" si="2"/>
        <v>370</v>
      </c>
      <c r="P45" s="290">
        <f t="shared" si="3"/>
        <v>1850</v>
      </c>
      <c r="Q45" s="290">
        <f t="shared" si="4"/>
        <v>2220</v>
      </c>
    </row>
    <row r="46">
      <c r="A46" s="282" t="s">
        <v>16</v>
      </c>
      <c r="B46" s="283">
        <v>4320.0</v>
      </c>
      <c r="C46" s="289"/>
      <c r="D46" s="285">
        <v>0.0</v>
      </c>
      <c r="E46" s="303" t="s">
        <v>699</v>
      </c>
      <c r="F46" s="304" t="s">
        <v>735</v>
      </c>
      <c r="G46" s="289" t="s">
        <v>701</v>
      </c>
      <c r="H46" s="289"/>
      <c r="I46" s="293">
        <v>36474.0</v>
      </c>
      <c r="J46" s="288">
        <v>45698.0</v>
      </c>
      <c r="K46" s="289"/>
      <c r="L46" s="302">
        <f t="shared" si="1"/>
        <v>31</v>
      </c>
      <c r="M46" s="350">
        <v>45717.0</v>
      </c>
      <c r="N46" s="350">
        <v>45747.0</v>
      </c>
      <c r="O46" s="290">
        <f t="shared" si="2"/>
        <v>370</v>
      </c>
      <c r="P46" s="290">
        <f t="shared" si="3"/>
        <v>1850</v>
      </c>
      <c r="Q46" s="290">
        <f t="shared" si="4"/>
        <v>2220</v>
      </c>
    </row>
    <row r="47">
      <c r="A47" s="282" t="s">
        <v>16</v>
      </c>
      <c r="B47" s="283">
        <v>4320.0</v>
      </c>
      <c r="C47" s="284"/>
      <c r="D47" s="301">
        <v>0.0</v>
      </c>
      <c r="E47" s="282" t="s">
        <v>576</v>
      </c>
      <c r="F47" s="282" t="s">
        <v>577</v>
      </c>
      <c r="G47" s="286" t="s">
        <v>578</v>
      </c>
      <c r="H47" s="287"/>
      <c r="I47" s="288">
        <v>37944.0</v>
      </c>
      <c r="J47" s="288">
        <v>45677.0</v>
      </c>
      <c r="K47" s="289"/>
      <c r="L47" s="302">
        <f t="shared" si="1"/>
        <v>31</v>
      </c>
      <c r="M47" s="350">
        <v>45717.0</v>
      </c>
      <c r="N47" s="350">
        <v>45747.0</v>
      </c>
      <c r="O47" s="290">
        <f t="shared" si="2"/>
        <v>370</v>
      </c>
      <c r="P47" s="290">
        <f t="shared" si="3"/>
        <v>1850</v>
      </c>
      <c r="Q47" s="290">
        <f t="shared" si="4"/>
        <v>2220</v>
      </c>
    </row>
    <row r="48">
      <c r="A48" s="282" t="s">
        <v>16</v>
      </c>
      <c r="B48" s="283">
        <v>4320.0</v>
      </c>
      <c r="C48" s="284"/>
      <c r="D48" s="301">
        <v>0.0</v>
      </c>
      <c r="E48" s="282" t="s">
        <v>546</v>
      </c>
      <c r="F48" s="282" t="s">
        <v>547</v>
      </c>
      <c r="G48" s="286" t="s">
        <v>548</v>
      </c>
      <c r="H48" s="287"/>
      <c r="I48" s="288">
        <v>38255.0</v>
      </c>
      <c r="J48" s="288">
        <v>45658.0</v>
      </c>
      <c r="K48" s="289"/>
      <c r="L48" s="302">
        <f t="shared" si="1"/>
        <v>31</v>
      </c>
      <c r="M48" s="350">
        <v>45717.0</v>
      </c>
      <c r="N48" s="350">
        <v>45747.0</v>
      </c>
      <c r="O48" s="290">
        <f t="shared" si="2"/>
        <v>370</v>
      </c>
      <c r="P48" s="290">
        <f t="shared" si="3"/>
        <v>1850</v>
      </c>
      <c r="Q48" s="290">
        <f t="shared" si="4"/>
        <v>2220</v>
      </c>
    </row>
    <row r="49">
      <c r="A49" s="299" t="s">
        <v>16</v>
      </c>
      <c r="B49" s="300">
        <v>4320.0</v>
      </c>
      <c r="C49" s="284"/>
      <c r="D49" s="305">
        <v>0.0</v>
      </c>
      <c r="E49" s="282" t="s">
        <v>501</v>
      </c>
      <c r="F49" s="282" t="s">
        <v>541</v>
      </c>
      <c r="G49" s="286" t="s">
        <v>502</v>
      </c>
      <c r="H49" s="287"/>
      <c r="I49" s="288">
        <v>36062.0</v>
      </c>
      <c r="J49" s="288">
        <v>45628.0</v>
      </c>
      <c r="K49" s="289"/>
      <c r="L49" s="302">
        <f t="shared" si="1"/>
        <v>31</v>
      </c>
      <c r="M49" s="350">
        <v>45717.0</v>
      </c>
      <c r="N49" s="350">
        <v>45747.0</v>
      </c>
      <c r="O49" s="290">
        <f t="shared" si="2"/>
        <v>370</v>
      </c>
      <c r="P49" s="290">
        <f t="shared" si="3"/>
        <v>1850</v>
      </c>
      <c r="Q49" s="290">
        <f t="shared" si="4"/>
        <v>2220</v>
      </c>
    </row>
    <row r="50">
      <c r="A50" s="282" t="s">
        <v>16</v>
      </c>
      <c r="B50" s="283">
        <v>4320.0</v>
      </c>
      <c r="C50" s="284"/>
      <c r="D50" s="305">
        <v>0.0</v>
      </c>
      <c r="E50" s="282" t="s">
        <v>451</v>
      </c>
      <c r="F50" s="282" t="s">
        <v>512</v>
      </c>
      <c r="G50" s="286" t="s">
        <v>415</v>
      </c>
      <c r="H50" s="287"/>
      <c r="I50" s="288">
        <v>36443.0</v>
      </c>
      <c r="J50" s="288">
        <v>45446.0</v>
      </c>
      <c r="K50" s="289"/>
      <c r="L50" s="302">
        <f t="shared" si="1"/>
        <v>31</v>
      </c>
      <c r="M50" s="350">
        <v>45717.0</v>
      </c>
      <c r="N50" s="350">
        <v>45747.0</v>
      </c>
      <c r="O50" s="290">
        <f t="shared" si="2"/>
        <v>370</v>
      </c>
      <c r="P50" s="290">
        <f t="shared" si="3"/>
        <v>1850</v>
      </c>
      <c r="Q50" s="290">
        <f t="shared" si="4"/>
        <v>2220</v>
      </c>
    </row>
    <row r="51">
      <c r="A51" s="282" t="s">
        <v>16</v>
      </c>
      <c r="B51" s="283">
        <v>4320.0</v>
      </c>
      <c r="C51" s="284"/>
      <c r="D51" s="305">
        <v>0.0</v>
      </c>
      <c r="E51" s="282" t="s">
        <v>87</v>
      </c>
      <c r="F51" s="282" t="s">
        <v>88</v>
      </c>
      <c r="G51" s="286" t="s">
        <v>89</v>
      </c>
      <c r="H51" s="287"/>
      <c r="I51" s="288">
        <v>33737.0</v>
      </c>
      <c r="J51" s="288">
        <v>45139.0</v>
      </c>
      <c r="K51" s="350">
        <v>45734.0</v>
      </c>
      <c r="L51" s="302">
        <f t="shared" si="1"/>
        <v>18</v>
      </c>
      <c r="M51" s="350">
        <v>45717.0</v>
      </c>
      <c r="N51" s="350">
        <v>45734.0</v>
      </c>
      <c r="O51" s="290">
        <f t="shared" si="2"/>
        <v>215</v>
      </c>
      <c r="P51" s="290">
        <f t="shared" si="3"/>
        <v>1075</v>
      </c>
      <c r="Q51" s="290">
        <f t="shared" si="4"/>
        <v>1290</v>
      </c>
    </row>
    <row r="52">
      <c r="A52" s="282" t="s">
        <v>16</v>
      </c>
      <c r="B52" s="283">
        <v>4320.0</v>
      </c>
      <c r="C52" s="284"/>
      <c r="D52" s="305">
        <v>0.0</v>
      </c>
      <c r="E52" s="282" t="s">
        <v>573</v>
      </c>
      <c r="F52" s="282" t="s">
        <v>574</v>
      </c>
      <c r="G52" s="286" t="s">
        <v>575</v>
      </c>
      <c r="H52" s="287"/>
      <c r="I52" s="288">
        <v>36061.0</v>
      </c>
      <c r="J52" s="288">
        <v>45677.0</v>
      </c>
      <c r="K52" s="289"/>
      <c r="L52" s="302">
        <f t="shared" si="1"/>
        <v>31</v>
      </c>
      <c r="M52" s="350">
        <v>45717.0</v>
      </c>
      <c r="N52" s="350">
        <v>45747.0</v>
      </c>
      <c r="O52" s="290">
        <f t="shared" si="2"/>
        <v>370</v>
      </c>
      <c r="P52" s="290">
        <f t="shared" si="3"/>
        <v>1850</v>
      </c>
      <c r="Q52" s="290">
        <f t="shared" si="4"/>
        <v>2220</v>
      </c>
    </row>
    <row r="53">
      <c r="A53" s="282" t="s">
        <v>16</v>
      </c>
      <c r="B53" s="283">
        <v>4320.0</v>
      </c>
      <c r="C53" s="284"/>
      <c r="D53" s="301">
        <v>0.0</v>
      </c>
      <c r="E53" s="282" t="s">
        <v>579</v>
      </c>
      <c r="F53" s="282" t="s">
        <v>580</v>
      </c>
      <c r="G53" s="286" t="s">
        <v>581</v>
      </c>
      <c r="H53" s="287"/>
      <c r="I53" s="288">
        <v>37609.0</v>
      </c>
      <c r="J53" s="288">
        <v>45677.0</v>
      </c>
      <c r="K53" s="289"/>
      <c r="L53" s="302">
        <f t="shared" si="1"/>
        <v>31</v>
      </c>
      <c r="M53" s="350">
        <v>45717.0</v>
      </c>
      <c r="N53" s="350">
        <v>45747.0</v>
      </c>
      <c r="O53" s="290">
        <f t="shared" si="2"/>
        <v>370</v>
      </c>
      <c r="P53" s="290">
        <f t="shared" si="3"/>
        <v>1850</v>
      </c>
      <c r="Q53" s="290">
        <f t="shared" si="4"/>
        <v>2220</v>
      </c>
    </row>
    <row r="54">
      <c r="A54" s="282" t="s">
        <v>16</v>
      </c>
      <c r="B54" s="283">
        <v>4320.0</v>
      </c>
      <c r="C54" s="284"/>
      <c r="D54" s="301">
        <v>0.0</v>
      </c>
      <c r="E54" s="282" t="s">
        <v>476</v>
      </c>
      <c r="F54" s="282" t="s">
        <v>529</v>
      </c>
      <c r="G54" s="286" t="s">
        <v>477</v>
      </c>
      <c r="H54" s="287"/>
      <c r="I54" s="288">
        <v>37220.0</v>
      </c>
      <c r="J54" s="288">
        <v>45572.0</v>
      </c>
      <c r="K54" s="289"/>
      <c r="L54" s="302">
        <f t="shared" si="1"/>
        <v>31</v>
      </c>
      <c r="M54" s="350">
        <v>45717.0</v>
      </c>
      <c r="N54" s="350">
        <v>45747.0</v>
      </c>
      <c r="O54" s="290">
        <f t="shared" si="2"/>
        <v>370</v>
      </c>
      <c r="P54" s="290">
        <f t="shared" si="3"/>
        <v>1850</v>
      </c>
      <c r="Q54" s="290">
        <f t="shared" si="4"/>
        <v>2220</v>
      </c>
    </row>
    <row r="55">
      <c r="A55" s="282" t="s">
        <v>16</v>
      </c>
      <c r="B55" s="283">
        <v>4320.0</v>
      </c>
      <c r="C55" s="284"/>
      <c r="D55" s="301">
        <v>0.0</v>
      </c>
      <c r="E55" s="282" t="s">
        <v>102</v>
      </c>
      <c r="F55" s="282" t="s">
        <v>103</v>
      </c>
      <c r="G55" s="286" t="s">
        <v>104</v>
      </c>
      <c r="H55" s="287"/>
      <c r="I55" s="288">
        <v>33240.0</v>
      </c>
      <c r="J55" s="288">
        <v>44287.0</v>
      </c>
      <c r="K55" s="289"/>
      <c r="L55" s="302">
        <f t="shared" si="1"/>
        <v>31</v>
      </c>
      <c r="M55" s="350">
        <v>45717.0</v>
      </c>
      <c r="N55" s="350">
        <v>45747.0</v>
      </c>
      <c r="O55" s="290">
        <f t="shared" si="2"/>
        <v>370</v>
      </c>
      <c r="P55" s="290">
        <f t="shared" si="3"/>
        <v>1850</v>
      </c>
      <c r="Q55" s="290">
        <f t="shared" si="4"/>
        <v>2220</v>
      </c>
    </row>
    <row r="56">
      <c r="A56" s="282" t="s">
        <v>16</v>
      </c>
      <c r="B56" s="283">
        <v>4320.0</v>
      </c>
      <c r="C56" s="284"/>
      <c r="D56" s="301">
        <v>0.0</v>
      </c>
      <c r="E56" s="282" t="s">
        <v>255</v>
      </c>
      <c r="F56" s="282" t="s">
        <v>256</v>
      </c>
      <c r="G56" s="286" t="s">
        <v>257</v>
      </c>
      <c r="H56" s="287"/>
      <c r="I56" s="288">
        <v>35173.0</v>
      </c>
      <c r="J56" s="288">
        <v>45264.0</v>
      </c>
      <c r="K56" s="289"/>
      <c r="L56" s="302">
        <f t="shared" si="1"/>
        <v>31</v>
      </c>
      <c r="M56" s="350">
        <v>45717.0</v>
      </c>
      <c r="N56" s="350">
        <v>45747.0</v>
      </c>
      <c r="O56" s="290">
        <f t="shared" si="2"/>
        <v>370</v>
      </c>
      <c r="P56" s="290">
        <f t="shared" si="3"/>
        <v>1850</v>
      </c>
      <c r="Q56" s="290">
        <f t="shared" si="4"/>
        <v>2220</v>
      </c>
    </row>
    <row r="57">
      <c r="A57" s="282" t="s">
        <v>16</v>
      </c>
      <c r="B57" s="283">
        <v>4320.0</v>
      </c>
      <c r="C57" s="284"/>
      <c r="D57" s="305">
        <v>0.0</v>
      </c>
      <c r="E57" s="282" t="s">
        <v>438</v>
      </c>
      <c r="F57" s="282" t="s">
        <v>341</v>
      </c>
      <c r="G57" s="286" t="s">
        <v>342</v>
      </c>
      <c r="H57" s="287"/>
      <c r="I57" s="288">
        <v>37964.0</v>
      </c>
      <c r="J57" s="288">
        <v>45355.0</v>
      </c>
      <c r="K57" s="289"/>
      <c r="L57" s="302">
        <f t="shared" si="1"/>
        <v>31</v>
      </c>
      <c r="M57" s="350">
        <v>45717.0</v>
      </c>
      <c r="N57" s="350">
        <v>45747.0</v>
      </c>
      <c r="O57" s="290">
        <f t="shared" si="2"/>
        <v>370</v>
      </c>
      <c r="P57" s="290">
        <f t="shared" si="3"/>
        <v>1850</v>
      </c>
      <c r="Q57" s="290">
        <f t="shared" si="4"/>
        <v>2220</v>
      </c>
    </row>
    <row r="58">
      <c r="A58" s="282" t="s">
        <v>16</v>
      </c>
      <c r="B58" s="283">
        <v>4320.0</v>
      </c>
      <c r="C58" s="284"/>
      <c r="D58" s="305">
        <v>0.0</v>
      </c>
      <c r="E58" s="282" t="s">
        <v>508</v>
      </c>
      <c r="F58" s="282" t="s">
        <v>545</v>
      </c>
      <c r="G58" s="286" t="s">
        <v>509</v>
      </c>
      <c r="H58" s="287"/>
      <c r="I58" s="288">
        <v>36637.0</v>
      </c>
      <c r="J58" s="288">
        <v>45649.0</v>
      </c>
      <c r="K58" s="289"/>
      <c r="L58" s="302">
        <f t="shared" si="1"/>
        <v>31</v>
      </c>
      <c r="M58" s="350">
        <v>45717.0</v>
      </c>
      <c r="N58" s="350">
        <v>45747.0</v>
      </c>
      <c r="O58" s="290">
        <f t="shared" si="2"/>
        <v>370</v>
      </c>
      <c r="P58" s="290">
        <f t="shared" si="3"/>
        <v>1850</v>
      </c>
      <c r="Q58" s="290">
        <f t="shared" si="4"/>
        <v>2220</v>
      </c>
    </row>
    <row r="59">
      <c r="A59" s="282" t="s">
        <v>16</v>
      </c>
      <c r="B59" s="283">
        <v>4320.0</v>
      </c>
      <c r="C59" s="284"/>
      <c r="D59" s="305">
        <v>0.0</v>
      </c>
      <c r="E59" s="282" t="s">
        <v>395</v>
      </c>
      <c r="F59" s="282" t="s">
        <v>396</v>
      </c>
      <c r="G59" s="286" t="s">
        <v>397</v>
      </c>
      <c r="H59" s="287"/>
      <c r="I59" s="288">
        <v>36557.0</v>
      </c>
      <c r="J59" s="294">
        <v>45432.0</v>
      </c>
      <c r="K59" s="289"/>
      <c r="L59" s="302">
        <f t="shared" si="1"/>
        <v>31</v>
      </c>
      <c r="M59" s="350">
        <v>45717.0</v>
      </c>
      <c r="N59" s="350">
        <v>45747.0</v>
      </c>
      <c r="O59" s="290">
        <f t="shared" si="2"/>
        <v>370</v>
      </c>
      <c r="P59" s="290">
        <f t="shared" si="3"/>
        <v>1850</v>
      </c>
      <c r="Q59" s="290">
        <f t="shared" si="4"/>
        <v>2220</v>
      </c>
    </row>
    <row r="60">
      <c r="A60" s="282" t="s">
        <v>16</v>
      </c>
      <c r="B60" s="283">
        <v>4320.0</v>
      </c>
      <c r="C60" s="284"/>
      <c r="D60" s="301">
        <v>0.0</v>
      </c>
      <c r="E60" s="282" t="s">
        <v>370</v>
      </c>
      <c r="F60" s="282" t="s">
        <v>371</v>
      </c>
      <c r="G60" s="286" t="s">
        <v>372</v>
      </c>
      <c r="H60" s="287"/>
      <c r="I60" s="288">
        <v>35551.0</v>
      </c>
      <c r="J60" s="288">
        <v>45383.0</v>
      </c>
      <c r="K60" s="289"/>
      <c r="L60" s="302">
        <f t="shared" si="1"/>
        <v>31</v>
      </c>
      <c r="M60" s="350">
        <v>45717.0</v>
      </c>
      <c r="N60" s="350">
        <v>45747.0</v>
      </c>
      <c r="O60" s="290">
        <f t="shared" si="2"/>
        <v>370</v>
      </c>
      <c r="P60" s="290">
        <f t="shared" si="3"/>
        <v>1850</v>
      </c>
      <c r="Q60" s="290">
        <f t="shared" si="4"/>
        <v>2220</v>
      </c>
    </row>
    <row r="61">
      <c r="A61" s="282" t="s">
        <v>16</v>
      </c>
      <c r="B61" s="283">
        <v>4320.0</v>
      </c>
      <c r="C61" s="284"/>
      <c r="D61" s="305">
        <v>0.0</v>
      </c>
      <c r="E61" s="282" t="s">
        <v>114</v>
      </c>
      <c r="F61" s="282" t="s">
        <v>514</v>
      </c>
      <c r="G61" s="286" t="s">
        <v>456</v>
      </c>
      <c r="H61" s="287"/>
      <c r="I61" s="288">
        <v>35872.0</v>
      </c>
      <c r="J61" s="288">
        <v>45523.0</v>
      </c>
      <c r="K61" s="289"/>
      <c r="L61" s="302">
        <f t="shared" si="1"/>
        <v>31</v>
      </c>
      <c r="M61" s="350">
        <v>45717.0</v>
      </c>
      <c r="N61" s="350">
        <v>45747.0</v>
      </c>
      <c r="O61" s="290">
        <f t="shared" si="2"/>
        <v>370</v>
      </c>
      <c r="P61" s="290">
        <f t="shared" si="3"/>
        <v>1850</v>
      </c>
      <c r="Q61" s="290">
        <f t="shared" si="4"/>
        <v>2220</v>
      </c>
    </row>
    <row r="62">
      <c r="A62" s="282" t="s">
        <v>16</v>
      </c>
      <c r="B62" s="283">
        <v>4320.0</v>
      </c>
      <c r="C62" s="284"/>
      <c r="D62" s="301">
        <v>0.0</v>
      </c>
      <c r="E62" s="282" t="s">
        <v>457</v>
      </c>
      <c r="F62" s="282" t="s">
        <v>515</v>
      </c>
      <c r="G62" s="286" t="s">
        <v>458</v>
      </c>
      <c r="H62" s="287"/>
      <c r="I62" s="288">
        <v>37061.0</v>
      </c>
      <c r="J62" s="288">
        <v>45505.0</v>
      </c>
      <c r="K62" s="289"/>
      <c r="L62" s="302">
        <f t="shared" si="1"/>
        <v>31</v>
      </c>
      <c r="M62" s="350">
        <v>45717.0</v>
      </c>
      <c r="N62" s="350">
        <v>45747.0</v>
      </c>
      <c r="O62" s="290">
        <f t="shared" si="2"/>
        <v>370</v>
      </c>
      <c r="P62" s="290">
        <f t="shared" si="3"/>
        <v>1850</v>
      </c>
      <c r="Q62" s="290">
        <f t="shared" si="4"/>
        <v>2220</v>
      </c>
    </row>
    <row r="63">
      <c r="A63" s="282" t="s">
        <v>16</v>
      </c>
      <c r="B63" s="283">
        <v>4320.0</v>
      </c>
      <c r="C63" s="284"/>
      <c r="D63" s="301">
        <v>0.0</v>
      </c>
      <c r="E63" s="282" t="s">
        <v>506</v>
      </c>
      <c r="F63" s="282" t="s">
        <v>544</v>
      </c>
      <c r="G63" s="286" t="s">
        <v>507</v>
      </c>
      <c r="H63" s="287"/>
      <c r="I63" s="288">
        <v>36981.0</v>
      </c>
      <c r="J63" s="288">
        <v>45642.0</v>
      </c>
      <c r="K63" s="289"/>
      <c r="L63" s="302">
        <f t="shared" si="1"/>
        <v>31</v>
      </c>
      <c r="M63" s="350">
        <v>45717.0</v>
      </c>
      <c r="N63" s="350">
        <v>45747.0</v>
      </c>
      <c r="O63" s="290">
        <f t="shared" si="2"/>
        <v>370</v>
      </c>
      <c r="P63" s="290">
        <f t="shared" si="3"/>
        <v>1850</v>
      </c>
      <c r="Q63" s="290">
        <f t="shared" si="4"/>
        <v>2220</v>
      </c>
    </row>
    <row r="64">
      <c r="A64" s="282" t="s">
        <v>16</v>
      </c>
      <c r="B64" s="283">
        <v>4320.0</v>
      </c>
      <c r="C64" s="284"/>
      <c r="D64" s="301">
        <v>0.0</v>
      </c>
      <c r="E64" s="282" t="s">
        <v>487</v>
      </c>
      <c r="F64" s="282" t="s">
        <v>533</v>
      </c>
      <c r="G64" s="286" t="s">
        <v>488</v>
      </c>
      <c r="H64" s="287"/>
      <c r="I64" s="294">
        <v>35195.0</v>
      </c>
      <c r="J64" s="288">
        <v>45602.0</v>
      </c>
      <c r="K64" s="289"/>
      <c r="L64" s="302">
        <f t="shared" si="1"/>
        <v>31</v>
      </c>
      <c r="M64" s="350">
        <v>45717.0</v>
      </c>
      <c r="N64" s="350">
        <v>45747.0</v>
      </c>
      <c r="O64" s="290">
        <f t="shared" si="2"/>
        <v>370</v>
      </c>
      <c r="P64" s="290">
        <f t="shared" si="3"/>
        <v>1850</v>
      </c>
      <c r="Q64" s="290">
        <f t="shared" si="4"/>
        <v>2220</v>
      </c>
    </row>
    <row r="65">
      <c r="A65" s="282" t="s">
        <v>16</v>
      </c>
      <c r="B65" s="283">
        <v>4320.0</v>
      </c>
      <c r="C65" s="289"/>
      <c r="D65" s="305">
        <v>0.0</v>
      </c>
      <c r="E65" s="282" t="s">
        <v>343</v>
      </c>
      <c r="F65" s="282" t="s">
        <v>344</v>
      </c>
      <c r="G65" s="286" t="s">
        <v>345</v>
      </c>
      <c r="H65" s="287"/>
      <c r="I65" s="288">
        <v>36821.0</v>
      </c>
      <c r="J65" s="288">
        <v>45362.0</v>
      </c>
      <c r="K65" s="289"/>
      <c r="L65" s="302">
        <f t="shared" si="1"/>
        <v>31</v>
      </c>
      <c r="M65" s="350">
        <v>45717.0</v>
      </c>
      <c r="N65" s="350">
        <v>45747.0</v>
      </c>
      <c r="O65" s="290">
        <f t="shared" si="2"/>
        <v>370</v>
      </c>
      <c r="P65" s="290">
        <f t="shared" si="3"/>
        <v>1850</v>
      </c>
      <c r="Q65" s="290">
        <f t="shared" si="4"/>
        <v>2220</v>
      </c>
    </row>
    <row r="66">
      <c r="A66" s="282" t="s">
        <v>16</v>
      </c>
      <c r="B66" s="283">
        <v>4320.0</v>
      </c>
      <c r="C66" s="289"/>
      <c r="D66" s="285">
        <v>0.0</v>
      </c>
      <c r="E66" s="306" t="s">
        <v>429</v>
      </c>
      <c r="F66" s="282" t="s">
        <v>516</v>
      </c>
      <c r="G66" s="286" t="s">
        <v>430</v>
      </c>
      <c r="H66" s="287"/>
      <c r="I66" s="288">
        <v>37257.0</v>
      </c>
      <c r="J66" s="288">
        <v>45481.0</v>
      </c>
      <c r="K66" s="289"/>
      <c r="L66" s="302">
        <f t="shared" si="1"/>
        <v>31</v>
      </c>
      <c r="M66" s="350">
        <v>45717.0</v>
      </c>
      <c r="N66" s="350">
        <v>45747.0</v>
      </c>
      <c r="O66" s="290">
        <f t="shared" si="2"/>
        <v>370</v>
      </c>
      <c r="P66" s="290">
        <f t="shared" si="3"/>
        <v>1850</v>
      </c>
      <c r="Q66" s="290">
        <f t="shared" si="4"/>
        <v>2220</v>
      </c>
    </row>
    <row r="67">
      <c r="A67" s="282" t="s">
        <v>16</v>
      </c>
      <c r="B67" s="283">
        <v>4320.0</v>
      </c>
      <c r="C67" s="289"/>
      <c r="D67" s="285">
        <v>0.0</v>
      </c>
      <c r="E67" s="306" t="s">
        <v>489</v>
      </c>
      <c r="F67" s="282" t="s">
        <v>536</v>
      </c>
      <c r="G67" s="286" t="s">
        <v>490</v>
      </c>
      <c r="H67" s="287"/>
      <c r="I67" s="288">
        <v>37105.0</v>
      </c>
      <c r="J67" s="288">
        <v>45602.0</v>
      </c>
      <c r="K67" s="289"/>
      <c r="L67" s="302">
        <f t="shared" si="1"/>
        <v>31</v>
      </c>
      <c r="M67" s="350">
        <v>45717.0</v>
      </c>
      <c r="N67" s="350">
        <v>45747.0</v>
      </c>
      <c r="O67" s="290">
        <f t="shared" si="2"/>
        <v>370</v>
      </c>
      <c r="P67" s="290">
        <f t="shared" si="3"/>
        <v>1850</v>
      </c>
      <c r="Q67" s="290">
        <f t="shared" si="4"/>
        <v>2220</v>
      </c>
    </row>
    <row r="68">
      <c r="A68" s="282" t="s">
        <v>16</v>
      </c>
      <c r="B68" s="283">
        <v>4320.0</v>
      </c>
      <c r="C68" s="289"/>
      <c r="D68" s="285">
        <v>0.0</v>
      </c>
      <c r="E68" s="306" t="s">
        <v>416</v>
      </c>
      <c r="F68" s="282" t="s">
        <v>517</v>
      </c>
      <c r="G68" s="286" t="s">
        <v>417</v>
      </c>
      <c r="H68" s="287"/>
      <c r="I68" s="288">
        <v>36346.0</v>
      </c>
      <c r="J68" s="288">
        <v>45453.0</v>
      </c>
      <c r="K68" s="289"/>
      <c r="L68" s="302">
        <f t="shared" si="1"/>
        <v>31</v>
      </c>
      <c r="M68" s="350">
        <v>45717.0</v>
      </c>
      <c r="N68" s="350">
        <v>45747.0</v>
      </c>
      <c r="O68" s="290">
        <f t="shared" si="2"/>
        <v>370</v>
      </c>
      <c r="P68" s="290">
        <f t="shared" si="3"/>
        <v>1850</v>
      </c>
      <c r="Q68" s="290">
        <f t="shared" si="4"/>
        <v>2220</v>
      </c>
    </row>
    <row r="69">
      <c r="A69" s="282" t="s">
        <v>16</v>
      </c>
      <c r="B69" s="283">
        <v>4320.0</v>
      </c>
      <c r="C69" s="289"/>
      <c r="D69" s="285">
        <v>0.0</v>
      </c>
      <c r="E69" s="306" t="s">
        <v>582</v>
      </c>
      <c r="F69" s="282" t="s">
        <v>583</v>
      </c>
      <c r="G69" s="286" t="s">
        <v>584</v>
      </c>
      <c r="H69" s="287"/>
      <c r="I69" s="288">
        <v>37880.0</v>
      </c>
      <c r="J69" s="288">
        <v>45677.0</v>
      </c>
      <c r="K69" s="289"/>
      <c r="L69" s="302">
        <f t="shared" si="1"/>
        <v>31</v>
      </c>
      <c r="M69" s="350">
        <v>45717.0</v>
      </c>
      <c r="N69" s="350">
        <v>45747.0</v>
      </c>
      <c r="O69" s="290">
        <f t="shared" si="2"/>
        <v>370</v>
      </c>
      <c r="P69" s="290">
        <f t="shared" si="3"/>
        <v>1850</v>
      </c>
      <c r="Q69" s="290">
        <f t="shared" si="4"/>
        <v>2220</v>
      </c>
    </row>
    <row r="70">
      <c r="A70" s="282" t="s">
        <v>16</v>
      </c>
      <c r="B70" s="283">
        <v>4320.0</v>
      </c>
      <c r="C70" s="289"/>
      <c r="D70" s="285">
        <v>0.0</v>
      </c>
      <c r="E70" s="306" t="s">
        <v>478</v>
      </c>
      <c r="F70" s="282" t="s">
        <v>518</v>
      </c>
      <c r="G70" s="286" t="s">
        <v>426</v>
      </c>
      <c r="H70" s="287"/>
      <c r="I70" s="288">
        <v>36530.0</v>
      </c>
      <c r="J70" s="288">
        <v>45446.0</v>
      </c>
      <c r="K70" s="289"/>
      <c r="L70" s="302">
        <f t="shared" si="1"/>
        <v>31</v>
      </c>
      <c r="M70" s="350">
        <v>45717.0</v>
      </c>
      <c r="N70" s="350">
        <v>45747.0</v>
      </c>
      <c r="O70" s="290">
        <f t="shared" si="2"/>
        <v>370</v>
      </c>
      <c r="P70" s="290">
        <f t="shared" si="3"/>
        <v>1850</v>
      </c>
      <c r="Q70" s="290">
        <f t="shared" si="4"/>
        <v>2220</v>
      </c>
    </row>
    <row r="71">
      <c r="A71" s="282" t="s">
        <v>16</v>
      </c>
      <c r="B71" s="283">
        <v>4320.0</v>
      </c>
      <c r="C71" s="289"/>
      <c r="D71" s="285">
        <v>0.0</v>
      </c>
      <c r="E71" s="306" t="s">
        <v>132</v>
      </c>
      <c r="F71" s="282" t="s">
        <v>519</v>
      </c>
      <c r="G71" s="286" t="s">
        <v>418</v>
      </c>
      <c r="H71" s="287"/>
      <c r="I71" s="288">
        <v>37494.0</v>
      </c>
      <c r="J71" s="288">
        <v>45467.0</v>
      </c>
      <c r="K71" s="350">
        <v>45723.0</v>
      </c>
      <c r="L71" s="302">
        <f t="shared" si="1"/>
        <v>7</v>
      </c>
      <c r="M71" s="350">
        <v>45717.0</v>
      </c>
      <c r="N71" s="350">
        <v>45723.0</v>
      </c>
      <c r="O71" s="290">
        <f t="shared" si="2"/>
        <v>84</v>
      </c>
      <c r="P71" s="290">
        <f t="shared" si="3"/>
        <v>420</v>
      </c>
      <c r="Q71" s="290">
        <f t="shared" si="4"/>
        <v>504</v>
      </c>
    </row>
    <row r="72">
      <c r="A72" s="282" t="s">
        <v>16</v>
      </c>
      <c r="B72" s="283">
        <v>4320.0</v>
      </c>
      <c r="C72" s="289"/>
      <c r="D72" s="285">
        <v>0.0</v>
      </c>
      <c r="E72" s="306" t="s">
        <v>570</v>
      </c>
      <c r="F72" s="282" t="s">
        <v>571</v>
      </c>
      <c r="G72" s="286" t="s">
        <v>572</v>
      </c>
      <c r="H72" s="287"/>
      <c r="I72" s="288">
        <v>37362.0</v>
      </c>
      <c r="J72" s="288">
        <v>45677.0</v>
      </c>
      <c r="K72" s="289"/>
      <c r="L72" s="302">
        <f t="shared" si="1"/>
        <v>31</v>
      </c>
      <c r="M72" s="350">
        <v>45717.0</v>
      </c>
      <c r="N72" s="350">
        <v>45747.0</v>
      </c>
      <c r="O72" s="290">
        <f t="shared" si="2"/>
        <v>370</v>
      </c>
      <c r="P72" s="290">
        <f t="shared" si="3"/>
        <v>1850</v>
      </c>
      <c r="Q72" s="290">
        <f t="shared" si="4"/>
        <v>2220</v>
      </c>
    </row>
    <row r="73">
      <c r="A73" s="282" t="s">
        <v>16</v>
      </c>
      <c r="B73" s="283">
        <v>4320.0</v>
      </c>
      <c r="C73" s="289"/>
      <c r="D73" s="285">
        <v>0.0</v>
      </c>
      <c r="E73" s="291" t="s">
        <v>702</v>
      </c>
      <c r="F73" s="292" t="s">
        <v>703</v>
      </c>
      <c r="G73" s="289" t="s">
        <v>704</v>
      </c>
      <c r="H73" s="289"/>
      <c r="I73" s="293">
        <v>35714.0</v>
      </c>
      <c r="J73" s="288">
        <v>45705.0</v>
      </c>
      <c r="K73" s="289"/>
      <c r="L73" s="302">
        <f t="shared" si="1"/>
        <v>31</v>
      </c>
      <c r="M73" s="350">
        <v>45717.0</v>
      </c>
      <c r="N73" s="350">
        <v>45747.0</v>
      </c>
      <c r="O73" s="290">
        <f t="shared" si="2"/>
        <v>370</v>
      </c>
      <c r="P73" s="290">
        <f t="shared" si="3"/>
        <v>1850</v>
      </c>
      <c r="Q73" s="290">
        <f t="shared" si="4"/>
        <v>2220</v>
      </c>
    </row>
    <row r="74">
      <c r="A74" s="282" t="s">
        <v>16</v>
      </c>
      <c r="B74" s="283">
        <v>4320.0</v>
      </c>
      <c r="C74" s="289"/>
      <c r="D74" s="285">
        <v>0.0</v>
      </c>
      <c r="E74" s="306" t="s">
        <v>459</v>
      </c>
      <c r="F74" s="282" t="s">
        <v>374</v>
      </c>
      <c r="G74" s="286" t="s">
        <v>375</v>
      </c>
      <c r="H74" s="287"/>
      <c r="I74" s="288">
        <v>37085.0</v>
      </c>
      <c r="J74" s="288">
        <v>45400.0</v>
      </c>
      <c r="K74" s="289"/>
      <c r="L74" s="302">
        <f t="shared" si="1"/>
        <v>31</v>
      </c>
      <c r="M74" s="350">
        <v>45717.0</v>
      </c>
      <c r="N74" s="350">
        <v>45747.0</v>
      </c>
      <c r="O74" s="290">
        <f t="shared" si="2"/>
        <v>370</v>
      </c>
      <c r="P74" s="290">
        <f t="shared" si="3"/>
        <v>1850</v>
      </c>
      <c r="Q74" s="290">
        <f t="shared" si="4"/>
        <v>2220</v>
      </c>
    </row>
    <row r="75">
      <c r="A75" s="282" t="s">
        <v>16</v>
      </c>
      <c r="B75" s="283">
        <v>4320.0</v>
      </c>
      <c r="C75" s="289"/>
      <c r="D75" s="285">
        <v>0.0</v>
      </c>
      <c r="E75" s="306" t="s">
        <v>349</v>
      </c>
      <c r="F75" s="282" t="s">
        <v>350</v>
      </c>
      <c r="G75" s="286" t="s">
        <v>351</v>
      </c>
      <c r="H75" s="287"/>
      <c r="I75" s="288">
        <v>37647.0</v>
      </c>
      <c r="J75" s="288">
        <v>45355.0</v>
      </c>
      <c r="K75" s="350"/>
      <c r="L75" s="302">
        <f t="shared" si="1"/>
        <v>31</v>
      </c>
      <c r="M75" s="350">
        <v>45717.0</v>
      </c>
      <c r="N75" s="350">
        <v>45747.0</v>
      </c>
      <c r="O75" s="290">
        <f t="shared" si="2"/>
        <v>370</v>
      </c>
      <c r="P75" s="290">
        <f t="shared" si="3"/>
        <v>1850</v>
      </c>
      <c r="Q75" s="290">
        <f t="shared" si="4"/>
        <v>2220</v>
      </c>
    </row>
    <row r="76">
      <c r="A76" s="282" t="s">
        <v>16</v>
      </c>
      <c r="B76" s="283">
        <v>4320.0</v>
      </c>
      <c r="C76" s="289"/>
      <c r="D76" s="285">
        <v>0.0</v>
      </c>
      <c r="E76" s="306" t="s">
        <v>352</v>
      </c>
      <c r="F76" s="282" t="s">
        <v>353</v>
      </c>
      <c r="G76" s="286" t="s">
        <v>354</v>
      </c>
      <c r="H76" s="287"/>
      <c r="I76" s="288">
        <v>36412.0</v>
      </c>
      <c r="J76" s="288">
        <v>45355.0</v>
      </c>
      <c r="K76" s="289"/>
      <c r="L76" s="302">
        <f t="shared" si="1"/>
        <v>31</v>
      </c>
      <c r="M76" s="350">
        <v>45717.0</v>
      </c>
      <c r="N76" s="350">
        <v>45747.0</v>
      </c>
      <c r="O76" s="290">
        <f t="shared" si="2"/>
        <v>370</v>
      </c>
      <c r="P76" s="290">
        <f t="shared" si="3"/>
        <v>1850</v>
      </c>
      <c r="Q76" s="290">
        <f t="shared" si="4"/>
        <v>2220</v>
      </c>
    </row>
    <row r="77">
      <c r="A77" s="282" t="s">
        <v>16</v>
      </c>
      <c r="B77" s="283">
        <v>4320.0</v>
      </c>
      <c r="C77" s="289"/>
      <c r="D77" s="285">
        <v>0.0</v>
      </c>
      <c r="E77" s="303" t="s">
        <v>705</v>
      </c>
      <c r="F77" s="295" t="s">
        <v>736</v>
      </c>
      <c r="G77" s="289" t="s">
        <v>707</v>
      </c>
      <c r="H77" s="289"/>
      <c r="I77" s="293">
        <v>36594.0</v>
      </c>
      <c r="J77" s="288">
        <v>45712.0</v>
      </c>
      <c r="K77" s="289"/>
      <c r="L77" s="302">
        <f t="shared" si="1"/>
        <v>31</v>
      </c>
      <c r="M77" s="350">
        <v>45717.0</v>
      </c>
      <c r="N77" s="350">
        <v>45747.0</v>
      </c>
      <c r="O77" s="290">
        <f t="shared" si="2"/>
        <v>370</v>
      </c>
      <c r="P77" s="290">
        <f t="shared" si="3"/>
        <v>1850</v>
      </c>
      <c r="Q77" s="290">
        <f t="shared" si="4"/>
        <v>2220</v>
      </c>
    </row>
    <row r="78">
      <c r="A78" s="282" t="s">
        <v>16</v>
      </c>
      <c r="B78" s="283">
        <v>4320.0</v>
      </c>
      <c r="C78" s="289"/>
      <c r="D78" s="285">
        <v>0.0</v>
      </c>
      <c r="E78" s="306" t="s">
        <v>273</v>
      </c>
      <c r="F78" s="282" t="s">
        <v>274</v>
      </c>
      <c r="G78" s="286" t="s">
        <v>275</v>
      </c>
      <c r="H78" s="287"/>
      <c r="I78" s="288">
        <v>34522.0</v>
      </c>
      <c r="J78" s="288">
        <v>45292.0</v>
      </c>
      <c r="K78" s="289"/>
      <c r="L78" s="302">
        <f t="shared" si="1"/>
        <v>31</v>
      </c>
      <c r="M78" s="350">
        <v>45717.0</v>
      </c>
      <c r="N78" s="350">
        <v>45747.0</v>
      </c>
      <c r="O78" s="290">
        <f t="shared" si="2"/>
        <v>370</v>
      </c>
      <c r="P78" s="290">
        <f t="shared" si="3"/>
        <v>1850</v>
      </c>
      <c r="Q78" s="290">
        <f t="shared" si="4"/>
        <v>2220</v>
      </c>
    </row>
    <row r="79">
      <c r="A79" s="282" t="s">
        <v>16</v>
      </c>
      <c r="B79" s="283">
        <v>4320.0</v>
      </c>
      <c r="C79" s="289"/>
      <c r="D79" s="285">
        <v>0.0</v>
      </c>
      <c r="E79" s="303" t="s">
        <v>708</v>
      </c>
      <c r="F79" s="295" t="s">
        <v>737</v>
      </c>
      <c r="G79" s="289" t="s">
        <v>710</v>
      </c>
      <c r="H79" s="289"/>
      <c r="I79" s="293">
        <v>37028.0</v>
      </c>
      <c r="J79" s="288">
        <v>45705.0</v>
      </c>
      <c r="K79" s="289"/>
      <c r="L79" s="302">
        <f t="shared" si="1"/>
        <v>31</v>
      </c>
      <c r="M79" s="350">
        <v>45717.0</v>
      </c>
      <c r="N79" s="350">
        <v>45747.0</v>
      </c>
      <c r="O79" s="290">
        <f t="shared" si="2"/>
        <v>370</v>
      </c>
      <c r="P79" s="290">
        <f t="shared" si="3"/>
        <v>1850</v>
      </c>
      <c r="Q79" s="290">
        <f t="shared" si="4"/>
        <v>2220</v>
      </c>
    </row>
    <row r="80">
      <c r="A80" s="282" t="s">
        <v>16</v>
      </c>
      <c r="B80" s="283">
        <v>4320.0</v>
      </c>
      <c r="C80" s="289"/>
      <c r="D80" s="285">
        <v>0.0</v>
      </c>
      <c r="E80" s="306" t="s">
        <v>470</v>
      </c>
      <c r="F80" s="282" t="s">
        <v>528</v>
      </c>
      <c r="G80" s="286" t="s">
        <v>472</v>
      </c>
      <c r="H80" s="287"/>
      <c r="I80" s="288">
        <v>37278.0</v>
      </c>
      <c r="J80" s="288">
        <v>45544.0</v>
      </c>
      <c r="K80" s="289"/>
      <c r="L80" s="302">
        <f t="shared" si="1"/>
        <v>31</v>
      </c>
      <c r="M80" s="350">
        <v>45717.0</v>
      </c>
      <c r="N80" s="350">
        <v>45747.0</v>
      </c>
      <c r="O80" s="290">
        <f t="shared" si="2"/>
        <v>370</v>
      </c>
      <c r="P80" s="290">
        <f t="shared" si="3"/>
        <v>1850</v>
      </c>
      <c r="Q80" s="290">
        <f t="shared" si="4"/>
        <v>2220</v>
      </c>
    </row>
    <row r="81">
      <c r="A81" s="282" t="s">
        <v>16</v>
      </c>
      <c r="B81" s="283">
        <v>4320.0</v>
      </c>
      <c r="C81" s="289"/>
      <c r="D81" s="285">
        <v>0.0</v>
      </c>
      <c r="E81" s="306" t="s">
        <v>495</v>
      </c>
      <c r="F81" s="282" t="s">
        <v>538</v>
      </c>
      <c r="G81" s="286" t="s">
        <v>496</v>
      </c>
      <c r="H81" s="287"/>
      <c r="I81" s="288">
        <v>33452.0</v>
      </c>
      <c r="J81" s="288">
        <v>45628.0</v>
      </c>
      <c r="K81" s="350">
        <v>45728.0</v>
      </c>
      <c r="L81" s="302">
        <f t="shared" si="1"/>
        <v>12</v>
      </c>
      <c r="M81" s="350">
        <v>45717.0</v>
      </c>
      <c r="N81" s="350">
        <v>45728.0</v>
      </c>
      <c r="O81" s="290">
        <f t="shared" si="2"/>
        <v>144</v>
      </c>
      <c r="P81" s="290">
        <f t="shared" si="3"/>
        <v>720</v>
      </c>
      <c r="Q81" s="290">
        <f t="shared" si="4"/>
        <v>864</v>
      </c>
    </row>
    <row r="82">
      <c r="A82" s="282" t="s">
        <v>16</v>
      </c>
      <c r="B82" s="283">
        <v>4320.0</v>
      </c>
      <c r="C82" s="289"/>
      <c r="D82" s="285">
        <v>0.0</v>
      </c>
      <c r="E82" s="306" t="s">
        <v>162</v>
      </c>
      <c r="F82" s="282" t="s">
        <v>163</v>
      </c>
      <c r="G82" s="286" t="s">
        <v>164</v>
      </c>
      <c r="H82" s="287"/>
      <c r="I82" s="288">
        <v>34732.0</v>
      </c>
      <c r="J82" s="288">
        <v>44986.0</v>
      </c>
      <c r="K82" s="289"/>
      <c r="L82" s="302">
        <f t="shared" si="1"/>
        <v>31</v>
      </c>
      <c r="M82" s="350">
        <v>45717.0</v>
      </c>
      <c r="N82" s="350">
        <v>45747.0</v>
      </c>
      <c r="O82" s="290">
        <f t="shared" si="2"/>
        <v>370</v>
      </c>
      <c r="P82" s="290">
        <f t="shared" si="3"/>
        <v>1850</v>
      </c>
      <c r="Q82" s="290">
        <f t="shared" si="4"/>
        <v>2220</v>
      </c>
    </row>
    <row r="83">
      <c r="A83" s="282" t="s">
        <v>16</v>
      </c>
      <c r="B83" s="283">
        <v>4320.0</v>
      </c>
      <c r="C83" s="289"/>
      <c r="D83" s="285">
        <v>0.0</v>
      </c>
      <c r="E83" s="306" t="s">
        <v>549</v>
      </c>
      <c r="F83" s="282" t="s">
        <v>550</v>
      </c>
      <c r="G83" s="286" t="s">
        <v>551</v>
      </c>
      <c r="H83" s="287"/>
      <c r="I83" s="288">
        <v>37636.0</v>
      </c>
      <c r="J83" s="288">
        <v>45663.0</v>
      </c>
      <c r="K83" s="289"/>
      <c r="L83" s="302">
        <f t="shared" si="1"/>
        <v>31</v>
      </c>
      <c r="M83" s="350">
        <v>45717.0</v>
      </c>
      <c r="N83" s="350">
        <v>45747.0</v>
      </c>
      <c r="O83" s="290">
        <f t="shared" si="2"/>
        <v>370</v>
      </c>
      <c r="P83" s="290">
        <f t="shared" si="3"/>
        <v>1850</v>
      </c>
      <c r="Q83" s="290">
        <f t="shared" si="4"/>
        <v>2220</v>
      </c>
    </row>
    <row r="84">
      <c r="A84" s="282" t="s">
        <v>16</v>
      </c>
      <c r="B84" s="283">
        <v>4320.0</v>
      </c>
      <c r="C84" s="289"/>
      <c r="D84" s="285">
        <v>0.0</v>
      </c>
      <c r="E84" s="291" t="s">
        <v>711</v>
      </c>
      <c r="F84" s="295" t="s">
        <v>738</v>
      </c>
      <c r="G84" s="289" t="s">
        <v>713</v>
      </c>
      <c r="H84" s="289"/>
      <c r="I84" s="293">
        <v>34694.0</v>
      </c>
      <c r="J84" s="288">
        <v>45712.0</v>
      </c>
      <c r="K84" s="289"/>
      <c r="L84" s="302">
        <f t="shared" si="1"/>
        <v>31</v>
      </c>
      <c r="M84" s="350">
        <v>45717.0</v>
      </c>
      <c r="N84" s="350">
        <v>45747.0</v>
      </c>
      <c r="O84" s="290">
        <f t="shared" si="2"/>
        <v>370</v>
      </c>
      <c r="P84" s="290">
        <f t="shared" si="3"/>
        <v>1850</v>
      </c>
      <c r="Q84" s="290">
        <f t="shared" si="4"/>
        <v>2220</v>
      </c>
    </row>
    <row r="85">
      <c r="A85" s="282" t="s">
        <v>16</v>
      </c>
      <c r="B85" s="283">
        <v>4320.0</v>
      </c>
      <c r="C85" s="289"/>
      <c r="D85" s="285">
        <v>0.0</v>
      </c>
      <c r="E85" s="306" t="s">
        <v>355</v>
      </c>
      <c r="F85" s="282" t="s">
        <v>356</v>
      </c>
      <c r="G85" s="286" t="s">
        <v>357</v>
      </c>
      <c r="H85" s="287"/>
      <c r="I85" s="288">
        <v>35395.0</v>
      </c>
      <c r="J85" s="288">
        <v>45376.0</v>
      </c>
      <c r="K85" s="289"/>
      <c r="L85" s="302">
        <f t="shared" si="1"/>
        <v>31</v>
      </c>
      <c r="M85" s="350">
        <v>45717.0</v>
      </c>
      <c r="N85" s="350">
        <v>45747.0</v>
      </c>
      <c r="O85" s="290">
        <f t="shared" si="2"/>
        <v>370</v>
      </c>
      <c r="P85" s="290">
        <f t="shared" si="3"/>
        <v>1850</v>
      </c>
      <c r="Q85" s="290">
        <f t="shared" si="4"/>
        <v>2220</v>
      </c>
    </row>
    <row r="86">
      <c r="A86" s="282" t="s">
        <v>16</v>
      </c>
      <c r="B86" s="283">
        <v>4320.0</v>
      </c>
      <c r="C86" s="289"/>
      <c r="D86" s="285">
        <v>0.0</v>
      </c>
      <c r="E86" s="291" t="s">
        <v>714</v>
      </c>
      <c r="F86" s="295" t="s">
        <v>739</v>
      </c>
      <c r="G86" s="289" t="s">
        <v>716</v>
      </c>
      <c r="H86" s="289"/>
      <c r="I86" s="293">
        <v>36514.0</v>
      </c>
      <c r="J86" s="288">
        <v>45698.0</v>
      </c>
      <c r="K86" s="289"/>
      <c r="L86" s="302">
        <f t="shared" si="1"/>
        <v>31</v>
      </c>
      <c r="M86" s="350">
        <v>45717.0</v>
      </c>
      <c r="N86" s="350">
        <v>45747.0</v>
      </c>
      <c r="O86" s="290">
        <f t="shared" si="2"/>
        <v>370</v>
      </c>
      <c r="P86" s="290">
        <f t="shared" si="3"/>
        <v>1850</v>
      </c>
      <c r="Q86" s="290">
        <f t="shared" si="4"/>
        <v>2220</v>
      </c>
    </row>
    <row r="87">
      <c r="A87" s="282" t="s">
        <v>16</v>
      </c>
      <c r="B87" s="283">
        <v>4320.0</v>
      </c>
      <c r="C87" s="289"/>
      <c r="D87" s="285">
        <v>0.0</v>
      </c>
      <c r="E87" s="306" t="s">
        <v>600</v>
      </c>
      <c r="F87" s="282" t="s">
        <v>601</v>
      </c>
      <c r="G87" s="286" t="s">
        <v>602</v>
      </c>
      <c r="H87" s="287"/>
      <c r="I87" s="288">
        <v>29741.0</v>
      </c>
      <c r="J87" s="288">
        <v>45658.0</v>
      </c>
      <c r="K87" s="289"/>
      <c r="L87" s="302">
        <f t="shared" si="1"/>
        <v>31</v>
      </c>
      <c r="M87" s="350">
        <v>45717.0</v>
      </c>
      <c r="N87" s="350">
        <v>45747.0</v>
      </c>
      <c r="O87" s="290">
        <f t="shared" si="2"/>
        <v>370</v>
      </c>
      <c r="P87" s="290">
        <f t="shared" si="3"/>
        <v>1850</v>
      </c>
      <c r="Q87" s="290">
        <f t="shared" si="4"/>
        <v>2220</v>
      </c>
    </row>
    <row r="88">
      <c r="A88" s="282" t="s">
        <v>16</v>
      </c>
      <c r="B88" s="283">
        <v>4320.0</v>
      </c>
      <c r="C88" s="289"/>
      <c r="D88" s="285">
        <v>0.0</v>
      </c>
      <c r="E88" s="306" t="s">
        <v>431</v>
      </c>
      <c r="F88" s="282" t="s">
        <v>377</v>
      </c>
      <c r="G88" s="286" t="s">
        <v>378</v>
      </c>
      <c r="H88" s="287"/>
      <c r="I88" s="294">
        <v>36289.0</v>
      </c>
      <c r="J88" s="288">
        <v>45476.0</v>
      </c>
      <c r="K88" s="289"/>
      <c r="L88" s="302">
        <f t="shared" si="1"/>
        <v>31</v>
      </c>
      <c r="M88" s="350">
        <v>45717.0</v>
      </c>
      <c r="N88" s="350">
        <v>45747.0</v>
      </c>
      <c r="O88" s="290">
        <f t="shared" si="2"/>
        <v>370</v>
      </c>
      <c r="P88" s="290">
        <f t="shared" si="3"/>
        <v>1850</v>
      </c>
      <c r="Q88" s="290">
        <f t="shared" si="4"/>
        <v>2220</v>
      </c>
    </row>
    <row r="89">
      <c r="A89" s="282" t="s">
        <v>16</v>
      </c>
      <c r="B89" s="283">
        <v>4320.0</v>
      </c>
      <c r="C89" s="289"/>
      <c r="D89" s="285">
        <v>0.0</v>
      </c>
      <c r="E89" s="306" t="s">
        <v>183</v>
      </c>
      <c r="F89" s="282" t="s">
        <v>184</v>
      </c>
      <c r="G89" s="286" t="s">
        <v>185</v>
      </c>
      <c r="H89" s="287"/>
      <c r="I89" s="288">
        <v>36979.0</v>
      </c>
      <c r="J89" s="288">
        <v>44907.0</v>
      </c>
      <c r="K89" s="289"/>
      <c r="L89" s="302">
        <f t="shared" si="1"/>
        <v>31</v>
      </c>
      <c r="M89" s="350">
        <v>45717.0</v>
      </c>
      <c r="N89" s="350">
        <v>45747.0</v>
      </c>
      <c r="O89" s="290">
        <f t="shared" si="2"/>
        <v>370</v>
      </c>
      <c r="P89" s="290">
        <f t="shared" si="3"/>
        <v>1850</v>
      </c>
      <c r="Q89" s="290">
        <f t="shared" si="4"/>
        <v>2220</v>
      </c>
    </row>
    <row r="90">
      <c r="A90" s="282" t="s">
        <v>16</v>
      </c>
      <c r="B90" s="283">
        <v>4320.0</v>
      </c>
      <c r="C90" s="289"/>
      <c r="D90" s="285">
        <v>0.0</v>
      </c>
      <c r="E90" s="306" t="s">
        <v>499</v>
      </c>
      <c r="F90" s="282" t="s">
        <v>540</v>
      </c>
      <c r="G90" s="286" t="s">
        <v>500</v>
      </c>
      <c r="H90" s="287"/>
      <c r="I90" s="288">
        <v>36144.0</v>
      </c>
      <c r="J90" s="288">
        <v>45628.0</v>
      </c>
      <c r="K90" s="296"/>
      <c r="L90" s="302">
        <f t="shared" si="1"/>
        <v>31</v>
      </c>
      <c r="M90" s="350">
        <v>45717.0</v>
      </c>
      <c r="N90" s="350">
        <v>45747.0</v>
      </c>
      <c r="O90" s="290">
        <f t="shared" si="2"/>
        <v>370</v>
      </c>
      <c r="P90" s="290">
        <f t="shared" si="3"/>
        <v>1850</v>
      </c>
      <c r="Q90" s="290">
        <f t="shared" si="4"/>
        <v>2220</v>
      </c>
    </row>
    <row r="91">
      <c r="A91" s="282" t="s">
        <v>16</v>
      </c>
      <c r="B91" s="283">
        <v>4320.0</v>
      </c>
      <c r="C91" s="289"/>
      <c r="D91" s="285">
        <v>0.0</v>
      </c>
      <c r="E91" s="306" t="s">
        <v>301</v>
      </c>
      <c r="F91" s="282" t="s">
        <v>302</v>
      </c>
      <c r="G91" s="286" t="s">
        <v>303</v>
      </c>
      <c r="H91" s="287"/>
      <c r="I91" s="288">
        <v>36991.0</v>
      </c>
      <c r="J91" s="288">
        <v>45205.0</v>
      </c>
      <c r="K91" s="289"/>
      <c r="L91" s="302">
        <f t="shared" si="1"/>
        <v>31</v>
      </c>
      <c r="M91" s="350">
        <v>45717.0</v>
      </c>
      <c r="N91" s="350">
        <v>45747.0</v>
      </c>
      <c r="O91" s="290">
        <f t="shared" si="2"/>
        <v>370</v>
      </c>
      <c r="P91" s="290">
        <f t="shared" si="3"/>
        <v>1850</v>
      </c>
      <c r="Q91" s="290">
        <f t="shared" si="4"/>
        <v>2220</v>
      </c>
    </row>
    <row r="92">
      <c r="A92" s="282" t="s">
        <v>16</v>
      </c>
      <c r="B92" s="283">
        <v>4320.0</v>
      </c>
      <c r="C92" s="289"/>
      <c r="D92" s="285">
        <v>0.0</v>
      </c>
      <c r="E92" s="306" t="s">
        <v>432</v>
      </c>
      <c r="F92" s="282" t="s">
        <v>521</v>
      </c>
      <c r="G92" s="286" t="s">
        <v>433</v>
      </c>
      <c r="H92" s="287"/>
      <c r="I92" s="288">
        <v>34504.0</v>
      </c>
      <c r="J92" s="288">
        <v>45481.0</v>
      </c>
      <c r="K92" s="289"/>
      <c r="L92" s="302">
        <f t="shared" si="1"/>
        <v>31</v>
      </c>
      <c r="M92" s="350">
        <v>45717.0</v>
      </c>
      <c r="N92" s="350">
        <v>45747.0</v>
      </c>
      <c r="O92" s="290">
        <f t="shared" si="2"/>
        <v>370</v>
      </c>
      <c r="P92" s="290">
        <f t="shared" si="3"/>
        <v>1850</v>
      </c>
      <c r="Q92" s="290">
        <f t="shared" si="4"/>
        <v>2220</v>
      </c>
    </row>
    <row r="93">
      <c r="A93" s="282" t="s">
        <v>16</v>
      </c>
      <c r="B93" s="283">
        <v>4320.0</v>
      </c>
      <c r="C93" s="289"/>
      <c r="D93" s="285">
        <v>0.0</v>
      </c>
      <c r="E93" s="306" t="s">
        <v>434</v>
      </c>
      <c r="F93" s="282" t="s">
        <v>522</v>
      </c>
      <c r="G93" s="286" t="s">
        <v>435</v>
      </c>
      <c r="H93" s="287"/>
      <c r="I93" s="288">
        <v>37446.0</v>
      </c>
      <c r="J93" s="288">
        <v>45495.0</v>
      </c>
      <c r="K93" s="289"/>
      <c r="L93" s="302">
        <f t="shared" si="1"/>
        <v>31</v>
      </c>
      <c r="M93" s="350">
        <v>45717.0</v>
      </c>
      <c r="N93" s="350">
        <v>45747.0</v>
      </c>
      <c r="O93" s="290">
        <f t="shared" si="2"/>
        <v>370</v>
      </c>
      <c r="P93" s="290">
        <f t="shared" si="3"/>
        <v>1850</v>
      </c>
      <c r="Q93" s="290">
        <f t="shared" si="4"/>
        <v>2220</v>
      </c>
    </row>
    <row r="94">
      <c r="A94" s="282" t="s">
        <v>16</v>
      </c>
      <c r="B94" s="283">
        <v>4320.0</v>
      </c>
      <c r="C94" s="289"/>
      <c r="D94" s="285">
        <v>0.0</v>
      </c>
      <c r="E94" s="306" t="s">
        <v>460</v>
      </c>
      <c r="F94" s="282" t="s">
        <v>523</v>
      </c>
      <c r="G94" s="286" t="s">
        <v>461</v>
      </c>
      <c r="H94" s="287"/>
      <c r="I94" s="288">
        <v>36856.0</v>
      </c>
      <c r="J94" s="288">
        <v>45505.0</v>
      </c>
      <c r="K94" s="296"/>
      <c r="L94" s="302">
        <f t="shared" si="1"/>
        <v>31</v>
      </c>
      <c r="M94" s="350">
        <v>45717.0</v>
      </c>
      <c r="N94" s="350">
        <v>45747.0</v>
      </c>
      <c r="O94" s="290">
        <f t="shared" si="2"/>
        <v>370</v>
      </c>
      <c r="P94" s="290">
        <f t="shared" si="3"/>
        <v>1850</v>
      </c>
      <c r="Q94" s="290">
        <f t="shared" si="4"/>
        <v>2220</v>
      </c>
    </row>
    <row r="95">
      <c r="A95" s="282" t="s">
        <v>16</v>
      </c>
      <c r="B95" s="283">
        <v>4320.0</v>
      </c>
      <c r="C95" s="289"/>
      <c r="D95" s="285">
        <v>0.0</v>
      </c>
      <c r="E95" s="306" t="s">
        <v>462</v>
      </c>
      <c r="F95" s="282" t="s">
        <v>526</v>
      </c>
      <c r="G95" s="286" t="s">
        <v>463</v>
      </c>
      <c r="H95" s="287"/>
      <c r="I95" s="288">
        <v>34588.0</v>
      </c>
      <c r="J95" s="288">
        <v>45530.0</v>
      </c>
      <c r="K95" s="289"/>
      <c r="L95" s="302">
        <f t="shared" si="1"/>
        <v>31</v>
      </c>
      <c r="M95" s="350">
        <v>45717.0</v>
      </c>
      <c r="N95" s="350">
        <v>45747.0</v>
      </c>
      <c r="O95" s="290">
        <f t="shared" si="2"/>
        <v>370</v>
      </c>
      <c r="P95" s="290">
        <f t="shared" si="3"/>
        <v>1850</v>
      </c>
      <c r="Q95" s="290">
        <f t="shared" si="4"/>
        <v>2220</v>
      </c>
    </row>
    <row r="96">
      <c r="A96" s="282" t="s">
        <v>16</v>
      </c>
      <c r="B96" s="283">
        <v>4320.0</v>
      </c>
      <c r="C96" s="289"/>
      <c r="D96" s="285">
        <v>0.0</v>
      </c>
      <c r="E96" s="306" t="s">
        <v>423</v>
      </c>
      <c r="F96" s="282" t="s">
        <v>524</v>
      </c>
      <c r="G96" s="286" t="s">
        <v>424</v>
      </c>
      <c r="H96" s="287"/>
      <c r="I96" s="288">
        <v>37818.0</v>
      </c>
      <c r="J96" s="288">
        <v>45467.0</v>
      </c>
      <c r="K96" s="289"/>
      <c r="L96" s="302">
        <f t="shared" si="1"/>
        <v>31</v>
      </c>
      <c r="M96" s="350">
        <v>45717.0</v>
      </c>
      <c r="N96" s="350">
        <v>45747.0</v>
      </c>
      <c r="O96" s="290">
        <f t="shared" si="2"/>
        <v>370</v>
      </c>
      <c r="P96" s="290">
        <f t="shared" si="3"/>
        <v>1850</v>
      </c>
      <c r="Q96" s="290">
        <f t="shared" si="4"/>
        <v>2220</v>
      </c>
    </row>
    <row r="97">
      <c r="A97" s="282" t="s">
        <v>16</v>
      </c>
      <c r="B97" s="283">
        <v>4320.0</v>
      </c>
      <c r="C97" s="289"/>
      <c r="D97" s="285">
        <v>0.0</v>
      </c>
      <c r="E97" s="306" t="s">
        <v>213</v>
      </c>
      <c r="F97" s="282" t="s">
        <v>214</v>
      </c>
      <c r="G97" s="286" t="s">
        <v>215</v>
      </c>
      <c r="H97" s="287"/>
      <c r="I97" s="288">
        <v>36797.0</v>
      </c>
      <c r="J97" s="288">
        <v>44886.0</v>
      </c>
      <c r="K97" s="289"/>
      <c r="L97" s="302">
        <f t="shared" si="1"/>
        <v>31</v>
      </c>
      <c r="M97" s="350">
        <v>45717.0</v>
      </c>
      <c r="N97" s="350">
        <v>45747.0</v>
      </c>
      <c r="O97" s="290">
        <f t="shared" si="2"/>
        <v>370</v>
      </c>
      <c r="P97" s="290">
        <f t="shared" si="3"/>
        <v>1850</v>
      </c>
      <c r="Q97" s="290">
        <f t="shared" si="4"/>
        <v>2220</v>
      </c>
    </row>
    <row r="98">
      <c r="A98" s="282" t="s">
        <v>16</v>
      </c>
      <c r="B98" s="283">
        <v>4320.0</v>
      </c>
      <c r="C98" s="289"/>
      <c r="D98" s="285">
        <v>0.0</v>
      </c>
      <c r="E98" s="291" t="s">
        <v>717</v>
      </c>
      <c r="F98" s="292" t="s">
        <v>718</v>
      </c>
      <c r="G98" s="289" t="s">
        <v>719</v>
      </c>
      <c r="H98" s="289"/>
      <c r="I98" s="293">
        <v>36505.0</v>
      </c>
      <c r="J98" s="288">
        <v>45712.0</v>
      </c>
      <c r="K98" s="289"/>
      <c r="L98" s="302">
        <f t="shared" si="1"/>
        <v>31</v>
      </c>
      <c r="M98" s="350">
        <v>45717.0</v>
      </c>
      <c r="N98" s="350">
        <v>45747.0</v>
      </c>
      <c r="O98" s="290">
        <f t="shared" si="2"/>
        <v>370</v>
      </c>
      <c r="P98" s="290">
        <f t="shared" si="3"/>
        <v>1850</v>
      </c>
      <c r="Q98" s="290">
        <f t="shared" si="4"/>
        <v>2220</v>
      </c>
    </row>
    <row r="99">
      <c r="A99" s="282" t="s">
        <v>16</v>
      </c>
      <c r="B99" s="283">
        <v>4320.0</v>
      </c>
      <c r="C99" s="289"/>
      <c r="D99" s="285">
        <v>0.0</v>
      </c>
      <c r="E99" s="306" t="s">
        <v>588</v>
      </c>
      <c r="F99" s="282" t="s">
        <v>589</v>
      </c>
      <c r="G99" s="286" t="s">
        <v>590</v>
      </c>
      <c r="H99" s="287"/>
      <c r="I99" s="288">
        <v>34190.0</v>
      </c>
      <c r="J99" s="288">
        <v>45684.0</v>
      </c>
      <c r="K99" s="296"/>
      <c r="L99" s="302">
        <f t="shared" si="1"/>
        <v>31</v>
      </c>
      <c r="M99" s="350">
        <v>45717.0</v>
      </c>
      <c r="N99" s="350">
        <v>45747.0</v>
      </c>
      <c r="O99" s="290">
        <f t="shared" si="2"/>
        <v>370</v>
      </c>
      <c r="P99" s="290">
        <f t="shared" si="3"/>
        <v>1850</v>
      </c>
      <c r="Q99" s="290">
        <f t="shared" si="4"/>
        <v>2220</v>
      </c>
    </row>
    <row r="100">
      <c r="A100" s="282" t="s">
        <v>16</v>
      </c>
      <c r="B100" s="283">
        <v>4320.0</v>
      </c>
      <c r="C100" s="289"/>
      <c r="D100" s="285">
        <v>0.0</v>
      </c>
      <c r="E100" s="306" t="s">
        <v>427</v>
      </c>
      <c r="F100" s="282" t="s">
        <v>525</v>
      </c>
      <c r="G100" s="286" t="s">
        <v>428</v>
      </c>
      <c r="H100" s="287"/>
      <c r="I100" s="288">
        <v>36451.0</v>
      </c>
      <c r="J100" s="288">
        <v>45453.0</v>
      </c>
      <c r="K100" s="289"/>
      <c r="L100" s="302">
        <f t="shared" si="1"/>
        <v>31</v>
      </c>
      <c r="M100" s="350">
        <v>45717.0</v>
      </c>
      <c r="N100" s="350">
        <v>45747.0</v>
      </c>
      <c r="O100" s="290">
        <f t="shared" si="2"/>
        <v>370</v>
      </c>
      <c r="P100" s="290">
        <f t="shared" si="3"/>
        <v>1850</v>
      </c>
      <c r="Q100" s="290">
        <f t="shared" si="4"/>
        <v>2220</v>
      </c>
    </row>
    <row r="101">
      <c r="A101" s="282" t="s">
        <v>16</v>
      </c>
      <c r="B101" s="283">
        <v>4320.0</v>
      </c>
      <c r="C101" s="289"/>
      <c r="D101" s="285">
        <v>0.0</v>
      </c>
      <c r="E101" s="306" t="s">
        <v>493</v>
      </c>
      <c r="F101" s="282" t="s">
        <v>532</v>
      </c>
      <c r="G101" s="286" t="s">
        <v>494</v>
      </c>
      <c r="H101" s="287"/>
      <c r="I101" s="288">
        <v>36208.0</v>
      </c>
      <c r="J101" s="288">
        <v>45602.0</v>
      </c>
      <c r="K101" s="289"/>
      <c r="L101" s="302">
        <f t="shared" si="1"/>
        <v>31</v>
      </c>
      <c r="M101" s="350">
        <v>45717.0</v>
      </c>
      <c r="N101" s="350">
        <v>45747.0</v>
      </c>
      <c r="O101" s="290">
        <f t="shared" si="2"/>
        <v>370</v>
      </c>
      <c r="P101" s="290">
        <f t="shared" si="3"/>
        <v>1850</v>
      </c>
      <c r="Q101" s="290">
        <f t="shared" si="4"/>
        <v>2220</v>
      </c>
    </row>
    <row r="102">
      <c r="A102" s="282" t="s">
        <v>16</v>
      </c>
      <c r="B102" s="283">
        <v>4320.0</v>
      </c>
      <c r="C102" s="289"/>
      <c r="D102" s="285">
        <v>0.0</v>
      </c>
      <c r="E102" s="306" t="s">
        <v>222</v>
      </c>
      <c r="F102" s="282" t="s">
        <v>223</v>
      </c>
      <c r="G102" s="286" t="s">
        <v>224</v>
      </c>
      <c r="H102" s="287"/>
      <c r="I102" s="288">
        <v>35818.0</v>
      </c>
      <c r="J102" s="288">
        <v>45089.0</v>
      </c>
      <c r="K102" s="350">
        <v>45747.0</v>
      </c>
      <c r="L102" s="302">
        <f t="shared" si="1"/>
        <v>31</v>
      </c>
      <c r="M102" s="350">
        <v>45717.0</v>
      </c>
      <c r="N102" s="350">
        <v>45747.0</v>
      </c>
      <c r="O102" s="290">
        <f t="shared" si="2"/>
        <v>370</v>
      </c>
      <c r="P102" s="290">
        <f t="shared" si="3"/>
        <v>1850</v>
      </c>
      <c r="Q102" s="290">
        <f t="shared" si="4"/>
        <v>2220</v>
      </c>
    </row>
    <row r="103">
      <c r="A103" s="282" t="s">
        <v>16</v>
      </c>
      <c r="B103" s="283">
        <v>4320.0</v>
      </c>
      <c r="C103" s="289"/>
      <c r="D103" s="285">
        <v>0.0</v>
      </c>
      <c r="E103" s="306" t="s">
        <v>585</v>
      </c>
      <c r="F103" s="282" t="s">
        <v>586</v>
      </c>
      <c r="G103" s="286" t="s">
        <v>587</v>
      </c>
      <c r="H103" s="287"/>
      <c r="I103" s="288">
        <v>35827.0</v>
      </c>
      <c r="J103" s="288">
        <v>45684.0</v>
      </c>
      <c r="K103" s="289"/>
      <c r="L103" s="302">
        <f t="shared" si="1"/>
        <v>31</v>
      </c>
      <c r="M103" s="350">
        <v>45717.0</v>
      </c>
      <c r="N103" s="350">
        <v>45747.0</v>
      </c>
      <c r="O103" s="290">
        <f t="shared" si="2"/>
        <v>370</v>
      </c>
      <c r="P103" s="290">
        <f t="shared" si="3"/>
        <v>1850</v>
      </c>
      <c r="Q103" s="290">
        <f t="shared" si="4"/>
        <v>2220</v>
      </c>
    </row>
    <row r="104">
      <c r="A104" s="282" t="s">
        <v>16</v>
      </c>
      <c r="B104" s="283">
        <v>4320.0</v>
      </c>
      <c r="C104" s="289"/>
      <c r="D104" s="285">
        <v>0.0</v>
      </c>
      <c r="E104" s="306" t="s">
        <v>225</v>
      </c>
      <c r="F104" s="282" t="s">
        <v>226</v>
      </c>
      <c r="G104" s="286" t="s">
        <v>227</v>
      </c>
      <c r="H104" s="287"/>
      <c r="I104" s="288">
        <v>36177.0</v>
      </c>
      <c r="J104" s="288">
        <v>45320.0</v>
      </c>
      <c r="K104" s="289"/>
      <c r="L104" s="302">
        <f t="shared" si="1"/>
        <v>31</v>
      </c>
      <c r="M104" s="350">
        <v>45717.0</v>
      </c>
      <c r="N104" s="350">
        <v>45747.0</v>
      </c>
      <c r="O104" s="290">
        <f t="shared" si="2"/>
        <v>370</v>
      </c>
      <c r="P104" s="290">
        <f t="shared" si="3"/>
        <v>1850</v>
      </c>
      <c r="Q104" s="290">
        <f t="shared" si="4"/>
        <v>2220</v>
      </c>
    </row>
    <row r="105">
      <c r="A105" s="353" t="s">
        <v>16</v>
      </c>
      <c r="B105" s="354">
        <v>4320.0</v>
      </c>
      <c r="C105" s="355"/>
      <c r="D105" s="354" t="s">
        <v>740</v>
      </c>
      <c r="E105" s="353" t="s">
        <v>741</v>
      </c>
      <c r="F105" s="356" t="s">
        <v>742</v>
      </c>
      <c r="G105" s="353" t="s">
        <v>743</v>
      </c>
      <c r="H105" s="355"/>
      <c r="I105" s="357">
        <v>37329.0</v>
      </c>
      <c r="J105" s="357">
        <v>45719.0</v>
      </c>
      <c r="K105" s="355"/>
      <c r="L105" s="302">
        <f t="shared" si="1"/>
        <v>29</v>
      </c>
      <c r="M105" s="357">
        <v>45719.0</v>
      </c>
      <c r="N105" s="357">
        <v>45747.0</v>
      </c>
      <c r="O105" s="290">
        <f t="shared" si="2"/>
        <v>347</v>
      </c>
      <c r="P105" s="290">
        <f t="shared" si="3"/>
        <v>1735</v>
      </c>
      <c r="Q105" s="358">
        <f t="shared" si="4"/>
        <v>2082</v>
      </c>
      <c r="R105" s="359"/>
      <c r="S105" s="360"/>
      <c r="T105" s="360"/>
      <c r="U105" s="360"/>
      <c r="V105" s="360"/>
      <c r="W105" s="360"/>
      <c r="X105" s="360"/>
    </row>
    <row r="106">
      <c r="A106" s="353" t="s">
        <v>16</v>
      </c>
      <c r="B106" s="354">
        <v>4320.0</v>
      </c>
      <c r="C106" s="355"/>
      <c r="D106" s="354" t="s">
        <v>740</v>
      </c>
      <c r="E106" s="353" t="s">
        <v>744</v>
      </c>
      <c r="F106" s="356" t="s">
        <v>745</v>
      </c>
      <c r="G106" s="353" t="s">
        <v>746</v>
      </c>
      <c r="H106" s="355"/>
      <c r="I106" s="357">
        <v>37479.0</v>
      </c>
      <c r="J106" s="357">
        <v>45726.0</v>
      </c>
      <c r="K106" s="355"/>
      <c r="L106" s="302">
        <f t="shared" si="1"/>
        <v>22</v>
      </c>
      <c r="M106" s="357">
        <v>45726.0</v>
      </c>
      <c r="N106" s="357">
        <v>45747.0</v>
      </c>
      <c r="O106" s="290">
        <f t="shared" si="2"/>
        <v>263</v>
      </c>
      <c r="P106" s="290">
        <f t="shared" si="3"/>
        <v>1315</v>
      </c>
      <c r="Q106" s="358">
        <f t="shared" si="4"/>
        <v>1578</v>
      </c>
      <c r="R106" s="359"/>
      <c r="S106" s="360"/>
      <c r="T106" s="360"/>
      <c r="U106" s="360"/>
      <c r="V106" s="360"/>
      <c r="W106" s="360"/>
      <c r="X106" s="360"/>
    </row>
    <row r="107">
      <c r="A107" s="353" t="s">
        <v>16</v>
      </c>
      <c r="B107" s="354">
        <v>4320.0</v>
      </c>
      <c r="C107" s="355"/>
      <c r="D107" s="354" t="s">
        <v>740</v>
      </c>
      <c r="E107" s="353" t="s">
        <v>747</v>
      </c>
      <c r="F107" s="361" t="s">
        <v>748</v>
      </c>
      <c r="G107" s="353" t="s">
        <v>749</v>
      </c>
      <c r="H107" s="355"/>
      <c r="I107" s="357">
        <v>37314.0</v>
      </c>
      <c r="J107" s="357">
        <v>45733.0</v>
      </c>
      <c r="K107" s="355"/>
      <c r="L107" s="302">
        <f t="shared" si="1"/>
        <v>15</v>
      </c>
      <c r="M107" s="357">
        <v>45733.0</v>
      </c>
      <c r="N107" s="357">
        <v>45747.0</v>
      </c>
      <c r="O107" s="290">
        <f t="shared" si="2"/>
        <v>180</v>
      </c>
      <c r="P107" s="290">
        <f t="shared" si="3"/>
        <v>900</v>
      </c>
      <c r="Q107" s="358">
        <f t="shared" si="4"/>
        <v>1080</v>
      </c>
      <c r="R107" s="359"/>
      <c r="S107" s="360"/>
      <c r="T107" s="360"/>
      <c r="U107" s="360"/>
      <c r="V107" s="360"/>
      <c r="W107" s="360"/>
      <c r="X107" s="360"/>
    </row>
    <row r="108">
      <c r="A108" s="353" t="s">
        <v>16</v>
      </c>
      <c r="B108" s="354">
        <v>4320.0</v>
      </c>
      <c r="C108" s="355"/>
      <c r="D108" s="354" t="s">
        <v>740</v>
      </c>
      <c r="E108" s="353" t="s">
        <v>750</v>
      </c>
      <c r="F108" s="361" t="s">
        <v>751</v>
      </c>
      <c r="G108" s="353" t="s">
        <v>752</v>
      </c>
      <c r="H108" s="355"/>
      <c r="I108" s="357">
        <v>36581.0</v>
      </c>
      <c r="J108" s="357">
        <v>45740.0</v>
      </c>
      <c r="K108" s="355"/>
      <c r="L108" s="302">
        <f t="shared" si="1"/>
        <v>8</v>
      </c>
      <c r="M108" s="357">
        <v>45740.0</v>
      </c>
      <c r="N108" s="357">
        <v>45747.0</v>
      </c>
      <c r="O108" s="290">
        <f t="shared" si="2"/>
        <v>96</v>
      </c>
      <c r="P108" s="290">
        <f t="shared" si="3"/>
        <v>480</v>
      </c>
      <c r="Q108" s="358">
        <f t="shared" si="4"/>
        <v>576</v>
      </c>
      <c r="R108" s="359"/>
      <c r="S108" s="360"/>
      <c r="T108" s="360"/>
      <c r="U108" s="360"/>
      <c r="V108" s="360"/>
      <c r="W108" s="360"/>
      <c r="X108" s="360"/>
    </row>
    <row r="109">
      <c r="A109" s="307"/>
      <c r="B109" s="307"/>
      <c r="C109" s="307"/>
      <c r="D109" s="308"/>
      <c r="E109" s="309"/>
      <c r="F109" s="307"/>
      <c r="G109" s="307"/>
      <c r="H109" s="307"/>
      <c r="I109" s="307"/>
      <c r="J109" s="307"/>
      <c r="K109" s="307"/>
      <c r="L109" s="307"/>
      <c r="M109" s="307"/>
      <c r="N109" s="307"/>
      <c r="O109" s="362">
        <f>SUM(O2:O108)</f>
        <v>38043</v>
      </c>
      <c r="P109" s="362">
        <f t="shared" ref="P109:Q109" si="5">sum(P2:P108)</f>
        <v>190215</v>
      </c>
      <c r="Q109" s="363">
        <f t="shared" si="5"/>
        <v>228258</v>
      </c>
    </row>
    <row r="110">
      <c r="D110" s="310"/>
      <c r="E110" s="311"/>
      <c r="L110" s="364">
        <f>SUM(L2:L108)</f>
        <v>3187</v>
      </c>
    </row>
    <row r="111">
      <c r="D111" s="310"/>
      <c r="E111" s="311"/>
      <c r="L111" s="365">
        <f>'To be uploaded March 2025'!L198-L110</f>
        <v>0</v>
      </c>
    </row>
    <row r="112">
      <c r="D112" s="310"/>
      <c r="E112" s="311"/>
      <c r="N112" s="53">
        <v>38038.38709677419</v>
      </c>
      <c r="O112" s="53">
        <f>N112-O109</f>
        <v>-4.612903226</v>
      </c>
    </row>
    <row r="113">
      <c r="D113" s="310"/>
      <c r="E113" s="311"/>
    </row>
    <row r="114">
      <c r="D114" s="310"/>
      <c r="E114" s="311"/>
    </row>
    <row r="115">
      <c r="D115" s="310"/>
      <c r="E115" s="311"/>
    </row>
    <row r="116">
      <c r="D116" s="310"/>
      <c r="E116" s="311"/>
    </row>
    <row r="117">
      <c r="D117" s="310"/>
      <c r="E117" s="311"/>
    </row>
    <row r="118">
      <c r="D118" s="310"/>
      <c r="E118" s="311"/>
    </row>
    <row r="119">
      <c r="D119" s="310"/>
      <c r="E119" s="311"/>
    </row>
    <row r="120">
      <c r="D120" s="310"/>
      <c r="E120" s="311"/>
    </row>
    <row r="121">
      <c r="D121" s="310"/>
      <c r="E121" s="311"/>
    </row>
    <row r="122">
      <c r="D122" s="310"/>
      <c r="E122" s="311"/>
    </row>
    <row r="123">
      <c r="D123" s="310"/>
      <c r="E123" s="311"/>
    </row>
    <row r="124">
      <c r="D124" s="310"/>
      <c r="E124" s="311"/>
    </row>
    <row r="125">
      <c r="D125" s="310"/>
      <c r="E125" s="311"/>
    </row>
    <row r="126">
      <c r="D126" s="310"/>
      <c r="E126" s="311"/>
    </row>
    <row r="127">
      <c r="D127" s="310"/>
      <c r="E127" s="311"/>
    </row>
    <row r="128">
      <c r="D128" s="310"/>
      <c r="E128" s="311"/>
    </row>
    <row r="129">
      <c r="D129" s="310"/>
      <c r="E129" s="311"/>
    </row>
    <row r="130">
      <c r="D130" s="310"/>
      <c r="E130" s="311"/>
    </row>
    <row r="131">
      <c r="D131" s="310"/>
      <c r="E131" s="311"/>
    </row>
    <row r="132">
      <c r="D132" s="310"/>
      <c r="E132" s="311"/>
    </row>
    <row r="133">
      <c r="D133" s="310"/>
      <c r="E133" s="311"/>
    </row>
    <row r="134">
      <c r="D134" s="310"/>
      <c r="E134" s="311"/>
    </row>
    <row r="135">
      <c r="D135" s="310"/>
      <c r="E135" s="311"/>
    </row>
    <row r="136">
      <c r="D136" s="310"/>
      <c r="E136" s="311"/>
    </row>
    <row r="137">
      <c r="D137" s="310"/>
      <c r="E137" s="311"/>
    </row>
    <row r="138">
      <c r="D138" s="310"/>
      <c r="E138" s="311"/>
    </row>
    <row r="139">
      <c r="D139" s="310"/>
      <c r="E139" s="311"/>
    </row>
    <row r="140">
      <c r="D140" s="310"/>
      <c r="E140" s="311"/>
    </row>
    <row r="141">
      <c r="D141" s="310"/>
      <c r="E141" s="311"/>
    </row>
    <row r="142">
      <c r="D142" s="310"/>
      <c r="E142" s="311"/>
    </row>
    <row r="143">
      <c r="D143" s="310"/>
      <c r="E143" s="311"/>
    </row>
    <row r="144">
      <c r="D144" s="310"/>
      <c r="E144" s="311"/>
    </row>
    <row r="145">
      <c r="D145" s="310"/>
      <c r="E145" s="311"/>
    </row>
    <row r="146">
      <c r="D146" s="310"/>
      <c r="E146" s="311"/>
    </row>
    <row r="147">
      <c r="D147" s="310"/>
      <c r="E147" s="311"/>
    </row>
    <row r="148">
      <c r="D148" s="310"/>
      <c r="E148" s="311"/>
    </row>
    <row r="149">
      <c r="D149" s="310"/>
      <c r="E149" s="311"/>
    </row>
    <row r="150">
      <c r="D150" s="310"/>
      <c r="E150" s="311"/>
    </row>
    <row r="151">
      <c r="D151" s="310"/>
      <c r="E151" s="311"/>
    </row>
    <row r="152">
      <c r="D152" s="310"/>
      <c r="E152" s="311"/>
    </row>
    <row r="153">
      <c r="D153" s="310"/>
      <c r="E153" s="311"/>
    </row>
    <row r="154">
      <c r="D154" s="310"/>
      <c r="E154" s="311"/>
    </row>
    <row r="155">
      <c r="D155" s="310"/>
      <c r="E155" s="311"/>
    </row>
    <row r="156">
      <c r="D156" s="310"/>
      <c r="E156" s="311"/>
    </row>
    <row r="157">
      <c r="D157" s="310"/>
      <c r="E157" s="311"/>
    </row>
    <row r="158">
      <c r="D158" s="310"/>
      <c r="E158" s="311"/>
    </row>
    <row r="159">
      <c r="D159" s="310"/>
      <c r="E159" s="311"/>
    </row>
    <row r="160">
      <c r="D160" s="310"/>
      <c r="E160" s="311"/>
    </row>
    <row r="161">
      <c r="D161" s="310"/>
      <c r="E161" s="311"/>
    </row>
    <row r="162">
      <c r="D162" s="310"/>
      <c r="E162" s="311"/>
    </row>
    <row r="163">
      <c r="D163" s="310"/>
      <c r="E163" s="311"/>
    </row>
    <row r="164">
      <c r="D164" s="310"/>
      <c r="E164" s="311"/>
    </row>
    <row r="165">
      <c r="D165" s="310"/>
      <c r="E165" s="311"/>
    </row>
    <row r="166">
      <c r="D166" s="310"/>
      <c r="E166" s="311"/>
    </row>
    <row r="167">
      <c r="D167" s="310"/>
      <c r="E167" s="311"/>
    </row>
    <row r="168">
      <c r="D168" s="310"/>
      <c r="E168" s="311"/>
    </row>
    <row r="169">
      <c r="D169" s="310"/>
      <c r="E169" s="311"/>
    </row>
    <row r="170">
      <c r="D170" s="310"/>
      <c r="E170" s="311"/>
    </row>
    <row r="171">
      <c r="D171" s="310"/>
      <c r="E171" s="311"/>
    </row>
    <row r="172">
      <c r="D172" s="310"/>
      <c r="E172" s="311"/>
    </row>
    <row r="173">
      <c r="D173" s="310"/>
      <c r="E173" s="311"/>
    </row>
    <row r="174">
      <c r="D174" s="310"/>
      <c r="E174" s="311"/>
    </row>
    <row r="175">
      <c r="D175" s="310"/>
      <c r="E175" s="311"/>
    </row>
    <row r="176">
      <c r="D176" s="310"/>
      <c r="E176" s="311"/>
    </row>
    <row r="177">
      <c r="D177" s="310"/>
      <c r="E177" s="311"/>
    </row>
    <row r="178">
      <c r="D178" s="310"/>
      <c r="E178" s="311"/>
    </row>
    <row r="179">
      <c r="D179" s="310"/>
      <c r="E179" s="311"/>
    </row>
    <row r="180">
      <c r="D180" s="310"/>
      <c r="E180" s="311"/>
    </row>
    <row r="181">
      <c r="D181" s="310"/>
      <c r="E181" s="311"/>
    </row>
    <row r="182">
      <c r="D182" s="310"/>
      <c r="E182" s="311"/>
    </row>
    <row r="183">
      <c r="D183" s="310"/>
      <c r="E183" s="311"/>
    </row>
    <row r="184">
      <c r="D184" s="310"/>
      <c r="E184" s="311"/>
    </row>
    <row r="185">
      <c r="D185" s="310"/>
      <c r="E185" s="311"/>
    </row>
    <row r="186">
      <c r="D186" s="310"/>
      <c r="E186" s="311"/>
    </row>
    <row r="187">
      <c r="D187" s="310"/>
      <c r="E187" s="311"/>
    </row>
    <row r="188">
      <c r="D188" s="310"/>
      <c r="E188" s="311"/>
    </row>
    <row r="189">
      <c r="D189" s="310"/>
      <c r="E189" s="311"/>
    </row>
    <row r="190">
      <c r="D190" s="310"/>
      <c r="E190" s="311"/>
    </row>
    <row r="191">
      <c r="D191" s="310"/>
      <c r="E191" s="311"/>
    </row>
    <row r="192">
      <c r="D192" s="310"/>
      <c r="E192" s="311"/>
    </row>
    <row r="193">
      <c r="D193" s="310"/>
      <c r="E193" s="311"/>
    </row>
    <row r="194">
      <c r="D194" s="310"/>
      <c r="E194" s="311"/>
    </row>
    <row r="195">
      <c r="D195" s="310"/>
      <c r="E195" s="311"/>
    </row>
    <row r="196">
      <c r="D196" s="310"/>
      <c r="E196" s="311"/>
    </row>
    <row r="197">
      <c r="D197" s="310"/>
      <c r="E197" s="311"/>
    </row>
    <row r="198">
      <c r="D198" s="310"/>
      <c r="E198" s="311"/>
    </row>
    <row r="199">
      <c r="D199" s="310"/>
      <c r="E199" s="311"/>
    </row>
    <row r="200">
      <c r="D200" s="310"/>
      <c r="E200" s="311"/>
    </row>
    <row r="201">
      <c r="D201" s="310"/>
      <c r="E201" s="311"/>
    </row>
    <row r="202">
      <c r="D202" s="310"/>
      <c r="E202" s="311"/>
    </row>
    <row r="203">
      <c r="D203" s="310"/>
      <c r="E203" s="311"/>
    </row>
    <row r="204">
      <c r="D204" s="310"/>
      <c r="E204" s="311"/>
    </row>
    <row r="205">
      <c r="D205" s="310"/>
      <c r="E205" s="311"/>
    </row>
    <row r="206">
      <c r="D206" s="310"/>
      <c r="E206" s="311"/>
    </row>
    <row r="207">
      <c r="D207" s="310"/>
      <c r="E207" s="311"/>
    </row>
    <row r="208">
      <c r="D208" s="310"/>
      <c r="E208" s="311"/>
    </row>
    <row r="209">
      <c r="D209" s="310"/>
      <c r="E209" s="311"/>
    </row>
    <row r="210">
      <c r="D210" s="310"/>
      <c r="E210" s="311"/>
    </row>
    <row r="211">
      <c r="D211" s="310"/>
      <c r="E211" s="311"/>
    </row>
    <row r="212">
      <c r="D212" s="310"/>
      <c r="E212" s="311"/>
    </row>
    <row r="213">
      <c r="D213" s="310"/>
      <c r="E213" s="311"/>
    </row>
    <row r="214">
      <c r="D214" s="310"/>
      <c r="E214" s="311"/>
    </row>
    <row r="215">
      <c r="D215" s="310"/>
      <c r="E215" s="311"/>
    </row>
    <row r="216">
      <c r="D216" s="310"/>
      <c r="E216" s="311"/>
    </row>
    <row r="217">
      <c r="D217" s="310"/>
      <c r="E217" s="311"/>
    </row>
    <row r="218">
      <c r="D218" s="310"/>
      <c r="E218" s="311"/>
    </row>
    <row r="219">
      <c r="D219" s="310"/>
      <c r="E219" s="311"/>
    </row>
    <row r="220">
      <c r="D220" s="310"/>
      <c r="E220" s="311"/>
    </row>
    <row r="221">
      <c r="D221" s="310"/>
      <c r="E221" s="311"/>
    </row>
    <row r="222">
      <c r="D222" s="310"/>
      <c r="E222" s="311"/>
    </row>
    <row r="223">
      <c r="D223" s="310"/>
      <c r="E223" s="311"/>
    </row>
    <row r="224">
      <c r="D224" s="310"/>
      <c r="E224" s="311"/>
    </row>
    <row r="225">
      <c r="D225" s="310"/>
      <c r="E225" s="311"/>
    </row>
    <row r="226">
      <c r="D226" s="310"/>
      <c r="E226" s="311"/>
    </row>
    <row r="227">
      <c r="D227" s="310"/>
      <c r="E227" s="311"/>
    </row>
    <row r="228">
      <c r="D228" s="310"/>
      <c r="E228" s="311"/>
    </row>
    <row r="229">
      <c r="D229" s="310"/>
      <c r="E229" s="311"/>
    </row>
    <row r="230">
      <c r="D230" s="310"/>
      <c r="E230" s="311"/>
    </row>
    <row r="231">
      <c r="D231" s="310"/>
      <c r="E231" s="311"/>
    </row>
    <row r="232">
      <c r="D232" s="310"/>
      <c r="E232" s="311"/>
    </row>
    <row r="233">
      <c r="D233" s="310"/>
      <c r="E233" s="311"/>
    </row>
    <row r="234">
      <c r="D234" s="310"/>
      <c r="E234" s="311"/>
    </row>
    <row r="235">
      <c r="D235" s="310"/>
      <c r="E235" s="311"/>
    </row>
    <row r="236">
      <c r="D236" s="310"/>
      <c r="E236" s="311"/>
    </row>
    <row r="237">
      <c r="D237" s="310"/>
      <c r="E237" s="311"/>
    </row>
    <row r="238">
      <c r="D238" s="310"/>
      <c r="E238" s="311"/>
    </row>
    <row r="239">
      <c r="D239" s="310"/>
      <c r="E239" s="311"/>
    </row>
    <row r="240">
      <c r="D240" s="310"/>
      <c r="E240" s="311"/>
    </row>
    <row r="241">
      <c r="D241" s="310"/>
      <c r="E241" s="311"/>
    </row>
    <row r="242">
      <c r="D242" s="310"/>
      <c r="E242" s="311"/>
    </row>
    <row r="243">
      <c r="D243" s="310"/>
      <c r="E243" s="3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row r="734">
      <c r="D734" s="310"/>
      <c r="E734" s="311"/>
    </row>
    <row r="735">
      <c r="D735" s="310"/>
      <c r="E735" s="311"/>
    </row>
    <row r="736">
      <c r="D736" s="310"/>
      <c r="E736" s="311"/>
    </row>
    <row r="737">
      <c r="D737" s="310"/>
      <c r="E737" s="311"/>
    </row>
    <row r="738">
      <c r="D738" s="310"/>
      <c r="E738" s="311"/>
    </row>
    <row r="739">
      <c r="D739" s="310"/>
      <c r="E739" s="311"/>
    </row>
    <row r="740">
      <c r="D740" s="310"/>
      <c r="E740" s="311"/>
    </row>
    <row r="741">
      <c r="D741" s="310"/>
      <c r="E741" s="311"/>
    </row>
    <row r="742">
      <c r="D742" s="310"/>
      <c r="E742" s="311"/>
    </row>
    <row r="743">
      <c r="D743" s="310"/>
      <c r="E743" s="311"/>
    </row>
    <row r="744">
      <c r="D744" s="310"/>
      <c r="E744" s="311"/>
    </row>
    <row r="745">
      <c r="D745" s="310"/>
      <c r="E745" s="311"/>
    </row>
    <row r="746">
      <c r="D746" s="310"/>
      <c r="E746" s="311"/>
    </row>
    <row r="747">
      <c r="D747" s="310"/>
      <c r="E747" s="311"/>
    </row>
    <row r="748">
      <c r="D748" s="310"/>
      <c r="E748" s="311"/>
    </row>
    <row r="749">
      <c r="D749" s="310"/>
      <c r="E749" s="311"/>
    </row>
    <row r="750">
      <c r="D750" s="310"/>
      <c r="E750" s="311"/>
    </row>
    <row r="751">
      <c r="D751" s="310"/>
      <c r="E751" s="311"/>
    </row>
    <row r="752">
      <c r="D752" s="310"/>
      <c r="E752" s="311"/>
    </row>
    <row r="753">
      <c r="D753" s="310"/>
      <c r="E753" s="311"/>
    </row>
    <row r="754">
      <c r="D754" s="310"/>
      <c r="E754" s="311"/>
    </row>
    <row r="755">
      <c r="D755" s="310"/>
      <c r="E755" s="311"/>
    </row>
    <row r="756">
      <c r="D756" s="310"/>
      <c r="E756" s="311"/>
    </row>
    <row r="757">
      <c r="D757" s="310"/>
      <c r="E757" s="311"/>
    </row>
    <row r="758">
      <c r="D758" s="310"/>
      <c r="E758" s="311"/>
    </row>
    <row r="759">
      <c r="D759" s="310"/>
      <c r="E759" s="311"/>
    </row>
    <row r="760">
      <c r="D760" s="310"/>
      <c r="E760" s="311"/>
    </row>
    <row r="761">
      <c r="D761" s="310"/>
      <c r="E761" s="311"/>
    </row>
    <row r="762">
      <c r="D762" s="310"/>
      <c r="E762" s="311"/>
    </row>
    <row r="763">
      <c r="D763" s="310"/>
      <c r="E763" s="311"/>
    </row>
    <row r="764">
      <c r="D764" s="310"/>
      <c r="E764" s="311"/>
    </row>
    <row r="765">
      <c r="D765" s="310"/>
      <c r="E765" s="311"/>
    </row>
    <row r="766">
      <c r="D766" s="310"/>
      <c r="E766" s="311"/>
    </row>
    <row r="767">
      <c r="D767" s="310"/>
      <c r="E767" s="311"/>
    </row>
    <row r="768">
      <c r="D768" s="310"/>
      <c r="E768" s="311"/>
    </row>
    <row r="769">
      <c r="D769" s="310"/>
      <c r="E769" s="311"/>
    </row>
    <row r="770">
      <c r="D770" s="310"/>
      <c r="E770" s="311"/>
    </row>
    <row r="771">
      <c r="D771" s="310"/>
      <c r="E771" s="311"/>
    </row>
    <row r="772">
      <c r="D772" s="310"/>
      <c r="E772" s="311"/>
    </row>
    <row r="773">
      <c r="D773" s="310"/>
      <c r="E773" s="311"/>
    </row>
    <row r="774">
      <c r="D774" s="310"/>
      <c r="E774" s="311"/>
    </row>
    <row r="775">
      <c r="D775" s="310"/>
      <c r="E775" s="311"/>
    </row>
    <row r="776">
      <c r="D776" s="310"/>
      <c r="E776" s="311"/>
    </row>
    <row r="777">
      <c r="D777" s="310"/>
      <c r="E777" s="311"/>
    </row>
    <row r="778">
      <c r="D778" s="310"/>
      <c r="E778" s="311"/>
    </row>
    <row r="779">
      <c r="D779" s="310"/>
      <c r="E779" s="311"/>
    </row>
    <row r="780">
      <c r="D780" s="310"/>
      <c r="E780" s="311"/>
    </row>
    <row r="781">
      <c r="D781" s="310"/>
      <c r="E781" s="311"/>
    </row>
    <row r="782">
      <c r="D782" s="310"/>
      <c r="E782" s="311"/>
    </row>
    <row r="783">
      <c r="D783" s="310"/>
      <c r="E783" s="311"/>
    </row>
    <row r="784">
      <c r="D784" s="310"/>
      <c r="E784" s="311"/>
    </row>
    <row r="785">
      <c r="D785" s="310"/>
      <c r="E785" s="311"/>
    </row>
    <row r="786">
      <c r="D786" s="310"/>
      <c r="E786" s="311"/>
    </row>
    <row r="787">
      <c r="D787" s="310"/>
      <c r="E787" s="311"/>
    </row>
    <row r="788">
      <c r="D788" s="310"/>
      <c r="E788" s="311"/>
    </row>
    <row r="789">
      <c r="D789" s="310"/>
      <c r="E789" s="311"/>
    </row>
    <row r="790">
      <c r="D790" s="310"/>
      <c r="E790" s="311"/>
    </row>
    <row r="791">
      <c r="D791" s="310"/>
      <c r="E791" s="311"/>
    </row>
    <row r="792">
      <c r="D792" s="310"/>
      <c r="E792" s="311"/>
    </row>
    <row r="793">
      <c r="D793" s="310"/>
      <c r="E793" s="311"/>
    </row>
    <row r="794">
      <c r="D794" s="310"/>
      <c r="E794" s="311"/>
    </row>
    <row r="795">
      <c r="D795" s="310"/>
      <c r="E795" s="311"/>
    </row>
    <row r="796">
      <c r="D796" s="310"/>
      <c r="E796" s="311"/>
    </row>
    <row r="797">
      <c r="D797" s="310"/>
      <c r="E797" s="311"/>
    </row>
    <row r="798">
      <c r="D798" s="310"/>
      <c r="E798" s="311"/>
    </row>
    <row r="799">
      <c r="D799" s="310"/>
      <c r="E799" s="311"/>
    </row>
    <row r="800">
      <c r="D800" s="310"/>
      <c r="E800" s="311"/>
    </row>
    <row r="801">
      <c r="D801" s="310"/>
      <c r="E801" s="311"/>
    </row>
    <row r="802">
      <c r="D802" s="310"/>
      <c r="E802" s="311"/>
    </row>
    <row r="803">
      <c r="D803" s="310"/>
      <c r="E803" s="311"/>
    </row>
    <row r="804">
      <c r="D804" s="310"/>
      <c r="E804" s="311"/>
    </row>
    <row r="805">
      <c r="D805" s="310"/>
      <c r="E805" s="311"/>
    </row>
    <row r="806">
      <c r="D806" s="310"/>
      <c r="E806" s="311"/>
    </row>
    <row r="807">
      <c r="D807" s="310"/>
      <c r="E807" s="311"/>
    </row>
    <row r="808">
      <c r="D808" s="310"/>
      <c r="E808" s="311"/>
    </row>
    <row r="809">
      <c r="D809" s="310"/>
      <c r="E809" s="311"/>
    </row>
    <row r="810">
      <c r="D810" s="310"/>
      <c r="E810" s="311"/>
    </row>
    <row r="811">
      <c r="D811" s="310"/>
      <c r="E811" s="311"/>
    </row>
    <row r="812">
      <c r="D812" s="310"/>
      <c r="E812" s="311"/>
    </row>
    <row r="813">
      <c r="D813" s="310"/>
      <c r="E813" s="311"/>
    </row>
    <row r="814">
      <c r="D814" s="310"/>
      <c r="E814" s="311"/>
    </row>
    <row r="815">
      <c r="D815" s="310"/>
      <c r="E815" s="311"/>
    </row>
    <row r="816">
      <c r="D816" s="310"/>
      <c r="E816" s="311"/>
    </row>
    <row r="817">
      <c r="D817" s="310"/>
      <c r="E817" s="311"/>
    </row>
    <row r="818">
      <c r="D818" s="310"/>
      <c r="E818" s="311"/>
    </row>
    <row r="819">
      <c r="D819" s="310"/>
      <c r="E819" s="311"/>
    </row>
    <row r="820">
      <c r="D820" s="310"/>
      <c r="E820" s="311"/>
    </row>
    <row r="821">
      <c r="D821" s="310"/>
      <c r="E821" s="311"/>
    </row>
    <row r="822">
      <c r="D822" s="310"/>
      <c r="E822" s="311"/>
    </row>
    <row r="823">
      <c r="D823" s="310"/>
      <c r="E823" s="311"/>
    </row>
    <row r="824">
      <c r="D824" s="310"/>
      <c r="E824" s="311"/>
    </row>
    <row r="825">
      <c r="D825" s="310"/>
      <c r="E825" s="311"/>
    </row>
    <row r="826">
      <c r="D826" s="310"/>
      <c r="E826" s="311"/>
    </row>
    <row r="827">
      <c r="D827" s="310"/>
      <c r="E827" s="311"/>
    </row>
    <row r="828">
      <c r="D828" s="310"/>
      <c r="E828" s="311"/>
    </row>
    <row r="829">
      <c r="D829" s="310"/>
      <c r="E829" s="311"/>
    </row>
    <row r="830">
      <c r="D830" s="310"/>
      <c r="E830" s="311"/>
    </row>
    <row r="831">
      <c r="D831" s="310"/>
      <c r="E831" s="311"/>
    </row>
    <row r="832">
      <c r="D832" s="310"/>
      <c r="E832" s="311"/>
    </row>
    <row r="833">
      <c r="D833" s="310"/>
      <c r="E833" s="311"/>
    </row>
    <row r="834">
      <c r="D834" s="310"/>
      <c r="E834" s="311"/>
    </row>
    <row r="835">
      <c r="D835" s="310"/>
      <c r="E835" s="311"/>
    </row>
    <row r="836">
      <c r="D836" s="310"/>
      <c r="E836" s="311"/>
    </row>
    <row r="837">
      <c r="D837" s="310"/>
      <c r="E837" s="311"/>
    </row>
    <row r="838">
      <c r="D838" s="310"/>
      <c r="E838" s="311"/>
    </row>
    <row r="839">
      <c r="D839" s="310"/>
      <c r="E839" s="311"/>
    </row>
    <row r="840">
      <c r="D840" s="310"/>
      <c r="E840" s="311"/>
    </row>
    <row r="841">
      <c r="D841" s="310"/>
      <c r="E841" s="311"/>
    </row>
    <row r="842">
      <c r="D842" s="310"/>
      <c r="E842" s="311"/>
    </row>
    <row r="843">
      <c r="D843" s="310"/>
      <c r="E843" s="311"/>
    </row>
    <row r="844">
      <c r="D844" s="310"/>
      <c r="E844" s="311"/>
    </row>
    <row r="845">
      <c r="D845" s="310"/>
      <c r="E845" s="311"/>
    </row>
    <row r="846">
      <c r="D846" s="310"/>
      <c r="E846" s="311"/>
    </row>
    <row r="847">
      <c r="D847" s="310"/>
      <c r="E847" s="311"/>
    </row>
    <row r="848">
      <c r="D848" s="310"/>
      <c r="E848" s="311"/>
    </row>
    <row r="849">
      <c r="D849" s="310"/>
      <c r="E849" s="311"/>
    </row>
    <row r="850">
      <c r="D850" s="310"/>
      <c r="E850" s="311"/>
    </row>
    <row r="851">
      <c r="D851" s="310"/>
      <c r="E851" s="311"/>
    </row>
    <row r="852">
      <c r="D852" s="310"/>
      <c r="E852" s="311"/>
    </row>
    <row r="853">
      <c r="D853" s="310"/>
      <c r="E853" s="311"/>
    </row>
    <row r="854">
      <c r="D854" s="310"/>
      <c r="E854" s="311"/>
    </row>
    <row r="855">
      <c r="D855" s="310"/>
      <c r="E855" s="311"/>
    </row>
    <row r="856">
      <c r="D856" s="310"/>
      <c r="E856" s="311"/>
    </row>
    <row r="857">
      <c r="D857" s="310"/>
      <c r="E857" s="311"/>
    </row>
    <row r="858">
      <c r="D858" s="310"/>
      <c r="E858" s="311"/>
    </row>
    <row r="859">
      <c r="D859" s="310"/>
      <c r="E859" s="311"/>
    </row>
    <row r="860">
      <c r="D860" s="310"/>
      <c r="E860" s="311"/>
    </row>
    <row r="861">
      <c r="D861" s="310"/>
      <c r="E861" s="311"/>
    </row>
    <row r="862">
      <c r="D862" s="310"/>
      <c r="E862" s="311"/>
    </row>
    <row r="863">
      <c r="D863" s="310"/>
      <c r="E863" s="311"/>
    </row>
    <row r="864">
      <c r="D864" s="310"/>
      <c r="E864" s="311"/>
    </row>
    <row r="865">
      <c r="D865" s="310"/>
      <c r="E865" s="311"/>
    </row>
  </sheetData>
  <mergeCells count="93">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4:H74"/>
    <mergeCell ref="G75:H75"/>
    <mergeCell ref="G76:H76"/>
    <mergeCell ref="G78:H78"/>
    <mergeCell ref="G80:H80"/>
    <mergeCell ref="G81:H81"/>
    <mergeCell ref="G82:H82"/>
    <mergeCell ref="G83:H83"/>
    <mergeCell ref="G85:H85"/>
    <mergeCell ref="G87:H87"/>
    <mergeCell ref="G88:H88"/>
    <mergeCell ref="G89:H89"/>
    <mergeCell ref="G90:H90"/>
    <mergeCell ref="G91:H91"/>
    <mergeCell ref="G92:H92"/>
    <mergeCell ref="G93:H93"/>
    <mergeCell ref="G94:H94"/>
    <mergeCell ref="G103:H103"/>
    <mergeCell ref="G104:H104"/>
    <mergeCell ref="G95:H95"/>
    <mergeCell ref="G96:H96"/>
    <mergeCell ref="G97:H97"/>
    <mergeCell ref="G99:H99"/>
    <mergeCell ref="G100:H100"/>
    <mergeCell ref="G101:H101"/>
    <mergeCell ref="G102:H102"/>
    <mergeCell ref="G2:H2"/>
    <mergeCell ref="G3:H3"/>
    <mergeCell ref="G4:H4"/>
    <mergeCell ref="G5:H5"/>
    <mergeCell ref="G6:H6"/>
    <mergeCell ref="G7:H7"/>
    <mergeCell ref="G9:H9"/>
    <mergeCell ref="G10:H10"/>
    <mergeCell ref="G11:H11"/>
    <mergeCell ref="G12:H12"/>
    <mergeCell ref="G13:H13"/>
    <mergeCell ref="G14:H14"/>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7:H47"/>
    <mergeCell ref="G48:H48"/>
    <mergeCell ref="G49:H49"/>
    <mergeCell ref="G50:H50"/>
    <mergeCell ref="G51:H51"/>
    <mergeCell ref="G52:H52"/>
    <mergeCell ref="G53:H53"/>
    <mergeCell ref="G54:H54"/>
  </mergeCell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4" max="4" width="23.75"/>
    <col customWidth="1" min="5" max="5" width="22.0"/>
    <col customWidth="1" min="12" max="12" width="18.38"/>
  </cols>
  <sheetData>
    <row r="1">
      <c r="A1" s="366" t="s">
        <v>0</v>
      </c>
      <c r="B1" s="366" t="s">
        <v>1</v>
      </c>
      <c r="C1" s="366" t="s">
        <v>2</v>
      </c>
      <c r="D1" s="366" t="s">
        <v>603</v>
      </c>
      <c r="E1" s="366" t="s">
        <v>604</v>
      </c>
      <c r="F1" s="366" t="s">
        <v>4</v>
      </c>
      <c r="G1" s="366" t="s">
        <v>5</v>
      </c>
      <c r="H1" s="366" t="s">
        <v>6</v>
      </c>
      <c r="I1" s="366" t="s">
        <v>7</v>
      </c>
      <c r="J1" s="366" t="s">
        <v>8</v>
      </c>
      <c r="K1" s="366" t="s">
        <v>9</v>
      </c>
      <c r="L1" s="366" t="s">
        <v>10</v>
      </c>
      <c r="M1" s="366" t="s">
        <v>11</v>
      </c>
      <c r="N1" s="366" t="s">
        <v>12</v>
      </c>
    </row>
    <row r="2">
      <c r="A2" s="366" t="s">
        <v>16</v>
      </c>
      <c r="B2" s="367">
        <v>4320.0</v>
      </c>
      <c r="C2" s="368"/>
      <c r="D2" s="367">
        <v>0.0</v>
      </c>
      <c r="E2" s="366" t="s">
        <v>261</v>
      </c>
      <c r="F2" s="366" t="s">
        <v>262</v>
      </c>
      <c r="G2" s="366" t="s">
        <v>263</v>
      </c>
      <c r="H2" s="369"/>
      <c r="I2" s="370">
        <v>36529.0</v>
      </c>
      <c r="J2" s="370">
        <v>45505.0</v>
      </c>
      <c r="K2" s="370">
        <v>45604.0</v>
      </c>
      <c r="L2" s="367">
        <v>0.0</v>
      </c>
      <c r="M2" s="370">
        <v>45717.0</v>
      </c>
      <c r="N2" s="371">
        <v>45747.0</v>
      </c>
    </row>
    <row r="3">
      <c r="A3" s="366" t="s">
        <v>16</v>
      </c>
      <c r="B3" s="367">
        <v>4320.0</v>
      </c>
      <c r="C3" s="368"/>
      <c r="D3" s="367">
        <v>0.0</v>
      </c>
      <c r="E3" s="366" t="s">
        <v>436</v>
      </c>
      <c r="F3" s="366" t="s">
        <v>362</v>
      </c>
      <c r="G3" s="366" t="s">
        <v>363</v>
      </c>
      <c r="H3" s="369"/>
      <c r="I3" s="370">
        <v>37149.0</v>
      </c>
      <c r="J3" s="370">
        <v>45397.0</v>
      </c>
      <c r="K3" s="369"/>
      <c r="L3" s="367">
        <v>31.0</v>
      </c>
      <c r="M3" s="370">
        <v>45717.0</v>
      </c>
      <c r="N3" s="371">
        <v>45747.0</v>
      </c>
    </row>
    <row r="4">
      <c r="A4" s="366" t="s">
        <v>16</v>
      </c>
      <c r="B4" s="367">
        <v>4320.0</v>
      </c>
      <c r="C4" s="368"/>
      <c r="D4" s="367">
        <v>0.0</v>
      </c>
      <c r="E4" s="366" t="s">
        <v>753</v>
      </c>
      <c r="F4" s="366" t="s">
        <v>754</v>
      </c>
      <c r="G4" s="366" t="s">
        <v>689</v>
      </c>
      <c r="H4" s="369"/>
      <c r="I4" s="370">
        <v>37214.0</v>
      </c>
      <c r="J4" s="370">
        <v>45691.0</v>
      </c>
      <c r="K4" s="372"/>
      <c r="L4" s="367">
        <v>31.0</v>
      </c>
      <c r="M4" s="370">
        <v>45717.0</v>
      </c>
      <c r="N4" s="371">
        <v>45747.0</v>
      </c>
    </row>
    <row r="5">
      <c r="A5" s="366" t="s">
        <v>16</v>
      </c>
      <c r="B5" s="367">
        <v>4320.0</v>
      </c>
      <c r="C5" s="368"/>
      <c r="D5" s="367">
        <v>0.0</v>
      </c>
      <c r="E5" s="366" t="s">
        <v>310</v>
      </c>
      <c r="F5" s="366" t="s">
        <v>311</v>
      </c>
      <c r="G5" s="366" t="s">
        <v>312</v>
      </c>
      <c r="H5" s="369"/>
      <c r="I5" s="370">
        <v>37282.0</v>
      </c>
      <c r="J5" s="370">
        <v>45362.0</v>
      </c>
      <c r="K5" s="370">
        <v>45443.0</v>
      </c>
      <c r="L5" s="367">
        <v>0.0</v>
      </c>
      <c r="M5" s="370">
        <v>45717.0</v>
      </c>
      <c r="N5" s="371">
        <v>45747.0</v>
      </c>
    </row>
    <row r="6">
      <c r="A6" s="366" t="s">
        <v>16</v>
      </c>
      <c r="B6" s="367">
        <v>4320.0</v>
      </c>
      <c r="C6" s="368"/>
      <c r="D6" s="367">
        <v>0.0</v>
      </c>
      <c r="E6" s="366" t="s">
        <v>437</v>
      </c>
      <c r="F6" s="366" t="s">
        <v>22</v>
      </c>
      <c r="G6" s="366" t="s">
        <v>23</v>
      </c>
      <c r="H6" s="369"/>
      <c r="I6" s="370">
        <v>36358.0</v>
      </c>
      <c r="J6" s="373">
        <v>45027.0</v>
      </c>
      <c r="K6" s="371">
        <v>45603.0</v>
      </c>
      <c r="L6" s="367">
        <v>0.0</v>
      </c>
      <c r="M6" s="370">
        <v>45717.0</v>
      </c>
      <c r="N6" s="371">
        <v>45747.0</v>
      </c>
    </row>
    <row r="7">
      <c r="A7" s="366" t="s">
        <v>16</v>
      </c>
      <c r="B7" s="367">
        <v>4320.0</v>
      </c>
      <c r="C7" s="368"/>
      <c r="D7" s="367">
        <v>0.0</v>
      </c>
      <c r="E7" s="366" t="s">
        <v>561</v>
      </c>
      <c r="F7" s="366" t="s">
        <v>562</v>
      </c>
      <c r="G7" s="366" t="s">
        <v>563</v>
      </c>
      <c r="H7" s="369"/>
      <c r="I7" s="370">
        <v>36879.0</v>
      </c>
      <c r="J7" s="370">
        <v>45670.0</v>
      </c>
      <c r="K7" s="374"/>
      <c r="L7" s="367">
        <v>31.0</v>
      </c>
      <c r="M7" s="370">
        <v>45717.0</v>
      </c>
      <c r="N7" s="371">
        <v>45747.0</v>
      </c>
    </row>
    <row r="8">
      <c r="A8" s="366" t="s">
        <v>16</v>
      </c>
      <c r="B8" s="367">
        <v>4320.0</v>
      </c>
      <c r="C8" s="368"/>
      <c r="D8" s="367">
        <v>0.0</v>
      </c>
      <c r="E8" s="366" t="s">
        <v>605</v>
      </c>
      <c r="F8" s="366" t="s">
        <v>25</v>
      </c>
      <c r="G8" s="366" t="s">
        <v>26</v>
      </c>
      <c r="H8" s="369"/>
      <c r="I8" s="373">
        <v>36860.0</v>
      </c>
      <c r="J8" s="370">
        <v>45124.0</v>
      </c>
      <c r="K8" s="371">
        <v>45527.0</v>
      </c>
      <c r="L8" s="367">
        <v>0.0</v>
      </c>
      <c r="M8" s="370">
        <v>45717.0</v>
      </c>
      <c r="N8" s="371">
        <v>45747.0</v>
      </c>
    </row>
    <row r="9">
      <c r="A9" s="366" t="s">
        <v>16</v>
      </c>
      <c r="B9" s="367">
        <v>4320.0</v>
      </c>
      <c r="C9" s="368"/>
      <c r="D9" s="367">
        <v>0.0</v>
      </c>
      <c r="E9" s="366" t="s">
        <v>407</v>
      </c>
      <c r="F9" s="366" t="s">
        <v>97</v>
      </c>
      <c r="G9" s="366" t="s">
        <v>98</v>
      </c>
      <c r="H9" s="369"/>
      <c r="I9" s="370">
        <v>36690.0</v>
      </c>
      <c r="J9" s="370">
        <v>44938.0</v>
      </c>
      <c r="K9" s="369"/>
      <c r="L9" s="367">
        <v>31.0</v>
      </c>
      <c r="M9" s="370">
        <v>45717.0</v>
      </c>
      <c r="N9" s="371">
        <v>45747.0</v>
      </c>
    </row>
    <row r="10">
      <c r="A10" s="366" t="s">
        <v>16</v>
      </c>
      <c r="B10" s="367">
        <v>4320.0</v>
      </c>
      <c r="C10" s="368"/>
      <c r="D10" s="367">
        <v>0.0</v>
      </c>
      <c r="E10" s="366" t="s">
        <v>473</v>
      </c>
      <c r="F10" s="366" t="s">
        <v>530</v>
      </c>
      <c r="G10" s="366" t="s">
        <v>475</v>
      </c>
      <c r="H10" s="369"/>
      <c r="I10" s="370">
        <v>37459.0</v>
      </c>
      <c r="J10" s="370">
        <v>45586.0</v>
      </c>
      <c r="K10" s="374"/>
      <c r="L10" s="367">
        <v>31.0</v>
      </c>
      <c r="M10" s="370">
        <v>45717.0</v>
      </c>
      <c r="N10" s="371">
        <v>45747.0</v>
      </c>
    </row>
    <row r="11">
      <c r="A11" s="366" t="s">
        <v>16</v>
      </c>
      <c r="B11" s="367">
        <v>4320.0</v>
      </c>
      <c r="C11" s="368"/>
      <c r="D11" s="367">
        <v>0.0</v>
      </c>
      <c r="E11" s="366" t="s">
        <v>313</v>
      </c>
      <c r="F11" s="366" t="s">
        <v>314</v>
      </c>
      <c r="G11" s="366" t="s">
        <v>315</v>
      </c>
      <c r="H11" s="369"/>
      <c r="I11" s="370">
        <v>35619.0</v>
      </c>
      <c r="J11" s="370">
        <v>45369.0</v>
      </c>
      <c r="K11" s="371">
        <v>45399.0</v>
      </c>
      <c r="L11" s="367">
        <v>0.0</v>
      </c>
      <c r="M11" s="370">
        <v>45717.0</v>
      </c>
      <c r="N11" s="371">
        <v>45747.0</v>
      </c>
    </row>
    <row r="12">
      <c r="A12" s="366" t="s">
        <v>16</v>
      </c>
      <c r="B12" s="367">
        <v>4320.0</v>
      </c>
      <c r="C12" s="368"/>
      <c r="D12" s="367">
        <v>0.0</v>
      </c>
      <c r="E12" s="366" t="s">
        <v>408</v>
      </c>
      <c r="F12" s="366" t="s">
        <v>409</v>
      </c>
      <c r="G12" s="366" t="s">
        <v>410</v>
      </c>
      <c r="H12" s="369"/>
      <c r="I12" s="370">
        <v>37978.0</v>
      </c>
      <c r="J12" s="370">
        <v>45453.0</v>
      </c>
      <c r="K12" s="374"/>
      <c r="L12" s="367">
        <v>31.0</v>
      </c>
      <c r="M12" s="370">
        <v>45717.0</v>
      </c>
      <c r="N12" s="371">
        <v>45747.0</v>
      </c>
    </row>
    <row r="13">
      <c r="A13" s="366" t="s">
        <v>16</v>
      </c>
      <c r="B13" s="367">
        <v>4320.0</v>
      </c>
      <c r="C13" s="368"/>
      <c r="D13" s="367">
        <v>0.0</v>
      </c>
      <c r="E13" s="366" t="s">
        <v>606</v>
      </c>
      <c r="F13" s="366" t="s">
        <v>607</v>
      </c>
      <c r="G13" s="366" t="s">
        <v>608</v>
      </c>
      <c r="H13" s="369"/>
      <c r="I13" s="370">
        <v>33844.0</v>
      </c>
      <c r="J13" s="370">
        <v>44562.0</v>
      </c>
      <c r="K13" s="370">
        <v>45199.0</v>
      </c>
      <c r="L13" s="367">
        <v>0.0</v>
      </c>
      <c r="M13" s="370">
        <v>45717.0</v>
      </c>
      <c r="N13" s="371">
        <v>45747.0</v>
      </c>
    </row>
    <row r="14">
      <c r="A14" s="366" t="s">
        <v>16</v>
      </c>
      <c r="B14" s="367">
        <v>4320.0</v>
      </c>
      <c r="C14" s="368"/>
      <c r="D14" s="367">
        <v>0.0</v>
      </c>
      <c r="E14" s="366" t="s">
        <v>609</v>
      </c>
      <c r="F14" s="366" t="s">
        <v>31</v>
      </c>
      <c r="G14" s="366" t="s">
        <v>32</v>
      </c>
      <c r="H14" s="369"/>
      <c r="I14" s="370">
        <v>35997.0</v>
      </c>
      <c r="J14" s="370">
        <v>45061.0</v>
      </c>
      <c r="K14" s="371">
        <v>45569.0</v>
      </c>
      <c r="L14" s="367">
        <v>0.0</v>
      </c>
      <c r="M14" s="370">
        <v>45717.0</v>
      </c>
      <c r="N14" s="371">
        <v>45747.0</v>
      </c>
    </row>
    <row r="15">
      <c r="A15" s="366" t="s">
        <v>16</v>
      </c>
      <c r="B15" s="367">
        <v>4320.0</v>
      </c>
      <c r="C15" s="368"/>
      <c r="D15" s="367">
        <v>0.0</v>
      </c>
      <c r="E15" s="366" t="s">
        <v>246</v>
      </c>
      <c r="F15" s="366" t="s">
        <v>247</v>
      </c>
      <c r="G15" s="366" t="s">
        <v>248</v>
      </c>
      <c r="H15" s="369"/>
      <c r="I15" s="370">
        <v>36501.0</v>
      </c>
      <c r="J15" s="373">
        <v>45246.0</v>
      </c>
      <c r="K15" s="374"/>
      <c r="L15" s="367">
        <v>31.0</v>
      </c>
      <c r="M15" s="370">
        <v>45717.0</v>
      </c>
      <c r="N15" s="371">
        <v>45747.0</v>
      </c>
    </row>
    <row r="16">
      <c r="A16" s="366" t="s">
        <v>16</v>
      </c>
      <c r="B16" s="367">
        <v>4320.0</v>
      </c>
      <c r="C16" s="368"/>
      <c r="D16" s="367">
        <v>0.0</v>
      </c>
      <c r="E16" s="366" t="s">
        <v>380</v>
      </c>
      <c r="F16" s="366" t="s">
        <v>381</v>
      </c>
      <c r="G16" s="366" t="s">
        <v>382</v>
      </c>
      <c r="H16" s="369"/>
      <c r="I16" s="373">
        <v>35669.0</v>
      </c>
      <c r="J16" s="370">
        <v>45418.0</v>
      </c>
      <c r="K16" s="370">
        <v>45481.0</v>
      </c>
      <c r="L16" s="367">
        <v>0.0</v>
      </c>
      <c r="M16" s="370">
        <v>45717.0</v>
      </c>
      <c r="N16" s="371">
        <v>45747.0</v>
      </c>
    </row>
    <row r="17">
      <c r="A17" s="366" t="s">
        <v>16</v>
      </c>
      <c r="B17" s="367">
        <v>4320.0</v>
      </c>
      <c r="C17" s="368"/>
      <c r="D17" s="367">
        <v>0.0</v>
      </c>
      <c r="E17" s="366" t="s">
        <v>610</v>
      </c>
      <c r="F17" s="366" t="s">
        <v>611</v>
      </c>
      <c r="G17" s="366" t="s">
        <v>612</v>
      </c>
      <c r="H17" s="369"/>
      <c r="I17" s="370">
        <v>35400.0</v>
      </c>
      <c r="J17" s="370">
        <v>45061.0</v>
      </c>
      <c r="K17" s="370">
        <v>45503.0</v>
      </c>
      <c r="L17" s="367">
        <v>0.0</v>
      </c>
      <c r="M17" s="370">
        <v>45717.0</v>
      </c>
      <c r="N17" s="371">
        <v>45747.0</v>
      </c>
    </row>
    <row r="18">
      <c r="A18" s="366" t="s">
        <v>16</v>
      </c>
      <c r="B18" s="367">
        <v>4320.0</v>
      </c>
      <c r="C18" s="368"/>
      <c r="D18" s="367">
        <v>0.0</v>
      </c>
      <c r="E18" s="366" t="s">
        <v>613</v>
      </c>
      <c r="F18" s="366" t="s">
        <v>34</v>
      </c>
      <c r="G18" s="366" t="s">
        <v>35</v>
      </c>
      <c r="H18" s="369"/>
      <c r="I18" s="370">
        <v>35053.0</v>
      </c>
      <c r="J18" s="370">
        <v>45173.0</v>
      </c>
      <c r="K18" s="371">
        <v>45322.0</v>
      </c>
      <c r="L18" s="367">
        <v>0.0</v>
      </c>
      <c r="M18" s="370">
        <v>45717.0</v>
      </c>
      <c r="N18" s="371">
        <v>45747.0</v>
      </c>
    </row>
    <row r="19">
      <c r="A19" s="366" t="s">
        <v>16</v>
      </c>
      <c r="B19" s="367">
        <v>4320.0</v>
      </c>
      <c r="C19" s="368"/>
      <c r="D19" s="367">
        <v>0.0</v>
      </c>
      <c r="E19" s="366" t="s">
        <v>564</v>
      </c>
      <c r="F19" s="366" t="s">
        <v>565</v>
      </c>
      <c r="G19" s="366" t="s">
        <v>566</v>
      </c>
      <c r="H19" s="369"/>
      <c r="I19" s="370">
        <v>34799.0</v>
      </c>
      <c r="J19" s="370">
        <v>45670.0</v>
      </c>
      <c r="K19" s="369"/>
      <c r="L19" s="367">
        <v>31.0</v>
      </c>
      <c r="M19" s="370">
        <v>45717.0</v>
      </c>
      <c r="N19" s="371">
        <v>45747.0</v>
      </c>
    </row>
    <row r="20">
      <c r="A20" s="366" t="s">
        <v>16</v>
      </c>
      <c r="B20" s="367">
        <v>4320.0</v>
      </c>
      <c r="C20" s="368"/>
      <c r="D20" s="367">
        <v>0.0</v>
      </c>
      <c r="E20" s="366" t="s">
        <v>552</v>
      </c>
      <c r="F20" s="366" t="s">
        <v>553</v>
      </c>
      <c r="G20" s="366" t="s">
        <v>554</v>
      </c>
      <c r="H20" s="369"/>
      <c r="I20" s="370">
        <v>36904.0</v>
      </c>
      <c r="J20" s="370">
        <v>45663.0</v>
      </c>
      <c r="K20" s="372"/>
      <c r="L20" s="367">
        <v>31.0</v>
      </c>
      <c r="M20" s="370">
        <v>45717.0</v>
      </c>
      <c r="N20" s="371">
        <v>45747.0</v>
      </c>
    </row>
    <row r="21">
      <c r="A21" s="366" t="s">
        <v>16</v>
      </c>
      <c r="B21" s="367">
        <v>4320.0</v>
      </c>
      <c r="C21" s="368"/>
      <c r="D21" s="367">
        <v>0.0</v>
      </c>
      <c r="E21" s="366" t="s">
        <v>614</v>
      </c>
      <c r="F21" s="366" t="s">
        <v>232</v>
      </c>
      <c r="G21" s="366" t="s">
        <v>233</v>
      </c>
      <c r="H21" s="369"/>
      <c r="I21" s="370">
        <v>36634.0</v>
      </c>
      <c r="J21" s="370">
        <v>45250.0</v>
      </c>
      <c r="K21" s="370">
        <v>45428.0</v>
      </c>
      <c r="L21" s="367">
        <v>0.0</v>
      </c>
      <c r="M21" s="370">
        <v>45717.0</v>
      </c>
      <c r="N21" s="371">
        <v>45747.0</v>
      </c>
    </row>
    <row r="22">
      <c r="A22" s="366" t="s">
        <v>16</v>
      </c>
      <c r="B22" s="367">
        <v>4320.0</v>
      </c>
      <c r="C22" s="368"/>
      <c r="D22" s="367">
        <v>0.0</v>
      </c>
      <c r="E22" s="366" t="s">
        <v>36</v>
      </c>
      <c r="F22" s="366" t="s">
        <v>37</v>
      </c>
      <c r="G22" s="366" t="s">
        <v>38</v>
      </c>
      <c r="H22" s="369"/>
      <c r="I22" s="370">
        <v>33408.0</v>
      </c>
      <c r="J22" s="370">
        <v>45078.0</v>
      </c>
      <c r="K22" s="370">
        <v>45366.0</v>
      </c>
      <c r="L22" s="367">
        <v>0.0</v>
      </c>
      <c r="M22" s="370">
        <v>45717.0</v>
      </c>
      <c r="N22" s="371">
        <v>45747.0</v>
      </c>
    </row>
    <row r="23">
      <c r="A23" s="366" t="s">
        <v>16</v>
      </c>
      <c r="B23" s="367">
        <v>4320.0</v>
      </c>
      <c r="C23" s="368"/>
      <c r="D23" s="367">
        <v>0.0</v>
      </c>
      <c r="E23" s="366" t="s">
        <v>39</v>
      </c>
      <c r="F23" s="366" t="s">
        <v>40</v>
      </c>
      <c r="G23" s="366" t="s">
        <v>41</v>
      </c>
      <c r="H23" s="369"/>
      <c r="I23" s="370">
        <v>35983.0</v>
      </c>
      <c r="J23" s="370">
        <v>45082.0</v>
      </c>
      <c r="K23" s="373">
        <v>45362.0</v>
      </c>
      <c r="L23" s="367">
        <v>0.0</v>
      </c>
      <c r="M23" s="370">
        <v>45717.0</v>
      </c>
      <c r="N23" s="371">
        <v>45747.0</v>
      </c>
    </row>
    <row r="24">
      <c r="A24" s="366" t="s">
        <v>16</v>
      </c>
      <c r="B24" s="367">
        <v>4320.0</v>
      </c>
      <c r="C24" s="368"/>
      <c r="D24" s="367">
        <v>0.0</v>
      </c>
      <c r="E24" s="366" t="s">
        <v>615</v>
      </c>
      <c r="F24" s="366" t="s">
        <v>365</v>
      </c>
      <c r="G24" s="366" t="s">
        <v>366</v>
      </c>
      <c r="H24" s="369"/>
      <c r="I24" s="370">
        <v>36703.0</v>
      </c>
      <c r="J24" s="370">
        <v>45411.0</v>
      </c>
      <c r="K24" s="370">
        <v>45432.0</v>
      </c>
      <c r="L24" s="367">
        <v>0.0</v>
      </c>
      <c r="M24" s="370">
        <v>45717.0</v>
      </c>
      <c r="N24" s="371">
        <v>45747.0</v>
      </c>
    </row>
    <row r="25">
      <c r="A25" s="366" t="s">
        <v>16</v>
      </c>
      <c r="B25" s="367">
        <v>4320.0</v>
      </c>
      <c r="C25" s="368"/>
      <c r="D25" s="367">
        <v>0.0</v>
      </c>
      <c r="E25" s="366" t="s">
        <v>234</v>
      </c>
      <c r="F25" s="366" t="s">
        <v>235</v>
      </c>
      <c r="G25" s="366" t="s">
        <v>236</v>
      </c>
      <c r="H25" s="369"/>
      <c r="I25" s="370">
        <v>33048.0</v>
      </c>
      <c r="J25" s="370">
        <v>45243.0</v>
      </c>
      <c r="K25" s="370">
        <v>45329.0</v>
      </c>
      <c r="L25" s="367">
        <v>0.0</v>
      </c>
      <c r="M25" s="370">
        <v>45717.0</v>
      </c>
      <c r="N25" s="371">
        <v>45747.0</v>
      </c>
    </row>
    <row r="26">
      <c r="A26" s="366" t="s">
        <v>16</v>
      </c>
      <c r="B26" s="367">
        <v>4320.0</v>
      </c>
      <c r="C26" s="368"/>
      <c r="D26" s="367">
        <v>0.0</v>
      </c>
      <c r="E26" s="366" t="s">
        <v>616</v>
      </c>
      <c r="F26" s="366" t="s">
        <v>617</v>
      </c>
      <c r="G26" s="366" t="s">
        <v>618</v>
      </c>
      <c r="H26" s="369"/>
      <c r="I26" s="370">
        <v>35082.0</v>
      </c>
      <c r="J26" s="370">
        <v>45194.0</v>
      </c>
      <c r="K26" s="370">
        <v>45199.0</v>
      </c>
      <c r="L26" s="367">
        <v>0.0</v>
      </c>
      <c r="M26" s="370">
        <v>45717.0</v>
      </c>
      <c r="N26" s="371">
        <v>45747.0</v>
      </c>
    </row>
    <row r="27">
      <c r="A27" s="366" t="s">
        <v>16</v>
      </c>
      <c r="B27" s="367">
        <v>4320.0</v>
      </c>
      <c r="C27" s="368"/>
      <c r="D27" s="367">
        <v>0.0</v>
      </c>
      <c r="E27" s="366" t="s">
        <v>316</v>
      </c>
      <c r="F27" s="366" t="s">
        <v>317</v>
      </c>
      <c r="G27" s="366" t="s">
        <v>318</v>
      </c>
      <c r="H27" s="369"/>
      <c r="I27" s="370">
        <v>37274.0</v>
      </c>
      <c r="J27" s="370">
        <v>45362.0</v>
      </c>
      <c r="K27" s="371">
        <v>45688.0</v>
      </c>
      <c r="L27" s="367">
        <v>0.0</v>
      </c>
      <c r="M27" s="370">
        <v>45717.0</v>
      </c>
      <c r="N27" s="371">
        <v>45747.0</v>
      </c>
    </row>
    <row r="28">
      <c r="A28" s="366" t="s">
        <v>16</v>
      </c>
      <c r="B28" s="367">
        <v>4320.0</v>
      </c>
      <c r="C28" s="368"/>
      <c r="D28" s="367">
        <v>0.0</v>
      </c>
      <c r="E28" s="366" t="s">
        <v>264</v>
      </c>
      <c r="F28" s="366" t="s">
        <v>265</v>
      </c>
      <c r="G28" s="366" t="s">
        <v>266</v>
      </c>
      <c r="H28" s="369"/>
      <c r="I28" s="370">
        <v>37398.0</v>
      </c>
      <c r="J28" s="370">
        <v>45096.0</v>
      </c>
      <c r="K28" s="369"/>
      <c r="L28" s="367">
        <v>31.0</v>
      </c>
      <c r="M28" s="370">
        <v>45717.0</v>
      </c>
      <c r="N28" s="371">
        <v>45747.0</v>
      </c>
    </row>
    <row r="29">
      <c r="A29" s="366" t="s">
        <v>16</v>
      </c>
      <c r="B29" s="367">
        <v>4320.0</v>
      </c>
      <c r="C29" s="368"/>
      <c r="D29" s="367">
        <v>0.0</v>
      </c>
      <c r="E29" s="366" t="s">
        <v>411</v>
      </c>
      <c r="F29" s="366" t="s">
        <v>412</v>
      </c>
      <c r="G29" s="366" t="s">
        <v>413</v>
      </c>
      <c r="H29" s="369"/>
      <c r="I29" s="373">
        <v>33230.0</v>
      </c>
      <c r="J29" s="370">
        <v>45453.0</v>
      </c>
      <c r="K29" s="369"/>
      <c r="L29" s="367">
        <v>31.0</v>
      </c>
      <c r="M29" s="370">
        <v>45717.0</v>
      </c>
      <c r="N29" s="371">
        <v>45747.0</v>
      </c>
    </row>
    <row r="30">
      <c r="A30" s="366" t="s">
        <v>16</v>
      </c>
      <c r="B30" s="367">
        <v>4320.0</v>
      </c>
      <c r="C30" s="368"/>
      <c r="D30" s="367">
        <v>0.0</v>
      </c>
      <c r="E30" s="366" t="s">
        <v>690</v>
      </c>
      <c r="F30" s="366" t="s">
        <v>755</v>
      </c>
      <c r="G30" s="366" t="s">
        <v>692</v>
      </c>
      <c r="H30" s="369"/>
      <c r="I30" s="370">
        <v>37137.0</v>
      </c>
      <c r="J30" s="370">
        <v>45691.0</v>
      </c>
      <c r="K30" s="369"/>
      <c r="L30" s="367">
        <v>31.0</v>
      </c>
      <c r="M30" s="370">
        <v>45717.0</v>
      </c>
      <c r="N30" s="371">
        <v>45747.0</v>
      </c>
    </row>
    <row r="31">
      <c r="A31" s="366" t="s">
        <v>16</v>
      </c>
      <c r="B31" s="367">
        <v>4320.0</v>
      </c>
      <c r="C31" s="368"/>
      <c r="D31" s="367">
        <v>0.0</v>
      </c>
      <c r="E31" s="366" t="s">
        <v>693</v>
      </c>
      <c r="F31" s="366" t="s">
        <v>694</v>
      </c>
      <c r="G31" s="366" t="s">
        <v>695</v>
      </c>
      <c r="H31" s="369"/>
      <c r="I31" s="370">
        <v>35599.0</v>
      </c>
      <c r="J31" s="370">
        <v>45712.0</v>
      </c>
      <c r="K31" s="369"/>
      <c r="L31" s="367">
        <v>31.0</v>
      </c>
      <c r="M31" s="370">
        <v>45717.0</v>
      </c>
      <c r="N31" s="371">
        <v>45747.0</v>
      </c>
    </row>
    <row r="32">
      <c r="A32" s="366" t="s">
        <v>16</v>
      </c>
      <c r="B32" s="367">
        <v>4320.0</v>
      </c>
      <c r="C32" s="368"/>
      <c r="D32" s="367">
        <v>0.0</v>
      </c>
      <c r="E32" s="366" t="s">
        <v>282</v>
      </c>
      <c r="F32" s="366" t="s">
        <v>283</v>
      </c>
      <c r="G32" s="366" t="s">
        <v>284</v>
      </c>
      <c r="H32" s="369"/>
      <c r="I32" s="370">
        <v>35047.0</v>
      </c>
      <c r="J32" s="373">
        <v>45257.0</v>
      </c>
      <c r="K32" s="369"/>
      <c r="L32" s="367">
        <v>31.0</v>
      </c>
      <c r="M32" s="370">
        <v>45717.0</v>
      </c>
      <c r="N32" s="371">
        <v>45747.0</v>
      </c>
    </row>
    <row r="33">
      <c r="A33" s="366" t="s">
        <v>16</v>
      </c>
      <c r="B33" s="367">
        <v>4320.0</v>
      </c>
      <c r="C33" s="368"/>
      <c r="D33" s="367">
        <v>0.0</v>
      </c>
      <c r="E33" s="366" t="s">
        <v>481</v>
      </c>
      <c r="F33" s="366" t="s">
        <v>531</v>
      </c>
      <c r="G33" s="366" t="s">
        <v>482</v>
      </c>
      <c r="H33" s="369"/>
      <c r="I33" s="370">
        <v>35096.0</v>
      </c>
      <c r="J33" s="370">
        <v>45602.0</v>
      </c>
      <c r="K33" s="369"/>
      <c r="L33" s="367">
        <v>31.0</v>
      </c>
      <c r="M33" s="370">
        <v>45717.0</v>
      </c>
      <c r="N33" s="371">
        <v>45747.0</v>
      </c>
    </row>
    <row r="34">
      <c r="A34" s="366" t="s">
        <v>16</v>
      </c>
      <c r="B34" s="367">
        <v>4320.0</v>
      </c>
      <c r="C34" s="368"/>
      <c r="D34" s="367">
        <v>0.0</v>
      </c>
      <c r="E34" s="366" t="s">
        <v>45</v>
      </c>
      <c r="F34" s="366" t="s">
        <v>46</v>
      </c>
      <c r="G34" s="366" t="s">
        <v>47</v>
      </c>
      <c r="H34" s="369"/>
      <c r="I34" s="373">
        <v>37370.0</v>
      </c>
      <c r="J34" s="370">
        <v>44739.0</v>
      </c>
      <c r="K34" s="369"/>
      <c r="L34" s="367">
        <v>31.0</v>
      </c>
      <c r="M34" s="370">
        <v>45717.0</v>
      </c>
      <c r="N34" s="371">
        <v>45747.0</v>
      </c>
    </row>
    <row r="35">
      <c r="A35" s="366" t="s">
        <v>16</v>
      </c>
      <c r="B35" s="367">
        <v>4320.0</v>
      </c>
      <c r="C35" s="368"/>
      <c r="D35" s="367">
        <v>0.0</v>
      </c>
      <c r="E35" s="366" t="s">
        <v>48</v>
      </c>
      <c r="F35" s="366" t="s">
        <v>49</v>
      </c>
      <c r="G35" s="366" t="s">
        <v>50</v>
      </c>
      <c r="H35" s="369"/>
      <c r="I35" s="370">
        <v>36399.0</v>
      </c>
      <c r="J35" s="370">
        <v>45229.0</v>
      </c>
      <c r="K35" s="372"/>
      <c r="L35" s="367">
        <v>31.0</v>
      </c>
      <c r="M35" s="370">
        <v>45717.0</v>
      </c>
      <c r="N35" s="371">
        <v>45747.0</v>
      </c>
    </row>
    <row r="36">
      <c r="A36" s="366" t="s">
        <v>16</v>
      </c>
      <c r="B36" s="367">
        <v>4320.0</v>
      </c>
      <c r="C36" s="368"/>
      <c r="D36" s="367">
        <v>0.0</v>
      </c>
      <c r="E36" s="366" t="s">
        <v>444</v>
      </c>
      <c r="F36" s="366" t="s">
        <v>320</v>
      </c>
      <c r="G36" s="366" t="s">
        <v>321</v>
      </c>
      <c r="H36" s="369"/>
      <c r="I36" s="370">
        <v>36360.0</v>
      </c>
      <c r="J36" s="370">
        <v>45355.0</v>
      </c>
      <c r="K36" s="374"/>
      <c r="L36" s="367">
        <v>31.0</v>
      </c>
      <c r="M36" s="370">
        <v>45717.0</v>
      </c>
      <c r="N36" s="371">
        <v>45747.0</v>
      </c>
    </row>
    <row r="37">
      <c r="A37" s="366" t="s">
        <v>16</v>
      </c>
      <c r="B37" s="367">
        <v>4320.0</v>
      </c>
      <c r="C37" s="368"/>
      <c r="D37" s="367">
        <v>0.0</v>
      </c>
      <c r="E37" s="366" t="s">
        <v>383</v>
      </c>
      <c r="F37" s="366" t="s">
        <v>384</v>
      </c>
      <c r="G37" s="366" t="s">
        <v>385</v>
      </c>
      <c r="H37" s="369"/>
      <c r="I37" s="370">
        <v>36183.0</v>
      </c>
      <c r="J37" s="370">
        <v>45418.0</v>
      </c>
      <c r="K37" s="374"/>
      <c r="L37" s="367">
        <v>31.0</v>
      </c>
      <c r="M37" s="370">
        <v>45717.0</v>
      </c>
      <c r="N37" s="371">
        <v>45747.0</v>
      </c>
    </row>
    <row r="38">
      <c r="A38" s="366" t="s">
        <v>16</v>
      </c>
      <c r="B38" s="367">
        <v>4320.0</v>
      </c>
      <c r="C38" s="368"/>
      <c r="D38" s="367">
        <v>0.0</v>
      </c>
      <c r="E38" s="366" t="s">
        <v>386</v>
      </c>
      <c r="F38" s="366" t="s">
        <v>387</v>
      </c>
      <c r="G38" s="366" t="s">
        <v>388</v>
      </c>
      <c r="H38" s="369"/>
      <c r="I38" s="370">
        <v>37144.0</v>
      </c>
      <c r="J38" s="370">
        <v>45418.0</v>
      </c>
      <c r="K38" s="375">
        <v>45418.0</v>
      </c>
      <c r="L38" s="367">
        <v>0.0</v>
      </c>
      <c r="M38" s="370">
        <v>45717.0</v>
      </c>
      <c r="N38" s="371">
        <v>45747.0</v>
      </c>
    </row>
    <row r="39">
      <c r="A39" s="366" t="s">
        <v>16</v>
      </c>
      <c r="B39" s="367">
        <v>4320.0</v>
      </c>
      <c r="C39" s="368"/>
      <c r="D39" s="367">
        <v>0.0</v>
      </c>
      <c r="E39" s="366" t="s">
        <v>325</v>
      </c>
      <c r="F39" s="366" t="s">
        <v>326</v>
      </c>
      <c r="G39" s="366" t="s">
        <v>327</v>
      </c>
      <c r="H39" s="369"/>
      <c r="I39" s="370">
        <v>36962.0</v>
      </c>
      <c r="J39" s="370">
        <v>45376.0</v>
      </c>
      <c r="K39" s="371">
        <v>45565.0</v>
      </c>
      <c r="L39" s="367">
        <v>0.0</v>
      </c>
      <c r="M39" s="370">
        <v>45717.0</v>
      </c>
      <c r="N39" s="371">
        <v>45747.0</v>
      </c>
    </row>
    <row r="40">
      <c r="A40" s="366" t="s">
        <v>16</v>
      </c>
      <c r="B40" s="367">
        <v>4320.0</v>
      </c>
      <c r="C40" s="368"/>
      <c r="D40" s="367">
        <v>0.0</v>
      </c>
      <c r="E40" s="366" t="s">
        <v>285</v>
      </c>
      <c r="F40" s="366" t="s">
        <v>286</v>
      </c>
      <c r="G40" s="366" t="s">
        <v>287</v>
      </c>
      <c r="H40" s="369"/>
      <c r="I40" s="370">
        <v>37377.0</v>
      </c>
      <c r="J40" s="370">
        <v>45334.0</v>
      </c>
      <c r="K40" s="371">
        <v>45688.0</v>
      </c>
      <c r="L40" s="367">
        <v>0.0</v>
      </c>
      <c r="M40" s="370">
        <v>45717.0</v>
      </c>
      <c r="N40" s="371">
        <v>45747.0</v>
      </c>
    </row>
    <row r="41">
      <c r="A41" s="366" t="s">
        <v>16</v>
      </c>
      <c r="B41" s="367">
        <v>4320.0</v>
      </c>
      <c r="C41" s="368"/>
      <c r="D41" s="367">
        <v>0.0</v>
      </c>
      <c r="E41" s="366" t="s">
        <v>288</v>
      </c>
      <c r="F41" s="366" t="s">
        <v>289</v>
      </c>
      <c r="G41" s="366" t="s">
        <v>290</v>
      </c>
      <c r="H41" s="369"/>
      <c r="I41" s="370">
        <v>37047.0</v>
      </c>
      <c r="J41" s="370">
        <v>45257.0</v>
      </c>
      <c r="K41" s="369"/>
      <c r="L41" s="367">
        <v>31.0</v>
      </c>
      <c r="M41" s="370">
        <v>45717.0</v>
      </c>
      <c r="N41" s="371">
        <v>45747.0</v>
      </c>
    </row>
    <row r="42">
      <c r="A42" s="366" t="s">
        <v>16</v>
      </c>
      <c r="B42" s="367">
        <v>4320.0</v>
      </c>
      <c r="C42" s="368"/>
      <c r="D42" s="367">
        <v>0.0</v>
      </c>
      <c r="E42" s="366" t="s">
        <v>567</v>
      </c>
      <c r="F42" s="366" t="s">
        <v>568</v>
      </c>
      <c r="G42" s="366" t="s">
        <v>569</v>
      </c>
      <c r="H42" s="369"/>
      <c r="I42" s="370">
        <v>37962.0</v>
      </c>
      <c r="J42" s="370">
        <v>45677.0</v>
      </c>
      <c r="K42" s="369"/>
      <c r="L42" s="367">
        <v>31.0</v>
      </c>
      <c r="M42" s="370">
        <v>45717.0</v>
      </c>
      <c r="N42" s="371">
        <v>45747.0</v>
      </c>
    </row>
    <row r="43">
      <c r="A43" s="366" t="s">
        <v>16</v>
      </c>
      <c r="B43" s="367">
        <v>4320.0</v>
      </c>
      <c r="C43" s="368"/>
      <c r="D43" s="367">
        <v>0.0</v>
      </c>
      <c r="E43" s="366" t="s">
        <v>51</v>
      </c>
      <c r="F43" s="366" t="s">
        <v>52</v>
      </c>
      <c r="G43" s="366" t="s">
        <v>53</v>
      </c>
      <c r="H43" s="369"/>
      <c r="I43" s="370">
        <v>34601.0</v>
      </c>
      <c r="J43" s="373">
        <v>44986.0</v>
      </c>
      <c r="K43" s="369"/>
      <c r="L43" s="367">
        <v>31.0</v>
      </c>
      <c r="M43" s="370">
        <v>45717.0</v>
      </c>
      <c r="N43" s="371">
        <v>45747.0</v>
      </c>
    </row>
    <row r="44">
      <c r="A44" s="366" t="s">
        <v>16</v>
      </c>
      <c r="B44" s="367">
        <v>4320.0</v>
      </c>
      <c r="C44" s="368"/>
      <c r="D44" s="367">
        <v>0.0</v>
      </c>
      <c r="E44" s="366" t="s">
        <v>445</v>
      </c>
      <c r="F44" s="366" t="s">
        <v>510</v>
      </c>
      <c r="G44" s="366" t="s">
        <v>447</v>
      </c>
      <c r="H44" s="369"/>
      <c r="I44" s="373">
        <v>37047.0</v>
      </c>
      <c r="J44" s="370">
        <v>45505.0</v>
      </c>
      <c r="K44" s="369"/>
      <c r="L44" s="367">
        <v>31.0</v>
      </c>
      <c r="M44" s="370">
        <v>45717.0</v>
      </c>
      <c r="N44" s="371">
        <v>45747.0</v>
      </c>
    </row>
    <row r="45">
      <c r="A45" s="366" t="s">
        <v>16</v>
      </c>
      <c r="B45" s="367">
        <v>4320.0</v>
      </c>
      <c r="C45" s="368"/>
      <c r="D45" s="367">
        <v>0.0</v>
      </c>
      <c r="E45" s="366" t="s">
        <v>467</v>
      </c>
      <c r="F45" s="366" t="s">
        <v>511</v>
      </c>
      <c r="G45" s="366" t="s">
        <v>450</v>
      </c>
      <c r="H45" s="369"/>
      <c r="I45" s="370">
        <v>36682.0</v>
      </c>
      <c r="J45" s="370">
        <v>45505.0</v>
      </c>
      <c r="K45" s="374"/>
      <c r="L45" s="367">
        <v>31.0</v>
      </c>
      <c r="M45" s="370">
        <v>45717.0</v>
      </c>
      <c r="N45" s="371">
        <v>45747.0</v>
      </c>
    </row>
    <row r="46">
      <c r="A46" s="366" t="s">
        <v>16</v>
      </c>
      <c r="B46" s="367">
        <v>4320.0</v>
      </c>
      <c r="C46" s="368"/>
      <c r="D46" s="367">
        <v>0.0</v>
      </c>
      <c r="E46" s="366" t="s">
        <v>503</v>
      </c>
      <c r="F46" s="366" t="s">
        <v>542</v>
      </c>
      <c r="G46" s="366" t="s">
        <v>504</v>
      </c>
      <c r="H46" s="369"/>
      <c r="I46" s="370">
        <v>37422.0</v>
      </c>
      <c r="J46" s="370">
        <v>45635.0</v>
      </c>
      <c r="K46" s="369"/>
      <c r="L46" s="367">
        <v>31.0</v>
      </c>
      <c r="M46" s="370">
        <v>45717.0</v>
      </c>
      <c r="N46" s="371">
        <v>45747.0</v>
      </c>
    </row>
    <row r="47">
      <c r="A47" s="366" t="s">
        <v>16</v>
      </c>
      <c r="B47" s="367">
        <v>4320.0</v>
      </c>
      <c r="C47" s="368"/>
      <c r="D47" s="367">
        <v>0.0</v>
      </c>
      <c r="E47" s="366" t="s">
        <v>497</v>
      </c>
      <c r="F47" s="366" t="s">
        <v>539</v>
      </c>
      <c r="G47" s="366" t="s">
        <v>498</v>
      </c>
      <c r="H47" s="369"/>
      <c r="I47" s="370">
        <v>37026.0</v>
      </c>
      <c r="J47" s="370">
        <v>45628.0</v>
      </c>
      <c r="K47" s="374"/>
      <c r="L47" s="367">
        <v>31.0</v>
      </c>
      <c r="M47" s="370">
        <v>45717.0</v>
      </c>
      <c r="N47" s="371">
        <v>45747.0</v>
      </c>
    </row>
    <row r="48">
      <c r="A48" s="366" t="s">
        <v>16</v>
      </c>
      <c r="B48" s="367">
        <v>4320.0</v>
      </c>
      <c r="C48" s="368"/>
      <c r="D48" s="367">
        <v>0.0</v>
      </c>
      <c r="E48" s="366" t="s">
        <v>249</v>
      </c>
      <c r="F48" s="366" t="s">
        <v>250</v>
      </c>
      <c r="G48" s="366" t="s">
        <v>251</v>
      </c>
      <c r="H48" s="369"/>
      <c r="I48" s="373">
        <v>37322.0</v>
      </c>
      <c r="J48" s="370">
        <v>45096.0</v>
      </c>
      <c r="K48" s="370">
        <v>45523.0</v>
      </c>
      <c r="L48" s="367">
        <v>0.0</v>
      </c>
      <c r="M48" s="370">
        <v>45717.0</v>
      </c>
      <c r="N48" s="371">
        <v>45747.0</v>
      </c>
    </row>
    <row r="49">
      <c r="A49" s="366" t="s">
        <v>16</v>
      </c>
      <c r="B49" s="367">
        <v>4320.0</v>
      </c>
      <c r="C49" s="368"/>
      <c r="D49" s="367">
        <v>0.0</v>
      </c>
      <c r="E49" s="366" t="s">
        <v>291</v>
      </c>
      <c r="F49" s="366" t="s">
        <v>292</v>
      </c>
      <c r="G49" s="366" t="s">
        <v>293</v>
      </c>
      <c r="H49" s="369"/>
      <c r="I49" s="370">
        <v>37219.0</v>
      </c>
      <c r="J49" s="370">
        <v>45257.0</v>
      </c>
      <c r="K49" s="369"/>
      <c r="L49" s="367">
        <v>31.0</v>
      </c>
      <c r="M49" s="370">
        <v>45717.0</v>
      </c>
      <c r="N49" s="371">
        <v>45747.0</v>
      </c>
    </row>
    <row r="50">
      <c r="A50" s="366" t="s">
        <v>16</v>
      </c>
      <c r="B50" s="367">
        <v>4320.0</v>
      </c>
      <c r="C50" s="368"/>
      <c r="D50" s="367">
        <v>0.0</v>
      </c>
      <c r="E50" s="366" t="s">
        <v>619</v>
      </c>
      <c r="F50" s="366" t="s">
        <v>220</v>
      </c>
      <c r="G50" s="366" t="s">
        <v>221</v>
      </c>
      <c r="H50" s="369"/>
      <c r="I50" s="370">
        <v>36408.0</v>
      </c>
      <c r="J50" s="370">
        <v>45173.0</v>
      </c>
      <c r="K50" s="371">
        <v>45412.0</v>
      </c>
      <c r="L50" s="367">
        <v>0.0</v>
      </c>
      <c r="M50" s="370">
        <v>45717.0</v>
      </c>
      <c r="N50" s="371">
        <v>45747.0</v>
      </c>
    </row>
    <row r="51">
      <c r="A51" s="366" t="s">
        <v>16</v>
      </c>
      <c r="B51" s="367">
        <v>4320.0</v>
      </c>
      <c r="C51" s="368"/>
      <c r="D51" s="367">
        <v>0.0</v>
      </c>
      <c r="E51" s="366" t="s">
        <v>367</v>
      </c>
      <c r="F51" s="366" t="s">
        <v>368</v>
      </c>
      <c r="G51" s="366" t="s">
        <v>369</v>
      </c>
      <c r="H51" s="369"/>
      <c r="I51" s="370">
        <v>36718.0</v>
      </c>
      <c r="J51" s="370">
        <v>45397.0</v>
      </c>
      <c r="K51" s="371">
        <v>45485.0</v>
      </c>
      <c r="L51" s="367">
        <v>0.0</v>
      </c>
      <c r="M51" s="370">
        <v>45717.0</v>
      </c>
      <c r="N51" s="371">
        <v>45747.0</v>
      </c>
    </row>
    <row r="52">
      <c r="A52" s="366" t="s">
        <v>16</v>
      </c>
      <c r="B52" s="367">
        <v>4320.0</v>
      </c>
      <c r="C52" s="368"/>
      <c r="D52" s="367">
        <v>0.0</v>
      </c>
      <c r="E52" s="366" t="s">
        <v>594</v>
      </c>
      <c r="F52" s="366" t="s">
        <v>595</v>
      </c>
      <c r="G52" s="366" t="s">
        <v>596</v>
      </c>
      <c r="H52" s="369"/>
      <c r="I52" s="370">
        <v>37809.0</v>
      </c>
      <c r="J52" s="370">
        <v>45684.0</v>
      </c>
      <c r="K52" s="369"/>
      <c r="L52" s="367">
        <v>31.0</v>
      </c>
      <c r="M52" s="370">
        <v>45717.0</v>
      </c>
      <c r="N52" s="371">
        <v>45747.0</v>
      </c>
    </row>
    <row r="53">
      <c r="A53" s="366" t="s">
        <v>16</v>
      </c>
      <c r="B53" s="367">
        <v>4320.0</v>
      </c>
      <c r="C53" s="368"/>
      <c r="D53" s="367">
        <v>0.0</v>
      </c>
      <c r="E53" s="366" t="s">
        <v>60</v>
      </c>
      <c r="F53" s="366" t="s">
        <v>61</v>
      </c>
      <c r="G53" s="366" t="s">
        <v>62</v>
      </c>
      <c r="H53" s="369"/>
      <c r="I53" s="370">
        <v>36246.0</v>
      </c>
      <c r="J53" s="370">
        <v>44851.0</v>
      </c>
      <c r="K53" s="374"/>
      <c r="L53" s="367">
        <v>31.0</v>
      </c>
      <c r="M53" s="370">
        <v>45717.0</v>
      </c>
      <c r="N53" s="371">
        <v>45747.0</v>
      </c>
    </row>
    <row r="54">
      <c r="A54" s="366" t="s">
        <v>16</v>
      </c>
      <c r="B54" s="367">
        <v>4320.0</v>
      </c>
      <c r="C54" s="368"/>
      <c r="D54" s="367">
        <v>0.0</v>
      </c>
      <c r="E54" s="366" t="s">
        <v>63</v>
      </c>
      <c r="F54" s="366" t="s">
        <v>64</v>
      </c>
      <c r="G54" s="366" t="s">
        <v>65</v>
      </c>
      <c r="H54" s="369"/>
      <c r="I54" s="370">
        <v>35606.0</v>
      </c>
      <c r="J54" s="370">
        <v>44896.0</v>
      </c>
      <c r="K54" s="369"/>
      <c r="L54" s="367">
        <v>31.0</v>
      </c>
      <c r="M54" s="370">
        <v>45717.0</v>
      </c>
      <c r="N54" s="371">
        <v>45747.0</v>
      </c>
    </row>
    <row r="55">
      <c r="A55" s="366" t="s">
        <v>16</v>
      </c>
      <c r="B55" s="367">
        <v>4320.0</v>
      </c>
      <c r="C55" s="368"/>
      <c r="D55" s="367">
        <v>0.0</v>
      </c>
      <c r="E55" s="366" t="s">
        <v>63</v>
      </c>
      <c r="F55" s="366" t="s">
        <v>543</v>
      </c>
      <c r="G55" s="366" t="s">
        <v>505</v>
      </c>
      <c r="H55" s="369"/>
      <c r="I55" s="370">
        <v>36725.0</v>
      </c>
      <c r="J55" s="370">
        <v>45635.0</v>
      </c>
      <c r="K55" s="369"/>
      <c r="L55" s="367">
        <v>31.0</v>
      </c>
      <c r="M55" s="370">
        <v>45717.0</v>
      </c>
      <c r="N55" s="371">
        <v>45747.0</v>
      </c>
    </row>
    <row r="56">
      <c r="A56" s="366" t="s">
        <v>16</v>
      </c>
      <c r="B56" s="367">
        <v>4320.0</v>
      </c>
      <c r="C56" s="368"/>
      <c r="D56" s="367">
        <v>0.0</v>
      </c>
      <c r="E56" s="366" t="s">
        <v>744</v>
      </c>
      <c r="F56" s="366" t="s">
        <v>745</v>
      </c>
      <c r="G56" s="366" t="s">
        <v>746</v>
      </c>
      <c r="H56" s="369"/>
      <c r="I56" s="370">
        <v>37479.0</v>
      </c>
      <c r="J56" s="370">
        <v>45726.0</v>
      </c>
      <c r="K56" s="374"/>
      <c r="L56" s="367">
        <v>22.0</v>
      </c>
      <c r="M56" s="370">
        <v>45717.0</v>
      </c>
      <c r="N56" s="371">
        <v>45747.0</v>
      </c>
    </row>
    <row r="57">
      <c r="A57" s="366" t="s">
        <v>16</v>
      </c>
      <c r="B57" s="367">
        <v>4320.0</v>
      </c>
      <c r="C57" s="368"/>
      <c r="D57" s="367">
        <v>0.0</v>
      </c>
      <c r="E57" s="366" t="s">
        <v>620</v>
      </c>
      <c r="F57" s="366" t="s">
        <v>621</v>
      </c>
      <c r="G57" s="366" t="s">
        <v>622</v>
      </c>
      <c r="H57" s="369"/>
      <c r="I57" s="370">
        <v>37067.0</v>
      </c>
      <c r="J57" s="370">
        <v>45216.0</v>
      </c>
      <c r="K57" s="371">
        <v>45453.0</v>
      </c>
      <c r="L57" s="367">
        <v>0.0</v>
      </c>
      <c r="M57" s="370">
        <v>45717.0</v>
      </c>
      <c r="N57" s="371">
        <v>45747.0</v>
      </c>
    </row>
    <row r="58">
      <c r="A58" s="366" t="s">
        <v>16</v>
      </c>
      <c r="B58" s="367">
        <v>4320.0</v>
      </c>
      <c r="C58" s="368"/>
      <c r="D58" s="367">
        <v>0.0</v>
      </c>
      <c r="E58" s="366" t="s">
        <v>591</v>
      </c>
      <c r="F58" s="366" t="s">
        <v>592</v>
      </c>
      <c r="G58" s="366" t="s">
        <v>593</v>
      </c>
      <c r="H58" s="369"/>
      <c r="I58" s="370">
        <v>37041.0</v>
      </c>
      <c r="J58" s="370">
        <v>45684.0</v>
      </c>
      <c r="K58" s="369"/>
      <c r="L58" s="367">
        <v>31.0</v>
      </c>
      <c r="M58" s="370">
        <v>45717.0</v>
      </c>
      <c r="N58" s="371">
        <v>45747.0</v>
      </c>
    </row>
    <row r="59">
      <c r="A59" s="366" t="s">
        <v>16</v>
      </c>
      <c r="B59" s="367">
        <v>4320.0</v>
      </c>
      <c r="C59" s="368"/>
      <c r="D59" s="367">
        <v>0.0</v>
      </c>
      <c r="E59" s="366" t="s">
        <v>597</v>
      </c>
      <c r="F59" s="366" t="s">
        <v>598</v>
      </c>
      <c r="G59" s="366" t="s">
        <v>599</v>
      </c>
      <c r="H59" s="369"/>
      <c r="I59" s="370">
        <v>37265.0</v>
      </c>
      <c r="J59" s="370">
        <v>45684.0</v>
      </c>
      <c r="K59" s="374"/>
      <c r="L59" s="367">
        <v>31.0</v>
      </c>
      <c r="M59" s="370">
        <v>45717.0</v>
      </c>
      <c r="N59" s="371">
        <v>45747.0</v>
      </c>
    </row>
    <row r="60">
      <c r="A60" s="366" t="s">
        <v>16</v>
      </c>
      <c r="B60" s="367">
        <v>4320.0</v>
      </c>
      <c r="C60" s="368"/>
      <c r="D60" s="367">
        <v>0.0</v>
      </c>
      <c r="E60" s="366" t="s">
        <v>66</v>
      </c>
      <c r="F60" s="366" t="s">
        <v>67</v>
      </c>
      <c r="G60" s="366" t="s">
        <v>68</v>
      </c>
      <c r="H60" s="369"/>
      <c r="I60" s="370">
        <v>34973.0</v>
      </c>
      <c r="J60" s="370">
        <v>44986.0</v>
      </c>
      <c r="K60" s="371">
        <v>45562.0</v>
      </c>
      <c r="L60" s="367">
        <v>0.0</v>
      </c>
      <c r="M60" s="370">
        <v>45717.0</v>
      </c>
      <c r="N60" s="371">
        <v>45747.0</v>
      </c>
    </row>
    <row r="61">
      <c r="A61" s="366" t="s">
        <v>16</v>
      </c>
      <c r="B61" s="367">
        <v>4320.0</v>
      </c>
      <c r="C61" s="368"/>
      <c r="D61" s="367">
        <v>0.0</v>
      </c>
      <c r="E61" s="366" t="s">
        <v>267</v>
      </c>
      <c r="F61" s="366" t="s">
        <v>268</v>
      </c>
      <c r="G61" s="366" t="s">
        <v>269</v>
      </c>
      <c r="H61" s="369"/>
      <c r="I61" s="370">
        <v>34590.0</v>
      </c>
      <c r="J61" s="370">
        <v>45313.0</v>
      </c>
      <c r="K61" s="372"/>
      <c r="L61" s="367">
        <v>31.0</v>
      </c>
      <c r="M61" s="370">
        <v>45717.0</v>
      </c>
      <c r="N61" s="371">
        <v>45747.0</v>
      </c>
    </row>
    <row r="62">
      <c r="A62" s="366" t="s">
        <v>16</v>
      </c>
      <c r="B62" s="367">
        <v>4320.0</v>
      </c>
      <c r="C62" s="368"/>
      <c r="D62" s="367">
        <v>0.0</v>
      </c>
      <c r="E62" s="366" t="s">
        <v>69</v>
      </c>
      <c r="F62" s="366" t="s">
        <v>70</v>
      </c>
      <c r="G62" s="366" t="s">
        <v>71</v>
      </c>
      <c r="H62" s="369"/>
      <c r="I62" s="370">
        <v>36891.0</v>
      </c>
      <c r="J62" s="370">
        <v>44739.0</v>
      </c>
      <c r="K62" s="369"/>
      <c r="L62" s="367">
        <v>31.0</v>
      </c>
      <c r="M62" s="370">
        <v>45717.0</v>
      </c>
      <c r="N62" s="371">
        <v>45747.0</v>
      </c>
    </row>
    <row r="63">
      <c r="A63" s="366" t="s">
        <v>16</v>
      </c>
      <c r="B63" s="367">
        <v>4320.0</v>
      </c>
      <c r="C63" s="368"/>
      <c r="D63" s="367">
        <v>0.0</v>
      </c>
      <c r="E63" s="366" t="s">
        <v>252</v>
      </c>
      <c r="F63" s="366" t="s">
        <v>253</v>
      </c>
      <c r="G63" s="366" t="s">
        <v>254</v>
      </c>
      <c r="H63" s="369"/>
      <c r="I63" s="373">
        <v>37516.0</v>
      </c>
      <c r="J63" s="370">
        <v>45159.0</v>
      </c>
      <c r="K63" s="371">
        <v>45450.0</v>
      </c>
      <c r="L63" s="367">
        <v>0.0</v>
      </c>
      <c r="M63" s="370">
        <v>45717.0</v>
      </c>
      <c r="N63" s="371">
        <v>45747.0</v>
      </c>
    </row>
    <row r="64">
      <c r="A64" s="366" t="s">
        <v>16</v>
      </c>
      <c r="B64" s="367">
        <v>4320.0</v>
      </c>
      <c r="C64" s="368"/>
      <c r="D64" s="367">
        <v>0.0</v>
      </c>
      <c r="E64" s="366" t="s">
        <v>468</v>
      </c>
      <c r="F64" s="366" t="s">
        <v>527</v>
      </c>
      <c r="G64" s="366" t="s">
        <v>469</v>
      </c>
      <c r="H64" s="369"/>
      <c r="I64" s="370">
        <v>35986.0</v>
      </c>
      <c r="J64" s="370">
        <v>45537.0</v>
      </c>
      <c r="K64" s="369"/>
      <c r="L64" s="367">
        <v>31.0</v>
      </c>
      <c r="M64" s="370">
        <v>45717.0</v>
      </c>
      <c r="N64" s="371">
        <v>45747.0</v>
      </c>
    </row>
    <row r="65">
      <c r="A65" s="366" t="s">
        <v>16</v>
      </c>
      <c r="B65" s="367">
        <v>4320.0</v>
      </c>
      <c r="C65" s="368"/>
      <c r="D65" s="367">
        <v>0.0</v>
      </c>
      <c r="E65" s="366" t="s">
        <v>72</v>
      </c>
      <c r="F65" s="366" t="s">
        <v>73</v>
      </c>
      <c r="G65" s="366" t="s">
        <v>74</v>
      </c>
      <c r="H65" s="369"/>
      <c r="I65" s="370">
        <v>37210.0</v>
      </c>
      <c r="J65" s="370">
        <v>44562.0</v>
      </c>
      <c r="K65" s="370">
        <v>45442.0</v>
      </c>
      <c r="L65" s="367">
        <v>0.0</v>
      </c>
      <c r="M65" s="370">
        <v>45717.0</v>
      </c>
      <c r="N65" s="371">
        <v>45747.0</v>
      </c>
    </row>
    <row r="66">
      <c r="A66" s="366" t="s">
        <v>16</v>
      </c>
      <c r="B66" s="367">
        <v>4320.0</v>
      </c>
      <c r="C66" s="368"/>
      <c r="D66" s="367">
        <v>0.0</v>
      </c>
      <c r="E66" s="366" t="s">
        <v>78</v>
      </c>
      <c r="F66" s="366" t="s">
        <v>79</v>
      </c>
      <c r="G66" s="366" t="s">
        <v>80</v>
      </c>
      <c r="H66" s="369"/>
      <c r="I66" s="370">
        <v>36401.0</v>
      </c>
      <c r="J66" s="370">
        <v>45096.0</v>
      </c>
      <c r="K66" s="369"/>
      <c r="L66" s="367">
        <v>31.0</v>
      </c>
      <c r="M66" s="370">
        <v>45717.0</v>
      </c>
      <c r="N66" s="371">
        <v>45747.0</v>
      </c>
    </row>
    <row r="67">
      <c r="A67" s="366" t="s">
        <v>16</v>
      </c>
      <c r="B67" s="367">
        <v>4320.0</v>
      </c>
      <c r="C67" s="368"/>
      <c r="D67" s="367">
        <v>0.0</v>
      </c>
      <c r="E67" s="366" t="s">
        <v>555</v>
      </c>
      <c r="F67" s="366" t="s">
        <v>556</v>
      </c>
      <c r="G67" s="366" t="s">
        <v>557</v>
      </c>
      <c r="H67" s="369"/>
      <c r="I67" s="370">
        <v>36135.0</v>
      </c>
      <c r="J67" s="370">
        <v>45663.0</v>
      </c>
      <c r="K67" s="369"/>
      <c r="L67" s="367">
        <v>31.0</v>
      </c>
      <c r="M67" s="370">
        <v>45717.0</v>
      </c>
      <c r="N67" s="371">
        <v>45747.0</v>
      </c>
    </row>
    <row r="68">
      <c r="A68" s="366" t="s">
        <v>16</v>
      </c>
      <c r="B68" s="367">
        <v>4320.0</v>
      </c>
      <c r="C68" s="368"/>
      <c r="D68" s="367">
        <v>0.0</v>
      </c>
      <c r="E68" s="366" t="s">
        <v>483</v>
      </c>
      <c r="F68" s="366" t="s">
        <v>537</v>
      </c>
      <c r="G68" s="366" t="s">
        <v>484</v>
      </c>
      <c r="H68" s="369"/>
      <c r="I68" s="370">
        <v>36286.0</v>
      </c>
      <c r="J68" s="373">
        <v>45602.0</v>
      </c>
      <c r="K68" s="371">
        <v>45723.0</v>
      </c>
      <c r="L68" s="367">
        <v>7.0</v>
      </c>
      <c r="M68" s="370">
        <v>45717.0</v>
      </c>
      <c r="N68" s="371">
        <v>45747.0</v>
      </c>
    </row>
    <row r="69">
      <c r="A69" s="366" t="s">
        <v>16</v>
      </c>
      <c r="B69" s="367">
        <v>4320.0</v>
      </c>
      <c r="C69" s="368"/>
      <c r="D69" s="367">
        <v>0.0</v>
      </c>
      <c r="E69" s="366" t="s">
        <v>81</v>
      </c>
      <c r="F69" s="366" t="s">
        <v>82</v>
      </c>
      <c r="G69" s="366" t="s">
        <v>83</v>
      </c>
      <c r="H69" s="369"/>
      <c r="I69" s="370">
        <v>36113.0</v>
      </c>
      <c r="J69" s="370">
        <v>44866.0</v>
      </c>
      <c r="K69" s="371">
        <v>45299.0</v>
      </c>
      <c r="L69" s="367">
        <v>0.0</v>
      </c>
      <c r="M69" s="370">
        <v>45717.0</v>
      </c>
      <c r="N69" s="371">
        <v>45747.0</v>
      </c>
    </row>
    <row r="70">
      <c r="A70" s="366" t="s">
        <v>16</v>
      </c>
      <c r="B70" s="367">
        <v>4320.0</v>
      </c>
      <c r="C70" s="368"/>
      <c r="D70" s="367">
        <v>0.0</v>
      </c>
      <c r="E70" s="366" t="s">
        <v>485</v>
      </c>
      <c r="F70" s="366" t="s">
        <v>535</v>
      </c>
      <c r="G70" s="366" t="s">
        <v>486</v>
      </c>
      <c r="H70" s="369"/>
      <c r="I70" s="370">
        <v>36994.0</v>
      </c>
      <c r="J70" s="370">
        <v>45602.0</v>
      </c>
      <c r="K70" s="369"/>
      <c r="L70" s="367">
        <v>31.0</v>
      </c>
      <c r="M70" s="370">
        <v>45717.0</v>
      </c>
      <c r="N70" s="371">
        <v>45747.0</v>
      </c>
    </row>
    <row r="71">
      <c r="A71" s="366" t="s">
        <v>16</v>
      </c>
      <c r="B71" s="367">
        <v>4320.0</v>
      </c>
      <c r="C71" s="368"/>
      <c r="D71" s="367">
        <v>0.0</v>
      </c>
      <c r="E71" s="366" t="s">
        <v>331</v>
      </c>
      <c r="F71" s="366" t="s">
        <v>332</v>
      </c>
      <c r="G71" s="366" t="s">
        <v>333</v>
      </c>
      <c r="H71" s="369"/>
      <c r="I71" s="370">
        <v>37958.0</v>
      </c>
      <c r="J71" s="370">
        <v>45369.0</v>
      </c>
      <c r="K71" s="374"/>
      <c r="L71" s="367">
        <v>31.0</v>
      </c>
      <c r="M71" s="370">
        <v>45717.0</v>
      </c>
      <c r="N71" s="371">
        <v>45747.0</v>
      </c>
    </row>
    <row r="72">
      <c r="A72" s="366" t="s">
        <v>16</v>
      </c>
      <c r="B72" s="367">
        <v>4320.0</v>
      </c>
      <c r="C72" s="368"/>
      <c r="D72" s="367">
        <v>0.0</v>
      </c>
      <c r="E72" s="366" t="s">
        <v>392</v>
      </c>
      <c r="F72" s="366" t="s">
        <v>393</v>
      </c>
      <c r="G72" s="366" t="s">
        <v>394</v>
      </c>
      <c r="H72" s="369"/>
      <c r="I72" s="370">
        <v>34922.0</v>
      </c>
      <c r="J72" s="370">
        <v>45418.0</v>
      </c>
      <c r="K72" s="374"/>
      <c r="L72" s="367">
        <v>31.0</v>
      </c>
      <c r="M72" s="370">
        <v>45717.0</v>
      </c>
      <c r="N72" s="371">
        <v>45747.0</v>
      </c>
    </row>
    <row r="73">
      <c r="A73" s="366" t="s">
        <v>16</v>
      </c>
      <c r="B73" s="367">
        <v>4320.0</v>
      </c>
      <c r="C73" s="368"/>
      <c r="D73" s="367">
        <v>0.0</v>
      </c>
      <c r="E73" s="366" t="s">
        <v>696</v>
      </c>
      <c r="F73" s="366" t="s">
        <v>756</v>
      </c>
      <c r="G73" s="366" t="s">
        <v>698</v>
      </c>
      <c r="H73" s="369"/>
      <c r="I73" s="370">
        <v>36474.0</v>
      </c>
      <c r="J73" s="370">
        <v>45698.0</v>
      </c>
      <c r="K73" s="374"/>
      <c r="L73" s="367">
        <v>31.0</v>
      </c>
      <c r="M73" s="370">
        <v>45717.0</v>
      </c>
      <c r="N73" s="371">
        <v>45747.0</v>
      </c>
    </row>
    <row r="74">
      <c r="A74" s="366" t="s">
        <v>16</v>
      </c>
      <c r="B74" s="367">
        <v>4320.0</v>
      </c>
      <c r="C74" s="368"/>
      <c r="D74" s="367">
        <v>0.0</v>
      </c>
      <c r="E74" s="366" t="s">
        <v>699</v>
      </c>
      <c r="F74" s="366" t="s">
        <v>757</v>
      </c>
      <c r="G74" s="366" t="s">
        <v>701</v>
      </c>
      <c r="H74" s="369"/>
      <c r="I74" s="370">
        <v>36474.0</v>
      </c>
      <c r="J74" s="370">
        <v>45698.0</v>
      </c>
      <c r="K74" s="374"/>
      <c r="L74" s="367">
        <v>31.0</v>
      </c>
      <c r="M74" s="370">
        <v>45717.0</v>
      </c>
      <c r="N74" s="371">
        <v>45747.0</v>
      </c>
    </row>
    <row r="75">
      <c r="A75" s="366" t="s">
        <v>16</v>
      </c>
      <c r="B75" s="367">
        <v>4320.0</v>
      </c>
      <c r="C75" s="368"/>
      <c r="D75" s="367">
        <v>0.0</v>
      </c>
      <c r="E75" s="366" t="s">
        <v>576</v>
      </c>
      <c r="F75" s="366" t="s">
        <v>577</v>
      </c>
      <c r="G75" s="366" t="s">
        <v>578</v>
      </c>
      <c r="H75" s="369"/>
      <c r="I75" s="370">
        <v>37944.0</v>
      </c>
      <c r="J75" s="370">
        <v>45677.0</v>
      </c>
      <c r="K75" s="369"/>
      <c r="L75" s="367">
        <v>31.0</v>
      </c>
      <c r="M75" s="370">
        <v>45717.0</v>
      </c>
      <c r="N75" s="371">
        <v>45747.0</v>
      </c>
    </row>
    <row r="76">
      <c r="A76" s="366" t="s">
        <v>16</v>
      </c>
      <c r="B76" s="367">
        <v>4320.0</v>
      </c>
      <c r="C76" s="368"/>
      <c r="D76" s="367">
        <v>0.0</v>
      </c>
      <c r="E76" s="366" t="s">
        <v>546</v>
      </c>
      <c r="F76" s="366" t="s">
        <v>547</v>
      </c>
      <c r="G76" s="366" t="s">
        <v>548</v>
      </c>
      <c r="H76" s="369"/>
      <c r="I76" s="370">
        <v>38255.0</v>
      </c>
      <c r="J76" s="370">
        <v>45658.0</v>
      </c>
      <c r="K76" s="372"/>
      <c r="L76" s="367">
        <v>31.0</v>
      </c>
      <c r="M76" s="370">
        <v>45717.0</v>
      </c>
      <c r="N76" s="371">
        <v>45747.0</v>
      </c>
    </row>
    <row r="77">
      <c r="A77" s="366" t="s">
        <v>16</v>
      </c>
      <c r="B77" s="367">
        <v>4320.0</v>
      </c>
      <c r="C77" s="368"/>
      <c r="D77" s="367">
        <v>0.0</v>
      </c>
      <c r="E77" s="366" t="s">
        <v>741</v>
      </c>
      <c r="F77" s="366" t="s">
        <v>742</v>
      </c>
      <c r="G77" s="366" t="s">
        <v>743</v>
      </c>
      <c r="H77" s="369"/>
      <c r="I77" s="370">
        <v>37329.0</v>
      </c>
      <c r="J77" s="370">
        <v>45719.0</v>
      </c>
      <c r="K77" s="369"/>
      <c r="L77" s="367">
        <v>29.0</v>
      </c>
      <c r="M77" s="370">
        <v>45717.0</v>
      </c>
      <c r="N77" s="371">
        <v>45747.0</v>
      </c>
    </row>
    <row r="78">
      <c r="A78" s="366" t="s">
        <v>16</v>
      </c>
      <c r="B78" s="367">
        <v>4320.0</v>
      </c>
      <c r="C78" s="368"/>
      <c r="D78" s="367">
        <v>0.0</v>
      </c>
      <c r="E78" s="366" t="s">
        <v>294</v>
      </c>
      <c r="F78" s="366" t="s">
        <v>295</v>
      </c>
      <c r="G78" s="366" t="s">
        <v>296</v>
      </c>
      <c r="H78" s="369"/>
      <c r="I78" s="370">
        <v>36551.0</v>
      </c>
      <c r="J78" s="370">
        <v>45278.0</v>
      </c>
      <c r="K78" s="371">
        <v>45359.0</v>
      </c>
      <c r="L78" s="367">
        <v>0.0</v>
      </c>
      <c r="M78" s="370">
        <v>45717.0</v>
      </c>
      <c r="N78" s="371">
        <v>45747.0</v>
      </c>
    </row>
    <row r="79">
      <c r="A79" s="366" t="s">
        <v>16</v>
      </c>
      <c r="B79" s="367">
        <v>4320.0</v>
      </c>
      <c r="C79" s="368"/>
      <c r="D79" s="367">
        <v>0.0</v>
      </c>
      <c r="E79" s="366" t="s">
        <v>623</v>
      </c>
      <c r="F79" s="366" t="s">
        <v>624</v>
      </c>
      <c r="G79" s="366" t="s">
        <v>625</v>
      </c>
      <c r="H79" s="369"/>
      <c r="I79" s="370">
        <v>37489.0</v>
      </c>
      <c r="J79" s="370">
        <v>45397.0</v>
      </c>
      <c r="K79" s="370">
        <v>45488.0</v>
      </c>
      <c r="L79" s="367">
        <v>0.0</v>
      </c>
      <c r="M79" s="370">
        <v>45717.0</v>
      </c>
      <c r="N79" s="371">
        <v>45747.0</v>
      </c>
    </row>
    <row r="80">
      <c r="A80" s="366" t="s">
        <v>16</v>
      </c>
      <c r="B80" s="367">
        <v>4320.0</v>
      </c>
      <c r="C80" s="368"/>
      <c r="D80" s="367">
        <v>0.0</v>
      </c>
      <c r="E80" s="366" t="s">
        <v>626</v>
      </c>
      <c r="F80" s="366" t="s">
        <v>627</v>
      </c>
      <c r="G80" s="366" t="s">
        <v>628</v>
      </c>
      <c r="H80" s="369"/>
      <c r="I80" s="370">
        <v>35257.0</v>
      </c>
      <c r="J80" s="370">
        <v>44795.0</v>
      </c>
      <c r="K80" s="371">
        <v>45199.0</v>
      </c>
      <c r="L80" s="367">
        <v>0.0</v>
      </c>
      <c r="M80" s="370">
        <v>45717.0</v>
      </c>
      <c r="N80" s="371">
        <v>45747.0</v>
      </c>
    </row>
    <row r="81">
      <c r="A81" s="366" t="s">
        <v>16</v>
      </c>
      <c r="B81" s="367">
        <v>4320.0</v>
      </c>
      <c r="C81" s="368"/>
      <c r="D81" s="367">
        <v>0.0</v>
      </c>
      <c r="E81" s="366" t="s">
        <v>629</v>
      </c>
      <c r="F81" s="366" t="s">
        <v>630</v>
      </c>
      <c r="G81" s="366" t="s">
        <v>631</v>
      </c>
      <c r="H81" s="369"/>
      <c r="I81" s="370">
        <v>34807.0</v>
      </c>
      <c r="J81" s="370">
        <v>45110.0</v>
      </c>
      <c r="K81" s="370">
        <v>45199.0</v>
      </c>
      <c r="L81" s="367">
        <v>0.0</v>
      </c>
      <c r="M81" s="370">
        <v>45717.0</v>
      </c>
      <c r="N81" s="371">
        <v>45747.0</v>
      </c>
    </row>
    <row r="82">
      <c r="A82" s="366" t="s">
        <v>16</v>
      </c>
      <c r="B82" s="367">
        <v>4320.0</v>
      </c>
      <c r="C82" s="368"/>
      <c r="D82" s="367">
        <v>0.0</v>
      </c>
      <c r="E82" s="366" t="s">
        <v>501</v>
      </c>
      <c r="F82" s="366" t="s">
        <v>541</v>
      </c>
      <c r="G82" s="366" t="s">
        <v>502</v>
      </c>
      <c r="H82" s="369"/>
      <c r="I82" s="376">
        <v>36062.0</v>
      </c>
      <c r="J82" s="370">
        <v>45628.0</v>
      </c>
      <c r="K82" s="374"/>
      <c r="L82" s="367">
        <v>31.0</v>
      </c>
      <c r="M82" s="370">
        <v>45717.0</v>
      </c>
      <c r="N82" s="371">
        <v>45747.0</v>
      </c>
    </row>
    <row r="83">
      <c r="A83" s="366" t="s">
        <v>16</v>
      </c>
      <c r="B83" s="367">
        <v>4320.0</v>
      </c>
      <c r="C83" s="368"/>
      <c r="D83" s="367">
        <v>0.0</v>
      </c>
      <c r="E83" s="366" t="s">
        <v>270</v>
      </c>
      <c r="F83" s="366" t="s">
        <v>271</v>
      </c>
      <c r="G83" s="366" t="s">
        <v>272</v>
      </c>
      <c r="H83" s="369"/>
      <c r="I83" s="376">
        <v>36769.0</v>
      </c>
      <c r="J83" s="370">
        <v>45313.0</v>
      </c>
      <c r="K83" s="370">
        <v>45415.0</v>
      </c>
      <c r="L83" s="367">
        <v>0.0</v>
      </c>
      <c r="M83" s="370">
        <v>45717.0</v>
      </c>
      <c r="N83" s="371">
        <v>45747.0</v>
      </c>
    </row>
    <row r="84">
      <c r="A84" s="366" t="s">
        <v>16</v>
      </c>
      <c r="B84" s="367">
        <v>4320.0</v>
      </c>
      <c r="C84" s="368"/>
      <c r="D84" s="367">
        <v>0.0</v>
      </c>
      <c r="E84" s="366" t="s">
        <v>451</v>
      </c>
      <c r="F84" s="366" t="s">
        <v>512</v>
      </c>
      <c r="G84" s="366" t="s">
        <v>415</v>
      </c>
      <c r="H84" s="369"/>
      <c r="I84" s="376">
        <v>36443.0</v>
      </c>
      <c r="J84" s="370">
        <v>45446.0</v>
      </c>
      <c r="K84" s="374"/>
      <c r="L84" s="367">
        <v>31.0</v>
      </c>
      <c r="M84" s="370">
        <v>45717.0</v>
      </c>
      <c r="N84" s="371">
        <v>45747.0</v>
      </c>
    </row>
    <row r="85">
      <c r="A85" s="366" t="s">
        <v>16</v>
      </c>
      <c r="B85" s="367">
        <v>4320.0</v>
      </c>
      <c r="C85" s="368"/>
      <c r="D85" s="367">
        <v>0.0</v>
      </c>
      <c r="E85" s="366" t="s">
        <v>87</v>
      </c>
      <c r="F85" s="366" t="s">
        <v>88</v>
      </c>
      <c r="G85" s="366" t="s">
        <v>89</v>
      </c>
      <c r="H85" s="369"/>
      <c r="I85" s="376">
        <v>33737.0</v>
      </c>
      <c r="J85" s="370">
        <v>45139.0</v>
      </c>
      <c r="K85" s="370">
        <v>45734.0</v>
      </c>
      <c r="L85" s="367">
        <v>18.0</v>
      </c>
      <c r="M85" s="370">
        <v>45717.0</v>
      </c>
      <c r="N85" s="371">
        <v>45747.0</v>
      </c>
    </row>
    <row r="86">
      <c r="A86" s="366" t="s">
        <v>16</v>
      </c>
      <c r="B86" s="367">
        <v>4320.0</v>
      </c>
      <c r="C86" s="368"/>
      <c r="D86" s="367">
        <v>0.0</v>
      </c>
      <c r="E86" s="366" t="s">
        <v>632</v>
      </c>
      <c r="F86" s="366" t="s">
        <v>633</v>
      </c>
      <c r="G86" s="366" t="s">
        <v>634</v>
      </c>
      <c r="H86" s="369"/>
      <c r="I86" s="370">
        <v>35300.0</v>
      </c>
      <c r="J86" s="370">
        <v>45103.0</v>
      </c>
      <c r="K86" s="371">
        <v>45310.0</v>
      </c>
      <c r="L86" s="367">
        <v>0.0</v>
      </c>
      <c r="M86" s="370">
        <v>45717.0</v>
      </c>
      <c r="N86" s="371">
        <v>45747.0</v>
      </c>
    </row>
    <row r="87">
      <c r="A87" s="366" t="s">
        <v>16</v>
      </c>
      <c r="B87" s="367">
        <v>4320.0</v>
      </c>
      <c r="C87" s="368"/>
      <c r="D87" s="367">
        <v>0.0</v>
      </c>
      <c r="E87" s="366" t="s">
        <v>573</v>
      </c>
      <c r="F87" s="366" t="s">
        <v>574</v>
      </c>
      <c r="G87" s="366" t="s">
        <v>575</v>
      </c>
      <c r="H87" s="369"/>
      <c r="I87" s="370">
        <v>36061.0</v>
      </c>
      <c r="J87" s="370">
        <v>45677.0</v>
      </c>
      <c r="K87" s="374"/>
      <c r="L87" s="367">
        <v>31.0</v>
      </c>
      <c r="M87" s="370">
        <v>45717.0</v>
      </c>
      <c r="N87" s="371">
        <v>45747.0</v>
      </c>
    </row>
    <row r="88">
      <c r="A88" s="366" t="s">
        <v>16</v>
      </c>
      <c r="B88" s="367">
        <v>4320.0</v>
      </c>
      <c r="C88" s="368"/>
      <c r="D88" s="367">
        <v>0.0</v>
      </c>
      <c r="E88" s="366" t="s">
        <v>90</v>
      </c>
      <c r="F88" s="366" t="s">
        <v>91</v>
      </c>
      <c r="G88" s="366" t="s">
        <v>92</v>
      </c>
      <c r="H88" s="369"/>
      <c r="I88" s="370">
        <v>33917.0</v>
      </c>
      <c r="J88" s="370">
        <v>45166.0</v>
      </c>
      <c r="K88" s="370">
        <v>45321.0</v>
      </c>
      <c r="L88" s="367">
        <v>0.0</v>
      </c>
      <c r="M88" s="370">
        <v>45717.0</v>
      </c>
      <c r="N88" s="371">
        <v>45747.0</v>
      </c>
    </row>
    <row r="89">
      <c r="A89" s="366" t="s">
        <v>16</v>
      </c>
      <c r="B89" s="367">
        <v>4320.0</v>
      </c>
      <c r="C89" s="368"/>
      <c r="D89" s="367">
        <v>0.0</v>
      </c>
      <c r="E89" s="366" t="s">
        <v>337</v>
      </c>
      <c r="F89" s="366" t="s">
        <v>338</v>
      </c>
      <c r="G89" s="366" t="s">
        <v>339</v>
      </c>
      <c r="H89" s="369"/>
      <c r="I89" s="370">
        <v>37539.0</v>
      </c>
      <c r="J89" s="370">
        <v>45362.0</v>
      </c>
      <c r="K89" s="371">
        <v>45657.0</v>
      </c>
      <c r="L89" s="367">
        <v>0.0</v>
      </c>
      <c r="M89" s="370">
        <v>45717.0</v>
      </c>
      <c r="N89" s="371">
        <v>45747.0</v>
      </c>
    </row>
    <row r="90">
      <c r="A90" s="366" t="s">
        <v>16</v>
      </c>
      <c r="B90" s="367">
        <v>4320.0</v>
      </c>
      <c r="C90" s="368"/>
      <c r="D90" s="367">
        <v>0.0</v>
      </c>
      <c r="E90" s="366" t="s">
        <v>297</v>
      </c>
      <c r="F90" s="366" t="s">
        <v>298</v>
      </c>
      <c r="G90" s="366" t="s">
        <v>299</v>
      </c>
      <c r="H90" s="369"/>
      <c r="I90" s="370">
        <v>36692.0</v>
      </c>
      <c r="J90" s="370">
        <v>45243.0</v>
      </c>
      <c r="K90" s="371">
        <v>45365.0</v>
      </c>
      <c r="L90" s="367">
        <v>0.0</v>
      </c>
      <c r="M90" s="370">
        <v>45717.0</v>
      </c>
      <c r="N90" s="371">
        <v>45747.0</v>
      </c>
    </row>
    <row r="91">
      <c r="A91" s="366" t="s">
        <v>16</v>
      </c>
      <c r="B91" s="367">
        <v>4320.0</v>
      </c>
      <c r="C91" s="368"/>
      <c r="D91" s="367">
        <v>0.0</v>
      </c>
      <c r="E91" s="366" t="s">
        <v>93</v>
      </c>
      <c r="F91" s="366" t="s">
        <v>94</v>
      </c>
      <c r="G91" s="366" t="s">
        <v>95</v>
      </c>
      <c r="H91" s="369"/>
      <c r="I91" s="370">
        <v>36137.0</v>
      </c>
      <c r="J91" s="370">
        <v>45098.0</v>
      </c>
      <c r="K91" s="371">
        <v>45246.0</v>
      </c>
      <c r="L91" s="367">
        <v>0.0</v>
      </c>
      <c r="M91" s="370">
        <v>45717.0</v>
      </c>
      <c r="N91" s="371">
        <v>45747.0</v>
      </c>
    </row>
    <row r="92">
      <c r="A92" s="366" t="s">
        <v>16</v>
      </c>
      <c r="B92" s="367">
        <v>4320.0</v>
      </c>
      <c r="C92" s="368"/>
      <c r="D92" s="367">
        <v>0.0</v>
      </c>
      <c r="E92" s="366" t="s">
        <v>636</v>
      </c>
      <c r="F92" s="366" t="s">
        <v>637</v>
      </c>
      <c r="G92" s="366" t="s">
        <v>638</v>
      </c>
      <c r="H92" s="369"/>
      <c r="I92" s="370">
        <v>36354.0</v>
      </c>
      <c r="J92" s="370">
        <v>44562.0</v>
      </c>
      <c r="K92" s="371">
        <v>45199.0</v>
      </c>
      <c r="L92" s="367">
        <v>0.0</v>
      </c>
      <c r="M92" s="370">
        <v>45717.0</v>
      </c>
      <c r="N92" s="371">
        <v>45747.0</v>
      </c>
    </row>
    <row r="93">
      <c r="A93" s="366" t="s">
        <v>16</v>
      </c>
      <c r="B93" s="367">
        <v>4320.0</v>
      </c>
      <c r="C93" s="368"/>
      <c r="D93" s="367">
        <v>0.0</v>
      </c>
      <c r="E93" s="366" t="s">
        <v>579</v>
      </c>
      <c r="F93" s="366" t="s">
        <v>580</v>
      </c>
      <c r="G93" s="366" t="s">
        <v>581</v>
      </c>
      <c r="H93" s="369"/>
      <c r="I93" s="370">
        <v>37609.0</v>
      </c>
      <c r="J93" s="370">
        <v>45677.0</v>
      </c>
      <c r="K93" s="372"/>
      <c r="L93" s="367">
        <v>31.0</v>
      </c>
      <c r="M93" s="370">
        <v>45717.0</v>
      </c>
      <c r="N93" s="371">
        <v>45747.0</v>
      </c>
    </row>
    <row r="94">
      <c r="A94" s="366" t="s">
        <v>16</v>
      </c>
      <c r="B94" s="367">
        <v>4320.0</v>
      </c>
      <c r="C94" s="368"/>
      <c r="D94" s="367">
        <v>0.0</v>
      </c>
      <c r="E94" s="366" t="s">
        <v>452</v>
      </c>
      <c r="F94" s="366" t="s">
        <v>513</v>
      </c>
      <c r="G94" s="366" t="s">
        <v>454</v>
      </c>
      <c r="H94" s="369"/>
      <c r="I94" s="370">
        <v>37834.0</v>
      </c>
      <c r="J94" s="370">
        <v>45505.0</v>
      </c>
      <c r="K94" s="373">
        <v>45667.0</v>
      </c>
      <c r="L94" s="367">
        <v>0.0</v>
      </c>
      <c r="M94" s="370">
        <v>45717.0</v>
      </c>
      <c r="N94" s="371">
        <v>45747.0</v>
      </c>
    </row>
    <row r="95">
      <c r="A95" s="366" t="s">
        <v>16</v>
      </c>
      <c r="B95" s="367">
        <v>4320.0</v>
      </c>
      <c r="C95" s="368"/>
      <c r="D95" s="367">
        <v>0.0</v>
      </c>
      <c r="E95" s="366" t="s">
        <v>99</v>
      </c>
      <c r="F95" s="366" t="s">
        <v>100</v>
      </c>
      <c r="G95" s="366" t="s">
        <v>101</v>
      </c>
      <c r="H95" s="369"/>
      <c r="I95" s="370">
        <v>37240.0</v>
      </c>
      <c r="J95" s="370">
        <v>45176.0</v>
      </c>
      <c r="K95" s="371">
        <v>45535.0</v>
      </c>
      <c r="L95" s="367">
        <v>0.0</v>
      </c>
      <c r="M95" s="370">
        <v>45717.0</v>
      </c>
      <c r="N95" s="371">
        <v>45747.0</v>
      </c>
    </row>
    <row r="96">
      <c r="A96" s="366" t="s">
        <v>16</v>
      </c>
      <c r="B96" s="367">
        <v>4320.0</v>
      </c>
      <c r="C96" s="368"/>
      <c r="D96" s="367">
        <v>0.0</v>
      </c>
      <c r="E96" s="366" t="s">
        <v>476</v>
      </c>
      <c r="F96" s="366" t="s">
        <v>529</v>
      </c>
      <c r="G96" s="366" t="s">
        <v>477</v>
      </c>
      <c r="H96" s="369"/>
      <c r="I96" s="370">
        <v>37220.0</v>
      </c>
      <c r="J96" s="373">
        <v>45572.0</v>
      </c>
      <c r="K96" s="369"/>
      <c r="L96" s="367">
        <v>31.0</v>
      </c>
      <c r="M96" s="370">
        <v>45717.0</v>
      </c>
      <c r="N96" s="371">
        <v>45747.0</v>
      </c>
    </row>
    <row r="97">
      <c r="A97" s="366" t="s">
        <v>16</v>
      </c>
      <c r="B97" s="367">
        <v>4320.0</v>
      </c>
      <c r="C97" s="368"/>
      <c r="D97" s="367">
        <v>0.0</v>
      </c>
      <c r="E97" s="366" t="s">
        <v>102</v>
      </c>
      <c r="F97" s="366" t="s">
        <v>103</v>
      </c>
      <c r="G97" s="366" t="s">
        <v>104</v>
      </c>
      <c r="H97" s="369"/>
      <c r="I97" s="370">
        <v>33240.0</v>
      </c>
      <c r="J97" s="370">
        <v>44287.0</v>
      </c>
      <c r="K97" s="369"/>
      <c r="L97" s="367">
        <v>31.0</v>
      </c>
      <c r="M97" s="370">
        <v>45717.0</v>
      </c>
      <c r="N97" s="371">
        <v>45747.0</v>
      </c>
    </row>
    <row r="98">
      <c r="A98" s="366" t="s">
        <v>16</v>
      </c>
      <c r="B98" s="367">
        <v>4320.0</v>
      </c>
      <c r="C98" s="368"/>
      <c r="D98" s="367">
        <v>0.0</v>
      </c>
      <c r="E98" s="366" t="s">
        <v>255</v>
      </c>
      <c r="F98" s="366" t="s">
        <v>256</v>
      </c>
      <c r="G98" s="366" t="s">
        <v>257</v>
      </c>
      <c r="H98" s="369"/>
      <c r="I98" s="370">
        <v>35173.0</v>
      </c>
      <c r="J98" s="370">
        <v>45264.0</v>
      </c>
      <c r="K98" s="374"/>
      <c r="L98" s="367">
        <v>31.0</v>
      </c>
      <c r="M98" s="370">
        <v>45717.0</v>
      </c>
      <c r="N98" s="371">
        <v>45747.0</v>
      </c>
    </row>
    <row r="99">
      <c r="A99" s="366" t="s">
        <v>16</v>
      </c>
      <c r="B99" s="367">
        <v>4320.0</v>
      </c>
      <c r="C99" s="368"/>
      <c r="D99" s="367">
        <v>0.0</v>
      </c>
      <c r="E99" s="366" t="s">
        <v>438</v>
      </c>
      <c r="F99" s="366" t="s">
        <v>341</v>
      </c>
      <c r="G99" s="366" t="s">
        <v>342</v>
      </c>
      <c r="H99" s="369"/>
      <c r="I99" s="370">
        <v>37964.0</v>
      </c>
      <c r="J99" s="370">
        <v>45355.0</v>
      </c>
      <c r="K99" s="374"/>
      <c r="L99" s="367">
        <v>31.0</v>
      </c>
      <c r="M99" s="370">
        <v>45717.0</v>
      </c>
      <c r="N99" s="371">
        <v>45747.0</v>
      </c>
    </row>
    <row r="100">
      <c r="A100" s="366" t="s">
        <v>16</v>
      </c>
      <c r="B100" s="367">
        <v>4320.0</v>
      </c>
      <c r="C100" s="368"/>
      <c r="D100" s="367">
        <v>0.0</v>
      </c>
      <c r="E100" s="366" t="s">
        <v>105</v>
      </c>
      <c r="F100" s="366" t="s">
        <v>106</v>
      </c>
      <c r="G100" s="366" t="s">
        <v>107</v>
      </c>
      <c r="H100" s="369"/>
      <c r="I100" s="370">
        <v>37136.0</v>
      </c>
      <c r="J100" s="370">
        <v>45181.0</v>
      </c>
      <c r="K100" s="375">
        <v>45054.0</v>
      </c>
      <c r="L100" s="367">
        <v>0.0</v>
      </c>
      <c r="M100" s="370">
        <v>45717.0</v>
      </c>
      <c r="N100" s="371">
        <v>45747.0</v>
      </c>
    </row>
    <row r="101">
      <c r="A101" s="366" t="s">
        <v>16</v>
      </c>
      <c r="B101" s="367">
        <v>4320.0</v>
      </c>
      <c r="C101" s="368"/>
      <c r="D101" s="367">
        <v>0.0</v>
      </c>
      <c r="E101" s="366" t="s">
        <v>639</v>
      </c>
      <c r="F101" s="366" t="s">
        <v>323</v>
      </c>
      <c r="G101" s="366" t="s">
        <v>324</v>
      </c>
      <c r="H101" s="369"/>
      <c r="I101" s="370">
        <v>37100.0</v>
      </c>
      <c r="J101" s="370">
        <v>45376.0</v>
      </c>
      <c r="K101" s="370">
        <v>45425.0</v>
      </c>
      <c r="L101" s="367">
        <v>0.0</v>
      </c>
      <c r="M101" s="370">
        <v>45717.0</v>
      </c>
      <c r="N101" s="371">
        <v>45747.0</v>
      </c>
    </row>
    <row r="102">
      <c r="A102" s="366" t="s">
        <v>16</v>
      </c>
      <c r="B102" s="367">
        <v>4320.0</v>
      </c>
      <c r="C102" s="368"/>
      <c r="D102" s="367">
        <v>0.0</v>
      </c>
      <c r="E102" s="366" t="s">
        <v>508</v>
      </c>
      <c r="F102" s="366" t="s">
        <v>545</v>
      </c>
      <c r="G102" s="366" t="s">
        <v>509</v>
      </c>
      <c r="H102" s="369"/>
      <c r="I102" s="370">
        <v>36637.0</v>
      </c>
      <c r="J102" s="370">
        <v>45649.0</v>
      </c>
      <c r="K102" s="369"/>
      <c r="L102" s="367">
        <v>31.0</v>
      </c>
      <c r="M102" s="370">
        <v>45717.0</v>
      </c>
      <c r="N102" s="371">
        <v>45747.0</v>
      </c>
    </row>
    <row r="103">
      <c r="A103" s="366" t="s">
        <v>16</v>
      </c>
      <c r="B103" s="367">
        <v>4320.0</v>
      </c>
      <c r="C103" s="368"/>
      <c r="D103" s="367">
        <v>0.0</v>
      </c>
      <c r="E103" s="366" t="s">
        <v>395</v>
      </c>
      <c r="F103" s="366" t="s">
        <v>396</v>
      </c>
      <c r="G103" s="366" t="s">
        <v>397</v>
      </c>
      <c r="H103" s="369"/>
      <c r="I103" s="370">
        <v>36557.0</v>
      </c>
      <c r="J103" s="370">
        <v>45432.0</v>
      </c>
      <c r="K103" s="374"/>
      <c r="L103" s="367">
        <v>31.0</v>
      </c>
      <c r="M103" s="370">
        <v>45717.0</v>
      </c>
      <c r="N103" s="371">
        <v>45747.0</v>
      </c>
    </row>
    <row r="104">
      <c r="A104" s="366" t="s">
        <v>16</v>
      </c>
      <c r="B104" s="367">
        <v>4320.0</v>
      </c>
      <c r="C104" s="368"/>
      <c r="D104" s="367">
        <v>0.0</v>
      </c>
      <c r="E104" s="366" t="s">
        <v>370</v>
      </c>
      <c r="F104" s="366" t="s">
        <v>371</v>
      </c>
      <c r="G104" s="366" t="s">
        <v>372</v>
      </c>
      <c r="H104" s="369"/>
      <c r="I104" s="370">
        <v>35551.0</v>
      </c>
      <c r="J104" s="370">
        <v>45383.0</v>
      </c>
      <c r="K104" s="374"/>
      <c r="L104" s="367">
        <v>31.0</v>
      </c>
      <c r="M104" s="370">
        <v>45717.0</v>
      </c>
      <c r="N104" s="371">
        <v>45747.0</v>
      </c>
    </row>
    <row r="105">
      <c r="A105" s="366" t="s">
        <v>16</v>
      </c>
      <c r="B105" s="367">
        <v>4320.0</v>
      </c>
      <c r="C105" s="368"/>
      <c r="D105" s="367">
        <v>0.0</v>
      </c>
      <c r="E105" s="366" t="s">
        <v>640</v>
      </c>
      <c r="F105" s="366" t="s">
        <v>641</v>
      </c>
      <c r="G105" s="366" t="s">
        <v>642</v>
      </c>
      <c r="H105" s="369"/>
      <c r="I105" s="370">
        <v>35152.0</v>
      </c>
      <c r="J105" s="370">
        <v>45180.0</v>
      </c>
      <c r="K105" s="370">
        <v>45233.0</v>
      </c>
      <c r="L105" s="367">
        <v>0.0</v>
      </c>
      <c r="M105" s="370">
        <v>45717.0</v>
      </c>
      <c r="N105" s="371">
        <v>45747.0</v>
      </c>
    </row>
    <row r="106">
      <c r="A106" s="366" t="s">
        <v>16</v>
      </c>
      <c r="B106" s="367">
        <v>4320.0</v>
      </c>
      <c r="C106" s="368"/>
      <c r="D106" s="367">
        <v>0.0</v>
      </c>
      <c r="E106" s="366" t="s">
        <v>111</v>
      </c>
      <c r="F106" s="366" t="s">
        <v>112</v>
      </c>
      <c r="G106" s="366" t="s">
        <v>113</v>
      </c>
      <c r="H106" s="369"/>
      <c r="I106" s="370">
        <v>36898.0</v>
      </c>
      <c r="J106" s="370">
        <v>44988.0</v>
      </c>
      <c r="K106" s="371">
        <v>45412.0</v>
      </c>
      <c r="L106" s="367">
        <v>0.0</v>
      </c>
      <c r="M106" s="370">
        <v>45717.0</v>
      </c>
      <c r="N106" s="371">
        <v>45747.0</v>
      </c>
    </row>
    <row r="107">
      <c r="A107" s="366" t="s">
        <v>16</v>
      </c>
      <c r="B107" s="367">
        <v>4320.0</v>
      </c>
      <c r="C107" s="368"/>
      <c r="D107" s="367">
        <v>0.0</v>
      </c>
      <c r="E107" s="366" t="s">
        <v>114</v>
      </c>
      <c r="F107" s="366" t="s">
        <v>514</v>
      </c>
      <c r="G107" s="366" t="s">
        <v>456</v>
      </c>
      <c r="H107" s="369"/>
      <c r="I107" s="373">
        <v>35872.0</v>
      </c>
      <c r="J107" s="370">
        <v>45523.0</v>
      </c>
      <c r="K107" s="369"/>
      <c r="L107" s="367">
        <v>31.0</v>
      </c>
      <c r="M107" s="370">
        <v>45717.0</v>
      </c>
      <c r="N107" s="371">
        <v>45747.0</v>
      </c>
    </row>
    <row r="108">
      <c r="A108" s="366" t="s">
        <v>16</v>
      </c>
      <c r="B108" s="367">
        <v>4320.0</v>
      </c>
      <c r="C108" s="369"/>
      <c r="D108" s="367">
        <v>0.0</v>
      </c>
      <c r="E108" s="366" t="s">
        <v>114</v>
      </c>
      <c r="F108" s="366" t="s">
        <v>115</v>
      </c>
      <c r="G108" s="366" t="s">
        <v>116</v>
      </c>
      <c r="H108" s="369"/>
      <c r="I108" s="370">
        <v>35159.0</v>
      </c>
      <c r="J108" s="370">
        <v>45078.0</v>
      </c>
      <c r="K108" s="371">
        <v>45322.0</v>
      </c>
      <c r="L108" s="367">
        <v>0.0</v>
      </c>
      <c r="M108" s="370">
        <v>45717.0</v>
      </c>
      <c r="N108" s="371">
        <v>45747.0</v>
      </c>
    </row>
    <row r="109">
      <c r="A109" s="366" t="s">
        <v>16</v>
      </c>
      <c r="B109" s="367">
        <v>4320.0</v>
      </c>
      <c r="C109" s="369"/>
      <c r="D109" s="367">
        <v>0.0</v>
      </c>
      <c r="E109" s="366" t="s">
        <v>457</v>
      </c>
      <c r="F109" s="366" t="s">
        <v>515</v>
      </c>
      <c r="G109" s="366" t="s">
        <v>458</v>
      </c>
      <c r="H109" s="369"/>
      <c r="I109" s="370">
        <v>37061.0</v>
      </c>
      <c r="J109" s="373">
        <v>45505.0</v>
      </c>
      <c r="K109" s="374"/>
      <c r="L109" s="367">
        <v>31.0</v>
      </c>
      <c r="M109" s="370">
        <v>45717.0</v>
      </c>
      <c r="N109" s="371">
        <v>45747.0</v>
      </c>
    </row>
    <row r="110">
      <c r="A110" s="366" t="s">
        <v>16</v>
      </c>
      <c r="B110" s="367">
        <v>4320.0</v>
      </c>
      <c r="C110" s="369"/>
      <c r="D110" s="367">
        <v>0.0</v>
      </c>
      <c r="E110" s="366" t="s">
        <v>439</v>
      </c>
      <c r="F110" s="366" t="s">
        <v>121</v>
      </c>
      <c r="G110" s="366" t="s">
        <v>122</v>
      </c>
      <c r="H110" s="369"/>
      <c r="I110" s="370">
        <v>36794.0</v>
      </c>
      <c r="J110" s="370">
        <v>44915.0</v>
      </c>
      <c r="K110" s="371">
        <v>45709.0</v>
      </c>
      <c r="L110" s="367">
        <v>0.0</v>
      </c>
      <c r="M110" s="370">
        <v>45717.0</v>
      </c>
      <c r="N110" s="371">
        <v>45747.0</v>
      </c>
    </row>
    <row r="111">
      <c r="A111" s="366" t="s">
        <v>16</v>
      </c>
      <c r="B111" s="367">
        <v>4320.0</v>
      </c>
      <c r="C111" s="369"/>
      <c r="D111" s="367">
        <v>0.0</v>
      </c>
      <c r="E111" s="366" t="s">
        <v>643</v>
      </c>
      <c r="F111" s="366" t="s">
        <v>124</v>
      </c>
      <c r="G111" s="366" t="s">
        <v>125</v>
      </c>
      <c r="H111" s="369"/>
      <c r="I111" s="370">
        <v>37149.0</v>
      </c>
      <c r="J111" s="370">
        <v>45124.0</v>
      </c>
      <c r="K111" s="371">
        <v>45453.0</v>
      </c>
      <c r="L111" s="367">
        <v>0.0</v>
      </c>
      <c r="M111" s="370">
        <v>45717.0</v>
      </c>
      <c r="N111" s="371">
        <v>45747.0</v>
      </c>
    </row>
    <row r="112">
      <c r="A112" s="366" t="s">
        <v>16</v>
      </c>
      <c r="B112" s="367">
        <v>4320.0</v>
      </c>
      <c r="C112" s="369"/>
      <c r="D112" s="367">
        <v>0.0</v>
      </c>
      <c r="E112" s="366" t="s">
        <v>237</v>
      </c>
      <c r="F112" s="366" t="s">
        <v>238</v>
      </c>
      <c r="G112" s="366" t="s">
        <v>239</v>
      </c>
      <c r="H112" s="369"/>
      <c r="I112" s="370">
        <v>34503.0</v>
      </c>
      <c r="J112" s="370">
        <v>45251.0</v>
      </c>
      <c r="K112" s="370">
        <v>45338.0</v>
      </c>
      <c r="L112" s="367">
        <v>0.0</v>
      </c>
      <c r="M112" s="370">
        <v>45717.0</v>
      </c>
      <c r="N112" s="371">
        <v>45747.0</v>
      </c>
    </row>
    <row r="113">
      <c r="A113" s="366" t="s">
        <v>16</v>
      </c>
      <c r="B113" s="367">
        <v>4320.0</v>
      </c>
      <c r="C113" s="369"/>
      <c r="D113" s="367">
        <v>0.0</v>
      </c>
      <c r="E113" s="366" t="s">
        <v>506</v>
      </c>
      <c r="F113" s="366" t="s">
        <v>544</v>
      </c>
      <c r="G113" s="366" t="s">
        <v>507</v>
      </c>
      <c r="H113" s="369"/>
      <c r="I113" s="370">
        <v>36981.0</v>
      </c>
      <c r="J113" s="370">
        <v>45642.0</v>
      </c>
      <c r="K113" s="374"/>
      <c r="L113" s="367">
        <v>31.0</v>
      </c>
      <c r="M113" s="370">
        <v>45717.0</v>
      </c>
      <c r="N113" s="371">
        <v>45747.0</v>
      </c>
    </row>
    <row r="114">
      <c r="A114" s="366" t="s">
        <v>16</v>
      </c>
      <c r="B114" s="367">
        <v>4320.0</v>
      </c>
      <c r="C114" s="369"/>
      <c r="D114" s="367">
        <v>0.0</v>
      </c>
      <c r="E114" s="366" t="s">
        <v>487</v>
      </c>
      <c r="F114" s="366" t="s">
        <v>533</v>
      </c>
      <c r="G114" s="366" t="s">
        <v>488</v>
      </c>
      <c r="H114" s="369"/>
      <c r="I114" s="370">
        <v>35195.0</v>
      </c>
      <c r="J114" s="370">
        <v>45602.0</v>
      </c>
      <c r="K114" s="369"/>
      <c r="L114" s="367">
        <v>31.0</v>
      </c>
      <c r="M114" s="370">
        <v>45717.0</v>
      </c>
      <c r="N114" s="371">
        <v>45747.0</v>
      </c>
    </row>
    <row r="115">
      <c r="A115" s="366" t="s">
        <v>16</v>
      </c>
      <c r="B115" s="367">
        <v>4320.0</v>
      </c>
      <c r="C115" s="369"/>
      <c r="D115" s="367">
        <v>0.0</v>
      </c>
      <c r="E115" s="366" t="s">
        <v>343</v>
      </c>
      <c r="F115" s="366" t="s">
        <v>344</v>
      </c>
      <c r="G115" s="366" t="s">
        <v>345</v>
      </c>
      <c r="H115" s="369"/>
      <c r="I115" s="370">
        <v>36821.0</v>
      </c>
      <c r="J115" s="370">
        <v>45362.0</v>
      </c>
      <c r="K115" s="369"/>
      <c r="L115" s="367">
        <v>31.0</v>
      </c>
      <c r="M115" s="370">
        <v>45717.0</v>
      </c>
      <c r="N115" s="371">
        <v>45747.0</v>
      </c>
    </row>
    <row r="116">
      <c r="A116" s="366" t="s">
        <v>16</v>
      </c>
      <c r="B116" s="367">
        <v>4320.0</v>
      </c>
      <c r="C116" s="369"/>
      <c r="D116" s="367">
        <v>0.0</v>
      </c>
      <c r="E116" s="366" t="s">
        <v>750</v>
      </c>
      <c r="F116" s="366" t="s">
        <v>751</v>
      </c>
      <c r="G116" s="366" t="s">
        <v>752</v>
      </c>
      <c r="H116" s="369"/>
      <c r="I116" s="370">
        <v>36581.0</v>
      </c>
      <c r="J116" s="370">
        <v>45740.0</v>
      </c>
      <c r="K116" s="374"/>
      <c r="L116" s="367">
        <v>8.0</v>
      </c>
      <c r="M116" s="370">
        <v>45717.0</v>
      </c>
      <c r="N116" s="371">
        <v>45747.0</v>
      </c>
    </row>
    <row r="117">
      <c r="A117" s="366" t="s">
        <v>16</v>
      </c>
      <c r="B117" s="367">
        <v>4320.0</v>
      </c>
      <c r="C117" s="369"/>
      <c r="D117" s="367">
        <v>0.0</v>
      </c>
      <c r="E117" s="366" t="s">
        <v>129</v>
      </c>
      <c r="F117" s="366" t="s">
        <v>130</v>
      </c>
      <c r="G117" s="366" t="s">
        <v>131</v>
      </c>
      <c r="H117" s="369"/>
      <c r="I117" s="370">
        <v>36207.0</v>
      </c>
      <c r="J117" s="370">
        <v>45054.0</v>
      </c>
      <c r="K117" s="371">
        <v>44960.0</v>
      </c>
      <c r="L117" s="367">
        <v>0.0</v>
      </c>
      <c r="M117" s="370">
        <v>45717.0</v>
      </c>
      <c r="N117" s="371">
        <v>45747.0</v>
      </c>
    </row>
    <row r="118">
      <c r="A118" s="366" t="s">
        <v>16</v>
      </c>
      <c r="B118" s="367">
        <v>4320.0</v>
      </c>
      <c r="C118" s="369"/>
      <c r="D118" s="367">
        <v>0.0</v>
      </c>
      <c r="E118" s="366" t="s">
        <v>429</v>
      </c>
      <c r="F118" s="366" t="s">
        <v>516</v>
      </c>
      <c r="G118" s="366" t="s">
        <v>430</v>
      </c>
      <c r="H118" s="369"/>
      <c r="I118" s="370">
        <v>37257.0</v>
      </c>
      <c r="J118" s="370">
        <v>45481.0</v>
      </c>
      <c r="K118" s="369"/>
      <c r="L118" s="367">
        <v>31.0</v>
      </c>
      <c r="M118" s="370">
        <v>45717.0</v>
      </c>
      <c r="N118" s="371">
        <v>45747.0</v>
      </c>
    </row>
    <row r="119">
      <c r="A119" s="366" t="s">
        <v>16</v>
      </c>
      <c r="B119" s="367">
        <v>4320.0</v>
      </c>
      <c r="C119" s="369"/>
      <c r="D119" s="367">
        <v>0.0</v>
      </c>
      <c r="E119" s="366" t="s">
        <v>489</v>
      </c>
      <c r="F119" s="366" t="s">
        <v>536</v>
      </c>
      <c r="G119" s="366" t="s">
        <v>490</v>
      </c>
      <c r="H119" s="369"/>
      <c r="I119" s="370">
        <v>37105.0</v>
      </c>
      <c r="J119" s="370">
        <v>45602.0</v>
      </c>
      <c r="K119" s="374"/>
      <c r="L119" s="367">
        <v>31.0</v>
      </c>
      <c r="M119" s="370">
        <v>45717.0</v>
      </c>
      <c r="N119" s="371">
        <v>45747.0</v>
      </c>
    </row>
    <row r="120">
      <c r="A120" s="366" t="s">
        <v>16</v>
      </c>
      <c r="B120" s="367">
        <v>4320.0</v>
      </c>
      <c r="C120" s="369"/>
      <c r="D120" s="367">
        <v>0.0</v>
      </c>
      <c r="E120" s="366" t="s">
        <v>644</v>
      </c>
      <c r="F120" s="366" t="s">
        <v>190</v>
      </c>
      <c r="G120" s="366" t="s">
        <v>191</v>
      </c>
      <c r="H120" s="369"/>
      <c r="I120" s="370">
        <v>36421.0</v>
      </c>
      <c r="J120" s="370">
        <v>45166.0</v>
      </c>
      <c r="K120" s="371">
        <v>45535.0</v>
      </c>
      <c r="L120" s="367">
        <v>0.0</v>
      </c>
      <c r="M120" s="370">
        <v>45717.0</v>
      </c>
      <c r="N120" s="371">
        <v>45747.0</v>
      </c>
    </row>
    <row r="121">
      <c r="A121" s="366" t="s">
        <v>16</v>
      </c>
      <c r="B121" s="367">
        <v>4320.0</v>
      </c>
      <c r="C121" s="369"/>
      <c r="D121" s="367">
        <v>0.0</v>
      </c>
      <c r="E121" s="366" t="s">
        <v>645</v>
      </c>
      <c r="F121" s="366" t="s">
        <v>646</v>
      </c>
      <c r="G121" s="366" t="s">
        <v>647</v>
      </c>
      <c r="H121" s="369"/>
      <c r="I121" s="370">
        <v>37123.0</v>
      </c>
      <c r="J121" s="370">
        <v>44984.0</v>
      </c>
      <c r="K121" s="370">
        <v>45199.0</v>
      </c>
      <c r="L121" s="367">
        <v>0.0</v>
      </c>
      <c r="M121" s="370">
        <v>45717.0</v>
      </c>
      <c r="N121" s="371">
        <v>45747.0</v>
      </c>
    </row>
    <row r="122">
      <c r="A122" s="366" t="s">
        <v>16</v>
      </c>
      <c r="B122" s="367">
        <v>4320.0</v>
      </c>
      <c r="C122" s="369"/>
      <c r="D122" s="367">
        <v>0.0</v>
      </c>
      <c r="E122" s="366" t="s">
        <v>416</v>
      </c>
      <c r="F122" s="366" t="s">
        <v>517</v>
      </c>
      <c r="G122" s="366" t="s">
        <v>417</v>
      </c>
      <c r="H122" s="369"/>
      <c r="I122" s="370">
        <v>36346.0</v>
      </c>
      <c r="J122" s="370">
        <v>45453.0</v>
      </c>
      <c r="K122" s="374"/>
      <c r="L122" s="367">
        <v>31.0</v>
      </c>
      <c r="M122" s="370">
        <v>45717.0</v>
      </c>
      <c r="N122" s="371">
        <v>45747.0</v>
      </c>
    </row>
    <row r="123">
      <c r="A123" s="366" t="s">
        <v>16</v>
      </c>
      <c r="B123" s="367">
        <v>4320.0</v>
      </c>
      <c r="C123" s="369"/>
      <c r="D123" s="367">
        <v>0.0</v>
      </c>
      <c r="E123" s="366" t="s">
        <v>582</v>
      </c>
      <c r="F123" s="366" t="s">
        <v>583</v>
      </c>
      <c r="G123" s="366" t="s">
        <v>584</v>
      </c>
      <c r="H123" s="369"/>
      <c r="I123" s="370">
        <v>37880.0</v>
      </c>
      <c r="J123" s="370">
        <v>45677.0</v>
      </c>
      <c r="K123" s="369"/>
      <c r="L123" s="367">
        <v>31.0</v>
      </c>
      <c r="M123" s="370">
        <v>45717.0</v>
      </c>
      <c r="N123" s="371">
        <v>45747.0</v>
      </c>
    </row>
    <row r="124">
      <c r="A124" s="366" t="s">
        <v>16</v>
      </c>
      <c r="B124" s="367">
        <v>4320.0</v>
      </c>
      <c r="C124" s="369"/>
      <c r="D124" s="367">
        <v>0.0</v>
      </c>
      <c r="E124" s="366" t="s">
        <v>648</v>
      </c>
      <c r="F124" s="366" t="s">
        <v>649</v>
      </c>
      <c r="G124" s="366" t="s">
        <v>650</v>
      </c>
      <c r="H124" s="369"/>
      <c r="I124" s="370">
        <v>35039.0</v>
      </c>
      <c r="J124" s="370">
        <v>44986.0</v>
      </c>
      <c r="K124" s="370">
        <v>45199.0</v>
      </c>
      <c r="L124" s="367">
        <v>0.0</v>
      </c>
      <c r="M124" s="370">
        <v>45717.0</v>
      </c>
      <c r="N124" s="371">
        <v>45747.0</v>
      </c>
    </row>
    <row r="125">
      <c r="A125" s="366" t="s">
        <v>16</v>
      </c>
      <c r="B125" s="367">
        <v>4320.0</v>
      </c>
      <c r="C125" s="369"/>
      <c r="D125" s="367">
        <v>0.0</v>
      </c>
      <c r="E125" s="366" t="s">
        <v>478</v>
      </c>
      <c r="F125" s="366" t="s">
        <v>518</v>
      </c>
      <c r="G125" s="366" t="s">
        <v>426</v>
      </c>
      <c r="H125" s="369"/>
      <c r="I125" s="370">
        <v>36530.0</v>
      </c>
      <c r="J125" s="370">
        <v>45446.0</v>
      </c>
      <c r="K125" s="369"/>
      <c r="L125" s="367">
        <v>31.0</v>
      </c>
      <c r="M125" s="370">
        <v>45717.0</v>
      </c>
      <c r="N125" s="371">
        <v>45747.0</v>
      </c>
    </row>
    <row r="126">
      <c r="A126" s="366" t="s">
        <v>16</v>
      </c>
      <c r="B126" s="367">
        <v>4320.0</v>
      </c>
      <c r="C126" s="369"/>
      <c r="D126" s="367">
        <v>0.0</v>
      </c>
      <c r="E126" s="366" t="s">
        <v>132</v>
      </c>
      <c r="F126" s="366" t="s">
        <v>519</v>
      </c>
      <c r="G126" s="366" t="s">
        <v>418</v>
      </c>
      <c r="H126" s="369"/>
      <c r="I126" s="370">
        <v>37494.0</v>
      </c>
      <c r="J126" s="370">
        <v>45467.0</v>
      </c>
      <c r="K126" s="370">
        <v>45723.0</v>
      </c>
      <c r="L126" s="367">
        <v>7.0</v>
      </c>
      <c r="M126" s="370">
        <v>45717.0</v>
      </c>
      <c r="N126" s="371">
        <v>45747.0</v>
      </c>
    </row>
    <row r="127">
      <c r="A127" s="366" t="s">
        <v>16</v>
      </c>
      <c r="B127" s="367">
        <v>4320.0</v>
      </c>
      <c r="C127" s="369"/>
      <c r="D127" s="367">
        <v>0.0</v>
      </c>
      <c r="E127" s="366" t="s">
        <v>132</v>
      </c>
      <c r="F127" s="366" t="s">
        <v>347</v>
      </c>
      <c r="G127" s="366" t="s">
        <v>348</v>
      </c>
      <c r="H127" s="369"/>
      <c r="I127" s="370">
        <v>36778.0</v>
      </c>
      <c r="J127" s="370">
        <v>45369.0</v>
      </c>
      <c r="K127" s="370">
        <v>45565.0</v>
      </c>
      <c r="L127" s="367">
        <v>0.0</v>
      </c>
      <c r="M127" s="370">
        <v>45717.0</v>
      </c>
      <c r="N127" s="371">
        <v>45747.0</v>
      </c>
    </row>
    <row r="128">
      <c r="A128" s="366" t="s">
        <v>16</v>
      </c>
      <c r="B128" s="367">
        <v>4320.0</v>
      </c>
      <c r="C128" s="369"/>
      <c r="D128" s="367">
        <v>0.0</v>
      </c>
      <c r="E128" s="366" t="s">
        <v>570</v>
      </c>
      <c r="F128" s="366" t="s">
        <v>571</v>
      </c>
      <c r="G128" s="366" t="s">
        <v>572</v>
      </c>
      <c r="H128" s="369"/>
      <c r="I128" s="370">
        <v>37362.0</v>
      </c>
      <c r="J128" s="370">
        <v>45677.0</v>
      </c>
      <c r="K128" s="374"/>
      <c r="L128" s="367">
        <v>31.0</v>
      </c>
      <c r="M128" s="370">
        <v>45717.0</v>
      </c>
      <c r="N128" s="371">
        <v>45747.0</v>
      </c>
    </row>
    <row r="129">
      <c r="A129" s="366" t="s">
        <v>16</v>
      </c>
      <c r="B129" s="367">
        <v>4320.0</v>
      </c>
      <c r="C129" s="369"/>
      <c r="D129" s="367">
        <v>0.0</v>
      </c>
      <c r="E129" s="366" t="s">
        <v>702</v>
      </c>
      <c r="F129" s="366" t="s">
        <v>703</v>
      </c>
      <c r="G129" s="366" t="s">
        <v>704</v>
      </c>
      <c r="H129" s="369"/>
      <c r="I129" s="370">
        <v>35714.0</v>
      </c>
      <c r="J129" s="370">
        <v>45705.0</v>
      </c>
      <c r="K129" s="369"/>
      <c r="L129" s="367">
        <v>31.0</v>
      </c>
      <c r="M129" s="370">
        <v>45717.0</v>
      </c>
      <c r="N129" s="371">
        <v>45747.0</v>
      </c>
    </row>
    <row r="130">
      <c r="A130" s="366" t="s">
        <v>16</v>
      </c>
      <c r="B130" s="367">
        <v>4320.0</v>
      </c>
      <c r="C130" s="369"/>
      <c r="D130" s="367">
        <v>0.0</v>
      </c>
      <c r="E130" s="366" t="s">
        <v>491</v>
      </c>
      <c r="F130" s="366" t="s">
        <v>534</v>
      </c>
      <c r="G130" s="366" t="s">
        <v>492</v>
      </c>
      <c r="H130" s="369"/>
      <c r="I130" s="370">
        <v>36849.0</v>
      </c>
      <c r="J130" s="370">
        <v>45602.0</v>
      </c>
      <c r="K130" s="370">
        <v>45700.0</v>
      </c>
      <c r="L130" s="367">
        <v>0.0</v>
      </c>
      <c r="M130" s="370">
        <v>45717.0</v>
      </c>
      <c r="N130" s="371">
        <v>45747.0</v>
      </c>
    </row>
    <row r="131">
      <c r="A131" s="366" t="s">
        <v>16</v>
      </c>
      <c r="B131" s="367">
        <v>4320.0</v>
      </c>
      <c r="C131" s="369"/>
      <c r="D131" s="367">
        <v>0.0</v>
      </c>
      <c r="E131" s="366" t="s">
        <v>651</v>
      </c>
      <c r="F131" s="366" t="s">
        <v>652</v>
      </c>
      <c r="G131" s="366" t="s">
        <v>653</v>
      </c>
      <c r="H131" s="369"/>
      <c r="I131" s="370">
        <v>34748.0</v>
      </c>
      <c r="J131" s="370">
        <v>45033.0</v>
      </c>
      <c r="K131" s="370">
        <v>45381.0</v>
      </c>
      <c r="L131" s="367">
        <v>0.0</v>
      </c>
      <c r="M131" s="370">
        <v>45717.0</v>
      </c>
      <c r="N131" s="371">
        <v>45747.0</v>
      </c>
    </row>
    <row r="132">
      <c r="A132" s="366" t="s">
        <v>16</v>
      </c>
      <c r="B132" s="367">
        <v>4320.0</v>
      </c>
      <c r="C132" s="369"/>
      <c r="D132" s="367">
        <v>0.0</v>
      </c>
      <c r="E132" s="366" t="s">
        <v>459</v>
      </c>
      <c r="F132" s="366" t="s">
        <v>374</v>
      </c>
      <c r="G132" s="366" t="s">
        <v>375</v>
      </c>
      <c r="H132" s="369"/>
      <c r="I132" s="373">
        <v>37085.0</v>
      </c>
      <c r="J132" s="373">
        <v>45400.0</v>
      </c>
      <c r="K132" s="374"/>
      <c r="L132" s="367">
        <v>31.0</v>
      </c>
      <c r="M132" s="370">
        <v>45717.0</v>
      </c>
      <c r="N132" s="371">
        <v>45747.0</v>
      </c>
    </row>
    <row r="133">
      <c r="A133" s="366" t="s">
        <v>16</v>
      </c>
      <c r="B133" s="367">
        <v>4320.0</v>
      </c>
      <c r="C133" s="369"/>
      <c r="D133" s="367">
        <v>0.0</v>
      </c>
      <c r="E133" s="366" t="s">
        <v>135</v>
      </c>
      <c r="F133" s="366" t="s">
        <v>136</v>
      </c>
      <c r="G133" s="366" t="s">
        <v>137</v>
      </c>
      <c r="H133" s="369"/>
      <c r="I133" s="370">
        <v>36768.0</v>
      </c>
      <c r="J133" s="373">
        <v>44888.0</v>
      </c>
      <c r="K133" s="370">
        <v>45260.0</v>
      </c>
      <c r="L133" s="367">
        <v>0.0</v>
      </c>
      <c r="M133" s="370">
        <v>45717.0</v>
      </c>
      <c r="N133" s="371">
        <v>45747.0</v>
      </c>
    </row>
    <row r="134">
      <c r="A134" s="366" t="s">
        <v>16</v>
      </c>
      <c r="B134" s="367">
        <v>4320.0</v>
      </c>
      <c r="C134" s="369"/>
      <c r="D134" s="367">
        <v>0.0</v>
      </c>
      <c r="E134" s="366" t="s">
        <v>349</v>
      </c>
      <c r="F134" s="366" t="s">
        <v>350</v>
      </c>
      <c r="G134" s="366" t="s">
        <v>351</v>
      </c>
      <c r="H134" s="369"/>
      <c r="I134" s="370">
        <v>37647.0</v>
      </c>
      <c r="J134" s="370">
        <v>45355.0</v>
      </c>
      <c r="K134" s="374"/>
      <c r="L134" s="367">
        <v>31.0</v>
      </c>
      <c r="M134" s="370">
        <v>45717.0</v>
      </c>
      <c r="N134" s="371">
        <v>45747.0</v>
      </c>
    </row>
    <row r="135">
      <c r="A135" s="366" t="s">
        <v>16</v>
      </c>
      <c r="B135" s="367">
        <v>4320.0</v>
      </c>
      <c r="C135" s="369"/>
      <c r="D135" s="367">
        <v>0.0</v>
      </c>
      <c r="E135" s="366" t="s">
        <v>654</v>
      </c>
      <c r="F135" s="366" t="s">
        <v>655</v>
      </c>
      <c r="G135" s="366" t="s">
        <v>656</v>
      </c>
      <c r="H135" s="369"/>
      <c r="I135" s="370">
        <v>34318.0</v>
      </c>
      <c r="J135" s="370">
        <v>45229.0</v>
      </c>
      <c r="K135" s="370">
        <v>45523.0</v>
      </c>
      <c r="L135" s="367">
        <v>0.0</v>
      </c>
      <c r="M135" s="370">
        <v>45717.0</v>
      </c>
      <c r="N135" s="371">
        <v>45747.0</v>
      </c>
    </row>
    <row r="136">
      <c r="A136" s="366" t="s">
        <v>16</v>
      </c>
      <c r="B136" s="367">
        <v>4320.0</v>
      </c>
      <c r="C136" s="369"/>
      <c r="D136" s="367">
        <v>0.0</v>
      </c>
      <c r="E136" s="366" t="s">
        <v>141</v>
      </c>
      <c r="F136" s="366" t="s">
        <v>142</v>
      </c>
      <c r="G136" s="366" t="s">
        <v>143</v>
      </c>
      <c r="H136" s="369"/>
      <c r="I136" s="370">
        <v>34300.0</v>
      </c>
      <c r="J136" s="370">
        <v>45183.0</v>
      </c>
      <c r="K136" s="370">
        <v>45565.0</v>
      </c>
      <c r="L136" s="367">
        <v>0.0</v>
      </c>
      <c r="M136" s="370">
        <v>45717.0</v>
      </c>
      <c r="N136" s="371">
        <v>45747.0</v>
      </c>
    </row>
    <row r="137">
      <c r="A137" s="366" t="s">
        <v>16</v>
      </c>
      <c r="B137" s="367">
        <v>4320.0</v>
      </c>
      <c r="C137" s="369"/>
      <c r="D137" s="367">
        <v>0.0</v>
      </c>
      <c r="E137" s="366" t="s">
        <v>657</v>
      </c>
      <c r="F137" s="366" t="s">
        <v>658</v>
      </c>
      <c r="G137" s="366" t="s">
        <v>659</v>
      </c>
      <c r="H137" s="369"/>
      <c r="I137" s="370">
        <v>35147.0</v>
      </c>
      <c r="J137" s="370">
        <v>44886.0</v>
      </c>
      <c r="K137" s="371">
        <v>45243.0</v>
      </c>
      <c r="L137" s="367">
        <v>0.0</v>
      </c>
      <c r="M137" s="370">
        <v>45717.0</v>
      </c>
      <c r="N137" s="371">
        <v>45747.0</v>
      </c>
    </row>
    <row r="138">
      <c r="A138" s="366" t="s">
        <v>16</v>
      </c>
      <c r="B138" s="367">
        <v>4320.0</v>
      </c>
      <c r="C138" s="369"/>
      <c r="D138" s="367">
        <v>0.0</v>
      </c>
      <c r="E138" s="366" t="s">
        <v>352</v>
      </c>
      <c r="F138" s="366" t="s">
        <v>353</v>
      </c>
      <c r="G138" s="366" t="s">
        <v>354</v>
      </c>
      <c r="H138" s="369"/>
      <c r="I138" s="370">
        <v>36412.0</v>
      </c>
      <c r="J138" s="370">
        <v>45355.0</v>
      </c>
      <c r="K138" s="369"/>
      <c r="L138" s="367">
        <v>31.0</v>
      </c>
      <c r="M138" s="370">
        <v>45717.0</v>
      </c>
      <c r="N138" s="371">
        <v>45747.0</v>
      </c>
    </row>
    <row r="139">
      <c r="A139" s="366" t="s">
        <v>16</v>
      </c>
      <c r="B139" s="367">
        <v>4320.0</v>
      </c>
      <c r="C139" s="369"/>
      <c r="D139" s="367">
        <v>0.0</v>
      </c>
      <c r="E139" s="366" t="s">
        <v>419</v>
      </c>
      <c r="F139" s="366" t="s">
        <v>520</v>
      </c>
      <c r="G139" s="366" t="s">
        <v>420</v>
      </c>
      <c r="H139" s="369"/>
      <c r="I139" s="370">
        <v>36907.0</v>
      </c>
      <c r="J139" s="370">
        <v>45446.0</v>
      </c>
      <c r="K139" s="370">
        <v>45676.0</v>
      </c>
      <c r="L139" s="367">
        <v>0.0</v>
      </c>
      <c r="M139" s="370">
        <v>45717.0</v>
      </c>
      <c r="N139" s="371">
        <v>45747.0</v>
      </c>
    </row>
    <row r="140">
      <c r="A140" s="366" t="s">
        <v>16</v>
      </c>
      <c r="B140" s="367">
        <v>4320.0</v>
      </c>
      <c r="C140" s="369"/>
      <c r="D140" s="367">
        <v>0.0</v>
      </c>
      <c r="E140" s="366" t="s">
        <v>660</v>
      </c>
      <c r="F140" s="366" t="s">
        <v>127</v>
      </c>
      <c r="G140" s="366" t="s">
        <v>128</v>
      </c>
      <c r="H140" s="369"/>
      <c r="I140" s="370">
        <v>36132.0</v>
      </c>
      <c r="J140" s="370">
        <v>45117.0</v>
      </c>
      <c r="K140" s="370">
        <v>45260.0</v>
      </c>
      <c r="L140" s="367">
        <v>0.0</v>
      </c>
      <c r="M140" s="370">
        <v>45717.0</v>
      </c>
      <c r="N140" s="371">
        <v>45747.0</v>
      </c>
    </row>
    <row r="141">
      <c r="A141" s="366" t="s">
        <v>16</v>
      </c>
      <c r="B141" s="367">
        <v>4320.0</v>
      </c>
      <c r="C141" s="369"/>
      <c r="D141" s="367">
        <v>0.0</v>
      </c>
      <c r="E141" s="366" t="s">
        <v>705</v>
      </c>
      <c r="F141" s="366" t="s">
        <v>758</v>
      </c>
      <c r="G141" s="366" t="s">
        <v>707</v>
      </c>
      <c r="H141" s="369"/>
      <c r="I141" s="370">
        <v>36594.0</v>
      </c>
      <c r="J141" s="370">
        <v>45712.0</v>
      </c>
      <c r="K141" s="369"/>
      <c r="L141" s="367">
        <v>31.0</v>
      </c>
      <c r="M141" s="370">
        <v>45717.0</v>
      </c>
      <c r="N141" s="371">
        <v>45747.0</v>
      </c>
    </row>
    <row r="142">
      <c r="A142" s="366" t="s">
        <v>16</v>
      </c>
      <c r="B142" s="367">
        <v>4320.0</v>
      </c>
      <c r="C142" s="369"/>
      <c r="D142" s="367">
        <v>0.0</v>
      </c>
      <c r="E142" s="366" t="s">
        <v>398</v>
      </c>
      <c r="F142" s="366" t="s">
        <v>399</v>
      </c>
      <c r="G142" s="366" t="s">
        <v>400</v>
      </c>
      <c r="H142" s="369"/>
      <c r="I142" s="370">
        <v>36655.0</v>
      </c>
      <c r="J142" s="370">
        <v>45418.0</v>
      </c>
      <c r="K142" s="370">
        <v>45539.0</v>
      </c>
      <c r="L142" s="367">
        <v>0.0</v>
      </c>
      <c r="M142" s="370">
        <v>45717.0</v>
      </c>
      <c r="N142" s="371">
        <v>45747.0</v>
      </c>
    </row>
    <row r="143">
      <c r="A143" s="366" t="s">
        <v>16</v>
      </c>
      <c r="B143" s="367">
        <v>4320.0</v>
      </c>
      <c r="C143" s="369"/>
      <c r="D143" s="367">
        <v>0.0</v>
      </c>
      <c r="E143" s="366" t="s">
        <v>661</v>
      </c>
      <c r="F143" s="366" t="s">
        <v>662</v>
      </c>
      <c r="G143" s="366" t="s">
        <v>663</v>
      </c>
      <c r="H143" s="369"/>
      <c r="I143" s="370">
        <v>31262.0</v>
      </c>
      <c r="J143" s="370">
        <v>45048.0</v>
      </c>
      <c r="K143" s="371">
        <v>45199.0</v>
      </c>
      <c r="L143" s="367">
        <v>0.0</v>
      </c>
      <c r="M143" s="370">
        <v>45717.0</v>
      </c>
      <c r="N143" s="371">
        <v>45747.0</v>
      </c>
    </row>
    <row r="144">
      <c r="A144" s="366" t="s">
        <v>16</v>
      </c>
      <c r="B144" s="367">
        <v>4320.0</v>
      </c>
      <c r="C144" s="369"/>
      <c r="D144" s="367">
        <v>0.0</v>
      </c>
      <c r="E144" s="366" t="s">
        <v>147</v>
      </c>
      <c r="F144" s="366" t="s">
        <v>148</v>
      </c>
      <c r="G144" s="366" t="s">
        <v>149</v>
      </c>
      <c r="H144" s="369"/>
      <c r="I144" s="370">
        <v>36541.0</v>
      </c>
      <c r="J144" s="370">
        <v>44755.0</v>
      </c>
      <c r="K144" s="371">
        <v>45386.0</v>
      </c>
      <c r="L144" s="367">
        <v>0.0</v>
      </c>
      <c r="M144" s="370">
        <v>45717.0</v>
      </c>
      <c r="N144" s="371">
        <v>45747.0</v>
      </c>
    </row>
    <row r="145">
      <c r="A145" s="366" t="s">
        <v>16</v>
      </c>
      <c r="B145" s="367">
        <v>4320.0</v>
      </c>
      <c r="C145" s="369"/>
      <c r="D145" s="367">
        <v>0.0</v>
      </c>
      <c r="E145" s="366" t="s">
        <v>150</v>
      </c>
      <c r="F145" s="366" t="s">
        <v>151</v>
      </c>
      <c r="G145" s="366" t="s">
        <v>152</v>
      </c>
      <c r="H145" s="369"/>
      <c r="I145" s="370">
        <v>34335.0</v>
      </c>
      <c r="J145" s="370">
        <v>45078.0</v>
      </c>
      <c r="K145" s="370">
        <v>45400.0</v>
      </c>
      <c r="L145" s="367">
        <v>0.0</v>
      </c>
      <c r="M145" s="370">
        <v>45717.0</v>
      </c>
      <c r="N145" s="371">
        <v>45747.0</v>
      </c>
    </row>
    <row r="146">
      <c r="A146" s="366" t="s">
        <v>16</v>
      </c>
      <c r="B146" s="367">
        <v>4320.0</v>
      </c>
      <c r="C146" s="369"/>
      <c r="D146" s="367">
        <v>0.0</v>
      </c>
      <c r="E146" s="366" t="s">
        <v>153</v>
      </c>
      <c r="F146" s="366" t="s">
        <v>154</v>
      </c>
      <c r="G146" s="366" t="s">
        <v>155</v>
      </c>
      <c r="H146" s="369"/>
      <c r="I146" s="373">
        <v>31014.0</v>
      </c>
      <c r="J146" s="370">
        <v>44805.0</v>
      </c>
      <c r="K146" s="370">
        <v>45199.0</v>
      </c>
      <c r="L146" s="367">
        <v>0.0</v>
      </c>
      <c r="M146" s="370">
        <v>45717.0</v>
      </c>
      <c r="N146" s="371">
        <v>45747.0</v>
      </c>
    </row>
    <row r="147">
      <c r="A147" s="366" t="s">
        <v>16</v>
      </c>
      <c r="B147" s="367">
        <v>4320.0</v>
      </c>
      <c r="C147" s="369"/>
      <c r="D147" s="367">
        <v>0.0</v>
      </c>
      <c r="E147" s="366" t="s">
        <v>273</v>
      </c>
      <c r="F147" s="366" t="s">
        <v>274</v>
      </c>
      <c r="G147" s="366" t="s">
        <v>275</v>
      </c>
      <c r="H147" s="369"/>
      <c r="I147" s="370">
        <v>34522.0</v>
      </c>
      <c r="J147" s="370">
        <v>45292.0</v>
      </c>
      <c r="K147" s="369"/>
      <c r="L147" s="367">
        <v>31.0</v>
      </c>
      <c r="M147" s="370">
        <v>45717.0</v>
      </c>
      <c r="N147" s="371">
        <v>45747.0</v>
      </c>
    </row>
    <row r="148">
      <c r="A148" s="366" t="s">
        <v>16</v>
      </c>
      <c r="B148" s="367">
        <v>4320.0</v>
      </c>
      <c r="C148" s="369"/>
      <c r="D148" s="367">
        <v>0.0</v>
      </c>
      <c r="E148" s="366" t="s">
        <v>708</v>
      </c>
      <c r="F148" s="366" t="s">
        <v>759</v>
      </c>
      <c r="G148" s="366" t="s">
        <v>710</v>
      </c>
      <c r="H148" s="369"/>
      <c r="I148" s="373">
        <v>37028.0</v>
      </c>
      <c r="J148" s="370">
        <v>45705.0</v>
      </c>
      <c r="K148" s="374"/>
      <c r="L148" s="367">
        <v>31.0</v>
      </c>
      <c r="M148" s="370">
        <v>45717.0</v>
      </c>
      <c r="N148" s="371">
        <v>45747.0</v>
      </c>
    </row>
    <row r="149">
      <c r="A149" s="366" t="s">
        <v>16</v>
      </c>
      <c r="B149" s="367">
        <v>4320.0</v>
      </c>
      <c r="C149" s="369"/>
      <c r="D149" s="367">
        <v>0.0</v>
      </c>
      <c r="E149" s="366" t="s">
        <v>470</v>
      </c>
      <c r="F149" s="366" t="s">
        <v>528</v>
      </c>
      <c r="G149" s="366" t="s">
        <v>472</v>
      </c>
      <c r="H149" s="369"/>
      <c r="I149" s="370">
        <v>37278.0</v>
      </c>
      <c r="J149" s="370">
        <v>45544.0</v>
      </c>
      <c r="K149" s="374"/>
      <c r="L149" s="367">
        <v>31.0</v>
      </c>
      <c r="M149" s="370">
        <v>45717.0</v>
      </c>
      <c r="N149" s="371">
        <v>45747.0</v>
      </c>
    </row>
    <row r="150">
      <c r="A150" s="366" t="s">
        <v>16</v>
      </c>
      <c r="B150" s="367">
        <v>4320.0</v>
      </c>
      <c r="C150" s="369"/>
      <c r="D150" s="367">
        <v>0.0</v>
      </c>
      <c r="E150" s="366" t="s">
        <v>558</v>
      </c>
      <c r="F150" s="366" t="s">
        <v>559</v>
      </c>
      <c r="G150" s="366" t="s">
        <v>560</v>
      </c>
      <c r="H150" s="369"/>
      <c r="I150" s="370">
        <v>33811.0</v>
      </c>
      <c r="J150" s="370">
        <v>45663.0</v>
      </c>
      <c r="K150" s="370">
        <v>45667.0</v>
      </c>
      <c r="L150" s="367">
        <v>0.0</v>
      </c>
      <c r="M150" s="370">
        <v>45717.0</v>
      </c>
      <c r="N150" s="371">
        <v>45747.0</v>
      </c>
    </row>
    <row r="151">
      <c r="A151" s="366" t="s">
        <v>16</v>
      </c>
      <c r="B151" s="367">
        <v>4320.0</v>
      </c>
      <c r="C151" s="369"/>
      <c r="D151" s="367">
        <v>0.0</v>
      </c>
      <c r="E151" s="366" t="s">
        <v>664</v>
      </c>
      <c r="F151" s="366" t="s">
        <v>157</v>
      </c>
      <c r="G151" s="366" t="s">
        <v>158</v>
      </c>
      <c r="H151" s="369"/>
      <c r="I151" s="370">
        <v>35150.0</v>
      </c>
      <c r="J151" s="370">
        <v>45079.0</v>
      </c>
      <c r="K151" s="373">
        <v>45322.0</v>
      </c>
      <c r="L151" s="367">
        <v>0.0</v>
      </c>
      <c r="M151" s="370">
        <v>45717.0</v>
      </c>
      <c r="N151" s="371">
        <v>45747.0</v>
      </c>
    </row>
    <row r="152">
      <c r="A152" s="366" t="s">
        <v>16</v>
      </c>
      <c r="B152" s="367">
        <v>4320.0</v>
      </c>
      <c r="C152" s="369"/>
      <c r="D152" s="367">
        <v>0.0</v>
      </c>
      <c r="E152" s="366" t="s">
        <v>495</v>
      </c>
      <c r="F152" s="366" t="s">
        <v>538</v>
      </c>
      <c r="G152" s="366" t="s">
        <v>496</v>
      </c>
      <c r="H152" s="369"/>
      <c r="I152" s="370">
        <v>33452.0</v>
      </c>
      <c r="J152" s="370">
        <v>45628.0</v>
      </c>
      <c r="K152" s="371">
        <v>45728.0</v>
      </c>
      <c r="L152" s="367">
        <v>12.0</v>
      </c>
      <c r="M152" s="370">
        <v>45717.0</v>
      </c>
      <c r="N152" s="371">
        <v>45747.0</v>
      </c>
    </row>
    <row r="153">
      <c r="A153" s="366" t="s">
        <v>16</v>
      </c>
      <c r="B153" s="367">
        <v>4320.0</v>
      </c>
      <c r="C153" s="369"/>
      <c r="D153" s="367">
        <v>0.0</v>
      </c>
      <c r="E153" s="366" t="s">
        <v>665</v>
      </c>
      <c r="F153" s="366" t="s">
        <v>160</v>
      </c>
      <c r="G153" s="366" t="s">
        <v>161</v>
      </c>
      <c r="H153" s="369"/>
      <c r="I153" s="373">
        <v>35779.0</v>
      </c>
      <c r="J153" s="370">
        <v>45176.0</v>
      </c>
      <c r="K153" s="371">
        <v>45317.0</v>
      </c>
      <c r="L153" s="367">
        <v>0.0</v>
      </c>
      <c r="M153" s="370">
        <v>45717.0</v>
      </c>
      <c r="N153" s="371">
        <v>45747.0</v>
      </c>
    </row>
    <row r="154">
      <c r="A154" s="366" t="s">
        <v>16</v>
      </c>
      <c r="B154" s="367">
        <v>4320.0</v>
      </c>
      <c r="C154" s="369"/>
      <c r="D154" s="367">
        <v>0.0</v>
      </c>
      <c r="E154" s="366" t="s">
        <v>162</v>
      </c>
      <c r="F154" s="366" t="s">
        <v>163</v>
      </c>
      <c r="G154" s="366" t="s">
        <v>164</v>
      </c>
      <c r="H154" s="369"/>
      <c r="I154" s="373">
        <v>34732.0</v>
      </c>
      <c r="J154" s="370">
        <v>44986.0</v>
      </c>
      <c r="K154" s="374"/>
      <c r="L154" s="367">
        <v>31.0</v>
      </c>
      <c r="M154" s="370">
        <v>45717.0</v>
      </c>
      <c r="N154" s="371">
        <v>45747.0</v>
      </c>
    </row>
    <row r="155">
      <c r="A155" s="366" t="s">
        <v>16</v>
      </c>
      <c r="B155" s="367">
        <v>4320.0</v>
      </c>
      <c r="C155" s="369"/>
      <c r="D155" s="367">
        <v>0.0</v>
      </c>
      <c r="E155" s="366" t="s">
        <v>549</v>
      </c>
      <c r="F155" s="366" t="s">
        <v>550</v>
      </c>
      <c r="G155" s="366" t="s">
        <v>551</v>
      </c>
      <c r="H155" s="369"/>
      <c r="I155" s="370">
        <v>37636.0</v>
      </c>
      <c r="J155" s="370">
        <v>45663.0</v>
      </c>
      <c r="K155" s="369"/>
      <c r="L155" s="367">
        <v>31.0</v>
      </c>
      <c r="M155" s="370">
        <v>45717.0</v>
      </c>
      <c r="N155" s="371">
        <v>45747.0</v>
      </c>
    </row>
    <row r="156">
      <c r="A156" s="366" t="s">
        <v>16</v>
      </c>
      <c r="B156" s="367">
        <v>4320.0</v>
      </c>
      <c r="C156" s="369"/>
      <c r="D156" s="367">
        <v>0.0</v>
      </c>
      <c r="E156" s="366" t="s">
        <v>240</v>
      </c>
      <c r="F156" s="366" t="s">
        <v>241</v>
      </c>
      <c r="G156" s="366" t="s">
        <v>242</v>
      </c>
      <c r="H156" s="369"/>
      <c r="I156" s="370">
        <v>33762.0</v>
      </c>
      <c r="J156" s="370">
        <v>45222.0</v>
      </c>
      <c r="K156" s="370">
        <v>45046.0</v>
      </c>
      <c r="L156" s="367">
        <v>0.0</v>
      </c>
      <c r="M156" s="370">
        <v>45717.0</v>
      </c>
      <c r="N156" s="371">
        <v>45747.0</v>
      </c>
    </row>
    <row r="157">
      <c r="A157" s="366" t="s">
        <v>16</v>
      </c>
      <c r="B157" s="367">
        <v>4320.0</v>
      </c>
      <c r="C157" s="369"/>
      <c r="D157" s="367">
        <v>0.0</v>
      </c>
      <c r="E157" s="366" t="s">
        <v>168</v>
      </c>
      <c r="F157" s="366" t="s">
        <v>169</v>
      </c>
      <c r="G157" s="366" t="s">
        <v>170</v>
      </c>
      <c r="H157" s="369"/>
      <c r="I157" s="370">
        <v>35931.0</v>
      </c>
      <c r="J157" s="370">
        <v>44958.0</v>
      </c>
      <c r="K157" s="370">
        <v>45322.0</v>
      </c>
      <c r="L157" s="367">
        <v>0.0</v>
      </c>
      <c r="M157" s="370">
        <v>45717.0</v>
      </c>
      <c r="N157" s="371">
        <v>45747.0</v>
      </c>
    </row>
    <row r="158">
      <c r="A158" s="366" t="s">
        <v>16</v>
      </c>
      <c r="B158" s="367">
        <v>4320.0</v>
      </c>
      <c r="C158" s="369"/>
      <c r="D158" s="367">
        <v>0.0</v>
      </c>
      <c r="E158" s="366" t="s">
        <v>711</v>
      </c>
      <c r="F158" s="366" t="s">
        <v>760</v>
      </c>
      <c r="G158" s="366" t="s">
        <v>713</v>
      </c>
      <c r="H158" s="369"/>
      <c r="I158" s="370">
        <v>34694.0</v>
      </c>
      <c r="J158" s="370">
        <v>45712.0</v>
      </c>
      <c r="K158" s="374"/>
      <c r="L158" s="367">
        <v>31.0</v>
      </c>
      <c r="M158" s="370">
        <v>45717.0</v>
      </c>
      <c r="N158" s="371">
        <v>45747.0</v>
      </c>
    </row>
    <row r="159">
      <c r="A159" s="366" t="s">
        <v>16</v>
      </c>
      <c r="B159" s="367">
        <v>4320.0</v>
      </c>
      <c r="C159" s="369"/>
      <c r="D159" s="367">
        <v>0.0</v>
      </c>
      <c r="E159" s="366" t="s">
        <v>355</v>
      </c>
      <c r="F159" s="366" t="s">
        <v>356</v>
      </c>
      <c r="G159" s="366" t="s">
        <v>357</v>
      </c>
      <c r="H159" s="369"/>
      <c r="I159" s="370">
        <v>35395.0</v>
      </c>
      <c r="J159" s="370">
        <v>45376.0</v>
      </c>
      <c r="K159" s="374"/>
      <c r="L159" s="367">
        <v>31.0</v>
      </c>
      <c r="M159" s="370">
        <v>45717.0</v>
      </c>
      <c r="N159" s="371">
        <v>45747.0</v>
      </c>
    </row>
    <row r="160">
      <c r="A160" s="366" t="s">
        <v>16</v>
      </c>
      <c r="B160" s="367">
        <v>4320.0</v>
      </c>
      <c r="C160" s="369"/>
      <c r="D160" s="367">
        <v>0.0</v>
      </c>
      <c r="E160" s="366" t="s">
        <v>358</v>
      </c>
      <c r="F160" s="366" t="s">
        <v>359</v>
      </c>
      <c r="G160" s="366" t="s">
        <v>360</v>
      </c>
      <c r="H160" s="369"/>
      <c r="I160" s="370">
        <v>37397.0</v>
      </c>
      <c r="J160" s="370">
        <v>45377.0</v>
      </c>
      <c r="K160" s="371">
        <v>45454.0</v>
      </c>
      <c r="L160" s="367">
        <v>0.0</v>
      </c>
      <c r="M160" s="370">
        <v>45717.0</v>
      </c>
      <c r="N160" s="371">
        <v>45747.0</v>
      </c>
    </row>
    <row r="161">
      <c r="A161" s="366" t="s">
        <v>16</v>
      </c>
      <c r="B161" s="367">
        <v>4320.0</v>
      </c>
      <c r="C161" s="369"/>
      <c r="D161" s="367">
        <v>0.0</v>
      </c>
      <c r="E161" s="366" t="s">
        <v>276</v>
      </c>
      <c r="F161" s="366" t="s">
        <v>277</v>
      </c>
      <c r="G161" s="366" t="s">
        <v>278</v>
      </c>
      <c r="H161" s="369"/>
      <c r="I161" s="370">
        <v>37479.0</v>
      </c>
      <c r="J161" s="370">
        <v>45320.0</v>
      </c>
      <c r="K161" s="371">
        <v>45453.0</v>
      </c>
      <c r="L161" s="367">
        <v>0.0</v>
      </c>
      <c r="M161" s="370">
        <v>45717.0</v>
      </c>
      <c r="N161" s="371">
        <v>45747.0</v>
      </c>
    </row>
    <row r="162">
      <c r="A162" s="366" t="s">
        <v>16</v>
      </c>
      <c r="B162" s="367">
        <v>4320.0</v>
      </c>
      <c r="C162" s="369"/>
      <c r="D162" s="367">
        <v>0.0</v>
      </c>
      <c r="E162" s="366" t="s">
        <v>714</v>
      </c>
      <c r="F162" s="366" t="s">
        <v>761</v>
      </c>
      <c r="G162" s="366" t="s">
        <v>716</v>
      </c>
      <c r="H162" s="369"/>
      <c r="I162" s="370">
        <v>36514.0</v>
      </c>
      <c r="J162" s="370">
        <v>45698.0</v>
      </c>
      <c r="K162" s="369"/>
      <c r="L162" s="367">
        <v>31.0</v>
      </c>
      <c r="M162" s="370">
        <v>45717.0</v>
      </c>
      <c r="N162" s="371">
        <v>45747.0</v>
      </c>
    </row>
    <row r="163">
      <c r="A163" s="366" t="s">
        <v>16</v>
      </c>
      <c r="B163" s="367">
        <v>4320.0</v>
      </c>
      <c r="C163" s="369"/>
      <c r="D163" s="367">
        <v>0.0</v>
      </c>
      <c r="E163" s="366" t="s">
        <v>171</v>
      </c>
      <c r="F163" s="366" t="s">
        <v>172</v>
      </c>
      <c r="G163" s="366" t="s">
        <v>173</v>
      </c>
      <c r="H163" s="369"/>
      <c r="I163" s="370">
        <v>37005.0</v>
      </c>
      <c r="J163" s="370">
        <v>44802.0</v>
      </c>
      <c r="K163" s="370">
        <v>45303.0</v>
      </c>
      <c r="L163" s="367">
        <v>0.0</v>
      </c>
      <c r="M163" s="370">
        <v>45717.0</v>
      </c>
      <c r="N163" s="371">
        <v>45747.0</v>
      </c>
    </row>
    <row r="164">
      <c r="A164" s="366" t="s">
        <v>16</v>
      </c>
      <c r="B164" s="367">
        <v>4320.0</v>
      </c>
      <c r="C164" s="369"/>
      <c r="D164" s="367">
        <v>0.0</v>
      </c>
      <c r="E164" s="366" t="s">
        <v>243</v>
      </c>
      <c r="F164" s="366" t="s">
        <v>244</v>
      </c>
      <c r="G164" s="366" t="s">
        <v>245</v>
      </c>
      <c r="H164" s="369"/>
      <c r="I164" s="370">
        <v>36109.0</v>
      </c>
      <c r="J164" s="370">
        <v>45250.0</v>
      </c>
      <c r="K164" s="370">
        <v>45416.0</v>
      </c>
      <c r="L164" s="367">
        <v>0.0</v>
      </c>
      <c r="M164" s="370">
        <v>45717.0</v>
      </c>
      <c r="N164" s="371">
        <v>45747.0</v>
      </c>
    </row>
    <row r="165">
      <c r="A165" s="366" t="s">
        <v>16</v>
      </c>
      <c r="B165" s="367">
        <v>4320.0</v>
      </c>
      <c r="C165" s="369"/>
      <c r="D165" s="367">
        <v>0.0</v>
      </c>
      <c r="E165" s="366" t="s">
        <v>600</v>
      </c>
      <c r="F165" s="366" t="s">
        <v>601</v>
      </c>
      <c r="G165" s="366" t="s">
        <v>602</v>
      </c>
      <c r="H165" s="369"/>
      <c r="I165" s="370">
        <v>29741.0</v>
      </c>
      <c r="J165" s="370">
        <v>45658.0</v>
      </c>
      <c r="K165" s="374"/>
      <c r="L165" s="367">
        <v>31.0</v>
      </c>
      <c r="M165" s="370">
        <v>45717.0</v>
      </c>
      <c r="N165" s="371">
        <v>45747.0</v>
      </c>
    </row>
    <row r="166">
      <c r="A166" s="366" t="s">
        <v>16</v>
      </c>
      <c r="B166" s="367">
        <v>4320.0</v>
      </c>
      <c r="C166" s="369"/>
      <c r="D166" s="367">
        <v>0.0</v>
      </c>
      <c r="E166" s="366" t="s">
        <v>431</v>
      </c>
      <c r="F166" s="366" t="s">
        <v>377</v>
      </c>
      <c r="G166" s="366" t="s">
        <v>378</v>
      </c>
      <c r="H166" s="369"/>
      <c r="I166" s="370">
        <v>36289.0</v>
      </c>
      <c r="J166" s="370">
        <v>45476.0</v>
      </c>
      <c r="K166" s="369"/>
      <c r="L166" s="367">
        <v>31.0</v>
      </c>
      <c r="M166" s="370">
        <v>45717.0</v>
      </c>
      <c r="N166" s="371">
        <v>45747.0</v>
      </c>
    </row>
    <row r="167">
      <c r="A167" s="366" t="s">
        <v>16</v>
      </c>
      <c r="B167" s="367">
        <v>4320.0</v>
      </c>
      <c r="C167" s="369"/>
      <c r="D167" s="367">
        <v>0.0</v>
      </c>
      <c r="E167" s="366" t="s">
        <v>180</v>
      </c>
      <c r="F167" s="366" t="s">
        <v>181</v>
      </c>
      <c r="G167" s="366" t="s">
        <v>182</v>
      </c>
      <c r="H167" s="369"/>
      <c r="I167" s="370">
        <v>36297.0</v>
      </c>
      <c r="J167" s="370">
        <v>45001.0</v>
      </c>
      <c r="K167" s="371">
        <v>45359.0</v>
      </c>
      <c r="L167" s="367">
        <v>0.0</v>
      </c>
      <c r="M167" s="370">
        <v>45717.0</v>
      </c>
      <c r="N167" s="371">
        <v>45747.0</v>
      </c>
    </row>
    <row r="168">
      <c r="A168" s="366" t="s">
        <v>16</v>
      </c>
      <c r="B168" s="367">
        <v>4320.0</v>
      </c>
      <c r="C168" s="369"/>
      <c r="D168" s="367">
        <v>0.0</v>
      </c>
      <c r="E168" s="366" t="s">
        <v>183</v>
      </c>
      <c r="F168" s="366" t="s">
        <v>184</v>
      </c>
      <c r="G168" s="366" t="s">
        <v>185</v>
      </c>
      <c r="H168" s="369"/>
      <c r="I168" s="370">
        <v>36979.0</v>
      </c>
      <c r="J168" s="370">
        <v>44907.0</v>
      </c>
      <c r="K168" s="374"/>
      <c r="L168" s="367">
        <v>31.0</v>
      </c>
      <c r="M168" s="370">
        <v>45717.0</v>
      </c>
      <c r="N168" s="371">
        <v>45747.0</v>
      </c>
    </row>
    <row r="169">
      <c r="A169" s="366" t="s">
        <v>16</v>
      </c>
      <c r="B169" s="367">
        <v>4320.0</v>
      </c>
      <c r="C169" s="369"/>
      <c r="D169" s="367">
        <v>0.0</v>
      </c>
      <c r="E169" s="366" t="s">
        <v>258</v>
      </c>
      <c r="F169" s="366" t="s">
        <v>259</v>
      </c>
      <c r="G169" s="366" t="s">
        <v>260</v>
      </c>
      <c r="H169" s="369"/>
      <c r="I169" s="370">
        <v>35447.0</v>
      </c>
      <c r="J169" s="370">
        <v>45273.0</v>
      </c>
      <c r="K169" s="370">
        <v>45565.0</v>
      </c>
      <c r="L169" s="367">
        <v>0.0</v>
      </c>
      <c r="M169" s="370">
        <v>45717.0</v>
      </c>
      <c r="N169" s="371">
        <v>45747.0</v>
      </c>
    </row>
    <row r="170">
      <c r="A170" s="366" t="s">
        <v>16</v>
      </c>
      <c r="B170" s="367">
        <v>4320.0</v>
      </c>
      <c r="C170" s="369"/>
      <c r="D170" s="367">
        <v>0.0</v>
      </c>
      <c r="E170" s="366" t="s">
        <v>192</v>
      </c>
      <c r="F170" s="366" t="s">
        <v>193</v>
      </c>
      <c r="G170" s="366" t="s">
        <v>194</v>
      </c>
      <c r="H170" s="369"/>
      <c r="I170" s="370">
        <v>36075.0</v>
      </c>
      <c r="J170" s="370">
        <v>44977.0</v>
      </c>
      <c r="K170" s="371">
        <v>45351.0</v>
      </c>
      <c r="L170" s="367">
        <v>0.0</v>
      </c>
      <c r="M170" s="370">
        <v>45717.0</v>
      </c>
      <c r="N170" s="371">
        <v>45747.0</v>
      </c>
    </row>
    <row r="171">
      <c r="A171" s="366" t="s">
        <v>16</v>
      </c>
      <c r="B171" s="367">
        <v>4320.0</v>
      </c>
      <c r="C171" s="369"/>
      <c r="D171" s="367">
        <v>0.0</v>
      </c>
      <c r="E171" s="366" t="s">
        <v>201</v>
      </c>
      <c r="F171" s="366" t="s">
        <v>202</v>
      </c>
      <c r="G171" s="366" t="s">
        <v>203</v>
      </c>
      <c r="H171" s="369"/>
      <c r="I171" s="370">
        <v>36574.0</v>
      </c>
      <c r="J171" s="370">
        <v>45187.0</v>
      </c>
      <c r="K171" s="370">
        <v>45544.0</v>
      </c>
      <c r="L171" s="367">
        <v>0.0</v>
      </c>
      <c r="M171" s="370">
        <v>45717.0</v>
      </c>
      <c r="N171" s="371">
        <v>45747.0</v>
      </c>
    </row>
    <row r="172">
      <c r="A172" s="366" t="s">
        <v>16</v>
      </c>
      <c r="B172" s="367">
        <v>4320.0</v>
      </c>
      <c r="C172" s="369"/>
      <c r="D172" s="367">
        <v>0.0</v>
      </c>
      <c r="E172" s="366" t="s">
        <v>499</v>
      </c>
      <c r="F172" s="366" t="s">
        <v>540</v>
      </c>
      <c r="G172" s="366" t="s">
        <v>500</v>
      </c>
      <c r="H172" s="369"/>
      <c r="I172" s="370">
        <v>36144.0</v>
      </c>
      <c r="J172" s="370">
        <v>45628.0</v>
      </c>
      <c r="K172" s="374"/>
      <c r="L172" s="367">
        <v>31.0</v>
      </c>
      <c r="M172" s="370">
        <v>45717.0</v>
      </c>
      <c r="N172" s="371">
        <v>45747.0</v>
      </c>
    </row>
    <row r="173">
      <c r="A173" s="366" t="s">
        <v>16</v>
      </c>
      <c r="B173" s="367">
        <v>4320.0</v>
      </c>
      <c r="C173" s="369"/>
      <c r="D173" s="367">
        <v>0.0</v>
      </c>
      <c r="E173" s="366" t="s">
        <v>301</v>
      </c>
      <c r="F173" s="366" t="s">
        <v>302</v>
      </c>
      <c r="G173" s="366" t="s">
        <v>303</v>
      </c>
      <c r="H173" s="369"/>
      <c r="I173" s="370">
        <v>36991.0</v>
      </c>
      <c r="J173" s="370">
        <v>45205.0</v>
      </c>
      <c r="K173" s="369"/>
      <c r="L173" s="367">
        <v>31.0</v>
      </c>
      <c r="M173" s="370">
        <v>45717.0</v>
      </c>
      <c r="N173" s="371">
        <v>45747.0</v>
      </c>
    </row>
    <row r="174">
      <c r="A174" s="366" t="s">
        <v>16</v>
      </c>
      <c r="B174" s="367">
        <v>4320.0</v>
      </c>
      <c r="C174" s="369"/>
      <c r="D174" s="367">
        <v>0.0</v>
      </c>
      <c r="E174" s="366" t="s">
        <v>432</v>
      </c>
      <c r="F174" s="366" t="s">
        <v>521</v>
      </c>
      <c r="G174" s="366" t="s">
        <v>433</v>
      </c>
      <c r="H174" s="369"/>
      <c r="I174" s="370">
        <v>34504.0</v>
      </c>
      <c r="J174" s="370">
        <v>45481.0</v>
      </c>
      <c r="K174" s="369"/>
      <c r="L174" s="367">
        <v>31.0</v>
      </c>
      <c r="M174" s="370">
        <v>45717.0</v>
      </c>
      <c r="N174" s="371">
        <v>45747.0</v>
      </c>
    </row>
    <row r="175">
      <c r="A175" s="366" t="s">
        <v>16</v>
      </c>
      <c r="B175" s="367">
        <v>4320.0</v>
      </c>
      <c r="C175" s="369"/>
      <c r="D175" s="367">
        <v>0.0</v>
      </c>
      <c r="E175" s="366" t="s">
        <v>434</v>
      </c>
      <c r="F175" s="366" t="s">
        <v>522</v>
      </c>
      <c r="G175" s="366" t="s">
        <v>435</v>
      </c>
      <c r="H175" s="369"/>
      <c r="I175" s="370">
        <v>37446.0</v>
      </c>
      <c r="J175" s="370">
        <v>45495.0</v>
      </c>
      <c r="K175" s="369"/>
      <c r="L175" s="367">
        <v>31.0</v>
      </c>
      <c r="M175" s="370">
        <v>45717.0</v>
      </c>
      <c r="N175" s="371">
        <v>45747.0</v>
      </c>
    </row>
    <row r="176">
      <c r="A176" s="366" t="s">
        <v>16</v>
      </c>
      <c r="B176" s="367">
        <v>4320.0</v>
      </c>
      <c r="C176" s="369"/>
      <c r="D176" s="367">
        <v>0.0</v>
      </c>
      <c r="E176" s="366" t="s">
        <v>667</v>
      </c>
      <c r="F176" s="366" t="s">
        <v>668</v>
      </c>
      <c r="G176" s="366" t="s">
        <v>669</v>
      </c>
      <c r="H176" s="369"/>
      <c r="I176" s="370">
        <v>33961.0</v>
      </c>
      <c r="J176" s="370">
        <v>45229.0</v>
      </c>
      <c r="K176" s="371">
        <v>45408.0</v>
      </c>
      <c r="L176" s="367">
        <v>0.0</v>
      </c>
      <c r="M176" s="370">
        <v>45717.0</v>
      </c>
      <c r="N176" s="371">
        <v>45747.0</v>
      </c>
    </row>
    <row r="177">
      <c r="A177" s="366" t="s">
        <v>16</v>
      </c>
      <c r="B177" s="367">
        <v>4320.0</v>
      </c>
      <c r="C177" s="369"/>
      <c r="D177" s="367">
        <v>0.0</v>
      </c>
      <c r="E177" s="366" t="s">
        <v>670</v>
      </c>
      <c r="F177" s="366" t="s">
        <v>671</v>
      </c>
      <c r="G177" s="366" t="s">
        <v>672</v>
      </c>
      <c r="H177" s="369"/>
      <c r="I177" s="370">
        <v>36386.0</v>
      </c>
      <c r="J177" s="370">
        <v>45111.0</v>
      </c>
      <c r="K177" s="371">
        <v>45394.0</v>
      </c>
      <c r="L177" s="367">
        <v>0.0</v>
      </c>
      <c r="M177" s="370">
        <v>45717.0</v>
      </c>
      <c r="N177" s="371">
        <v>45747.0</v>
      </c>
    </row>
    <row r="178">
      <c r="A178" s="366" t="s">
        <v>16</v>
      </c>
      <c r="B178" s="367">
        <v>4320.0</v>
      </c>
      <c r="C178" s="369"/>
      <c r="D178" s="367">
        <v>0.0</v>
      </c>
      <c r="E178" s="366" t="s">
        <v>460</v>
      </c>
      <c r="F178" s="366" t="s">
        <v>523</v>
      </c>
      <c r="G178" s="366" t="s">
        <v>461</v>
      </c>
      <c r="H178" s="369"/>
      <c r="I178" s="370">
        <v>36856.0</v>
      </c>
      <c r="J178" s="370">
        <v>45505.0</v>
      </c>
      <c r="K178" s="374"/>
      <c r="L178" s="367">
        <v>31.0</v>
      </c>
      <c r="M178" s="370">
        <v>45717.0</v>
      </c>
      <c r="N178" s="371">
        <v>45747.0</v>
      </c>
    </row>
    <row r="179">
      <c r="A179" s="366" t="s">
        <v>16</v>
      </c>
      <c r="B179" s="367">
        <v>4320.0</v>
      </c>
      <c r="C179" s="369"/>
      <c r="D179" s="367">
        <v>0.0</v>
      </c>
      <c r="E179" s="366" t="s">
        <v>462</v>
      </c>
      <c r="F179" s="366" t="s">
        <v>526</v>
      </c>
      <c r="G179" s="366" t="s">
        <v>463</v>
      </c>
      <c r="H179" s="369"/>
      <c r="I179" s="370">
        <v>34588.0</v>
      </c>
      <c r="J179" s="370">
        <v>45530.0</v>
      </c>
      <c r="K179" s="374"/>
      <c r="L179" s="367">
        <v>31.0</v>
      </c>
      <c r="M179" s="370">
        <v>45717.0</v>
      </c>
      <c r="N179" s="371">
        <v>45747.0</v>
      </c>
    </row>
    <row r="180">
      <c r="A180" s="366" t="s">
        <v>16</v>
      </c>
      <c r="B180" s="367">
        <v>4320.0</v>
      </c>
      <c r="C180" s="369"/>
      <c r="D180" s="367">
        <v>0.0</v>
      </c>
      <c r="E180" s="366" t="s">
        <v>423</v>
      </c>
      <c r="F180" s="366" t="s">
        <v>524</v>
      </c>
      <c r="G180" s="366" t="s">
        <v>424</v>
      </c>
      <c r="H180" s="369"/>
      <c r="I180" s="370">
        <v>37818.0</v>
      </c>
      <c r="J180" s="370">
        <v>45467.0</v>
      </c>
      <c r="K180" s="374"/>
      <c r="L180" s="367">
        <v>31.0</v>
      </c>
      <c r="M180" s="370">
        <v>45717.0</v>
      </c>
      <c r="N180" s="371">
        <v>45747.0</v>
      </c>
    </row>
    <row r="181">
      <c r="A181" s="366" t="s">
        <v>16</v>
      </c>
      <c r="B181" s="367">
        <v>4320.0</v>
      </c>
      <c r="C181" s="369"/>
      <c r="D181" s="367">
        <v>0.0</v>
      </c>
      <c r="E181" s="366" t="s">
        <v>207</v>
      </c>
      <c r="F181" s="366" t="s">
        <v>208</v>
      </c>
      <c r="G181" s="366" t="s">
        <v>209</v>
      </c>
      <c r="H181" s="369"/>
      <c r="I181" s="370">
        <v>33156.0</v>
      </c>
      <c r="J181" s="370">
        <v>44562.0</v>
      </c>
      <c r="K181" s="370">
        <v>45473.0</v>
      </c>
      <c r="L181" s="367">
        <v>0.0</v>
      </c>
      <c r="M181" s="370">
        <v>45717.0</v>
      </c>
      <c r="N181" s="371">
        <v>45747.0</v>
      </c>
    </row>
    <row r="182">
      <c r="A182" s="366" t="s">
        <v>16</v>
      </c>
      <c r="B182" s="367">
        <v>4320.0</v>
      </c>
      <c r="C182" s="369"/>
      <c r="D182" s="367">
        <v>0.0</v>
      </c>
      <c r="E182" s="366" t="s">
        <v>304</v>
      </c>
      <c r="F182" s="366" t="s">
        <v>305</v>
      </c>
      <c r="G182" s="366" t="s">
        <v>306</v>
      </c>
      <c r="H182" s="369"/>
      <c r="I182" s="370">
        <v>35697.0</v>
      </c>
      <c r="J182" s="370">
        <v>45348.0</v>
      </c>
      <c r="K182" s="370">
        <v>45698.0</v>
      </c>
      <c r="L182" s="367">
        <v>0.0</v>
      </c>
      <c r="M182" s="370">
        <v>45717.0</v>
      </c>
      <c r="N182" s="371">
        <v>45747.0</v>
      </c>
    </row>
    <row r="183">
      <c r="A183" s="366" t="s">
        <v>16</v>
      </c>
      <c r="B183" s="367">
        <v>4320.0</v>
      </c>
      <c r="C183" s="369"/>
      <c r="D183" s="367">
        <v>0.0</v>
      </c>
      <c r="E183" s="366" t="s">
        <v>213</v>
      </c>
      <c r="F183" s="366" t="s">
        <v>214</v>
      </c>
      <c r="G183" s="366" t="s">
        <v>215</v>
      </c>
      <c r="H183" s="369"/>
      <c r="I183" s="370">
        <v>36797.0</v>
      </c>
      <c r="J183" s="370">
        <v>44886.0</v>
      </c>
      <c r="K183" s="369"/>
      <c r="L183" s="367">
        <v>31.0</v>
      </c>
      <c r="M183" s="370">
        <v>45717.0</v>
      </c>
      <c r="N183" s="371">
        <v>45747.0</v>
      </c>
    </row>
    <row r="184">
      <c r="A184" s="366" t="s">
        <v>16</v>
      </c>
      <c r="B184" s="367">
        <v>4320.0</v>
      </c>
      <c r="C184" s="369"/>
      <c r="D184" s="367">
        <v>0.0</v>
      </c>
      <c r="E184" s="366" t="s">
        <v>673</v>
      </c>
      <c r="F184" s="366" t="s">
        <v>674</v>
      </c>
      <c r="G184" s="366" t="s">
        <v>675</v>
      </c>
      <c r="H184" s="369"/>
      <c r="I184" s="370">
        <v>36961.0</v>
      </c>
      <c r="J184" s="370">
        <v>44593.0</v>
      </c>
      <c r="K184" s="371">
        <v>45457.0</v>
      </c>
      <c r="L184" s="367">
        <v>0.0</v>
      </c>
      <c r="M184" s="370">
        <v>45717.0</v>
      </c>
      <c r="N184" s="371">
        <v>45747.0</v>
      </c>
    </row>
    <row r="185">
      <c r="A185" s="366" t="s">
        <v>16</v>
      </c>
      <c r="B185" s="367">
        <v>4320.0</v>
      </c>
      <c r="C185" s="369"/>
      <c r="D185" s="367">
        <v>0.0</v>
      </c>
      <c r="E185" s="366" t="s">
        <v>717</v>
      </c>
      <c r="F185" s="366" t="s">
        <v>718</v>
      </c>
      <c r="G185" s="366" t="s">
        <v>719</v>
      </c>
      <c r="H185" s="369"/>
      <c r="I185" s="370">
        <v>36505.0</v>
      </c>
      <c r="J185" s="370">
        <v>45712.0</v>
      </c>
      <c r="K185" s="369"/>
      <c r="L185" s="367">
        <v>31.0</v>
      </c>
      <c r="M185" s="370">
        <v>45717.0</v>
      </c>
      <c r="N185" s="371">
        <v>45747.0</v>
      </c>
    </row>
    <row r="186">
      <c r="A186" s="366" t="s">
        <v>16</v>
      </c>
      <c r="B186" s="367">
        <v>4320.0</v>
      </c>
      <c r="C186" s="369"/>
      <c r="D186" s="367">
        <v>0.0</v>
      </c>
      <c r="E186" s="366" t="s">
        <v>588</v>
      </c>
      <c r="F186" s="377" t="s">
        <v>589</v>
      </c>
      <c r="G186" s="366" t="s">
        <v>590</v>
      </c>
      <c r="H186" s="369"/>
      <c r="I186" s="370">
        <v>34190.0</v>
      </c>
      <c r="J186" s="370">
        <v>45684.0</v>
      </c>
      <c r="K186" s="369"/>
      <c r="L186" s="367">
        <v>31.0</v>
      </c>
      <c r="M186" s="370">
        <v>45717.0</v>
      </c>
      <c r="N186" s="371">
        <v>45747.0</v>
      </c>
    </row>
    <row r="187">
      <c r="A187" s="366" t="s">
        <v>16</v>
      </c>
      <c r="B187" s="367">
        <v>4320.0</v>
      </c>
      <c r="C187" s="369"/>
      <c r="D187" s="367">
        <v>0.0</v>
      </c>
      <c r="E187" s="366" t="s">
        <v>427</v>
      </c>
      <c r="F187" s="366" t="s">
        <v>525</v>
      </c>
      <c r="G187" s="366" t="s">
        <v>428</v>
      </c>
      <c r="H187" s="369"/>
      <c r="I187" s="370">
        <v>36451.0</v>
      </c>
      <c r="J187" s="370">
        <v>45453.0</v>
      </c>
      <c r="K187" s="369"/>
      <c r="L187" s="367">
        <v>31.0</v>
      </c>
      <c r="M187" s="370">
        <v>45717.0</v>
      </c>
      <c r="N187" s="371">
        <v>45747.0</v>
      </c>
    </row>
    <row r="188">
      <c r="A188" s="366" t="s">
        <v>16</v>
      </c>
      <c r="B188" s="367">
        <v>4320.0</v>
      </c>
      <c r="C188" s="369"/>
      <c r="D188" s="367">
        <v>0.0</v>
      </c>
      <c r="E188" s="366" t="s">
        <v>493</v>
      </c>
      <c r="F188" s="366" t="s">
        <v>532</v>
      </c>
      <c r="G188" s="366" t="s">
        <v>494</v>
      </c>
      <c r="H188" s="369"/>
      <c r="I188" s="370">
        <v>36208.0</v>
      </c>
      <c r="J188" s="370">
        <v>45602.0</v>
      </c>
      <c r="K188" s="369"/>
      <c r="L188" s="367">
        <v>31.0</v>
      </c>
      <c r="M188" s="370">
        <v>45717.0</v>
      </c>
      <c r="N188" s="371">
        <v>45747.0</v>
      </c>
    </row>
    <row r="189">
      <c r="A189" s="366" t="s">
        <v>16</v>
      </c>
      <c r="B189" s="367">
        <v>4320.0</v>
      </c>
      <c r="C189" s="369"/>
      <c r="D189" s="367">
        <v>0.0</v>
      </c>
      <c r="E189" s="366" t="s">
        <v>222</v>
      </c>
      <c r="F189" s="366" t="s">
        <v>223</v>
      </c>
      <c r="G189" s="366" t="s">
        <v>224</v>
      </c>
      <c r="H189" s="369"/>
      <c r="I189" s="370">
        <v>35818.0</v>
      </c>
      <c r="J189" s="370">
        <v>45089.0</v>
      </c>
      <c r="K189" s="371">
        <v>45747.0</v>
      </c>
      <c r="L189" s="367">
        <v>31.0</v>
      </c>
      <c r="M189" s="370">
        <v>45717.0</v>
      </c>
      <c r="N189" s="371">
        <v>45747.0</v>
      </c>
    </row>
    <row r="190">
      <c r="A190" s="366" t="s">
        <v>16</v>
      </c>
      <c r="B190" s="367">
        <v>4320.0</v>
      </c>
      <c r="C190" s="369"/>
      <c r="D190" s="367">
        <v>0.0</v>
      </c>
      <c r="E190" s="366" t="s">
        <v>747</v>
      </c>
      <c r="F190" s="366" t="s">
        <v>748</v>
      </c>
      <c r="G190" s="366" t="s">
        <v>749</v>
      </c>
      <c r="H190" s="369"/>
      <c r="I190" s="370">
        <v>37314.0</v>
      </c>
      <c r="J190" s="370">
        <v>45733.0</v>
      </c>
      <c r="K190" s="369"/>
      <c r="L190" s="367">
        <v>15.0</v>
      </c>
      <c r="M190" s="370">
        <v>45717.0</v>
      </c>
      <c r="N190" s="371">
        <v>45747.0</v>
      </c>
    </row>
    <row r="191">
      <c r="A191" s="366" t="s">
        <v>16</v>
      </c>
      <c r="B191" s="367">
        <v>4320.0</v>
      </c>
      <c r="C191" s="369"/>
      <c r="D191" s="367">
        <v>0.0</v>
      </c>
      <c r="E191" s="366" t="s">
        <v>585</v>
      </c>
      <c r="F191" s="377" t="s">
        <v>586</v>
      </c>
      <c r="G191" s="366" t="s">
        <v>587</v>
      </c>
      <c r="H191" s="369"/>
      <c r="I191" s="370">
        <v>35827.0</v>
      </c>
      <c r="J191" s="370">
        <v>45684.0</v>
      </c>
      <c r="K191" s="369"/>
      <c r="L191" s="367">
        <v>31.0</v>
      </c>
      <c r="M191" s="370">
        <v>45717.0</v>
      </c>
      <c r="N191" s="371">
        <v>45747.0</v>
      </c>
    </row>
    <row r="192">
      <c r="A192" s="366" t="s">
        <v>16</v>
      </c>
      <c r="B192" s="367">
        <v>4320.0</v>
      </c>
      <c r="C192" s="369"/>
      <c r="D192" s="367">
        <v>0.0</v>
      </c>
      <c r="E192" s="366" t="s">
        <v>225</v>
      </c>
      <c r="F192" s="366" t="s">
        <v>226</v>
      </c>
      <c r="G192" s="366" t="s">
        <v>227</v>
      </c>
      <c r="H192" s="369"/>
      <c r="I192" s="370">
        <v>36177.0</v>
      </c>
      <c r="J192" s="370">
        <v>45320.0</v>
      </c>
      <c r="K192" s="369"/>
      <c r="L192" s="367">
        <v>31.0</v>
      </c>
      <c r="M192" s="370">
        <v>45717.0</v>
      </c>
      <c r="N192" s="371">
        <v>45747.0</v>
      </c>
    </row>
    <row r="193">
      <c r="A193" s="366" t="s">
        <v>16</v>
      </c>
      <c r="B193" s="367">
        <v>4320.0</v>
      </c>
      <c r="C193" s="369"/>
      <c r="D193" s="367">
        <v>0.0</v>
      </c>
      <c r="E193" s="366" t="s">
        <v>676</v>
      </c>
      <c r="F193" s="366" t="s">
        <v>677</v>
      </c>
      <c r="G193" s="366" t="s">
        <v>678</v>
      </c>
      <c r="H193" s="369"/>
      <c r="I193" s="371">
        <v>36096.0</v>
      </c>
      <c r="J193" s="371">
        <v>44562.0</v>
      </c>
      <c r="K193" s="371">
        <v>45199.0</v>
      </c>
      <c r="L193" s="367">
        <v>0.0</v>
      </c>
      <c r="M193" s="371">
        <v>45717.0</v>
      </c>
      <c r="N193" s="371">
        <v>45747.0</v>
      </c>
      <c r="O193" s="378"/>
      <c r="P193" s="378"/>
      <c r="Q193" s="378"/>
      <c r="R193" s="378"/>
      <c r="S193" s="378"/>
      <c r="T193" s="378"/>
      <c r="U193" s="378"/>
      <c r="V193" s="378"/>
      <c r="W193" s="378"/>
    </row>
    <row r="194">
      <c r="A194" s="366" t="s">
        <v>16</v>
      </c>
      <c r="B194" s="367">
        <v>4320.0</v>
      </c>
      <c r="C194" s="369"/>
      <c r="D194" s="367">
        <v>0.0</v>
      </c>
      <c r="E194" s="366" t="s">
        <v>679</v>
      </c>
      <c r="F194" s="366" t="s">
        <v>680</v>
      </c>
      <c r="G194" s="366" t="s">
        <v>681</v>
      </c>
      <c r="H194" s="369"/>
      <c r="I194" s="371">
        <v>34915.0</v>
      </c>
      <c r="J194" s="371">
        <v>45153.0</v>
      </c>
      <c r="K194" s="371">
        <v>45306.0</v>
      </c>
      <c r="L194" s="367">
        <v>0.0</v>
      </c>
      <c r="M194" s="371">
        <v>45717.0</v>
      </c>
      <c r="N194" s="371">
        <v>45747.0</v>
      </c>
      <c r="O194" s="378"/>
      <c r="P194" s="378"/>
      <c r="Q194" s="378"/>
      <c r="R194" s="378"/>
      <c r="S194" s="378"/>
      <c r="T194" s="378"/>
      <c r="U194" s="378"/>
      <c r="V194" s="378"/>
      <c r="W194" s="378"/>
    </row>
    <row r="195">
      <c r="A195" s="366" t="s">
        <v>16</v>
      </c>
      <c r="B195" s="367">
        <v>4320.0</v>
      </c>
      <c r="C195" s="369"/>
      <c r="D195" s="367">
        <v>0.0</v>
      </c>
      <c r="E195" s="366" t="s">
        <v>682</v>
      </c>
      <c r="F195" s="366" t="s">
        <v>683</v>
      </c>
      <c r="G195" s="366" t="s">
        <v>684</v>
      </c>
      <c r="H195" s="369"/>
      <c r="I195" s="371">
        <v>36545.0</v>
      </c>
      <c r="J195" s="371">
        <v>44562.0</v>
      </c>
      <c r="K195" s="371">
        <v>45476.0</v>
      </c>
      <c r="L195" s="367">
        <v>0.0</v>
      </c>
      <c r="M195" s="371">
        <v>45717.0</v>
      </c>
      <c r="N195" s="371">
        <v>45747.0</v>
      </c>
      <c r="O195" s="378"/>
      <c r="P195" s="378"/>
      <c r="Q195" s="378"/>
      <c r="R195" s="378"/>
      <c r="S195" s="378"/>
      <c r="T195" s="378"/>
      <c r="U195" s="378"/>
      <c r="V195" s="378"/>
      <c r="W195" s="378"/>
    </row>
    <row r="196">
      <c r="A196" s="366" t="s">
        <v>16</v>
      </c>
      <c r="B196" s="367">
        <v>4320.0</v>
      </c>
      <c r="C196" s="369"/>
      <c r="D196" s="367">
        <v>0.0</v>
      </c>
      <c r="E196" s="366" t="s">
        <v>307</v>
      </c>
      <c r="F196" s="366" t="s">
        <v>308</v>
      </c>
      <c r="G196" s="366" t="s">
        <v>309</v>
      </c>
      <c r="H196" s="369"/>
      <c r="I196" s="371">
        <v>36522.0</v>
      </c>
      <c r="J196" s="371">
        <v>45328.0</v>
      </c>
      <c r="K196" s="371">
        <v>45572.0</v>
      </c>
      <c r="L196" s="367">
        <v>0.0</v>
      </c>
      <c r="M196" s="371">
        <v>45717.0</v>
      </c>
      <c r="N196" s="371">
        <v>45747.0</v>
      </c>
      <c r="O196" s="378"/>
      <c r="P196" s="378"/>
      <c r="Q196" s="378"/>
      <c r="R196" s="378"/>
      <c r="S196" s="378"/>
      <c r="T196" s="378"/>
      <c r="U196" s="378"/>
      <c r="V196" s="378"/>
      <c r="W196" s="378"/>
    </row>
    <row r="197">
      <c r="A197" s="366" t="s">
        <v>16</v>
      </c>
      <c r="B197" s="367">
        <v>4320.0</v>
      </c>
      <c r="C197" s="369"/>
      <c r="D197" s="367">
        <v>0.0</v>
      </c>
      <c r="E197" s="366" t="s">
        <v>730</v>
      </c>
      <c r="F197" s="366" t="s">
        <v>731</v>
      </c>
      <c r="G197" s="366" t="s">
        <v>732</v>
      </c>
      <c r="H197" s="369"/>
      <c r="I197" s="371">
        <v>38263.0</v>
      </c>
      <c r="J197" s="371">
        <v>45355.0</v>
      </c>
      <c r="K197" s="369"/>
      <c r="L197" s="367">
        <v>31.0</v>
      </c>
      <c r="M197" s="371">
        <v>45717.0</v>
      </c>
      <c r="N197" s="371">
        <v>45747.0</v>
      </c>
      <c r="O197" s="378"/>
      <c r="P197" s="378"/>
      <c r="Q197" s="378"/>
      <c r="R197" s="378"/>
      <c r="S197" s="378"/>
      <c r="T197" s="378"/>
      <c r="U197" s="378"/>
      <c r="V197" s="378"/>
      <c r="W197" s="378"/>
    </row>
    <row r="198">
      <c r="D198" s="310"/>
      <c r="E198" s="311"/>
      <c r="L198" s="379">
        <f>SUM(L2:L197)</f>
        <v>3187</v>
      </c>
    </row>
    <row r="199">
      <c r="D199" s="310"/>
      <c r="E199" s="311"/>
    </row>
    <row r="200">
      <c r="D200" s="310"/>
      <c r="E200" s="311"/>
    </row>
    <row r="201">
      <c r="D201" s="310"/>
      <c r="E201" s="311"/>
    </row>
    <row r="202">
      <c r="D202" s="310"/>
      <c r="E202" s="311"/>
    </row>
    <row r="203">
      <c r="D203" s="310"/>
      <c r="E203" s="311"/>
    </row>
    <row r="204">
      <c r="D204" s="310"/>
      <c r="E204" s="311"/>
    </row>
    <row r="205">
      <c r="D205" s="310"/>
      <c r="E205" s="311"/>
    </row>
    <row r="206">
      <c r="D206" s="310"/>
      <c r="E206" s="311"/>
    </row>
    <row r="207">
      <c r="D207" s="310"/>
      <c r="E207" s="311"/>
    </row>
    <row r="208">
      <c r="D208" s="310"/>
      <c r="E208" s="311"/>
    </row>
    <row r="209">
      <c r="D209" s="310"/>
      <c r="E209" s="311"/>
    </row>
    <row r="210">
      <c r="D210" s="310"/>
      <c r="E210" s="311"/>
    </row>
    <row r="211">
      <c r="D211" s="310"/>
      <c r="E211" s="311"/>
    </row>
    <row r="212">
      <c r="D212" s="310"/>
      <c r="E212" s="311"/>
    </row>
    <row r="213">
      <c r="D213" s="310"/>
      <c r="E213" s="311"/>
    </row>
    <row r="214">
      <c r="D214" s="310"/>
      <c r="E214" s="311"/>
    </row>
    <row r="215">
      <c r="D215" s="310"/>
      <c r="E215" s="311"/>
    </row>
    <row r="216">
      <c r="D216" s="310"/>
      <c r="E216" s="311"/>
    </row>
    <row r="217">
      <c r="D217" s="310"/>
      <c r="E217" s="311"/>
    </row>
    <row r="218">
      <c r="D218" s="310"/>
      <c r="E218" s="311"/>
    </row>
    <row r="219">
      <c r="D219" s="310"/>
      <c r="E219" s="311"/>
    </row>
    <row r="220">
      <c r="D220" s="310"/>
      <c r="E220" s="311"/>
    </row>
    <row r="221">
      <c r="D221" s="310"/>
      <c r="E221" s="311"/>
    </row>
    <row r="222">
      <c r="D222" s="310"/>
      <c r="E222" s="311"/>
    </row>
    <row r="223">
      <c r="D223" s="310"/>
      <c r="E223" s="311"/>
    </row>
    <row r="224">
      <c r="D224" s="310"/>
      <c r="E224" s="311"/>
    </row>
    <row r="225">
      <c r="D225" s="310"/>
      <c r="E225" s="311"/>
    </row>
    <row r="226">
      <c r="D226" s="310"/>
      <c r="E226" s="311"/>
    </row>
    <row r="227">
      <c r="D227" s="310"/>
      <c r="E227" s="311"/>
    </row>
    <row r="228">
      <c r="D228" s="310"/>
      <c r="E228" s="311"/>
    </row>
    <row r="229">
      <c r="D229" s="310"/>
      <c r="E229" s="311"/>
    </row>
    <row r="230">
      <c r="D230" s="310"/>
      <c r="E230" s="311"/>
    </row>
    <row r="231">
      <c r="D231" s="310"/>
      <c r="E231" s="311"/>
    </row>
    <row r="232">
      <c r="D232" s="310"/>
      <c r="E232" s="311"/>
    </row>
    <row r="233">
      <c r="D233" s="310"/>
      <c r="E233" s="311"/>
    </row>
    <row r="234">
      <c r="D234" s="310"/>
      <c r="E234" s="311"/>
    </row>
    <row r="235">
      <c r="D235" s="310"/>
      <c r="E235" s="311"/>
    </row>
    <row r="236">
      <c r="D236" s="310"/>
      <c r="E236" s="311"/>
    </row>
    <row r="237">
      <c r="D237" s="310"/>
      <c r="E237" s="311"/>
    </row>
    <row r="238">
      <c r="D238" s="310"/>
      <c r="E238" s="311"/>
    </row>
    <row r="239">
      <c r="D239" s="310"/>
      <c r="E239" s="311"/>
    </row>
    <row r="240">
      <c r="D240" s="310"/>
      <c r="E240" s="311"/>
    </row>
    <row r="241">
      <c r="D241" s="310"/>
      <c r="E241" s="311"/>
    </row>
    <row r="242">
      <c r="D242" s="310"/>
      <c r="E242" s="311"/>
    </row>
    <row r="243">
      <c r="D243" s="310"/>
      <c r="E243" s="3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row r="734">
      <c r="D734" s="310"/>
      <c r="E734" s="311"/>
    </row>
    <row r="735">
      <c r="D735" s="310"/>
      <c r="E735" s="311"/>
    </row>
    <row r="736">
      <c r="D736" s="310"/>
      <c r="E736" s="311"/>
    </row>
    <row r="737">
      <c r="D737" s="310"/>
      <c r="E737" s="311"/>
    </row>
    <row r="738">
      <c r="D738" s="310"/>
      <c r="E738" s="311"/>
    </row>
    <row r="739">
      <c r="D739" s="310"/>
      <c r="E739" s="311"/>
    </row>
    <row r="740">
      <c r="D740" s="310"/>
      <c r="E740" s="311"/>
    </row>
    <row r="741">
      <c r="D741" s="310"/>
      <c r="E741" s="311"/>
    </row>
    <row r="742">
      <c r="D742" s="310"/>
      <c r="E742" s="311"/>
    </row>
    <row r="743">
      <c r="D743" s="310"/>
      <c r="E743" s="311"/>
    </row>
    <row r="744">
      <c r="D744" s="310"/>
      <c r="E744" s="311"/>
    </row>
    <row r="745">
      <c r="D745" s="310"/>
      <c r="E745" s="311"/>
    </row>
    <row r="746">
      <c r="D746" s="310"/>
      <c r="E746" s="311"/>
    </row>
    <row r="747">
      <c r="D747" s="310"/>
      <c r="E747" s="311"/>
    </row>
    <row r="748">
      <c r="D748" s="310"/>
      <c r="E748" s="311"/>
    </row>
    <row r="749">
      <c r="D749" s="310"/>
      <c r="E749" s="311"/>
    </row>
    <row r="750">
      <c r="D750" s="310"/>
      <c r="E750" s="311"/>
    </row>
    <row r="751">
      <c r="D751" s="310"/>
      <c r="E751" s="311"/>
    </row>
    <row r="752">
      <c r="D752" s="310"/>
      <c r="E752" s="311"/>
    </row>
    <row r="753">
      <c r="D753" s="310"/>
      <c r="E753" s="311"/>
    </row>
    <row r="754">
      <c r="D754" s="310"/>
      <c r="E754" s="311"/>
    </row>
    <row r="755">
      <c r="D755" s="310"/>
      <c r="E755" s="311"/>
    </row>
    <row r="756">
      <c r="D756" s="310"/>
      <c r="E756" s="311"/>
    </row>
    <row r="757">
      <c r="D757" s="310"/>
      <c r="E757" s="311"/>
    </row>
    <row r="758">
      <c r="D758" s="310"/>
      <c r="E758" s="311"/>
    </row>
    <row r="759">
      <c r="D759" s="310"/>
      <c r="E759" s="311"/>
    </row>
    <row r="760">
      <c r="D760" s="310"/>
      <c r="E760" s="311"/>
    </row>
    <row r="761">
      <c r="D761" s="310"/>
      <c r="E761" s="311"/>
    </row>
    <row r="762">
      <c r="D762" s="310"/>
      <c r="E762" s="311"/>
    </row>
    <row r="763">
      <c r="D763" s="310"/>
      <c r="E763" s="311"/>
    </row>
    <row r="764">
      <c r="D764" s="310"/>
      <c r="E764" s="311"/>
    </row>
    <row r="765">
      <c r="D765" s="310"/>
      <c r="E765" s="311"/>
    </row>
    <row r="766">
      <c r="D766" s="310"/>
      <c r="E766" s="311"/>
    </row>
    <row r="767">
      <c r="D767" s="310"/>
      <c r="E767" s="311"/>
    </row>
    <row r="768">
      <c r="D768" s="310"/>
      <c r="E768" s="311"/>
    </row>
    <row r="769">
      <c r="D769" s="310"/>
      <c r="E769" s="311"/>
    </row>
    <row r="770">
      <c r="D770" s="310"/>
      <c r="E770" s="311"/>
    </row>
    <row r="771">
      <c r="D771" s="310"/>
      <c r="E771" s="311"/>
    </row>
    <row r="772">
      <c r="D772" s="310"/>
      <c r="E772" s="311"/>
    </row>
    <row r="773">
      <c r="D773" s="310"/>
      <c r="E773" s="311"/>
    </row>
    <row r="774">
      <c r="D774" s="310"/>
      <c r="E774" s="311"/>
    </row>
    <row r="775">
      <c r="D775" s="310"/>
      <c r="E775" s="311"/>
    </row>
    <row r="776">
      <c r="D776" s="310"/>
      <c r="E776" s="311"/>
    </row>
    <row r="777">
      <c r="D777" s="310"/>
      <c r="E777" s="311"/>
    </row>
    <row r="778">
      <c r="D778" s="310"/>
      <c r="E778" s="311"/>
    </row>
    <row r="779">
      <c r="D779" s="310"/>
      <c r="E779" s="311"/>
    </row>
    <row r="780">
      <c r="D780" s="310"/>
      <c r="E780" s="311"/>
    </row>
    <row r="781">
      <c r="D781" s="310"/>
      <c r="E781" s="311"/>
    </row>
    <row r="782">
      <c r="D782" s="310"/>
      <c r="E782" s="311"/>
    </row>
    <row r="783">
      <c r="D783" s="310"/>
      <c r="E783" s="311"/>
    </row>
    <row r="784">
      <c r="D784" s="310"/>
      <c r="E784" s="311"/>
    </row>
    <row r="785">
      <c r="D785" s="310"/>
      <c r="E785" s="311"/>
    </row>
    <row r="786">
      <c r="D786" s="310"/>
      <c r="E786" s="311"/>
    </row>
    <row r="787">
      <c r="D787" s="310"/>
      <c r="E787" s="311"/>
    </row>
    <row r="788">
      <c r="D788" s="310"/>
      <c r="E788" s="311"/>
    </row>
    <row r="789">
      <c r="D789" s="310"/>
      <c r="E789" s="311"/>
    </row>
    <row r="790">
      <c r="D790" s="310"/>
      <c r="E790" s="311"/>
    </row>
    <row r="791">
      <c r="D791" s="310"/>
      <c r="E791" s="311"/>
    </row>
    <row r="792">
      <c r="D792" s="310"/>
      <c r="E792" s="311"/>
    </row>
    <row r="793">
      <c r="D793" s="310"/>
      <c r="E793" s="311"/>
    </row>
    <row r="794">
      <c r="D794" s="310"/>
      <c r="E794" s="311"/>
    </row>
    <row r="795">
      <c r="D795" s="310"/>
      <c r="E795" s="311"/>
    </row>
    <row r="796">
      <c r="D796" s="310"/>
      <c r="E796" s="311"/>
    </row>
    <row r="797">
      <c r="D797" s="310"/>
      <c r="E797" s="311"/>
    </row>
    <row r="798">
      <c r="D798" s="310"/>
      <c r="E798" s="311"/>
    </row>
    <row r="799">
      <c r="D799" s="310"/>
      <c r="E799" s="311"/>
    </row>
    <row r="800">
      <c r="D800" s="310"/>
      <c r="E800" s="311"/>
    </row>
    <row r="801">
      <c r="D801" s="310"/>
      <c r="E801" s="311"/>
    </row>
    <row r="802">
      <c r="D802" s="310"/>
      <c r="E802" s="311"/>
    </row>
    <row r="803">
      <c r="D803" s="310"/>
      <c r="E803" s="311"/>
    </row>
    <row r="804">
      <c r="D804" s="310"/>
      <c r="E804" s="311"/>
    </row>
    <row r="805">
      <c r="D805" s="310"/>
      <c r="E805" s="311"/>
    </row>
    <row r="806">
      <c r="D806" s="310"/>
      <c r="E806" s="311"/>
    </row>
    <row r="807">
      <c r="D807" s="310"/>
      <c r="E807" s="311"/>
    </row>
    <row r="808">
      <c r="D808" s="310"/>
      <c r="E808" s="311"/>
    </row>
    <row r="809">
      <c r="D809" s="310"/>
      <c r="E809" s="311"/>
    </row>
    <row r="810">
      <c r="D810" s="310"/>
      <c r="E810" s="311"/>
    </row>
    <row r="811">
      <c r="D811" s="310"/>
      <c r="E811" s="311"/>
    </row>
    <row r="812">
      <c r="D812" s="310"/>
      <c r="E812" s="311"/>
    </row>
    <row r="813">
      <c r="D813" s="310"/>
      <c r="E813" s="311"/>
    </row>
    <row r="814">
      <c r="D814" s="310"/>
      <c r="E814" s="311"/>
    </row>
    <row r="815">
      <c r="D815" s="310"/>
      <c r="E815" s="311"/>
    </row>
    <row r="816">
      <c r="D816" s="310"/>
      <c r="E816" s="311"/>
    </row>
    <row r="817">
      <c r="D817" s="310"/>
      <c r="E817" s="311"/>
    </row>
    <row r="818">
      <c r="D818" s="310"/>
      <c r="E818" s="311"/>
    </row>
    <row r="819">
      <c r="D819" s="310"/>
      <c r="E819" s="311"/>
    </row>
    <row r="820">
      <c r="D820" s="310"/>
      <c r="E820" s="311"/>
    </row>
    <row r="821">
      <c r="D821" s="310"/>
      <c r="E821" s="311"/>
    </row>
    <row r="822">
      <c r="D822" s="310"/>
      <c r="E822" s="311"/>
    </row>
    <row r="823">
      <c r="D823" s="310"/>
      <c r="E823" s="311"/>
    </row>
    <row r="824">
      <c r="D824" s="310"/>
      <c r="E824" s="311"/>
    </row>
    <row r="825">
      <c r="D825" s="310"/>
      <c r="E825" s="311"/>
    </row>
    <row r="826">
      <c r="D826" s="310"/>
      <c r="E826" s="311"/>
    </row>
    <row r="827">
      <c r="D827" s="310"/>
      <c r="E827" s="311"/>
    </row>
    <row r="828">
      <c r="D828" s="310"/>
      <c r="E828" s="311"/>
    </row>
    <row r="829">
      <c r="D829" s="310"/>
      <c r="E829" s="311"/>
    </row>
    <row r="830">
      <c r="D830" s="310"/>
      <c r="E830" s="311"/>
    </row>
    <row r="831">
      <c r="D831" s="310"/>
      <c r="E831" s="311"/>
    </row>
    <row r="832">
      <c r="D832" s="310"/>
      <c r="E832" s="311"/>
    </row>
    <row r="833">
      <c r="D833" s="310"/>
      <c r="E833" s="311"/>
    </row>
    <row r="834">
      <c r="D834" s="310"/>
      <c r="E834" s="311"/>
    </row>
    <row r="835">
      <c r="D835" s="310"/>
      <c r="E835" s="311"/>
    </row>
    <row r="836">
      <c r="D836" s="310"/>
      <c r="E836" s="311"/>
    </row>
    <row r="837">
      <c r="D837" s="310"/>
      <c r="E837" s="311"/>
    </row>
    <row r="838">
      <c r="D838" s="310"/>
      <c r="E838" s="311"/>
    </row>
    <row r="839">
      <c r="D839" s="310"/>
      <c r="E839" s="311"/>
    </row>
    <row r="840">
      <c r="D840" s="310"/>
      <c r="E840" s="311"/>
    </row>
    <row r="841">
      <c r="D841" s="310"/>
      <c r="E841" s="311"/>
    </row>
    <row r="842">
      <c r="D842" s="310"/>
      <c r="E842" s="311"/>
    </row>
    <row r="843">
      <c r="D843" s="310"/>
      <c r="E843" s="311"/>
    </row>
    <row r="844">
      <c r="D844" s="310"/>
      <c r="E844" s="311"/>
    </row>
    <row r="845">
      <c r="D845" s="310"/>
      <c r="E845" s="311"/>
    </row>
    <row r="846">
      <c r="D846" s="310"/>
      <c r="E846" s="311"/>
    </row>
    <row r="847">
      <c r="D847" s="310"/>
      <c r="E847" s="311"/>
    </row>
    <row r="848">
      <c r="D848" s="310"/>
      <c r="E848" s="311"/>
    </row>
    <row r="849">
      <c r="D849" s="310"/>
      <c r="E849" s="311"/>
    </row>
    <row r="850">
      <c r="D850" s="310"/>
      <c r="E850" s="311"/>
    </row>
    <row r="851">
      <c r="D851" s="310"/>
      <c r="E851" s="311"/>
    </row>
    <row r="852">
      <c r="D852" s="310"/>
      <c r="E852" s="311"/>
    </row>
    <row r="853">
      <c r="D853" s="310"/>
      <c r="E853" s="311"/>
    </row>
    <row r="854">
      <c r="D854" s="310"/>
      <c r="E854" s="311"/>
    </row>
    <row r="855">
      <c r="D855" s="310"/>
      <c r="E855" s="311"/>
    </row>
    <row r="856">
      <c r="D856" s="310"/>
      <c r="E856" s="311"/>
    </row>
    <row r="857">
      <c r="D857" s="310"/>
      <c r="E857" s="311"/>
    </row>
    <row r="858">
      <c r="D858" s="310"/>
      <c r="E858" s="311"/>
    </row>
    <row r="859">
      <c r="D859" s="310"/>
      <c r="E859" s="311"/>
    </row>
    <row r="860">
      <c r="D860" s="310"/>
      <c r="E860" s="311"/>
    </row>
    <row r="861">
      <c r="D861" s="310"/>
      <c r="E861" s="311"/>
    </row>
    <row r="862">
      <c r="D862" s="310"/>
      <c r="E862" s="311"/>
    </row>
    <row r="863">
      <c r="D863" s="310"/>
      <c r="E863" s="311"/>
    </row>
    <row r="864">
      <c r="D864" s="310"/>
      <c r="E864" s="311"/>
    </row>
    <row r="865">
      <c r="D865" s="310"/>
      <c r="E865" s="311"/>
    </row>
    <row r="866">
      <c r="D866" s="310"/>
      <c r="E866" s="311"/>
    </row>
    <row r="867">
      <c r="D867" s="310"/>
      <c r="E867" s="311"/>
    </row>
    <row r="868">
      <c r="D868" s="310"/>
      <c r="E868" s="311"/>
    </row>
    <row r="869">
      <c r="D869" s="310"/>
      <c r="E869" s="311"/>
    </row>
    <row r="870">
      <c r="D870" s="310"/>
      <c r="E870" s="311"/>
    </row>
    <row r="871">
      <c r="D871" s="310"/>
      <c r="E871" s="311"/>
    </row>
    <row r="872">
      <c r="D872" s="310"/>
      <c r="E872" s="311"/>
    </row>
    <row r="873">
      <c r="D873" s="310"/>
      <c r="E873" s="311"/>
    </row>
    <row r="874">
      <c r="D874" s="310"/>
      <c r="E874" s="311"/>
    </row>
    <row r="875">
      <c r="D875" s="310"/>
      <c r="E875" s="311"/>
    </row>
    <row r="876">
      <c r="D876" s="310"/>
      <c r="E876" s="311"/>
    </row>
    <row r="877">
      <c r="D877" s="310"/>
      <c r="E877" s="311"/>
    </row>
    <row r="878">
      <c r="D878" s="310"/>
      <c r="E878" s="311"/>
    </row>
    <row r="879">
      <c r="D879" s="310"/>
      <c r="E879" s="311"/>
    </row>
    <row r="880">
      <c r="D880" s="310"/>
      <c r="E880" s="311"/>
    </row>
    <row r="881">
      <c r="D881" s="310"/>
      <c r="E881" s="311"/>
    </row>
    <row r="882">
      <c r="D882" s="310"/>
      <c r="E882" s="311"/>
    </row>
    <row r="883">
      <c r="D883" s="310"/>
      <c r="E883" s="311"/>
    </row>
    <row r="884">
      <c r="D884" s="310"/>
      <c r="E884" s="311"/>
    </row>
    <row r="885">
      <c r="D885" s="310"/>
      <c r="E885" s="311"/>
    </row>
    <row r="886">
      <c r="D886" s="310"/>
      <c r="E886" s="311"/>
    </row>
    <row r="887">
      <c r="D887" s="310"/>
      <c r="E887" s="311"/>
    </row>
    <row r="888">
      <c r="D888" s="310"/>
      <c r="E888" s="311"/>
    </row>
    <row r="889">
      <c r="D889" s="310"/>
      <c r="E889" s="311"/>
    </row>
    <row r="890">
      <c r="D890" s="310"/>
      <c r="E890" s="311"/>
    </row>
    <row r="891">
      <c r="D891" s="310"/>
      <c r="E891" s="311"/>
    </row>
    <row r="892">
      <c r="D892" s="310"/>
      <c r="E892" s="311"/>
    </row>
    <row r="893">
      <c r="D893" s="310"/>
      <c r="E893" s="311"/>
    </row>
    <row r="894">
      <c r="D894" s="310"/>
      <c r="E894" s="311"/>
    </row>
    <row r="895">
      <c r="D895" s="310"/>
      <c r="E895" s="311"/>
    </row>
    <row r="896">
      <c r="D896" s="310"/>
      <c r="E896" s="311"/>
    </row>
    <row r="897">
      <c r="D897" s="310"/>
      <c r="E897" s="311"/>
    </row>
    <row r="898">
      <c r="D898" s="310"/>
      <c r="E898" s="311"/>
    </row>
    <row r="899">
      <c r="D899" s="310"/>
      <c r="E899" s="311"/>
    </row>
    <row r="900">
      <c r="D900" s="310"/>
      <c r="E900" s="311"/>
    </row>
    <row r="901">
      <c r="D901" s="310"/>
      <c r="E901" s="311"/>
    </row>
    <row r="902">
      <c r="D902" s="310"/>
      <c r="E902" s="311"/>
    </row>
    <row r="903">
      <c r="D903" s="310"/>
      <c r="E903" s="311"/>
    </row>
    <row r="904">
      <c r="D904" s="310"/>
      <c r="E904" s="311"/>
    </row>
    <row r="905">
      <c r="D905" s="310"/>
      <c r="E905" s="311"/>
    </row>
    <row r="906">
      <c r="D906" s="310"/>
      <c r="E906" s="311"/>
    </row>
    <row r="907">
      <c r="D907" s="310"/>
      <c r="E907" s="311"/>
    </row>
    <row r="908">
      <c r="D908" s="310"/>
      <c r="E908" s="311"/>
    </row>
    <row r="909">
      <c r="D909" s="310"/>
      <c r="E909" s="311"/>
    </row>
    <row r="910">
      <c r="D910" s="310"/>
      <c r="E910" s="311"/>
    </row>
    <row r="911">
      <c r="D911" s="310"/>
      <c r="E911" s="311"/>
    </row>
    <row r="912">
      <c r="D912" s="310"/>
      <c r="E912" s="311"/>
    </row>
    <row r="913">
      <c r="D913" s="310"/>
      <c r="E913" s="311"/>
    </row>
    <row r="914">
      <c r="D914" s="310"/>
      <c r="E914" s="311"/>
    </row>
    <row r="915">
      <c r="D915" s="310"/>
      <c r="E915" s="311"/>
    </row>
    <row r="916">
      <c r="D916" s="310"/>
      <c r="E916" s="311"/>
    </row>
    <row r="917">
      <c r="D917" s="310"/>
      <c r="E917" s="311"/>
    </row>
    <row r="918">
      <c r="D918" s="310"/>
      <c r="E918" s="311"/>
    </row>
    <row r="919">
      <c r="D919" s="310"/>
      <c r="E919" s="311"/>
    </row>
    <row r="920">
      <c r="D920" s="310"/>
      <c r="E920" s="311"/>
    </row>
    <row r="921">
      <c r="D921" s="310"/>
      <c r="E921" s="311"/>
    </row>
    <row r="922">
      <c r="D922" s="310"/>
      <c r="E922" s="311"/>
    </row>
    <row r="923">
      <c r="D923" s="310"/>
      <c r="E923" s="311"/>
    </row>
    <row r="924">
      <c r="D924" s="310"/>
      <c r="E924" s="311"/>
    </row>
    <row r="925">
      <c r="D925" s="310"/>
      <c r="E925" s="311"/>
    </row>
    <row r="926">
      <c r="D926" s="310"/>
      <c r="E926" s="311"/>
    </row>
    <row r="927">
      <c r="D927" s="310"/>
      <c r="E927" s="311"/>
    </row>
    <row r="928">
      <c r="D928" s="310"/>
      <c r="E928" s="311"/>
    </row>
    <row r="929">
      <c r="D929" s="310"/>
      <c r="E929" s="311"/>
    </row>
    <row r="930">
      <c r="D930" s="310"/>
      <c r="E930" s="311"/>
    </row>
    <row r="931">
      <c r="D931" s="310"/>
      <c r="E931" s="311"/>
    </row>
    <row r="932">
      <c r="D932" s="310"/>
      <c r="E932" s="311"/>
    </row>
    <row r="933">
      <c r="D933" s="310"/>
      <c r="E933" s="311"/>
    </row>
    <row r="934">
      <c r="D934" s="310"/>
      <c r="E934" s="311"/>
    </row>
    <row r="935">
      <c r="D935" s="310"/>
      <c r="E935" s="311"/>
    </row>
    <row r="936">
      <c r="D936" s="310"/>
      <c r="E936" s="311"/>
    </row>
    <row r="937">
      <c r="D937" s="310"/>
      <c r="E937" s="311"/>
    </row>
    <row r="938">
      <c r="D938" s="310"/>
      <c r="E938" s="311"/>
    </row>
    <row r="939">
      <c r="D939" s="310"/>
      <c r="E939" s="311"/>
    </row>
    <row r="940">
      <c r="D940" s="310"/>
      <c r="E940" s="311"/>
    </row>
    <row r="941">
      <c r="D941" s="310"/>
      <c r="E941" s="311"/>
    </row>
    <row r="942">
      <c r="D942" s="310"/>
      <c r="E942" s="311"/>
    </row>
    <row r="943">
      <c r="D943" s="310"/>
      <c r="E943" s="311"/>
    </row>
    <row r="944">
      <c r="D944" s="310"/>
      <c r="E944" s="311"/>
    </row>
    <row r="945">
      <c r="D945" s="310"/>
      <c r="E945" s="311"/>
    </row>
    <row r="946">
      <c r="D946" s="310"/>
      <c r="E946" s="311"/>
    </row>
    <row r="947">
      <c r="D947" s="310"/>
      <c r="E947" s="311"/>
    </row>
    <row r="948">
      <c r="D948" s="310"/>
      <c r="E948" s="311"/>
    </row>
    <row r="949">
      <c r="D949" s="310"/>
      <c r="E949" s="311"/>
    </row>
  </sheetData>
  <autoFilter ref="$A$1:$M$198"/>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4" max="4" width="23.75"/>
    <col customWidth="1" min="5" max="5" width="22.0"/>
    <col customWidth="1" min="12" max="12" width="18.38"/>
  </cols>
  <sheetData>
    <row r="1">
      <c r="A1" s="366" t="s">
        <v>0</v>
      </c>
      <c r="B1" s="366" t="s">
        <v>1</v>
      </c>
      <c r="C1" s="366" t="s">
        <v>2</v>
      </c>
      <c r="D1" s="366" t="s">
        <v>603</v>
      </c>
      <c r="E1" s="366" t="s">
        <v>604</v>
      </c>
      <c r="F1" s="366" t="s">
        <v>4</v>
      </c>
      <c r="G1" s="366" t="s">
        <v>5</v>
      </c>
      <c r="H1" s="366" t="s">
        <v>6</v>
      </c>
      <c r="I1" s="366" t="s">
        <v>7</v>
      </c>
      <c r="J1" s="366" t="s">
        <v>8</v>
      </c>
      <c r="K1" s="366" t="s">
        <v>9</v>
      </c>
      <c r="L1" s="366" t="s">
        <v>10</v>
      </c>
      <c r="M1" s="366" t="s">
        <v>11</v>
      </c>
      <c r="N1" s="366" t="s">
        <v>12</v>
      </c>
    </row>
    <row r="2">
      <c r="A2" s="366" t="s">
        <v>16</v>
      </c>
      <c r="B2" s="367">
        <v>4320.0</v>
      </c>
      <c r="C2" s="368"/>
      <c r="D2" s="367">
        <v>0.0</v>
      </c>
      <c r="E2" s="366" t="s">
        <v>261</v>
      </c>
      <c r="F2" s="366" t="s">
        <v>262</v>
      </c>
      <c r="G2" s="366" t="s">
        <v>263</v>
      </c>
      <c r="H2" s="369"/>
      <c r="I2" s="370">
        <v>36529.0</v>
      </c>
      <c r="J2" s="370">
        <v>45505.0</v>
      </c>
      <c r="K2" s="370">
        <v>45604.0</v>
      </c>
      <c r="L2" s="367">
        <v>0.0</v>
      </c>
      <c r="M2" s="370">
        <v>45748.0</v>
      </c>
      <c r="N2" s="370">
        <v>45777.0</v>
      </c>
    </row>
    <row r="3">
      <c r="A3" s="366" t="s">
        <v>16</v>
      </c>
      <c r="B3" s="367">
        <v>4320.0</v>
      </c>
      <c r="C3" s="368"/>
      <c r="D3" s="367">
        <v>0.0</v>
      </c>
      <c r="E3" s="366" t="s">
        <v>436</v>
      </c>
      <c r="F3" s="366" t="s">
        <v>362</v>
      </c>
      <c r="G3" s="366" t="s">
        <v>363</v>
      </c>
      <c r="H3" s="369"/>
      <c r="I3" s="370">
        <v>37149.0</v>
      </c>
      <c r="J3" s="370">
        <v>45397.0</v>
      </c>
      <c r="K3" s="369"/>
      <c r="L3" s="367">
        <v>30.0</v>
      </c>
      <c r="M3" s="370">
        <v>45748.0</v>
      </c>
      <c r="N3" s="370">
        <v>45777.0</v>
      </c>
    </row>
    <row r="4">
      <c r="A4" s="366" t="s">
        <v>16</v>
      </c>
      <c r="B4" s="367">
        <v>4320.0</v>
      </c>
      <c r="C4" s="368"/>
      <c r="D4" s="367">
        <v>0.0</v>
      </c>
      <c r="E4" s="366" t="s">
        <v>753</v>
      </c>
      <c r="F4" s="366" t="s">
        <v>754</v>
      </c>
      <c r="G4" s="366" t="s">
        <v>689</v>
      </c>
      <c r="H4" s="369"/>
      <c r="I4" s="370">
        <v>37214.0</v>
      </c>
      <c r="J4" s="370">
        <v>45691.0</v>
      </c>
      <c r="K4" s="372"/>
      <c r="L4" s="367">
        <v>30.0</v>
      </c>
      <c r="M4" s="370">
        <v>45748.0</v>
      </c>
      <c r="N4" s="370">
        <v>45777.0</v>
      </c>
    </row>
    <row r="5">
      <c r="A5" s="366" t="s">
        <v>16</v>
      </c>
      <c r="B5" s="367">
        <v>4320.0</v>
      </c>
      <c r="C5" s="368"/>
      <c r="D5" s="367">
        <v>0.0</v>
      </c>
      <c r="E5" s="366" t="s">
        <v>310</v>
      </c>
      <c r="F5" s="366" t="s">
        <v>311</v>
      </c>
      <c r="G5" s="366" t="s">
        <v>312</v>
      </c>
      <c r="H5" s="369"/>
      <c r="I5" s="370">
        <v>37282.0</v>
      </c>
      <c r="J5" s="370">
        <v>45362.0</v>
      </c>
      <c r="K5" s="370">
        <v>45443.0</v>
      </c>
      <c r="L5" s="367">
        <v>0.0</v>
      </c>
      <c r="M5" s="370">
        <v>45748.0</v>
      </c>
      <c r="N5" s="370">
        <v>45777.0</v>
      </c>
    </row>
    <row r="6">
      <c r="A6" s="366" t="s">
        <v>16</v>
      </c>
      <c r="B6" s="367">
        <v>4320.0</v>
      </c>
      <c r="C6" s="368"/>
      <c r="D6" s="367">
        <v>0.0</v>
      </c>
      <c r="E6" s="366" t="s">
        <v>437</v>
      </c>
      <c r="F6" s="366" t="s">
        <v>22</v>
      </c>
      <c r="G6" s="366" t="s">
        <v>23</v>
      </c>
      <c r="H6" s="369"/>
      <c r="I6" s="370">
        <v>36358.0</v>
      </c>
      <c r="J6" s="373">
        <v>45027.0</v>
      </c>
      <c r="K6" s="371">
        <v>45603.0</v>
      </c>
      <c r="L6" s="367">
        <v>0.0</v>
      </c>
      <c r="M6" s="370">
        <v>45748.0</v>
      </c>
      <c r="N6" s="370">
        <v>45777.0</v>
      </c>
    </row>
    <row r="7">
      <c r="A7" s="366" t="s">
        <v>16</v>
      </c>
      <c r="B7" s="367">
        <v>4320.0</v>
      </c>
      <c r="C7" s="368"/>
      <c r="D7" s="367">
        <v>0.0</v>
      </c>
      <c r="E7" s="366" t="s">
        <v>561</v>
      </c>
      <c r="F7" s="366" t="s">
        <v>562</v>
      </c>
      <c r="G7" s="366" t="s">
        <v>563</v>
      </c>
      <c r="H7" s="369"/>
      <c r="I7" s="370">
        <v>36879.0</v>
      </c>
      <c r="J7" s="370">
        <v>45670.0</v>
      </c>
      <c r="K7" s="380">
        <v>45762.0</v>
      </c>
      <c r="L7" s="367">
        <v>15.0</v>
      </c>
      <c r="M7" s="370">
        <v>45748.0</v>
      </c>
      <c r="N7" s="370">
        <v>45777.0</v>
      </c>
    </row>
    <row r="8">
      <c r="A8" s="366" t="s">
        <v>16</v>
      </c>
      <c r="B8" s="367">
        <v>4320.0</v>
      </c>
      <c r="C8" s="368"/>
      <c r="D8" s="367">
        <v>0.0</v>
      </c>
      <c r="E8" s="366" t="s">
        <v>605</v>
      </c>
      <c r="F8" s="366" t="s">
        <v>25</v>
      </c>
      <c r="G8" s="366" t="s">
        <v>26</v>
      </c>
      <c r="H8" s="369"/>
      <c r="I8" s="373">
        <v>36860.0</v>
      </c>
      <c r="J8" s="370">
        <v>45124.0</v>
      </c>
      <c r="K8" s="371">
        <v>45527.0</v>
      </c>
      <c r="L8" s="367">
        <v>0.0</v>
      </c>
      <c r="M8" s="370">
        <v>45748.0</v>
      </c>
      <c r="N8" s="370">
        <v>45777.0</v>
      </c>
    </row>
    <row r="9">
      <c r="A9" s="366" t="s">
        <v>16</v>
      </c>
      <c r="B9" s="367">
        <v>4320.0</v>
      </c>
      <c r="C9" s="368"/>
      <c r="D9" s="367">
        <v>0.0</v>
      </c>
      <c r="E9" s="366" t="s">
        <v>407</v>
      </c>
      <c r="F9" s="366" t="s">
        <v>97</v>
      </c>
      <c r="G9" s="366" t="s">
        <v>98</v>
      </c>
      <c r="H9" s="369"/>
      <c r="I9" s="370">
        <v>36690.0</v>
      </c>
      <c r="J9" s="370">
        <v>44938.0</v>
      </c>
      <c r="K9" s="369"/>
      <c r="L9" s="367">
        <v>30.0</v>
      </c>
      <c r="M9" s="370">
        <v>45748.0</v>
      </c>
      <c r="N9" s="370">
        <v>45777.0</v>
      </c>
    </row>
    <row r="10">
      <c r="A10" s="366" t="s">
        <v>16</v>
      </c>
      <c r="B10" s="367">
        <v>4320.0</v>
      </c>
      <c r="C10" s="368"/>
      <c r="D10" s="367">
        <v>0.0</v>
      </c>
      <c r="E10" s="366" t="s">
        <v>473</v>
      </c>
      <c r="F10" s="366" t="s">
        <v>530</v>
      </c>
      <c r="G10" s="366" t="s">
        <v>475</v>
      </c>
      <c r="H10" s="369"/>
      <c r="I10" s="370">
        <v>37459.0</v>
      </c>
      <c r="J10" s="370">
        <v>45586.0</v>
      </c>
      <c r="K10" s="374"/>
      <c r="L10" s="367">
        <v>30.0</v>
      </c>
      <c r="M10" s="370">
        <v>45748.0</v>
      </c>
      <c r="N10" s="370">
        <v>45777.0</v>
      </c>
    </row>
    <row r="11">
      <c r="A11" s="366" t="s">
        <v>16</v>
      </c>
      <c r="B11" s="367">
        <v>4320.0</v>
      </c>
      <c r="C11" s="368"/>
      <c r="D11" s="367">
        <v>0.0</v>
      </c>
      <c r="E11" s="366" t="s">
        <v>313</v>
      </c>
      <c r="F11" s="366" t="s">
        <v>314</v>
      </c>
      <c r="G11" s="366" t="s">
        <v>315</v>
      </c>
      <c r="H11" s="369"/>
      <c r="I11" s="370">
        <v>35619.0</v>
      </c>
      <c r="J11" s="370">
        <v>45369.0</v>
      </c>
      <c r="K11" s="371">
        <v>45399.0</v>
      </c>
      <c r="L11" s="367">
        <v>0.0</v>
      </c>
      <c r="M11" s="370">
        <v>45748.0</v>
      </c>
      <c r="N11" s="370">
        <v>45777.0</v>
      </c>
    </row>
    <row r="12">
      <c r="A12" s="366" t="s">
        <v>16</v>
      </c>
      <c r="B12" s="367">
        <v>4320.0</v>
      </c>
      <c r="C12" s="368"/>
      <c r="D12" s="367">
        <v>0.0</v>
      </c>
      <c r="E12" s="366" t="s">
        <v>408</v>
      </c>
      <c r="F12" s="366" t="s">
        <v>409</v>
      </c>
      <c r="G12" s="366" t="s">
        <v>410</v>
      </c>
      <c r="H12" s="369"/>
      <c r="I12" s="370">
        <v>37978.0</v>
      </c>
      <c r="J12" s="370">
        <v>45453.0</v>
      </c>
      <c r="K12" s="374"/>
      <c r="L12" s="367">
        <v>30.0</v>
      </c>
      <c r="M12" s="370">
        <v>45748.0</v>
      </c>
      <c r="N12" s="370">
        <v>45777.0</v>
      </c>
    </row>
    <row r="13">
      <c r="A13" s="366" t="s">
        <v>16</v>
      </c>
      <c r="B13" s="367">
        <v>4320.0</v>
      </c>
      <c r="C13" s="368"/>
      <c r="D13" s="367">
        <v>0.0</v>
      </c>
      <c r="E13" s="366" t="s">
        <v>606</v>
      </c>
      <c r="F13" s="366" t="s">
        <v>607</v>
      </c>
      <c r="G13" s="366" t="s">
        <v>608</v>
      </c>
      <c r="H13" s="369"/>
      <c r="I13" s="370">
        <v>33844.0</v>
      </c>
      <c r="J13" s="370">
        <v>44562.0</v>
      </c>
      <c r="K13" s="370">
        <v>45199.0</v>
      </c>
      <c r="L13" s="367">
        <v>0.0</v>
      </c>
      <c r="M13" s="370">
        <v>45748.0</v>
      </c>
      <c r="N13" s="370">
        <v>45777.0</v>
      </c>
    </row>
    <row r="14">
      <c r="A14" s="366" t="s">
        <v>16</v>
      </c>
      <c r="B14" s="367">
        <v>4320.0</v>
      </c>
      <c r="C14" s="368"/>
      <c r="D14" s="367">
        <v>0.0</v>
      </c>
      <c r="E14" s="366" t="s">
        <v>609</v>
      </c>
      <c r="F14" s="366" t="s">
        <v>31</v>
      </c>
      <c r="G14" s="366" t="s">
        <v>32</v>
      </c>
      <c r="H14" s="369"/>
      <c r="I14" s="370">
        <v>35997.0</v>
      </c>
      <c r="J14" s="370">
        <v>45061.0</v>
      </c>
      <c r="K14" s="371">
        <v>45569.0</v>
      </c>
      <c r="L14" s="367">
        <v>0.0</v>
      </c>
      <c r="M14" s="370">
        <v>45748.0</v>
      </c>
      <c r="N14" s="370">
        <v>45777.0</v>
      </c>
    </row>
    <row r="15">
      <c r="A15" s="366" t="s">
        <v>16</v>
      </c>
      <c r="B15" s="367">
        <v>4320.0</v>
      </c>
      <c r="C15" s="368"/>
      <c r="D15" s="367">
        <v>0.0</v>
      </c>
      <c r="E15" s="366" t="s">
        <v>246</v>
      </c>
      <c r="F15" s="366" t="s">
        <v>247</v>
      </c>
      <c r="G15" s="366" t="s">
        <v>248</v>
      </c>
      <c r="H15" s="369"/>
      <c r="I15" s="370">
        <v>36501.0</v>
      </c>
      <c r="J15" s="373">
        <v>45246.0</v>
      </c>
      <c r="K15" s="374"/>
      <c r="L15" s="367">
        <v>30.0</v>
      </c>
      <c r="M15" s="370">
        <v>45748.0</v>
      </c>
      <c r="N15" s="370">
        <v>45777.0</v>
      </c>
    </row>
    <row r="16">
      <c r="A16" s="366" t="s">
        <v>16</v>
      </c>
      <c r="B16" s="367">
        <v>4320.0</v>
      </c>
      <c r="C16" s="368"/>
      <c r="D16" s="367">
        <v>0.0</v>
      </c>
      <c r="E16" s="366" t="s">
        <v>380</v>
      </c>
      <c r="F16" s="366" t="s">
        <v>381</v>
      </c>
      <c r="G16" s="366" t="s">
        <v>382</v>
      </c>
      <c r="H16" s="369"/>
      <c r="I16" s="373">
        <v>35669.0</v>
      </c>
      <c r="J16" s="370">
        <v>45418.0</v>
      </c>
      <c r="K16" s="370">
        <v>45481.0</v>
      </c>
      <c r="L16" s="367">
        <v>0.0</v>
      </c>
      <c r="M16" s="370">
        <v>45748.0</v>
      </c>
      <c r="N16" s="370">
        <v>45777.0</v>
      </c>
    </row>
    <row r="17">
      <c r="A17" s="366" t="s">
        <v>16</v>
      </c>
      <c r="B17" s="367">
        <v>4320.0</v>
      </c>
      <c r="C17" s="368"/>
      <c r="D17" s="367">
        <v>0.0</v>
      </c>
      <c r="E17" s="366" t="s">
        <v>610</v>
      </c>
      <c r="F17" s="366" t="s">
        <v>611</v>
      </c>
      <c r="G17" s="366" t="s">
        <v>612</v>
      </c>
      <c r="H17" s="369"/>
      <c r="I17" s="370">
        <v>35400.0</v>
      </c>
      <c r="J17" s="370">
        <v>45061.0</v>
      </c>
      <c r="K17" s="370">
        <v>45503.0</v>
      </c>
      <c r="L17" s="367">
        <v>0.0</v>
      </c>
      <c r="M17" s="370">
        <v>45748.0</v>
      </c>
      <c r="N17" s="370">
        <v>45777.0</v>
      </c>
    </row>
    <row r="18">
      <c r="A18" s="366" t="s">
        <v>16</v>
      </c>
      <c r="B18" s="367">
        <v>4320.0</v>
      </c>
      <c r="C18" s="368"/>
      <c r="D18" s="367">
        <v>0.0</v>
      </c>
      <c r="E18" s="366" t="s">
        <v>613</v>
      </c>
      <c r="F18" s="366" t="s">
        <v>34</v>
      </c>
      <c r="G18" s="366" t="s">
        <v>35</v>
      </c>
      <c r="H18" s="369"/>
      <c r="I18" s="370">
        <v>35053.0</v>
      </c>
      <c r="J18" s="370">
        <v>45173.0</v>
      </c>
      <c r="K18" s="371">
        <v>45322.0</v>
      </c>
      <c r="L18" s="367">
        <v>0.0</v>
      </c>
      <c r="M18" s="370">
        <v>45748.0</v>
      </c>
      <c r="N18" s="370">
        <v>45777.0</v>
      </c>
    </row>
    <row r="19">
      <c r="A19" s="366" t="s">
        <v>16</v>
      </c>
      <c r="B19" s="367">
        <v>4320.0</v>
      </c>
      <c r="C19" s="368"/>
      <c r="D19" s="367">
        <v>0.0</v>
      </c>
      <c r="E19" s="366" t="s">
        <v>564</v>
      </c>
      <c r="F19" s="366" t="s">
        <v>565</v>
      </c>
      <c r="G19" s="366" t="s">
        <v>566</v>
      </c>
      <c r="H19" s="369"/>
      <c r="I19" s="370">
        <v>34799.0</v>
      </c>
      <c r="J19" s="370">
        <v>45670.0</v>
      </c>
      <c r="K19" s="369"/>
      <c r="L19" s="367">
        <v>30.0</v>
      </c>
      <c r="M19" s="370">
        <v>45748.0</v>
      </c>
      <c r="N19" s="370">
        <v>45777.0</v>
      </c>
    </row>
    <row r="20">
      <c r="A20" s="366" t="s">
        <v>16</v>
      </c>
      <c r="B20" s="367">
        <v>4320.0</v>
      </c>
      <c r="C20" s="368"/>
      <c r="D20" s="367">
        <v>0.0</v>
      </c>
      <c r="E20" s="366" t="s">
        <v>552</v>
      </c>
      <c r="F20" s="366" t="s">
        <v>553</v>
      </c>
      <c r="G20" s="366" t="s">
        <v>554</v>
      </c>
      <c r="H20" s="369"/>
      <c r="I20" s="370">
        <v>36904.0</v>
      </c>
      <c r="J20" s="370">
        <v>45663.0</v>
      </c>
      <c r="K20" s="375">
        <v>45412.0</v>
      </c>
      <c r="L20" s="367">
        <v>30.0</v>
      </c>
      <c r="M20" s="370">
        <v>45748.0</v>
      </c>
      <c r="N20" s="370">
        <v>45777.0</v>
      </c>
    </row>
    <row r="21">
      <c r="A21" s="366" t="s">
        <v>16</v>
      </c>
      <c r="B21" s="367">
        <v>4320.0</v>
      </c>
      <c r="C21" s="368"/>
      <c r="D21" s="367">
        <v>0.0</v>
      </c>
      <c r="E21" s="366" t="s">
        <v>614</v>
      </c>
      <c r="F21" s="366" t="s">
        <v>232</v>
      </c>
      <c r="G21" s="366" t="s">
        <v>233</v>
      </c>
      <c r="H21" s="369"/>
      <c r="I21" s="370">
        <v>36634.0</v>
      </c>
      <c r="J21" s="370">
        <v>45250.0</v>
      </c>
      <c r="K21" s="370">
        <v>45428.0</v>
      </c>
      <c r="L21" s="367">
        <v>0.0</v>
      </c>
      <c r="M21" s="370">
        <v>45748.0</v>
      </c>
      <c r="N21" s="370">
        <v>45777.0</v>
      </c>
    </row>
    <row r="22">
      <c r="A22" s="366" t="s">
        <v>16</v>
      </c>
      <c r="B22" s="367">
        <v>4320.0</v>
      </c>
      <c r="C22" s="368"/>
      <c r="D22" s="367">
        <v>0.0</v>
      </c>
      <c r="E22" s="366" t="s">
        <v>36</v>
      </c>
      <c r="F22" s="366" t="s">
        <v>37</v>
      </c>
      <c r="G22" s="366" t="s">
        <v>38</v>
      </c>
      <c r="H22" s="369"/>
      <c r="I22" s="370">
        <v>33408.0</v>
      </c>
      <c r="J22" s="370">
        <v>45078.0</v>
      </c>
      <c r="K22" s="370">
        <v>45366.0</v>
      </c>
      <c r="L22" s="367">
        <v>0.0</v>
      </c>
      <c r="M22" s="370">
        <v>45748.0</v>
      </c>
      <c r="N22" s="370">
        <v>45777.0</v>
      </c>
    </row>
    <row r="23">
      <c r="A23" s="366" t="s">
        <v>16</v>
      </c>
      <c r="B23" s="367">
        <v>4320.0</v>
      </c>
      <c r="C23" s="368"/>
      <c r="D23" s="367">
        <v>0.0</v>
      </c>
      <c r="E23" s="366" t="s">
        <v>39</v>
      </c>
      <c r="F23" s="366" t="s">
        <v>40</v>
      </c>
      <c r="G23" s="366" t="s">
        <v>41</v>
      </c>
      <c r="H23" s="369"/>
      <c r="I23" s="370">
        <v>35983.0</v>
      </c>
      <c r="J23" s="370">
        <v>45082.0</v>
      </c>
      <c r="K23" s="373">
        <v>45362.0</v>
      </c>
      <c r="L23" s="367">
        <v>0.0</v>
      </c>
      <c r="M23" s="370">
        <v>45748.0</v>
      </c>
      <c r="N23" s="370">
        <v>45777.0</v>
      </c>
    </row>
    <row r="24">
      <c r="A24" s="366" t="s">
        <v>16</v>
      </c>
      <c r="B24" s="367">
        <v>4320.0</v>
      </c>
      <c r="C24" s="368"/>
      <c r="D24" s="367">
        <v>0.0</v>
      </c>
      <c r="E24" s="366" t="s">
        <v>615</v>
      </c>
      <c r="F24" s="366" t="s">
        <v>365</v>
      </c>
      <c r="G24" s="366" t="s">
        <v>366</v>
      </c>
      <c r="H24" s="369"/>
      <c r="I24" s="370">
        <v>36703.0</v>
      </c>
      <c r="J24" s="370">
        <v>45411.0</v>
      </c>
      <c r="K24" s="370">
        <v>45432.0</v>
      </c>
      <c r="L24" s="367">
        <v>0.0</v>
      </c>
      <c r="M24" s="370">
        <v>45748.0</v>
      </c>
      <c r="N24" s="370">
        <v>45777.0</v>
      </c>
    </row>
    <row r="25">
      <c r="A25" s="366" t="s">
        <v>16</v>
      </c>
      <c r="B25" s="367">
        <v>4320.0</v>
      </c>
      <c r="C25" s="368"/>
      <c r="D25" s="367">
        <v>0.0</v>
      </c>
      <c r="E25" s="366" t="s">
        <v>234</v>
      </c>
      <c r="F25" s="366" t="s">
        <v>235</v>
      </c>
      <c r="G25" s="366" t="s">
        <v>236</v>
      </c>
      <c r="H25" s="369"/>
      <c r="I25" s="370">
        <v>33048.0</v>
      </c>
      <c r="J25" s="370">
        <v>45243.0</v>
      </c>
      <c r="K25" s="370">
        <v>45329.0</v>
      </c>
      <c r="L25" s="367">
        <v>0.0</v>
      </c>
      <c r="M25" s="370">
        <v>45748.0</v>
      </c>
      <c r="N25" s="370">
        <v>45777.0</v>
      </c>
    </row>
    <row r="26">
      <c r="A26" s="366" t="s">
        <v>16</v>
      </c>
      <c r="B26" s="367">
        <v>4320.0</v>
      </c>
      <c r="C26" s="368"/>
      <c r="D26" s="367">
        <v>0.0</v>
      </c>
      <c r="E26" s="366" t="s">
        <v>616</v>
      </c>
      <c r="F26" s="366" t="s">
        <v>617</v>
      </c>
      <c r="G26" s="366" t="s">
        <v>618</v>
      </c>
      <c r="H26" s="369"/>
      <c r="I26" s="370">
        <v>35082.0</v>
      </c>
      <c r="J26" s="370">
        <v>45194.0</v>
      </c>
      <c r="K26" s="370">
        <v>45199.0</v>
      </c>
      <c r="L26" s="367">
        <v>0.0</v>
      </c>
      <c r="M26" s="370">
        <v>45748.0</v>
      </c>
      <c r="N26" s="370">
        <v>45777.0</v>
      </c>
    </row>
    <row r="27">
      <c r="A27" s="366" t="s">
        <v>16</v>
      </c>
      <c r="B27" s="367">
        <v>4320.0</v>
      </c>
      <c r="C27" s="368"/>
      <c r="D27" s="367">
        <v>0.0</v>
      </c>
      <c r="E27" s="366" t="s">
        <v>316</v>
      </c>
      <c r="F27" s="366" t="s">
        <v>317</v>
      </c>
      <c r="G27" s="366" t="s">
        <v>318</v>
      </c>
      <c r="H27" s="369"/>
      <c r="I27" s="370">
        <v>37274.0</v>
      </c>
      <c r="J27" s="370">
        <v>45362.0</v>
      </c>
      <c r="K27" s="371">
        <v>45688.0</v>
      </c>
      <c r="L27" s="367">
        <v>0.0</v>
      </c>
      <c r="M27" s="370">
        <v>45748.0</v>
      </c>
      <c r="N27" s="370">
        <v>45777.0</v>
      </c>
    </row>
    <row r="28">
      <c r="A28" s="366" t="s">
        <v>16</v>
      </c>
      <c r="B28" s="367">
        <v>4320.0</v>
      </c>
      <c r="C28" s="368"/>
      <c r="D28" s="367">
        <v>0.0</v>
      </c>
      <c r="E28" s="366" t="s">
        <v>264</v>
      </c>
      <c r="F28" s="366" t="s">
        <v>265</v>
      </c>
      <c r="G28" s="366" t="s">
        <v>266</v>
      </c>
      <c r="H28" s="369"/>
      <c r="I28" s="370">
        <v>37398.0</v>
      </c>
      <c r="J28" s="370">
        <v>45096.0</v>
      </c>
      <c r="K28" s="369"/>
      <c r="L28" s="367">
        <v>30.0</v>
      </c>
      <c r="M28" s="370">
        <v>45748.0</v>
      </c>
      <c r="N28" s="370">
        <v>45777.0</v>
      </c>
    </row>
    <row r="29">
      <c r="A29" s="366" t="s">
        <v>16</v>
      </c>
      <c r="B29" s="367">
        <v>4320.0</v>
      </c>
      <c r="C29" s="368"/>
      <c r="D29" s="367">
        <v>0.0</v>
      </c>
      <c r="E29" s="366" t="s">
        <v>411</v>
      </c>
      <c r="F29" s="366" t="s">
        <v>412</v>
      </c>
      <c r="G29" s="366" t="s">
        <v>413</v>
      </c>
      <c r="H29" s="369"/>
      <c r="I29" s="373">
        <v>33230.0</v>
      </c>
      <c r="J29" s="370">
        <v>45453.0</v>
      </c>
      <c r="K29" s="369"/>
      <c r="L29" s="367">
        <v>30.0</v>
      </c>
      <c r="M29" s="370">
        <v>45748.0</v>
      </c>
      <c r="N29" s="370">
        <v>45777.0</v>
      </c>
    </row>
    <row r="30">
      <c r="A30" s="366" t="s">
        <v>16</v>
      </c>
      <c r="B30" s="367">
        <v>4320.0</v>
      </c>
      <c r="C30" s="368"/>
      <c r="D30" s="367">
        <v>0.0</v>
      </c>
      <c r="E30" s="366" t="s">
        <v>690</v>
      </c>
      <c r="F30" s="366" t="s">
        <v>755</v>
      </c>
      <c r="G30" s="366" t="s">
        <v>692</v>
      </c>
      <c r="H30" s="369"/>
      <c r="I30" s="370">
        <v>37137.0</v>
      </c>
      <c r="J30" s="370">
        <v>45691.0</v>
      </c>
      <c r="K30" s="369"/>
      <c r="L30" s="367">
        <v>30.0</v>
      </c>
      <c r="M30" s="370">
        <v>45748.0</v>
      </c>
      <c r="N30" s="370">
        <v>45777.0</v>
      </c>
    </row>
    <row r="31">
      <c r="A31" s="366" t="s">
        <v>16</v>
      </c>
      <c r="B31" s="367">
        <v>4320.0</v>
      </c>
      <c r="C31" s="368"/>
      <c r="D31" s="367">
        <v>0.0</v>
      </c>
      <c r="E31" s="366" t="s">
        <v>693</v>
      </c>
      <c r="F31" s="366" t="s">
        <v>694</v>
      </c>
      <c r="G31" s="366" t="s">
        <v>695</v>
      </c>
      <c r="H31" s="369"/>
      <c r="I31" s="370">
        <v>35599.0</v>
      </c>
      <c r="J31" s="370">
        <v>45712.0</v>
      </c>
      <c r="K31" s="369"/>
      <c r="L31" s="367">
        <v>30.0</v>
      </c>
      <c r="M31" s="370">
        <v>45748.0</v>
      </c>
      <c r="N31" s="370">
        <v>45777.0</v>
      </c>
    </row>
    <row r="32">
      <c r="A32" s="366" t="s">
        <v>16</v>
      </c>
      <c r="B32" s="367">
        <v>4320.0</v>
      </c>
      <c r="C32" s="368"/>
      <c r="D32" s="367">
        <v>0.0</v>
      </c>
      <c r="E32" s="366" t="s">
        <v>282</v>
      </c>
      <c r="F32" s="366" t="s">
        <v>283</v>
      </c>
      <c r="G32" s="366" t="s">
        <v>284</v>
      </c>
      <c r="H32" s="369"/>
      <c r="I32" s="370">
        <v>35047.0</v>
      </c>
      <c r="J32" s="373">
        <v>45257.0</v>
      </c>
      <c r="K32" s="369"/>
      <c r="L32" s="367">
        <v>30.0</v>
      </c>
      <c r="M32" s="370">
        <v>45748.0</v>
      </c>
      <c r="N32" s="370">
        <v>45777.0</v>
      </c>
    </row>
    <row r="33">
      <c r="A33" s="366" t="s">
        <v>16</v>
      </c>
      <c r="B33" s="367">
        <v>4320.0</v>
      </c>
      <c r="C33" s="368"/>
      <c r="D33" s="367">
        <v>0.0</v>
      </c>
      <c r="E33" s="366" t="s">
        <v>481</v>
      </c>
      <c r="F33" s="366" t="s">
        <v>531</v>
      </c>
      <c r="G33" s="366" t="s">
        <v>482</v>
      </c>
      <c r="H33" s="369"/>
      <c r="I33" s="370">
        <v>35096.0</v>
      </c>
      <c r="J33" s="370">
        <v>45602.0</v>
      </c>
      <c r="K33" s="369"/>
      <c r="L33" s="367">
        <v>30.0</v>
      </c>
      <c r="M33" s="370">
        <v>45748.0</v>
      </c>
      <c r="N33" s="370">
        <v>45777.0</v>
      </c>
    </row>
    <row r="34">
      <c r="A34" s="366" t="s">
        <v>16</v>
      </c>
      <c r="B34" s="367">
        <v>4320.0</v>
      </c>
      <c r="C34" s="368"/>
      <c r="D34" s="367">
        <v>0.0</v>
      </c>
      <c r="E34" s="366" t="s">
        <v>45</v>
      </c>
      <c r="F34" s="366" t="s">
        <v>46</v>
      </c>
      <c r="G34" s="366" t="s">
        <v>47</v>
      </c>
      <c r="H34" s="369"/>
      <c r="I34" s="373">
        <v>37370.0</v>
      </c>
      <c r="J34" s="370">
        <v>44739.0</v>
      </c>
      <c r="K34" s="369"/>
      <c r="L34" s="367">
        <v>30.0</v>
      </c>
      <c r="M34" s="370">
        <v>45748.0</v>
      </c>
      <c r="N34" s="370">
        <v>45777.0</v>
      </c>
    </row>
    <row r="35">
      <c r="A35" s="366" t="s">
        <v>16</v>
      </c>
      <c r="B35" s="367">
        <v>4320.0</v>
      </c>
      <c r="C35" s="368"/>
      <c r="D35" s="367">
        <v>0.0</v>
      </c>
      <c r="E35" s="366" t="s">
        <v>48</v>
      </c>
      <c r="F35" s="366" t="s">
        <v>49</v>
      </c>
      <c r="G35" s="366" t="s">
        <v>50</v>
      </c>
      <c r="H35" s="369"/>
      <c r="I35" s="370">
        <v>36399.0</v>
      </c>
      <c r="J35" s="370">
        <v>45229.0</v>
      </c>
      <c r="K35" s="372"/>
      <c r="L35" s="367">
        <v>30.0</v>
      </c>
      <c r="M35" s="370">
        <v>45748.0</v>
      </c>
      <c r="N35" s="370">
        <v>45777.0</v>
      </c>
    </row>
    <row r="36">
      <c r="A36" s="366" t="s">
        <v>16</v>
      </c>
      <c r="B36" s="367">
        <v>4320.0</v>
      </c>
      <c r="C36" s="368"/>
      <c r="D36" s="367">
        <v>0.0</v>
      </c>
      <c r="E36" s="366" t="s">
        <v>444</v>
      </c>
      <c r="F36" s="366" t="s">
        <v>320</v>
      </c>
      <c r="G36" s="366" t="s">
        <v>321</v>
      </c>
      <c r="H36" s="369"/>
      <c r="I36" s="370">
        <v>36360.0</v>
      </c>
      <c r="J36" s="370">
        <v>45355.0</v>
      </c>
      <c r="K36" s="374"/>
      <c r="L36" s="367">
        <v>30.0</v>
      </c>
      <c r="M36" s="370">
        <v>45748.0</v>
      </c>
      <c r="N36" s="370">
        <v>45777.0</v>
      </c>
    </row>
    <row r="37">
      <c r="A37" s="366" t="s">
        <v>16</v>
      </c>
      <c r="B37" s="367">
        <v>4320.0</v>
      </c>
      <c r="C37" s="368"/>
      <c r="D37" s="367">
        <v>0.0</v>
      </c>
      <c r="E37" s="366" t="s">
        <v>383</v>
      </c>
      <c r="F37" s="366" t="s">
        <v>384</v>
      </c>
      <c r="G37" s="366" t="s">
        <v>385</v>
      </c>
      <c r="H37" s="369"/>
      <c r="I37" s="370">
        <v>36183.0</v>
      </c>
      <c r="J37" s="370">
        <v>45418.0</v>
      </c>
      <c r="K37" s="374"/>
      <c r="L37" s="367">
        <v>30.0</v>
      </c>
      <c r="M37" s="370">
        <v>45748.0</v>
      </c>
      <c r="N37" s="370">
        <v>45777.0</v>
      </c>
    </row>
    <row r="38">
      <c r="A38" s="366" t="s">
        <v>16</v>
      </c>
      <c r="B38" s="367">
        <v>4320.0</v>
      </c>
      <c r="C38" s="368"/>
      <c r="D38" s="367">
        <v>0.0</v>
      </c>
      <c r="E38" s="366" t="s">
        <v>386</v>
      </c>
      <c r="F38" s="366" t="s">
        <v>387</v>
      </c>
      <c r="G38" s="366" t="s">
        <v>388</v>
      </c>
      <c r="H38" s="369"/>
      <c r="I38" s="370">
        <v>37144.0</v>
      </c>
      <c r="J38" s="370">
        <v>45418.0</v>
      </c>
      <c r="K38" s="375">
        <v>45418.0</v>
      </c>
      <c r="L38" s="367">
        <v>0.0</v>
      </c>
      <c r="M38" s="370">
        <v>45748.0</v>
      </c>
      <c r="N38" s="370">
        <v>45777.0</v>
      </c>
    </row>
    <row r="39">
      <c r="A39" s="366" t="s">
        <v>16</v>
      </c>
      <c r="B39" s="367">
        <v>4320.0</v>
      </c>
      <c r="C39" s="368"/>
      <c r="D39" s="367">
        <v>0.0</v>
      </c>
      <c r="E39" s="366" t="s">
        <v>325</v>
      </c>
      <c r="F39" s="366" t="s">
        <v>326</v>
      </c>
      <c r="G39" s="366" t="s">
        <v>327</v>
      </c>
      <c r="H39" s="369"/>
      <c r="I39" s="370">
        <v>36962.0</v>
      </c>
      <c r="J39" s="370">
        <v>45376.0</v>
      </c>
      <c r="K39" s="371">
        <v>45565.0</v>
      </c>
      <c r="L39" s="367">
        <v>0.0</v>
      </c>
      <c r="M39" s="370">
        <v>45748.0</v>
      </c>
      <c r="N39" s="370">
        <v>45777.0</v>
      </c>
    </row>
    <row r="40">
      <c r="A40" s="366" t="s">
        <v>16</v>
      </c>
      <c r="B40" s="367">
        <v>4320.0</v>
      </c>
      <c r="C40" s="368"/>
      <c r="D40" s="367">
        <v>0.0</v>
      </c>
      <c r="E40" s="366" t="s">
        <v>285</v>
      </c>
      <c r="F40" s="366" t="s">
        <v>286</v>
      </c>
      <c r="G40" s="366" t="s">
        <v>287</v>
      </c>
      <c r="H40" s="369"/>
      <c r="I40" s="370">
        <v>37377.0</v>
      </c>
      <c r="J40" s="370">
        <v>45334.0</v>
      </c>
      <c r="K40" s="371">
        <v>45688.0</v>
      </c>
      <c r="L40" s="367">
        <v>0.0</v>
      </c>
      <c r="M40" s="370">
        <v>45748.0</v>
      </c>
      <c r="N40" s="370">
        <v>45777.0</v>
      </c>
    </row>
    <row r="41">
      <c r="A41" s="366" t="s">
        <v>16</v>
      </c>
      <c r="B41" s="367">
        <v>4320.0</v>
      </c>
      <c r="C41" s="368"/>
      <c r="D41" s="367">
        <v>0.0</v>
      </c>
      <c r="E41" s="366" t="s">
        <v>288</v>
      </c>
      <c r="F41" s="366" t="s">
        <v>289</v>
      </c>
      <c r="G41" s="366" t="s">
        <v>290</v>
      </c>
      <c r="H41" s="369"/>
      <c r="I41" s="370">
        <v>37047.0</v>
      </c>
      <c r="J41" s="370">
        <v>45257.0</v>
      </c>
      <c r="K41" s="369"/>
      <c r="L41" s="367">
        <v>30.0</v>
      </c>
      <c r="M41" s="370">
        <v>45748.0</v>
      </c>
      <c r="N41" s="370">
        <v>45777.0</v>
      </c>
    </row>
    <row r="42">
      <c r="A42" s="366" t="s">
        <v>16</v>
      </c>
      <c r="B42" s="367">
        <v>4320.0</v>
      </c>
      <c r="C42" s="368"/>
      <c r="D42" s="367">
        <v>0.0</v>
      </c>
      <c r="E42" s="366" t="s">
        <v>567</v>
      </c>
      <c r="F42" s="366" t="s">
        <v>568</v>
      </c>
      <c r="G42" s="366" t="s">
        <v>569</v>
      </c>
      <c r="H42" s="369"/>
      <c r="I42" s="370">
        <v>37962.0</v>
      </c>
      <c r="J42" s="370">
        <v>45677.0</v>
      </c>
      <c r="K42" s="381">
        <v>45779.0</v>
      </c>
      <c r="L42" s="367">
        <v>30.0</v>
      </c>
      <c r="M42" s="370">
        <v>45748.0</v>
      </c>
      <c r="N42" s="370">
        <v>45777.0</v>
      </c>
    </row>
    <row r="43">
      <c r="A43" s="366" t="s">
        <v>16</v>
      </c>
      <c r="B43" s="367">
        <v>4320.0</v>
      </c>
      <c r="C43" s="368"/>
      <c r="D43" s="367">
        <v>0.0</v>
      </c>
      <c r="E43" s="366" t="s">
        <v>51</v>
      </c>
      <c r="F43" s="366" t="s">
        <v>52</v>
      </c>
      <c r="G43" s="366" t="s">
        <v>53</v>
      </c>
      <c r="H43" s="369"/>
      <c r="I43" s="370">
        <v>34601.0</v>
      </c>
      <c r="J43" s="373">
        <v>44986.0</v>
      </c>
      <c r="K43" s="381">
        <v>45777.0</v>
      </c>
      <c r="L43" s="367">
        <v>30.0</v>
      </c>
      <c r="M43" s="370">
        <v>45748.0</v>
      </c>
      <c r="N43" s="370">
        <v>45777.0</v>
      </c>
    </row>
    <row r="44">
      <c r="A44" s="366" t="s">
        <v>16</v>
      </c>
      <c r="B44" s="367">
        <v>4320.0</v>
      </c>
      <c r="C44" s="368"/>
      <c r="D44" s="367">
        <v>0.0</v>
      </c>
      <c r="E44" s="366" t="s">
        <v>445</v>
      </c>
      <c r="F44" s="366" t="s">
        <v>510</v>
      </c>
      <c r="G44" s="366" t="s">
        <v>447</v>
      </c>
      <c r="H44" s="369"/>
      <c r="I44" s="373">
        <v>37047.0</v>
      </c>
      <c r="J44" s="370">
        <v>45505.0</v>
      </c>
      <c r="K44" s="369"/>
      <c r="L44" s="367">
        <v>30.0</v>
      </c>
      <c r="M44" s="370">
        <v>45748.0</v>
      </c>
      <c r="N44" s="370">
        <v>45777.0</v>
      </c>
    </row>
    <row r="45">
      <c r="A45" s="366" t="s">
        <v>16</v>
      </c>
      <c r="B45" s="367">
        <v>4320.0</v>
      </c>
      <c r="C45" s="368"/>
      <c r="D45" s="367">
        <v>0.0</v>
      </c>
      <c r="E45" s="366" t="s">
        <v>467</v>
      </c>
      <c r="F45" s="366" t="s">
        <v>511</v>
      </c>
      <c r="G45" s="366" t="s">
        <v>450</v>
      </c>
      <c r="H45" s="369"/>
      <c r="I45" s="370">
        <v>36682.0</v>
      </c>
      <c r="J45" s="370">
        <v>45505.0</v>
      </c>
      <c r="K45" s="374"/>
      <c r="L45" s="367">
        <v>30.0</v>
      </c>
      <c r="M45" s="370">
        <v>45748.0</v>
      </c>
      <c r="N45" s="370">
        <v>45777.0</v>
      </c>
    </row>
    <row r="46">
      <c r="A46" s="366" t="s">
        <v>16</v>
      </c>
      <c r="B46" s="367">
        <v>4320.0</v>
      </c>
      <c r="C46" s="368"/>
      <c r="D46" s="367">
        <v>0.0</v>
      </c>
      <c r="E46" s="366" t="s">
        <v>503</v>
      </c>
      <c r="F46" s="366" t="s">
        <v>542</v>
      </c>
      <c r="G46" s="366" t="s">
        <v>504</v>
      </c>
      <c r="H46" s="369"/>
      <c r="I46" s="370">
        <v>37422.0</v>
      </c>
      <c r="J46" s="370">
        <v>45635.0</v>
      </c>
      <c r="K46" s="369"/>
      <c r="L46" s="367">
        <v>30.0</v>
      </c>
      <c r="M46" s="370">
        <v>45748.0</v>
      </c>
      <c r="N46" s="370">
        <v>45777.0</v>
      </c>
    </row>
    <row r="47">
      <c r="A47" s="366" t="s">
        <v>16</v>
      </c>
      <c r="B47" s="367">
        <v>4320.0</v>
      </c>
      <c r="C47" s="368"/>
      <c r="D47" s="367">
        <v>0.0</v>
      </c>
      <c r="E47" s="366" t="s">
        <v>497</v>
      </c>
      <c r="F47" s="366" t="s">
        <v>539</v>
      </c>
      <c r="G47" s="366" t="s">
        <v>498</v>
      </c>
      <c r="H47" s="369"/>
      <c r="I47" s="370">
        <v>37026.0</v>
      </c>
      <c r="J47" s="370">
        <v>45628.0</v>
      </c>
      <c r="K47" s="382">
        <v>45758.0</v>
      </c>
      <c r="L47" s="367">
        <v>11.0</v>
      </c>
      <c r="M47" s="370">
        <v>45748.0</v>
      </c>
      <c r="N47" s="370">
        <v>45777.0</v>
      </c>
    </row>
    <row r="48">
      <c r="A48" s="366" t="s">
        <v>16</v>
      </c>
      <c r="B48" s="367">
        <v>4320.0</v>
      </c>
      <c r="C48" s="368"/>
      <c r="D48" s="367">
        <v>0.0</v>
      </c>
      <c r="E48" s="366" t="s">
        <v>249</v>
      </c>
      <c r="F48" s="366" t="s">
        <v>250</v>
      </c>
      <c r="G48" s="366" t="s">
        <v>251</v>
      </c>
      <c r="H48" s="369"/>
      <c r="I48" s="373">
        <v>37322.0</v>
      </c>
      <c r="J48" s="370">
        <v>45096.0</v>
      </c>
      <c r="K48" s="370">
        <v>45523.0</v>
      </c>
      <c r="L48" s="367">
        <v>0.0</v>
      </c>
      <c r="M48" s="370">
        <v>45748.0</v>
      </c>
      <c r="N48" s="370">
        <v>45777.0</v>
      </c>
    </row>
    <row r="49">
      <c r="A49" s="366" t="s">
        <v>16</v>
      </c>
      <c r="B49" s="367">
        <v>4320.0</v>
      </c>
      <c r="C49" s="368"/>
      <c r="D49" s="367">
        <v>0.0</v>
      </c>
      <c r="E49" s="366" t="s">
        <v>291</v>
      </c>
      <c r="F49" s="366" t="s">
        <v>292</v>
      </c>
      <c r="G49" s="366" t="s">
        <v>293</v>
      </c>
      <c r="H49" s="369"/>
      <c r="I49" s="370">
        <v>37219.0</v>
      </c>
      <c r="J49" s="370">
        <v>45257.0</v>
      </c>
      <c r="K49" s="369"/>
      <c r="L49" s="367">
        <v>30.0</v>
      </c>
      <c r="M49" s="370">
        <v>45748.0</v>
      </c>
      <c r="N49" s="370">
        <v>45777.0</v>
      </c>
    </row>
    <row r="50">
      <c r="A50" s="366" t="s">
        <v>16</v>
      </c>
      <c r="B50" s="367">
        <v>4320.0</v>
      </c>
      <c r="C50" s="368"/>
      <c r="D50" s="367">
        <v>0.0</v>
      </c>
      <c r="E50" s="366" t="s">
        <v>619</v>
      </c>
      <c r="F50" s="366" t="s">
        <v>220</v>
      </c>
      <c r="G50" s="366" t="s">
        <v>221</v>
      </c>
      <c r="H50" s="369"/>
      <c r="I50" s="370">
        <v>36408.0</v>
      </c>
      <c r="J50" s="370">
        <v>45173.0</v>
      </c>
      <c r="K50" s="371">
        <v>45412.0</v>
      </c>
      <c r="L50" s="367">
        <v>0.0</v>
      </c>
      <c r="M50" s="370">
        <v>45748.0</v>
      </c>
      <c r="N50" s="370">
        <v>45777.0</v>
      </c>
    </row>
    <row r="51">
      <c r="A51" s="366" t="s">
        <v>16</v>
      </c>
      <c r="B51" s="367">
        <v>4320.0</v>
      </c>
      <c r="C51" s="368"/>
      <c r="D51" s="367">
        <v>0.0</v>
      </c>
      <c r="E51" s="366" t="s">
        <v>367</v>
      </c>
      <c r="F51" s="366" t="s">
        <v>368</v>
      </c>
      <c r="G51" s="366" t="s">
        <v>369</v>
      </c>
      <c r="H51" s="369"/>
      <c r="I51" s="370">
        <v>36718.0</v>
      </c>
      <c r="J51" s="370">
        <v>45397.0</v>
      </c>
      <c r="K51" s="371">
        <v>45485.0</v>
      </c>
      <c r="L51" s="367">
        <v>0.0</v>
      </c>
      <c r="M51" s="370">
        <v>45748.0</v>
      </c>
      <c r="N51" s="370">
        <v>45777.0</v>
      </c>
    </row>
    <row r="52">
      <c r="A52" s="366" t="s">
        <v>16</v>
      </c>
      <c r="B52" s="367">
        <v>4320.0</v>
      </c>
      <c r="C52" s="368"/>
      <c r="D52" s="367">
        <v>0.0</v>
      </c>
      <c r="E52" s="366" t="s">
        <v>594</v>
      </c>
      <c r="F52" s="366" t="s">
        <v>595</v>
      </c>
      <c r="G52" s="366" t="s">
        <v>596</v>
      </c>
      <c r="H52" s="369"/>
      <c r="I52" s="370">
        <v>37809.0</v>
      </c>
      <c r="J52" s="370">
        <v>45684.0</v>
      </c>
      <c r="K52" s="369"/>
      <c r="L52" s="367">
        <v>30.0</v>
      </c>
      <c r="M52" s="370">
        <v>45748.0</v>
      </c>
      <c r="N52" s="370">
        <v>45777.0</v>
      </c>
    </row>
    <row r="53">
      <c r="A53" s="366" t="s">
        <v>16</v>
      </c>
      <c r="B53" s="367">
        <v>4320.0</v>
      </c>
      <c r="C53" s="368"/>
      <c r="D53" s="367">
        <v>0.0</v>
      </c>
      <c r="E53" s="366" t="s">
        <v>60</v>
      </c>
      <c r="F53" s="366" t="s">
        <v>61</v>
      </c>
      <c r="G53" s="366" t="s">
        <v>62</v>
      </c>
      <c r="H53" s="369"/>
      <c r="I53" s="370">
        <v>36246.0</v>
      </c>
      <c r="J53" s="370">
        <v>44851.0</v>
      </c>
      <c r="K53" s="374"/>
      <c r="L53" s="367">
        <v>30.0</v>
      </c>
      <c r="M53" s="370">
        <v>45748.0</v>
      </c>
      <c r="N53" s="370">
        <v>45777.0</v>
      </c>
    </row>
    <row r="54">
      <c r="A54" s="366" t="s">
        <v>16</v>
      </c>
      <c r="B54" s="367">
        <v>4320.0</v>
      </c>
      <c r="C54" s="368"/>
      <c r="D54" s="367">
        <v>0.0</v>
      </c>
      <c r="E54" s="366" t="s">
        <v>63</v>
      </c>
      <c r="F54" s="366" t="s">
        <v>64</v>
      </c>
      <c r="G54" s="366" t="s">
        <v>65</v>
      </c>
      <c r="H54" s="369"/>
      <c r="I54" s="370">
        <v>35606.0</v>
      </c>
      <c r="J54" s="370">
        <v>44896.0</v>
      </c>
      <c r="K54" s="369"/>
      <c r="L54" s="367">
        <v>30.0</v>
      </c>
      <c r="M54" s="370">
        <v>45748.0</v>
      </c>
      <c r="N54" s="370">
        <v>45777.0</v>
      </c>
    </row>
    <row r="55">
      <c r="A55" s="366" t="s">
        <v>16</v>
      </c>
      <c r="B55" s="367">
        <v>4320.0</v>
      </c>
      <c r="C55" s="368"/>
      <c r="D55" s="367">
        <v>0.0</v>
      </c>
      <c r="E55" s="366" t="s">
        <v>63</v>
      </c>
      <c r="F55" s="366" t="s">
        <v>543</v>
      </c>
      <c r="G55" s="366" t="s">
        <v>505</v>
      </c>
      <c r="H55" s="369"/>
      <c r="I55" s="370">
        <v>36725.0</v>
      </c>
      <c r="J55" s="370">
        <v>45635.0</v>
      </c>
      <c r="K55" s="369"/>
      <c r="L55" s="367">
        <v>30.0</v>
      </c>
      <c r="M55" s="370">
        <v>45748.0</v>
      </c>
      <c r="N55" s="370">
        <v>45777.0</v>
      </c>
    </row>
    <row r="56">
      <c r="A56" s="366" t="s">
        <v>16</v>
      </c>
      <c r="B56" s="367">
        <v>4320.0</v>
      </c>
      <c r="C56" s="368"/>
      <c r="D56" s="367">
        <v>0.0</v>
      </c>
      <c r="E56" s="366" t="s">
        <v>744</v>
      </c>
      <c r="F56" s="366" t="s">
        <v>745</v>
      </c>
      <c r="G56" s="366" t="s">
        <v>746</v>
      </c>
      <c r="H56" s="369"/>
      <c r="I56" s="370">
        <v>37479.0</v>
      </c>
      <c r="J56" s="370">
        <v>45726.0</v>
      </c>
      <c r="K56" s="374"/>
      <c r="L56" s="367">
        <v>30.0</v>
      </c>
      <c r="M56" s="370">
        <v>45748.0</v>
      </c>
      <c r="N56" s="370">
        <v>45777.0</v>
      </c>
    </row>
    <row r="57">
      <c r="A57" s="366" t="s">
        <v>16</v>
      </c>
      <c r="B57" s="367">
        <v>4320.0</v>
      </c>
      <c r="C57" s="368"/>
      <c r="D57" s="367">
        <v>0.0</v>
      </c>
      <c r="E57" s="366" t="s">
        <v>620</v>
      </c>
      <c r="F57" s="366" t="s">
        <v>621</v>
      </c>
      <c r="G57" s="366" t="s">
        <v>622</v>
      </c>
      <c r="H57" s="369"/>
      <c r="I57" s="370">
        <v>37067.0</v>
      </c>
      <c r="J57" s="370">
        <v>45216.0</v>
      </c>
      <c r="K57" s="371">
        <v>45453.0</v>
      </c>
      <c r="L57" s="367">
        <v>0.0</v>
      </c>
      <c r="M57" s="370">
        <v>45748.0</v>
      </c>
      <c r="N57" s="370">
        <v>45777.0</v>
      </c>
    </row>
    <row r="58">
      <c r="A58" s="366" t="s">
        <v>16</v>
      </c>
      <c r="B58" s="367">
        <v>4320.0</v>
      </c>
      <c r="C58" s="368"/>
      <c r="D58" s="367">
        <v>0.0</v>
      </c>
      <c r="E58" s="366" t="s">
        <v>591</v>
      </c>
      <c r="F58" s="366" t="s">
        <v>592</v>
      </c>
      <c r="G58" s="366" t="s">
        <v>593</v>
      </c>
      <c r="H58" s="369"/>
      <c r="I58" s="370">
        <v>37041.0</v>
      </c>
      <c r="J58" s="370">
        <v>45684.0</v>
      </c>
      <c r="K58" s="369"/>
      <c r="L58" s="367">
        <v>30.0</v>
      </c>
      <c r="M58" s="370">
        <v>45748.0</v>
      </c>
      <c r="N58" s="370">
        <v>45777.0</v>
      </c>
    </row>
    <row r="59">
      <c r="A59" s="366" t="s">
        <v>16</v>
      </c>
      <c r="B59" s="367">
        <v>4320.0</v>
      </c>
      <c r="C59" s="368"/>
      <c r="D59" s="367">
        <v>0.0</v>
      </c>
      <c r="E59" s="366" t="s">
        <v>597</v>
      </c>
      <c r="F59" s="366" t="s">
        <v>598</v>
      </c>
      <c r="G59" s="366" t="s">
        <v>599</v>
      </c>
      <c r="H59" s="369"/>
      <c r="I59" s="370">
        <v>37265.0</v>
      </c>
      <c r="J59" s="370">
        <v>45684.0</v>
      </c>
      <c r="K59" s="374"/>
      <c r="L59" s="367">
        <v>30.0</v>
      </c>
      <c r="M59" s="370">
        <v>45748.0</v>
      </c>
      <c r="N59" s="370">
        <v>45777.0</v>
      </c>
    </row>
    <row r="60">
      <c r="A60" s="366" t="s">
        <v>16</v>
      </c>
      <c r="B60" s="367">
        <v>4320.0</v>
      </c>
      <c r="C60" s="368"/>
      <c r="D60" s="367">
        <v>0.0</v>
      </c>
      <c r="E60" s="366" t="s">
        <v>66</v>
      </c>
      <c r="F60" s="366" t="s">
        <v>67</v>
      </c>
      <c r="G60" s="366" t="s">
        <v>68</v>
      </c>
      <c r="H60" s="369"/>
      <c r="I60" s="370">
        <v>34973.0</v>
      </c>
      <c r="J60" s="370">
        <v>44986.0</v>
      </c>
      <c r="K60" s="371">
        <v>45562.0</v>
      </c>
      <c r="L60" s="367">
        <v>0.0</v>
      </c>
      <c r="M60" s="370">
        <v>45748.0</v>
      </c>
      <c r="N60" s="370">
        <v>45777.0</v>
      </c>
    </row>
    <row r="61">
      <c r="A61" s="366" t="s">
        <v>16</v>
      </c>
      <c r="B61" s="367">
        <v>4320.0</v>
      </c>
      <c r="C61" s="368"/>
      <c r="D61" s="367">
        <v>0.0</v>
      </c>
      <c r="E61" s="366" t="s">
        <v>267</v>
      </c>
      <c r="F61" s="366" t="s">
        <v>268</v>
      </c>
      <c r="G61" s="366" t="s">
        <v>269</v>
      </c>
      <c r="H61" s="369"/>
      <c r="I61" s="370">
        <v>34590.0</v>
      </c>
      <c r="J61" s="370">
        <v>45313.0</v>
      </c>
      <c r="K61" s="372"/>
      <c r="L61" s="367">
        <v>30.0</v>
      </c>
      <c r="M61" s="370">
        <v>45748.0</v>
      </c>
      <c r="N61" s="370">
        <v>45777.0</v>
      </c>
    </row>
    <row r="62">
      <c r="A62" s="366" t="s">
        <v>16</v>
      </c>
      <c r="B62" s="367">
        <v>4320.0</v>
      </c>
      <c r="C62" s="368"/>
      <c r="D62" s="367">
        <v>0.0</v>
      </c>
      <c r="E62" s="366" t="s">
        <v>69</v>
      </c>
      <c r="F62" s="366" t="s">
        <v>70</v>
      </c>
      <c r="G62" s="366" t="s">
        <v>71</v>
      </c>
      <c r="H62" s="369"/>
      <c r="I62" s="370">
        <v>36891.0</v>
      </c>
      <c r="J62" s="370">
        <v>44739.0</v>
      </c>
      <c r="K62" s="369"/>
      <c r="L62" s="367">
        <v>30.0</v>
      </c>
      <c r="M62" s="370">
        <v>45748.0</v>
      </c>
      <c r="N62" s="370">
        <v>45777.0</v>
      </c>
    </row>
    <row r="63">
      <c r="A63" s="366" t="s">
        <v>16</v>
      </c>
      <c r="B63" s="367">
        <v>4320.0</v>
      </c>
      <c r="C63" s="368"/>
      <c r="D63" s="367">
        <v>0.0</v>
      </c>
      <c r="E63" s="366" t="s">
        <v>252</v>
      </c>
      <c r="F63" s="366" t="s">
        <v>253</v>
      </c>
      <c r="G63" s="366" t="s">
        <v>254</v>
      </c>
      <c r="H63" s="369"/>
      <c r="I63" s="373">
        <v>37516.0</v>
      </c>
      <c r="J63" s="370">
        <v>45159.0</v>
      </c>
      <c r="K63" s="371">
        <v>45450.0</v>
      </c>
      <c r="L63" s="367">
        <v>0.0</v>
      </c>
      <c r="M63" s="370">
        <v>45748.0</v>
      </c>
      <c r="N63" s="370">
        <v>45777.0</v>
      </c>
    </row>
    <row r="64">
      <c r="A64" s="366" t="s">
        <v>16</v>
      </c>
      <c r="B64" s="367">
        <v>4320.0</v>
      </c>
      <c r="C64" s="368"/>
      <c r="D64" s="367">
        <v>0.0</v>
      </c>
      <c r="E64" s="366" t="s">
        <v>468</v>
      </c>
      <c r="F64" s="366" t="s">
        <v>527</v>
      </c>
      <c r="G64" s="366" t="s">
        <v>469</v>
      </c>
      <c r="H64" s="369"/>
      <c r="I64" s="370">
        <v>35986.0</v>
      </c>
      <c r="J64" s="370">
        <v>45537.0</v>
      </c>
      <c r="K64" s="369"/>
      <c r="L64" s="367">
        <v>30.0</v>
      </c>
      <c r="M64" s="370">
        <v>45748.0</v>
      </c>
      <c r="N64" s="370">
        <v>45777.0</v>
      </c>
    </row>
    <row r="65">
      <c r="A65" s="366" t="s">
        <v>16</v>
      </c>
      <c r="B65" s="367">
        <v>4320.0</v>
      </c>
      <c r="C65" s="368"/>
      <c r="D65" s="367">
        <v>0.0</v>
      </c>
      <c r="E65" s="366" t="s">
        <v>72</v>
      </c>
      <c r="F65" s="366" t="s">
        <v>73</v>
      </c>
      <c r="G65" s="366" t="s">
        <v>74</v>
      </c>
      <c r="H65" s="369"/>
      <c r="I65" s="370">
        <v>37210.0</v>
      </c>
      <c r="J65" s="370">
        <v>44562.0</v>
      </c>
      <c r="K65" s="370">
        <v>45442.0</v>
      </c>
      <c r="L65" s="367">
        <v>0.0</v>
      </c>
      <c r="M65" s="370">
        <v>45748.0</v>
      </c>
      <c r="N65" s="370">
        <v>45777.0</v>
      </c>
    </row>
    <row r="66">
      <c r="A66" s="366" t="s">
        <v>16</v>
      </c>
      <c r="B66" s="367">
        <v>4320.0</v>
      </c>
      <c r="C66" s="368"/>
      <c r="D66" s="367">
        <v>0.0</v>
      </c>
      <c r="E66" s="366" t="s">
        <v>78</v>
      </c>
      <c r="F66" s="366" t="s">
        <v>79</v>
      </c>
      <c r="G66" s="366" t="s">
        <v>80</v>
      </c>
      <c r="H66" s="369"/>
      <c r="I66" s="370">
        <v>36401.0</v>
      </c>
      <c r="J66" s="370">
        <v>45096.0</v>
      </c>
      <c r="K66" s="369"/>
      <c r="L66" s="367">
        <v>30.0</v>
      </c>
      <c r="M66" s="370">
        <v>45748.0</v>
      </c>
      <c r="N66" s="370">
        <v>45777.0</v>
      </c>
    </row>
    <row r="67">
      <c r="A67" s="366" t="s">
        <v>16</v>
      </c>
      <c r="B67" s="367">
        <v>4320.0</v>
      </c>
      <c r="C67" s="368"/>
      <c r="D67" s="367">
        <v>0.0</v>
      </c>
      <c r="E67" s="366" t="s">
        <v>555</v>
      </c>
      <c r="F67" s="366" t="s">
        <v>556</v>
      </c>
      <c r="G67" s="366" t="s">
        <v>557</v>
      </c>
      <c r="H67" s="369"/>
      <c r="I67" s="370">
        <v>36135.0</v>
      </c>
      <c r="J67" s="370">
        <v>45663.0</v>
      </c>
      <c r="K67" s="369"/>
      <c r="L67" s="367">
        <v>30.0</v>
      </c>
      <c r="M67" s="370">
        <v>45748.0</v>
      </c>
      <c r="N67" s="370">
        <v>45777.0</v>
      </c>
    </row>
    <row r="68">
      <c r="A68" s="366" t="s">
        <v>16</v>
      </c>
      <c r="B68" s="367">
        <v>4320.0</v>
      </c>
      <c r="C68" s="368"/>
      <c r="D68" s="367">
        <v>0.0</v>
      </c>
      <c r="E68" s="366" t="s">
        <v>483</v>
      </c>
      <c r="F68" s="366" t="s">
        <v>537</v>
      </c>
      <c r="G68" s="366" t="s">
        <v>484</v>
      </c>
      <c r="H68" s="369"/>
      <c r="I68" s="370">
        <v>36286.0</v>
      </c>
      <c r="J68" s="373">
        <v>45602.0</v>
      </c>
      <c r="K68" s="371">
        <v>45723.0</v>
      </c>
      <c r="L68" s="367">
        <v>0.0</v>
      </c>
      <c r="M68" s="370">
        <v>45748.0</v>
      </c>
      <c r="N68" s="370">
        <v>45777.0</v>
      </c>
    </row>
    <row r="69">
      <c r="A69" s="366" t="s">
        <v>16</v>
      </c>
      <c r="B69" s="367">
        <v>4320.0</v>
      </c>
      <c r="C69" s="368"/>
      <c r="D69" s="367">
        <v>0.0</v>
      </c>
      <c r="E69" s="366" t="s">
        <v>81</v>
      </c>
      <c r="F69" s="366" t="s">
        <v>82</v>
      </c>
      <c r="G69" s="366" t="s">
        <v>83</v>
      </c>
      <c r="H69" s="369"/>
      <c r="I69" s="370">
        <v>36113.0</v>
      </c>
      <c r="J69" s="370">
        <v>44866.0</v>
      </c>
      <c r="K69" s="371">
        <v>45299.0</v>
      </c>
      <c r="L69" s="367">
        <v>0.0</v>
      </c>
      <c r="M69" s="370">
        <v>45748.0</v>
      </c>
      <c r="N69" s="370">
        <v>45777.0</v>
      </c>
    </row>
    <row r="70">
      <c r="A70" s="366" t="s">
        <v>16</v>
      </c>
      <c r="B70" s="367">
        <v>4320.0</v>
      </c>
      <c r="C70" s="368"/>
      <c r="D70" s="367">
        <v>0.0</v>
      </c>
      <c r="E70" s="366" t="s">
        <v>485</v>
      </c>
      <c r="F70" s="366" t="s">
        <v>535</v>
      </c>
      <c r="G70" s="366" t="s">
        <v>486</v>
      </c>
      <c r="H70" s="369"/>
      <c r="I70" s="370">
        <v>36994.0</v>
      </c>
      <c r="J70" s="370">
        <v>45602.0</v>
      </c>
      <c r="K70" s="369"/>
      <c r="L70" s="367">
        <v>30.0</v>
      </c>
      <c r="M70" s="370">
        <v>45748.0</v>
      </c>
      <c r="N70" s="370">
        <v>45777.0</v>
      </c>
    </row>
    <row r="71">
      <c r="A71" s="366" t="s">
        <v>16</v>
      </c>
      <c r="B71" s="367">
        <v>4320.0</v>
      </c>
      <c r="C71" s="368"/>
      <c r="D71" s="367">
        <v>0.0</v>
      </c>
      <c r="E71" s="366" t="s">
        <v>331</v>
      </c>
      <c r="F71" s="366" t="s">
        <v>332</v>
      </c>
      <c r="G71" s="366" t="s">
        <v>333</v>
      </c>
      <c r="H71" s="369"/>
      <c r="I71" s="370">
        <v>37958.0</v>
      </c>
      <c r="J71" s="370">
        <v>45369.0</v>
      </c>
      <c r="K71" s="374"/>
      <c r="L71" s="367">
        <v>30.0</v>
      </c>
      <c r="M71" s="370">
        <v>45748.0</v>
      </c>
      <c r="N71" s="370">
        <v>45777.0</v>
      </c>
    </row>
    <row r="72">
      <c r="A72" s="366" t="s">
        <v>16</v>
      </c>
      <c r="B72" s="367">
        <v>4320.0</v>
      </c>
      <c r="C72" s="368"/>
      <c r="D72" s="367">
        <v>0.0</v>
      </c>
      <c r="E72" s="366" t="s">
        <v>392</v>
      </c>
      <c r="F72" s="366" t="s">
        <v>393</v>
      </c>
      <c r="G72" s="366" t="s">
        <v>394</v>
      </c>
      <c r="H72" s="369"/>
      <c r="I72" s="370">
        <v>34922.0</v>
      </c>
      <c r="J72" s="370">
        <v>45418.0</v>
      </c>
      <c r="K72" s="374"/>
      <c r="L72" s="367">
        <v>30.0</v>
      </c>
      <c r="M72" s="370">
        <v>45748.0</v>
      </c>
      <c r="N72" s="370">
        <v>45777.0</v>
      </c>
    </row>
    <row r="73">
      <c r="A73" s="366" t="s">
        <v>16</v>
      </c>
      <c r="B73" s="367">
        <v>4320.0</v>
      </c>
      <c r="C73" s="368"/>
      <c r="D73" s="367">
        <v>0.0</v>
      </c>
      <c r="E73" s="366" t="s">
        <v>696</v>
      </c>
      <c r="F73" s="366" t="s">
        <v>756</v>
      </c>
      <c r="G73" s="366" t="s">
        <v>698</v>
      </c>
      <c r="H73" s="369"/>
      <c r="I73" s="370">
        <v>36474.0</v>
      </c>
      <c r="J73" s="370">
        <v>45698.0</v>
      </c>
      <c r="K73" s="374"/>
      <c r="L73" s="367">
        <v>30.0</v>
      </c>
      <c r="M73" s="370">
        <v>45748.0</v>
      </c>
      <c r="N73" s="370">
        <v>45777.0</v>
      </c>
    </row>
    <row r="74">
      <c r="A74" s="366" t="s">
        <v>16</v>
      </c>
      <c r="B74" s="367">
        <v>4320.0</v>
      </c>
      <c r="C74" s="368"/>
      <c r="D74" s="367">
        <v>0.0</v>
      </c>
      <c r="E74" s="366" t="s">
        <v>699</v>
      </c>
      <c r="F74" s="366" t="s">
        <v>757</v>
      </c>
      <c r="G74" s="366" t="s">
        <v>701</v>
      </c>
      <c r="H74" s="369"/>
      <c r="I74" s="370">
        <v>36474.0</v>
      </c>
      <c r="J74" s="370">
        <v>45698.0</v>
      </c>
      <c r="K74" s="374"/>
      <c r="L74" s="367">
        <v>30.0</v>
      </c>
      <c r="M74" s="370">
        <v>45748.0</v>
      </c>
      <c r="N74" s="370">
        <v>45777.0</v>
      </c>
    </row>
    <row r="75">
      <c r="A75" s="366" t="s">
        <v>16</v>
      </c>
      <c r="B75" s="367">
        <v>4320.0</v>
      </c>
      <c r="C75" s="368"/>
      <c r="D75" s="367">
        <v>0.0</v>
      </c>
      <c r="E75" s="366" t="s">
        <v>576</v>
      </c>
      <c r="F75" s="366" t="s">
        <v>577</v>
      </c>
      <c r="G75" s="366" t="s">
        <v>578</v>
      </c>
      <c r="H75" s="369"/>
      <c r="I75" s="370">
        <v>37944.0</v>
      </c>
      <c r="J75" s="370">
        <v>45677.0</v>
      </c>
      <c r="K75" s="369"/>
      <c r="L75" s="367">
        <v>30.0</v>
      </c>
      <c r="M75" s="370">
        <v>45748.0</v>
      </c>
      <c r="N75" s="370">
        <v>45777.0</v>
      </c>
    </row>
    <row r="76">
      <c r="A76" s="366" t="s">
        <v>16</v>
      </c>
      <c r="B76" s="367">
        <v>4320.0</v>
      </c>
      <c r="C76" s="368"/>
      <c r="D76" s="367">
        <v>0.0</v>
      </c>
      <c r="E76" s="366" t="s">
        <v>546</v>
      </c>
      <c r="F76" s="366" t="s">
        <v>547</v>
      </c>
      <c r="G76" s="366" t="s">
        <v>548</v>
      </c>
      <c r="H76" s="369"/>
      <c r="I76" s="370">
        <v>38255.0</v>
      </c>
      <c r="J76" s="370">
        <v>45658.0</v>
      </c>
      <c r="K76" s="372"/>
      <c r="L76" s="367">
        <v>30.0</v>
      </c>
      <c r="M76" s="370">
        <v>45748.0</v>
      </c>
      <c r="N76" s="370">
        <v>45777.0</v>
      </c>
    </row>
    <row r="77">
      <c r="A77" s="366" t="s">
        <v>16</v>
      </c>
      <c r="B77" s="367">
        <v>4320.0</v>
      </c>
      <c r="C77" s="368"/>
      <c r="D77" s="367">
        <v>0.0</v>
      </c>
      <c r="E77" s="366" t="s">
        <v>741</v>
      </c>
      <c r="F77" s="366" t="s">
        <v>742</v>
      </c>
      <c r="G77" s="366" t="s">
        <v>743</v>
      </c>
      <c r="H77" s="369"/>
      <c r="I77" s="370">
        <v>37329.0</v>
      </c>
      <c r="J77" s="370">
        <v>45719.0</v>
      </c>
      <c r="K77" s="369"/>
      <c r="L77" s="367">
        <v>30.0</v>
      </c>
      <c r="M77" s="370">
        <v>45748.0</v>
      </c>
      <c r="N77" s="370">
        <v>45777.0</v>
      </c>
    </row>
    <row r="78">
      <c r="A78" s="366" t="s">
        <v>16</v>
      </c>
      <c r="B78" s="367">
        <v>4320.0</v>
      </c>
      <c r="C78" s="368"/>
      <c r="D78" s="367">
        <v>0.0</v>
      </c>
      <c r="E78" s="366" t="s">
        <v>294</v>
      </c>
      <c r="F78" s="366" t="s">
        <v>295</v>
      </c>
      <c r="G78" s="366" t="s">
        <v>296</v>
      </c>
      <c r="H78" s="369"/>
      <c r="I78" s="370">
        <v>36551.0</v>
      </c>
      <c r="J78" s="370">
        <v>45278.0</v>
      </c>
      <c r="K78" s="371">
        <v>45359.0</v>
      </c>
      <c r="L78" s="367">
        <v>0.0</v>
      </c>
      <c r="M78" s="370">
        <v>45748.0</v>
      </c>
      <c r="N78" s="370">
        <v>45777.0</v>
      </c>
    </row>
    <row r="79">
      <c r="A79" s="366" t="s">
        <v>16</v>
      </c>
      <c r="B79" s="367">
        <v>4320.0</v>
      </c>
      <c r="C79" s="368"/>
      <c r="D79" s="367">
        <v>0.0</v>
      </c>
      <c r="E79" s="366" t="s">
        <v>623</v>
      </c>
      <c r="F79" s="366" t="s">
        <v>624</v>
      </c>
      <c r="G79" s="366" t="s">
        <v>625</v>
      </c>
      <c r="H79" s="369"/>
      <c r="I79" s="370">
        <v>37489.0</v>
      </c>
      <c r="J79" s="370">
        <v>45397.0</v>
      </c>
      <c r="K79" s="370">
        <v>45488.0</v>
      </c>
      <c r="L79" s="367">
        <v>0.0</v>
      </c>
      <c r="M79" s="370">
        <v>45748.0</v>
      </c>
      <c r="N79" s="370">
        <v>45777.0</v>
      </c>
    </row>
    <row r="80">
      <c r="A80" s="366" t="s">
        <v>16</v>
      </c>
      <c r="B80" s="367">
        <v>4320.0</v>
      </c>
      <c r="C80" s="368"/>
      <c r="D80" s="367">
        <v>0.0</v>
      </c>
      <c r="E80" s="366" t="s">
        <v>626</v>
      </c>
      <c r="F80" s="366" t="s">
        <v>627</v>
      </c>
      <c r="G80" s="366" t="s">
        <v>628</v>
      </c>
      <c r="H80" s="369"/>
      <c r="I80" s="370">
        <v>35257.0</v>
      </c>
      <c r="J80" s="370">
        <v>44795.0</v>
      </c>
      <c r="K80" s="371">
        <v>45199.0</v>
      </c>
      <c r="L80" s="367">
        <v>0.0</v>
      </c>
      <c r="M80" s="370">
        <v>45748.0</v>
      </c>
      <c r="N80" s="370">
        <v>45777.0</v>
      </c>
    </row>
    <row r="81">
      <c r="A81" s="366" t="s">
        <v>16</v>
      </c>
      <c r="B81" s="367">
        <v>4320.0</v>
      </c>
      <c r="C81" s="368"/>
      <c r="D81" s="367">
        <v>0.0</v>
      </c>
      <c r="E81" s="366" t="s">
        <v>629</v>
      </c>
      <c r="F81" s="366" t="s">
        <v>630</v>
      </c>
      <c r="G81" s="366" t="s">
        <v>631</v>
      </c>
      <c r="H81" s="369"/>
      <c r="I81" s="370">
        <v>34807.0</v>
      </c>
      <c r="J81" s="370">
        <v>45110.0</v>
      </c>
      <c r="K81" s="370">
        <v>45199.0</v>
      </c>
      <c r="L81" s="367">
        <v>0.0</v>
      </c>
      <c r="M81" s="370">
        <v>45748.0</v>
      </c>
      <c r="N81" s="370">
        <v>45777.0</v>
      </c>
    </row>
    <row r="82">
      <c r="A82" s="366" t="s">
        <v>16</v>
      </c>
      <c r="B82" s="367">
        <v>4320.0</v>
      </c>
      <c r="C82" s="368"/>
      <c r="D82" s="367">
        <v>0.0</v>
      </c>
      <c r="E82" s="366" t="s">
        <v>501</v>
      </c>
      <c r="F82" s="366" t="s">
        <v>541</v>
      </c>
      <c r="G82" s="366" t="s">
        <v>502</v>
      </c>
      <c r="H82" s="369"/>
      <c r="I82" s="376">
        <v>36062.0</v>
      </c>
      <c r="J82" s="370">
        <v>45628.0</v>
      </c>
      <c r="K82" s="374"/>
      <c r="L82" s="367">
        <v>30.0</v>
      </c>
      <c r="M82" s="370">
        <v>45748.0</v>
      </c>
      <c r="N82" s="370">
        <v>45777.0</v>
      </c>
    </row>
    <row r="83">
      <c r="A83" s="366" t="s">
        <v>16</v>
      </c>
      <c r="B83" s="367">
        <v>4320.0</v>
      </c>
      <c r="C83" s="368"/>
      <c r="D83" s="367">
        <v>0.0</v>
      </c>
      <c r="E83" s="366" t="s">
        <v>270</v>
      </c>
      <c r="F83" s="366" t="s">
        <v>271</v>
      </c>
      <c r="G83" s="366" t="s">
        <v>272</v>
      </c>
      <c r="H83" s="369"/>
      <c r="I83" s="376">
        <v>36769.0</v>
      </c>
      <c r="J83" s="370">
        <v>45313.0</v>
      </c>
      <c r="K83" s="370">
        <v>45415.0</v>
      </c>
      <c r="L83" s="367">
        <v>0.0</v>
      </c>
      <c r="M83" s="370">
        <v>45748.0</v>
      </c>
      <c r="N83" s="370">
        <v>45777.0</v>
      </c>
    </row>
    <row r="84">
      <c r="A84" s="366" t="s">
        <v>16</v>
      </c>
      <c r="B84" s="367">
        <v>4320.0</v>
      </c>
      <c r="C84" s="368"/>
      <c r="D84" s="367">
        <v>0.0</v>
      </c>
      <c r="E84" s="366" t="s">
        <v>451</v>
      </c>
      <c r="F84" s="366" t="s">
        <v>512</v>
      </c>
      <c r="G84" s="366" t="s">
        <v>415</v>
      </c>
      <c r="H84" s="369"/>
      <c r="I84" s="376">
        <v>36443.0</v>
      </c>
      <c r="J84" s="370">
        <v>45446.0</v>
      </c>
      <c r="K84" s="374"/>
      <c r="L84" s="367">
        <v>30.0</v>
      </c>
      <c r="M84" s="370">
        <v>45748.0</v>
      </c>
      <c r="N84" s="370">
        <v>45777.0</v>
      </c>
    </row>
    <row r="85">
      <c r="A85" s="366" t="s">
        <v>16</v>
      </c>
      <c r="B85" s="367">
        <v>4320.0</v>
      </c>
      <c r="C85" s="368"/>
      <c r="D85" s="367">
        <v>0.0</v>
      </c>
      <c r="E85" s="366" t="s">
        <v>87</v>
      </c>
      <c r="F85" s="366" t="s">
        <v>88</v>
      </c>
      <c r="G85" s="366" t="s">
        <v>89</v>
      </c>
      <c r="H85" s="369"/>
      <c r="I85" s="376">
        <v>33737.0</v>
      </c>
      <c r="J85" s="370">
        <v>45139.0</v>
      </c>
      <c r="K85" s="370">
        <v>45734.0</v>
      </c>
      <c r="L85" s="367">
        <v>0.0</v>
      </c>
      <c r="M85" s="370">
        <v>45748.0</v>
      </c>
      <c r="N85" s="370">
        <v>45777.0</v>
      </c>
    </row>
    <row r="86">
      <c r="A86" s="366" t="s">
        <v>16</v>
      </c>
      <c r="B86" s="367">
        <v>4320.0</v>
      </c>
      <c r="C86" s="368"/>
      <c r="D86" s="367">
        <v>0.0</v>
      </c>
      <c r="E86" s="366" t="s">
        <v>632</v>
      </c>
      <c r="F86" s="366" t="s">
        <v>633</v>
      </c>
      <c r="G86" s="366" t="s">
        <v>634</v>
      </c>
      <c r="H86" s="369"/>
      <c r="I86" s="370">
        <v>35300.0</v>
      </c>
      <c r="J86" s="370">
        <v>45103.0</v>
      </c>
      <c r="K86" s="371">
        <v>45310.0</v>
      </c>
      <c r="L86" s="367">
        <v>0.0</v>
      </c>
      <c r="M86" s="370">
        <v>45748.0</v>
      </c>
      <c r="N86" s="370">
        <v>45777.0</v>
      </c>
    </row>
    <row r="87">
      <c r="A87" s="366" t="s">
        <v>16</v>
      </c>
      <c r="B87" s="367">
        <v>4320.0</v>
      </c>
      <c r="C87" s="368"/>
      <c r="D87" s="367">
        <v>0.0</v>
      </c>
      <c r="E87" s="366" t="s">
        <v>573</v>
      </c>
      <c r="F87" s="366" t="s">
        <v>574</v>
      </c>
      <c r="G87" s="366" t="s">
        <v>575</v>
      </c>
      <c r="H87" s="369"/>
      <c r="I87" s="370">
        <v>36061.0</v>
      </c>
      <c r="J87" s="370">
        <v>45677.0</v>
      </c>
      <c r="K87" s="374"/>
      <c r="L87" s="367">
        <v>30.0</v>
      </c>
      <c r="M87" s="370">
        <v>45748.0</v>
      </c>
      <c r="N87" s="370">
        <v>45777.0</v>
      </c>
    </row>
    <row r="88">
      <c r="A88" s="366" t="s">
        <v>16</v>
      </c>
      <c r="B88" s="367">
        <v>4320.0</v>
      </c>
      <c r="C88" s="368"/>
      <c r="D88" s="367">
        <v>0.0</v>
      </c>
      <c r="E88" s="366" t="s">
        <v>90</v>
      </c>
      <c r="F88" s="366" t="s">
        <v>91</v>
      </c>
      <c r="G88" s="366" t="s">
        <v>92</v>
      </c>
      <c r="H88" s="369"/>
      <c r="I88" s="370">
        <v>33917.0</v>
      </c>
      <c r="J88" s="370">
        <v>45166.0</v>
      </c>
      <c r="K88" s="370">
        <v>45321.0</v>
      </c>
      <c r="L88" s="367">
        <v>0.0</v>
      </c>
      <c r="M88" s="370">
        <v>45748.0</v>
      </c>
      <c r="N88" s="370">
        <v>45777.0</v>
      </c>
    </row>
    <row r="89">
      <c r="A89" s="366" t="s">
        <v>16</v>
      </c>
      <c r="B89" s="367">
        <v>4320.0</v>
      </c>
      <c r="C89" s="368"/>
      <c r="D89" s="367">
        <v>0.0</v>
      </c>
      <c r="E89" s="366" t="s">
        <v>337</v>
      </c>
      <c r="F89" s="366" t="s">
        <v>338</v>
      </c>
      <c r="G89" s="366" t="s">
        <v>339</v>
      </c>
      <c r="H89" s="369"/>
      <c r="I89" s="370">
        <v>37539.0</v>
      </c>
      <c r="J89" s="370">
        <v>45362.0</v>
      </c>
      <c r="K89" s="371">
        <v>45657.0</v>
      </c>
      <c r="L89" s="367">
        <v>0.0</v>
      </c>
      <c r="M89" s="370">
        <v>45748.0</v>
      </c>
      <c r="N89" s="370">
        <v>45777.0</v>
      </c>
    </row>
    <row r="90">
      <c r="A90" s="366" t="s">
        <v>16</v>
      </c>
      <c r="B90" s="367">
        <v>4320.0</v>
      </c>
      <c r="C90" s="368"/>
      <c r="D90" s="367">
        <v>0.0</v>
      </c>
      <c r="E90" s="366" t="s">
        <v>297</v>
      </c>
      <c r="F90" s="366" t="s">
        <v>298</v>
      </c>
      <c r="G90" s="366" t="s">
        <v>299</v>
      </c>
      <c r="H90" s="369"/>
      <c r="I90" s="370">
        <v>36692.0</v>
      </c>
      <c r="J90" s="370">
        <v>45243.0</v>
      </c>
      <c r="K90" s="371">
        <v>45365.0</v>
      </c>
      <c r="L90" s="367">
        <v>0.0</v>
      </c>
      <c r="M90" s="370">
        <v>45748.0</v>
      </c>
      <c r="N90" s="370">
        <v>45777.0</v>
      </c>
    </row>
    <row r="91">
      <c r="A91" s="366" t="s">
        <v>16</v>
      </c>
      <c r="B91" s="367">
        <v>4320.0</v>
      </c>
      <c r="C91" s="368"/>
      <c r="D91" s="367">
        <v>0.0</v>
      </c>
      <c r="E91" s="366" t="s">
        <v>93</v>
      </c>
      <c r="F91" s="366" t="s">
        <v>94</v>
      </c>
      <c r="G91" s="366" t="s">
        <v>95</v>
      </c>
      <c r="H91" s="369"/>
      <c r="I91" s="370">
        <v>36137.0</v>
      </c>
      <c r="J91" s="370">
        <v>45098.0</v>
      </c>
      <c r="K91" s="371">
        <v>45246.0</v>
      </c>
      <c r="L91" s="367">
        <v>0.0</v>
      </c>
      <c r="M91" s="370">
        <v>45748.0</v>
      </c>
      <c r="N91" s="370">
        <v>45777.0</v>
      </c>
    </row>
    <row r="92">
      <c r="A92" s="366" t="s">
        <v>16</v>
      </c>
      <c r="B92" s="367">
        <v>4320.0</v>
      </c>
      <c r="C92" s="368"/>
      <c r="D92" s="367">
        <v>0.0</v>
      </c>
      <c r="E92" s="366" t="s">
        <v>636</v>
      </c>
      <c r="F92" s="366" t="s">
        <v>637</v>
      </c>
      <c r="G92" s="366" t="s">
        <v>638</v>
      </c>
      <c r="H92" s="369"/>
      <c r="I92" s="370">
        <v>36354.0</v>
      </c>
      <c r="J92" s="370">
        <v>44562.0</v>
      </c>
      <c r="K92" s="371">
        <v>45199.0</v>
      </c>
      <c r="L92" s="367">
        <v>0.0</v>
      </c>
      <c r="M92" s="370">
        <v>45748.0</v>
      </c>
      <c r="N92" s="370">
        <v>45777.0</v>
      </c>
    </row>
    <row r="93">
      <c r="A93" s="366" t="s">
        <v>16</v>
      </c>
      <c r="B93" s="367">
        <v>4320.0</v>
      </c>
      <c r="C93" s="368"/>
      <c r="D93" s="367">
        <v>0.0</v>
      </c>
      <c r="E93" s="366" t="s">
        <v>579</v>
      </c>
      <c r="F93" s="366" t="s">
        <v>580</v>
      </c>
      <c r="G93" s="366" t="s">
        <v>581</v>
      </c>
      <c r="H93" s="369"/>
      <c r="I93" s="370">
        <v>37609.0</v>
      </c>
      <c r="J93" s="370">
        <v>45677.0</v>
      </c>
      <c r="K93" s="372"/>
      <c r="L93" s="367">
        <v>30.0</v>
      </c>
      <c r="M93" s="370">
        <v>45748.0</v>
      </c>
      <c r="N93" s="370">
        <v>45777.0</v>
      </c>
    </row>
    <row r="94">
      <c r="A94" s="366" t="s">
        <v>16</v>
      </c>
      <c r="B94" s="367">
        <v>4320.0</v>
      </c>
      <c r="C94" s="368"/>
      <c r="D94" s="367">
        <v>0.0</v>
      </c>
      <c r="E94" s="366" t="s">
        <v>452</v>
      </c>
      <c r="F94" s="366" t="s">
        <v>513</v>
      </c>
      <c r="G94" s="366" t="s">
        <v>454</v>
      </c>
      <c r="H94" s="369"/>
      <c r="I94" s="370">
        <v>37834.0</v>
      </c>
      <c r="J94" s="370">
        <v>45505.0</v>
      </c>
      <c r="K94" s="373">
        <v>45667.0</v>
      </c>
      <c r="L94" s="367">
        <v>0.0</v>
      </c>
      <c r="M94" s="370">
        <v>45748.0</v>
      </c>
      <c r="N94" s="370">
        <v>45777.0</v>
      </c>
    </row>
    <row r="95">
      <c r="A95" s="366" t="s">
        <v>16</v>
      </c>
      <c r="B95" s="367">
        <v>4320.0</v>
      </c>
      <c r="C95" s="368"/>
      <c r="D95" s="367">
        <v>0.0</v>
      </c>
      <c r="E95" s="366" t="s">
        <v>99</v>
      </c>
      <c r="F95" s="366" t="s">
        <v>100</v>
      </c>
      <c r="G95" s="366" t="s">
        <v>101</v>
      </c>
      <c r="H95" s="369"/>
      <c r="I95" s="370">
        <v>37240.0</v>
      </c>
      <c r="J95" s="370">
        <v>45176.0</v>
      </c>
      <c r="K95" s="371">
        <v>45535.0</v>
      </c>
      <c r="L95" s="367">
        <v>0.0</v>
      </c>
      <c r="M95" s="370">
        <v>45748.0</v>
      </c>
      <c r="N95" s="370">
        <v>45777.0</v>
      </c>
    </row>
    <row r="96">
      <c r="A96" s="366" t="s">
        <v>16</v>
      </c>
      <c r="B96" s="367">
        <v>4320.0</v>
      </c>
      <c r="C96" s="368"/>
      <c r="D96" s="367">
        <v>0.0</v>
      </c>
      <c r="E96" s="366" t="s">
        <v>476</v>
      </c>
      <c r="F96" s="366" t="s">
        <v>529</v>
      </c>
      <c r="G96" s="366" t="s">
        <v>477</v>
      </c>
      <c r="H96" s="369"/>
      <c r="I96" s="370">
        <v>37220.0</v>
      </c>
      <c r="J96" s="373">
        <v>45572.0</v>
      </c>
      <c r="K96" s="369"/>
      <c r="L96" s="367">
        <v>30.0</v>
      </c>
      <c r="M96" s="370">
        <v>45748.0</v>
      </c>
      <c r="N96" s="370">
        <v>45777.0</v>
      </c>
    </row>
    <row r="97">
      <c r="A97" s="366" t="s">
        <v>16</v>
      </c>
      <c r="B97" s="367">
        <v>4320.0</v>
      </c>
      <c r="C97" s="368"/>
      <c r="D97" s="367">
        <v>0.0</v>
      </c>
      <c r="E97" s="366" t="s">
        <v>102</v>
      </c>
      <c r="F97" s="366" t="s">
        <v>103</v>
      </c>
      <c r="G97" s="366" t="s">
        <v>104</v>
      </c>
      <c r="H97" s="369"/>
      <c r="I97" s="370">
        <v>33240.0</v>
      </c>
      <c r="J97" s="370">
        <v>44287.0</v>
      </c>
      <c r="K97" s="369"/>
      <c r="L97" s="367">
        <v>30.0</v>
      </c>
      <c r="M97" s="370">
        <v>45748.0</v>
      </c>
      <c r="N97" s="370">
        <v>45777.0</v>
      </c>
    </row>
    <row r="98">
      <c r="A98" s="366" t="s">
        <v>16</v>
      </c>
      <c r="B98" s="367">
        <v>4320.0</v>
      </c>
      <c r="C98" s="368"/>
      <c r="D98" s="367">
        <v>0.0</v>
      </c>
      <c r="E98" s="366" t="s">
        <v>255</v>
      </c>
      <c r="F98" s="366" t="s">
        <v>256</v>
      </c>
      <c r="G98" s="366" t="s">
        <v>257</v>
      </c>
      <c r="H98" s="369"/>
      <c r="I98" s="370">
        <v>35173.0</v>
      </c>
      <c r="J98" s="370">
        <v>45264.0</v>
      </c>
      <c r="K98" s="374"/>
      <c r="L98" s="367">
        <v>30.0</v>
      </c>
      <c r="M98" s="370">
        <v>45748.0</v>
      </c>
      <c r="N98" s="370">
        <v>45777.0</v>
      </c>
    </row>
    <row r="99">
      <c r="A99" s="366" t="s">
        <v>16</v>
      </c>
      <c r="B99" s="367">
        <v>4320.0</v>
      </c>
      <c r="C99" s="368"/>
      <c r="D99" s="367">
        <v>0.0</v>
      </c>
      <c r="E99" s="366" t="s">
        <v>438</v>
      </c>
      <c r="F99" s="366" t="s">
        <v>341</v>
      </c>
      <c r="G99" s="366" t="s">
        <v>342</v>
      </c>
      <c r="H99" s="369"/>
      <c r="I99" s="370">
        <v>37964.0</v>
      </c>
      <c r="J99" s="370">
        <v>45355.0</v>
      </c>
      <c r="K99" s="374"/>
      <c r="L99" s="367">
        <v>30.0</v>
      </c>
      <c r="M99" s="370">
        <v>45748.0</v>
      </c>
      <c r="N99" s="370">
        <v>45777.0</v>
      </c>
    </row>
    <row r="100">
      <c r="A100" s="366" t="s">
        <v>16</v>
      </c>
      <c r="B100" s="367">
        <v>4320.0</v>
      </c>
      <c r="C100" s="368"/>
      <c r="D100" s="367">
        <v>0.0</v>
      </c>
      <c r="E100" s="366" t="s">
        <v>105</v>
      </c>
      <c r="F100" s="366" t="s">
        <v>106</v>
      </c>
      <c r="G100" s="366" t="s">
        <v>107</v>
      </c>
      <c r="H100" s="369"/>
      <c r="I100" s="370">
        <v>37136.0</v>
      </c>
      <c r="J100" s="370">
        <v>45181.0</v>
      </c>
      <c r="K100" s="375">
        <v>45054.0</v>
      </c>
      <c r="L100" s="367">
        <v>0.0</v>
      </c>
      <c r="M100" s="370">
        <v>45748.0</v>
      </c>
      <c r="N100" s="370">
        <v>45777.0</v>
      </c>
    </row>
    <row r="101">
      <c r="A101" s="366" t="s">
        <v>16</v>
      </c>
      <c r="B101" s="367">
        <v>4320.0</v>
      </c>
      <c r="C101" s="368"/>
      <c r="D101" s="367">
        <v>0.0</v>
      </c>
      <c r="E101" s="366" t="s">
        <v>639</v>
      </c>
      <c r="F101" s="366" t="s">
        <v>323</v>
      </c>
      <c r="G101" s="366" t="s">
        <v>324</v>
      </c>
      <c r="H101" s="369"/>
      <c r="I101" s="370">
        <v>37100.0</v>
      </c>
      <c r="J101" s="370">
        <v>45376.0</v>
      </c>
      <c r="K101" s="370">
        <v>45425.0</v>
      </c>
      <c r="L101" s="367">
        <v>0.0</v>
      </c>
      <c r="M101" s="370">
        <v>45748.0</v>
      </c>
      <c r="N101" s="370">
        <v>45777.0</v>
      </c>
    </row>
    <row r="102">
      <c r="A102" s="366" t="s">
        <v>16</v>
      </c>
      <c r="B102" s="367">
        <v>4320.0</v>
      </c>
      <c r="C102" s="368"/>
      <c r="D102" s="367">
        <v>0.0</v>
      </c>
      <c r="E102" s="366" t="s">
        <v>508</v>
      </c>
      <c r="F102" s="366" t="s">
        <v>545</v>
      </c>
      <c r="G102" s="366" t="s">
        <v>509</v>
      </c>
      <c r="H102" s="369"/>
      <c r="I102" s="370">
        <v>36637.0</v>
      </c>
      <c r="J102" s="370">
        <v>45649.0</v>
      </c>
      <c r="K102" s="369"/>
      <c r="L102" s="367">
        <v>30.0</v>
      </c>
      <c r="M102" s="370">
        <v>45748.0</v>
      </c>
      <c r="N102" s="370">
        <v>45777.0</v>
      </c>
    </row>
    <row r="103">
      <c r="A103" s="366" t="s">
        <v>16</v>
      </c>
      <c r="B103" s="367">
        <v>4320.0</v>
      </c>
      <c r="C103" s="368"/>
      <c r="D103" s="367">
        <v>0.0</v>
      </c>
      <c r="E103" s="366" t="s">
        <v>395</v>
      </c>
      <c r="F103" s="366" t="s">
        <v>396</v>
      </c>
      <c r="G103" s="366" t="s">
        <v>397</v>
      </c>
      <c r="H103" s="369"/>
      <c r="I103" s="370">
        <v>36557.0</v>
      </c>
      <c r="J103" s="370">
        <v>45432.0</v>
      </c>
      <c r="K103" s="374"/>
      <c r="L103" s="367">
        <v>30.0</v>
      </c>
      <c r="M103" s="370">
        <v>45748.0</v>
      </c>
      <c r="N103" s="370">
        <v>45777.0</v>
      </c>
    </row>
    <row r="104">
      <c r="A104" s="366" t="s">
        <v>16</v>
      </c>
      <c r="B104" s="367">
        <v>4320.0</v>
      </c>
      <c r="C104" s="368"/>
      <c r="D104" s="367">
        <v>0.0</v>
      </c>
      <c r="E104" s="366" t="s">
        <v>370</v>
      </c>
      <c r="F104" s="366" t="s">
        <v>371</v>
      </c>
      <c r="G104" s="366" t="s">
        <v>372</v>
      </c>
      <c r="H104" s="369"/>
      <c r="I104" s="370">
        <v>35551.0</v>
      </c>
      <c r="J104" s="370">
        <v>45383.0</v>
      </c>
      <c r="K104" s="374"/>
      <c r="L104" s="367">
        <v>30.0</v>
      </c>
      <c r="M104" s="370">
        <v>45748.0</v>
      </c>
      <c r="N104" s="370">
        <v>45777.0</v>
      </c>
    </row>
    <row r="105">
      <c r="A105" s="366" t="s">
        <v>16</v>
      </c>
      <c r="B105" s="367">
        <v>4320.0</v>
      </c>
      <c r="C105" s="368"/>
      <c r="D105" s="367">
        <v>0.0</v>
      </c>
      <c r="E105" s="366" t="s">
        <v>640</v>
      </c>
      <c r="F105" s="366" t="s">
        <v>641</v>
      </c>
      <c r="G105" s="366" t="s">
        <v>642</v>
      </c>
      <c r="H105" s="369"/>
      <c r="I105" s="370">
        <v>35152.0</v>
      </c>
      <c r="J105" s="370">
        <v>45180.0</v>
      </c>
      <c r="K105" s="370">
        <v>45233.0</v>
      </c>
      <c r="L105" s="367">
        <v>0.0</v>
      </c>
      <c r="M105" s="370">
        <v>45748.0</v>
      </c>
      <c r="N105" s="370">
        <v>45777.0</v>
      </c>
    </row>
    <row r="106">
      <c r="A106" s="366" t="s">
        <v>16</v>
      </c>
      <c r="B106" s="367">
        <v>4320.0</v>
      </c>
      <c r="C106" s="368"/>
      <c r="D106" s="367">
        <v>0.0</v>
      </c>
      <c r="E106" s="366" t="s">
        <v>111</v>
      </c>
      <c r="F106" s="366" t="s">
        <v>112</v>
      </c>
      <c r="G106" s="366" t="s">
        <v>113</v>
      </c>
      <c r="H106" s="369"/>
      <c r="I106" s="370">
        <v>36898.0</v>
      </c>
      <c r="J106" s="370">
        <v>44988.0</v>
      </c>
      <c r="K106" s="371">
        <v>45412.0</v>
      </c>
      <c r="L106" s="367">
        <v>0.0</v>
      </c>
      <c r="M106" s="370">
        <v>45748.0</v>
      </c>
      <c r="N106" s="370">
        <v>45777.0</v>
      </c>
    </row>
    <row r="107">
      <c r="A107" s="366" t="s">
        <v>16</v>
      </c>
      <c r="B107" s="367">
        <v>4320.0</v>
      </c>
      <c r="C107" s="368"/>
      <c r="D107" s="367">
        <v>0.0</v>
      </c>
      <c r="E107" s="366" t="s">
        <v>114</v>
      </c>
      <c r="F107" s="366" t="s">
        <v>514</v>
      </c>
      <c r="G107" s="366" t="s">
        <v>456</v>
      </c>
      <c r="H107" s="369"/>
      <c r="I107" s="373">
        <v>35872.0</v>
      </c>
      <c r="J107" s="370">
        <v>45523.0</v>
      </c>
      <c r="K107" s="369"/>
      <c r="L107" s="367">
        <v>30.0</v>
      </c>
      <c r="M107" s="370">
        <v>45748.0</v>
      </c>
      <c r="N107" s="370">
        <v>45777.0</v>
      </c>
    </row>
    <row r="108">
      <c r="A108" s="366" t="s">
        <v>16</v>
      </c>
      <c r="B108" s="367">
        <v>4320.0</v>
      </c>
      <c r="C108" s="369"/>
      <c r="D108" s="367">
        <v>0.0</v>
      </c>
      <c r="E108" s="366" t="s">
        <v>114</v>
      </c>
      <c r="F108" s="366" t="s">
        <v>115</v>
      </c>
      <c r="G108" s="366" t="s">
        <v>116</v>
      </c>
      <c r="H108" s="369"/>
      <c r="I108" s="370">
        <v>35159.0</v>
      </c>
      <c r="J108" s="370">
        <v>45078.0</v>
      </c>
      <c r="K108" s="371">
        <v>45322.0</v>
      </c>
      <c r="L108" s="367">
        <v>0.0</v>
      </c>
      <c r="M108" s="370">
        <v>45748.0</v>
      </c>
      <c r="N108" s="370">
        <v>45777.0</v>
      </c>
    </row>
    <row r="109">
      <c r="A109" s="366" t="s">
        <v>16</v>
      </c>
      <c r="B109" s="367">
        <v>4320.0</v>
      </c>
      <c r="C109" s="369"/>
      <c r="D109" s="367">
        <v>0.0</v>
      </c>
      <c r="E109" s="366" t="s">
        <v>457</v>
      </c>
      <c r="F109" s="366" t="s">
        <v>515</v>
      </c>
      <c r="G109" s="366" t="s">
        <v>458</v>
      </c>
      <c r="H109" s="369"/>
      <c r="I109" s="370">
        <v>37061.0</v>
      </c>
      <c r="J109" s="373">
        <v>45505.0</v>
      </c>
      <c r="K109" s="374"/>
      <c r="L109" s="367">
        <v>30.0</v>
      </c>
      <c r="M109" s="370">
        <v>45748.0</v>
      </c>
      <c r="N109" s="370">
        <v>45777.0</v>
      </c>
    </row>
    <row r="110">
      <c r="A110" s="366" t="s">
        <v>16</v>
      </c>
      <c r="B110" s="367">
        <v>4320.0</v>
      </c>
      <c r="C110" s="369"/>
      <c r="D110" s="367">
        <v>0.0</v>
      </c>
      <c r="E110" s="366" t="s">
        <v>439</v>
      </c>
      <c r="F110" s="366" t="s">
        <v>121</v>
      </c>
      <c r="G110" s="366" t="s">
        <v>122</v>
      </c>
      <c r="H110" s="369"/>
      <c r="I110" s="370">
        <v>36794.0</v>
      </c>
      <c r="J110" s="370">
        <v>44915.0</v>
      </c>
      <c r="K110" s="371">
        <v>45709.0</v>
      </c>
      <c r="L110" s="367">
        <v>0.0</v>
      </c>
      <c r="M110" s="370">
        <v>45748.0</v>
      </c>
      <c r="N110" s="370">
        <v>45777.0</v>
      </c>
    </row>
    <row r="111">
      <c r="A111" s="366" t="s">
        <v>16</v>
      </c>
      <c r="B111" s="367">
        <v>4320.0</v>
      </c>
      <c r="C111" s="369"/>
      <c r="D111" s="367">
        <v>0.0</v>
      </c>
      <c r="E111" s="366" t="s">
        <v>643</v>
      </c>
      <c r="F111" s="366" t="s">
        <v>124</v>
      </c>
      <c r="G111" s="366" t="s">
        <v>125</v>
      </c>
      <c r="H111" s="369"/>
      <c r="I111" s="370">
        <v>37149.0</v>
      </c>
      <c r="J111" s="370">
        <v>45124.0</v>
      </c>
      <c r="K111" s="371">
        <v>45453.0</v>
      </c>
      <c r="L111" s="367">
        <v>0.0</v>
      </c>
      <c r="M111" s="370">
        <v>45748.0</v>
      </c>
      <c r="N111" s="370">
        <v>45777.0</v>
      </c>
    </row>
    <row r="112">
      <c r="A112" s="366" t="s">
        <v>16</v>
      </c>
      <c r="B112" s="367">
        <v>4320.0</v>
      </c>
      <c r="C112" s="369"/>
      <c r="D112" s="367">
        <v>0.0</v>
      </c>
      <c r="E112" s="366" t="s">
        <v>237</v>
      </c>
      <c r="F112" s="366" t="s">
        <v>238</v>
      </c>
      <c r="G112" s="366" t="s">
        <v>239</v>
      </c>
      <c r="H112" s="369"/>
      <c r="I112" s="370">
        <v>34503.0</v>
      </c>
      <c r="J112" s="370">
        <v>45251.0</v>
      </c>
      <c r="K112" s="370">
        <v>45338.0</v>
      </c>
      <c r="L112" s="367">
        <v>0.0</v>
      </c>
      <c r="M112" s="370">
        <v>45748.0</v>
      </c>
      <c r="N112" s="370">
        <v>45777.0</v>
      </c>
    </row>
    <row r="113">
      <c r="A113" s="366" t="s">
        <v>16</v>
      </c>
      <c r="B113" s="367">
        <v>4320.0</v>
      </c>
      <c r="C113" s="369"/>
      <c r="D113" s="367">
        <v>0.0</v>
      </c>
      <c r="E113" s="366" t="s">
        <v>506</v>
      </c>
      <c r="F113" s="366" t="s">
        <v>544</v>
      </c>
      <c r="G113" s="366" t="s">
        <v>507</v>
      </c>
      <c r="H113" s="369"/>
      <c r="I113" s="370">
        <v>36981.0</v>
      </c>
      <c r="J113" s="370">
        <v>45642.0</v>
      </c>
      <c r="K113" s="374"/>
      <c r="L113" s="367">
        <v>30.0</v>
      </c>
      <c r="M113" s="370">
        <v>45748.0</v>
      </c>
      <c r="N113" s="370">
        <v>45777.0</v>
      </c>
    </row>
    <row r="114">
      <c r="A114" s="366" t="s">
        <v>16</v>
      </c>
      <c r="B114" s="367">
        <v>4320.0</v>
      </c>
      <c r="C114" s="369"/>
      <c r="D114" s="367">
        <v>0.0</v>
      </c>
      <c r="E114" s="366" t="s">
        <v>487</v>
      </c>
      <c r="F114" s="366" t="s">
        <v>533</v>
      </c>
      <c r="G114" s="366" t="s">
        <v>488</v>
      </c>
      <c r="H114" s="369"/>
      <c r="I114" s="370">
        <v>35195.0</v>
      </c>
      <c r="J114" s="370">
        <v>45602.0</v>
      </c>
      <c r="K114" s="369"/>
      <c r="L114" s="367">
        <v>30.0</v>
      </c>
      <c r="M114" s="370">
        <v>45748.0</v>
      </c>
      <c r="N114" s="370">
        <v>45777.0</v>
      </c>
    </row>
    <row r="115">
      <c r="A115" s="366" t="s">
        <v>16</v>
      </c>
      <c r="B115" s="367">
        <v>4320.0</v>
      </c>
      <c r="C115" s="369"/>
      <c r="D115" s="367">
        <v>0.0</v>
      </c>
      <c r="E115" s="366" t="s">
        <v>343</v>
      </c>
      <c r="F115" s="366" t="s">
        <v>344</v>
      </c>
      <c r="G115" s="366" t="s">
        <v>345</v>
      </c>
      <c r="H115" s="369"/>
      <c r="I115" s="370">
        <v>36821.0</v>
      </c>
      <c r="J115" s="370">
        <v>45362.0</v>
      </c>
      <c r="K115" s="369"/>
      <c r="L115" s="367">
        <v>30.0</v>
      </c>
      <c r="M115" s="370">
        <v>45748.0</v>
      </c>
      <c r="N115" s="370">
        <v>45777.0</v>
      </c>
    </row>
    <row r="116">
      <c r="A116" s="366" t="s">
        <v>16</v>
      </c>
      <c r="B116" s="367">
        <v>4320.0</v>
      </c>
      <c r="C116" s="369"/>
      <c r="D116" s="367">
        <v>0.0</v>
      </c>
      <c r="E116" s="366" t="s">
        <v>750</v>
      </c>
      <c r="F116" s="366" t="s">
        <v>751</v>
      </c>
      <c r="G116" s="366" t="s">
        <v>752</v>
      </c>
      <c r="H116" s="369"/>
      <c r="I116" s="370">
        <v>36581.0</v>
      </c>
      <c r="J116" s="370">
        <v>45740.0</v>
      </c>
      <c r="K116" s="374"/>
      <c r="L116" s="367">
        <v>30.0</v>
      </c>
      <c r="M116" s="370">
        <v>45748.0</v>
      </c>
      <c r="N116" s="370">
        <v>45777.0</v>
      </c>
    </row>
    <row r="117">
      <c r="A117" s="366" t="s">
        <v>16</v>
      </c>
      <c r="B117" s="367">
        <v>4320.0</v>
      </c>
      <c r="C117" s="369"/>
      <c r="D117" s="367">
        <v>0.0</v>
      </c>
      <c r="E117" s="366" t="s">
        <v>129</v>
      </c>
      <c r="F117" s="366" t="s">
        <v>130</v>
      </c>
      <c r="G117" s="366" t="s">
        <v>131</v>
      </c>
      <c r="H117" s="369"/>
      <c r="I117" s="370">
        <v>36207.0</v>
      </c>
      <c r="J117" s="370">
        <v>45054.0</v>
      </c>
      <c r="K117" s="371">
        <v>44960.0</v>
      </c>
      <c r="L117" s="367">
        <v>0.0</v>
      </c>
      <c r="M117" s="370">
        <v>45748.0</v>
      </c>
      <c r="N117" s="370">
        <v>45777.0</v>
      </c>
    </row>
    <row r="118">
      <c r="A118" s="366" t="s">
        <v>16</v>
      </c>
      <c r="B118" s="367">
        <v>4320.0</v>
      </c>
      <c r="C118" s="369"/>
      <c r="D118" s="367">
        <v>0.0</v>
      </c>
      <c r="E118" s="366" t="s">
        <v>429</v>
      </c>
      <c r="F118" s="366" t="s">
        <v>516</v>
      </c>
      <c r="G118" s="366" t="s">
        <v>430</v>
      </c>
      <c r="H118" s="369"/>
      <c r="I118" s="370">
        <v>37257.0</v>
      </c>
      <c r="J118" s="370">
        <v>45481.0</v>
      </c>
      <c r="K118" s="369"/>
      <c r="L118" s="367">
        <v>30.0</v>
      </c>
      <c r="M118" s="370">
        <v>45748.0</v>
      </c>
      <c r="N118" s="370">
        <v>45777.0</v>
      </c>
    </row>
    <row r="119">
      <c r="A119" s="366" t="s">
        <v>16</v>
      </c>
      <c r="B119" s="367">
        <v>4320.0</v>
      </c>
      <c r="C119" s="369"/>
      <c r="D119" s="367">
        <v>0.0</v>
      </c>
      <c r="E119" s="366" t="s">
        <v>489</v>
      </c>
      <c r="F119" s="366" t="s">
        <v>536</v>
      </c>
      <c r="G119" s="366" t="s">
        <v>490</v>
      </c>
      <c r="H119" s="369"/>
      <c r="I119" s="370">
        <v>37105.0</v>
      </c>
      <c r="J119" s="370">
        <v>45602.0</v>
      </c>
      <c r="K119" s="374"/>
      <c r="L119" s="367">
        <v>30.0</v>
      </c>
      <c r="M119" s="370">
        <v>45748.0</v>
      </c>
      <c r="N119" s="370">
        <v>45777.0</v>
      </c>
    </row>
    <row r="120">
      <c r="A120" s="366" t="s">
        <v>16</v>
      </c>
      <c r="B120" s="367">
        <v>4320.0</v>
      </c>
      <c r="C120" s="369"/>
      <c r="D120" s="367">
        <v>0.0</v>
      </c>
      <c r="E120" s="366" t="s">
        <v>644</v>
      </c>
      <c r="F120" s="366" t="s">
        <v>190</v>
      </c>
      <c r="G120" s="366" t="s">
        <v>191</v>
      </c>
      <c r="H120" s="369"/>
      <c r="I120" s="370">
        <v>36421.0</v>
      </c>
      <c r="J120" s="370">
        <v>45166.0</v>
      </c>
      <c r="K120" s="371">
        <v>45535.0</v>
      </c>
      <c r="L120" s="367">
        <v>0.0</v>
      </c>
      <c r="M120" s="370">
        <v>45748.0</v>
      </c>
      <c r="N120" s="370">
        <v>45777.0</v>
      </c>
    </row>
    <row r="121">
      <c r="A121" s="366" t="s">
        <v>16</v>
      </c>
      <c r="B121" s="367">
        <v>4320.0</v>
      </c>
      <c r="C121" s="369"/>
      <c r="D121" s="367">
        <v>0.0</v>
      </c>
      <c r="E121" s="366" t="s">
        <v>645</v>
      </c>
      <c r="F121" s="366" t="s">
        <v>646</v>
      </c>
      <c r="G121" s="366" t="s">
        <v>647</v>
      </c>
      <c r="H121" s="369"/>
      <c r="I121" s="370">
        <v>37123.0</v>
      </c>
      <c r="J121" s="367" t="s">
        <v>762</v>
      </c>
      <c r="K121" s="370">
        <v>45199.0</v>
      </c>
      <c r="L121" s="367">
        <v>0.0</v>
      </c>
      <c r="M121" s="370">
        <v>45748.0</v>
      </c>
      <c r="N121" s="370">
        <v>45777.0</v>
      </c>
    </row>
    <row r="122">
      <c r="A122" s="366" t="s">
        <v>16</v>
      </c>
      <c r="B122" s="367">
        <v>4320.0</v>
      </c>
      <c r="C122" s="369"/>
      <c r="D122" s="367">
        <v>0.0</v>
      </c>
      <c r="E122" s="366" t="s">
        <v>416</v>
      </c>
      <c r="F122" s="366" t="s">
        <v>517</v>
      </c>
      <c r="G122" s="366" t="s">
        <v>417</v>
      </c>
      <c r="H122" s="369"/>
      <c r="I122" s="370">
        <v>36346.0</v>
      </c>
      <c r="J122" s="370">
        <v>45453.0</v>
      </c>
      <c r="K122" s="374"/>
      <c r="L122" s="367">
        <v>30.0</v>
      </c>
      <c r="M122" s="370">
        <v>45748.0</v>
      </c>
      <c r="N122" s="370">
        <v>45777.0</v>
      </c>
    </row>
    <row r="123">
      <c r="A123" s="366" t="s">
        <v>16</v>
      </c>
      <c r="B123" s="367">
        <v>4320.0</v>
      </c>
      <c r="C123" s="369"/>
      <c r="D123" s="367">
        <v>0.0</v>
      </c>
      <c r="E123" s="366" t="s">
        <v>582</v>
      </c>
      <c r="F123" s="366" t="s">
        <v>583</v>
      </c>
      <c r="G123" s="366" t="s">
        <v>584</v>
      </c>
      <c r="H123" s="369"/>
      <c r="I123" s="370">
        <v>37880.0</v>
      </c>
      <c r="J123" s="370">
        <v>45677.0</v>
      </c>
      <c r="K123" s="369"/>
      <c r="L123" s="367">
        <v>30.0</v>
      </c>
      <c r="M123" s="370">
        <v>45748.0</v>
      </c>
      <c r="N123" s="370">
        <v>45777.0</v>
      </c>
    </row>
    <row r="124">
      <c r="A124" s="366" t="s">
        <v>16</v>
      </c>
      <c r="B124" s="367">
        <v>4320.0</v>
      </c>
      <c r="C124" s="369"/>
      <c r="D124" s="367">
        <v>0.0</v>
      </c>
      <c r="E124" s="366" t="s">
        <v>648</v>
      </c>
      <c r="F124" s="366" t="s">
        <v>649</v>
      </c>
      <c r="G124" s="366" t="s">
        <v>650</v>
      </c>
      <c r="H124" s="369"/>
      <c r="I124" s="370">
        <v>35039.0</v>
      </c>
      <c r="J124" s="370">
        <v>44986.0</v>
      </c>
      <c r="K124" s="370">
        <v>45199.0</v>
      </c>
      <c r="L124" s="367">
        <v>0.0</v>
      </c>
      <c r="M124" s="370">
        <v>45748.0</v>
      </c>
      <c r="N124" s="370">
        <v>45777.0</v>
      </c>
    </row>
    <row r="125">
      <c r="A125" s="366" t="s">
        <v>16</v>
      </c>
      <c r="B125" s="367">
        <v>4320.0</v>
      </c>
      <c r="C125" s="369"/>
      <c r="D125" s="367">
        <v>0.0</v>
      </c>
      <c r="E125" s="366" t="s">
        <v>478</v>
      </c>
      <c r="F125" s="366" t="s">
        <v>518</v>
      </c>
      <c r="G125" s="366" t="s">
        <v>426</v>
      </c>
      <c r="H125" s="369"/>
      <c r="I125" s="370">
        <v>36530.0</v>
      </c>
      <c r="J125" s="370">
        <v>45446.0</v>
      </c>
      <c r="K125" s="369"/>
      <c r="L125" s="367">
        <v>30.0</v>
      </c>
      <c r="M125" s="370">
        <v>45748.0</v>
      </c>
      <c r="N125" s="370">
        <v>45777.0</v>
      </c>
    </row>
    <row r="126">
      <c r="A126" s="366" t="s">
        <v>16</v>
      </c>
      <c r="B126" s="367">
        <v>4320.0</v>
      </c>
      <c r="C126" s="369"/>
      <c r="D126" s="367">
        <v>0.0</v>
      </c>
      <c r="E126" s="366" t="s">
        <v>132</v>
      </c>
      <c r="F126" s="366" t="s">
        <v>519</v>
      </c>
      <c r="G126" s="366" t="s">
        <v>418</v>
      </c>
      <c r="H126" s="369"/>
      <c r="I126" s="370">
        <v>37494.0</v>
      </c>
      <c r="J126" s="370">
        <v>45467.0</v>
      </c>
      <c r="K126" s="370">
        <v>45723.0</v>
      </c>
      <c r="L126" s="367">
        <v>0.0</v>
      </c>
      <c r="M126" s="370">
        <v>45748.0</v>
      </c>
      <c r="N126" s="370">
        <v>45777.0</v>
      </c>
    </row>
    <row r="127">
      <c r="A127" s="366" t="s">
        <v>16</v>
      </c>
      <c r="B127" s="367">
        <v>4320.0</v>
      </c>
      <c r="C127" s="369"/>
      <c r="D127" s="367">
        <v>0.0</v>
      </c>
      <c r="E127" s="366" t="s">
        <v>132</v>
      </c>
      <c r="F127" s="366" t="s">
        <v>347</v>
      </c>
      <c r="G127" s="366" t="s">
        <v>348</v>
      </c>
      <c r="H127" s="369"/>
      <c r="I127" s="370">
        <v>36778.0</v>
      </c>
      <c r="J127" s="370">
        <v>45369.0</v>
      </c>
      <c r="K127" s="370">
        <v>45565.0</v>
      </c>
      <c r="L127" s="367">
        <v>0.0</v>
      </c>
      <c r="M127" s="370">
        <v>45748.0</v>
      </c>
      <c r="N127" s="370">
        <v>45777.0</v>
      </c>
    </row>
    <row r="128">
      <c r="A128" s="366" t="s">
        <v>16</v>
      </c>
      <c r="B128" s="367">
        <v>4320.0</v>
      </c>
      <c r="C128" s="369"/>
      <c r="D128" s="367">
        <v>0.0</v>
      </c>
      <c r="E128" s="366" t="s">
        <v>570</v>
      </c>
      <c r="F128" s="366" t="s">
        <v>571</v>
      </c>
      <c r="G128" s="366" t="s">
        <v>572</v>
      </c>
      <c r="H128" s="369"/>
      <c r="I128" s="370">
        <v>37362.0</v>
      </c>
      <c r="J128" s="370">
        <v>45677.0</v>
      </c>
      <c r="K128" s="374"/>
      <c r="L128" s="367">
        <v>30.0</v>
      </c>
      <c r="M128" s="370">
        <v>45748.0</v>
      </c>
      <c r="N128" s="370">
        <v>45777.0</v>
      </c>
    </row>
    <row r="129">
      <c r="A129" s="366" t="s">
        <v>16</v>
      </c>
      <c r="B129" s="367">
        <v>4320.0</v>
      </c>
      <c r="C129" s="369"/>
      <c r="D129" s="367">
        <v>0.0</v>
      </c>
      <c r="E129" s="366" t="s">
        <v>702</v>
      </c>
      <c r="F129" s="366" t="s">
        <v>703</v>
      </c>
      <c r="G129" s="366" t="s">
        <v>704</v>
      </c>
      <c r="H129" s="369"/>
      <c r="I129" s="370">
        <v>35714.0</v>
      </c>
      <c r="J129" s="370">
        <v>45705.0</v>
      </c>
      <c r="K129" s="369"/>
      <c r="L129" s="367">
        <v>30.0</v>
      </c>
      <c r="M129" s="370">
        <v>45748.0</v>
      </c>
      <c r="N129" s="370">
        <v>45777.0</v>
      </c>
    </row>
    <row r="130">
      <c r="A130" s="366" t="s">
        <v>16</v>
      </c>
      <c r="B130" s="367">
        <v>4320.0</v>
      </c>
      <c r="C130" s="369"/>
      <c r="D130" s="367">
        <v>0.0</v>
      </c>
      <c r="E130" s="366" t="s">
        <v>491</v>
      </c>
      <c r="F130" s="366" t="s">
        <v>534</v>
      </c>
      <c r="G130" s="366" t="s">
        <v>492</v>
      </c>
      <c r="H130" s="369"/>
      <c r="I130" s="370">
        <v>36849.0</v>
      </c>
      <c r="J130" s="370">
        <v>45602.0</v>
      </c>
      <c r="K130" s="370">
        <v>45700.0</v>
      </c>
      <c r="L130" s="367">
        <v>0.0</v>
      </c>
      <c r="M130" s="370">
        <v>45748.0</v>
      </c>
      <c r="N130" s="370">
        <v>45777.0</v>
      </c>
    </row>
    <row r="131">
      <c r="A131" s="366" t="s">
        <v>16</v>
      </c>
      <c r="B131" s="367">
        <v>4320.0</v>
      </c>
      <c r="C131" s="369"/>
      <c r="D131" s="367">
        <v>0.0</v>
      </c>
      <c r="E131" s="366" t="s">
        <v>651</v>
      </c>
      <c r="F131" s="366" t="s">
        <v>652</v>
      </c>
      <c r="G131" s="366" t="s">
        <v>653</v>
      </c>
      <c r="H131" s="369"/>
      <c r="I131" s="370">
        <v>34748.0</v>
      </c>
      <c r="J131" s="370">
        <v>45033.0</v>
      </c>
      <c r="K131" s="370">
        <v>45381.0</v>
      </c>
      <c r="L131" s="367">
        <v>0.0</v>
      </c>
      <c r="M131" s="370">
        <v>45748.0</v>
      </c>
      <c r="N131" s="370">
        <v>45777.0</v>
      </c>
    </row>
    <row r="132">
      <c r="A132" s="366" t="s">
        <v>16</v>
      </c>
      <c r="B132" s="367">
        <v>4320.0</v>
      </c>
      <c r="C132" s="369"/>
      <c r="D132" s="367">
        <v>0.0</v>
      </c>
      <c r="E132" s="366" t="s">
        <v>459</v>
      </c>
      <c r="F132" s="366" t="s">
        <v>374</v>
      </c>
      <c r="G132" s="366" t="s">
        <v>375</v>
      </c>
      <c r="H132" s="369"/>
      <c r="I132" s="373">
        <v>37085.0</v>
      </c>
      <c r="J132" s="373">
        <v>45400.0</v>
      </c>
      <c r="K132" s="374"/>
      <c r="L132" s="367">
        <v>30.0</v>
      </c>
      <c r="M132" s="370">
        <v>45748.0</v>
      </c>
      <c r="N132" s="370">
        <v>45777.0</v>
      </c>
    </row>
    <row r="133">
      <c r="A133" s="366" t="s">
        <v>16</v>
      </c>
      <c r="B133" s="367">
        <v>4320.0</v>
      </c>
      <c r="C133" s="369"/>
      <c r="D133" s="367">
        <v>0.0</v>
      </c>
      <c r="E133" s="366" t="s">
        <v>135</v>
      </c>
      <c r="F133" s="366" t="s">
        <v>136</v>
      </c>
      <c r="G133" s="366" t="s">
        <v>137</v>
      </c>
      <c r="H133" s="369"/>
      <c r="I133" s="370">
        <v>36768.0</v>
      </c>
      <c r="J133" s="373">
        <v>44888.0</v>
      </c>
      <c r="K133" s="370">
        <v>45260.0</v>
      </c>
      <c r="L133" s="367">
        <v>0.0</v>
      </c>
      <c r="M133" s="370">
        <v>45748.0</v>
      </c>
      <c r="N133" s="370">
        <v>45777.0</v>
      </c>
    </row>
    <row r="134">
      <c r="A134" s="366" t="s">
        <v>16</v>
      </c>
      <c r="B134" s="367">
        <v>4320.0</v>
      </c>
      <c r="C134" s="369"/>
      <c r="D134" s="367">
        <v>0.0</v>
      </c>
      <c r="E134" s="366" t="s">
        <v>349</v>
      </c>
      <c r="F134" s="366" t="s">
        <v>350</v>
      </c>
      <c r="G134" s="366" t="s">
        <v>351</v>
      </c>
      <c r="H134" s="369"/>
      <c r="I134" s="370">
        <v>37647.0</v>
      </c>
      <c r="J134" s="370">
        <v>45355.0</v>
      </c>
      <c r="K134" s="374"/>
      <c r="L134" s="367">
        <v>30.0</v>
      </c>
      <c r="M134" s="370">
        <v>45748.0</v>
      </c>
      <c r="N134" s="370">
        <v>45777.0</v>
      </c>
    </row>
    <row r="135">
      <c r="A135" s="366" t="s">
        <v>16</v>
      </c>
      <c r="B135" s="367">
        <v>4320.0</v>
      </c>
      <c r="C135" s="369"/>
      <c r="D135" s="367">
        <v>0.0</v>
      </c>
      <c r="E135" s="366" t="s">
        <v>654</v>
      </c>
      <c r="F135" s="366" t="s">
        <v>655</v>
      </c>
      <c r="G135" s="366" t="s">
        <v>656</v>
      </c>
      <c r="H135" s="369"/>
      <c r="I135" s="370">
        <v>34318.0</v>
      </c>
      <c r="J135" s="370">
        <v>45229.0</v>
      </c>
      <c r="K135" s="370">
        <v>45523.0</v>
      </c>
      <c r="L135" s="367">
        <v>0.0</v>
      </c>
      <c r="M135" s="370">
        <v>45748.0</v>
      </c>
      <c r="N135" s="370">
        <v>45777.0</v>
      </c>
    </row>
    <row r="136">
      <c r="A136" s="366" t="s">
        <v>16</v>
      </c>
      <c r="B136" s="367">
        <v>4320.0</v>
      </c>
      <c r="C136" s="369"/>
      <c r="D136" s="367">
        <v>0.0</v>
      </c>
      <c r="E136" s="366" t="s">
        <v>141</v>
      </c>
      <c r="F136" s="366" t="s">
        <v>142</v>
      </c>
      <c r="G136" s="366" t="s">
        <v>143</v>
      </c>
      <c r="H136" s="369"/>
      <c r="I136" s="370">
        <v>34300.0</v>
      </c>
      <c r="J136" s="370">
        <v>45183.0</v>
      </c>
      <c r="K136" s="370">
        <v>45565.0</v>
      </c>
      <c r="L136" s="367">
        <v>0.0</v>
      </c>
      <c r="M136" s="370">
        <v>45748.0</v>
      </c>
      <c r="N136" s="370">
        <v>45777.0</v>
      </c>
    </row>
    <row r="137">
      <c r="A137" s="366" t="s">
        <v>16</v>
      </c>
      <c r="B137" s="367">
        <v>4320.0</v>
      </c>
      <c r="C137" s="369"/>
      <c r="D137" s="367">
        <v>0.0</v>
      </c>
      <c r="E137" s="366" t="s">
        <v>657</v>
      </c>
      <c r="F137" s="366" t="s">
        <v>658</v>
      </c>
      <c r="G137" s="366" t="s">
        <v>659</v>
      </c>
      <c r="H137" s="369"/>
      <c r="I137" s="370">
        <v>35147.0</v>
      </c>
      <c r="J137" s="370">
        <v>44886.0</v>
      </c>
      <c r="K137" s="371">
        <v>45243.0</v>
      </c>
      <c r="L137" s="367">
        <v>0.0</v>
      </c>
      <c r="M137" s="370">
        <v>45748.0</v>
      </c>
      <c r="N137" s="370">
        <v>45777.0</v>
      </c>
    </row>
    <row r="138">
      <c r="A138" s="366" t="s">
        <v>16</v>
      </c>
      <c r="B138" s="367">
        <v>4320.0</v>
      </c>
      <c r="C138" s="369"/>
      <c r="D138" s="367">
        <v>0.0</v>
      </c>
      <c r="E138" s="366" t="s">
        <v>352</v>
      </c>
      <c r="F138" s="366" t="s">
        <v>353</v>
      </c>
      <c r="G138" s="366" t="s">
        <v>354</v>
      </c>
      <c r="H138" s="369"/>
      <c r="I138" s="370">
        <v>36412.0</v>
      </c>
      <c r="J138" s="370">
        <v>45355.0</v>
      </c>
      <c r="K138" s="369"/>
      <c r="L138" s="367">
        <v>30.0</v>
      </c>
      <c r="M138" s="370">
        <v>45748.0</v>
      </c>
      <c r="N138" s="370">
        <v>45777.0</v>
      </c>
    </row>
    <row r="139">
      <c r="A139" s="366" t="s">
        <v>16</v>
      </c>
      <c r="B139" s="367">
        <v>4320.0</v>
      </c>
      <c r="C139" s="369"/>
      <c r="D139" s="367">
        <v>0.0</v>
      </c>
      <c r="E139" s="366" t="s">
        <v>419</v>
      </c>
      <c r="F139" s="366" t="s">
        <v>520</v>
      </c>
      <c r="G139" s="366" t="s">
        <v>420</v>
      </c>
      <c r="H139" s="369"/>
      <c r="I139" s="370">
        <v>36907.0</v>
      </c>
      <c r="J139" s="370">
        <v>45446.0</v>
      </c>
      <c r="K139" s="370">
        <v>45676.0</v>
      </c>
      <c r="L139" s="367">
        <v>0.0</v>
      </c>
      <c r="M139" s="370">
        <v>45748.0</v>
      </c>
      <c r="N139" s="370">
        <v>45777.0</v>
      </c>
    </row>
    <row r="140">
      <c r="A140" s="366" t="s">
        <v>16</v>
      </c>
      <c r="B140" s="367">
        <v>4320.0</v>
      </c>
      <c r="C140" s="369"/>
      <c r="D140" s="367">
        <v>0.0</v>
      </c>
      <c r="E140" s="366" t="s">
        <v>660</v>
      </c>
      <c r="F140" s="366" t="s">
        <v>127</v>
      </c>
      <c r="G140" s="366" t="s">
        <v>128</v>
      </c>
      <c r="H140" s="369"/>
      <c r="I140" s="370">
        <v>36132.0</v>
      </c>
      <c r="J140" s="370">
        <v>45117.0</v>
      </c>
      <c r="K140" s="370">
        <v>45260.0</v>
      </c>
      <c r="L140" s="367">
        <v>0.0</v>
      </c>
      <c r="M140" s="370">
        <v>45748.0</v>
      </c>
      <c r="N140" s="370">
        <v>45777.0</v>
      </c>
    </row>
    <row r="141">
      <c r="A141" s="366" t="s">
        <v>16</v>
      </c>
      <c r="B141" s="367">
        <v>4320.0</v>
      </c>
      <c r="C141" s="369"/>
      <c r="D141" s="367">
        <v>0.0</v>
      </c>
      <c r="E141" s="366" t="s">
        <v>705</v>
      </c>
      <c r="F141" s="366" t="s">
        <v>758</v>
      </c>
      <c r="G141" s="366" t="s">
        <v>707</v>
      </c>
      <c r="H141" s="369"/>
      <c r="I141" s="370">
        <v>36594.0</v>
      </c>
      <c r="J141" s="370">
        <v>45712.0</v>
      </c>
      <c r="K141" s="369"/>
      <c r="L141" s="367">
        <v>30.0</v>
      </c>
      <c r="M141" s="370">
        <v>45748.0</v>
      </c>
      <c r="N141" s="370">
        <v>45777.0</v>
      </c>
    </row>
    <row r="142">
      <c r="A142" s="366" t="s">
        <v>16</v>
      </c>
      <c r="B142" s="367">
        <v>4320.0</v>
      </c>
      <c r="C142" s="369"/>
      <c r="D142" s="367">
        <v>0.0</v>
      </c>
      <c r="E142" s="366" t="s">
        <v>398</v>
      </c>
      <c r="F142" s="366" t="s">
        <v>399</v>
      </c>
      <c r="G142" s="366" t="s">
        <v>400</v>
      </c>
      <c r="H142" s="369"/>
      <c r="I142" s="370">
        <v>36655.0</v>
      </c>
      <c r="J142" s="370">
        <v>45418.0</v>
      </c>
      <c r="K142" s="370">
        <v>45539.0</v>
      </c>
      <c r="L142" s="367">
        <v>0.0</v>
      </c>
      <c r="M142" s="370">
        <v>45748.0</v>
      </c>
      <c r="N142" s="370">
        <v>45777.0</v>
      </c>
    </row>
    <row r="143">
      <c r="A143" s="366" t="s">
        <v>16</v>
      </c>
      <c r="B143" s="367">
        <v>4320.0</v>
      </c>
      <c r="C143" s="369"/>
      <c r="D143" s="367">
        <v>0.0</v>
      </c>
      <c r="E143" s="366" t="s">
        <v>661</v>
      </c>
      <c r="F143" s="366" t="s">
        <v>662</v>
      </c>
      <c r="G143" s="366" t="s">
        <v>663</v>
      </c>
      <c r="H143" s="369"/>
      <c r="I143" s="370">
        <v>31262.0</v>
      </c>
      <c r="J143" s="370">
        <v>45048.0</v>
      </c>
      <c r="K143" s="371">
        <v>45199.0</v>
      </c>
      <c r="L143" s="367">
        <v>0.0</v>
      </c>
      <c r="M143" s="370">
        <v>45748.0</v>
      </c>
      <c r="N143" s="370">
        <v>45777.0</v>
      </c>
    </row>
    <row r="144">
      <c r="A144" s="366" t="s">
        <v>16</v>
      </c>
      <c r="B144" s="367">
        <v>4320.0</v>
      </c>
      <c r="C144" s="369"/>
      <c r="D144" s="367">
        <v>0.0</v>
      </c>
      <c r="E144" s="366" t="s">
        <v>147</v>
      </c>
      <c r="F144" s="366" t="s">
        <v>148</v>
      </c>
      <c r="G144" s="366" t="s">
        <v>149</v>
      </c>
      <c r="H144" s="369"/>
      <c r="I144" s="370">
        <v>36541.0</v>
      </c>
      <c r="J144" s="370">
        <v>44755.0</v>
      </c>
      <c r="K144" s="371">
        <v>45386.0</v>
      </c>
      <c r="L144" s="367">
        <v>0.0</v>
      </c>
      <c r="M144" s="370">
        <v>45748.0</v>
      </c>
      <c r="N144" s="370">
        <v>45777.0</v>
      </c>
    </row>
    <row r="145">
      <c r="A145" s="366" t="s">
        <v>16</v>
      </c>
      <c r="B145" s="367">
        <v>4320.0</v>
      </c>
      <c r="C145" s="369"/>
      <c r="D145" s="367">
        <v>0.0</v>
      </c>
      <c r="E145" s="366" t="s">
        <v>150</v>
      </c>
      <c r="F145" s="366" t="s">
        <v>151</v>
      </c>
      <c r="G145" s="366" t="s">
        <v>152</v>
      </c>
      <c r="H145" s="369"/>
      <c r="I145" s="370">
        <v>34335.0</v>
      </c>
      <c r="J145" s="370">
        <v>45078.0</v>
      </c>
      <c r="K145" s="370">
        <v>45400.0</v>
      </c>
      <c r="L145" s="367">
        <v>0.0</v>
      </c>
      <c r="M145" s="370">
        <v>45748.0</v>
      </c>
      <c r="N145" s="370">
        <v>45777.0</v>
      </c>
    </row>
    <row r="146">
      <c r="A146" s="366" t="s">
        <v>16</v>
      </c>
      <c r="B146" s="367">
        <v>4320.0</v>
      </c>
      <c r="C146" s="369"/>
      <c r="D146" s="367">
        <v>0.0</v>
      </c>
      <c r="E146" s="366" t="s">
        <v>153</v>
      </c>
      <c r="F146" s="366" t="s">
        <v>154</v>
      </c>
      <c r="G146" s="366" t="s">
        <v>155</v>
      </c>
      <c r="H146" s="369"/>
      <c r="I146" s="373">
        <v>31014.0</v>
      </c>
      <c r="J146" s="370">
        <v>44805.0</v>
      </c>
      <c r="K146" s="370">
        <v>45199.0</v>
      </c>
      <c r="L146" s="367">
        <v>0.0</v>
      </c>
      <c r="M146" s="370">
        <v>45748.0</v>
      </c>
      <c r="N146" s="370">
        <v>45777.0</v>
      </c>
    </row>
    <row r="147">
      <c r="A147" s="366" t="s">
        <v>16</v>
      </c>
      <c r="B147" s="367">
        <v>4320.0</v>
      </c>
      <c r="C147" s="369"/>
      <c r="D147" s="367">
        <v>0.0</v>
      </c>
      <c r="E147" s="366" t="s">
        <v>273</v>
      </c>
      <c r="F147" s="366" t="s">
        <v>274</v>
      </c>
      <c r="G147" s="366" t="s">
        <v>275</v>
      </c>
      <c r="H147" s="369"/>
      <c r="I147" s="370">
        <v>34522.0</v>
      </c>
      <c r="J147" s="370">
        <v>45292.0</v>
      </c>
      <c r="K147" s="369"/>
      <c r="L147" s="367">
        <v>30.0</v>
      </c>
      <c r="M147" s="370">
        <v>45748.0</v>
      </c>
      <c r="N147" s="370">
        <v>45777.0</v>
      </c>
    </row>
    <row r="148">
      <c r="A148" s="366" t="s">
        <v>16</v>
      </c>
      <c r="B148" s="367">
        <v>4320.0</v>
      </c>
      <c r="C148" s="369"/>
      <c r="D148" s="367">
        <v>0.0</v>
      </c>
      <c r="E148" s="366" t="s">
        <v>708</v>
      </c>
      <c r="F148" s="366" t="s">
        <v>759</v>
      </c>
      <c r="G148" s="366" t="s">
        <v>710</v>
      </c>
      <c r="H148" s="369"/>
      <c r="I148" s="373">
        <v>37028.0</v>
      </c>
      <c r="J148" s="370">
        <v>45705.0</v>
      </c>
      <c r="K148" s="374"/>
      <c r="L148" s="367">
        <v>30.0</v>
      </c>
      <c r="M148" s="370">
        <v>45748.0</v>
      </c>
      <c r="N148" s="370">
        <v>45777.0</v>
      </c>
    </row>
    <row r="149">
      <c r="A149" s="366" t="s">
        <v>16</v>
      </c>
      <c r="B149" s="367">
        <v>4320.0</v>
      </c>
      <c r="C149" s="369"/>
      <c r="D149" s="367">
        <v>0.0</v>
      </c>
      <c r="E149" s="366" t="s">
        <v>470</v>
      </c>
      <c r="F149" s="366" t="s">
        <v>528</v>
      </c>
      <c r="G149" s="366" t="s">
        <v>472</v>
      </c>
      <c r="H149" s="369"/>
      <c r="I149" s="370">
        <v>37278.0</v>
      </c>
      <c r="J149" s="370">
        <v>45544.0</v>
      </c>
      <c r="K149" s="374"/>
      <c r="L149" s="367">
        <v>30.0</v>
      </c>
      <c r="M149" s="370">
        <v>45748.0</v>
      </c>
      <c r="N149" s="370">
        <v>45777.0</v>
      </c>
    </row>
    <row r="150">
      <c r="A150" s="366" t="s">
        <v>16</v>
      </c>
      <c r="B150" s="367">
        <v>4320.0</v>
      </c>
      <c r="C150" s="369"/>
      <c r="D150" s="367">
        <v>0.0</v>
      </c>
      <c r="E150" s="366" t="s">
        <v>558</v>
      </c>
      <c r="F150" s="366" t="s">
        <v>559</v>
      </c>
      <c r="G150" s="366" t="s">
        <v>560</v>
      </c>
      <c r="H150" s="369"/>
      <c r="I150" s="370">
        <v>33811.0</v>
      </c>
      <c r="J150" s="370">
        <v>45663.0</v>
      </c>
      <c r="K150" s="370">
        <v>45667.0</v>
      </c>
      <c r="L150" s="367">
        <v>0.0</v>
      </c>
      <c r="M150" s="370">
        <v>45748.0</v>
      </c>
      <c r="N150" s="370">
        <v>45777.0</v>
      </c>
    </row>
    <row r="151">
      <c r="A151" s="366" t="s">
        <v>16</v>
      </c>
      <c r="B151" s="367">
        <v>4320.0</v>
      </c>
      <c r="C151" s="369"/>
      <c r="D151" s="367">
        <v>0.0</v>
      </c>
      <c r="E151" s="366" t="s">
        <v>664</v>
      </c>
      <c r="F151" s="366" t="s">
        <v>157</v>
      </c>
      <c r="G151" s="366" t="s">
        <v>158</v>
      </c>
      <c r="H151" s="369"/>
      <c r="I151" s="370">
        <v>35150.0</v>
      </c>
      <c r="J151" s="370">
        <v>45079.0</v>
      </c>
      <c r="K151" s="373">
        <v>45322.0</v>
      </c>
      <c r="L151" s="367">
        <v>0.0</v>
      </c>
      <c r="M151" s="370">
        <v>45748.0</v>
      </c>
      <c r="N151" s="370">
        <v>45777.0</v>
      </c>
    </row>
    <row r="152">
      <c r="A152" s="366" t="s">
        <v>16</v>
      </c>
      <c r="B152" s="367">
        <v>4320.0</v>
      </c>
      <c r="C152" s="369"/>
      <c r="D152" s="367">
        <v>0.0</v>
      </c>
      <c r="E152" s="366" t="s">
        <v>495</v>
      </c>
      <c r="F152" s="366" t="s">
        <v>538</v>
      </c>
      <c r="G152" s="366" t="s">
        <v>496</v>
      </c>
      <c r="H152" s="369"/>
      <c r="I152" s="370">
        <v>33452.0</v>
      </c>
      <c r="J152" s="370">
        <v>45628.0</v>
      </c>
      <c r="K152" s="371">
        <v>45728.0</v>
      </c>
      <c r="L152" s="367">
        <v>0.0</v>
      </c>
      <c r="M152" s="370">
        <v>45748.0</v>
      </c>
      <c r="N152" s="370">
        <v>45777.0</v>
      </c>
    </row>
    <row r="153">
      <c r="A153" s="366" t="s">
        <v>16</v>
      </c>
      <c r="B153" s="367">
        <v>4320.0</v>
      </c>
      <c r="C153" s="369"/>
      <c r="D153" s="367">
        <v>0.0</v>
      </c>
      <c r="E153" s="366" t="s">
        <v>665</v>
      </c>
      <c r="F153" s="366" t="s">
        <v>160</v>
      </c>
      <c r="G153" s="366" t="s">
        <v>161</v>
      </c>
      <c r="H153" s="369"/>
      <c r="I153" s="373">
        <v>35779.0</v>
      </c>
      <c r="J153" s="370">
        <v>45176.0</v>
      </c>
      <c r="K153" s="371">
        <v>45317.0</v>
      </c>
      <c r="L153" s="367">
        <v>0.0</v>
      </c>
      <c r="M153" s="370">
        <v>45748.0</v>
      </c>
      <c r="N153" s="370">
        <v>45777.0</v>
      </c>
    </row>
    <row r="154">
      <c r="A154" s="366" t="s">
        <v>16</v>
      </c>
      <c r="B154" s="367">
        <v>4320.0</v>
      </c>
      <c r="C154" s="369"/>
      <c r="D154" s="367">
        <v>0.0</v>
      </c>
      <c r="E154" s="366" t="s">
        <v>162</v>
      </c>
      <c r="F154" s="366" t="s">
        <v>163</v>
      </c>
      <c r="G154" s="366" t="s">
        <v>164</v>
      </c>
      <c r="H154" s="369"/>
      <c r="I154" s="373">
        <v>34732.0</v>
      </c>
      <c r="J154" s="370">
        <v>44986.0</v>
      </c>
      <c r="K154" s="374"/>
      <c r="L154" s="367">
        <v>30.0</v>
      </c>
      <c r="M154" s="370">
        <v>45748.0</v>
      </c>
      <c r="N154" s="370">
        <v>45777.0</v>
      </c>
    </row>
    <row r="155">
      <c r="A155" s="366" t="s">
        <v>16</v>
      </c>
      <c r="B155" s="367">
        <v>4320.0</v>
      </c>
      <c r="C155" s="369"/>
      <c r="D155" s="367">
        <v>0.0</v>
      </c>
      <c r="E155" s="366" t="s">
        <v>549</v>
      </c>
      <c r="F155" s="366" t="s">
        <v>550</v>
      </c>
      <c r="G155" s="366" t="s">
        <v>551</v>
      </c>
      <c r="H155" s="369"/>
      <c r="I155" s="370">
        <v>37636.0</v>
      </c>
      <c r="J155" s="370">
        <v>45663.0</v>
      </c>
      <c r="K155" s="369"/>
      <c r="L155" s="367">
        <v>30.0</v>
      </c>
      <c r="M155" s="370">
        <v>45748.0</v>
      </c>
      <c r="N155" s="370">
        <v>45777.0</v>
      </c>
    </row>
    <row r="156">
      <c r="A156" s="366" t="s">
        <v>16</v>
      </c>
      <c r="B156" s="367">
        <v>4320.0</v>
      </c>
      <c r="C156" s="369"/>
      <c r="D156" s="367">
        <v>0.0</v>
      </c>
      <c r="E156" s="366" t="s">
        <v>240</v>
      </c>
      <c r="F156" s="366" t="s">
        <v>241</v>
      </c>
      <c r="G156" s="366" t="s">
        <v>242</v>
      </c>
      <c r="H156" s="369"/>
      <c r="I156" s="370">
        <v>33762.0</v>
      </c>
      <c r="J156" s="370">
        <v>45222.0</v>
      </c>
      <c r="K156" s="370">
        <v>45046.0</v>
      </c>
      <c r="L156" s="367">
        <v>0.0</v>
      </c>
      <c r="M156" s="370">
        <v>45748.0</v>
      </c>
      <c r="N156" s="370">
        <v>45777.0</v>
      </c>
    </row>
    <row r="157">
      <c r="A157" s="366" t="s">
        <v>16</v>
      </c>
      <c r="B157" s="367">
        <v>4320.0</v>
      </c>
      <c r="C157" s="369"/>
      <c r="D157" s="367">
        <v>0.0</v>
      </c>
      <c r="E157" s="366" t="s">
        <v>168</v>
      </c>
      <c r="F157" s="366" t="s">
        <v>169</v>
      </c>
      <c r="G157" s="366" t="s">
        <v>170</v>
      </c>
      <c r="H157" s="369"/>
      <c r="I157" s="370">
        <v>35931.0</v>
      </c>
      <c r="J157" s="370">
        <v>44958.0</v>
      </c>
      <c r="K157" s="370">
        <v>45322.0</v>
      </c>
      <c r="L157" s="367">
        <v>0.0</v>
      </c>
      <c r="M157" s="370">
        <v>45748.0</v>
      </c>
      <c r="N157" s="370">
        <v>45777.0</v>
      </c>
    </row>
    <row r="158">
      <c r="A158" s="366" t="s">
        <v>16</v>
      </c>
      <c r="B158" s="367">
        <v>4320.0</v>
      </c>
      <c r="C158" s="369"/>
      <c r="D158" s="367">
        <v>0.0</v>
      </c>
      <c r="E158" s="366" t="s">
        <v>711</v>
      </c>
      <c r="F158" s="366" t="s">
        <v>760</v>
      </c>
      <c r="G158" s="366" t="s">
        <v>713</v>
      </c>
      <c r="H158" s="369"/>
      <c r="I158" s="370">
        <v>34694.0</v>
      </c>
      <c r="J158" s="370">
        <v>45712.0</v>
      </c>
      <c r="K158" s="374"/>
      <c r="L158" s="367">
        <v>30.0</v>
      </c>
      <c r="M158" s="370">
        <v>45748.0</v>
      </c>
      <c r="N158" s="370">
        <v>45777.0</v>
      </c>
    </row>
    <row r="159">
      <c r="A159" s="366" t="s">
        <v>16</v>
      </c>
      <c r="B159" s="367">
        <v>4320.0</v>
      </c>
      <c r="C159" s="369"/>
      <c r="D159" s="367">
        <v>0.0</v>
      </c>
      <c r="E159" s="366" t="s">
        <v>355</v>
      </c>
      <c r="F159" s="366" t="s">
        <v>356</v>
      </c>
      <c r="G159" s="366" t="s">
        <v>357</v>
      </c>
      <c r="H159" s="369"/>
      <c r="I159" s="370">
        <v>35395.0</v>
      </c>
      <c r="J159" s="370">
        <v>45376.0</v>
      </c>
      <c r="K159" s="374"/>
      <c r="L159" s="367">
        <v>30.0</v>
      </c>
      <c r="M159" s="370">
        <v>45748.0</v>
      </c>
      <c r="N159" s="370">
        <v>45777.0</v>
      </c>
    </row>
    <row r="160">
      <c r="A160" s="366" t="s">
        <v>16</v>
      </c>
      <c r="B160" s="367">
        <v>4320.0</v>
      </c>
      <c r="C160" s="369"/>
      <c r="D160" s="367">
        <v>0.0</v>
      </c>
      <c r="E160" s="366" t="s">
        <v>358</v>
      </c>
      <c r="F160" s="366" t="s">
        <v>359</v>
      </c>
      <c r="G160" s="366" t="s">
        <v>360</v>
      </c>
      <c r="H160" s="369"/>
      <c r="I160" s="370">
        <v>37397.0</v>
      </c>
      <c r="J160" s="370">
        <v>45377.0</v>
      </c>
      <c r="K160" s="371">
        <v>45454.0</v>
      </c>
      <c r="L160" s="367">
        <v>0.0</v>
      </c>
      <c r="M160" s="370">
        <v>45748.0</v>
      </c>
      <c r="N160" s="370">
        <v>45777.0</v>
      </c>
    </row>
    <row r="161">
      <c r="A161" s="366" t="s">
        <v>16</v>
      </c>
      <c r="B161" s="367">
        <v>4320.0</v>
      </c>
      <c r="C161" s="369"/>
      <c r="D161" s="367">
        <v>0.0</v>
      </c>
      <c r="E161" s="366" t="s">
        <v>276</v>
      </c>
      <c r="F161" s="366" t="s">
        <v>277</v>
      </c>
      <c r="G161" s="366" t="s">
        <v>278</v>
      </c>
      <c r="H161" s="369"/>
      <c r="I161" s="370">
        <v>37479.0</v>
      </c>
      <c r="J161" s="370">
        <v>45320.0</v>
      </c>
      <c r="K161" s="371">
        <v>45453.0</v>
      </c>
      <c r="L161" s="367">
        <v>0.0</v>
      </c>
      <c r="M161" s="370">
        <v>45748.0</v>
      </c>
      <c r="N161" s="370">
        <v>45777.0</v>
      </c>
    </row>
    <row r="162">
      <c r="A162" s="366" t="s">
        <v>16</v>
      </c>
      <c r="B162" s="367">
        <v>4320.0</v>
      </c>
      <c r="C162" s="369"/>
      <c r="D162" s="367">
        <v>0.0</v>
      </c>
      <c r="E162" s="366" t="s">
        <v>714</v>
      </c>
      <c r="F162" s="366" t="s">
        <v>761</v>
      </c>
      <c r="G162" s="366" t="s">
        <v>716</v>
      </c>
      <c r="H162" s="369"/>
      <c r="I162" s="370">
        <v>36514.0</v>
      </c>
      <c r="J162" s="370">
        <v>45698.0</v>
      </c>
      <c r="K162" s="369"/>
      <c r="L162" s="367">
        <v>30.0</v>
      </c>
      <c r="M162" s="370">
        <v>45748.0</v>
      </c>
      <c r="N162" s="370">
        <v>45777.0</v>
      </c>
    </row>
    <row r="163">
      <c r="A163" s="366" t="s">
        <v>16</v>
      </c>
      <c r="B163" s="367">
        <v>4320.0</v>
      </c>
      <c r="C163" s="369"/>
      <c r="D163" s="367">
        <v>0.0</v>
      </c>
      <c r="E163" s="366" t="s">
        <v>171</v>
      </c>
      <c r="F163" s="366" t="s">
        <v>172</v>
      </c>
      <c r="G163" s="366" t="s">
        <v>173</v>
      </c>
      <c r="H163" s="369"/>
      <c r="I163" s="370">
        <v>37005.0</v>
      </c>
      <c r="J163" s="370">
        <v>44802.0</v>
      </c>
      <c r="K163" s="370">
        <v>45303.0</v>
      </c>
      <c r="L163" s="367">
        <v>0.0</v>
      </c>
      <c r="M163" s="370">
        <v>45748.0</v>
      </c>
      <c r="N163" s="370">
        <v>45777.0</v>
      </c>
    </row>
    <row r="164">
      <c r="A164" s="366" t="s">
        <v>16</v>
      </c>
      <c r="B164" s="367">
        <v>4320.0</v>
      </c>
      <c r="C164" s="369"/>
      <c r="D164" s="367">
        <v>0.0</v>
      </c>
      <c r="E164" s="366" t="s">
        <v>243</v>
      </c>
      <c r="F164" s="366" t="s">
        <v>244</v>
      </c>
      <c r="G164" s="366" t="s">
        <v>245</v>
      </c>
      <c r="H164" s="369"/>
      <c r="I164" s="370">
        <v>36109.0</v>
      </c>
      <c r="J164" s="370">
        <v>45250.0</v>
      </c>
      <c r="K164" s="370">
        <v>45416.0</v>
      </c>
      <c r="L164" s="367">
        <v>0.0</v>
      </c>
      <c r="M164" s="370">
        <v>45748.0</v>
      </c>
      <c r="N164" s="370">
        <v>45777.0</v>
      </c>
    </row>
    <row r="165">
      <c r="A165" s="366" t="s">
        <v>16</v>
      </c>
      <c r="B165" s="367">
        <v>4320.0</v>
      </c>
      <c r="C165" s="369"/>
      <c r="D165" s="367">
        <v>0.0</v>
      </c>
      <c r="E165" s="366" t="s">
        <v>600</v>
      </c>
      <c r="F165" s="366" t="s">
        <v>601</v>
      </c>
      <c r="G165" s="366" t="s">
        <v>602</v>
      </c>
      <c r="H165" s="369"/>
      <c r="I165" s="370">
        <v>29741.0</v>
      </c>
      <c r="J165" s="370">
        <v>45658.0</v>
      </c>
      <c r="K165" s="374"/>
      <c r="L165" s="367">
        <v>30.0</v>
      </c>
      <c r="M165" s="370">
        <v>45748.0</v>
      </c>
      <c r="N165" s="370">
        <v>45777.0</v>
      </c>
    </row>
    <row r="166">
      <c r="A166" s="366" t="s">
        <v>16</v>
      </c>
      <c r="B166" s="367">
        <v>4320.0</v>
      </c>
      <c r="C166" s="369"/>
      <c r="D166" s="367">
        <v>0.0</v>
      </c>
      <c r="E166" s="366" t="s">
        <v>431</v>
      </c>
      <c r="F166" s="366" t="s">
        <v>377</v>
      </c>
      <c r="G166" s="366" t="s">
        <v>378</v>
      </c>
      <c r="H166" s="369"/>
      <c r="I166" s="370">
        <v>36289.0</v>
      </c>
      <c r="J166" s="370">
        <v>45476.0</v>
      </c>
      <c r="K166" s="369"/>
      <c r="L166" s="367">
        <v>30.0</v>
      </c>
      <c r="M166" s="370">
        <v>45748.0</v>
      </c>
      <c r="N166" s="370">
        <v>45777.0</v>
      </c>
    </row>
    <row r="167">
      <c r="A167" s="366" t="s">
        <v>16</v>
      </c>
      <c r="B167" s="367">
        <v>4320.0</v>
      </c>
      <c r="C167" s="369"/>
      <c r="D167" s="367">
        <v>0.0</v>
      </c>
      <c r="E167" s="366" t="s">
        <v>180</v>
      </c>
      <c r="F167" s="366" t="s">
        <v>181</v>
      </c>
      <c r="G167" s="366" t="s">
        <v>182</v>
      </c>
      <c r="H167" s="369"/>
      <c r="I167" s="370">
        <v>36297.0</v>
      </c>
      <c r="J167" s="370">
        <v>45001.0</v>
      </c>
      <c r="K167" s="371">
        <v>45359.0</v>
      </c>
      <c r="L167" s="367">
        <v>0.0</v>
      </c>
      <c r="M167" s="370">
        <v>45748.0</v>
      </c>
      <c r="N167" s="370">
        <v>45777.0</v>
      </c>
    </row>
    <row r="168">
      <c r="A168" s="366" t="s">
        <v>16</v>
      </c>
      <c r="B168" s="367">
        <v>4320.0</v>
      </c>
      <c r="C168" s="369"/>
      <c r="D168" s="367">
        <v>0.0</v>
      </c>
      <c r="E168" s="366" t="s">
        <v>183</v>
      </c>
      <c r="F168" s="366" t="s">
        <v>184</v>
      </c>
      <c r="G168" s="366" t="s">
        <v>185</v>
      </c>
      <c r="H168" s="369"/>
      <c r="I168" s="370">
        <v>36979.0</v>
      </c>
      <c r="J168" s="370">
        <v>44907.0</v>
      </c>
      <c r="K168" s="374"/>
      <c r="L168" s="367">
        <v>30.0</v>
      </c>
      <c r="M168" s="370">
        <v>45748.0</v>
      </c>
      <c r="N168" s="370">
        <v>45777.0</v>
      </c>
    </row>
    <row r="169">
      <c r="A169" s="366" t="s">
        <v>16</v>
      </c>
      <c r="B169" s="367">
        <v>4320.0</v>
      </c>
      <c r="C169" s="369"/>
      <c r="D169" s="367">
        <v>0.0</v>
      </c>
      <c r="E169" s="366" t="s">
        <v>258</v>
      </c>
      <c r="F169" s="366" t="s">
        <v>259</v>
      </c>
      <c r="G169" s="366" t="s">
        <v>260</v>
      </c>
      <c r="H169" s="369"/>
      <c r="I169" s="370">
        <v>35447.0</v>
      </c>
      <c r="J169" s="370">
        <v>45273.0</v>
      </c>
      <c r="K169" s="370">
        <v>45565.0</v>
      </c>
      <c r="L169" s="367">
        <v>0.0</v>
      </c>
      <c r="M169" s="370">
        <v>45748.0</v>
      </c>
      <c r="N169" s="370">
        <v>45777.0</v>
      </c>
    </row>
    <row r="170">
      <c r="A170" s="366" t="s">
        <v>16</v>
      </c>
      <c r="B170" s="367">
        <v>4320.0</v>
      </c>
      <c r="C170" s="369"/>
      <c r="D170" s="367">
        <v>0.0</v>
      </c>
      <c r="E170" s="366" t="s">
        <v>192</v>
      </c>
      <c r="F170" s="366" t="s">
        <v>193</v>
      </c>
      <c r="G170" s="366" t="s">
        <v>194</v>
      </c>
      <c r="H170" s="369"/>
      <c r="I170" s="370">
        <v>36075.0</v>
      </c>
      <c r="J170" s="370">
        <v>44977.0</v>
      </c>
      <c r="K170" s="371">
        <v>45351.0</v>
      </c>
      <c r="L170" s="367">
        <v>0.0</v>
      </c>
      <c r="M170" s="370">
        <v>45748.0</v>
      </c>
      <c r="N170" s="370">
        <v>45777.0</v>
      </c>
    </row>
    <row r="171">
      <c r="A171" s="366" t="s">
        <v>16</v>
      </c>
      <c r="B171" s="367">
        <v>4320.0</v>
      </c>
      <c r="C171" s="369"/>
      <c r="D171" s="367">
        <v>0.0</v>
      </c>
      <c r="E171" s="366" t="s">
        <v>201</v>
      </c>
      <c r="F171" s="366" t="s">
        <v>202</v>
      </c>
      <c r="G171" s="366" t="s">
        <v>203</v>
      </c>
      <c r="H171" s="369"/>
      <c r="I171" s="370">
        <v>36574.0</v>
      </c>
      <c r="J171" s="370">
        <v>45187.0</v>
      </c>
      <c r="K171" s="370">
        <v>45544.0</v>
      </c>
      <c r="L171" s="367">
        <v>0.0</v>
      </c>
      <c r="M171" s="370">
        <v>45748.0</v>
      </c>
      <c r="N171" s="370">
        <v>45777.0</v>
      </c>
    </row>
    <row r="172">
      <c r="A172" s="366" t="s">
        <v>16</v>
      </c>
      <c r="B172" s="367">
        <v>4320.0</v>
      </c>
      <c r="C172" s="369"/>
      <c r="D172" s="367">
        <v>0.0</v>
      </c>
      <c r="E172" s="366" t="s">
        <v>499</v>
      </c>
      <c r="F172" s="366" t="s">
        <v>540</v>
      </c>
      <c r="G172" s="366" t="s">
        <v>500</v>
      </c>
      <c r="H172" s="369"/>
      <c r="I172" s="370">
        <v>36144.0</v>
      </c>
      <c r="J172" s="370">
        <v>45628.0</v>
      </c>
      <c r="K172" s="374"/>
      <c r="L172" s="367">
        <v>30.0</v>
      </c>
      <c r="M172" s="370">
        <v>45748.0</v>
      </c>
      <c r="N172" s="370">
        <v>45777.0</v>
      </c>
    </row>
    <row r="173">
      <c r="A173" s="366" t="s">
        <v>16</v>
      </c>
      <c r="B173" s="367">
        <v>4320.0</v>
      </c>
      <c r="C173" s="369"/>
      <c r="D173" s="367">
        <v>0.0</v>
      </c>
      <c r="E173" s="366" t="s">
        <v>301</v>
      </c>
      <c r="F173" s="366" t="s">
        <v>302</v>
      </c>
      <c r="G173" s="366" t="s">
        <v>303</v>
      </c>
      <c r="H173" s="369"/>
      <c r="I173" s="370">
        <v>36991.0</v>
      </c>
      <c r="J173" s="370">
        <v>45205.0</v>
      </c>
      <c r="K173" s="369"/>
      <c r="L173" s="367">
        <v>30.0</v>
      </c>
      <c r="M173" s="370">
        <v>45748.0</v>
      </c>
      <c r="N173" s="370">
        <v>45777.0</v>
      </c>
    </row>
    <row r="174">
      <c r="A174" s="366" t="s">
        <v>16</v>
      </c>
      <c r="B174" s="367">
        <v>4320.0</v>
      </c>
      <c r="C174" s="369"/>
      <c r="D174" s="367">
        <v>0.0</v>
      </c>
      <c r="E174" s="366" t="s">
        <v>432</v>
      </c>
      <c r="F174" s="366" t="s">
        <v>521</v>
      </c>
      <c r="G174" s="366" t="s">
        <v>433</v>
      </c>
      <c r="H174" s="369"/>
      <c r="I174" s="370">
        <v>34504.0</v>
      </c>
      <c r="J174" s="370">
        <v>45481.0</v>
      </c>
      <c r="K174" s="369"/>
      <c r="L174" s="367">
        <v>30.0</v>
      </c>
      <c r="M174" s="370">
        <v>45748.0</v>
      </c>
      <c r="N174" s="370">
        <v>45777.0</v>
      </c>
    </row>
    <row r="175">
      <c r="A175" s="366" t="s">
        <v>16</v>
      </c>
      <c r="B175" s="367">
        <v>4320.0</v>
      </c>
      <c r="C175" s="369"/>
      <c r="D175" s="367">
        <v>0.0</v>
      </c>
      <c r="E175" s="366" t="s">
        <v>434</v>
      </c>
      <c r="F175" s="366" t="s">
        <v>522</v>
      </c>
      <c r="G175" s="366" t="s">
        <v>435</v>
      </c>
      <c r="H175" s="369"/>
      <c r="I175" s="370">
        <v>37446.0</v>
      </c>
      <c r="J175" s="370">
        <v>45495.0</v>
      </c>
      <c r="K175" s="369"/>
      <c r="L175" s="367">
        <v>30.0</v>
      </c>
      <c r="M175" s="370">
        <v>45748.0</v>
      </c>
      <c r="N175" s="370">
        <v>45777.0</v>
      </c>
    </row>
    <row r="176">
      <c r="A176" s="366" t="s">
        <v>16</v>
      </c>
      <c r="B176" s="367">
        <v>4320.0</v>
      </c>
      <c r="C176" s="369"/>
      <c r="D176" s="367">
        <v>0.0</v>
      </c>
      <c r="E176" s="366" t="s">
        <v>667</v>
      </c>
      <c r="F176" s="366" t="s">
        <v>668</v>
      </c>
      <c r="G176" s="366" t="s">
        <v>669</v>
      </c>
      <c r="H176" s="369"/>
      <c r="I176" s="370">
        <v>33961.0</v>
      </c>
      <c r="J176" s="370">
        <v>45229.0</v>
      </c>
      <c r="K176" s="371">
        <v>45408.0</v>
      </c>
      <c r="L176" s="367">
        <v>0.0</v>
      </c>
      <c r="M176" s="370">
        <v>45748.0</v>
      </c>
      <c r="N176" s="370">
        <v>45777.0</v>
      </c>
    </row>
    <row r="177">
      <c r="A177" s="366" t="s">
        <v>16</v>
      </c>
      <c r="B177" s="367">
        <v>4320.0</v>
      </c>
      <c r="C177" s="369"/>
      <c r="D177" s="367">
        <v>0.0</v>
      </c>
      <c r="E177" s="366" t="s">
        <v>670</v>
      </c>
      <c r="F177" s="366" t="s">
        <v>671</v>
      </c>
      <c r="G177" s="366" t="s">
        <v>672</v>
      </c>
      <c r="H177" s="369"/>
      <c r="I177" s="370">
        <v>36386.0</v>
      </c>
      <c r="J177" s="370">
        <v>45111.0</v>
      </c>
      <c r="K177" s="371">
        <v>45394.0</v>
      </c>
      <c r="L177" s="367">
        <v>0.0</v>
      </c>
      <c r="M177" s="370">
        <v>45748.0</v>
      </c>
      <c r="N177" s="370">
        <v>45777.0</v>
      </c>
    </row>
    <row r="178">
      <c r="A178" s="366" t="s">
        <v>16</v>
      </c>
      <c r="B178" s="367">
        <v>4320.0</v>
      </c>
      <c r="C178" s="369"/>
      <c r="D178" s="367">
        <v>0.0</v>
      </c>
      <c r="E178" s="366" t="s">
        <v>460</v>
      </c>
      <c r="F178" s="366" t="s">
        <v>523</v>
      </c>
      <c r="G178" s="366" t="s">
        <v>461</v>
      </c>
      <c r="H178" s="369"/>
      <c r="I178" s="370">
        <v>36856.0</v>
      </c>
      <c r="J178" s="370">
        <v>45505.0</v>
      </c>
      <c r="K178" s="374"/>
      <c r="L178" s="367">
        <v>30.0</v>
      </c>
      <c r="M178" s="370">
        <v>45748.0</v>
      </c>
      <c r="N178" s="370">
        <v>45777.0</v>
      </c>
    </row>
    <row r="179">
      <c r="A179" s="366" t="s">
        <v>16</v>
      </c>
      <c r="B179" s="367">
        <v>4320.0</v>
      </c>
      <c r="C179" s="369"/>
      <c r="D179" s="367">
        <v>0.0</v>
      </c>
      <c r="E179" s="366" t="s">
        <v>462</v>
      </c>
      <c r="F179" s="366" t="s">
        <v>526</v>
      </c>
      <c r="G179" s="366" t="s">
        <v>463</v>
      </c>
      <c r="H179" s="369"/>
      <c r="I179" s="370">
        <v>34588.0</v>
      </c>
      <c r="J179" s="370">
        <v>45530.0</v>
      </c>
      <c r="K179" s="374"/>
      <c r="L179" s="367">
        <v>30.0</v>
      </c>
      <c r="M179" s="370">
        <v>45748.0</v>
      </c>
      <c r="N179" s="370">
        <v>45777.0</v>
      </c>
    </row>
    <row r="180">
      <c r="A180" s="366" t="s">
        <v>16</v>
      </c>
      <c r="B180" s="367">
        <v>4320.0</v>
      </c>
      <c r="C180" s="369"/>
      <c r="D180" s="367">
        <v>0.0</v>
      </c>
      <c r="E180" s="366" t="s">
        <v>423</v>
      </c>
      <c r="F180" s="366" t="s">
        <v>524</v>
      </c>
      <c r="G180" s="366" t="s">
        <v>424</v>
      </c>
      <c r="H180" s="369"/>
      <c r="I180" s="370">
        <v>37818.0</v>
      </c>
      <c r="J180" s="370">
        <v>45467.0</v>
      </c>
      <c r="K180" s="374"/>
      <c r="L180" s="367">
        <v>30.0</v>
      </c>
      <c r="M180" s="370">
        <v>45748.0</v>
      </c>
      <c r="N180" s="370">
        <v>45777.0</v>
      </c>
    </row>
    <row r="181">
      <c r="A181" s="366" t="s">
        <v>16</v>
      </c>
      <c r="B181" s="367">
        <v>4320.0</v>
      </c>
      <c r="C181" s="369"/>
      <c r="D181" s="367">
        <v>0.0</v>
      </c>
      <c r="E181" s="366" t="s">
        <v>207</v>
      </c>
      <c r="F181" s="366" t="s">
        <v>208</v>
      </c>
      <c r="G181" s="366" t="s">
        <v>209</v>
      </c>
      <c r="H181" s="369"/>
      <c r="I181" s="370">
        <v>33156.0</v>
      </c>
      <c r="J181" s="370">
        <v>44562.0</v>
      </c>
      <c r="K181" s="370">
        <v>45473.0</v>
      </c>
      <c r="L181" s="367">
        <v>0.0</v>
      </c>
      <c r="M181" s="370">
        <v>45748.0</v>
      </c>
      <c r="N181" s="370">
        <v>45777.0</v>
      </c>
    </row>
    <row r="182">
      <c r="A182" s="366" t="s">
        <v>16</v>
      </c>
      <c r="B182" s="367">
        <v>4320.0</v>
      </c>
      <c r="C182" s="369"/>
      <c r="D182" s="367">
        <v>0.0</v>
      </c>
      <c r="E182" s="366" t="s">
        <v>304</v>
      </c>
      <c r="F182" s="366" t="s">
        <v>305</v>
      </c>
      <c r="G182" s="366" t="s">
        <v>306</v>
      </c>
      <c r="H182" s="369"/>
      <c r="I182" s="370">
        <v>35697.0</v>
      </c>
      <c r="J182" s="370">
        <v>45348.0</v>
      </c>
      <c r="K182" s="370">
        <v>45698.0</v>
      </c>
      <c r="L182" s="367">
        <v>0.0</v>
      </c>
      <c r="M182" s="370">
        <v>45748.0</v>
      </c>
      <c r="N182" s="370">
        <v>45777.0</v>
      </c>
    </row>
    <row r="183">
      <c r="A183" s="366" t="s">
        <v>16</v>
      </c>
      <c r="B183" s="367">
        <v>4320.0</v>
      </c>
      <c r="C183" s="369"/>
      <c r="D183" s="367">
        <v>0.0</v>
      </c>
      <c r="E183" s="366" t="s">
        <v>213</v>
      </c>
      <c r="F183" s="366" t="s">
        <v>214</v>
      </c>
      <c r="G183" s="366" t="s">
        <v>215</v>
      </c>
      <c r="H183" s="369"/>
      <c r="I183" s="370">
        <v>36797.0</v>
      </c>
      <c r="J183" s="370">
        <v>44886.0</v>
      </c>
      <c r="K183" s="370">
        <v>45747.0</v>
      </c>
      <c r="L183" s="367">
        <v>0.0</v>
      </c>
      <c r="M183" s="370">
        <v>45748.0</v>
      </c>
      <c r="N183" s="370">
        <v>45747.0</v>
      </c>
    </row>
    <row r="184">
      <c r="A184" s="366" t="s">
        <v>16</v>
      </c>
      <c r="B184" s="367">
        <v>4320.0</v>
      </c>
      <c r="C184" s="369"/>
      <c r="D184" s="367">
        <v>0.0</v>
      </c>
      <c r="E184" s="366" t="s">
        <v>673</v>
      </c>
      <c r="F184" s="366" t="s">
        <v>674</v>
      </c>
      <c r="G184" s="366" t="s">
        <v>675</v>
      </c>
      <c r="H184" s="369"/>
      <c r="I184" s="370">
        <v>36961.0</v>
      </c>
      <c r="J184" s="370">
        <v>44593.0</v>
      </c>
      <c r="K184" s="371">
        <v>45457.0</v>
      </c>
      <c r="L184" s="367">
        <v>0.0</v>
      </c>
      <c r="M184" s="370">
        <v>45748.0</v>
      </c>
      <c r="N184" s="370">
        <v>45777.0</v>
      </c>
    </row>
    <row r="185">
      <c r="A185" s="366" t="s">
        <v>16</v>
      </c>
      <c r="B185" s="367">
        <v>4320.0</v>
      </c>
      <c r="C185" s="369"/>
      <c r="D185" s="367">
        <v>0.0</v>
      </c>
      <c r="E185" s="366" t="s">
        <v>717</v>
      </c>
      <c r="F185" s="366" t="s">
        <v>718</v>
      </c>
      <c r="G185" s="366" t="s">
        <v>719</v>
      </c>
      <c r="H185" s="369"/>
      <c r="I185" s="370">
        <v>36505.0</v>
      </c>
      <c r="J185" s="370">
        <v>45712.0</v>
      </c>
      <c r="K185" s="369"/>
      <c r="L185" s="367">
        <v>30.0</v>
      </c>
      <c r="M185" s="370">
        <v>45748.0</v>
      </c>
      <c r="N185" s="370">
        <v>45777.0</v>
      </c>
    </row>
    <row r="186">
      <c r="A186" s="366" t="s">
        <v>16</v>
      </c>
      <c r="B186" s="367">
        <v>4320.0</v>
      </c>
      <c r="C186" s="369"/>
      <c r="D186" s="367">
        <v>0.0</v>
      </c>
      <c r="E186" s="366" t="s">
        <v>588</v>
      </c>
      <c r="F186" s="377" t="s">
        <v>589</v>
      </c>
      <c r="G186" s="366" t="s">
        <v>590</v>
      </c>
      <c r="H186" s="369"/>
      <c r="I186" s="370">
        <v>34190.0</v>
      </c>
      <c r="J186" s="370">
        <v>45684.0</v>
      </c>
      <c r="K186" s="369"/>
      <c r="L186" s="367">
        <v>30.0</v>
      </c>
      <c r="M186" s="370">
        <v>45748.0</v>
      </c>
      <c r="N186" s="370">
        <v>45777.0</v>
      </c>
    </row>
    <row r="187">
      <c r="A187" s="366" t="s">
        <v>16</v>
      </c>
      <c r="B187" s="367">
        <v>4320.0</v>
      </c>
      <c r="C187" s="369"/>
      <c r="D187" s="367">
        <v>0.0</v>
      </c>
      <c r="E187" s="366" t="s">
        <v>427</v>
      </c>
      <c r="F187" s="366" t="s">
        <v>525</v>
      </c>
      <c r="G187" s="366" t="s">
        <v>428</v>
      </c>
      <c r="H187" s="369"/>
      <c r="I187" s="370">
        <v>36451.0</v>
      </c>
      <c r="J187" s="370">
        <v>45453.0</v>
      </c>
      <c r="K187" s="369"/>
      <c r="L187" s="367">
        <v>30.0</v>
      </c>
      <c r="M187" s="370">
        <v>45748.0</v>
      </c>
      <c r="N187" s="370">
        <v>45777.0</v>
      </c>
    </row>
    <row r="188">
      <c r="A188" s="366" t="s">
        <v>16</v>
      </c>
      <c r="B188" s="367">
        <v>4320.0</v>
      </c>
      <c r="C188" s="369"/>
      <c r="D188" s="367">
        <v>0.0</v>
      </c>
      <c r="E188" s="366" t="s">
        <v>493</v>
      </c>
      <c r="F188" s="366" t="s">
        <v>532</v>
      </c>
      <c r="G188" s="366" t="s">
        <v>494</v>
      </c>
      <c r="H188" s="369"/>
      <c r="I188" s="370">
        <v>36208.0</v>
      </c>
      <c r="J188" s="370">
        <v>45602.0</v>
      </c>
      <c r="K188" s="369"/>
      <c r="L188" s="367">
        <v>30.0</v>
      </c>
      <c r="M188" s="370">
        <v>45748.0</v>
      </c>
      <c r="N188" s="370">
        <v>45777.0</v>
      </c>
    </row>
    <row r="189">
      <c r="A189" s="366" t="s">
        <v>16</v>
      </c>
      <c r="B189" s="367">
        <v>4320.0</v>
      </c>
      <c r="C189" s="369"/>
      <c r="D189" s="367">
        <v>0.0</v>
      </c>
      <c r="E189" s="366" t="s">
        <v>222</v>
      </c>
      <c r="F189" s="366" t="s">
        <v>223</v>
      </c>
      <c r="G189" s="366" t="s">
        <v>224</v>
      </c>
      <c r="H189" s="369"/>
      <c r="I189" s="370">
        <v>35818.0</v>
      </c>
      <c r="J189" s="370">
        <v>45089.0</v>
      </c>
      <c r="K189" s="371">
        <v>45747.0</v>
      </c>
      <c r="L189" s="367">
        <v>0.0</v>
      </c>
      <c r="M189" s="370">
        <v>45748.0</v>
      </c>
      <c r="N189" s="370">
        <v>45777.0</v>
      </c>
    </row>
    <row r="190">
      <c r="A190" s="366" t="s">
        <v>16</v>
      </c>
      <c r="B190" s="367">
        <v>4320.0</v>
      </c>
      <c r="C190" s="369"/>
      <c r="D190" s="367">
        <v>0.0</v>
      </c>
      <c r="E190" s="366" t="s">
        <v>747</v>
      </c>
      <c r="F190" s="366" t="s">
        <v>748</v>
      </c>
      <c r="G190" s="366" t="s">
        <v>749</v>
      </c>
      <c r="H190" s="369"/>
      <c r="I190" s="370">
        <v>37314.0</v>
      </c>
      <c r="J190" s="370">
        <v>45733.0</v>
      </c>
      <c r="K190" s="369"/>
      <c r="L190" s="367">
        <v>30.0</v>
      </c>
      <c r="M190" s="370">
        <v>45748.0</v>
      </c>
      <c r="N190" s="370">
        <v>45777.0</v>
      </c>
    </row>
    <row r="191">
      <c r="A191" s="366" t="s">
        <v>16</v>
      </c>
      <c r="B191" s="367">
        <v>4320.0</v>
      </c>
      <c r="C191" s="369"/>
      <c r="D191" s="367">
        <v>0.0</v>
      </c>
      <c r="E191" s="366" t="s">
        <v>585</v>
      </c>
      <c r="F191" s="377" t="s">
        <v>586</v>
      </c>
      <c r="G191" s="366" t="s">
        <v>587</v>
      </c>
      <c r="H191" s="369"/>
      <c r="I191" s="370">
        <v>35827.0</v>
      </c>
      <c r="J191" s="370">
        <v>45684.0</v>
      </c>
      <c r="K191" s="369"/>
      <c r="L191" s="367">
        <v>30.0</v>
      </c>
      <c r="M191" s="370">
        <v>45748.0</v>
      </c>
      <c r="N191" s="370">
        <v>45777.0</v>
      </c>
    </row>
    <row r="192">
      <c r="A192" s="366" t="s">
        <v>16</v>
      </c>
      <c r="B192" s="367">
        <v>4320.0</v>
      </c>
      <c r="C192" s="369"/>
      <c r="D192" s="367">
        <v>0.0</v>
      </c>
      <c r="E192" s="366" t="s">
        <v>225</v>
      </c>
      <c r="F192" s="366" t="s">
        <v>226</v>
      </c>
      <c r="G192" s="366" t="s">
        <v>227</v>
      </c>
      <c r="H192" s="369"/>
      <c r="I192" s="370">
        <v>36177.0</v>
      </c>
      <c r="J192" s="370">
        <v>45320.0</v>
      </c>
      <c r="K192" s="369"/>
      <c r="L192" s="367">
        <v>30.0</v>
      </c>
      <c r="M192" s="370">
        <v>45748.0</v>
      </c>
      <c r="N192" s="370">
        <v>45777.0</v>
      </c>
    </row>
    <row r="193">
      <c r="A193" s="366" t="s">
        <v>16</v>
      </c>
      <c r="B193" s="367">
        <v>4320.0</v>
      </c>
      <c r="C193" s="369"/>
      <c r="D193" s="367">
        <v>0.0</v>
      </c>
      <c r="E193" s="366" t="s">
        <v>676</v>
      </c>
      <c r="F193" s="366" t="s">
        <v>677</v>
      </c>
      <c r="G193" s="366" t="s">
        <v>678</v>
      </c>
      <c r="H193" s="369"/>
      <c r="I193" s="371">
        <v>36096.0</v>
      </c>
      <c r="J193" s="371">
        <v>44562.0</v>
      </c>
      <c r="K193" s="371">
        <v>45199.0</v>
      </c>
      <c r="L193" s="367">
        <v>0.0</v>
      </c>
      <c r="M193" s="370">
        <v>45748.0</v>
      </c>
      <c r="N193" s="370">
        <v>45777.0</v>
      </c>
      <c r="O193" s="383"/>
      <c r="P193" s="383"/>
      <c r="Q193" s="383"/>
      <c r="R193" s="383"/>
      <c r="S193" s="383"/>
      <c r="T193" s="383"/>
      <c r="U193" s="383"/>
      <c r="V193" s="383"/>
      <c r="W193" s="383"/>
    </row>
    <row r="194">
      <c r="A194" s="366" t="s">
        <v>16</v>
      </c>
      <c r="B194" s="367">
        <v>4320.0</v>
      </c>
      <c r="C194" s="369"/>
      <c r="D194" s="367">
        <v>0.0</v>
      </c>
      <c r="E194" s="366" t="s">
        <v>679</v>
      </c>
      <c r="F194" s="366" t="s">
        <v>680</v>
      </c>
      <c r="G194" s="366" t="s">
        <v>681</v>
      </c>
      <c r="H194" s="369"/>
      <c r="I194" s="371">
        <v>34915.0</v>
      </c>
      <c r="J194" s="371">
        <v>45153.0</v>
      </c>
      <c r="K194" s="371">
        <v>45306.0</v>
      </c>
      <c r="L194" s="367">
        <v>0.0</v>
      </c>
      <c r="M194" s="370">
        <v>45748.0</v>
      </c>
      <c r="N194" s="370">
        <v>45777.0</v>
      </c>
      <c r="O194" s="383"/>
      <c r="P194" s="383"/>
      <c r="Q194" s="383"/>
      <c r="R194" s="383"/>
      <c r="S194" s="383"/>
      <c r="T194" s="383"/>
      <c r="U194" s="383"/>
      <c r="V194" s="383"/>
      <c r="W194" s="383"/>
    </row>
    <row r="195">
      <c r="A195" s="366" t="s">
        <v>16</v>
      </c>
      <c r="B195" s="367">
        <v>4320.0</v>
      </c>
      <c r="C195" s="369"/>
      <c r="D195" s="367">
        <v>0.0</v>
      </c>
      <c r="E195" s="366" t="s">
        <v>682</v>
      </c>
      <c r="F195" s="366" t="s">
        <v>683</v>
      </c>
      <c r="G195" s="366" t="s">
        <v>684</v>
      </c>
      <c r="H195" s="369"/>
      <c r="I195" s="371">
        <v>36545.0</v>
      </c>
      <c r="J195" s="371">
        <v>44562.0</v>
      </c>
      <c r="K195" s="371">
        <v>45476.0</v>
      </c>
      <c r="L195" s="367">
        <v>0.0</v>
      </c>
      <c r="M195" s="370">
        <v>45748.0</v>
      </c>
      <c r="N195" s="370">
        <v>45777.0</v>
      </c>
      <c r="O195" s="383"/>
      <c r="P195" s="383"/>
      <c r="Q195" s="383"/>
      <c r="R195" s="383"/>
      <c r="S195" s="383"/>
      <c r="T195" s="383"/>
      <c r="U195" s="383"/>
      <c r="V195" s="383"/>
      <c r="W195" s="383"/>
    </row>
    <row r="196">
      <c r="A196" s="366" t="s">
        <v>16</v>
      </c>
      <c r="B196" s="367">
        <v>4320.0</v>
      </c>
      <c r="C196" s="369"/>
      <c r="D196" s="367">
        <v>0.0</v>
      </c>
      <c r="E196" s="366" t="s">
        <v>307</v>
      </c>
      <c r="F196" s="366" t="s">
        <v>308</v>
      </c>
      <c r="G196" s="366" t="s">
        <v>309</v>
      </c>
      <c r="H196" s="369"/>
      <c r="I196" s="371">
        <v>36522.0</v>
      </c>
      <c r="J196" s="371">
        <v>45328.0</v>
      </c>
      <c r="K196" s="371">
        <v>45572.0</v>
      </c>
      <c r="L196" s="367">
        <v>0.0</v>
      </c>
      <c r="M196" s="370">
        <v>45748.0</v>
      </c>
      <c r="N196" s="370">
        <v>45777.0</v>
      </c>
      <c r="O196" s="383"/>
      <c r="P196" s="383"/>
      <c r="Q196" s="383"/>
      <c r="R196" s="383"/>
      <c r="S196" s="383"/>
      <c r="T196" s="383"/>
      <c r="U196" s="383"/>
      <c r="V196" s="383"/>
      <c r="W196" s="383"/>
    </row>
    <row r="197">
      <c r="A197" s="366" t="s">
        <v>16</v>
      </c>
      <c r="B197" s="367">
        <v>4320.0</v>
      </c>
      <c r="C197" s="369"/>
      <c r="D197" s="367">
        <v>0.0</v>
      </c>
      <c r="E197" s="366" t="s">
        <v>730</v>
      </c>
      <c r="F197" s="366" t="s">
        <v>731</v>
      </c>
      <c r="G197" s="366" t="s">
        <v>732</v>
      </c>
      <c r="H197" s="369"/>
      <c r="I197" s="371">
        <v>38263.0</v>
      </c>
      <c r="J197" s="371">
        <v>45355.0</v>
      </c>
      <c r="K197" s="369"/>
      <c r="L197" s="367">
        <v>30.0</v>
      </c>
      <c r="M197" s="370">
        <v>45748.0</v>
      </c>
      <c r="N197" s="370">
        <v>45777.0</v>
      </c>
      <c r="O197" s="383"/>
      <c r="P197" s="383"/>
      <c r="Q197" s="383"/>
      <c r="R197" s="383"/>
      <c r="S197" s="383"/>
      <c r="T197" s="383"/>
      <c r="U197" s="383"/>
      <c r="V197" s="383"/>
      <c r="W197" s="383"/>
    </row>
    <row r="198">
      <c r="A198" s="366" t="s">
        <v>16</v>
      </c>
      <c r="B198" s="367">
        <v>4320.0</v>
      </c>
      <c r="C198" s="366" t="s">
        <v>763</v>
      </c>
      <c r="D198" s="367">
        <v>0.0</v>
      </c>
      <c r="E198" s="366" t="s">
        <v>764</v>
      </c>
      <c r="F198" s="366" t="s">
        <v>765</v>
      </c>
      <c r="G198" s="366" t="s">
        <v>766</v>
      </c>
      <c r="H198" s="369"/>
      <c r="I198" s="371">
        <v>36087.0</v>
      </c>
      <c r="J198" s="371">
        <v>45761.0</v>
      </c>
      <c r="K198" s="369"/>
      <c r="L198" s="367">
        <v>17.0</v>
      </c>
      <c r="M198" s="370">
        <v>45748.0</v>
      </c>
      <c r="N198" s="370">
        <v>45777.0</v>
      </c>
      <c r="O198" s="383"/>
      <c r="P198" s="383"/>
      <c r="Q198" s="383"/>
      <c r="R198" s="383"/>
      <c r="S198" s="383"/>
      <c r="T198" s="383"/>
      <c r="U198" s="383"/>
      <c r="V198" s="383"/>
      <c r="W198" s="383"/>
    </row>
    <row r="199">
      <c r="A199" s="366" t="s">
        <v>16</v>
      </c>
      <c r="B199" s="367">
        <v>4320.0</v>
      </c>
      <c r="C199" s="366" t="s">
        <v>763</v>
      </c>
      <c r="D199" s="367">
        <v>0.0</v>
      </c>
      <c r="E199" s="366" t="s">
        <v>767</v>
      </c>
      <c r="F199" s="366" t="s">
        <v>765</v>
      </c>
      <c r="G199" s="366" t="s">
        <v>768</v>
      </c>
      <c r="H199" s="369"/>
      <c r="I199" s="371">
        <v>35792.0</v>
      </c>
      <c r="J199" s="371">
        <v>45754.0</v>
      </c>
      <c r="K199" s="369"/>
      <c r="L199" s="367">
        <v>24.0</v>
      </c>
      <c r="M199" s="370">
        <v>45748.0</v>
      </c>
      <c r="N199" s="370">
        <v>45777.0</v>
      </c>
      <c r="O199" s="383"/>
      <c r="P199" s="383"/>
      <c r="Q199" s="383"/>
      <c r="R199" s="383"/>
      <c r="S199" s="383"/>
      <c r="T199" s="383"/>
      <c r="U199" s="383"/>
      <c r="V199" s="383"/>
      <c r="W199" s="383"/>
    </row>
    <row r="200">
      <c r="D200" s="310"/>
      <c r="E200" s="311"/>
      <c r="L200" s="384"/>
    </row>
    <row r="201">
      <c r="D201" s="310"/>
      <c r="E201" s="311"/>
      <c r="L201" s="384"/>
    </row>
    <row r="202">
      <c r="D202" s="310"/>
      <c r="E202" s="311"/>
      <c r="L202" s="384"/>
    </row>
    <row r="203">
      <c r="D203" s="310"/>
      <c r="E203" s="311"/>
      <c r="L203" s="384"/>
    </row>
    <row r="204">
      <c r="D204" s="310"/>
      <c r="E204" s="311"/>
      <c r="L204" s="384"/>
    </row>
    <row r="205">
      <c r="D205" s="310"/>
      <c r="E205" s="311"/>
      <c r="L205" s="384"/>
    </row>
    <row r="206">
      <c r="D206" s="310"/>
      <c r="E206" s="311"/>
      <c r="L206" s="384"/>
    </row>
    <row r="207">
      <c r="D207" s="310"/>
      <c r="E207" s="311"/>
      <c r="L207" s="384"/>
    </row>
    <row r="208">
      <c r="D208" s="310"/>
      <c r="E208" s="311"/>
      <c r="L208" s="384"/>
    </row>
    <row r="209">
      <c r="D209" s="310"/>
      <c r="E209" s="311"/>
      <c r="L209" s="384"/>
    </row>
    <row r="210">
      <c r="D210" s="310"/>
      <c r="E210" s="311"/>
      <c r="L210" s="384"/>
    </row>
    <row r="211">
      <c r="D211" s="310"/>
      <c r="E211" s="311"/>
      <c r="L211" s="384"/>
    </row>
    <row r="212">
      <c r="D212" s="310"/>
      <c r="E212" s="311"/>
      <c r="L212" s="384"/>
    </row>
    <row r="213">
      <c r="D213" s="310"/>
      <c r="E213" s="311"/>
      <c r="L213" s="384"/>
    </row>
    <row r="214">
      <c r="D214" s="310"/>
      <c r="E214" s="311"/>
      <c r="L214" s="384"/>
    </row>
    <row r="215">
      <c r="D215" s="310"/>
      <c r="E215" s="311"/>
      <c r="L215" s="384"/>
    </row>
    <row r="216">
      <c r="D216" s="310"/>
      <c r="E216" s="311"/>
      <c r="L216" s="384"/>
    </row>
    <row r="217">
      <c r="D217" s="310"/>
      <c r="E217" s="311"/>
      <c r="L217" s="379">
        <f>SUM(L2:L199)</f>
        <v>3037</v>
      </c>
    </row>
    <row r="218">
      <c r="D218" s="310"/>
      <c r="E218" s="311"/>
    </row>
    <row r="219">
      <c r="D219" s="310"/>
      <c r="E219" s="311"/>
    </row>
    <row r="220">
      <c r="D220" s="310"/>
      <c r="E220" s="311"/>
    </row>
    <row r="221">
      <c r="D221" s="310"/>
      <c r="E221" s="311"/>
    </row>
    <row r="222">
      <c r="D222" s="310"/>
      <c r="E222" s="311"/>
    </row>
    <row r="223">
      <c r="D223" s="310"/>
      <c r="E223" s="311"/>
    </row>
    <row r="224">
      <c r="D224" s="310"/>
      <c r="E224" s="311"/>
    </row>
    <row r="225">
      <c r="D225" s="310"/>
      <c r="E225" s="311"/>
    </row>
    <row r="226">
      <c r="D226" s="310"/>
      <c r="E226" s="311"/>
    </row>
    <row r="227">
      <c r="D227" s="310"/>
      <c r="E227" s="311"/>
    </row>
    <row r="228">
      <c r="D228" s="310"/>
      <c r="E228" s="311"/>
    </row>
    <row r="229">
      <c r="D229" s="310"/>
      <c r="E229" s="311"/>
      <c r="L229" s="7"/>
    </row>
    <row r="230">
      <c r="D230" s="310"/>
      <c r="E230" s="311"/>
    </row>
    <row r="231">
      <c r="D231" s="310"/>
      <c r="E231" s="311"/>
    </row>
    <row r="232">
      <c r="D232" s="310"/>
      <c r="E232" s="311"/>
    </row>
    <row r="233">
      <c r="D233" s="310"/>
      <c r="E233" s="311"/>
    </row>
    <row r="234">
      <c r="D234" s="310"/>
      <c r="E234" s="311"/>
    </row>
    <row r="235">
      <c r="D235" s="310"/>
      <c r="E235" s="311"/>
    </row>
    <row r="236">
      <c r="D236" s="310"/>
      <c r="E236" s="311"/>
    </row>
    <row r="237">
      <c r="D237" s="310"/>
      <c r="E237" s="311"/>
    </row>
    <row r="238">
      <c r="D238" s="310"/>
      <c r="E238" s="311"/>
    </row>
    <row r="239">
      <c r="D239" s="310"/>
      <c r="E239" s="311"/>
    </row>
    <row r="240">
      <c r="D240" s="310"/>
      <c r="E240" s="311"/>
    </row>
    <row r="241">
      <c r="D241" s="310"/>
      <c r="E241" s="311"/>
    </row>
    <row r="242">
      <c r="D242" s="310"/>
      <c r="E242" s="311"/>
    </row>
    <row r="243">
      <c r="D243" s="310"/>
      <c r="E243" s="3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row r="734">
      <c r="D734" s="310"/>
      <c r="E734" s="311"/>
    </row>
    <row r="735">
      <c r="D735" s="310"/>
      <c r="E735" s="311"/>
    </row>
    <row r="736">
      <c r="D736" s="310"/>
      <c r="E736" s="311"/>
    </row>
    <row r="737">
      <c r="D737" s="310"/>
      <c r="E737" s="311"/>
    </row>
    <row r="738">
      <c r="D738" s="310"/>
      <c r="E738" s="311"/>
    </row>
    <row r="739">
      <c r="D739" s="310"/>
      <c r="E739" s="311"/>
    </row>
    <row r="740">
      <c r="D740" s="310"/>
      <c r="E740" s="311"/>
    </row>
    <row r="741">
      <c r="D741" s="310"/>
      <c r="E741" s="311"/>
    </row>
    <row r="742">
      <c r="D742" s="310"/>
      <c r="E742" s="311"/>
    </row>
    <row r="743">
      <c r="D743" s="310"/>
      <c r="E743" s="311"/>
    </row>
    <row r="744">
      <c r="D744" s="310"/>
      <c r="E744" s="311"/>
    </row>
    <row r="745">
      <c r="D745" s="310"/>
      <c r="E745" s="311"/>
    </row>
    <row r="746">
      <c r="D746" s="310"/>
      <c r="E746" s="311"/>
    </row>
    <row r="747">
      <c r="D747" s="310"/>
      <c r="E747" s="311"/>
    </row>
    <row r="748">
      <c r="D748" s="310"/>
      <c r="E748" s="311"/>
    </row>
    <row r="749">
      <c r="D749" s="310"/>
      <c r="E749" s="311"/>
    </row>
    <row r="750">
      <c r="D750" s="310"/>
      <c r="E750" s="311"/>
    </row>
    <row r="751">
      <c r="D751" s="310"/>
      <c r="E751" s="311"/>
    </row>
    <row r="752">
      <c r="D752" s="310"/>
      <c r="E752" s="311"/>
    </row>
    <row r="753">
      <c r="D753" s="310"/>
      <c r="E753" s="311"/>
    </row>
    <row r="754">
      <c r="D754" s="310"/>
      <c r="E754" s="311"/>
    </row>
    <row r="755">
      <c r="D755" s="310"/>
      <c r="E755" s="311"/>
    </row>
    <row r="756">
      <c r="D756" s="310"/>
      <c r="E756" s="311"/>
    </row>
    <row r="757">
      <c r="D757" s="310"/>
      <c r="E757" s="311"/>
    </row>
    <row r="758">
      <c r="D758" s="310"/>
      <c r="E758" s="311"/>
    </row>
    <row r="759">
      <c r="D759" s="310"/>
      <c r="E759" s="311"/>
    </row>
    <row r="760">
      <c r="D760" s="310"/>
      <c r="E760" s="311"/>
    </row>
    <row r="761">
      <c r="D761" s="310"/>
      <c r="E761" s="311"/>
    </row>
    <row r="762">
      <c r="D762" s="310"/>
      <c r="E762" s="311"/>
    </row>
    <row r="763">
      <c r="D763" s="310"/>
      <c r="E763" s="311"/>
    </row>
    <row r="764">
      <c r="D764" s="310"/>
      <c r="E764" s="311"/>
    </row>
    <row r="765">
      <c r="D765" s="310"/>
      <c r="E765" s="311"/>
    </row>
    <row r="766">
      <c r="D766" s="310"/>
      <c r="E766" s="311"/>
    </row>
    <row r="767">
      <c r="D767" s="310"/>
      <c r="E767" s="311"/>
    </row>
    <row r="768">
      <c r="D768" s="310"/>
      <c r="E768" s="311"/>
    </row>
    <row r="769">
      <c r="D769" s="310"/>
      <c r="E769" s="311"/>
    </row>
    <row r="770">
      <c r="D770" s="310"/>
      <c r="E770" s="311"/>
    </row>
    <row r="771">
      <c r="D771" s="310"/>
      <c r="E771" s="311"/>
    </row>
    <row r="772">
      <c r="D772" s="310"/>
      <c r="E772" s="311"/>
    </row>
    <row r="773">
      <c r="D773" s="310"/>
      <c r="E773" s="311"/>
    </row>
    <row r="774">
      <c r="D774" s="310"/>
      <c r="E774" s="311"/>
    </row>
    <row r="775">
      <c r="D775" s="310"/>
      <c r="E775" s="311"/>
    </row>
    <row r="776">
      <c r="D776" s="310"/>
      <c r="E776" s="311"/>
    </row>
    <row r="777">
      <c r="D777" s="310"/>
      <c r="E777" s="311"/>
    </row>
    <row r="778">
      <c r="D778" s="310"/>
      <c r="E778" s="311"/>
    </row>
    <row r="779">
      <c r="D779" s="310"/>
      <c r="E779" s="311"/>
    </row>
    <row r="780">
      <c r="D780" s="310"/>
      <c r="E780" s="311"/>
    </row>
    <row r="781">
      <c r="D781" s="310"/>
      <c r="E781" s="311"/>
    </row>
    <row r="782">
      <c r="D782" s="310"/>
      <c r="E782" s="311"/>
    </row>
    <row r="783">
      <c r="D783" s="310"/>
      <c r="E783" s="311"/>
    </row>
    <row r="784">
      <c r="D784" s="310"/>
      <c r="E784" s="311"/>
    </row>
    <row r="785">
      <c r="D785" s="310"/>
      <c r="E785" s="311"/>
    </row>
    <row r="786">
      <c r="D786" s="310"/>
      <c r="E786" s="311"/>
    </row>
    <row r="787">
      <c r="D787" s="310"/>
      <c r="E787" s="311"/>
    </row>
    <row r="788">
      <c r="D788" s="310"/>
      <c r="E788" s="311"/>
    </row>
    <row r="789">
      <c r="D789" s="310"/>
      <c r="E789" s="311"/>
    </row>
    <row r="790">
      <c r="D790" s="310"/>
      <c r="E790" s="311"/>
    </row>
    <row r="791">
      <c r="D791" s="310"/>
      <c r="E791" s="311"/>
    </row>
    <row r="792">
      <c r="D792" s="310"/>
      <c r="E792" s="311"/>
    </row>
    <row r="793">
      <c r="D793" s="310"/>
      <c r="E793" s="311"/>
    </row>
    <row r="794">
      <c r="D794" s="310"/>
      <c r="E794" s="311"/>
    </row>
    <row r="795">
      <c r="D795" s="310"/>
      <c r="E795" s="311"/>
    </row>
    <row r="796">
      <c r="D796" s="310"/>
      <c r="E796" s="311"/>
    </row>
    <row r="797">
      <c r="D797" s="310"/>
      <c r="E797" s="311"/>
    </row>
    <row r="798">
      <c r="D798" s="310"/>
      <c r="E798" s="311"/>
    </row>
    <row r="799">
      <c r="D799" s="310"/>
      <c r="E799" s="311"/>
    </row>
    <row r="800">
      <c r="D800" s="310"/>
      <c r="E800" s="311"/>
    </row>
    <row r="801">
      <c r="D801" s="310"/>
      <c r="E801" s="311"/>
    </row>
    <row r="802">
      <c r="D802" s="310"/>
      <c r="E802" s="311"/>
    </row>
    <row r="803">
      <c r="D803" s="310"/>
      <c r="E803" s="311"/>
    </row>
    <row r="804">
      <c r="D804" s="310"/>
      <c r="E804" s="311"/>
    </row>
    <row r="805">
      <c r="D805" s="310"/>
      <c r="E805" s="311"/>
    </row>
    <row r="806">
      <c r="D806" s="310"/>
      <c r="E806" s="311"/>
    </row>
    <row r="807">
      <c r="D807" s="310"/>
      <c r="E807" s="311"/>
    </row>
    <row r="808">
      <c r="D808" s="310"/>
      <c r="E808" s="311"/>
    </row>
    <row r="809">
      <c r="D809" s="310"/>
      <c r="E809" s="311"/>
    </row>
    <row r="810">
      <c r="D810" s="310"/>
      <c r="E810" s="311"/>
    </row>
    <row r="811">
      <c r="D811" s="310"/>
      <c r="E811" s="311"/>
    </row>
    <row r="812">
      <c r="D812" s="310"/>
      <c r="E812" s="311"/>
    </row>
    <row r="813">
      <c r="D813" s="310"/>
      <c r="E813" s="311"/>
    </row>
    <row r="814">
      <c r="D814" s="310"/>
      <c r="E814" s="311"/>
    </row>
    <row r="815">
      <c r="D815" s="310"/>
      <c r="E815" s="311"/>
    </row>
    <row r="816">
      <c r="D816" s="310"/>
      <c r="E816" s="311"/>
    </row>
    <row r="817">
      <c r="D817" s="310"/>
      <c r="E817" s="311"/>
    </row>
    <row r="818">
      <c r="D818" s="310"/>
      <c r="E818" s="311"/>
    </row>
    <row r="819">
      <c r="D819" s="310"/>
      <c r="E819" s="311"/>
    </row>
    <row r="820">
      <c r="D820" s="310"/>
      <c r="E820" s="311"/>
    </row>
    <row r="821">
      <c r="D821" s="310"/>
      <c r="E821" s="311"/>
    </row>
    <row r="822">
      <c r="D822" s="310"/>
      <c r="E822" s="311"/>
    </row>
    <row r="823">
      <c r="D823" s="310"/>
      <c r="E823" s="311"/>
    </row>
    <row r="824">
      <c r="D824" s="310"/>
      <c r="E824" s="311"/>
    </row>
    <row r="825">
      <c r="D825" s="310"/>
      <c r="E825" s="311"/>
    </row>
    <row r="826">
      <c r="D826" s="310"/>
      <c r="E826" s="311"/>
    </row>
    <row r="827">
      <c r="D827" s="310"/>
      <c r="E827" s="311"/>
    </row>
    <row r="828">
      <c r="D828" s="310"/>
      <c r="E828" s="311"/>
    </row>
    <row r="829">
      <c r="D829" s="310"/>
      <c r="E829" s="311"/>
    </row>
    <row r="830">
      <c r="D830" s="310"/>
      <c r="E830" s="311"/>
    </row>
    <row r="831">
      <c r="D831" s="310"/>
      <c r="E831" s="311"/>
    </row>
    <row r="832">
      <c r="D832" s="310"/>
      <c r="E832" s="311"/>
    </row>
    <row r="833">
      <c r="D833" s="310"/>
      <c r="E833" s="311"/>
    </row>
    <row r="834">
      <c r="D834" s="310"/>
      <c r="E834" s="311"/>
    </row>
    <row r="835">
      <c r="D835" s="310"/>
      <c r="E835" s="311"/>
    </row>
    <row r="836">
      <c r="D836" s="310"/>
      <c r="E836" s="311"/>
    </row>
    <row r="837">
      <c r="D837" s="310"/>
      <c r="E837" s="311"/>
    </row>
    <row r="838">
      <c r="D838" s="310"/>
      <c r="E838" s="311"/>
    </row>
    <row r="839">
      <c r="D839" s="310"/>
      <c r="E839" s="311"/>
    </row>
    <row r="840">
      <c r="D840" s="310"/>
      <c r="E840" s="311"/>
    </row>
    <row r="841">
      <c r="D841" s="310"/>
      <c r="E841" s="311"/>
    </row>
    <row r="842">
      <c r="D842" s="310"/>
      <c r="E842" s="311"/>
    </row>
    <row r="843">
      <c r="D843" s="310"/>
      <c r="E843" s="311"/>
    </row>
    <row r="844">
      <c r="D844" s="310"/>
      <c r="E844" s="311"/>
    </row>
    <row r="845">
      <c r="D845" s="310"/>
      <c r="E845" s="311"/>
    </row>
    <row r="846">
      <c r="D846" s="310"/>
      <c r="E846" s="311"/>
    </row>
    <row r="847">
      <c r="D847" s="310"/>
      <c r="E847" s="311"/>
    </row>
    <row r="848">
      <c r="D848" s="310"/>
      <c r="E848" s="311"/>
    </row>
    <row r="849">
      <c r="D849" s="310"/>
      <c r="E849" s="311"/>
    </row>
    <row r="850">
      <c r="D850" s="310"/>
      <c r="E850" s="311"/>
    </row>
    <row r="851">
      <c r="D851" s="310"/>
      <c r="E851" s="311"/>
    </row>
    <row r="852">
      <c r="D852" s="310"/>
      <c r="E852" s="311"/>
    </row>
    <row r="853">
      <c r="D853" s="310"/>
      <c r="E853" s="311"/>
    </row>
    <row r="854">
      <c r="D854" s="310"/>
      <c r="E854" s="311"/>
    </row>
    <row r="855">
      <c r="D855" s="310"/>
      <c r="E855" s="311"/>
    </row>
    <row r="856">
      <c r="D856" s="310"/>
      <c r="E856" s="311"/>
    </row>
    <row r="857">
      <c r="D857" s="310"/>
      <c r="E857" s="311"/>
    </row>
    <row r="858">
      <c r="D858" s="310"/>
      <c r="E858" s="311"/>
    </row>
    <row r="859">
      <c r="D859" s="310"/>
      <c r="E859" s="311"/>
    </row>
    <row r="860">
      <c r="D860" s="310"/>
      <c r="E860" s="311"/>
    </row>
    <row r="861">
      <c r="D861" s="310"/>
      <c r="E861" s="311"/>
    </row>
    <row r="862">
      <c r="D862" s="310"/>
      <c r="E862" s="311"/>
    </row>
    <row r="863">
      <c r="D863" s="310"/>
      <c r="E863" s="311"/>
    </row>
    <row r="864">
      <c r="D864" s="310"/>
      <c r="E864" s="311"/>
    </row>
    <row r="865">
      <c r="D865" s="310"/>
      <c r="E865" s="311"/>
    </row>
    <row r="866">
      <c r="D866" s="310"/>
      <c r="E866" s="311"/>
    </row>
    <row r="867">
      <c r="D867" s="310"/>
      <c r="E867" s="311"/>
    </row>
    <row r="868">
      <c r="D868" s="310"/>
      <c r="E868" s="311"/>
    </row>
    <row r="869">
      <c r="D869" s="310"/>
      <c r="E869" s="311"/>
    </row>
    <row r="870">
      <c r="D870" s="310"/>
      <c r="E870" s="311"/>
    </row>
    <row r="871">
      <c r="D871" s="310"/>
      <c r="E871" s="311"/>
    </row>
    <row r="872">
      <c r="D872" s="310"/>
      <c r="E872" s="311"/>
    </row>
    <row r="873">
      <c r="D873" s="310"/>
      <c r="E873" s="311"/>
    </row>
    <row r="874">
      <c r="D874" s="310"/>
      <c r="E874" s="311"/>
    </row>
    <row r="875">
      <c r="D875" s="310"/>
      <c r="E875" s="311"/>
    </row>
    <row r="876">
      <c r="D876" s="310"/>
      <c r="E876" s="311"/>
    </row>
    <row r="877">
      <c r="D877" s="310"/>
      <c r="E877" s="311"/>
    </row>
    <row r="878">
      <c r="D878" s="310"/>
      <c r="E878" s="311"/>
    </row>
    <row r="879">
      <c r="D879" s="310"/>
      <c r="E879" s="311"/>
    </row>
    <row r="880">
      <c r="D880" s="310"/>
      <c r="E880" s="311"/>
    </row>
    <row r="881">
      <c r="D881" s="310"/>
      <c r="E881" s="311"/>
    </row>
    <row r="882">
      <c r="D882" s="310"/>
      <c r="E882" s="311"/>
    </row>
    <row r="883">
      <c r="D883" s="310"/>
      <c r="E883" s="311"/>
    </row>
    <row r="884">
      <c r="D884" s="310"/>
      <c r="E884" s="311"/>
    </row>
    <row r="885">
      <c r="D885" s="310"/>
      <c r="E885" s="311"/>
    </row>
    <row r="886">
      <c r="D886" s="310"/>
      <c r="E886" s="311"/>
    </row>
    <row r="887">
      <c r="D887" s="310"/>
      <c r="E887" s="311"/>
    </row>
    <row r="888">
      <c r="D888" s="310"/>
      <c r="E888" s="311"/>
    </row>
    <row r="889">
      <c r="D889" s="310"/>
      <c r="E889" s="311"/>
    </row>
    <row r="890">
      <c r="D890" s="310"/>
      <c r="E890" s="311"/>
    </row>
    <row r="891">
      <c r="D891" s="310"/>
      <c r="E891" s="311"/>
    </row>
    <row r="892">
      <c r="D892" s="310"/>
      <c r="E892" s="311"/>
    </row>
    <row r="893">
      <c r="D893" s="310"/>
      <c r="E893" s="311"/>
    </row>
    <row r="894">
      <c r="D894" s="310"/>
      <c r="E894" s="311"/>
    </row>
    <row r="895">
      <c r="D895" s="310"/>
      <c r="E895" s="311"/>
    </row>
    <row r="896">
      <c r="D896" s="310"/>
      <c r="E896" s="311"/>
    </row>
    <row r="897">
      <c r="D897" s="310"/>
      <c r="E897" s="311"/>
    </row>
    <row r="898">
      <c r="D898" s="310"/>
      <c r="E898" s="311"/>
    </row>
    <row r="899">
      <c r="D899" s="310"/>
      <c r="E899" s="311"/>
    </row>
    <row r="900">
      <c r="D900" s="310"/>
      <c r="E900" s="311"/>
    </row>
    <row r="901">
      <c r="D901" s="310"/>
      <c r="E901" s="311"/>
    </row>
    <row r="902">
      <c r="D902" s="310"/>
      <c r="E902" s="311"/>
    </row>
    <row r="903">
      <c r="D903" s="310"/>
      <c r="E903" s="311"/>
    </row>
    <row r="904">
      <c r="D904" s="310"/>
      <c r="E904" s="311"/>
    </row>
    <row r="905">
      <c r="D905" s="310"/>
      <c r="E905" s="311"/>
    </row>
    <row r="906">
      <c r="D906" s="310"/>
      <c r="E906" s="311"/>
    </row>
    <row r="907">
      <c r="D907" s="310"/>
      <c r="E907" s="311"/>
    </row>
    <row r="908">
      <c r="D908" s="310"/>
      <c r="E908" s="311"/>
    </row>
    <row r="909">
      <c r="D909" s="310"/>
      <c r="E909" s="311"/>
    </row>
    <row r="910">
      <c r="D910" s="310"/>
      <c r="E910" s="311"/>
    </row>
    <row r="911">
      <c r="D911" s="310"/>
      <c r="E911" s="311"/>
    </row>
    <row r="912">
      <c r="D912" s="310"/>
      <c r="E912" s="311"/>
    </row>
    <row r="913">
      <c r="D913" s="310"/>
      <c r="E913" s="311"/>
    </row>
    <row r="914">
      <c r="D914" s="310"/>
      <c r="E914" s="311"/>
    </row>
    <row r="915">
      <c r="D915" s="310"/>
      <c r="E915" s="311"/>
    </row>
    <row r="916">
      <c r="D916" s="310"/>
      <c r="E916" s="311"/>
    </row>
    <row r="917">
      <c r="D917" s="310"/>
      <c r="E917" s="311"/>
    </row>
    <row r="918">
      <c r="D918" s="310"/>
      <c r="E918" s="311"/>
    </row>
    <row r="919">
      <c r="D919" s="310"/>
      <c r="E919" s="311"/>
    </row>
    <row r="920">
      <c r="D920" s="310"/>
      <c r="E920" s="311"/>
    </row>
    <row r="921">
      <c r="D921" s="310"/>
      <c r="E921" s="311"/>
    </row>
    <row r="922">
      <c r="D922" s="310"/>
      <c r="E922" s="311"/>
    </row>
    <row r="923">
      <c r="D923" s="310"/>
      <c r="E923" s="311"/>
    </row>
    <row r="924">
      <c r="D924" s="310"/>
      <c r="E924" s="311"/>
    </row>
    <row r="925">
      <c r="D925" s="310"/>
      <c r="E925" s="311"/>
    </row>
    <row r="926">
      <c r="D926" s="310"/>
      <c r="E926" s="311"/>
    </row>
    <row r="927">
      <c r="D927" s="310"/>
      <c r="E927" s="311"/>
    </row>
    <row r="928">
      <c r="D928" s="310"/>
      <c r="E928" s="311"/>
    </row>
    <row r="929">
      <c r="D929" s="310"/>
      <c r="E929" s="311"/>
    </row>
    <row r="930">
      <c r="D930" s="310"/>
      <c r="E930" s="311"/>
    </row>
    <row r="931">
      <c r="D931" s="310"/>
      <c r="E931" s="311"/>
    </row>
    <row r="932">
      <c r="D932" s="310"/>
      <c r="E932" s="311"/>
    </row>
    <row r="933">
      <c r="D933" s="310"/>
      <c r="E933" s="311"/>
    </row>
    <row r="934">
      <c r="D934" s="310"/>
      <c r="E934" s="311"/>
    </row>
    <row r="935">
      <c r="D935" s="310"/>
      <c r="E935" s="311"/>
    </row>
    <row r="936">
      <c r="D936" s="310"/>
      <c r="E936" s="311"/>
    </row>
    <row r="937">
      <c r="D937" s="310"/>
      <c r="E937" s="311"/>
    </row>
    <row r="938">
      <c r="D938" s="310"/>
      <c r="E938" s="311"/>
    </row>
    <row r="939">
      <c r="D939" s="310"/>
      <c r="E939" s="311"/>
    </row>
    <row r="940">
      <c r="D940" s="310"/>
      <c r="E940" s="311"/>
    </row>
    <row r="941">
      <c r="D941" s="310"/>
      <c r="E941" s="311"/>
    </row>
    <row r="942">
      <c r="D942" s="310"/>
      <c r="E942" s="311"/>
    </row>
    <row r="943">
      <c r="D943" s="310"/>
      <c r="E943" s="311"/>
    </row>
    <row r="944">
      <c r="D944" s="310"/>
      <c r="E944" s="311"/>
    </row>
    <row r="945">
      <c r="D945" s="310"/>
      <c r="E945" s="311"/>
    </row>
    <row r="946">
      <c r="D946" s="310"/>
      <c r="E946" s="311"/>
    </row>
    <row r="947">
      <c r="D947" s="310"/>
      <c r="E947" s="311"/>
    </row>
    <row r="948">
      <c r="D948" s="310"/>
      <c r="E948" s="311"/>
    </row>
    <row r="949">
      <c r="D949" s="310"/>
      <c r="E949" s="311"/>
    </row>
    <row r="950">
      <c r="D950" s="310"/>
      <c r="E950" s="311"/>
    </row>
    <row r="951">
      <c r="D951" s="310"/>
      <c r="E951" s="311"/>
    </row>
    <row r="952">
      <c r="D952" s="310"/>
      <c r="E952" s="311"/>
    </row>
    <row r="953">
      <c r="D953" s="310"/>
      <c r="E953" s="311"/>
    </row>
    <row r="954">
      <c r="D954" s="310"/>
      <c r="E954" s="311"/>
    </row>
    <row r="955">
      <c r="D955" s="310"/>
      <c r="E955" s="311"/>
    </row>
    <row r="956">
      <c r="D956" s="310"/>
      <c r="E956" s="311"/>
    </row>
    <row r="957">
      <c r="D957" s="310"/>
      <c r="E957" s="311"/>
    </row>
    <row r="958">
      <c r="D958" s="310"/>
      <c r="E958" s="311"/>
    </row>
    <row r="959">
      <c r="D959" s="310"/>
      <c r="E959" s="311"/>
    </row>
    <row r="960">
      <c r="D960" s="310"/>
      <c r="E960" s="311"/>
    </row>
    <row r="961">
      <c r="D961" s="310"/>
      <c r="E961" s="311"/>
    </row>
    <row r="962">
      <c r="D962" s="310"/>
      <c r="E962" s="311"/>
    </row>
    <row r="963">
      <c r="D963" s="310"/>
      <c r="E963" s="311"/>
    </row>
    <row r="964">
      <c r="D964" s="310"/>
      <c r="E964" s="311"/>
    </row>
    <row r="965">
      <c r="D965" s="310"/>
      <c r="E965" s="311"/>
    </row>
    <row r="966">
      <c r="D966" s="310"/>
      <c r="E966" s="311"/>
    </row>
    <row r="967">
      <c r="D967" s="310"/>
      <c r="E967" s="311"/>
    </row>
    <row r="968">
      <c r="D968" s="310"/>
      <c r="E968" s="311"/>
    </row>
  </sheetData>
  <autoFilter ref="$A$1:$M$217"/>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1.38"/>
    <col customWidth="1" min="6" max="6" width="11.5"/>
    <col customWidth="1" min="7" max="7" width="14.25"/>
    <col customWidth="1" min="15" max="15" width="19.25"/>
  </cols>
  <sheetData>
    <row r="1">
      <c r="A1" s="347" t="s">
        <v>0</v>
      </c>
      <c r="B1" s="348" t="s">
        <v>1</v>
      </c>
      <c r="C1" s="281" t="s">
        <v>2</v>
      </c>
      <c r="D1" s="281" t="s">
        <v>603</v>
      </c>
      <c r="E1" s="281" t="s">
        <v>604</v>
      </c>
      <c r="F1" s="281" t="s">
        <v>4</v>
      </c>
      <c r="G1" s="281" t="s">
        <v>5</v>
      </c>
      <c r="H1" s="281" t="s">
        <v>6</v>
      </c>
      <c r="I1" s="281" t="s">
        <v>7</v>
      </c>
      <c r="J1" s="281" t="s">
        <v>8</v>
      </c>
      <c r="K1" s="281" t="s">
        <v>9</v>
      </c>
      <c r="L1" s="281" t="s">
        <v>10</v>
      </c>
      <c r="M1" s="281" t="s">
        <v>11</v>
      </c>
      <c r="N1" s="281" t="s">
        <v>12</v>
      </c>
      <c r="O1" s="281" t="s">
        <v>379</v>
      </c>
      <c r="P1" s="281" t="s">
        <v>14</v>
      </c>
      <c r="Q1" s="281" t="s">
        <v>15</v>
      </c>
      <c r="R1" s="66"/>
      <c r="S1" s="66"/>
      <c r="T1" s="66"/>
      <c r="U1" s="66"/>
      <c r="V1" s="66"/>
      <c r="W1" s="66"/>
      <c r="X1" s="66"/>
    </row>
    <row r="2">
      <c r="A2" s="349" t="s">
        <v>16</v>
      </c>
      <c r="B2" s="283">
        <v>4320.0</v>
      </c>
      <c r="C2" s="284"/>
      <c r="D2" s="285">
        <v>0.0</v>
      </c>
      <c r="E2" s="282" t="s">
        <v>436</v>
      </c>
      <c r="F2" s="282" t="s">
        <v>362</v>
      </c>
      <c r="G2" s="286" t="s">
        <v>363</v>
      </c>
      <c r="H2" s="287"/>
      <c r="I2" s="288">
        <v>37149.0</v>
      </c>
      <c r="J2" s="288">
        <v>45397.0</v>
      </c>
      <c r="K2" s="289"/>
      <c r="L2" s="302">
        <f t="shared" ref="L2:L104" si="1">N2-M2+1</f>
        <v>30</v>
      </c>
      <c r="M2" s="350">
        <v>45748.0</v>
      </c>
      <c r="N2" s="350">
        <v>45777.0</v>
      </c>
      <c r="O2" s="290">
        <f t="shared" ref="O2:O104" si="2">ROUNDUP(L2/30*370,0)</f>
        <v>370</v>
      </c>
      <c r="P2" s="290">
        <f t="shared" ref="P2:P104" si="3">O2*5</f>
        <v>1850</v>
      </c>
      <c r="Q2" s="290">
        <f t="shared" ref="Q2:Q104" si="4">O2+P2</f>
        <v>2220</v>
      </c>
    </row>
    <row r="3">
      <c r="A3" s="282" t="s">
        <v>16</v>
      </c>
      <c r="B3" s="283">
        <v>4320.0</v>
      </c>
      <c r="C3" s="289"/>
      <c r="D3" s="285">
        <v>0.0</v>
      </c>
      <c r="E3" s="291" t="s">
        <v>687</v>
      </c>
      <c r="F3" s="292" t="s">
        <v>769</v>
      </c>
      <c r="G3" s="286" t="s">
        <v>689</v>
      </c>
      <c r="H3" s="287"/>
      <c r="I3" s="293">
        <v>37214.0</v>
      </c>
      <c r="J3" s="288">
        <v>45691.0</v>
      </c>
      <c r="K3" s="289"/>
      <c r="L3" s="302">
        <f t="shared" si="1"/>
        <v>30</v>
      </c>
      <c r="M3" s="350">
        <v>45748.0</v>
      </c>
      <c r="N3" s="350">
        <v>45777.0</v>
      </c>
      <c r="O3" s="290">
        <f t="shared" si="2"/>
        <v>370</v>
      </c>
      <c r="P3" s="290">
        <f t="shared" si="3"/>
        <v>1850</v>
      </c>
      <c r="Q3" s="290">
        <f t="shared" si="4"/>
        <v>2220</v>
      </c>
    </row>
    <row r="4">
      <c r="A4" s="282" t="s">
        <v>16</v>
      </c>
      <c r="B4" s="283">
        <v>4320.0</v>
      </c>
      <c r="C4" s="284"/>
      <c r="D4" s="285">
        <v>0.0</v>
      </c>
      <c r="E4" s="282" t="s">
        <v>561</v>
      </c>
      <c r="F4" s="282" t="s">
        <v>562</v>
      </c>
      <c r="G4" s="286" t="s">
        <v>563</v>
      </c>
      <c r="H4" s="287"/>
      <c r="I4" s="288">
        <v>36879.0</v>
      </c>
      <c r="J4" s="294">
        <v>45670.0</v>
      </c>
      <c r="K4" s="385">
        <v>45762.0</v>
      </c>
      <c r="L4" s="386">
        <f t="shared" si="1"/>
        <v>15</v>
      </c>
      <c r="M4" s="350">
        <v>45748.0</v>
      </c>
      <c r="N4" s="350">
        <v>45762.0</v>
      </c>
      <c r="O4" s="290">
        <f t="shared" si="2"/>
        <v>185</v>
      </c>
      <c r="P4" s="290">
        <f t="shared" si="3"/>
        <v>925</v>
      </c>
      <c r="Q4" s="290">
        <f t="shared" si="4"/>
        <v>1110</v>
      </c>
    </row>
    <row r="5">
      <c r="A5" s="282" t="s">
        <v>16</v>
      </c>
      <c r="B5" s="283">
        <v>4320.0</v>
      </c>
      <c r="C5" s="284"/>
      <c r="D5" s="285">
        <v>0.0</v>
      </c>
      <c r="E5" s="282" t="s">
        <v>407</v>
      </c>
      <c r="F5" s="282" t="s">
        <v>97</v>
      </c>
      <c r="G5" s="286" t="s">
        <v>98</v>
      </c>
      <c r="H5" s="287"/>
      <c r="I5" s="294">
        <v>36690.0</v>
      </c>
      <c r="J5" s="288">
        <v>44938.0</v>
      </c>
      <c r="K5" s="289"/>
      <c r="L5" s="302">
        <f t="shared" si="1"/>
        <v>30</v>
      </c>
      <c r="M5" s="350">
        <v>45748.0</v>
      </c>
      <c r="N5" s="350">
        <v>45777.0</v>
      </c>
      <c r="O5" s="290">
        <f t="shared" si="2"/>
        <v>370</v>
      </c>
      <c r="P5" s="290">
        <f t="shared" si="3"/>
        <v>1850</v>
      </c>
      <c r="Q5" s="290">
        <f t="shared" si="4"/>
        <v>2220</v>
      </c>
    </row>
    <row r="6">
      <c r="A6" s="282" t="s">
        <v>16</v>
      </c>
      <c r="B6" s="283">
        <v>4320.0</v>
      </c>
      <c r="C6" s="284"/>
      <c r="D6" s="285">
        <v>0.0</v>
      </c>
      <c r="E6" s="282" t="s">
        <v>473</v>
      </c>
      <c r="F6" s="282" t="s">
        <v>530</v>
      </c>
      <c r="G6" s="286" t="s">
        <v>475</v>
      </c>
      <c r="H6" s="287"/>
      <c r="I6" s="288">
        <v>37459.0</v>
      </c>
      <c r="J6" s="288">
        <v>45586.0</v>
      </c>
      <c r="K6" s="289"/>
      <c r="L6" s="302">
        <f t="shared" si="1"/>
        <v>30</v>
      </c>
      <c r="M6" s="350">
        <v>45748.0</v>
      </c>
      <c r="N6" s="350">
        <v>45777.0</v>
      </c>
      <c r="O6" s="290">
        <f t="shared" si="2"/>
        <v>370</v>
      </c>
      <c r="P6" s="290">
        <f t="shared" si="3"/>
        <v>1850</v>
      </c>
      <c r="Q6" s="290">
        <f t="shared" si="4"/>
        <v>2220</v>
      </c>
    </row>
    <row r="7">
      <c r="A7" s="282" t="s">
        <v>16</v>
      </c>
      <c r="B7" s="283">
        <v>4320.0</v>
      </c>
      <c r="C7" s="284"/>
      <c r="D7" s="285">
        <v>0.0</v>
      </c>
      <c r="E7" s="282" t="s">
        <v>408</v>
      </c>
      <c r="F7" s="282" t="s">
        <v>409</v>
      </c>
      <c r="G7" s="286" t="s">
        <v>410</v>
      </c>
      <c r="H7" s="287"/>
      <c r="I7" s="288">
        <v>37978.0</v>
      </c>
      <c r="J7" s="288">
        <v>45453.0</v>
      </c>
      <c r="K7" s="289"/>
      <c r="L7" s="302">
        <f t="shared" si="1"/>
        <v>30</v>
      </c>
      <c r="M7" s="350">
        <v>45748.0</v>
      </c>
      <c r="N7" s="350">
        <v>45777.0</v>
      </c>
      <c r="O7" s="290">
        <f t="shared" si="2"/>
        <v>370</v>
      </c>
      <c r="P7" s="290">
        <f t="shared" si="3"/>
        <v>1850</v>
      </c>
      <c r="Q7" s="290">
        <f t="shared" si="4"/>
        <v>2220</v>
      </c>
    </row>
    <row r="8">
      <c r="A8" s="282" t="s">
        <v>16</v>
      </c>
      <c r="B8" s="283">
        <v>4320.0</v>
      </c>
      <c r="C8" s="284"/>
      <c r="D8" s="285">
        <v>1.0</v>
      </c>
      <c r="E8" s="351" t="s">
        <v>730</v>
      </c>
      <c r="F8" s="352" t="s">
        <v>731</v>
      </c>
      <c r="G8" s="352" t="s">
        <v>732</v>
      </c>
      <c r="H8" s="282"/>
      <c r="I8" s="350">
        <v>38263.0</v>
      </c>
      <c r="J8" s="350">
        <v>45355.0</v>
      </c>
      <c r="K8" s="289"/>
      <c r="L8" s="302">
        <f t="shared" si="1"/>
        <v>30</v>
      </c>
      <c r="M8" s="350">
        <v>45748.0</v>
      </c>
      <c r="N8" s="350">
        <v>45777.0</v>
      </c>
      <c r="O8" s="290">
        <f t="shared" si="2"/>
        <v>370</v>
      </c>
      <c r="P8" s="290">
        <f t="shared" si="3"/>
        <v>1850</v>
      </c>
      <c r="Q8" s="290">
        <f t="shared" si="4"/>
        <v>2220</v>
      </c>
    </row>
    <row r="9">
      <c r="A9" s="282" t="s">
        <v>16</v>
      </c>
      <c r="B9" s="283">
        <v>4320.0</v>
      </c>
      <c r="C9" s="284"/>
      <c r="D9" s="285">
        <v>0.0</v>
      </c>
      <c r="E9" s="282" t="s">
        <v>246</v>
      </c>
      <c r="F9" s="282" t="s">
        <v>247</v>
      </c>
      <c r="G9" s="286" t="s">
        <v>248</v>
      </c>
      <c r="H9" s="287"/>
      <c r="I9" s="288">
        <v>36501.0</v>
      </c>
      <c r="J9" s="288">
        <v>45246.0</v>
      </c>
      <c r="K9" s="289"/>
      <c r="L9" s="302">
        <f t="shared" si="1"/>
        <v>30</v>
      </c>
      <c r="M9" s="350">
        <v>45748.0</v>
      </c>
      <c r="N9" s="350">
        <v>45777.0</v>
      </c>
      <c r="O9" s="290">
        <f t="shared" si="2"/>
        <v>370</v>
      </c>
      <c r="P9" s="290">
        <f t="shared" si="3"/>
        <v>1850</v>
      </c>
      <c r="Q9" s="290">
        <f t="shared" si="4"/>
        <v>2220</v>
      </c>
    </row>
    <row r="10">
      <c r="A10" s="282" t="s">
        <v>16</v>
      </c>
      <c r="B10" s="283">
        <v>4320.0</v>
      </c>
      <c r="C10" s="284"/>
      <c r="D10" s="285">
        <v>0.0</v>
      </c>
      <c r="E10" s="282" t="s">
        <v>564</v>
      </c>
      <c r="F10" s="282" t="s">
        <v>565</v>
      </c>
      <c r="G10" s="286" t="s">
        <v>566</v>
      </c>
      <c r="H10" s="287"/>
      <c r="I10" s="288">
        <v>34799.0</v>
      </c>
      <c r="J10" s="288">
        <v>45670.0</v>
      </c>
      <c r="K10" s="289"/>
      <c r="L10" s="302">
        <f t="shared" si="1"/>
        <v>30</v>
      </c>
      <c r="M10" s="350">
        <v>45748.0</v>
      </c>
      <c r="N10" s="350">
        <v>45777.0</v>
      </c>
      <c r="O10" s="290">
        <f t="shared" si="2"/>
        <v>370</v>
      </c>
      <c r="P10" s="290">
        <f t="shared" si="3"/>
        <v>1850</v>
      </c>
      <c r="Q10" s="290">
        <f t="shared" si="4"/>
        <v>2220</v>
      </c>
    </row>
    <row r="11">
      <c r="A11" s="282" t="s">
        <v>16</v>
      </c>
      <c r="B11" s="283">
        <v>4320.0</v>
      </c>
      <c r="C11" s="284"/>
      <c r="D11" s="285">
        <v>0.0</v>
      </c>
      <c r="E11" s="282" t="s">
        <v>552</v>
      </c>
      <c r="F11" s="282" t="s">
        <v>553</v>
      </c>
      <c r="G11" s="286" t="s">
        <v>554</v>
      </c>
      <c r="H11" s="287"/>
      <c r="I11" s="288">
        <v>36904.0</v>
      </c>
      <c r="J11" s="288">
        <v>45663.0</v>
      </c>
      <c r="K11" s="289"/>
      <c r="L11" s="302">
        <f t="shared" si="1"/>
        <v>30</v>
      </c>
      <c r="M11" s="350">
        <v>45748.0</v>
      </c>
      <c r="N11" s="350">
        <v>45777.0</v>
      </c>
      <c r="O11" s="290">
        <f t="shared" si="2"/>
        <v>370</v>
      </c>
      <c r="P11" s="290">
        <f t="shared" si="3"/>
        <v>1850</v>
      </c>
      <c r="Q11" s="290">
        <f t="shared" si="4"/>
        <v>2220</v>
      </c>
    </row>
    <row r="12">
      <c r="A12" s="282" t="s">
        <v>16</v>
      </c>
      <c r="B12" s="283">
        <v>4320.0</v>
      </c>
      <c r="C12" s="284"/>
      <c r="D12" s="285">
        <v>0.0</v>
      </c>
      <c r="E12" s="282" t="s">
        <v>264</v>
      </c>
      <c r="F12" s="282" t="s">
        <v>265</v>
      </c>
      <c r="G12" s="286" t="s">
        <v>266</v>
      </c>
      <c r="H12" s="287"/>
      <c r="I12" s="288">
        <v>37398.0</v>
      </c>
      <c r="J12" s="288">
        <v>45096.0</v>
      </c>
      <c r="K12" s="289"/>
      <c r="L12" s="302">
        <f t="shared" si="1"/>
        <v>30</v>
      </c>
      <c r="M12" s="350">
        <v>45748.0</v>
      </c>
      <c r="N12" s="350">
        <v>45777.0</v>
      </c>
      <c r="O12" s="290">
        <f t="shared" si="2"/>
        <v>370</v>
      </c>
      <c r="P12" s="290">
        <f t="shared" si="3"/>
        <v>1850</v>
      </c>
      <c r="Q12" s="290">
        <f t="shared" si="4"/>
        <v>2220</v>
      </c>
    </row>
    <row r="13">
      <c r="A13" s="282" t="s">
        <v>16</v>
      </c>
      <c r="B13" s="283">
        <v>4320.0</v>
      </c>
      <c r="C13" s="284"/>
      <c r="D13" s="283">
        <v>0.0</v>
      </c>
      <c r="E13" s="282" t="s">
        <v>411</v>
      </c>
      <c r="F13" s="282" t="s">
        <v>412</v>
      </c>
      <c r="G13" s="286" t="s">
        <v>413</v>
      </c>
      <c r="H13" s="287"/>
      <c r="I13" s="288">
        <v>33230.0</v>
      </c>
      <c r="J13" s="288">
        <v>45453.0</v>
      </c>
      <c r="K13" s="289"/>
      <c r="L13" s="302">
        <f t="shared" si="1"/>
        <v>30</v>
      </c>
      <c r="M13" s="350">
        <v>45748.0</v>
      </c>
      <c r="N13" s="350">
        <v>45777.0</v>
      </c>
      <c r="O13" s="290">
        <f t="shared" si="2"/>
        <v>370</v>
      </c>
      <c r="P13" s="290">
        <f t="shared" si="3"/>
        <v>1850</v>
      </c>
      <c r="Q13" s="290">
        <f t="shared" si="4"/>
        <v>2220</v>
      </c>
    </row>
    <row r="14">
      <c r="A14" s="282" t="s">
        <v>16</v>
      </c>
      <c r="B14" s="283">
        <v>4320.0</v>
      </c>
      <c r="C14" s="289"/>
      <c r="D14" s="285">
        <v>0.0</v>
      </c>
      <c r="E14" s="291" t="s">
        <v>690</v>
      </c>
      <c r="F14" s="295" t="s">
        <v>770</v>
      </c>
      <c r="G14" s="286" t="s">
        <v>692</v>
      </c>
      <c r="H14" s="287"/>
      <c r="I14" s="288">
        <v>37137.0</v>
      </c>
      <c r="J14" s="288">
        <v>45691.0</v>
      </c>
      <c r="K14" s="296"/>
      <c r="L14" s="302">
        <f t="shared" si="1"/>
        <v>30</v>
      </c>
      <c r="M14" s="350">
        <v>45748.0</v>
      </c>
      <c r="N14" s="350">
        <v>45777.0</v>
      </c>
      <c r="O14" s="290">
        <f t="shared" si="2"/>
        <v>370</v>
      </c>
      <c r="P14" s="290">
        <f t="shared" si="3"/>
        <v>1850</v>
      </c>
      <c r="Q14" s="290">
        <f t="shared" si="4"/>
        <v>2220</v>
      </c>
    </row>
    <row r="15">
      <c r="A15" s="282" t="s">
        <v>16</v>
      </c>
      <c r="B15" s="283">
        <v>4320.0</v>
      </c>
      <c r="C15" s="289"/>
      <c r="D15" s="285">
        <v>0.0</v>
      </c>
      <c r="E15" s="291" t="s">
        <v>693</v>
      </c>
      <c r="F15" s="297" t="s">
        <v>694</v>
      </c>
      <c r="G15" s="289" t="s">
        <v>695</v>
      </c>
      <c r="H15" s="289"/>
      <c r="I15" s="293">
        <v>35599.0</v>
      </c>
      <c r="J15" s="288">
        <v>45712.0</v>
      </c>
      <c r="K15" s="289"/>
      <c r="L15" s="302">
        <f t="shared" si="1"/>
        <v>30</v>
      </c>
      <c r="M15" s="350">
        <v>45748.0</v>
      </c>
      <c r="N15" s="350">
        <v>45777.0</v>
      </c>
      <c r="O15" s="290">
        <f t="shared" si="2"/>
        <v>370</v>
      </c>
      <c r="P15" s="290">
        <f t="shared" si="3"/>
        <v>1850</v>
      </c>
      <c r="Q15" s="290">
        <f t="shared" si="4"/>
        <v>2220</v>
      </c>
    </row>
    <row r="16">
      <c r="A16" s="282" t="s">
        <v>16</v>
      </c>
      <c r="B16" s="283">
        <v>4320.0</v>
      </c>
      <c r="C16" s="284"/>
      <c r="D16" s="285">
        <v>0.0</v>
      </c>
      <c r="E16" s="282" t="s">
        <v>282</v>
      </c>
      <c r="F16" s="282" t="s">
        <v>283</v>
      </c>
      <c r="G16" s="286" t="s">
        <v>284</v>
      </c>
      <c r="H16" s="287"/>
      <c r="I16" s="294">
        <v>35047.0</v>
      </c>
      <c r="J16" s="288">
        <v>45257.0</v>
      </c>
      <c r="K16" s="289"/>
      <c r="L16" s="302">
        <f t="shared" si="1"/>
        <v>30</v>
      </c>
      <c r="M16" s="350">
        <v>45748.0</v>
      </c>
      <c r="N16" s="350">
        <v>45777.0</v>
      </c>
      <c r="O16" s="290">
        <f t="shared" si="2"/>
        <v>370</v>
      </c>
      <c r="P16" s="290">
        <f t="shared" si="3"/>
        <v>1850</v>
      </c>
      <c r="Q16" s="290">
        <f t="shared" si="4"/>
        <v>2220</v>
      </c>
    </row>
    <row r="17">
      <c r="A17" s="282" t="s">
        <v>16</v>
      </c>
      <c r="B17" s="283">
        <v>4320.0</v>
      </c>
      <c r="C17" s="284"/>
      <c r="D17" s="285">
        <v>0.0</v>
      </c>
      <c r="E17" s="282" t="s">
        <v>481</v>
      </c>
      <c r="F17" s="282" t="s">
        <v>531</v>
      </c>
      <c r="G17" s="286" t="s">
        <v>482</v>
      </c>
      <c r="H17" s="287"/>
      <c r="I17" s="288">
        <v>35096.0</v>
      </c>
      <c r="J17" s="288">
        <v>45602.0</v>
      </c>
      <c r="K17" s="289"/>
      <c r="L17" s="302">
        <f t="shared" si="1"/>
        <v>30</v>
      </c>
      <c r="M17" s="350">
        <v>45748.0</v>
      </c>
      <c r="N17" s="350">
        <v>45777.0</v>
      </c>
      <c r="O17" s="290">
        <f t="shared" si="2"/>
        <v>370</v>
      </c>
      <c r="P17" s="290">
        <f t="shared" si="3"/>
        <v>1850</v>
      </c>
      <c r="Q17" s="290">
        <f t="shared" si="4"/>
        <v>2220</v>
      </c>
    </row>
    <row r="18">
      <c r="A18" s="282" t="s">
        <v>16</v>
      </c>
      <c r="B18" s="283">
        <v>4320.0</v>
      </c>
      <c r="C18" s="284"/>
      <c r="D18" s="285">
        <v>0.0</v>
      </c>
      <c r="E18" s="282" t="s">
        <v>45</v>
      </c>
      <c r="F18" s="282" t="s">
        <v>46</v>
      </c>
      <c r="G18" s="286" t="s">
        <v>47</v>
      </c>
      <c r="H18" s="287"/>
      <c r="I18" s="288">
        <v>37370.0</v>
      </c>
      <c r="J18" s="288">
        <v>44739.0</v>
      </c>
      <c r="K18" s="289"/>
      <c r="L18" s="302">
        <f t="shared" si="1"/>
        <v>30</v>
      </c>
      <c r="M18" s="350">
        <v>45748.0</v>
      </c>
      <c r="N18" s="350">
        <v>45777.0</v>
      </c>
      <c r="O18" s="290">
        <f t="shared" si="2"/>
        <v>370</v>
      </c>
      <c r="P18" s="290">
        <f t="shared" si="3"/>
        <v>1850</v>
      </c>
      <c r="Q18" s="290">
        <f t="shared" si="4"/>
        <v>2220</v>
      </c>
    </row>
    <row r="19">
      <c r="A19" s="282" t="s">
        <v>16</v>
      </c>
      <c r="B19" s="283">
        <v>4320.0</v>
      </c>
      <c r="C19" s="284"/>
      <c r="D19" s="285">
        <v>0.0</v>
      </c>
      <c r="E19" s="282" t="s">
        <v>48</v>
      </c>
      <c r="F19" s="282" t="s">
        <v>49</v>
      </c>
      <c r="G19" s="286" t="s">
        <v>50</v>
      </c>
      <c r="H19" s="287"/>
      <c r="I19" s="288">
        <v>36399.0</v>
      </c>
      <c r="J19" s="294">
        <v>45229.0</v>
      </c>
      <c r="K19" s="289"/>
      <c r="L19" s="302">
        <f t="shared" si="1"/>
        <v>30</v>
      </c>
      <c r="M19" s="350">
        <v>45748.0</v>
      </c>
      <c r="N19" s="350">
        <v>45777.0</v>
      </c>
      <c r="O19" s="290">
        <f t="shared" si="2"/>
        <v>370</v>
      </c>
      <c r="P19" s="290">
        <f t="shared" si="3"/>
        <v>1850</v>
      </c>
      <c r="Q19" s="290">
        <f t="shared" si="4"/>
        <v>2220</v>
      </c>
    </row>
    <row r="20">
      <c r="A20" s="282" t="s">
        <v>16</v>
      </c>
      <c r="B20" s="283">
        <v>4320.0</v>
      </c>
      <c r="C20" s="284"/>
      <c r="D20" s="285">
        <v>0.0</v>
      </c>
      <c r="E20" s="282" t="s">
        <v>444</v>
      </c>
      <c r="F20" s="282" t="s">
        <v>320</v>
      </c>
      <c r="G20" s="286" t="s">
        <v>321</v>
      </c>
      <c r="H20" s="287"/>
      <c r="I20" s="288">
        <v>36360.0</v>
      </c>
      <c r="J20" s="288">
        <v>45355.0</v>
      </c>
      <c r="K20" s="289"/>
      <c r="L20" s="302">
        <f t="shared" si="1"/>
        <v>30</v>
      </c>
      <c r="M20" s="350">
        <v>45748.0</v>
      </c>
      <c r="N20" s="350">
        <v>45777.0</v>
      </c>
      <c r="O20" s="290">
        <f t="shared" si="2"/>
        <v>370</v>
      </c>
      <c r="P20" s="290">
        <f t="shared" si="3"/>
        <v>1850</v>
      </c>
      <c r="Q20" s="290">
        <f t="shared" si="4"/>
        <v>2220</v>
      </c>
    </row>
    <row r="21">
      <c r="A21" s="282" t="s">
        <v>16</v>
      </c>
      <c r="B21" s="283">
        <v>4320.0</v>
      </c>
      <c r="C21" s="284"/>
      <c r="D21" s="285">
        <v>0.0</v>
      </c>
      <c r="E21" s="282" t="s">
        <v>383</v>
      </c>
      <c r="F21" s="282" t="s">
        <v>384</v>
      </c>
      <c r="G21" s="286" t="s">
        <v>385</v>
      </c>
      <c r="H21" s="287"/>
      <c r="I21" s="294">
        <v>36183.0</v>
      </c>
      <c r="J21" s="288">
        <v>45418.0</v>
      </c>
      <c r="K21" s="289"/>
      <c r="L21" s="302">
        <f t="shared" si="1"/>
        <v>30</v>
      </c>
      <c r="M21" s="350">
        <v>45748.0</v>
      </c>
      <c r="N21" s="350">
        <v>45777.0</v>
      </c>
      <c r="O21" s="290">
        <f t="shared" si="2"/>
        <v>370</v>
      </c>
      <c r="P21" s="290">
        <f t="shared" si="3"/>
        <v>1850</v>
      </c>
      <c r="Q21" s="290">
        <f t="shared" si="4"/>
        <v>2220</v>
      </c>
    </row>
    <row r="22">
      <c r="A22" s="282" t="s">
        <v>16</v>
      </c>
      <c r="B22" s="283">
        <v>4320.0</v>
      </c>
      <c r="C22" s="284"/>
      <c r="D22" s="285">
        <v>0.0</v>
      </c>
      <c r="E22" s="282" t="s">
        <v>288</v>
      </c>
      <c r="F22" s="282" t="s">
        <v>289</v>
      </c>
      <c r="G22" s="286" t="s">
        <v>290</v>
      </c>
      <c r="H22" s="287"/>
      <c r="I22" s="288">
        <v>37047.0</v>
      </c>
      <c r="J22" s="288">
        <v>45257.0</v>
      </c>
      <c r="K22" s="289"/>
      <c r="L22" s="302">
        <f t="shared" si="1"/>
        <v>30</v>
      </c>
      <c r="M22" s="350">
        <v>45748.0</v>
      </c>
      <c r="N22" s="350">
        <v>45777.0</v>
      </c>
      <c r="O22" s="290">
        <f t="shared" si="2"/>
        <v>370</v>
      </c>
      <c r="P22" s="290">
        <f t="shared" si="3"/>
        <v>1850</v>
      </c>
      <c r="Q22" s="290">
        <f t="shared" si="4"/>
        <v>2220</v>
      </c>
    </row>
    <row r="23">
      <c r="A23" s="282" t="s">
        <v>16</v>
      </c>
      <c r="B23" s="283">
        <v>4320.0</v>
      </c>
      <c r="C23" s="284"/>
      <c r="D23" s="285">
        <v>0.0</v>
      </c>
      <c r="E23" s="282" t="s">
        <v>567</v>
      </c>
      <c r="F23" s="282" t="s">
        <v>568</v>
      </c>
      <c r="G23" s="286" t="s">
        <v>569</v>
      </c>
      <c r="H23" s="287"/>
      <c r="I23" s="288">
        <v>37962.0</v>
      </c>
      <c r="J23" s="288">
        <v>45677.0</v>
      </c>
      <c r="K23" s="381">
        <v>45777.0</v>
      </c>
      <c r="L23" s="302">
        <f t="shared" si="1"/>
        <v>30</v>
      </c>
      <c r="M23" s="350">
        <v>45748.0</v>
      </c>
      <c r="N23" s="350">
        <v>45777.0</v>
      </c>
      <c r="O23" s="290">
        <f t="shared" si="2"/>
        <v>370</v>
      </c>
      <c r="P23" s="290">
        <f t="shared" si="3"/>
        <v>1850</v>
      </c>
      <c r="Q23" s="290">
        <f t="shared" si="4"/>
        <v>2220</v>
      </c>
    </row>
    <row r="24">
      <c r="A24" s="282" t="s">
        <v>16</v>
      </c>
      <c r="B24" s="283">
        <v>4320.0</v>
      </c>
      <c r="C24" s="284"/>
      <c r="D24" s="285">
        <v>0.0</v>
      </c>
      <c r="E24" s="282" t="s">
        <v>51</v>
      </c>
      <c r="F24" s="282" t="s">
        <v>52</v>
      </c>
      <c r="G24" s="286" t="s">
        <v>53</v>
      </c>
      <c r="H24" s="287"/>
      <c r="I24" s="288">
        <v>34601.0</v>
      </c>
      <c r="J24" s="288">
        <v>44986.0</v>
      </c>
      <c r="K24" s="381">
        <v>45777.0</v>
      </c>
      <c r="L24" s="302">
        <f t="shared" si="1"/>
        <v>30</v>
      </c>
      <c r="M24" s="350">
        <v>45748.0</v>
      </c>
      <c r="N24" s="381">
        <v>45777.0</v>
      </c>
      <c r="O24" s="290">
        <f t="shared" si="2"/>
        <v>370</v>
      </c>
      <c r="P24" s="290">
        <f t="shared" si="3"/>
        <v>1850</v>
      </c>
      <c r="Q24" s="290">
        <f t="shared" si="4"/>
        <v>2220</v>
      </c>
    </row>
    <row r="25">
      <c r="A25" s="282" t="s">
        <v>16</v>
      </c>
      <c r="B25" s="283">
        <v>4320.0</v>
      </c>
      <c r="C25" s="284"/>
      <c r="D25" s="285">
        <v>0.0</v>
      </c>
      <c r="E25" s="298" t="s">
        <v>445</v>
      </c>
      <c r="F25" s="282" t="s">
        <v>510</v>
      </c>
      <c r="G25" s="286" t="s">
        <v>447</v>
      </c>
      <c r="H25" s="287"/>
      <c r="I25" s="288">
        <v>37047.0</v>
      </c>
      <c r="J25" s="288">
        <v>45505.0</v>
      </c>
      <c r="K25" s="289"/>
      <c r="L25" s="302">
        <f t="shared" si="1"/>
        <v>30</v>
      </c>
      <c r="M25" s="350">
        <v>45748.0</v>
      </c>
      <c r="N25" s="350">
        <v>45777.0</v>
      </c>
      <c r="O25" s="290">
        <f t="shared" si="2"/>
        <v>370</v>
      </c>
      <c r="P25" s="290">
        <f t="shared" si="3"/>
        <v>1850</v>
      </c>
      <c r="Q25" s="290">
        <f t="shared" si="4"/>
        <v>2220</v>
      </c>
    </row>
    <row r="26">
      <c r="A26" s="282" t="s">
        <v>16</v>
      </c>
      <c r="B26" s="283">
        <v>4320.0</v>
      </c>
      <c r="C26" s="284"/>
      <c r="D26" s="285">
        <v>0.0</v>
      </c>
      <c r="E26" s="282" t="s">
        <v>467</v>
      </c>
      <c r="F26" s="282" t="s">
        <v>511</v>
      </c>
      <c r="G26" s="286" t="s">
        <v>450</v>
      </c>
      <c r="H26" s="287"/>
      <c r="I26" s="288">
        <v>36682.0</v>
      </c>
      <c r="J26" s="288">
        <v>45505.0</v>
      </c>
      <c r="K26" s="289"/>
      <c r="L26" s="302">
        <f t="shared" si="1"/>
        <v>30</v>
      </c>
      <c r="M26" s="350">
        <v>45748.0</v>
      </c>
      <c r="N26" s="350">
        <v>45777.0</v>
      </c>
      <c r="O26" s="290">
        <f t="shared" si="2"/>
        <v>370</v>
      </c>
      <c r="P26" s="290">
        <f t="shared" si="3"/>
        <v>1850</v>
      </c>
      <c r="Q26" s="290">
        <f t="shared" si="4"/>
        <v>2220</v>
      </c>
    </row>
    <row r="27">
      <c r="A27" s="282" t="s">
        <v>16</v>
      </c>
      <c r="B27" s="283">
        <v>4320.0</v>
      </c>
      <c r="C27" s="284"/>
      <c r="D27" s="285">
        <v>0.0</v>
      </c>
      <c r="E27" s="282" t="s">
        <v>503</v>
      </c>
      <c r="F27" s="282" t="s">
        <v>542</v>
      </c>
      <c r="G27" s="286" t="s">
        <v>504</v>
      </c>
      <c r="H27" s="287"/>
      <c r="I27" s="288">
        <v>37422.0</v>
      </c>
      <c r="J27" s="294">
        <v>45635.0</v>
      </c>
      <c r="K27" s="289"/>
      <c r="L27" s="302">
        <f t="shared" si="1"/>
        <v>30</v>
      </c>
      <c r="M27" s="350">
        <v>45748.0</v>
      </c>
      <c r="N27" s="350">
        <v>45777.0</v>
      </c>
      <c r="O27" s="290">
        <f t="shared" si="2"/>
        <v>370</v>
      </c>
      <c r="P27" s="290">
        <f t="shared" si="3"/>
        <v>1850</v>
      </c>
      <c r="Q27" s="290">
        <f t="shared" si="4"/>
        <v>2220</v>
      </c>
    </row>
    <row r="28">
      <c r="A28" s="282" t="s">
        <v>16</v>
      </c>
      <c r="B28" s="283">
        <v>4320.0</v>
      </c>
      <c r="C28" s="284"/>
      <c r="D28" s="285">
        <v>0.0</v>
      </c>
      <c r="E28" s="282" t="s">
        <v>497</v>
      </c>
      <c r="F28" s="282" t="s">
        <v>539</v>
      </c>
      <c r="G28" s="286" t="s">
        <v>498</v>
      </c>
      <c r="H28" s="287"/>
      <c r="I28" s="294">
        <v>37026.0</v>
      </c>
      <c r="J28" s="288">
        <v>45628.0</v>
      </c>
      <c r="K28" s="387">
        <v>45758.0</v>
      </c>
      <c r="L28" s="302">
        <f t="shared" si="1"/>
        <v>11</v>
      </c>
      <c r="M28" s="350">
        <v>45748.0</v>
      </c>
      <c r="N28" s="388">
        <v>45758.0</v>
      </c>
      <c r="O28" s="290">
        <f t="shared" si="2"/>
        <v>136</v>
      </c>
      <c r="P28" s="290">
        <f t="shared" si="3"/>
        <v>680</v>
      </c>
      <c r="Q28" s="290">
        <f t="shared" si="4"/>
        <v>816</v>
      </c>
    </row>
    <row r="29">
      <c r="A29" s="282" t="s">
        <v>16</v>
      </c>
      <c r="B29" s="283">
        <v>4320.0</v>
      </c>
      <c r="C29" s="284"/>
      <c r="D29" s="285">
        <v>0.0</v>
      </c>
      <c r="E29" s="282" t="s">
        <v>291</v>
      </c>
      <c r="F29" s="282" t="s">
        <v>292</v>
      </c>
      <c r="G29" s="286" t="s">
        <v>293</v>
      </c>
      <c r="H29" s="287"/>
      <c r="I29" s="288">
        <v>37219.0</v>
      </c>
      <c r="J29" s="288">
        <v>45257.0</v>
      </c>
      <c r="K29" s="289"/>
      <c r="L29" s="302">
        <f t="shared" si="1"/>
        <v>30</v>
      </c>
      <c r="M29" s="350">
        <v>45748.0</v>
      </c>
      <c r="N29" s="350">
        <v>45777.0</v>
      </c>
      <c r="O29" s="290">
        <f t="shared" si="2"/>
        <v>370</v>
      </c>
      <c r="P29" s="290">
        <f t="shared" si="3"/>
        <v>1850</v>
      </c>
      <c r="Q29" s="290">
        <f t="shared" si="4"/>
        <v>2220</v>
      </c>
    </row>
    <row r="30">
      <c r="A30" s="282" t="s">
        <v>16</v>
      </c>
      <c r="B30" s="283">
        <v>4320.0</v>
      </c>
      <c r="C30" s="284"/>
      <c r="D30" s="285">
        <v>0.0</v>
      </c>
      <c r="E30" s="282" t="s">
        <v>594</v>
      </c>
      <c r="F30" s="282" t="s">
        <v>595</v>
      </c>
      <c r="G30" s="286" t="s">
        <v>596</v>
      </c>
      <c r="H30" s="287"/>
      <c r="I30" s="288">
        <v>37809.0</v>
      </c>
      <c r="J30" s="288">
        <v>45684.0</v>
      </c>
      <c r="K30" s="289"/>
      <c r="L30" s="302">
        <f t="shared" si="1"/>
        <v>30</v>
      </c>
      <c r="M30" s="350">
        <v>45748.0</v>
      </c>
      <c r="N30" s="350">
        <v>45777.0</v>
      </c>
      <c r="O30" s="290">
        <f t="shared" si="2"/>
        <v>370</v>
      </c>
      <c r="P30" s="290">
        <f t="shared" si="3"/>
        <v>1850</v>
      </c>
      <c r="Q30" s="290">
        <f t="shared" si="4"/>
        <v>2220</v>
      </c>
    </row>
    <row r="31">
      <c r="A31" s="282" t="s">
        <v>16</v>
      </c>
      <c r="B31" s="283">
        <v>4320.0</v>
      </c>
      <c r="C31" s="284"/>
      <c r="D31" s="285">
        <v>0.0</v>
      </c>
      <c r="E31" s="282" t="s">
        <v>60</v>
      </c>
      <c r="F31" s="282" t="s">
        <v>61</v>
      </c>
      <c r="G31" s="286" t="s">
        <v>62</v>
      </c>
      <c r="H31" s="287"/>
      <c r="I31" s="288">
        <v>36246.0</v>
      </c>
      <c r="J31" s="288">
        <v>44851.0</v>
      </c>
      <c r="K31" s="289"/>
      <c r="L31" s="302">
        <f t="shared" si="1"/>
        <v>30</v>
      </c>
      <c r="M31" s="350">
        <v>45748.0</v>
      </c>
      <c r="N31" s="350">
        <v>45777.0</v>
      </c>
      <c r="O31" s="290">
        <f t="shared" si="2"/>
        <v>370</v>
      </c>
      <c r="P31" s="290">
        <f t="shared" si="3"/>
        <v>1850</v>
      </c>
      <c r="Q31" s="290">
        <f t="shared" si="4"/>
        <v>2220</v>
      </c>
    </row>
    <row r="32">
      <c r="A32" s="282" t="s">
        <v>16</v>
      </c>
      <c r="B32" s="283">
        <v>4320.0</v>
      </c>
      <c r="C32" s="284"/>
      <c r="D32" s="285">
        <v>0.0</v>
      </c>
      <c r="E32" s="282" t="s">
        <v>63</v>
      </c>
      <c r="F32" s="282" t="s">
        <v>64</v>
      </c>
      <c r="G32" s="286" t="s">
        <v>65</v>
      </c>
      <c r="H32" s="287"/>
      <c r="I32" s="288">
        <v>35606.0</v>
      </c>
      <c r="J32" s="288">
        <v>44896.0</v>
      </c>
      <c r="K32" s="289"/>
      <c r="L32" s="302">
        <f t="shared" si="1"/>
        <v>30</v>
      </c>
      <c r="M32" s="350">
        <v>45748.0</v>
      </c>
      <c r="N32" s="350">
        <v>45777.0</v>
      </c>
      <c r="O32" s="290">
        <f t="shared" si="2"/>
        <v>370</v>
      </c>
      <c r="P32" s="290">
        <f t="shared" si="3"/>
        <v>1850</v>
      </c>
      <c r="Q32" s="290">
        <f t="shared" si="4"/>
        <v>2220</v>
      </c>
    </row>
    <row r="33">
      <c r="A33" s="282" t="s">
        <v>16</v>
      </c>
      <c r="B33" s="283">
        <v>4320.0</v>
      </c>
      <c r="C33" s="284"/>
      <c r="D33" s="285">
        <v>0.0</v>
      </c>
      <c r="E33" s="282" t="s">
        <v>63</v>
      </c>
      <c r="F33" s="282" t="s">
        <v>543</v>
      </c>
      <c r="G33" s="286" t="s">
        <v>505</v>
      </c>
      <c r="H33" s="287"/>
      <c r="I33" s="288">
        <v>36725.0</v>
      </c>
      <c r="J33" s="288">
        <v>45635.0</v>
      </c>
      <c r="K33" s="289"/>
      <c r="L33" s="302">
        <f t="shared" si="1"/>
        <v>30</v>
      </c>
      <c r="M33" s="350">
        <v>45748.0</v>
      </c>
      <c r="N33" s="350">
        <v>45777.0</v>
      </c>
      <c r="O33" s="290">
        <f t="shared" si="2"/>
        <v>370</v>
      </c>
      <c r="P33" s="290">
        <f t="shared" si="3"/>
        <v>1850</v>
      </c>
      <c r="Q33" s="290">
        <f t="shared" si="4"/>
        <v>2220</v>
      </c>
    </row>
    <row r="34">
      <c r="A34" s="282" t="s">
        <v>16</v>
      </c>
      <c r="B34" s="283">
        <v>4320.0</v>
      </c>
      <c r="C34" s="284"/>
      <c r="D34" s="285">
        <v>0.0</v>
      </c>
      <c r="E34" s="298" t="s">
        <v>591</v>
      </c>
      <c r="F34" s="282" t="s">
        <v>592</v>
      </c>
      <c r="G34" s="286" t="s">
        <v>593</v>
      </c>
      <c r="H34" s="287"/>
      <c r="I34" s="288">
        <v>37041.0</v>
      </c>
      <c r="J34" s="288">
        <v>45684.0</v>
      </c>
      <c r="K34" s="289"/>
      <c r="L34" s="302">
        <f t="shared" si="1"/>
        <v>30</v>
      </c>
      <c r="M34" s="350">
        <v>45748.0</v>
      </c>
      <c r="N34" s="350">
        <v>45777.0</v>
      </c>
      <c r="O34" s="290">
        <f t="shared" si="2"/>
        <v>370</v>
      </c>
      <c r="P34" s="290">
        <f t="shared" si="3"/>
        <v>1850</v>
      </c>
      <c r="Q34" s="290">
        <f t="shared" si="4"/>
        <v>2220</v>
      </c>
    </row>
    <row r="35">
      <c r="A35" s="282" t="s">
        <v>16</v>
      </c>
      <c r="B35" s="283">
        <v>4320.0</v>
      </c>
      <c r="C35" s="284"/>
      <c r="D35" s="285">
        <v>0.0</v>
      </c>
      <c r="E35" s="282" t="s">
        <v>597</v>
      </c>
      <c r="F35" s="282" t="s">
        <v>598</v>
      </c>
      <c r="G35" s="286" t="s">
        <v>599</v>
      </c>
      <c r="H35" s="287"/>
      <c r="I35" s="288">
        <v>37265.0</v>
      </c>
      <c r="J35" s="288">
        <v>45684.0</v>
      </c>
      <c r="K35" s="289"/>
      <c r="L35" s="302">
        <f t="shared" si="1"/>
        <v>30</v>
      </c>
      <c r="M35" s="350">
        <v>45748.0</v>
      </c>
      <c r="N35" s="350">
        <v>45777.0</v>
      </c>
      <c r="O35" s="290">
        <f t="shared" si="2"/>
        <v>370</v>
      </c>
      <c r="P35" s="290">
        <f t="shared" si="3"/>
        <v>1850</v>
      </c>
      <c r="Q35" s="290">
        <f t="shared" si="4"/>
        <v>2220</v>
      </c>
    </row>
    <row r="36">
      <c r="A36" s="282" t="s">
        <v>16</v>
      </c>
      <c r="B36" s="283">
        <v>4320.0</v>
      </c>
      <c r="C36" s="284"/>
      <c r="D36" s="285">
        <v>0.0</v>
      </c>
      <c r="E36" s="282" t="s">
        <v>267</v>
      </c>
      <c r="F36" s="282" t="s">
        <v>268</v>
      </c>
      <c r="G36" s="286" t="s">
        <v>269</v>
      </c>
      <c r="H36" s="287"/>
      <c r="I36" s="288">
        <v>34590.0</v>
      </c>
      <c r="J36" s="288">
        <v>45313.0</v>
      </c>
      <c r="K36" s="289"/>
      <c r="L36" s="302">
        <f t="shared" si="1"/>
        <v>30</v>
      </c>
      <c r="M36" s="350">
        <v>45748.0</v>
      </c>
      <c r="N36" s="350">
        <v>45777.0</v>
      </c>
      <c r="O36" s="290">
        <f t="shared" si="2"/>
        <v>370</v>
      </c>
      <c r="P36" s="290">
        <f t="shared" si="3"/>
        <v>1850</v>
      </c>
      <c r="Q36" s="290">
        <f t="shared" si="4"/>
        <v>2220</v>
      </c>
    </row>
    <row r="37">
      <c r="A37" s="282" t="s">
        <v>16</v>
      </c>
      <c r="B37" s="283">
        <v>4320.0</v>
      </c>
      <c r="C37" s="284"/>
      <c r="D37" s="285">
        <v>0.0</v>
      </c>
      <c r="E37" s="282" t="s">
        <v>69</v>
      </c>
      <c r="F37" s="282" t="s">
        <v>70</v>
      </c>
      <c r="G37" s="286" t="s">
        <v>71</v>
      </c>
      <c r="H37" s="287"/>
      <c r="I37" s="288">
        <v>36891.0</v>
      </c>
      <c r="J37" s="288">
        <v>44739.0</v>
      </c>
      <c r="K37" s="289"/>
      <c r="L37" s="302">
        <f t="shared" si="1"/>
        <v>30</v>
      </c>
      <c r="M37" s="350">
        <v>45748.0</v>
      </c>
      <c r="N37" s="350">
        <v>45777.0</v>
      </c>
      <c r="O37" s="290">
        <f t="shared" si="2"/>
        <v>370</v>
      </c>
      <c r="P37" s="290">
        <f t="shared" si="3"/>
        <v>1850</v>
      </c>
      <c r="Q37" s="290">
        <f t="shared" si="4"/>
        <v>2220</v>
      </c>
    </row>
    <row r="38">
      <c r="A38" s="282" t="s">
        <v>16</v>
      </c>
      <c r="B38" s="283">
        <v>4320.0</v>
      </c>
      <c r="C38" s="284"/>
      <c r="D38" s="285">
        <v>0.0</v>
      </c>
      <c r="E38" s="282" t="s">
        <v>468</v>
      </c>
      <c r="F38" s="282" t="s">
        <v>527</v>
      </c>
      <c r="G38" s="286" t="s">
        <v>469</v>
      </c>
      <c r="H38" s="287"/>
      <c r="I38" s="288">
        <v>35986.0</v>
      </c>
      <c r="J38" s="288">
        <v>45537.0</v>
      </c>
      <c r="K38" s="289"/>
      <c r="L38" s="302">
        <f t="shared" si="1"/>
        <v>30</v>
      </c>
      <c r="M38" s="350">
        <v>45748.0</v>
      </c>
      <c r="N38" s="350">
        <v>45777.0</v>
      </c>
      <c r="O38" s="290">
        <f t="shared" si="2"/>
        <v>370</v>
      </c>
      <c r="P38" s="290">
        <f t="shared" si="3"/>
        <v>1850</v>
      </c>
      <c r="Q38" s="290">
        <f t="shared" si="4"/>
        <v>2220</v>
      </c>
    </row>
    <row r="39">
      <c r="A39" s="282" t="s">
        <v>16</v>
      </c>
      <c r="B39" s="283">
        <v>4320.0</v>
      </c>
      <c r="C39" s="284"/>
      <c r="D39" s="285">
        <v>0.0</v>
      </c>
      <c r="E39" s="282" t="s">
        <v>78</v>
      </c>
      <c r="F39" s="282" t="s">
        <v>79</v>
      </c>
      <c r="G39" s="286" t="s">
        <v>80</v>
      </c>
      <c r="H39" s="287"/>
      <c r="I39" s="288">
        <v>36401.0</v>
      </c>
      <c r="J39" s="288">
        <v>45096.0</v>
      </c>
      <c r="K39" s="289"/>
      <c r="L39" s="302">
        <f t="shared" si="1"/>
        <v>30</v>
      </c>
      <c r="M39" s="350">
        <v>45748.0</v>
      </c>
      <c r="N39" s="350">
        <v>45777.0</v>
      </c>
      <c r="O39" s="290">
        <f t="shared" si="2"/>
        <v>370</v>
      </c>
      <c r="P39" s="290">
        <f t="shared" si="3"/>
        <v>1850</v>
      </c>
      <c r="Q39" s="290">
        <f t="shared" si="4"/>
        <v>2220</v>
      </c>
    </row>
    <row r="40">
      <c r="A40" s="282" t="s">
        <v>16</v>
      </c>
      <c r="B40" s="283">
        <v>4320.0</v>
      </c>
      <c r="C40" s="284"/>
      <c r="D40" s="285">
        <v>0.0</v>
      </c>
      <c r="E40" s="282" t="s">
        <v>555</v>
      </c>
      <c r="F40" s="282" t="s">
        <v>556</v>
      </c>
      <c r="G40" s="286" t="s">
        <v>557</v>
      </c>
      <c r="H40" s="287"/>
      <c r="I40" s="294">
        <v>36135.0</v>
      </c>
      <c r="J40" s="288">
        <v>45663.0</v>
      </c>
      <c r="K40" s="289"/>
      <c r="L40" s="302">
        <f t="shared" si="1"/>
        <v>30</v>
      </c>
      <c r="M40" s="350">
        <v>45748.0</v>
      </c>
      <c r="N40" s="350">
        <v>45777.0</v>
      </c>
      <c r="O40" s="290">
        <f t="shared" si="2"/>
        <v>370</v>
      </c>
      <c r="P40" s="290">
        <f t="shared" si="3"/>
        <v>1850</v>
      </c>
      <c r="Q40" s="290">
        <f t="shared" si="4"/>
        <v>2220</v>
      </c>
    </row>
    <row r="41">
      <c r="A41" s="299" t="s">
        <v>16</v>
      </c>
      <c r="B41" s="300">
        <v>4320.0</v>
      </c>
      <c r="C41" s="284"/>
      <c r="D41" s="301">
        <v>0.0</v>
      </c>
      <c r="E41" s="282" t="s">
        <v>485</v>
      </c>
      <c r="F41" s="282" t="s">
        <v>535</v>
      </c>
      <c r="G41" s="286" t="s">
        <v>486</v>
      </c>
      <c r="H41" s="287"/>
      <c r="I41" s="288">
        <v>36994.0</v>
      </c>
      <c r="J41" s="288">
        <v>45602.0</v>
      </c>
      <c r="K41" s="289"/>
      <c r="L41" s="302">
        <f t="shared" si="1"/>
        <v>30</v>
      </c>
      <c r="M41" s="350">
        <v>45748.0</v>
      </c>
      <c r="N41" s="350">
        <v>45777.0</v>
      </c>
      <c r="O41" s="290">
        <f t="shared" si="2"/>
        <v>370</v>
      </c>
      <c r="P41" s="290">
        <f t="shared" si="3"/>
        <v>1850</v>
      </c>
      <c r="Q41" s="290">
        <f t="shared" si="4"/>
        <v>2220</v>
      </c>
    </row>
    <row r="42">
      <c r="A42" s="299" t="s">
        <v>16</v>
      </c>
      <c r="B42" s="300">
        <v>4320.0</v>
      </c>
      <c r="C42" s="284"/>
      <c r="D42" s="301">
        <v>0.0</v>
      </c>
      <c r="E42" s="298" t="s">
        <v>331</v>
      </c>
      <c r="F42" s="282" t="s">
        <v>332</v>
      </c>
      <c r="G42" s="286" t="s">
        <v>333</v>
      </c>
      <c r="H42" s="287"/>
      <c r="I42" s="288">
        <v>37958.0</v>
      </c>
      <c r="J42" s="288">
        <v>45369.0</v>
      </c>
      <c r="K42" s="289"/>
      <c r="L42" s="302">
        <f t="shared" si="1"/>
        <v>30</v>
      </c>
      <c r="M42" s="350">
        <v>45748.0</v>
      </c>
      <c r="N42" s="350">
        <v>45777.0</v>
      </c>
      <c r="O42" s="290">
        <f t="shared" si="2"/>
        <v>370</v>
      </c>
      <c r="P42" s="290">
        <f t="shared" si="3"/>
        <v>1850</v>
      </c>
      <c r="Q42" s="290">
        <f t="shared" si="4"/>
        <v>2220</v>
      </c>
    </row>
    <row r="43">
      <c r="A43" s="282" t="s">
        <v>16</v>
      </c>
      <c r="B43" s="283">
        <v>4320.0</v>
      </c>
      <c r="C43" s="284"/>
      <c r="D43" s="301">
        <v>0.0</v>
      </c>
      <c r="E43" s="282" t="s">
        <v>392</v>
      </c>
      <c r="F43" s="282" t="s">
        <v>393</v>
      </c>
      <c r="G43" s="286" t="s">
        <v>394</v>
      </c>
      <c r="H43" s="287"/>
      <c r="I43" s="288">
        <v>34922.0</v>
      </c>
      <c r="J43" s="294">
        <v>45418.0</v>
      </c>
      <c r="K43" s="289"/>
      <c r="L43" s="302">
        <f t="shared" si="1"/>
        <v>30</v>
      </c>
      <c r="M43" s="350">
        <v>45748.0</v>
      </c>
      <c r="N43" s="350">
        <v>45777.0</v>
      </c>
      <c r="O43" s="290">
        <f t="shared" si="2"/>
        <v>370</v>
      </c>
      <c r="P43" s="290">
        <f t="shared" si="3"/>
        <v>1850</v>
      </c>
      <c r="Q43" s="290">
        <f t="shared" si="4"/>
        <v>2220</v>
      </c>
    </row>
    <row r="44">
      <c r="A44" s="282" t="s">
        <v>16</v>
      </c>
      <c r="B44" s="283">
        <v>4320.0</v>
      </c>
      <c r="C44" s="289"/>
      <c r="D44" s="285">
        <v>0.0</v>
      </c>
      <c r="E44" s="291" t="s">
        <v>696</v>
      </c>
      <c r="F44" s="292" t="s">
        <v>771</v>
      </c>
      <c r="G44" s="289" t="s">
        <v>698</v>
      </c>
      <c r="H44" s="289"/>
      <c r="I44" s="293">
        <v>36474.0</v>
      </c>
      <c r="J44" s="288">
        <v>45698.0</v>
      </c>
      <c r="K44" s="289"/>
      <c r="L44" s="302">
        <f t="shared" si="1"/>
        <v>30</v>
      </c>
      <c r="M44" s="350">
        <v>45748.0</v>
      </c>
      <c r="N44" s="350">
        <v>45777.0</v>
      </c>
      <c r="O44" s="290">
        <f t="shared" si="2"/>
        <v>370</v>
      </c>
      <c r="P44" s="290">
        <f t="shared" si="3"/>
        <v>1850</v>
      </c>
      <c r="Q44" s="290">
        <f t="shared" si="4"/>
        <v>2220</v>
      </c>
    </row>
    <row r="45">
      <c r="A45" s="282" t="s">
        <v>16</v>
      </c>
      <c r="B45" s="283">
        <v>4320.0</v>
      </c>
      <c r="C45" s="289"/>
      <c r="D45" s="285">
        <v>0.0</v>
      </c>
      <c r="E45" s="303" t="s">
        <v>699</v>
      </c>
      <c r="F45" s="304" t="s">
        <v>772</v>
      </c>
      <c r="G45" s="289" t="s">
        <v>701</v>
      </c>
      <c r="H45" s="289"/>
      <c r="I45" s="293">
        <v>36474.0</v>
      </c>
      <c r="J45" s="288">
        <v>45698.0</v>
      </c>
      <c r="K45" s="289"/>
      <c r="L45" s="302">
        <f t="shared" si="1"/>
        <v>30</v>
      </c>
      <c r="M45" s="350">
        <v>45748.0</v>
      </c>
      <c r="N45" s="350">
        <v>45777.0</v>
      </c>
      <c r="O45" s="290">
        <f t="shared" si="2"/>
        <v>370</v>
      </c>
      <c r="P45" s="290">
        <f t="shared" si="3"/>
        <v>1850</v>
      </c>
      <c r="Q45" s="290">
        <f t="shared" si="4"/>
        <v>2220</v>
      </c>
    </row>
    <row r="46">
      <c r="A46" s="282" t="s">
        <v>16</v>
      </c>
      <c r="B46" s="283">
        <v>4320.0</v>
      </c>
      <c r="C46" s="284"/>
      <c r="D46" s="301">
        <v>0.0</v>
      </c>
      <c r="E46" s="282" t="s">
        <v>576</v>
      </c>
      <c r="F46" s="282" t="s">
        <v>577</v>
      </c>
      <c r="G46" s="286" t="s">
        <v>578</v>
      </c>
      <c r="H46" s="287"/>
      <c r="I46" s="288">
        <v>37944.0</v>
      </c>
      <c r="J46" s="288">
        <v>45677.0</v>
      </c>
      <c r="K46" s="289"/>
      <c r="L46" s="302">
        <f t="shared" si="1"/>
        <v>30</v>
      </c>
      <c r="M46" s="350">
        <v>45748.0</v>
      </c>
      <c r="N46" s="350">
        <v>45777.0</v>
      </c>
      <c r="O46" s="290">
        <f t="shared" si="2"/>
        <v>370</v>
      </c>
      <c r="P46" s="290">
        <f t="shared" si="3"/>
        <v>1850</v>
      </c>
      <c r="Q46" s="290">
        <f t="shared" si="4"/>
        <v>2220</v>
      </c>
    </row>
    <row r="47">
      <c r="A47" s="282" t="s">
        <v>16</v>
      </c>
      <c r="B47" s="283">
        <v>4320.0</v>
      </c>
      <c r="C47" s="284"/>
      <c r="D47" s="301">
        <v>0.0</v>
      </c>
      <c r="E47" s="282" t="s">
        <v>546</v>
      </c>
      <c r="F47" s="282" t="s">
        <v>547</v>
      </c>
      <c r="G47" s="286" t="s">
        <v>548</v>
      </c>
      <c r="H47" s="287"/>
      <c r="I47" s="288">
        <v>38255.0</v>
      </c>
      <c r="J47" s="288">
        <v>45658.0</v>
      </c>
      <c r="K47" s="289"/>
      <c r="L47" s="302">
        <f t="shared" si="1"/>
        <v>30</v>
      </c>
      <c r="M47" s="350">
        <v>45748.0</v>
      </c>
      <c r="N47" s="350">
        <v>45777.0</v>
      </c>
      <c r="O47" s="290">
        <f t="shared" si="2"/>
        <v>370</v>
      </c>
      <c r="P47" s="290">
        <f t="shared" si="3"/>
        <v>1850</v>
      </c>
      <c r="Q47" s="290">
        <f t="shared" si="4"/>
        <v>2220</v>
      </c>
    </row>
    <row r="48">
      <c r="A48" s="299" t="s">
        <v>16</v>
      </c>
      <c r="B48" s="300">
        <v>4320.0</v>
      </c>
      <c r="C48" s="284"/>
      <c r="D48" s="305">
        <v>0.0</v>
      </c>
      <c r="E48" s="282" t="s">
        <v>501</v>
      </c>
      <c r="F48" s="282" t="s">
        <v>541</v>
      </c>
      <c r="G48" s="286" t="s">
        <v>502</v>
      </c>
      <c r="H48" s="287"/>
      <c r="I48" s="288">
        <v>36062.0</v>
      </c>
      <c r="J48" s="288">
        <v>45628.0</v>
      </c>
      <c r="K48" s="289"/>
      <c r="L48" s="302">
        <f t="shared" si="1"/>
        <v>30</v>
      </c>
      <c r="M48" s="350">
        <v>45748.0</v>
      </c>
      <c r="N48" s="350">
        <v>45777.0</v>
      </c>
      <c r="O48" s="290">
        <f t="shared" si="2"/>
        <v>370</v>
      </c>
      <c r="P48" s="290">
        <f t="shared" si="3"/>
        <v>1850</v>
      </c>
      <c r="Q48" s="290">
        <f t="shared" si="4"/>
        <v>2220</v>
      </c>
    </row>
    <row r="49">
      <c r="A49" s="282" t="s">
        <v>16</v>
      </c>
      <c r="B49" s="283">
        <v>4320.0</v>
      </c>
      <c r="C49" s="284"/>
      <c r="D49" s="305">
        <v>0.0</v>
      </c>
      <c r="E49" s="282" t="s">
        <v>451</v>
      </c>
      <c r="F49" s="282" t="s">
        <v>512</v>
      </c>
      <c r="G49" s="286" t="s">
        <v>415</v>
      </c>
      <c r="H49" s="287"/>
      <c r="I49" s="288">
        <v>36443.0</v>
      </c>
      <c r="J49" s="288">
        <v>45446.0</v>
      </c>
      <c r="K49" s="289"/>
      <c r="L49" s="302">
        <f t="shared" si="1"/>
        <v>30</v>
      </c>
      <c r="M49" s="350">
        <v>45748.0</v>
      </c>
      <c r="N49" s="350">
        <v>45777.0</v>
      </c>
      <c r="O49" s="290">
        <f t="shared" si="2"/>
        <v>370</v>
      </c>
      <c r="P49" s="290">
        <f t="shared" si="3"/>
        <v>1850</v>
      </c>
      <c r="Q49" s="290">
        <f t="shared" si="4"/>
        <v>2220</v>
      </c>
    </row>
    <row r="50">
      <c r="A50" s="282" t="s">
        <v>16</v>
      </c>
      <c r="B50" s="283">
        <v>4320.0</v>
      </c>
      <c r="C50" s="284"/>
      <c r="D50" s="305">
        <v>0.0</v>
      </c>
      <c r="E50" s="282" t="s">
        <v>573</v>
      </c>
      <c r="F50" s="282" t="s">
        <v>574</v>
      </c>
      <c r="G50" s="286" t="s">
        <v>575</v>
      </c>
      <c r="H50" s="287"/>
      <c r="I50" s="288">
        <v>36061.0</v>
      </c>
      <c r="J50" s="288">
        <v>45677.0</v>
      </c>
      <c r="K50" s="289"/>
      <c r="L50" s="302">
        <f t="shared" si="1"/>
        <v>30</v>
      </c>
      <c r="M50" s="350">
        <v>45748.0</v>
      </c>
      <c r="N50" s="350">
        <v>45777.0</v>
      </c>
      <c r="O50" s="290">
        <f t="shared" si="2"/>
        <v>370</v>
      </c>
      <c r="P50" s="290">
        <f t="shared" si="3"/>
        <v>1850</v>
      </c>
      <c r="Q50" s="290">
        <f t="shared" si="4"/>
        <v>2220</v>
      </c>
    </row>
    <row r="51">
      <c r="A51" s="282" t="s">
        <v>16</v>
      </c>
      <c r="B51" s="283">
        <v>4320.0</v>
      </c>
      <c r="C51" s="284"/>
      <c r="D51" s="301">
        <v>0.0</v>
      </c>
      <c r="E51" s="282" t="s">
        <v>579</v>
      </c>
      <c r="F51" s="282" t="s">
        <v>580</v>
      </c>
      <c r="G51" s="286" t="s">
        <v>581</v>
      </c>
      <c r="H51" s="287"/>
      <c r="I51" s="288">
        <v>37609.0</v>
      </c>
      <c r="J51" s="288">
        <v>45677.0</v>
      </c>
      <c r="K51" s="289"/>
      <c r="L51" s="302">
        <f t="shared" si="1"/>
        <v>30</v>
      </c>
      <c r="M51" s="350">
        <v>45748.0</v>
      </c>
      <c r="N51" s="350">
        <v>45777.0</v>
      </c>
      <c r="O51" s="290">
        <f t="shared" si="2"/>
        <v>370</v>
      </c>
      <c r="P51" s="290">
        <f t="shared" si="3"/>
        <v>1850</v>
      </c>
      <c r="Q51" s="290">
        <f t="shared" si="4"/>
        <v>2220</v>
      </c>
    </row>
    <row r="52">
      <c r="A52" s="282" t="s">
        <v>16</v>
      </c>
      <c r="B52" s="283">
        <v>4320.0</v>
      </c>
      <c r="C52" s="284"/>
      <c r="D52" s="301">
        <v>0.0</v>
      </c>
      <c r="E52" s="282" t="s">
        <v>476</v>
      </c>
      <c r="F52" s="282" t="s">
        <v>529</v>
      </c>
      <c r="G52" s="286" t="s">
        <v>477</v>
      </c>
      <c r="H52" s="287"/>
      <c r="I52" s="288">
        <v>37220.0</v>
      </c>
      <c r="J52" s="288">
        <v>45572.0</v>
      </c>
      <c r="K52" s="289"/>
      <c r="L52" s="302">
        <f t="shared" si="1"/>
        <v>30</v>
      </c>
      <c r="M52" s="350">
        <v>45748.0</v>
      </c>
      <c r="N52" s="350">
        <v>45777.0</v>
      </c>
      <c r="O52" s="290">
        <f t="shared" si="2"/>
        <v>370</v>
      </c>
      <c r="P52" s="290">
        <f t="shared" si="3"/>
        <v>1850</v>
      </c>
      <c r="Q52" s="290">
        <f t="shared" si="4"/>
        <v>2220</v>
      </c>
    </row>
    <row r="53">
      <c r="A53" s="282" t="s">
        <v>16</v>
      </c>
      <c r="B53" s="283">
        <v>4320.0</v>
      </c>
      <c r="C53" s="284"/>
      <c r="D53" s="301">
        <v>0.0</v>
      </c>
      <c r="E53" s="282" t="s">
        <v>102</v>
      </c>
      <c r="F53" s="282" t="s">
        <v>103</v>
      </c>
      <c r="G53" s="286" t="s">
        <v>104</v>
      </c>
      <c r="H53" s="287"/>
      <c r="I53" s="288">
        <v>33240.0</v>
      </c>
      <c r="J53" s="288">
        <v>44287.0</v>
      </c>
      <c r="K53" s="289"/>
      <c r="L53" s="302">
        <f t="shared" si="1"/>
        <v>30</v>
      </c>
      <c r="M53" s="350">
        <v>45748.0</v>
      </c>
      <c r="N53" s="350">
        <v>45777.0</v>
      </c>
      <c r="O53" s="290">
        <f t="shared" si="2"/>
        <v>370</v>
      </c>
      <c r="P53" s="290">
        <f t="shared" si="3"/>
        <v>1850</v>
      </c>
      <c r="Q53" s="290">
        <f t="shared" si="4"/>
        <v>2220</v>
      </c>
    </row>
    <row r="54">
      <c r="A54" s="282" t="s">
        <v>16</v>
      </c>
      <c r="B54" s="283">
        <v>4320.0</v>
      </c>
      <c r="C54" s="284"/>
      <c r="D54" s="301">
        <v>0.0</v>
      </c>
      <c r="E54" s="282" t="s">
        <v>255</v>
      </c>
      <c r="F54" s="282" t="s">
        <v>256</v>
      </c>
      <c r="G54" s="286" t="s">
        <v>257</v>
      </c>
      <c r="H54" s="287"/>
      <c r="I54" s="288">
        <v>35173.0</v>
      </c>
      <c r="J54" s="288">
        <v>45264.0</v>
      </c>
      <c r="K54" s="289"/>
      <c r="L54" s="302">
        <f t="shared" si="1"/>
        <v>30</v>
      </c>
      <c r="M54" s="350">
        <v>45748.0</v>
      </c>
      <c r="N54" s="350">
        <v>45777.0</v>
      </c>
      <c r="O54" s="290">
        <f t="shared" si="2"/>
        <v>370</v>
      </c>
      <c r="P54" s="290">
        <f t="shared" si="3"/>
        <v>1850</v>
      </c>
      <c r="Q54" s="290">
        <f t="shared" si="4"/>
        <v>2220</v>
      </c>
    </row>
    <row r="55">
      <c r="A55" s="282" t="s">
        <v>16</v>
      </c>
      <c r="B55" s="283">
        <v>4320.0</v>
      </c>
      <c r="C55" s="284"/>
      <c r="D55" s="305">
        <v>0.0</v>
      </c>
      <c r="E55" s="282" t="s">
        <v>438</v>
      </c>
      <c r="F55" s="282" t="s">
        <v>341</v>
      </c>
      <c r="G55" s="286" t="s">
        <v>342</v>
      </c>
      <c r="H55" s="287"/>
      <c r="I55" s="288">
        <v>37964.0</v>
      </c>
      <c r="J55" s="288">
        <v>45355.0</v>
      </c>
      <c r="K55" s="289"/>
      <c r="L55" s="302">
        <f t="shared" si="1"/>
        <v>30</v>
      </c>
      <c r="M55" s="350">
        <v>45748.0</v>
      </c>
      <c r="N55" s="350">
        <v>45777.0</v>
      </c>
      <c r="O55" s="290">
        <f t="shared" si="2"/>
        <v>370</v>
      </c>
      <c r="P55" s="290">
        <f t="shared" si="3"/>
        <v>1850</v>
      </c>
      <c r="Q55" s="290">
        <f t="shared" si="4"/>
        <v>2220</v>
      </c>
    </row>
    <row r="56">
      <c r="A56" s="282" t="s">
        <v>16</v>
      </c>
      <c r="B56" s="283">
        <v>4320.0</v>
      </c>
      <c r="C56" s="284"/>
      <c r="D56" s="305">
        <v>0.0</v>
      </c>
      <c r="E56" s="282" t="s">
        <v>508</v>
      </c>
      <c r="F56" s="282" t="s">
        <v>545</v>
      </c>
      <c r="G56" s="286" t="s">
        <v>509</v>
      </c>
      <c r="H56" s="287"/>
      <c r="I56" s="288">
        <v>36637.0</v>
      </c>
      <c r="J56" s="288">
        <v>45649.0</v>
      </c>
      <c r="K56" s="289"/>
      <c r="L56" s="302">
        <f t="shared" si="1"/>
        <v>30</v>
      </c>
      <c r="M56" s="350">
        <v>45748.0</v>
      </c>
      <c r="N56" s="350">
        <v>45777.0</v>
      </c>
      <c r="O56" s="290">
        <f t="shared" si="2"/>
        <v>370</v>
      </c>
      <c r="P56" s="290">
        <f t="shared" si="3"/>
        <v>1850</v>
      </c>
      <c r="Q56" s="290">
        <f t="shared" si="4"/>
        <v>2220</v>
      </c>
    </row>
    <row r="57">
      <c r="A57" s="282" t="s">
        <v>16</v>
      </c>
      <c r="B57" s="283">
        <v>4320.0</v>
      </c>
      <c r="C57" s="284"/>
      <c r="D57" s="305">
        <v>0.0</v>
      </c>
      <c r="E57" s="282" t="s">
        <v>395</v>
      </c>
      <c r="F57" s="282" t="s">
        <v>396</v>
      </c>
      <c r="G57" s="286" t="s">
        <v>397</v>
      </c>
      <c r="H57" s="287"/>
      <c r="I57" s="288">
        <v>36557.0</v>
      </c>
      <c r="J57" s="294">
        <v>45432.0</v>
      </c>
      <c r="K57" s="289"/>
      <c r="L57" s="302">
        <f t="shared" si="1"/>
        <v>30</v>
      </c>
      <c r="M57" s="350">
        <v>45748.0</v>
      </c>
      <c r="N57" s="350">
        <v>45777.0</v>
      </c>
      <c r="O57" s="290">
        <f t="shared" si="2"/>
        <v>370</v>
      </c>
      <c r="P57" s="290">
        <f t="shared" si="3"/>
        <v>1850</v>
      </c>
      <c r="Q57" s="290">
        <f t="shared" si="4"/>
        <v>2220</v>
      </c>
    </row>
    <row r="58">
      <c r="A58" s="282" t="s">
        <v>16</v>
      </c>
      <c r="B58" s="283">
        <v>4320.0</v>
      </c>
      <c r="C58" s="284"/>
      <c r="D58" s="301">
        <v>0.0</v>
      </c>
      <c r="E58" s="282" t="s">
        <v>370</v>
      </c>
      <c r="F58" s="282" t="s">
        <v>371</v>
      </c>
      <c r="G58" s="286" t="s">
        <v>372</v>
      </c>
      <c r="H58" s="287"/>
      <c r="I58" s="288">
        <v>35551.0</v>
      </c>
      <c r="J58" s="288">
        <v>45383.0</v>
      </c>
      <c r="K58" s="289"/>
      <c r="L58" s="302">
        <f t="shared" si="1"/>
        <v>30</v>
      </c>
      <c r="M58" s="350">
        <v>45748.0</v>
      </c>
      <c r="N58" s="350">
        <v>45777.0</v>
      </c>
      <c r="O58" s="290">
        <f t="shared" si="2"/>
        <v>370</v>
      </c>
      <c r="P58" s="290">
        <f t="shared" si="3"/>
        <v>1850</v>
      </c>
      <c r="Q58" s="290">
        <f t="shared" si="4"/>
        <v>2220</v>
      </c>
    </row>
    <row r="59">
      <c r="A59" s="282" t="s">
        <v>16</v>
      </c>
      <c r="B59" s="283">
        <v>4320.0</v>
      </c>
      <c r="C59" s="284"/>
      <c r="D59" s="305">
        <v>0.0</v>
      </c>
      <c r="E59" s="282" t="s">
        <v>114</v>
      </c>
      <c r="F59" s="282" t="s">
        <v>514</v>
      </c>
      <c r="G59" s="286" t="s">
        <v>456</v>
      </c>
      <c r="H59" s="287"/>
      <c r="I59" s="288">
        <v>35872.0</v>
      </c>
      <c r="J59" s="288">
        <v>45523.0</v>
      </c>
      <c r="K59" s="289"/>
      <c r="L59" s="302">
        <f t="shared" si="1"/>
        <v>30</v>
      </c>
      <c r="M59" s="350">
        <v>45748.0</v>
      </c>
      <c r="N59" s="350">
        <v>45777.0</v>
      </c>
      <c r="O59" s="290">
        <f t="shared" si="2"/>
        <v>370</v>
      </c>
      <c r="P59" s="290">
        <f t="shared" si="3"/>
        <v>1850</v>
      </c>
      <c r="Q59" s="290">
        <f t="shared" si="4"/>
        <v>2220</v>
      </c>
    </row>
    <row r="60">
      <c r="A60" s="282" t="s">
        <v>16</v>
      </c>
      <c r="B60" s="283">
        <v>4320.0</v>
      </c>
      <c r="C60" s="284"/>
      <c r="D60" s="301">
        <v>0.0</v>
      </c>
      <c r="E60" s="282" t="s">
        <v>457</v>
      </c>
      <c r="F60" s="282" t="s">
        <v>515</v>
      </c>
      <c r="G60" s="286" t="s">
        <v>458</v>
      </c>
      <c r="H60" s="287"/>
      <c r="I60" s="288">
        <v>37061.0</v>
      </c>
      <c r="J60" s="288">
        <v>45505.0</v>
      </c>
      <c r="K60" s="289"/>
      <c r="L60" s="302">
        <f t="shared" si="1"/>
        <v>30</v>
      </c>
      <c r="M60" s="350">
        <v>45748.0</v>
      </c>
      <c r="N60" s="350">
        <v>45777.0</v>
      </c>
      <c r="O60" s="290">
        <f t="shared" si="2"/>
        <v>370</v>
      </c>
      <c r="P60" s="290">
        <f t="shared" si="3"/>
        <v>1850</v>
      </c>
      <c r="Q60" s="290">
        <f t="shared" si="4"/>
        <v>2220</v>
      </c>
    </row>
    <row r="61">
      <c r="A61" s="282" t="s">
        <v>16</v>
      </c>
      <c r="B61" s="283">
        <v>4320.0</v>
      </c>
      <c r="C61" s="284"/>
      <c r="D61" s="301">
        <v>0.0</v>
      </c>
      <c r="E61" s="282" t="s">
        <v>506</v>
      </c>
      <c r="F61" s="282" t="s">
        <v>544</v>
      </c>
      <c r="G61" s="286" t="s">
        <v>507</v>
      </c>
      <c r="H61" s="287"/>
      <c r="I61" s="288">
        <v>36981.0</v>
      </c>
      <c r="J61" s="288">
        <v>45642.0</v>
      </c>
      <c r="K61" s="289"/>
      <c r="L61" s="302">
        <f t="shared" si="1"/>
        <v>30</v>
      </c>
      <c r="M61" s="350">
        <v>45748.0</v>
      </c>
      <c r="N61" s="350">
        <v>45777.0</v>
      </c>
      <c r="O61" s="290">
        <f t="shared" si="2"/>
        <v>370</v>
      </c>
      <c r="P61" s="290">
        <f t="shared" si="3"/>
        <v>1850</v>
      </c>
      <c r="Q61" s="290">
        <f t="shared" si="4"/>
        <v>2220</v>
      </c>
    </row>
    <row r="62">
      <c r="A62" s="282" t="s">
        <v>16</v>
      </c>
      <c r="B62" s="283">
        <v>4320.0</v>
      </c>
      <c r="C62" s="284"/>
      <c r="D62" s="301">
        <v>0.0</v>
      </c>
      <c r="E62" s="282" t="s">
        <v>487</v>
      </c>
      <c r="F62" s="282" t="s">
        <v>533</v>
      </c>
      <c r="G62" s="286" t="s">
        <v>488</v>
      </c>
      <c r="H62" s="287"/>
      <c r="I62" s="294">
        <v>35195.0</v>
      </c>
      <c r="J62" s="288">
        <v>45602.0</v>
      </c>
      <c r="K62" s="289"/>
      <c r="L62" s="302">
        <f t="shared" si="1"/>
        <v>30</v>
      </c>
      <c r="M62" s="350">
        <v>45748.0</v>
      </c>
      <c r="N62" s="350">
        <v>45777.0</v>
      </c>
      <c r="O62" s="290">
        <f t="shared" si="2"/>
        <v>370</v>
      </c>
      <c r="P62" s="290">
        <f t="shared" si="3"/>
        <v>1850</v>
      </c>
      <c r="Q62" s="290">
        <f t="shared" si="4"/>
        <v>2220</v>
      </c>
    </row>
    <row r="63">
      <c r="A63" s="282" t="s">
        <v>16</v>
      </c>
      <c r="B63" s="283">
        <v>4320.0</v>
      </c>
      <c r="C63" s="289"/>
      <c r="D63" s="305">
        <v>0.0</v>
      </c>
      <c r="E63" s="282" t="s">
        <v>343</v>
      </c>
      <c r="F63" s="282" t="s">
        <v>344</v>
      </c>
      <c r="G63" s="286" t="s">
        <v>345</v>
      </c>
      <c r="H63" s="287"/>
      <c r="I63" s="288">
        <v>36821.0</v>
      </c>
      <c r="J63" s="288">
        <v>45362.0</v>
      </c>
      <c r="K63" s="289"/>
      <c r="L63" s="302">
        <f t="shared" si="1"/>
        <v>30</v>
      </c>
      <c r="M63" s="350">
        <v>45748.0</v>
      </c>
      <c r="N63" s="350">
        <v>45777.0</v>
      </c>
      <c r="O63" s="290">
        <f t="shared" si="2"/>
        <v>370</v>
      </c>
      <c r="P63" s="290">
        <f t="shared" si="3"/>
        <v>1850</v>
      </c>
      <c r="Q63" s="290">
        <f t="shared" si="4"/>
        <v>2220</v>
      </c>
    </row>
    <row r="64">
      <c r="A64" s="282" t="s">
        <v>16</v>
      </c>
      <c r="B64" s="283">
        <v>4320.0</v>
      </c>
      <c r="C64" s="289"/>
      <c r="D64" s="285">
        <v>0.0</v>
      </c>
      <c r="E64" s="306" t="s">
        <v>429</v>
      </c>
      <c r="F64" s="282" t="s">
        <v>516</v>
      </c>
      <c r="G64" s="286" t="s">
        <v>430</v>
      </c>
      <c r="H64" s="287"/>
      <c r="I64" s="288">
        <v>37257.0</v>
      </c>
      <c r="J64" s="288">
        <v>45481.0</v>
      </c>
      <c r="K64" s="289"/>
      <c r="L64" s="302">
        <f t="shared" si="1"/>
        <v>30</v>
      </c>
      <c r="M64" s="350">
        <v>45748.0</v>
      </c>
      <c r="N64" s="350">
        <v>45777.0</v>
      </c>
      <c r="O64" s="290">
        <f t="shared" si="2"/>
        <v>370</v>
      </c>
      <c r="P64" s="290">
        <f t="shared" si="3"/>
        <v>1850</v>
      </c>
      <c r="Q64" s="290">
        <f t="shared" si="4"/>
        <v>2220</v>
      </c>
    </row>
    <row r="65">
      <c r="A65" s="282" t="s">
        <v>16</v>
      </c>
      <c r="B65" s="283">
        <v>4320.0</v>
      </c>
      <c r="C65" s="289"/>
      <c r="D65" s="285">
        <v>0.0</v>
      </c>
      <c r="E65" s="306" t="s">
        <v>489</v>
      </c>
      <c r="F65" s="282" t="s">
        <v>536</v>
      </c>
      <c r="G65" s="286" t="s">
        <v>490</v>
      </c>
      <c r="H65" s="287"/>
      <c r="I65" s="288">
        <v>37105.0</v>
      </c>
      <c r="J65" s="288">
        <v>45602.0</v>
      </c>
      <c r="K65" s="289"/>
      <c r="L65" s="302">
        <f t="shared" si="1"/>
        <v>30</v>
      </c>
      <c r="M65" s="350">
        <v>45748.0</v>
      </c>
      <c r="N65" s="350">
        <v>45777.0</v>
      </c>
      <c r="O65" s="290">
        <f t="shared" si="2"/>
        <v>370</v>
      </c>
      <c r="P65" s="290">
        <f t="shared" si="3"/>
        <v>1850</v>
      </c>
      <c r="Q65" s="290">
        <f t="shared" si="4"/>
        <v>2220</v>
      </c>
    </row>
    <row r="66">
      <c r="A66" s="282" t="s">
        <v>16</v>
      </c>
      <c r="B66" s="283">
        <v>4320.0</v>
      </c>
      <c r="C66" s="289"/>
      <c r="D66" s="285">
        <v>0.0</v>
      </c>
      <c r="E66" s="306" t="s">
        <v>416</v>
      </c>
      <c r="F66" s="282" t="s">
        <v>517</v>
      </c>
      <c r="G66" s="286" t="s">
        <v>417</v>
      </c>
      <c r="H66" s="287"/>
      <c r="I66" s="288">
        <v>36346.0</v>
      </c>
      <c r="J66" s="288">
        <v>45453.0</v>
      </c>
      <c r="K66" s="289"/>
      <c r="L66" s="302">
        <f t="shared" si="1"/>
        <v>30</v>
      </c>
      <c r="M66" s="350">
        <v>45748.0</v>
      </c>
      <c r="N66" s="350">
        <v>45777.0</v>
      </c>
      <c r="O66" s="290">
        <f t="shared" si="2"/>
        <v>370</v>
      </c>
      <c r="P66" s="290">
        <f t="shared" si="3"/>
        <v>1850</v>
      </c>
      <c r="Q66" s="290">
        <f t="shared" si="4"/>
        <v>2220</v>
      </c>
    </row>
    <row r="67">
      <c r="A67" s="282" t="s">
        <v>16</v>
      </c>
      <c r="B67" s="283">
        <v>4320.0</v>
      </c>
      <c r="C67" s="289"/>
      <c r="D67" s="285">
        <v>0.0</v>
      </c>
      <c r="E67" s="306" t="s">
        <v>582</v>
      </c>
      <c r="F67" s="282" t="s">
        <v>583</v>
      </c>
      <c r="G67" s="286" t="s">
        <v>584</v>
      </c>
      <c r="H67" s="287"/>
      <c r="I67" s="288">
        <v>37880.0</v>
      </c>
      <c r="J67" s="288">
        <v>45677.0</v>
      </c>
      <c r="K67" s="289"/>
      <c r="L67" s="302">
        <f t="shared" si="1"/>
        <v>30</v>
      </c>
      <c r="M67" s="350">
        <v>45748.0</v>
      </c>
      <c r="N67" s="350">
        <v>45777.0</v>
      </c>
      <c r="O67" s="290">
        <f t="shared" si="2"/>
        <v>370</v>
      </c>
      <c r="P67" s="290">
        <f t="shared" si="3"/>
        <v>1850</v>
      </c>
      <c r="Q67" s="290">
        <f t="shared" si="4"/>
        <v>2220</v>
      </c>
    </row>
    <row r="68">
      <c r="A68" s="282" t="s">
        <v>16</v>
      </c>
      <c r="B68" s="283">
        <v>4320.0</v>
      </c>
      <c r="C68" s="289"/>
      <c r="D68" s="285">
        <v>0.0</v>
      </c>
      <c r="E68" s="306" t="s">
        <v>478</v>
      </c>
      <c r="F68" s="282" t="s">
        <v>518</v>
      </c>
      <c r="G68" s="286" t="s">
        <v>426</v>
      </c>
      <c r="H68" s="287"/>
      <c r="I68" s="288">
        <v>36530.0</v>
      </c>
      <c r="J68" s="288">
        <v>45446.0</v>
      </c>
      <c r="K68" s="289"/>
      <c r="L68" s="302">
        <f t="shared" si="1"/>
        <v>30</v>
      </c>
      <c r="M68" s="350">
        <v>45748.0</v>
      </c>
      <c r="N68" s="350">
        <v>45777.0</v>
      </c>
      <c r="O68" s="290">
        <f t="shared" si="2"/>
        <v>370</v>
      </c>
      <c r="P68" s="290">
        <f t="shared" si="3"/>
        <v>1850</v>
      </c>
      <c r="Q68" s="290">
        <f t="shared" si="4"/>
        <v>2220</v>
      </c>
    </row>
    <row r="69">
      <c r="A69" s="282" t="s">
        <v>16</v>
      </c>
      <c r="B69" s="283">
        <v>4320.0</v>
      </c>
      <c r="C69" s="289"/>
      <c r="D69" s="285">
        <v>0.0</v>
      </c>
      <c r="E69" s="306" t="s">
        <v>570</v>
      </c>
      <c r="F69" s="282" t="s">
        <v>571</v>
      </c>
      <c r="G69" s="286" t="s">
        <v>572</v>
      </c>
      <c r="H69" s="287"/>
      <c r="I69" s="288">
        <v>37362.0</v>
      </c>
      <c r="J69" s="288">
        <v>45677.0</v>
      </c>
      <c r="K69" s="289"/>
      <c r="L69" s="302">
        <f t="shared" si="1"/>
        <v>30</v>
      </c>
      <c r="M69" s="350">
        <v>45748.0</v>
      </c>
      <c r="N69" s="350">
        <v>45777.0</v>
      </c>
      <c r="O69" s="290">
        <f t="shared" si="2"/>
        <v>370</v>
      </c>
      <c r="P69" s="290">
        <f t="shared" si="3"/>
        <v>1850</v>
      </c>
      <c r="Q69" s="290">
        <f t="shared" si="4"/>
        <v>2220</v>
      </c>
    </row>
    <row r="70">
      <c r="A70" s="282" t="s">
        <v>16</v>
      </c>
      <c r="B70" s="283">
        <v>4320.0</v>
      </c>
      <c r="C70" s="289"/>
      <c r="D70" s="285">
        <v>0.0</v>
      </c>
      <c r="E70" s="291" t="s">
        <v>702</v>
      </c>
      <c r="F70" s="292" t="s">
        <v>703</v>
      </c>
      <c r="G70" s="289" t="s">
        <v>704</v>
      </c>
      <c r="H70" s="289"/>
      <c r="I70" s="293">
        <v>35714.0</v>
      </c>
      <c r="J70" s="288">
        <v>45705.0</v>
      </c>
      <c r="K70" s="289"/>
      <c r="L70" s="302">
        <f t="shared" si="1"/>
        <v>30</v>
      </c>
      <c r="M70" s="350">
        <v>45748.0</v>
      </c>
      <c r="N70" s="350">
        <v>45777.0</v>
      </c>
      <c r="O70" s="290">
        <f t="shared" si="2"/>
        <v>370</v>
      </c>
      <c r="P70" s="290">
        <f t="shared" si="3"/>
        <v>1850</v>
      </c>
      <c r="Q70" s="290">
        <f t="shared" si="4"/>
        <v>2220</v>
      </c>
    </row>
    <row r="71">
      <c r="A71" s="282" t="s">
        <v>16</v>
      </c>
      <c r="B71" s="283">
        <v>4320.0</v>
      </c>
      <c r="C71" s="289"/>
      <c r="D71" s="285">
        <v>0.0</v>
      </c>
      <c r="E71" s="306" t="s">
        <v>459</v>
      </c>
      <c r="F71" s="282" t="s">
        <v>374</v>
      </c>
      <c r="G71" s="286" t="s">
        <v>375</v>
      </c>
      <c r="H71" s="287"/>
      <c r="I71" s="288">
        <v>37085.0</v>
      </c>
      <c r="J71" s="288">
        <v>45400.0</v>
      </c>
      <c r="K71" s="289"/>
      <c r="L71" s="302">
        <f t="shared" si="1"/>
        <v>30</v>
      </c>
      <c r="M71" s="350">
        <v>45748.0</v>
      </c>
      <c r="N71" s="350">
        <v>45777.0</v>
      </c>
      <c r="O71" s="290">
        <f t="shared" si="2"/>
        <v>370</v>
      </c>
      <c r="P71" s="290">
        <f t="shared" si="3"/>
        <v>1850</v>
      </c>
      <c r="Q71" s="290">
        <f t="shared" si="4"/>
        <v>2220</v>
      </c>
    </row>
    <row r="72">
      <c r="A72" s="282" t="s">
        <v>16</v>
      </c>
      <c r="B72" s="283">
        <v>4320.0</v>
      </c>
      <c r="C72" s="289"/>
      <c r="D72" s="285">
        <v>0.0</v>
      </c>
      <c r="E72" s="306" t="s">
        <v>349</v>
      </c>
      <c r="F72" s="282" t="s">
        <v>350</v>
      </c>
      <c r="G72" s="286" t="s">
        <v>351</v>
      </c>
      <c r="H72" s="287"/>
      <c r="I72" s="288">
        <v>37647.0</v>
      </c>
      <c r="J72" s="288">
        <v>45355.0</v>
      </c>
      <c r="K72" s="350"/>
      <c r="L72" s="302">
        <f t="shared" si="1"/>
        <v>30</v>
      </c>
      <c r="M72" s="350">
        <v>45748.0</v>
      </c>
      <c r="N72" s="350">
        <v>45777.0</v>
      </c>
      <c r="O72" s="290">
        <f t="shared" si="2"/>
        <v>370</v>
      </c>
      <c r="P72" s="290">
        <f t="shared" si="3"/>
        <v>1850</v>
      </c>
      <c r="Q72" s="290">
        <f t="shared" si="4"/>
        <v>2220</v>
      </c>
    </row>
    <row r="73">
      <c r="A73" s="282" t="s">
        <v>16</v>
      </c>
      <c r="B73" s="283">
        <v>4320.0</v>
      </c>
      <c r="C73" s="289"/>
      <c r="D73" s="285">
        <v>0.0</v>
      </c>
      <c r="E73" s="306" t="s">
        <v>352</v>
      </c>
      <c r="F73" s="282" t="s">
        <v>353</v>
      </c>
      <c r="G73" s="286" t="s">
        <v>354</v>
      </c>
      <c r="H73" s="287"/>
      <c r="I73" s="288">
        <v>36412.0</v>
      </c>
      <c r="J73" s="288">
        <v>45355.0</v>
      </c>
      <c r="K73" s="289"/>
      <c r="L73" s="302">
        <f t="shared" si="1"/>
        <v>30</v>
      </c>
      <c r="M73" s="350">
        <v>45748.0</v>
      </c>
      <c r="N73" s="350">
        <v>45777.0</v>
      </c>
      <c r="O73" s="290">
        <f t="shared" si="2"/>
        <v>370</v>
      </c>
      <c r="P73" s="290">
        <f t="shared" si="3"/>
        <v>1850</v>
      </c>
      <c r="Q73" s="290">
        <f t="shared" si="4"/>
        <v>2220</v>
      </c>
    </row>
    <row r="74">
      <c r="A74" s="282" t="s">
        <v>16</v>
      </c>
      <c r="B74" s="283">
        <v>4320.0</v>
      </c>
      <c r="C74" s="289"/>
      <c r="D74" s="285">
        <v>0.0</v>
      </c>
      <c r="E74" s="303" t="s">
        <v>705</v>
      </c>
      <c r="F74" s="295" t="s">
        <v>773</v>
      </c>
      <c r="G74" s="289" t="s">
        <v>707</v>
      </c>
      <c r="H74" s="289"/>
      <c r="I74" s="293">
        <v>36594.0</v>
      </c>
      <c r="J74" s="288">
        <v>45712.0</v>
      </c>
      <c r="K74" s="289"/>
      <c r="L74" s="302">
        <f t="shared" si="1"/>
        <v>30</v>
      </c>
      <c r="M74" s="350">
        <v>45748.0</v>
      </c>
      <c r="N74" s="350">
        <v>45777.0</v>
      </c>
      <c r="O74" s="290">
        <f t="shared" si="2"/>
        <v>370</v>
      </c>
      <c r="P74" s="290">
        <f t="shared" si="3"/>
        <v>1850</v>
      </c>
      <c r="Q74" s="290">
        <f t="shared" si="4"/>
        <v>2220</v>
      </c>
    </row>
    <row r="75">
      <c r="A75" s="282" t="s">
        <v>16</v>
      </c>
      <c r="B75" s="283">
        <v>4320.0</v>
      </c>
      <c r="C75" s="289"/>
      <c r="D75" s="285">
        <v>0.0</v>
      </c>
      <c r="E75" s="306" t="s">
        <v>273</v>
      </c>
      <c r="F75" s="282" t="s">
        <v>274</v>
      </c>
      <c r="G75" s="286" t="s">
        <v>275</v>
      </c>
      <c r="H75" s="287"/>
      <c r="I75" s="288">
        <v>34522.0</v>
      </c>
      <c r="J75" s="288">
        <v>45292.0</v>
      </c>
      <c r="K75" s="289"/>
      <c r="L75" s="302">
        <f t="shared" si="1"/>
        <v>30</v>
      </c>
      <c r="M75" s="350">
        <v>45748.0</v>
      </c>
      <c r="N75" s="350">
        <v>45777.0</v>
      </c>
      <c r="O75" s="290">
        <f t="shared" si="2"/>
        <v>370</v>
      </c>
      <c r="P75" s="290">
        <f t="shared" si="3"/>
        <v>1850</v>
      </c>
      <c r="Q75" s="290">
        <f t="shared" si="4"/>
        <v>2220</v>
      </c>
    </row>
    <row r="76">
      <c r="A76" s="282" t="s">
        <v>16</v>
      </c>
      <c r="B76" s="283">
        <v>4320.0</v>
      </c>
      <c r="C76" s="289"/>
      <c r="D76" s="285">
        <v>0.0</v>
      </c>
      <c r="E76" s="303" t="s">
        <v>708</v>
      </c>
      <c r="F76" s="295" t="s">
        <v>774</v>
      </c>
      <c r="G76" s="289" t="s">
        <v>710</v>
      </c>
      <c r="H76" s="289"/>
      <c r="I76" s="293">
        <v>37028.0</v>
      </c>
      <c r="J76" s="288">
        <v>45705.0</v>
      </c>
      <c r="K76" s="289"/>
      <c r="L76" s="302">
        <f t="shared" si="1"/>
        <v>30</v>
      </c>
      <c r="M76" s="350">
        <v>45748.0</v>
      </c>
      <c r="N76" s="350">
        <v>45777.0</v>
      </c>
      <c r="O76" s="290">
        <f t="shared" si="2"/>
        <v>370</v>
      </c>
      <c r="P76" s="290">
        <f t="shared" si="3"/>
        <v>1850</v>
      </c>
      <c r="Q76" s="290">
        <f t="shared" si="4"/>
        <v>2220</v>
      </c>
    </row>
    <row r="77">
      <c r="A77" s="389" t="s">
        <v>16</v>
      </c>
      <c r="B77" s="390">
        <v>4320.0</v>
      </c>
      <c r="C77" s="391"/>
      <c r="D77" s="392">
        <v>0.0</v>
      </c>
      <c r="E77" s="393" t="s">
        <v>470</v>
      </c>
      <c r="F77" s="389" t="s">
        <v>528</v>
      </c>
      <c r="G77" s="394" t="s">
        <v>472</v>
      </c>
      <c r="H77" s="395"/>
      <c r="I77" s="396">
        <v>37278.0</v>
      </c>
      <c r="J77" s="396">
        <v>45544.0</v>
      </c>
      <c r="K77" s="391"/>
      <c r="L77" s="397">
        <f t="shared" si="1"/>
        <v>30</v>
      </c>
      <c r="M77" s="398">
        <v>45748.0</v>
      </c>
      <c r="N77" s="398">
        <v>45777.0</v>
      </c>
      <c r="O77" s="399">
        <f t="shared" si="2"/>
        <v>370</v>
      </c>
      <c r="P77" s="399">
        <f t="shared" si="3"/>
        <v>1850</v>
      </c>
      <c r="Q77" s="399">
        <f t="shared" si="4"/>
        <v>2220</v>
      </c>
    </row>
    <row r="78">
      <c r="A78" s="349" t="s">
        <v>16</v>
      </c>
      <c r="B78" s="400">
        <v>4320.0</v>
      </c>
      <c r="C78" s="401"/>
      <c r="D78" s="402">
        <v>0.0</v>
      </c>
      <c r="E78" s="403" t="s">
        <v>162</v>
      </c>
      <c r="F78" s="349" t="s">
        <v>163</v>
      </c>
      <c r="G78" s="404" t="s">
        <v>164</v>
      </c>
      <c r="H78" s="405"/>
      <c r="I78" s="406">
        <v>34732.0</v>
      </c>
      <c r="J78" s="406">
        <v>44986.0</v>
      </c>
      <c r="K78" s="401"/>
      <c r="L78" s="407">
        <f t="shared" si="1"/>
        <v>30</v>
      </c>
      <c r="M78" s="408">
        <v>45748.0</v>
      </c>
      <c r="N78" s="408">
        <v>45777.0</v>
      </c>
      <c r="O78" s="409">
        <f t="shared" si="2"/>
        <v>370</v>
      </c>
      <c r="P78" s="409">
        <f t="shared" si="3"/>
        <v>1850</v>
      </c>
      <c r="Q78" s="409">
        <f t="shared" si="4"/>
        <v>2220</v>
      </c>
    </row>
    <row r="79">
      <c r="A79" s="282" t="s">
        <v>16</v>
      </c>
      <c r="B79" s="283">
        <v>4320.0</v>
      </c>
      <c r="C79" s="289"/>
      <c r="D79" s="285">
        <v>0.0</v>
      </c>
      <c r="E79" s="306" t="s">
        <v>549</v>
      </c>
      <c r="F79" s="282" t="s">
        <v>550</v>
      </c>
      <c r="G79" s="286" t="s">
        <v>551</v>
      </c>
      <c r="H79" s="287"/>
      <c r="I79" s="288">
        <v>37636.0</v>
      </c>
      <c r="J79" s="288">
        <v>45663.0</v>
      </c>
      <c r="K79" s="289"/>
      <c r="L79" s="302">
        <f t="shared" si="1"/>
        <v>30</v>
      </c>
      <c r="M79" s="350">
        <v>45748.0</v>
      </c>
      <c r="N79" s="350">
        <v>45777.0</v>
      </c>
      <c r="O79" s="290">
        <f t="shared" si="2"/>
        <v>370</v>
      </c>
      <c r="P79" s="290">
        <f t="shared" si="3"/>
        <v>1850</v>
      </c>
      <c r="Q79" s="290">
        <f t="shared" si="4"/>
        <v>2220</v>
      </c>
    </row>
    <row r="80">
      <c r="A80" s="282" t="s">
        <v>16</v>
      </c>
      <c r="B80" s="283">
        <v>4320.0</v>
      </c>
      <c r="C80" s="289"/>
      <c r="D80" s="285">
        <v>0.0</v>
      </c>
      <c r="E80" s="291" t="s">
        <v>711</v>
      </c>
      <c r="F80" s="295" t="s">
        <v>775</v>
      </c>
      <c r="G80" s="289" t="s">
        <v>713</v>
      </c>
      <c r="H80" s="289"/>
      <c r="I80" s="293">
        <v>34694.0</v>
      </c>
      <c r="J80" s="288">
        <v>45712.0</v>
      </c>
      <c r="K80" s="289"/>
      <c r="L80" s="302">
        <f t="shared" si="1"/>
        <v>30</v>
      </c>
      <c r="M80" s="350">
        <v>45748.0</v>
      </c>
      <c r="N80" s="350">
        <v>45777.0</v>
      </c>
      <c r="O80" s="290">
        <f t="shared" si="2"/>
        <v>370</v>
      </c>
      <c r="P80" s="290">
        <f t="shared" si="3"/>
        <v>1850</v>
      </c>
      <c r="Q80" s="290">
        <f t="shared" si="4"/>
        <v>2220</v>
      </c>
    </row>
    <row r="81">
      <c r="A81" s="282" t="s">
        <v>16</v>
      </c>
      <c r="B81" s="283">
        <v>4320.0</v>
      </c>
      <c r="C81" s="289"/>
      <c r="D81" s="285">
        <v>0.0</v>
      </c>
      <c r="E81" s="306" t="s">
        <v>355</v>
      </c>
      <c r="F81" s="282" t="s">
        <v>356</v>
      </c>
      <c r="G81" s="286" t="s">
        <v>357</v>
      </c>
      <c r="H81" s="287"/>
      <c r="I81" s="288">
        <v>35395.0</v>
      </c>
      <c r="J81" s="288">
        <v>45376.0</v>
      </c>
      <c r="K81" s="289"/>
      <c r="L81" s="302">
        <f t="shared" si="1"/>
        <v>30</v>
      </c>
      <c r="M81" s="350">
        <v>45748.0</v>
      </c>
      <c r="N81" s="350">
        <v>45777.0</v>
      </c>
      <c r="O81" s="290">
        <f t="shared" si="2"/>
        <v>370</v>
      </c>
      <c r="P81" s="290">
        <f t="shared" si="3"/>
        <v>1850</v>
      </c>
      <c r="Q81" s="290">
        <f t="shared" si="4"/>
        <v>2220</v>
      </c>
    </row>
    <row r="82">
      <c r="A82" s="282" t="s">
        <v>16</v>
      </c>
      <c r="B82" s="283">
        <v>4320.0</v>
      </c>
      <c r="C82" s="289"/>
      <c r="D82" s="285">
        <v>0.0</v>
      </c>
      <c r="E82" s="291" t="s">
        <v>714</v>
      </c>
      <c r="F82" s="295" t="s">
        <v>776</v>
      </c>
      <c r="G82" s="289" t="s">
        <v>716</v>
      </c>
      <c r="H82" s="289"/>
      <c r="I82" s="293">
        <v>36514.0</v>
      </c>
      <c r="J82" s="288">
        <v>45698.0</v>
      </c>
      <c r="K82" s="289"/>
      <c r="L82" s="302">
        <f t="shared" si="1"/>
        <v>30</v>
      </c>
      <c r="M82" s="350">
        <v>45748.0</v>
      </c>
      <c r="N82" s="350">
        <v>45777.0</v>
      </c>
      <c r="O82" s="290">
        <f t="shared" si="2"/>
        <v>370</v>
      </c>
      <c r="P82" s="290">
        <f t="shared" si="3"/>
        <v>1850</v>
      </c>
      <c r="Q82" s="290">
        <f t="shared" si="4"/>
        <v>2220</v>
      </c>
    </row>
    <row r="83">
      <c r="A83" s="282" t="s">
        <v>16</v>
      </c>
      <c r="B83" s="283">
        <v>4320.0</v>
      </c>
      <c r="C83" s="289"/>
      <c r="D83" s="285">
        <v>0.0</v>
      </c>
      <c r="E83" s="306" t="s">
        <v>600</v>
      </c>
      <c r="F83" s="282" t="s">
        <v>601</v>
      </c>
      <c r="G83" s="286" t="s">
        <v>602</v>
      </c>
      <c r="H83" s="287"/>
      <c r="I83" s="288">
        <v>29741.0</v>
      </c>
      <c r="J83" s="288">
        <v>45658.0</v>
      </c>
      <c r="K83" s="289"/>
      <c r="L83" s="302">
        <f t="shared" si="1"/>
        <v>30</v>
      </c>
      <c r="M83" s="350">
        <v>45748.0</v>
      </c>
      <c r="N83" s="350">
        <v>45777.0</v>
      </c>
      <c r="O83" s="290">
        <f t="shared" si="2"/>
        <v>370</v>
      </c>
      <c r="P83" s="290">
        <f t="shared" si="3"/>
        <v>1850</v>
      </c>
      <c r="Q83" s="290">
        <f t="shared" si="4"/>
        <v>2220</v>
      </c>
    </row>
    <row r="84">
      <c r="A84" s="282" t="s">
        <v>16</v>
      </c>
      <c r="B84" s="283">
        <v>4320.0</v>
      </c>
      <c r="C84" s="289"/>
      <c r="D84" s="285">
        <v>0.0</v>
      </c>
      <c r="E84" s="306" t="s">
        <v>431</v>
      </c>
      <c r="F84" s="282" t="s">
        <v>377</v>
      </c>
      <c r="G84" s="286" t="s">
        <v>378</v>
      </c>
      <c r="H84" s="287"/>
      <c r="I84" s="294">
        <v>36289.0</v>
      </c>
      <c r="J84" s="288">
        <v>45476.0</v>
      </c>
      <c r="K84" s="289"/>
      <c r="L84" s="302">
        <f t="shared" si="1"/>
        <v>30</v>
      </c>
      <c r="M84" s="350">
        <v>45748.0</v>
      </c>
      <c r="N84" s="350">
        <v>45777.0</v>
      </c>
      <c r="O84" s="290">
        <f t="shared" si="2"/>
        <v>370</v>
      </c>
      <c r="P84" s="290">
        <f t="shared" si="3"/>
        <v>1850</v>
      </c>
      <c r="Q84" s="290">
        <f t="shared" si="4"/>
        <v>2220</v>
      </c>
    </row>
    <row r="85">
      <c r="A85" s="282" t="s">
        <v>16</v>
      </c>
      <c r="B85" s="283">
        <v>4320.0</v>
      </c>
      <c r="C85" s="289"/>
      <c r="D85" s="285">
        <v>0.0</v>
      </c>
      <c r="E85" s="306" t="s">
        <v>183</v>
      </c>
      <c r="F85" s="282" t="s">
        <v>184</v>
      </c>
      <c r="G85" s="286" t="s">
        <v>185</v>
      </c>
      <c r="H85" s="287"/>
      <c r="I85" s="288">
        <v>36979.0</v>
      </c>
      <c r="J85" s="288">
        <v>44907.0</v>
      </c>
      <c r="K85" s="289"/>
      <c r="L85" s="302">
        <f t="shared" si="1"/>
        <v>30</v>
      </c>
      <c r="M85" s="350">
        <v>45748.0</v>
      </c>
      <c r="N85" s="350">
        <v>45777.0</v>
      </c>
      <c r="O85" s="290">
        <f t="shared" si="2"/>
        <v>370</v>
      </c>
      <c r="P85" s="290">
        <f t="shared" si="3"/>
        <v>1850</v>
      </c>
      <c r="Q85" s="290">
        <f t="shared" si="4"/>
        <v>2220</v>
      </c>
    </row>
    <row r="86">
      <c r="A86" s="282" t="s">
        <v>16</v>
      </c>
      <c r="B86" s="283">
        <v>4320.0</v>
      </c>
      <c r="C86" s="289"/>
      <c r="D86" s="285">
        <v>0.0</v>
      </c>
      <c r="E86" s="306" t="s">
        <v>499</v>
      </c>
      <c r="F86" s="282" t="s">
        <v>540</v>
      </c>
      <c r="G86" s="286" t="s">
        <v>500</v>
      </c>
      <c r="H86" s="287"/>
      <c r="I86" s="288">
        <v>36144.0</v>
      </c>
      <c r="J86" s="288">
        <v>45628.0</v>
      </c>
      <c r="K86" s="296"/>
      <c r="L86" s="302">
        <f t="shared" si="1"/>
        <v>30</v>
      </c>
      <c r="M86" s="350">
        <v>45748.0</v>
      </c>
      <c r="N86" s="350">
        <v>45777.0</v>
      </c>
      <c r="O86" s="290">
        <f t="shared" si="2"/>
        <v>370</v>
      </c>
      <c r="P86" s="290">
        <f t="shared" si="3"/>
        <v>1850</v>
      </c>
      <c r="Q86" s="290">
        <f t="shared" si="4"/>
        <v>2220</v>
      </c>
    </row>
    <row r="87">
      <c r="A87" s="282" t="s">
        <v>16</v>
      </c>
      <c r="B87" s="283">
        <v>4320.0</v>
      </c>
      <c r="C87" s="289"/>
      <c r="D87" s="285">
        <v>0.0</v>
      </c>
      <c r="E87" s="306" t="s">
        <v>301</v>
      </c>
      <c r="F87" s="282" t="s">
        <v>302</v>
      </c>
      <c r="G87" s="286" t="s">
        <v>303</v>
      </c>
      <c r="H87" s="287"/>
      <c r="I87" s="288">
        <v>36991.0</v>
      </c>
      <c r="J87" s="288">
        <v>45205.0</v>
      </c>
      <c r="K87" s="289"/>
      <c r="L87" s="302">
        <f t="shared" si="1"/>
        <v>30</v>
      </c>
      <c r="M87" s="350">
        <v>45748.0</v>
      </c>
      <c r="N87" s="350">
        <v>45777.0</v>
      </c>
      <c r="O87" s="290">
        <f t="shared" si="2"/>
        <v>370</v>
      </c>
      <c r="P87" s="290">
        <f t="shared" si="3"/>
        <v>1850</v>
      </c>
      <c r="Q87" s="290">
        <f t="shared" si="4"/>
        <v>2220</v>
      </c>
    </row>
    <row r="88">
      <c r="A88" s="282" t="s">
        <v>16</v>
      </c>
      <c r="B88" s="283">
        <v>4320.0</v>
      </c>
      <c r="C88" s="289"/>
      <c r="D88" s="285">
        <v>0.0</v>
      </c>
      <c r="E88" s="306" t="s">
        <v>432</v>
      </c>
      <c r="F88" s="282" t="s">
        <v>521</v>
      </c>
      <c r="G88" s="286" t="s">
        <v>433</v>
      </c>
      <c r="H88" s="287"/>
      <c r="I88" s="288">
        <v>34504.0</v>
      </c>
      <c r="J88" s="288">
        <v>45481.0</v>
      </c>
      <c r="K88" s="289"/>
      <c r="L88" s="302">
        <f t="shared" si="1"/>
        <v>30</v>
      </c>
      <c r="M88" s="350">
        <v>45748.0</v>
      </c>
      <c r="N88" s="350">
        <v>45777.0</v>
      </c>
      <c r="O88" s="290">
        <f t="shared" si="2"/>
        <v>370</v>
      </c>
      <c r="P88" s="290">
        <f t="shared" si="3"/>
        <v>1850</v>
      </c>
      <c r="Q88" s="290">
        <f t="shared" si="4"/>
        <v>2220</v>
      </c>
    </row>
    <row r="89">
      <c r="A89" s="282" t="s">
        <v>16</v>
      </c>
      <c r="B89" s="283">
        <v>4320.0</v>
      </c>
      <c r="C89" s="289"/>
      <c r="D89" s="285">
        <v>0.0</v>
      </c>
      <c r="E89" s="306" t="s">
        <v>434</v>
      </c>
      <c r="F89" s="282" t="s">
        <v>522</v>
      </c>
      <c r="G89" s="286" t="s">
        <v>435</v>
      </c>
      <c r="H89" s="287"/>
      <c r="I89" s="288">
        <v>37446.0</v>
      </c>
      <c r="J89" s="288">
        <v>45495.0</v>
      </c>
      <c r="K89" s="289"/>
      <c r="L89" s="302">
        <f t="shared" si="1"/>
        <v>30</v>
      </c>
      <c r="M89" s="350">
        <v>45748.0</v>
      </c>
      <c r="N89" s="350">
        <v>45777.0</v>
      </c>
      <c r="O89" s="290">
        <f t="shared" si="2"/>
        <v>370</v>
      </c>
      <c r="P89" s="290">
        <f t="shared" si="3"/>
        <v>1850</v>
      </c>
      <c r="Q89" s="290">
        <f t="shared" si="4"/>
        <v>2220</v>
      </c>
    </row>
    <row r="90">
      <c r="A90" s="282" t="s">
        <v>16</v>
      </c>
      <c r="B90" s="283">
        <v>4320.0</v>
      </c>
      <c r="C90" s="289"/>
      <c r="D90" s="285">
        <v>0.0</v>
      </c>
      <c r="E90" s="306" t="s">
        <v>460</v>
      </c>
      <c r="F90" s="282" t="s">
        <v>523</v>
      </c>
      <c r="G90" s="286" t="s">
        <v>461</v>
      </c>
      <c r="H90" s="287"/>
      <c r="I90" s="288">
        <v>36856.0</v>
      </c>
      <c r="J90" s="288">
        <v>45505.0</v>
      </c>
      <c r="K90" s="296"/>
      <c r="L90" s="302">
        <f t="shared" si="1"/>
        <v>30</v>
      </c>
      <c r="M90" s="350">
        <v>45748.0</v>
      </c>
      <c r="N90" s="350">
        <v>45777.0</v>
      </c>
      <c r="O90" s="290">
        <f t="shared" si="2"/>
        <v>370</v>
      </c>
      <c r="P90" s="290">
        <f t="shared" si="3"/>
        <v>1850</v>
      </c>
      <c r="Q90" s="290">
        <f t="shared" si="4"/>
        <v>2220</v>
      </c>
    </row>
    <row r="91">
      <c r="A91" s="282" t="s">
        <v>16</v>
      </c>
      <c r="B91" s="283">
        <v>4320.0</v>
      </c>
      <c r="C91" s="289"/>
      <c r="D91" s="285">
        <v>0.0</v>
      </c>
      <c r="E91" s="306" t="s">
        <v>462</v>
      </c>
      <c r="F91" s="282" t="s">
        <v>526</v>
      </c>
      <c r="G91" s="286" t="s">
        <v>463</v>
      </c>
      <c r="H91" s="287"/>
      <c r="I91" s="288">
        <v>34588.0</v>
      </c>
      <c r="J91" s="288">
        <v>45530.0</v>
      </c>
      <c r="K91" s="289"/>
      <c r="L91" s="302">
        <f t="shared" si="1"/>
        <v>30</v>
      </c>
      <c r="M91" s="350">
        <v>45748.0</v>
      </c>
      <c r="N91" s="350">
        <v>45777.0</v>
      </c>
      <c r="O91" s="290">
        <f t="shared" si="2"/>
        <v>370</v>
      </c>
      <c r="P91" s="290">
        <f t="shared" si="3"/>
        <v>1850</v>
      </c>
      <c r="Q91" s="290">
        <f t="shared" si="4"/>
        <v>2220</v>
      </c>
    </row>
    <row r="92">
      <c r="A92" s="282" t="s">
        <v>16</v>
      </c>
      <c r="B92" s="283">
        <v>4320.0</v>
      </c>
      <c r="C92" s="289"/>
      <c r="D92" s="285">
        <v>0.0</v>
      </c>
      <c r="E92" s="306" t="s">
        <v>423</v>
      </c>
      <c r="F92" s="282" t="s">
        <v>524</v>
      </c>
      <c r="G92" s="286" t="s">
        <v>424</v>
      </c>
      <c r="H92" s="287"/>
      <c r="I92" s="288">
        <v>37818.0</v>
      </c>
      <c r="J92" s="288">
        <v>45467.0</v>
      </c>
      <c r="K92" s="289"/>
      <c r="L92" s="302">
        <f t="shared" si="1"/>
        <v>30</v>
      </c>
      <c r="M92" s="350">
        <v>45748.0</v>
      </c>
      <c r="N92" s="350">
        <v>45777.0</v>
      </c>
      <c r="O92" s="290">
        <f t="shared" si="2"/>
        <v>370</v>
      </c>
      <c r="P92" s="290">
        <f t="shared" si="3"/>
        <v>1850</v>
      </c>
      <c r="Q92" s="290">
        <f t="shared" si="4"/>
        <v>2220</v>
      </c>
    </row>
    <row r="93">
      <c r="A93" s="282" t="s">
        <v>16</v>
      </c>
      <c r="B93" s="283">
        <v>4320.0</v>
      </c>
      <c r="C93" s="289"/>
      <c r="D93" s="285">
        <v>0.0</v>
      </c>
      <c r="E93" s="291" t="s">
        <v>717</v>
      </c>
      <c r="F93" s="292" t="s">
        <v>718</v>
      </c>
      <c r="G93" s="289" t="s">
        <v>719</v>
      </c>
      <c r="H93" s="289"/>
      <c r="I93" s="293">
        <v>36505.0</v>
      </c>
      <c r="J93" s="288">
        <v>45712.0</v>
      </c>
      <c r="K93" s="289"/>
      <c r="L93" s="302">
        <f t="shared" si="1"/>
        <v>30</v>
      </c>
      <c r="M93" s="350">
        <v>45748.0</v>
      </c>
      <c r="N93" s="350">
        <v>45777.0</v>
      </c>
      <c r="O93" s="290">
        <f t="shared" si="2"/>
        <v>370</v>
      </c>
      <c r="P93" s="290">
        <f t="shared" si="3"/>
        <v>1850</v>
      </c>
      <c r="Q93" s="290">
        <f t="shared" si="4"/>
        <v>2220</v>
      </c>
    </row>
    <row r="94">
      <c r="A94" s="282" t="s">
        <v>16</v>
      </c>
      <c r="B94" s="283">
        <v>4320.0</v>
      </c>
      <c r="C94" s="289"/>
      <c r="D94" s="285">
        <v>0.0</v>
      </c>
      <c r="E94" s="306" t="s">
        <v>588</v>
      </c>
      <c r="F94" s="282" t="s">
        <v>589</v>
      </c>
      <c r="G94" s="286" t="s">
        <v>590</v>
      </c>
      <c r="H94" s="287"/>
      <c r="I94" s="288">
        <v>34190.0</v>
      </c>
      <c r="J94" s="288">
        <v>45684.0</v>
      </c>
      <c r="K94" s="296"/>
      <c r="L94" s="302">
        <f t="shared" si="1"/>
        <v>30</v>
      </c>
      <c r="M94" s="350">
        <v>45748.0</v>
      </c>
      <c r="N94" s="350">
        <v>45777.0</v>
      </c>
      <c r="O94" s="290">
        <f t="shared" si="2"/>
        <v>370</v>
      </c>
      <c r="P94" s="290">
        <f t="shared" si="3"/>
        <v>1850</v>
      </c>
      <c r="Q94" s="290">
        <f t="shared" si="4"/>
        <v>2220</v>
      </c>
    </row>
    <row r="95">
      <c r="A95" s="282" t="s">
        <v>16</v>
      </c>
      <c r="B95" s="283">
        <v>4320.0</v>
      </c>
      <c r="C95" s="289"/>
      <c r="D95" s="285">
        <v>0.0</v>
      </c>
      <c r="E95" s="306" t="s">
        <v>427</v>
      </c>
      <c r="F95" s="282" t="s">
        <v>525</v>
      </c>
      <c r="G95" s="286" t="s">
        <v>428</v>
      </c>
      <c r="H95" s="287"/>
      <c r="I95" s="288">
        <v>36451.0</v>
      </c>
      <c r="J95" s="288">
        <v>45453.0</v>
      </c>
      <c r="K95" s="289"/>
      <c r="L95" s="302">
        <f t="shared" si="1"/>
        <v>30</v>
      </c>
      <c r="M95" s="350">
        <v>45748.0</v>
      </c>
      <c r="N95" s="350">
        <v>45777.0</v>
      </c>
      <c r="O95" s="290">
        <f t="shared" si="2"/>
        <v>370</v>
      </c>
      <c r="P95" s="290">
        <f t="shared" si="3"/>
        <v>1850</v>
      </c>
      <c r="Q95" s="290">
        <f t="shared" si="4"/>
        <v>2220</v>
      </c>
    </row>
    <row r="96">
      <c r="A96" s="282" t="s">
        <v>16</v>
      </c>
      <c r="B96" s="283">
        <v>4320.0</v>
      </c>
      <c r="C96" s="289"/>
      <c r="D96" s="285">
        <v>0.0</v>
      </c>
      <c r="E96" s="306" t="s">
        <v>493</v>
      </c>
      <c r="F96" s="282" t="s">
        <v>532</v>
      </c>
      <c r="G96" s="286" t="s">
        <v>494</v>
      </c>
      <c r="H96" s="287"/>
      <c r="I96" s="288">
        <v>36208.0</v>
      </c>
      <c r="J96" s="288">
        <v>45602.0</v>
      </c>
      <c r="K96" s="289"/>
      <c r="L96" s="302">
        <f t="shared" si="1"/>
        <v>30</v>
      </c>
      <c r="M96" s="350">
        <v>45748.0</v>
      </c>
      <c r="N96" s="350">
        <v>45777.0</v>
      </c>
      <c r="O96" s="290">
        <f t="shared" si="2"/>
        <v>370</v>
      </c>
      <c r="P96" s="290">
        <f t="shared" si="3"/>
        <v>1850</v>
      </c>
      <c r="Q96" s="290">
        <f t="shared" si="4"/>
        <v>2220</v>
      </c>
    </row>
    <row r="97">
      <c r="A97" s="282" t="s">
        <v>16</v>
      </c>
      <c r="B97" s="283">
        <v>4320.0</v>
      </c>
      <c r="C97" s="289"/>
      <c r="D97" s="285">
        <v>0.0</v>
      </c>
      <c r="E97" s="306" t="s">
        <v>585</v>
      </c>
      <c r="F97" s="282" t="s">
        <v>586</v>
      </c>
      <c r="G97" s="286" t="s">
        <v>587</v>
      </c>
      <c r="H97" s="287"/>
      <c r="I97" s="288">
        <v>35827.0</v>
      </c>
      <c r="J97" s="288">
        <v>45684.0</v>
      </c>
      <c r="K97" s="289"/>
      <c r="L97" s="302">
        <f t="shared" si="1"/>
        <v>30</v>
      </c>
      <c r="M97" s="350">
        <v>45748.0</v>
      </c>
      <c r="N97" s="350">
        <v>45777.0</v>
      </c>
      <c r="O97" s="290">
        <f t="shared" si="2"/>
        <v>370</v>
      </c>
      <c r="P97" s="290">
        <f t="shared" si="3"/>
        <v>1850</v>
      </c>
      <c r="Q97" s="290">
        <f t="shared" si="4"/>
        <v>2220</v>
      </c>
    </row>
    <row r="98">
      <c r="A98" s="282" t="s">
        <v>16</v>
      </c>
      <c r="B98" s="283">
        <v>4320.0</v>
      </c>
      <c r="C98" s="289"/>
      <c r="D98" s="285">
        <v>0.0</v>
      </c>
      <c r="E98" s="306" t="s">
        <v>225</v>
      </c>
      <c r="F98" s="282" t="s">
        <v>226</v>
      </c>
      <c r="G98" s="286" t="s">
        <v>227</v>
      </c>
      <c r="H98" s="287"/>
      <c r="I98" s="288">
        <v>36177.0</v>
      </c>
      <c r="J98" s="288">
        <v>45320.0</v>
      </c>
      <c r="K98" s="289"/>
      <c r="L98" s="302">
        <f t="shared" si="1"/>
        <v>30</v>
      </c>
      <c r="M98" s="350">
        <v>45748.0</v>
      </c>
      <c r="N98" s="350">
        <v>45777.0</v>
      </c>
      <c r="O98" s="290">
        <f t="shared" si="2"/>
        <v>370</v>
      </c>
      <c r="P98" s="290">
        <f t="shared" si="3"/>
        <v>1850</v>
      </c>
      <c r="Q98" s="290">
        <f t="shared" si="4"/>
        <v>2220</v>
      </c>
    </row>
    <row r="99">
      <c r="A99" s="410" t="s">
        <v>16</v>
      </c>
      <c r="B99" s="411">
        <v>4320.0</v>
      </c>
      <c r="C99" s="412"/>
      <c r="D99" s="411" t="s">
        <v>740</v>
      </c>
      <c r="E99" s="410" t="s">
        <v>741</v>
      </c>
      <c r="F99" s="413" t="s">
        <v>742</v>
      </c>
      <c r="G99" s="410" t="s">
        <v>743</v>
      </c>
      <c r="H99" s="412"/>
      <c r="I99" s="414">
        <v>37329.0</v>
      </c>
      <c r="J99" s="414">
        <v>45719.0</v>
      </c>
      <c r="K99" s="412"/>
      <c r="L99" s="415">
        <f t="shared" si="1"/>
        <v>30</v>
      </c>
      <c r="M99" s="350">
        <v>45748.0</v>
      </c>
      <c r="N99" s="350">
        <v>45777.0</v>
      </c>
      <c r="O99" s="290">
        <f t="shared" si="2"/>
        <v>370</v>
      </c>
      <c r="P99" s="416">
        <f t="shared" si="3"/>
        <v>1850</v>
      </c>
      <c r="Q99" s="417">
        <f t="shared" si="4"/>
        <v>2220</v>
      </c>
    </row>
    <row r="100">
      <c r="A100" s="410" t="s">
        <v>16</v>
      </c>
      <c r="B100" s="411">
        <v>4320.0</v>
      </c>
      <c r="C100" s="412"/>
      <c r="D100" s="411" t="s">
        <v>740</v>
      </c>
      <c r="E100" s="410" t="s">
        <v>744</v>
      </c>
      <c r="F100" s="413" t="s">
        <v>745</v>
      </c>
      <c r="G100" s="410" t="s">
        <v>746</v>
      </c>
      <c r="H100" s="412"/>
      <c r="I100" s="414">
        <v>37479.0</v>
      </c>
      <c r="J100" s="414">
        <v>45726.0</v>
      </c>
      <c r="K100" s="412"/>
      <c r="L100" s="415">
        <f t="shared" si="1"/>
        <v>30</v>
      </c>
      <c r="M100" s="350">
        <v>45748.0</v>
      </c>
      <c r="N100" s="350">
        <v>45777.0</v>
      </c>
      <c r="O100" s="290">
        <f t="shared" si="2"/>
        <v>370</v>
      </c>
      <c r="P100" s="416">
        <f t="shared" si="3"/>
        <v>1850</v>
      </c>
      <c r="Q100" s="417">
        <f t="shared" si="4"/>
        <v>2220</v>
      </c>
    </row>
    <row r="101">
      <c r="A101" s="410" t="s">
        <v>16</v>
      </c>
      <c r="B101" s="411">
        <v>4320.0</v>
      </c>
      <c r="C101" s="412"/>
      <c r="D101" s="411" t="s">
        <v>740</v>
      </c>
      <c r="E101" s="410" t="s">
        <v>747</v>
      </c>
      <c r="F101" s="418" t="s">
        <v>748</v>
      </c>
      <c r="G101" s="410" t="s">
        <v>749</v>
      </c>
      <c r="H101" s="412"/>
      <c r="I101" s="414">
        <v>37314.0</v>
      </c>
      <c r="J101" s="414">
        <v>45733.0</v>
      </c>
      <c r="K101" s="412"/>
      <c r="L101" s="415">
        <f t="shared" si="1"/>
        <v>30</v>
      </c>
      <c r="M101" s="350">
        <v>45748.0</v>
      </c>
      <c r="N101" s="350">
        <v>45777.0</v>
      </c>
      <c r="O101" s="290">
        <f t="shared" si="2"/>
        <v>370</v>
      </c>
      <c r="P101" s="416">
        <f t="shared" si="3"/>
        <v>1850</v>
      </c>
      <c r="Q101" s="417">
        <f t="shared" si="4"/>
        <v>2220</v>
      </c>
    </row>
    <row r="102">
      <c r="A102" s="410" t="s">
        <v>16</v>
      </c>
      <c r="B102" s="411">
        <v>4320.0</v>
      </c>
      <c r="C102" s="412"/>
      <c r="D102" s="411" t="s">
        <v>740</v>
      </c>
      <c r="E102" s="410" t="s">
        <v>750</v>
      </c>
      <c r="F102" s="418" t="s">
        <v>751</v>
      </c>
      <c r="G102" s="410" t="s">
        <v>752</v>
      </c>
      <c r="H102" s="412"/>
      <c r="I102" s="414">
        <v>36581.0</v>
      </c>
      <c r="J102" s="414">
        <v>45740.0</v>
      </c>
      <c r="K102" s="412"/>
      <c r="L102" s="415">
        <f t="shared" si="1"/>
        <v>30</v>
      </c>
      <c r="M102" s="350">
        <v>45748.0</v>
      </c>
      <c r="N102" s="350">
        <v>45777.0</v>
      </c>
      <c r="O102" s="290">
        <f t="shared" si="2"/>
        <v>370</v>
      </c>
      <c r="P102" s="416">
        <f t="shared" si="3"/>
        <v>1850</v>
      </c>
      <c r="Q102" s="417">
        <f t="shared" si="4"/>
        <v>2220</v>
      </c>
    </row>
    <row r="103">
      <c r="A103" s="410" t="s">
        <v>16</v>
      </c>
      <c r="B103" s="411">
        <v>4320.0</v>
      </c>
      <c r="C103" s="412"/>
      <c r="D103" s="411"/>
      <c r="E103" s="410" t="s">
        <v>764</v>
      </c>
      <c r="F103" s="418" t="s">
        <v>765</v>
      </c>
      <c r="G103" s="410" t="s">
        <v>766</v>
      </c>
      <c r="H103" s="412"/>
      <c r="I103" s="414">
        <v>36087.0</v>
      </c>
      <c r="J103" s="414">
        <v>45761.0</v>
      </c>
      <c r="K103" s="412"/>
      <c r="L103" s="415">
        <f t="shared" si="1"/>
        <v>17</v>
      </c>
      <c r="M103" s="388">
        <v>45761.0</v>
      </c>
      <c r="N103" s="350">
        <v>45777.0</v>
      </c>
      <c r="O103" s="290">
        <f t="shared" si="2"/>
        <v>210</v>
      </c>
      <c r="P103" s="416">
        <f t="shared" si="3"/>
        <v>1050</v>
      </c>
      <c r="Q103" s="416">
        <f t="shared" si="4"/>
        <v>1260</v>
      </c>
    </row>
    <row r="104">
      <c r="A104" s="410" t="s">
        <v>16</v>
      </c>
      <c r="B104" s="411">
        <v>4320.0</v>
      </c>
      <c r="C104" s="412"/>
      <c r="D104" s="411"/>
      <c r="E104" s="410" t="s">
        <v>767</v>
      </c>
      <c r="F104" s="418" t="s">
        <v>765</v>
      </c>
      <c r="G104" s="410" t="s">
        <v>768</v>
      </c>
      <c r="H104" s="412"/>
      <c r="I104" s="414">
        <v>35792.0</v>
      </c>
      <c r="J104" s="414">
        <v>45754.0</v>
      </c>
      <c r="K104" s="412"/>
      <c r="L104" s="415">
        <f t="shared" si="1"/>
        <v>24</v>
      </c>
      <c r="M104" s="388">
        <v>45754.0</v>
      </c>
      <c r="N104" s="350">
        <v>45777.0</v>
      </c>
      <c r="O104" s="290">
        <f t="shared" si="2"/>
        <v>296</v>
      </c>
      <c r="P104" s="416">
        <f t="shared" si="3"/>
        <v>1480</v>
      </c>
      <c r="Q104" s="416">
        <f t="shared" si="4"/>
        <v>1776</v>
      </c>
      <c r="R104" s="359"/>
      <c r="S104" s="360"/>
      <c r="T104" s="360"/>
      <c r="U104" s="360"/>
      <c r="V104" s="360"/>
      <c r="W104" s="360"/>
      <c r="X104" s="360"/>
    </row>
    <row r="105">
      <c r="A105" s="307"/>
      <c r="B105" s="307"/>
      <c r="C105" s="307"/>
      <c r="D105" s="308"/>
      <c r="E105" s="309"/>
      <c r="F105" s="307"/>
      <c r="G105" s="307"/>
      <c r="H105" s="307"/>
      <c r="I105" s="307"/>
      <c r="J105" s="307"/>
      <c r="K105" s="307"/>
      <c r="L105" s="307"/>
      <c r="M105" s="307"/>
      <c r="N105" s="307"/>
      <c r="O105" s="362">
        <f t="shared" ref="O105:Q105" si="5">SUM(O2:O104)</f>
        <v>37457</v>
      </c>
      <c r="P105" s="362">
        <f t="shared" si="5"/>
        <v>187285</v>
      </c>
      <c r="Q105" s="362">
        <f t="shared" si="5"/>
        <v>224742</v>
      </c>
      <c r="R105" s="359"/>
      <c r="S105" s="360"/>
      <c r="T105" s="360"/>
      <c r="U105" s="360"/>
      <c r="V105" s="360"/>
      <c r="W105" s="360"/>
      <c r="X105" s="360"/>
    </row>
    <row r="106">
      <c r="D106" s="310"/>
      <c r="E106" s="311"/>
      <c r="L106" s="364">
        <f>SUM(L2:L104)</f>
        <v>3037</v>
      </c>
      <c r="R106" s="359"/>
      <c r="S106" s="360"/>
      <c r="T106" s="360"/>
      <c r="U106" s="360"/>
      <c r="V106" s="360"/>
      <c r="W106" s="360"/>
      <c r="X106" s="360"/>
    </row>
    <row r="107">
      <c r="D107" s="310"/>
      <c r="E107" s="311"/>
      <c r="R107" s="359"/>
      <c r="S107" s="360"/>
      <c r="T107" s="360"/>
      <c r="U107" s="360"/>
      <c r="V107" s="360"/>
      <c r="W107" s="360"/>
      <c r="X107" s="360"/>
    </row>
    <row r="108">
      <c r="D108" s="310"/>
      <c r="E108" s="311"/>
      <c r="N108" s="53"/>
      <c r="R108" s="360"/>
      <c r="S108" s="360"/>
      <c r="T108" s="360"/>
      <c r="U108" s="360"/>
      <c r="V108" s="360"/>
      <c r="W108" s="360"/>
      <c r="X108" s="360"/>
    </row>
    <row r="109">
      <c r="D109" s="310"/>
      <c r="E109" s="311"/>
      <c r="R109" s="360"/>
      <c r="S109" s="360"/>
      <c r="T109" s="360"/>
      <c r="U109" s="360"/>
      <c r="V109" s="360"/>
      <c r="W109" s="360"/>
      <c r="X109" s="360"/>
    </row>
    <row r="110">
      <c r="D110" s="310"/>
      <c r="E110" s="311"/>
    </row>
    <row r="111">
      <c r="D111" s="310"/>
      <c r="E111" s="311"/>
    </row>
    <row r="112">
      <c r="D112" s="310"/>
      <c r="E112" s="311"/>
    </row>
    <row r="113">
      <c r="D113" s="310"/>
      <c r="E113" s="311"/>
    </row>
    <row r="114">
      <c r="D114" s="310"/>
      <c r="E114" s="311"/>
    </row>
    <row r="115">
      <c r="A115" s="66"/>
      <c r="B115" s="66"/>
      <c r="C115" s="66"/>
      <c r="D115" s="419"/>
      <c r="E115" s="420"/>
      <c r="F115" s="66"/>
      <c r="G115" s="66"/>
      <c r="H115" s="66"/>
      <c r="I115" s="66"/>
      <c r="J115" s="66"/>
      <c r="K115" s="66"/>
      <c r="L115" s="66"/>
      <c r="M115" s="66"/>
      <c r="N115" s="318"/>
      <c r="O115" s="66"/>
      <c r="P115" s="66"/>
      <c r="Q115" s="66"/>
    </row>
    <row r="116">
      <c r="A116" s="66"/>
      <c r="B116" s="66"/>
      <c r="C116" s="66"/>
      <c r="D116" s="419"/>
      <c r="E116" s="420"/>
      <c r="F116" s="66"/>
      <c r="G116" s="66"/>
      <c r="H116" s="66"/>
      <c r="I116" s="66"/>
      <c r="J116" s="66"/>
      <c r="K116" s="66"/>
      <c r="L116" s="66"/>
      <c r="M116" s="66"/>
      <c r="N116" s="66"/>
      <c r="O116" s="66"/>
      <c r="P116" s="66"/>
      <c r="Q116" s="66"/>
    </row>
    <row r="117">
      <c r="A117" s="66"/>
      <c r="B117" s="66"/>
      <c r="C117" s="66"/>
      <c r="D117" s="419"/>
      <c r="E117" s="420"/>
      <c r="F117" s="66"/>
      <c r="G117" s="66"/>
      <c r="H117" s="66"/>
      <c r="I117" s="66"/>
      <c r="J117" s="66"/>
      <c r="K117" s="66"/>
      <c r="L117" s="66"/>
      <c r="M117" s="66"/>
      <c r="N117" s="66"/>
      <c r="O117" s="66"/>
      <c r="P117" s="66"/>
      <c r="Q117" s="66"/>
    </row>
    <row r="118">
      <c r="A118" s="66"/>
      <c r="B118" s="66"/>
      <c r="C118" s="66"/>
      <c r="D118" s="419"/>
      <c r="E118" s="420"/>
      <c r="F118" s="66"/>
      <c r="G118" s="66"/>
      <c r="H118" s="66"/>
      <c r="I118" s="66"/>
      <c r="J118" s="66"/>
      <c r="K118" s="66"/>
      <c r="L118" s="7"/>
      <c r="M118" s="66"/>
      <c r="N118" s="66"/>
      <c r="O118" s="66"/>
      <c r="P118" s="66"/>
      <c r="Q118" s="66"/>
    </row>
    <row r="119">
      <c r="A119" s="66"/>
      <c r="B119" s="66"/>
      <c r="C119" s="66"/>
      <c r="D119" s="419"/>
      <c r="E119" s="420"/>
      <c r="F119" s="66"/>
      <c r="G119" s="66"/>
      <c r="H119" s="66"/>
      <c r="I119" s="66"/>
      <c r="J119" s="66"/>
      <c r="K119" s="66"/>
      <c r="L119" s="7"/>
      <c r="M119" s="66"/>
      <c r="N119" s="66"/>
      <c r="O119" s="66"/>
      <c r="P119" s="66"/>
      <c r="Q119" s="66"/>
    </row>
    <row r="120">
      <c r="D120" s="310"/>
      <c r="E120" s="311"/>
    </row>
    <row r="121">
      <c r="D121" s="310"/>
      <c r="E121" s="311"/>
    </row>
    <row r="122">
      <c r="D122" s="310"/>
      <c r="E122" s="311"/>
    </row>
    <row r="123">
      <c r="D123" s="310"/>
      <c r="E123" s="311"/>
    </row>
    <row r="124">
      <c r="D124" s="310"/>
      <c r="E124" s="311"/>
    </row>
    <row r="125">
      <c r="D125" s="310"/>
      <c r="E125" s="311"/>
    </row>
    <row r="126">
      <c r="D126" s="310"/>
      <c r="E126" s="311"/>
    </row>
    <row r="127">
      <c r="D127" s="310"/>
      <c r="E127" s="311"/>
    </row>
    <row r="128">
      <c r="D128" s="310"/>
      <c r="E128" s="311"/>
    </row>
    <row r="129">
      <c r="D129" s="310"/>
      <c r="E129" s="311"/>
    </row>
    <row r="130">
      <c r="D130" s="310"/>
      <c r="E130" s="311"/>
    </row>
    <row r="131">
      <c r="D131" s="310"/>
      <c r="E131" s="311"/>
    </row>
    <row r="132">
      <c r="D132" s="310"/>
      <c r="E132" s="311"/>
    </row>
    <row r="133">
      <c r="D133" s="310"/>
      <c r="E133" s="311"/>
    </row>
    <row r="134">
      <c r="D134" s="310"/>
      <c r="E134" s="311"/>
    </row>
    <row r="135">
      <c r="D135" s="310"/>
      <c r="E135" s="311"/>
    </row>
    <row r="136">
      <c r="D136" s="310"/>
      <c r="E136" s="311"/>
    </row>
    <row r="137">
      <c r="D137" s="310"/>
      <c r="E137" s="311"/>
    </row>
    <row r="138">
      <c r="D138" s="310"/>
      <c r="E138" s="311"/>
    </row>
    <row r="139">
      <c r="D139" s="310"/>
      <c r="E139" s="311"/>
    </row>
    <row r="140">
      <c r="D140" s="310"/>
      <c r="E140" s="311"/>
    </row>
    <row r="141">
      <c r="D141" s="310"/>
      <c r="E141" s="311"/>
    </row>
    <row r="142">
      <c r="D142" s="310"/>
      <c r="E142" s="311"/>
    </row>
    <row r="143">
      <c r="D143" s="310"/>
      <c r="E143" s="311"/>
    </row>
    <row r="144">
      <c r="D144" s="310"/>
      <c r="E144" s="311"/>
    </row>
    <row r="145">
      <c r="D145" s="310"/>
      <c r="E145" s="311"/>
    </row>
    <row r="146">
      <c r="D146" s="310"/>
      <c r="E146" s="311"/>
    </row>
    <row r="147">
      <c r="D147" s="310"/>
      <c r="E147" s="311"/>
    </row>
    <row r="148">
      <c r="D148" s="310"/>
      <c r="E148" s="311"/>
    </row>
    <row r="149">
      <c r="D149" s="310"/>
      <c r="E149" s="311"/>
    </row>
    <row r="150">
      <c r="D150" s="310"/>
      <c r="E150" s="311"/>
    </row>
    <row r="151">
      <c r="D151" s="310"/>
      <c r="E151" s="311"/>
    </row>
    <row r="152">
      <c r="D152" s="310"/>
      <c r="E152" s="311"/>
    </row>
    <row r="153">
      <c r="D153" s="310"/>
      <c r="E153" s="311"/>
    </row>
    <row r="154">
      <c r="D154" s="310"/>
      <c r="E154" s="311"/>
    </row>
    <row r="155">
      <c r="D155" s="310"/>
      <c r="E155" s="311"/>
    </row>
    <row r="156">
      <c r="D156" s="310"/>
      <c r="E156" s="311"/>
    </row>
    <row r="157">
      <c r="D157" s="310"/>
      <c r="E157" s="311"/>
    </row>
    <row r="158">
      <c r="D158" s="310"/>
      <c r="E158" s="311"/>
    </row>
    <row r="159">
      <c r="D159" s="310"/>
      <c r="E159" s="311"/>
    </row>
    <row r="160">
      <c r="D160" s="310"/>
      <c r="E160" s="311"/>
    </row>
    <row r="161">
      <c r="D161" s="310"/>
      <c r="E161" s="311"/>
    </row>
    <row r="162">
      <c r="D162" s="310"/>
      <c r="E162" s="311"/>
    </row>
    <row r="163">
      <c r="D163" s="310"/>
      <c r="E163" s="311"/>
    </row>
    <row r="164">
      <c r="D164" s="310"/>
      <c r="E164" s="311"/>
    </row>
    <row r="165">
      <c r="D165" s="310"/>
      <c r="E165" s="311"/>
    </row>
    <row r="166">
      <c r="D166" s="310"/>
      <c r="E166" s="311"/>
    </row>
    <row r="167">
      <c r="D167" s="310"/>
      <c r="E167" s="311"/>
    </row>
    <row r="168">
      <c r="D168" s="310"/>
      <c r="E168" s="311"/>
    </row>
    <row r="169">
      <c r="D169" s="310"/>
      <c r="E169" s="311"/>
    </row>
    <row r="170">
      <c r="D170" s="310"/>
      <c r="E170" s="311"/>
    </row>
    <row r="171">
      <c r="D171" s="310"/>
      <c r="E171" s="311"/>
    </row>
    <row r="172">
      <c r="D172" s="310"/>
      <c r="E172" s="311"/>
    </row>
    <row r="173">
      <c r="D173" s="310"/>
      <c r="E173" s="311"/>
    </row>
    <row r="174">
      <c r="D174" s="310"/>
      <c r="E174" s="311"/>
    </row>
    <row r="175">
      <c r="D175" s="310"/>
      <c r="E175" s="311"/>
    </row>
    <row r="176">
      <c r="D176" s="310"/>
      <c r="E176" s="311"/>
    </row>
    <row r="177">
      <c r="D177" s="310"/>
      <c r="E177" s="311"/>
    </row>
    <row r="178">
      <c r="D178" s="310"/>
      <c r="E178" s="311"/>
    </row>
    <row r="179">
      <c r="D179" s="310"/>
      <c r="E179" s="311"/>
    </row>
    <row r="180">
      <c r="D180" s="310"/>
      <c r="E180" s="311"/>
    </row>
    <row r="181">
      <c r="D181" s="310"/>
      <c r="E181" s="311"/>
    </row>
    <row r="182">
      <c r="D182" s="310"/>
      <c r="E182" s="311"/>
    </row>
    <row r="183">
      <c r="D183" s="310"/>
      <c r="E183" s="311"/>
    </row>
    <row r="184">
      <c r="D184" s="310"/>
      <c r="E184" s="311"/>
    </row>
    <row r="185">
      <c r="D185" s="310"/>
      <c r="E185" s="311"/>
    </row>
    <row r="186">
      <c r="D186" s="310"/>
      <c r="E186" s="311"/>
    </row>
    <row r="187">
      <c r="D187" s="310"/>
      <c r="E187" s="311"/>
    </row>
    <row r="188">
      <c r="D188" s="310"/>
      <c r="E188" s="311"/>
    </row>
    <row r="189">
      <c r="D189" s="310"/>
      <c r="E189" s="311"/>
    </row>
    <row r="190">
      <c r="D190" s="310"/>
      <c r="E190" s="311"/>
    </row>
    <row r="191">
      <c r="D191" s="310"/>
      <c r="E191" s="311"/>
    </row>
    <row r="192">
      <c r="D192" s="310"/>
      <c r="E192" s="311"/>
    </row>
    <row r="193">
      <c r="D193" s="310"/>
      <c r="E193" s="311"/>
    </row>
    <row r="194">
      <c r="D194" s="310"/>
      <c r="E194" s="311"/>
    </row>
    <row r="195">
      <c r="D195" s="310"/>
      <c r="E195" s="311"/>
    </row>
    <row r="196">
      <c r="D196" s="310"/>
      <c r="E196" s="311"/>
    </row>
    <row r="197">
      <c r="D197" s="310"/>
      <c r="E197" s="311"/>
    </row>
    <row r="198">
      <c r="D198" s="310"/>
      <c r="E198" s="311"/>
    </row>
    <row r="199">
      <c r="D199" s="310"/>
      <c r="E199" s="311"/>
    </row>
    <row r="200">
      <c r="D200" s="310"/>
      <c r="E200" s="311"/>
    </row>
    <row r="201">
      <c r="D201" s="310"/>
      <c r="E201" s="311"/>
    </row>
    <row r="202">
      <c r="D202" s="310"/>
      <c r="E202" s="311"/>
    </row>
    <row r="203">
      <c r="D203" s="310"/>
      <c r="E203" s="311"/>
    </row>
    <row r="204">
      <c r="D204" s="310"/>
      <c r="E204" s="311"/>
    </row>
    <row r="205">
      <c r="D205" s="310"/>
      <c r="E205" s="311"/>
    </row>
    <row r="206">
      <c r="D206" s="310"/>
      <c r="E206" s="311"/>
    </row>
    <row r="207">
      <c r="D207" s="310"/>
      <c r="E207" s="311"/>
    </row>
    <row r="208">
      <c r="D208" s="310"/>
      <c r="E208" s="311"/>
    </row>
    <row r="209">
      <c r="D209" s="310"/>
      <c r="E209" s="311"/>
    </row>
    <row r="210">
      <c r="D210" s="310"/>
      <c r="E210" s="311"/>
    </row>
    <row r="211">
      <c r="D211" s="310"/>
      <c r="E211" s="311"/>
    </row>
    <row r="212">
      <c r="D212" s="310"/>
      <c r="E212" s="311"/>
    </row>
    <row r="213">
      <c r="D213" s="310"/>
      <c r="E213" s="311"/>
    </row>
    <row r="214">
      <c r="D214" s="310"/>
      <c r="E214" s="311"/>
    </row>
    <row r="215">
      <c r="D215" s="310"/>
      <c r="E215" s="311"/>
    </row>
    <row r="216">
      <c r="D216" s="310"/>
      <c r="E216" s="311"/>
    </row>
    <row r="217">
      <c r="D217" s="310"/>
      <c r="E217" s="311"/>
    </row>
    <row r="218">
      <c r="D218" s="310"/>
      <c r="E218" s="311"/>
    </row>
    <row r="219">
      <c r="D219" s="310"/>
      <c r="E219" s="311"/>
    </row>
    <row r="220">
      <c r="D220" s="310"/>
      <c r="E220" s="311"/>
    </row>
    <row r="221">
      <c r="D221" s="310"/>
      <c r="E221" s="311"/>
    </row>
    <row r="222">
      <c r="D222" s="310"/>
      <c r="E222" s="311"/>
    </row>
    <row r="223">
      <c r="D223" s="310"/>
      <c r="E223" s="311"/>
    </row>
    <row r="224">
      <c r="D224" s="310"/>
      <c r="E224" s="311"/>
    </row>
    <row r="225">
      <c r="D225" s="310"/>
      <c r="E225" s="311"/>
    </row>
    <row r="226">
      <c r="D226" s="310"/>
      <c r="E226" s="311"/>
    </row>
    <row r="227">
      <c r="D227" s="310"/>
      <c r="E227" s="311"/>
    </row>
    <row r="228">
      <c r="D228" s="310"/>
      <c r="E228" s="311"/>
    </row>
    <row r="229">
      <c r="D229" s="310"/>
      <c r="E229" s="311"/>
    </row>
    <row r="230">
      <c r="D230" s="310"/>
      <c r="E230" s="311"/>
    </row>
    <row r="231">
      <c r="D231" s="310"/>
      <c r="E231" s="311"/>
    </row>
    <row r="232">
      <c r="D232" s="310"/>
      <c r="E232" s="311"/>
    </row>
    <row r="233">
      <c r="D233" s="310"/>
      <c r="E233" s="311"/>
    </row>
    <row r="234">
      <c r="D234" s="310"/>
      <c r="E234" s="311"/>
    </row>
    <row r="235">
      <c r="D235" s="310"/>
      <c r="E235" s="311"/>
    </row>
    <row r="236">
      <c r="D236" s="310"/>
      <c r="E236" s="311"/>
    </row>
    <row r="237">
      <c r="D237" s="310"/>
      <c r="E237" s="311"/>
    </row>
    <row r="238">
      <c r="D238" s="310"/>
      <c r="E238" s="311"/>
    </row>
    <row r="239">
      <c r="D239" s="310"/>
      <c r="E239" s="311"/>
    </row>
    <row r="240">
      <c r="D240" s="310"/>
      <c r="E240" s="311"/>
    </row>
    <row r="241">
      <c r="D241" s="310"/>
      <c r="E241" s="311"/>
    </row>
    <row r="242">
      <c r="D242" s="310"/>
      <c r="E242" s="311"/>
    </row>
    <row r="243">
      <c r="D243" s="310"/>
      <c r="E243" s="3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row r="734">
      <c r="D734" s="310"/>
      <c r="E734" s="311"/>
    </row>
    <row r="735">
      <c r="D735" s="310"/>
      <c r="E735" s="311"/>
    </row>
    <row r="736">
      <c r="D736" s="310"/>
      <c r="E736" s="311"/>
    </row>
    <row r="737">
      <c r="D737" s="310"/>
      <c r="E737" s="311"/>
    </row>
    <row r="738">
      <c r="D738" s="310"/>
      <c r="E738" s="311"/>
    </row>
    <row r="739">
      <c r="D739" s="310"/>
      <c r="E739" s="311"/>
    </row>
    <row r="740">
      <c r="D740" s="310"/>
      <c r="E740" s="311"/>
    </row>
    <row r="741">
      <c r="D741" s="310"/>
      <c r="E741" s="311"/>
    </row>
    <row r="742">
      <c r="D742" s="310"/>
      <c r="E742" s="311"/>
    </row>
    <row r="743">
      <c r="D743" s="310"/>
      <c r="E743" s="311"/>
    </row>
    <row r="744">
      <c r="D744" s="310"/>
      <c r="E744" s="311"/>
    </row>
    <row r="745">
      <c r="D745" s="310"/>
      <c r="E745" s="311"/>
    </row>
    <row r="746">
      <c r="D746" s="310"/>
      <c r="E746" s="311"/>
    </row>
    <row r="747">
      <c r="D747" s="310"/>
      <c r="E747" s="311"/>
    </row>
    <row r="748">
      <c r="D748" s="310"/>
      <c r="E748" s="311"/>
    </row>
    <row r="749">
      <c r="D749" s="310"/>
      <c r="E749" s="311"/>
    </row>
  </sheetData>
  <mergeCells count="87">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1:H71"/>
    <mergeCell ref="G72:H72"/>
    <mergeCell ref="G73:H73"/>
    <mergeCell ref="G75:H75"/>
    <mergeCell ref="G77:H77"/>
    <mergeCell ref="G78:H78"/>
    <mergeCell ref="G79:H79"/>
    <mergeCell ref="G81:H81"/>
    <mergeCell ref="G83:H83"/>
    <mergeCell ref="G84:H84"/>
    <mergeCell ref="G85:H85"/>
    <mergeCell ref="G86:H86"/>
    <mergeCell ref="G87:H87"/>
    <mergeCell ref="G96:H96"/>
    <mergeCell ref="G97:H97"/>
    <mergeCell ref="G98:H98"/>
    <mergeCell ref="G88:H88"/>
    <mergeCell ref="G89:H89"/>
    <mergeCell ref="G90:H90"/>
    <mergeCell ref="G91:H91"/>
    <mergeCell ref="G92:H92"/>
    <mergeCell ref="G94:H94"/>
    <mergeCell ref="G95:H95"/>
    <mergeCell ref="G2:H2"/>
    <mergeCell ref="G3:H3"/>
    <mergeCell ref="G4:H4"/>
    <mergeCell ref="G5:H5"/>
    <mergeCell ref="G6:H6"/>
    <mergeCell ref="G7:H7"/>
    <mergeCell ref="G9:H9"/>
    <mergeCell ref="G10:H10"/>
    <mergeCell ref="G11:H11"/>
    <mergeCell ref="G12:H12"/>
    <mergeCell ref="G13:H13"/>
    <mergeCell ref="G14:H14"/>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6:H46"/>
    <mergeCell ref="G47:H47"/>
    <mergeCell ref="G48:H48"/>
    <mergeCell ref="G49:H49"/>
    <mergeCell ref="G50:H50"/>
    <mergeCell ref="G51:H51"/>
    <mergeCell ref="G52:H52"/>
    <mergeCell ref="G53:H53"/>
    <mergeCell ref="G54:H54"/>
  </mergeCells>
  <conditionalFormatting sqref="K1:K805">
    <cfRule type="expression" dxfId="0" priority="1">
      <formula>K1&lt;45748.0</formula>
    </cfRule>
  </conditionalFormatting>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7.25"/>
    <col customWidth="1" min="6" max="6" width="11.5"/>
    <col customWidth="1" min="7" max="7" width="14.25"/>
    <col customWidth="1" min="15" max="15" width="19.25"/>
  </cols>
  <sheetData>
    <row r="1">
      <c r="A1" s="347" t="s">
        <v>0</v>
      </c>
      <c r="B1" s="348" t="s">
        <v>1</v>
      </c>
      <c r="C1" s="281" t="s">
        <v>2</v>
      </c>
      <c r="D1" s="281" t="s">
        <v>603</v>
      </c>
      <c r="E1" s="281" t="s">
        <v>604</v>
      </c>
      <c r="F1" s="281" t="s">
        <v>4</v>
      </c>
      <c r="G1" s="281" t="s">
        <v>5</v>
      </c>
      <c r="H1" s="281" t="s">
        <v>6</v>
      </c>
      <c r="I1" s="281" t="s">
        <v>7</v>
      </c>
      <c r="J1" s="281" t="s">
        <v>8</v>
      </c>
      <c r="K1" s="281" t="s">
        <v>9</v>
      </c>
      <c r="L1" s="281" t="s">
        <v>10</v>
      </c>
      <c r="M1" s="281" t="s">
        <v>11</v>
      </c>
      <c r="N1" s="281" t="s">
        <v>12</v>
      </c>
      <c r="O1" s="281" t="s">
        <v>379</v>
      </c>
      <c r="P1" s="281" t="s">
        <v>14</v>
      </c>
      <c r="Q1" s="281" t="s">
        <v>15</v>
      </c>
      <c r="R1" s="66"/>
      <c r="S1" s="66"/>
      <c r="T1" s="66"/>
      <c r="U1" s="66"/>
      <c r="V1" s="66"/>
      <c r="W1" s="66"/>
      <c r="X1" s="66"/>
    </row>
    <row r="2">
      <c r="A2" s="349" t="s">
        <v>16</v>
      </c>
      <c r="B2" s="283">
        <v>4320.0</v>
      </c>
      <c r="C2" s="284"/>
      <c r="D2" s="285">
        <v>0.0</v>
      </c>
      <c r="E2" s="282" t="s">
        <v>436</v>
      </c>
      <c r="F2" s="282" t="s">
        <v>362</v>
      </c>
      <c r="G2" s="286" t="s">
        <v>363</v>
      </c>
      <c r="H2" s="287"/>
      <c r="I2" s="288">
        <v>37149.0</v>
      </c>
      <c r="J2" s="288">
        <v>45397.0</v>
      </c>
      <c r="K2" s="289"/>
      <c r="L2" s="302">
        <f t="shared" ref="L2:L4" si="1">N2-M2+1</f>
        <v>31</v>
      </c>
      <c r="M2" s="350">
        <v>45778.0</v>
      </c>
      <c r="N2" s="350">
        <v>45808.0</v>
      </c>
      <c r="O2" s="290">
        <f t="shared" ref="O2:O45" si="2">ROUNDUP(L2/31*370,0)</f>
        <v>370</v>
      </c>
      <c r="P2" s="290">
        <f t="shared" ref="P2:P115" si="3">O2*5</f>
        <v>1850</v>
      </c>
      <c r="Q2" s="290">
        <f t="shared" ref="Q2:Q115" si="4">O2+P2</f>
        <v>2220</v>
      </c>
    </row>
    <row r="3">
      <c r="A3" s="282" t="s">
        <v>16</v>
      </c>
      <c r="B3" s="283">
        <v>4320.0</v>
      </c>
      <c r="C3" s="289"/>
      <c r="D3" s="285">
        <v>0.0</v>
      </c>
      <c r="E3" s="291" t="s">
        <v>687</v>
      </c>
      <c r="F3" s="292" t="s">
        <v>777</v>
      </c>
      <c r="G3" s="286" t="s">
        <v>689</v>
      </c>
      <c r="H3" s="287"/>
      <c r="I3" s="293">
        <v>37214.0</v>
      </c>
      <c r="J3" s="288">
        <v>45691.0</v>
      </c>
      <c r="K3" s="289"/>
      <c r="L3" s="302">
        <f t="shared" si="1"/>
        <v>31</v>
      </c>
      <c r="M3" s="350">
        <v>45778.0</v>
      </c>
      <c r="N3" s="350">
        <v>45808.0</v>
      </c>
      <c r="O3" s="290">
        <f t="shared" si="2"/>
        <v>370</v>
      </c>
      <c r="P3" s="290">
        <f t="shared" si="3"/>
        <v>1850</v>
      </c>
      <c r="Q3" s="290">
        <f t="shared" si="4"/>
        <v>2220</v>
      </c>
    </row>
    <row r="4">
      <c r="A4" s="282" t="s">
        <v>16</v>
      </c>
      <c r="B4" s="283">
        <v>4320.0</v>
      </c>
      <c r="C4" s="284"/>
      <c r="D4" s="285">
        <v>0.0</v>
      </c>
      <c r="E4" s="282" t="s">
        <v>407</v>
      </c>
      <c r="F4" s="282" t="s">
        <v>97</v>
      </c>
      <c r="G4" s="286" t="s">
        <v>98</v>
      </c>
      <c r="H4" s="287"/>
      <c r="I4" s="294">
        <v>36690.0</v>
      </c>
      <c r="J4" s="288">
        <v>44938.0</v>
      </c>
      <c r="K4" s="289"/>
      <c r="L4" s="302">
        <f t="shared" si="1"/>
        <v>31</v>
      </c>
      <c r="M4" s="350">
        <v>45778.0</v>
      </c>
      <c r="N4" s="350">
        <v>45808.0</v>
      </c>
      <c r="O4" s="290">
        <f t="shared" si="2"/>
        <v>370</v>
      </c>
      <c r="P4" s="290">
        <f t="shared" si="3"/>
        <v>1850</v>
      </c>
      <c r="Q4" s="290">
        <f t="shared" si="4"/>
        <v>2220</v>
      </c>
    </row>
    <row r="5">
      <c r="A5" s="421" t="s">
        <v>16</v>
      </c>
      <c r="B5" s="422">
        <v>4320.0</v>
      </c>
      <c r="C5" s="423"/>
      <c r="D5" s="424">
        <v>0.0</v>
      </c>
      <c r="E5" s="421" t="s">
        <v>473</v>
      </c>
      <c r="F5" s="421" t="s">
        <v>530</v>
      </c>
      <c r="G5" s="425" t="s">
        <v>475</v>
      </c>
      <c r="H5" s="287"/>
      <c r="I5" s="426">
        <v>37459.0</v>
      </c>
      <c r="J5" s="426">
        <v>45586.0</v>
      </c>
      <c r="K5" s="427"/>
      <c r="L5" s="428">
        <v>0.0</v>
      </c>
      <c r="M5" s="429">
        <v>45778.0</v>
      </c>
      <c r="N5" s="429">
        <v>45808.0</v>
      </c>
      <c r="O5" s="430">
        <f t="shared" si="2"/>
        <v>0</v>
      </c>
      <c r="P5" s="430">
        <f t="shared" si="3"/>
        <v>0</v>
      </c>
      <c r="Q5" s="430">
        <f t="shared" si="4"/>
        <v>0</v>
      </c>
      <c r="R5" s="48"/>
      <c r="S5" s="48"/>
      <c r="T5" s="48"/>
      <c r="U5" s="48"/>
      <c r="V5" s="48"/>
      <c r="W5" s="48"/>
      <c r="X5" s="48"/>
    </row>
    <row r="6">
      <c r="A6" s="282" t="s">
        <v>16</v>
      </c>
      <c r="B6" s="283">
        <v>4320.0</v>
      </c>
      <c r="C6" s="284"/>
      <c r="D6" s="285">
        <v>0.0</v>
      </c>
      <c r="E6" s="282" t="s">
        <v>408</v>
      </c>
      <c r="F6" s="282" t="s">
        <v>409</v>
      </c>
      <c r="G6" s="286" t="s">
        <v>410</v>
      </c>
      <c r="H6" s="287"/>
      <c r="I6" s="288">
        <v>37978.0</v>
      </c>
      <c r="J6" s="288">
        <v>45453.0</v>
      </c>
      <c r="K6" s="289"/>
      <c r="L6" s="302">
        <f t="shared" ref="L6:L45" si="5">N6-M6+1</f>
        <v>31</v>
      </c>
      <c r="M6" s="350">
        <v>45778.0</v>
      </c>
      <c r="N6" s="350">
        <v>45808.0</v>
      </c>
      <c r="O6" s="290">
        <f t="shared" si="2"/>
        <v>370</v>
      </c>
      <c r="P6" s="290">
        <f t="shared" si="3"/>
        <v>1850</v>
      </c>
      <c r="Q6" s="290">
        <f t="shared" si="4"/>
        <v>2220</v>
      </c>
    </row>
    <row r="7">
      <c r="A7" s="282" t="s">
        <v>16</v>
      </c>
      <c r="B7" s="283">
        <v>4320.0</v>
      </c>
      <c r="C7" s="284"/>
      <c r="D7" s="285">
        <v>1.0</v>
      </c>
      <c r="E7" s="351" t="s">
        <v>730</v>
      </c>
      <c r="F7" s="352" t="s">
        <v>731</v>
      </c>
      <c r="G7" s="352" t="s">
        <v>732</v>
      </c>
      <c r="H7" s="282"/>
      <c r="I7" s="350">
        <v>38263.0</v>
      </c>
      <c r="J7" s="350">
        <v>45355.0</v>
      </c>
      <c r="K7" s="289"/>
      <c r="L7" s="302">
        <f t="shared" si="5"/>
        <v>31</v>
      </c>
      <c r="M7" s="350">
        <v>45778.0</v>
      </c>
      <c r="N7" s="350">
        <v>45808.0</v>
      </c>
      <c r="O7" s="290">
        <f t="shared" si="2"/>
        <v>370</v>
      </c>
      <c r="P7" s="290">
        <f t="shared" si="3"/>
        <v>1850</v>
      </c>
      <c r="Q7" s="290">
        <f t="shared" si="4"/>
        <v>2220</v>
      </c>
    </row>
    <row r="8">
      <c r="A8" s="282" t="s">
        <v>16</v>
      </c>
      <c r="B8" s="283">
        <v>4320.0</v>
      </c>
      <c r="C8" s="284"/>
      <c r="D8" s="285">
        <v>0.0</v>
      </c>
      <c r="E8" s="282" t="s">
        <v>246</v>
      </c>
      <c r="F8" s="282" t="s">
        <v>247</v>
      </c>
      <c r="G8" s="286" t="s">
        <v>248</v>
      </c>
      <c r="H8" s="287"/>
      <c r="I8" s="288">
        <v>36501.0</v>
      </c>
      <c r="J8" s="288">
        <v>45246.0</v>
      </c>
      <c r="K8" s="289"/>
      <c r="L8" s="302">
        <f t="shared" si="5"/>
        <v>31</v>
      </c>
      <c r="M8" s="350">
        <v>45778.0</v>
      </c>
      <c r="N8" s="350">
        <v>45808.0</v>
      </c>
      <c r="O8" s="290">
        <f t="shared" si="2"/>
        <v>370</v>
      </c>
      <c r="P8" s="290">
        <f t="shared" si="3"/>
        <v>1850</v>
      </c>
      <c r="Q8" s="290">
        <f t="shared" si="4"/>
        <v>2220</v>
      </c>
    </row>
    <row r="9">
      <c r="A9" s="282" t="s">
        <v>16</v>
      </c>
      <c r="B9" s="283">
        <v>4320.0</v>
      </c>
      <c r="C9" s="284"/>
      <c r="D9" s="285">
        <v>0.0</v>
      </c>
      <c r="E9" s="282" t="s">
        <v>564</v>
      </c>
      <c r="F9" s="282" t="s">
        <v>565</v>
      </c>
      <c r="G9" s="286" t="s">
        <v>566</v>
      </c>
      <c r="H9" s="287"/>
      <c r="I9" s="288">
        <v>34799.0</v>
      </c>
      <c r="J9" s="288">
        <v>45670.0</v>
      </c>
      <c r="K9" s="289"/>
      <c r="L9" s="302">
        <f t="shared" si="5"/>
        <v>31</v>
      </c>
      <c r="M9" s="350">
        <v>45778.0</v>
      </c>
      <c r="N9" s="350">
        <v>45808.0</v>
      </c>
      <c r="O9" s="290">
        <f t="shared" si="2"/>
        <v>370</v>
      </c>
      <c r="P9" s="290">
        <f t="shared" si="3"/>
        <v>1850</v>
      </c>
      <c r="Q9" s="290">
        <f t="shared" si="4"/>
        <v>2220</v>
      </c>
    </row>
    <row r="10">
      <c r="A10" s="282" t="s">
        <v>16</v>
      </c>
      <c r="B10" s="283">
        <v>4320.0</v>
      </c>
      <c r="C10" s="284"/>
      <c r="D10" s="285">
        <v>0.0</v>
      </c>
      <c r="E10" s="282" t="s">
        <v>264</v>
      </c>
      <c r="F10" s="282" t="s">
        <v>265</v>
      </c>
      <c r="G10" s="286" t="s">
        <v>266</v>
      </c>
      <c r="H10" s="287"/>
      <c r="I10" s="288">
        <v>37398.0</v>
      </c>
      <c r="J10" s="288">
        <v>45096.0</v>
      </c>
      <c r="K10" s="289"/>
      <c r="L10" s="302">
        <f t="shared" si="5"/>
        <v>31</v>
      </c>
      <c r="M10" s="350">
        <v>45778.0</v>
      </c>
      <c r="N10" s="350">
        <v>45808.0</v>
      </c>
      <c r="O10" s="290">
        <f t="shared" si="2"/>
        <v>370</v>
      </c>
      <c r="P10" s="290">
        <f t="shared" si="3"/>
        <v>1850</v>
      </c>
      <c r="Q10" s="290">
        <f t="shared" si="4"/>
        <v>2220</v>
      </c>
    </row>
    <row r="11">
      <c r="A11" s="282" t="s">
        <v>16</v>
      </c>
      <c r="B11" s="283">
        <v>4320.0</v>
      </c>
      <c r="C11" s="284"/>
      <c r="D11" s="283">
        <v>0.0</v>
      </c>
      <c r="E11" s="282" t="s">
        <v>411</v>
      </c>
      <c r="F11" s="282" t="s">
        <v>412</v>
      </c>
      <c r="G11" s="286" t="s">
        <v>413</v>
      </c>
      <c r="H11" s="287"/>
      <c r="I11" s="288">
        <v>33230.0</v>
      </c>
      <c r="J11" s="288">
        <v>45453.0</v>
      </c>
      <c r="K11" s="289"/>
      <c r="L11" s="302">
        <f t="shared" si="5"/>
        <v>31</v>
      </c>
      <c r="M11" s="350">
        <v>45778.0</v>
      </c>
      <c r="N11" s="350">
        <v>45808.0</v>
      </c>
      <c r="O11" s="290">
        <f t="shared" si="2"/>
        <v>370</v>
      </c>
      <c r="P11" s="290">
        <f t="shared" si="3"/>
        <v>1850</v>
      </c>
      <c r="Q11" s="290">
        <f t="shared" si="4"/>
        <v>2220</v>
      </c>
    </row>
    <row r="12">
      <c r="A12" s="282" t="s">
        <v>16</v>
      </c>
      <c r="B12" s="283">
        <v>4320.0</v>
      </c>
      <c r="C12" s="289"/>
      <c r="D12" s="285">
        <v>0.0</v>
      </c>
      <c r="E12" s="291" t="s">
        <v>690</v>
      </c>
      <c r="F12" s="295" t="s">
        <v>778</v>
      </c>
      <c r="G12" s="286" t="s">
        <v>692</v>
      </c>
      <c r="H12" s="287"/>
      <c r="I12" s="288">
        <v>37137.0</v>
      </c>
      <c r="J12" s="288">
        <v>45691.0</v>
      </c>
      <c r="K12" s="296"/>
      <c r="L12" s="302">
        <f t="shared" si="5"/>
        <v>31</v>
      </c>
      <c r="M12" s="350">
        <v>45778.0</v>
      </c>
      <c r="N12" s="350">
        <v>45808.0</v>
      </c>
      <c r="O12" s="290">
        <f t="shared" si="2"/>
        <v>370</v>
      </c>
      <c r="P12" s="290">
        <f t="shared" si="3"/>
        <v>1850</v>
      </c>
      <c r="Q12" s="290">
        <f t="shared" si="4"/>
        <v>2220</v>
      </c>
    </row>
    <row r="13">
      <c r="A13" s="282" t="s">
        <v>16</v>
      </c>
      <c r="B13" s="283">
        <v>4320.0</v>
      </c>
      <c r="C13" s="289"/>
      <c r="D13" s="285">
        <v>0.0</v>
      </c>
      <c r="E13" s="291" t="s">
        <v>693</v>
      </c>
      <c r="F13" s="297" t="s">
        <v>694</v>
      </c>
      <c r="G13" s="289" t="s">
        <v>695</v>
      </c>
      <c r="H13" s="289"/>
      <c r="I13" s="293">
        <v>35599.0</v>
      </c>
      <c r="J13" s="288">
        <v>45712.0</v>
      </c>
      <c r="K13" s="289"/>
      <c r="L13" s="302">
        <f t="shared" si="5"/>
        <v>31</v>
      </c>
      <c r="M13" s="350">
        <v>45778.0</v>
      </c>
      <c r="N13" s="350">
        <v>45808.0</v>
      </c>
      <c r="O13" s="290">
        <f t="shared" si="2"/>
        <v>370</v>
      </c>
      <c r="P13" s="290">
        <f t="shared" si="3"/>
        <v>1850</v>
      </c>
      <c r="Q13" s="290">
        <f t="shared" si="4"/>
        <v>2220</v>
      </c>
    </row>
    <row r="14">
      <c r="A14" s="282" t="s">
        <v>16</v>
      </c>
      <c r="B14" s="283">
        <v>4320.0</v>
      </c>
      <c r="C14" s="284"/>
      <c r="D14" s="285">
        <v>0.0</v>
      </c>
      <c r="E14" s="282" t="s">
        <v>282</v>
      </c>
      <c r="F14" s="282" t="s">
        <v>283</v>
      </c>
      <c r="G14" s="286" t="s">
        <v>284</v>
      </c>
      <c r="H14" s="287"/>
      <c r="I14" s="294">
        <v>35047.0</v>
      </c>
      <c r="J14" s="288">
        <v>45257.0</v>
      </c>
      <c r="K14" s="289"/>
      <c r="L14" s="302">
        <f t="shared" si="5"/>
        <v>31</v>
      </c>
      <c r="M14" s="350">
        <v>45778.0</v>
      </c>
      <c r="N14" s="350">
        <v>45808.0</v>
      </c>
      <c r="O14" s="290">
        <f t="shared" si="2"/>
        <v>370</v>
      </c>
      <c r="P14" s="290">
        <f t="shared" si="3"/>
        <v>1850</v>
      </c>
      <c r="Q14" s="290">
        <f t="shared" si="4"/>
        <v>2220</v>
      </c>
    </row>
    <row r="15">
      <c r="A15" s="282" t="s">
        <v>16</v>
      </c>
      <c r="B15" s="283">
        <v>4320.0</v>
      </c>
      <c r="C15" s="284"/>
      <c r="D15" s="285">
        <v>0.0</v>
      </c>
      <c r="E15" s="282" t="s">
        <v>481</v>
      </c>
      <c r="F15" s="282" t="s">
        <v>531</v>
      </c>
      <c r="G15" s="286" t="s">
        <v>482</v>
      </c>
      <c r="H15" s="287"/>
      <c r="I15" s="288">
        <v>35096.0</v>
      </c>
      <c r="J15" s="288">
        <v>45602.0</v>
      </c>
      <c r="K15" s="289"/>
      <c r="L15" s="302">
        <f t="shared" si="5"/>
        <v>31</v>
      </c>
      <c r="M15" s="350">
        <v>45778.0</v>
      </c>
      <c r="N15" s="350">
        <v>45808.0</v>
      </c>
      <c r="O15" s="290">
        <f t="shared" si="2"/>
        <v>370</v>
      </c>
      <c r="P15" s="290">
        <f t="shared" si="3"/>
        <v>1850</v>
      </c>
      <c r="Q15" s="290">
        <f t="shared" si="4"/>
        <v>2220</v>
      </c>
    </row>
    <row r="16">
      <c r="A16" s="282" t="s">
        <v>16</v>
      </c>
      <c r="B16" s="283">
        <v>4320.0</v>
      </c>
      <c r="C16" s="284"/>
      <c r="D16" s="285">
        <v>0.0</v>
      </c>
      <c r="E16" s="282" t="s">
        <v>45</v>
      </c>
      <c r="F16" s="282" t="s">
        <v>46</v>
      </c>
      <c r="G16" s="286" t="s">
        <v>47</v>
      </c>
      <c r="H16" s="287"/>
      <c r="I16" s="288">
        <v>37370.0</v>
      </c>
      <c r="J16" s="288">
        <v>44739.0</v>
      </c>
      <c r="K16" s="289"/>
      <c r="L16" s="302">
        <f t="shared" si="5"/>
        <v>31</v>
      </c>
      <c r="M16" s="350">
        <v>45778.0</v>
      </c>
      <c r="N16" s="350">
        <v>45808.0</v>
      </c>
      <c r="O16" s="290">
        <f t="shared" si="2"/>
        <v>370</v>
      </c>
      <c r="P16" s="290">
        <f t="shared" si="3"/>
        <v>1850</v>
      </c>
      <c r="Q16" s="290">
        <f t="shared" si="4"/>
        <v>2220</v>
      </c>
    </row>
    <row r="17">
      <c r="A17" s="282" t="s">
        <v>16</v>
      </c>
      <c r="B17" s="283">
        <v>4320.0</v>
      </c>
      <c r="C17" s="284"/>
      <c r="D17" s="285">
        <v>0.0</v>
      </c>
      <c r="E17" s="282" t="s">
        <v>48</v>
      </c>
      <c r="F17" s="282" t="s">
        <v>49</v>
      </c>
      <c r="G17" s="286" t="s">
        <v>50</v>
      </c>
      <c r="H17" s="287"/>
      <c r="I17" s="288">
        <v>36399.0</v>
      </c>
      <c r="J17" s="294">
        <v>45229.0</v>
      </c>
      <c r="K17" s="289"/>
      <c r="L17" s="302">
        <f t="shared" si="5"/>
        <v>31</v>
      </c>
      <c r="M17" s="350">
        <v>45778.0</v>
      </c>
      <c r="N17" s="350">
        <v>45808.0</v>
      </c>
      <c r="O17" s="290">
        <f t="shared" si="2"/>
        <v>370</v>
      </c>
      <c r="P17" s="290">
        <f t="shared" si="3"/>
        <v>1850</v>
      </c>
      <c r="Q17" s="290">
        <f t="shared" si="4"/>
        <v>2220</v>
      </c>
    </row>
    <row r="18">
      <c r="A18" s="282" t="s">
        <v>16</v>
      </c>
      <c r="B18" s="283">
        <v>4320.0</v>
      </c>
      <c r="C18" s="284"/>
      <c r="D18" s="285">
        <v>0.0</v>
      </c>
      <c r="E18" s="282" t="s">
        <v>444</v>
      </c>
      <c r="F18" s="282" t="s">
        <v>320</v>
      </c>
      <c r="G18" s="286" t="s">
        <v>321</v>
      </c>
      <c r="H18" s="287"/>
      <c r="I18" s="288">
        <v>36360.0</v>
      </c>
      <c r="J18" s="288">
        <v>45355.0</v>
      </c>
      <c r="K18" s="289"/>
      <c r="L18" s="302">
        <f t="shared" si="5"/>
        <v>31</v>
      </c>
      <c r="M18" s="350">
        <v>45778.0</v>
      </c>
      <c r="N18" s="350">
        <v>45808.0</v>
      </c>
      <c r="O18" s="290">
        <f t="shared" si="2"/>
        <v>370</v>
      </c>
      <c r="P18" s="290">
        <f t="shared" si="3"/>
        <v>1850</v>
      </c>
      <c r="Q18" s="290">
        <f t="shared" si="4"/>
        <v>2220</v>
      </c>
    </row>
    <row r="19">
      <c r="A19" s="282" t="s">
        <v>16</v>
      </c>
      <c r="B19" s="283">
        <v>4320.0</v>
      </c>
      <c r="C19" s="284"/>
      <c r="D19" s="285">
        <v>0.0</v>
      </c>
      <c r="E19" s="282" t="s">
        <v>383</v>
      </c>
      <c r="F19" s="282" t="s">
        <v>384</v>
      </c>
      <c r="G19" s="286" t="s">
        <v>385</v>
      </c>
      <c r="H19" s="287"/>
      <c r="I19" s="294">
        <v>36183.0</v>
      </c>
      <c r="J19" s="288">
        <v>45418.0</v>
      </c>
      <c r="K19" s="289"/>
      <c r="L19" s="302">
        <f t="shared" si="5"/>
        <v>31</v>
      </c>
      <c r="M19" s="350">
        <v>45778.0</v>
      </c>
      <c r="N19" s="350">
        <v>45808.0</v>
      </c>
      <c r="O19" s="290">
        <f t="shared" si="2"/>
        <v>370</v>
      </c>
      <c r="P19" s="290">
        <f t="shared" si="3"/>
        <v>1850</v>
      </c>
      <c r="Q19" s="290">
        <f t="shared" si="4"/>
        <v>2220</v>
      </c>
    </row>
    <row r="20">
      <c r="A20" s="282" t="s">
        <v>16</v>
      </c>
      <c r="B20" s="283">
        <v>4320.0</v>
      </c>
      <c r="C20" s="284"/>
      <c r="D20" s="285">
        <v>0.0</v>
      </c>
      <c r="E20" s="282" t="s">
        <v>288</v>
      </c>
      <c r="F20" s="282" t="s">
        <v>289</v>
      </c>
      <c r="G20" s="286" t="s">
        <v>290</v>
      </c>
      <c r="H20" s="287"/>
      <c r="I20" s="288">
        <v>37047.0</v>
      </c>
      <c r="J20" s="288">
        <v>45257.0</v>
      </c>
      <c r="K20" s="289"/>
      <c r="L20" s="302">
        <f t="shared" si="5"/>
        <v>31</v>
      </c>
      <c r="M20" s="350">
        <v>45778.0</v>
      </c>
      <c r="N20" s="350">
        <v>45808.0</v>
      </c>
      <c r="O20" s="290">
        <f t="shared" si="2"/>
        <v>370</v>
      </c>
      <c r="P20" s="290">
        <f t="shared" si="3"/>
        <v>1850</v>
      </c>
      <c r="Q20" s="290">
        <f t="shared" si="4"/>
        <v>2220</v>
      </c>
    </row>
    <row r="21">
      <c r="A21" s="282" t="s">
        <v>16</v>
      </c>
      <c r="B21" s="283">
        <v>4320.0</v>
      </c>
      <c r="C21" s="284"/>
      <c r="D21" s="285">
        <v>0.0</v>
      </c>
      <c r="E21" s="282" t="s">
        <v>567</v>
      </c>
      <c r="F21" s="282" t="s">
        <v>568</v>
      </c>
      <c r="G21" s="286" t="s">
        <v>569</v>
      </c>
      <c r="H21" s="287"/>
      <c r="I21" s="288">
        <v>37962.0</v>
      </c>
      <c r="J21" s="288">
        <v>45677.0</v>
      </c>
      <c r="K21" s="381">
        <v>45779.0</v>
      </c>
      <c r="L21" s="302">
        <f t="shared" si="5"/>
        <v>2</v>
      </c>
      <c r="M21" s="350">
        <v>45778.0</v>
      </c>
      <c r="N21" s="381">
        <v>45779.0</v>
      </c>
      <c r="O21" s="290">
        <f t="shared" si="2"/>
        <v>24</v>
      </c>
      <c r="P21" s="290">
        <f t="shared" si="3"/>
        <v>120</v>
      </c>
      <c r="Q21" s="290">
        <f t="shared" si="4"/>
        <v>144</v>
      </c>
    </row>
    <row r="22">
      <c r="A22" s="282" t="s">
        <v>16</v>
      </c>
      <c r="B22" s="283">
        <v>4320.0</v>
      </c>
      <c r="C22" s="284"/>
      <c r="D22" s="285">
        <v>0.0</v>
      </c>
      <c r="E22" s="298" t="s">
        <v>445</v>
      </c>
      <c r="F22" s="282" t="s">
        <v>510</v>
      </c>
      <c r="G22" s="286" t="s">
        <v>447</v>
      </c>
      <c r="H22" s="287"/>
      <c r="I22" s="288">
        <v>37047.0</v>
      </c>
      <c r="J22" s="288">
        <v>45505.0</v>
      </c>
      <c r="K22" s="289"/>
      <c r="L22" s="302">
        <f t="shared" si="5"/>
        <v>31</v>
      </c>
      <c r="M22" s="350">
        <v>45778.0</v>
      </c>
      <c r="N22" s="350">
        <v>45808.0</v>
      </c>
      <c r="O22" s="290">
        <f t="shared" si="2"/>
        <v>370</v>
      </c>
      <c r="P22" s="290">
        <f t="shared" si="3"/>
        <v>1850</v>
      </c>
      <c r="Q22" s="290">
        <f t="shared" si="4"/>
        <v>2220</v>
      </c>
    </row>
    <row r="23">
      <c r="A23" s="282" t="s">
        <v>16</v>
      </c>
      <c r="B23" s="283">
        <v>4320.0</v>
      </c>
      <c r="C23" s="284"/>
      <c r="D23" s="285">
        <v>0.0</v>
      </c>
      <c r="E23" s="282" t="s">
        <v>467</v>
      </c>
      <c r="F23" s="282" t="s">
        <v>511</v>
      </c>
      <c r="G23" s="286" t="s">
        <v>450</v>
      </c>
      <c r="H23" s="287"/>
      <c r="I23" s="288">
        <v>36682.0</v>
      </c>
      <c r="J23" s="288">
        <v>45505.0</v>
      </c>
      <c r="K23" s="289"/>
      <c r="L23" s="302">
        <f t="shared" si="5"/>
        <v>31</v>
      </c>
      <c r="M23" s="350">
        <v>45778.0</v>
      </c>
      <c r="N23" s="350">
        <v>45808.0</v>
      </c>
      <c r="O23" s="290">
        <f t="shared" si="2"/>
        <v>370</v>
      </c>
      <c r="P23" s="290">
        <f t="shared" si="3"/>
        <v>1850</v>
      </c>
      <c r="Q23" s="290">
        <f t="shared" si="4"/>
        <v>2220</v>
      </c>
    </row>
    <row r="24">
      <c r="A24" s="282" t="s">
        <v>16</v>
      </c>
      <c r="B24" s="283">
        <v>4320.0</v>
      </c>
      <c r="C24" s="284"/>
      <c r="D24" s="285">
        <v>0.0</v>
      </c>
      <c r="E24" s="282" t="s">
        <v>503</v>
      </c>
      <c r="F24" s="282" t="s">
        <v>542</v>
      </c>
      <c r="G24" s="286" t="s">
        <v>504</v>
      </c>
      <c r="H24" s="287"/>
      <c r="I24" s="288">
        <v>37422.0</v>
      </c>
      <c r="J24" s="294">
        <v>45635.0</v>
      </c>
      <c r="K24" s="289"/>
      <c r="L24" s="302">
        <f t="shared" si="5"/>
        <v>31</v>
      </c>
      <c r="M24" s="350">
        <v>45778.0</v>
      </c>
      <c r="N24" s="350">
        <v>45808.0</v>
      </c>
      <c r="O24" s="290">
        <f t="shared" si="2"/>
        <v>370</v>
      </c>
      <c r="P24" s="290">
        <f t="shared" si="3"/>
        <v>1850</v>
      </c>
      <c r="Q24" s="290">
        <f t="shared" si="4"/>
        <v>2220</v>
      </c>
    </row>
    <row r="25">
      <c r="A25" s="282" t="s">
        <v>16</v>
      </c>
      <c r="B25" s="283">
        <v>4320.0</v>
      </c>
      <c r="C25" s="284"/>
      <c r="D25" s="285">
        <v>0.0</v>
      </c>
      <c r="E25" s="282" t="s">
        <v>291</v>
      </c>
      <c r="F25" s="282" t="s">
        <v>292</v>
      </c>
      <c r="G25" s="286" t="s">
        <v>293</v>
      </c>
      <c r="H25" s="287"/>
      <c r="I25" s="288">
        <v>37219.0</v>
      </c>
      <c r="J25" s="288">
        <v>45257.0</v>
      </c>
      <c r="K25" s="289"/>
      <c r="L25" s="302">
        <f t="shared" si="5"/>
        <v>31</v>
      </c>
      <c r="M25" s="350">
        <v>45778.0</v>
      </c>
      <c r="N25" s="350">
        <v>45808.0</v>
      </c>
      <c r="O25" s="290">
        <f t="shared" si="2"/>
        <v>370</v>
      </c>
      <c r="P25" s="290">
        <f t="shared" si="3"/>
        <v>1850</v>
      </c>
      <c r="Q25" s="290">
        <f t="shared" si="4"/>
        <v>2220</v>
      </c>
    </row>
    <row r="26">
      <c r="A26" s="282" t="s">
        <v>16</v>
      </c>
      <c r="B26" s="283">
        <v>4320.0</v>
      </c>
      <c r="C26" s="284"/>
      <c r="D26" s="285">
        <v>0.0</v>
      </c>
      <c r="E26" s="282" t="s">
        <v>594</v>
      </c>
      <c r="F26" s="282" t="s">
        <v>595</v>
      </c>
      <c r="G26" s="286" t="s">
        <v>596</v>
      </c>
      <c r="H26" s="287"/>
      <c r="I26" s="288">
        <v>37809.0</v>
      </c>
      <c r="J26" s="288">
        <v>45684.0</v>
      </c>
      <c r="K26" s="289"/>
      <c r="L26" s="302">
        <f t="shared" si="5"/>
        <v>31</v>
      </c>
      <c r="M26" s="350">
        <v>45778.0</v>
      </c>
      <c r="N26" s="350">
        <v>45808.0</v>
      </c>
      <c r="O26" s="290">
        <f t="shared" si="2"/>
        <v>370</v>
      </c>
      <c r="P26" s="290">
        <f t="shared" si="3"/>
        <v>1850</v>
      </c>
      <c r="Q26" s="290">
        <f t="shared" si="4"/>
        <v>2220</v>
      </c>
    </row>
    <row r="27">
      <c r="A27" s="282" t="s">
        <v>16</v>
      </c>
      <c r="B27" s="283">
        <v>4320.0</v>
      </c>
      <c r="C27" s="284"/>
      <c r="D27" s="285">
        <v>0.0</v>
      </c>
      <c r="E27" s="282" t="s">
        <v>60</v>
      </c>
      <c r="F27" s="282" t="s">
        <v>61</v>
      </c>
      <c r="G27" s="286" t="s">
        <v>62</v>
      </c>
      <c r="H27" s="287"/>
      <c r="I27" s="288">
        <v>36246.0</v>
      </c>
      <c r="J27" s="288">
        <v>44851.0</v>
      </c>
      <c r="K27" s="289"/>
      <c r="L27" s="302">
        <f t="shared" si="5"/>
        <v>31</v>
      </c>
      <c r="M27" s="350">
        <v>45778.0</v>
      </c>
      <c r="N27" s="350">
        <v>45808.0</v>
      </c>
      <c r="O27" s="290">
        <f t="shared" si="2"/>
        <v>370</v>
      </c>
      <c r="P27" s="290">
        <f t="shared" si="3"/>
        <v>1850</v>
      </c>
      <c r="Q27" s="290">
        <f t="shared" si="4"/>
        <v>2220</v>
      </c>
    </row>
    <row r="28">
      <c r="A28" s="282" t="s">
        <v>16</v>
      </c>
      <c r="B28" s="283">
        <v>4320.0</v>
      </c>
      <c r="C28" s="284"/>
      <c r="D28" s="285">
        <v>0.0</v>
      </c>
      <c r="E28" s="282" t="s">
        <v>63</v>
      </c>
      <c r="F28" s="282" t="s">
        <v>64</v>
      </c>
      <c r="G28" s="286" t="s">
        <v>65</v>
      </c>
      <c r="H28" s="287"/>
      <c r="I28" s="288">
        <v>35606.0</v>
      </c>
      <c r="J28" s="288">
        <v>44896.0</v>
      </c>
      <c r="K28" s="289"/>
      <c r="L28" s="302">
        <f t="shared" si="5"/>
        <v>31</v>
      </c>
      <c r="M28" s="350">
        <v>45778.0</v>
      </c>
      <c r="N28" s="350">
        <v>45808.0</v>
      </c>
      <c r="O28" s="290">
        <f t="shared" si="2"/>
        <v>370</v>
      </c>
      <c r="P28" s="290">
        <f t="shared" si="3"/>
        <v>1850</v>
      </c>
      <c r="Q28" s="290">
        <f t="shared" si="4"/>
        <v>2220</v>
      </c>
    </row>
    <row r="29">
      <c r="A29" s="282" t="s">
        <v>16</v>
      </c>
      <c r="B29" s="283">
        <v>4320.0</v>
      </c>
      <c r="C29" s="284"/>
      <c r="D29" s="285">
        <v>0.0</v>
      </c>
      <c r="E29" s="282" t="s">
        <v>63</v>
      </c>
      <c r="F29" s="282" t="s">
        <v>543</v>
      </c>
      <c r="G29" s="286" t="s">
        <v>505</v>
      </c>
      <c r="H29" s="287"/>
      <c r="I29" s="288">
        <v>36725.0</v>
      </c>
      <c r="J29" s="288">
        <v>45635.0</v>
      </c>
      <c r="K29" s="289"/>
      <c r="L29" s="302">
        <f t="shared" si="5"/>
        <v>31</v>
      </c>
      <c r="M29" s="350">
        <v>45778.0</v>
      </c>
      <c r="N29" s="350">
        <v>45808.0</v>
      </c>
      <c r="O29" s="290">
        <f t="shared" si="2"/>
        <v>370</v>
      </c>
      <c r="P29" s="290">
        <f t="shared" si="3"/>
        <v>1850</v>
      </c>
      <c r="Q29" s="290">
        <f t="shared" si="4"/>
        <v>2220</v>
      </c>
    </row>
    <row r="30">
      <c r="A30" s="282" t="s">
        <v>16</v>
      </c>
      <c r="B30" s="283">
        <v>4320.0</v>
      </c>
      <c r="C30" s="284"/>
      <c r="D30" s="285">
        <v>0.0</v>
      </c>
      <c r="E30" s="298" t="s">
        <v>591</v>
      </c>
      <c r="F30" s="282" t="s">
        <v>592</v>
      </c>
      <c r="G30" s="286" t="s">
        <v>593</v>
      </c>
      <c r="H30" s="287"/>
      <c r="I30" s="288">
        <v>37041.0</v>
      </c>
      <c r="J30" s="288">
        <v>45684.0</v>
      </c>
      <c r="K30" s="289"/>
      <c r="L30" s="302">
        <f t="shared" si="5"/>
        <v>31</v>
      </c>
      <c r="M30" s="350">
        <v>45778.0</v>
      </c>
      <c r="N30" s="350">
        <v>45808.0</v>
      </c>
      <c r="O30" s="290">
        <f t="shared" si="2"/>
        <v>370</v>
      </c>
      <c r="P30" s="290">
        <f t="shared" si="3"/>
        <v>1850</v>
      </c>
      <c r="Q30" s="290">
        <f t="shared" si="4"/>
        <v>2220</v>
      </c>
    </row>
    <row r="31">
      <c r="A31" s="282" t="s">
        <v>16</v>
      </c>
      <c r="B31" s="283">
        <v>4320.0</v>
      </c>
      <c r="C31" s="284"/>
      <c r="D31" s="285">
        <v>0.0</v>
      </c>
      <c r="E31" s="282" t="s">
        <v>597</v>
      </c>
      <c r="F31" s="282" t="s">
        <v>598</v>
      </c>
      <c r="G31" s="286" t="s">
        <v>599</v>
      </c>
      <c r="H31" s="287"/>
      <c r="I31" s="288">
        <v>37265.0</v>
      </c>
      <c r="J31" s="288">
        <v>45684.0</v>
      </c>
      <c r="K31" s="289"/>
      <c r="L31" s="302">
        <f t="shared" si="5"/>
        <v>31</v>
      </c>
      <c r="M31" s="350">
        <v>45778.0</v>
      </c>
      <c r="N31" s="350">
        <v>45808.0</v>
      </c>
      <c r="O31" s="290">
        <f t="shared" si="2"/>
        <v>370</v>
      </c>
      <c r="P31" s="290">
        <f t="shared" si="3"/>
        <v>1850</v>
      </c>
      <c r="Q31" s="290">
        <f t="shared" si="4"/>
        <v>2220</v>
      </c>
    </row>
    <row r="32">
      <c r="A32" s="282" t="s">
        <v>16</v>
      </c>
      <c r="B32" s="283">
        <v>4320.0</v>
      </c>
      <c r="C32" s="284"/>
      <c r="D32" s="285">
        <v>0.0</v>
      </c>
      <c r="E32" s="282" t="s">
        <v>267</v>
      </c>
      <c r="F32" s="282" t="s">
        <v>268</v>
      </c>
      <c r="G32" s="286" t="s">
        <v>269</v>
      </c>
      <c r="H32" s="287"/>
      <c r="I32" s="288">
        <v>34590.0</v>
      </c>
      <c r="J32" s="288">
        <v>45313.0</v>
      </c>
      <c r="K32" s="289"/>
      <c r="L32" s="302">
        <f t="shared" si="5"/>
        <v>31</v>
      </c>
      <c r="M32" s="350">
        <v>45778.0</v>
      </c>
      <c r="N32" s="350">
        <v>45808.0</v>
      </c>
      <c r="O32" s="290">
        <f t="shared" si="2"/>
        <v>370</v>
      </c>
      <c r="P32" s="290">
        <f t="shared" si="3"/>
        <v>1850</v>
      </c>
      <c r="Q32" s="290">
        <f t="shared" si="4"/>
        <v>2220</v>
      </c>
    </row>
    <row r="33">
      <c r="A33" s="282" t="s">
        <v>16</v>
      </c>
      <c r="B33" s="283">
        <v>4320.0</v>
      </c>
      <c r="C33" s="284"/>
      <c r="D33" s="285">
        <v>0.0</v>
      </c>
      <c r="E33" s="282" t="s">
        <v>69</v>
      </c>
      <c r="F33" s="282" t="s">
        <v>70</v>
      </c>
      <c r="G33" s="286" t="s">
        <v>71</v>
      </c>
      <c r="H33" s="287"/>
      <c r="I33" s="288">
        <v>36891.0</v>
      </c>
      <c r="J33" s="288">
        <v>44739.0</v>
      </c>
      <c r="K33" s="289"/>
      <c r="L33" s="302">
        <f t="shared" si="5"/>
        <v>31</v>
      </c>
      <c r="M33" s="350">
        <v>45778.0</v>
      </c>
      <c r="N33" s="350">
        <v>45808.0</v>
      </c>
      <c r="O33" s="290">
        <f t="shared" si="2"/>
        <v>370</v>
      </c>
      <c r="P33" s="290">
        <f t="shared" si="3"/>
        <v>1850</v>
      </c>
      <c r="Q33" s="290">
        <f t="shared" si="4"/>
        <v>2220</v>
      </c>
    </row>
    <row r="34">
      <c r="A34" s="282" t="s">
        <v>16</v>
      </c>
      <c r="B34" s="283">
        <v>4320.0</v>
      </c>
      <c r="C34" s="284"/>
      <c r="D34" s="285">
        <v>0.0</v>
      </c>
      <c r="E34" s="282" t="s">
        <v>468</v>
      </c>
      <c r="F34" s="282" t="s">
        <v>527</v>
      </c>
      <c r="G34" s="286" t="s">
        <v>469</v>
      </c>
      <c r="H34" s="287"/>
      <c r="I34" s="288">
        <v>35986.0</v>
      </c>
      <c r="J34" s="288">
        <v>45537.0</v>
      </c>
      <c r="K34" s="289"/>
      <c r="L34" s="302">
        <f t="shared" si="5"/>
        <v>31</v>
      </c>
      <c r="M34" s="350">
        <v>45778.0</v>
      </c>
      <c r="N34" s="350">
        <v>45808.0</v>
      </c>
      <c r="O34" s="290">
        <f t="shared" si="2"/>
        <v>370</v>
      </c>
      <c r="P34" s="290">
        <f t="shared" si="3"/>
        <v>1850</v>
      </c>
      <c r="Q34" s="290">
        <f t="shared" si="4"/>
        <v>2220</v>
      </c>
    </row>
    <row r="35">
      <c r="A35" s="282" t="s">
        <v>16</v>
      </c>
      <c r="B35" s="283">
        <v>4320.0</v>
      </c>
      <c r="C35" s="284"/>
      <c r="D35" s="285">
        <v>0.0</v>
      </c>
      <c r="E35" s="282" t="s">
        <v>78</v>
      </c>
      <c r="F35" s="282" t="s">
        <v>79</v>
      </c>
      <c r="G35" s="286" t="s">
        <v>80</v>
      </c>
      <c r="H35" s="287"/>
      <c r="I35" s="288">
        <v>36401.0</v>
      </c>
      <c r="J35" s="288">
        <v>45096.0</v>
      </c>
      <c r="K35" s="289"/>
      <c r="L35" s="302">
        <f t="shared" si="5"/>
        <v>31</v>
      </c>
      <c r="M35" s="350">
        <v>45778.0</v>
      </c>
      <c r="N35" s="350">
        <v>45808.0</v>
      </c>
      <c r="O35" s="290">
        <f t="shared" si="2"/>
        <v>370</v>
      </c>
      <c r="P35" s="290">
        <f t="shared" si="3"/>
        <v>1850</v>
      </c>
      <c r="Q35" s="290">
        <f t="shared" si="4"/>
        <v>2220</v>
      </c>
    </row>
    <row r="36">
      <c r="A36" s="282" t="s">
        <v>16</v>
      </c>
      <c r="B36" s="283">
        <v>4320.0</v>
      </c>
      <c r="C36" s="284"/>
      <c r="D36" s="285">
        <v>0.0</v>
      </c>
      <c r="E36" s="282" t="s">
        <v>555</v>
      </c>
      <c r="F36" s="282" t="s">
        <v>556</v>
      </c>
      <c r="G36" s="286" t="s">
        <v>557</v>
      </c>
      <c r="H36" s="287"/>
      <c r="I36" s="294">
        <v>36135.0</v>
      </c>
      <c r="J36" s="288">
        <v>45663.0</v>
      </c>
      <c r="K36" s="289"/>
      <c r="L36" s="302">
        <f t="shared" si="5"/>
        <v>31</v>
      </c>
      <c r="M36" s="350">
        <v>45778.0</v>
      </c>
      <c r="N36" s="350">
        <v>45808.0</v>
      </c>
      <c r="O36" s="290">
        <f t="shared" si="2"/>
        <v>370</v>
      </c>
      <c r="P36" s="290">
        <f t="shared" si="3"/>
        <v>1850</v>
      </c>
      <c r="Q36" s="290">
        <f t="shared" si="4"/>
        <v>2220</v>
      </c>
    </row>
    <row r="37">
      <c r="A37" s="299" t="s">
        <v>16</v>
      </c>
      <c r="B37" s="300">
        <v>4320.0</v>
      </c>
      <c r="C37" s="284"/>
      <c r="D37" s="301">
        <v>0.0</v>
      </c>
      <c r="E37" s="282" t="s">
        <v>485</v>
      </c>
      <c r="F37" s="282" t="s">
        <v>535</v>
      </c>
      <c r="G37" s="286" t="s">
        <v>486</v>
      </c>
      <c r="H37" s="287"/>
      <c r="I37" s="288">
        <v>36994.0</v>
      </c>
      <c r="J37" s="288">
        <v>45602.0</v>
      </c>
      <c r="K37" s="381">
        <v>45786.0</v>
      </c>
      <c r="L37" s="302">
        <f t="shared" si="5"/>
        <v>9</v>
      </c>
      <c r="M37" s="350">
        <v>45778.0</v>
      </c>
      <c r="N37" s="381">
        <v>45786.0</v>
      </c>
      <c r="O37" s="290">
        <f t="shared" si="2"/>
        <v>108</v>
      </c>
      <c r="P37" s="290">
        <f t="shared" si="3"/>
        <v>540</v>
      </c>
      <c r="Q37" s="290">
        <f t="shared" si="4"/>
        <v>648</v>
      </c>
    </row>
    <row r="38">
      <c r="A38" s="299" t="s">
        <v>16</v>
      </c>
      <c r="B38" s="300">
        <v>4320.0</v>
      </c>
      <c r="C38" s="284"/>
      <c r="D38" s="301">
        <v>0.0</v>
      </c>
      <c r="E38" s="298" t="s">
        <v>331</v>
      </c>
      <c r="F38" s="282" t="s">
        <v>332</v>
      </c>
      <c r="G38" s="286" t="s">
        <v>333</v>
      </c>
      <c r="H38" s="287"/>
      <c r="I38" s="288">
        <v>37958.0</v>
      </c>
      <c r="J38" s="288">
        <v>45369.0</v>
      </c>
      <c r="K38" s="289"/>
      <c r="L38" s="302">
        <f t="shared" si="5"/>
        <v>31</v>
      </c>
      <c r="M38" s="350">
        <v>45778.0</v>
      </c>
      <c r="N38" s="350">
        <v>45808.0</v>
      </c>
      <c r="O38" s="290">
        <f t="shared" si="2"/>
        <v>370</v>
      </c>
      <c r="P38" s="290">
        <f t="shared" si="3"/>
        <v>1850</v>
      </c>
      <c r="Q38" s="290">
        <f t="shared" si="4"/>
        <v>2220</v>
      </c>
    </row>
    <row r="39">
      <c r="A39" s="282" t="s">
        <v>16</v>
      </c>
      <c r="B39" s="283">
        <v>4320.0</v>
      </c>
      <c r="C39" s="284"/>
      <c r="D39" s="301">
        <v>0.0</v>
      </c>
      <c r="E39" s="282" t="s">
        <v>392</v>
      </c>
      <c r="F39" s="282" t="s">
        <v>393</v>
      </c>
      <c r="G39" s="286" t="s">
        <v>394</v>
      </c>
      <c r="H39" s="287"/>
      <c r="I39" s="288">
        <v>34922.0</v>
      </c>
      <c r="J39" s="294">
        <v>45418.0</v>
      </c>
      <c r="K39" s="289"/>
      <c r="L39" s="302">
        <f t="shared" si="5"/>
        <v>31</v>
      </c>
      <c r="M39" s="350">
        <v>45778.0</v>
      </c>
      <c r="N39" s="350">
        <v>45808.0</v>
      </c>
      <c r="O39" s="290">
        <f t="shared" si="2"/>
        <v>370</v>
      </c>
      <c r="P39" s="290">
        <f t="shared" si="3"/>
        <v>1850</v>
      </c>
      <c r="Q39" s="290">
        <f t="shared" si="4"/>
        <v>2220</v>
      </c>
    </row>
    <row r="40">
      <c r="A40" s="282" t="s">
        <v>16</v>
      </c>
      <c r="B40" s="283">
        <v>4320.0</v>
      </c>
      <c r="C40" s="289"/>
      <c r="D40" s="285">
        <v>0.0</v>
      </c>
      <c r="E40" s="291" t="s">
        <v>696</v>
      </c>
      <c r="F40" s="292" t="s">
        <v>779</v>
      </c>
      <c r="G40" s="289" t="s">
        <v>698</v>
      </c>
      <c r="H40" s="289"/>
      <c r="I40" s="293">
        <v>36474.0</v>
      </c>
      <c r="J40" s="288">
        <v>45698.0</v>
      </c>
      <c r="K40" s="289"/>
      <c r="L40" s="302">
        <f t="shared" si="5"/>
        <v>31</v>
      </c>
      <c r="M40" s="350">
        <v>45778.0</v>
      </c>
      <c r="N40" s="350">
        <v>45808.0</v>
      </c>
      <c r="O40" s="290">
        <f t="shared" si="2"/>
        <v>370</v>
      </c>
      <c r="P40" s="290">
        <f t="shared" si="3"/>
        <v>1850</v>
      </c>
      <c r="Q40" s="290">
        <f t="shared" si="4"/>
        <v>2220</v>
      </c>
    </row>
    <row r="41">
      <c r="A41" s="282" t="s">
        <v>16</v>
      </c>
      <c r="B41" s="283">
        <v>4320.0</v>
      </c>
      <c r="C41" s="289"/>
      <c r="D41" s="285">
        <v>0.0</v>
      </c>
      <c r="E41" s="303" t="s">
        <v>699</v>
      </c>
      <c r="F41" s="304" t="s">
        <v>780</v>
      </c>
      <c r="G41" s="289" t="s">
        <v>701</v>
      </c>
      <c r="H41" s="289"/>
      <c r="I41" s="293">
        <v>36474.0</v>
      </c>
      <c r="J41" s="288">
        <v>45698.0</v>
      </c>
      <c r="K41" s="289"/>
      <c r="L41" s="302">
        <f t="shared" si="5"/>
        <v>31</v>
      </c>
      <c r="M41" s="350">
        <v>45778.0</v>
      </c>
      <c r="N41" s="350">
        <v>45808.0</v>
      </c>
      <c r="O41" s="290">
        <f t="shared" si="2"/>
        <v>370</v>
      </c>
      <c r="P41" s="290">
        <f t="shared" si="3"/>
        <v>1850</v>
      </c>
      <c r="Q41" s="290">
        <f t="shared" si="4"/>
        <v>2220</v>
      </c>
    </row>
    <row r="42">
      <c r="A42" s="282" t="s">
        <v>16</v>
      </c>
      <c r="B42" s="283">
        <v>4320.0</v>
      </c>
      <c r="C42" s="284"/>
      <c r="D42" s="301">
        <v>0.0</v>
      </c>
      <c r="E42" s="282" t="s">
        <v>576</v>
      </c>
      <c r="F42" s="282" t="s">
        <v>577</v>
      </c>
      <c r="G42" s="286" t="s">
        <v>578</v>
      </c>
      <c r="H42" s="287"/>
      <c r="I42" s="288">
        <v>37944.0</v>
      </c>
      <c r="J42" s="288">
        <v>45677.0</v>
      </c>
      <c r="K42" s="289"/>
      <c r="L42" s="302">
        <f t="shared" si="5"/>
        <v>31</v>
      </c>
      <c r="M42" s="350">
        <v>45778.0</v>
      </c>
      <c r="N42" s="350">
        <v>45808.0</v>
      </c>
      <c r="O42" s="290">
        <f t="shared" si="2"/>
        <v>370</v>
      </c>
      <c r="P42" s="290">
        <f t="shared" si="3"/>
        <v>1850</v>
      </c>
      <c r="Q42" s="290">
        <f t="shared" si="4"/>
        <v>2220</v>
      </c>
    </row>
    <row r="43">
      <c r="A43" s="282" t="s">
        <v>16</v>
      </c>
      <c r="B43" s="283">
        <v>4320.0</v>
      </c>
      <c r="C43" s="284"/>
      <c r="D43" s="301">
        <v>0.0</v>
      </c>
      <c r="E43" s="282" t="s">
        <v>546</v>
      </c>
      <c r="F43" s="282" t="s">
        <v>547</v>
      </c>
      <c r="G43" s="286" t="s">
        <v>548</v>
      </c>
      <c r="H43" s="287"/>
      <c r="I43" s="288">
        <v>38255.0</v>
      </c>
      <c r="J43" s="288">
        <v>45658.0</v>
      </c>
      <c r="K43" s="289"/>
      <c r="L43" s="302">
        <f t="shared" si="5"/>
        <v>31</v>
      </c>
      <c r="M43" s="350">
        <v>45778.0</v>
      </c>
      <c r="N43" s="350">
        <v>45808.0</v>
      </c>
      <c r="O43" s="290">
        <f t="shared" si="2"/>
        <v>370</v>
      </c>
      <c r="P43" s="290">
        <f t="shared" si="3"/>
        <v>1850</v>
      </c>
      <c r="Q43" s="290">
        <f t="shared" si="4"/>
        <v>2220</v>
      </c>
    </row>
    <row r="44">
      <c r="A44" s="299" t="s">
        <v>16</v>
      </c>
      <c r="B44" s="300">
        <v>4320.0</v>
      </c>
      <c r="C44" s="284"/>
      <c r="D44" s="305">
        <v>0.0</v>
      </c>
      <c r="E44" s="282" t="s">
        <v>501</v>
      </c>
      <c r="F44" s="282" t="s">
        <v>541</v>
      </c>
      <c r="G44" s="286" t="s">
        <v>502</v>
      </c>
      <c r="H44" s="287"/>
      <c r="I44" s="288">
        <v>36062.0</v>
      </c>
      <c r="J44" s="288">
        <v>45628.0</v>
      </c>
      <c r="K44" s="289"/>
      <c r="L44" s="302">
        <f t="shared" si="5"/>
        <v>31</v>
      </c>
      <c r="M44" s="350">
        <v>45778.0</v>
      </c>
      <c r="N44" s="350">
        <v>45808.0</v>
      </c>
      <c r="O44" s="290">
        <f t="shared" si="2"/>
        <v>370</v>
      </c>
      <c r="P44" s="290">
        <f t="shared" si="3"/>
        <v>1850</v>
      </c>
      <c r="Q44" s="290">
        <f t="shared" si="4"/>
        <v>2220</v>
      </c>
    </row>
    <row r="45">
      <c r="A45" s="282" t="s">
        <v>16</v>
      </c>
      <c r="B45" s="283">
        <v>4320.0</v>
      </c>
      <c r="C45" s="284"/>
      <c r="D45" s="305">
        <v>0.0</v>
      </c>
      <c r="E45" s="282" t="s">
        <v>451</v>
      </c>
      <c r="F45" s="282" t="s">
        <v>512</v>
      </c>
      <c r="G45" s="286" t="s">
        <v>415</v>
      </c>
      <c r="H45" s="287"/>
      <c r="I45" s="288">
        <v>36443.0</v>
      </c>
      <c r="J45" s="288">
        <v>45446.0</v>
      </c>
      <c r="K45" s="289"/>
      <c r="L45" s="302">
        <f t="shared" si="5"/>
        <v>31</v>
      </c>
      <c r="M45" s="350">
        <v>45778.0</v>
      </c>
      <c r="N45" s="350">
        <v>45808.0</v>
      </c>
      <c r="O45" s="290">
        <f t="shared" si="2"/>
        <v>370</v>
      </c>
      <c r="P45" s="290">
        <f t="shared" si="3"/>
        <v>1850</v>
      </c>
      <c r="Q45" s="290">
        <f t="shared" si="4"/>
        <v>2220</v>
      </c>
    </row>
    <row r="46">
      <c r="A46" s="421" t="s">
        <v>16</v>
      </c>
      <c r="B46" s="422">
        <v>4320.0</v>
      </c>
      <c r="C46" s="423"/>
      <c r="D46" s="431">
        <v>0.0</v>
      </c>
      <c r="E46" s="421" t="s">
        <v>573</v>
      </c>
      <c r="F46" s="421" t="s">
        <v>574</v>
      </c>
      <c r="G46" s="425" t="s">
        <v>575</v>
      </c>
      <c r="H46" s="287"/>
      <c r="I46" s="426">
        <v>36061.0</v>
      </c>
      <c r="J46" s="426">
        <v>45677.0</v>
      </c>
      <c r="K46" s="427"/>
      <c r="L46" s="428">
        <v>0.0</v>
      </c>
      <c r="M46" s="429">
        <v>45778.0</v>
      </c>
      <c r="N46" s="429">
        <v>45808.0</v>
      </c>
      <c r="O46" s="430">
        <v>0.0</v>
      </c>
      <c r="P46" s="430">
        <f t="shared" si="3"/>
        <v>0</v>
      </c>
      <c r="Q46" s="430">
        <f t="shared" si="4"/>
        <v>0</v>
      </c>
      <c r="R46" s="48"/>
      <c r="S46" s="48"/>
      <c r="T46" s="48"/>
      <c r="U46" s="48"/>
      <c r="V46" s="48"/>
      <c r="W46" s="48"/>
      <c r="X46" s="48"/>
    </row>
    <row r="47">
      <c r="A47" s="282" t="s">
        <v>16</v>
      </c>
      <c r="B47" s="283">
        <v>4320.0</v>
      </c>
      <c r="C47" s="284"/>
      <c r="D47" s="301">
        <v>0.0</v>
      </c>
      <c r="E47" s="282" t="s">
        <v>579</v>
      </c>
      <c r="F47" s="282" t="s">
        <v>580</v>
      </c>
      <c r="G47" s="286" t="s">
        <v>581</v>
      </c>
      <c r="H47" s="287"/>
      <c r="I47" s="288">
        <v>37609.0</v>
      </c>
      <c r="J47" s="288">
        <v>45677.0</v>
      </c>
      <c r="K47" s="289"/>
      <c r="L47" s="302">
        <f t="shared" ref="L47:L72" si="6">N47-M47+1</f>
        <v>31</v>
      </c>
      <c r="M47" s="350">
        <v>45778.0</v>
      </c>
      <c r="N47" s="350">
        <v>45808.0</v>
      </c>
      <c r="O47" s="290">
        <f t="shared" ref="O47:O115" si="7">ROUNDUP(L47/31*370,0)</f>
        <v>370</v>
      </c>
      <c r="P47" s="290">
        <f t="shared" si="3"/>
        <v>1850</v>
      </c>
      <c r="Q47" s="290">
        <f t="shared" si="4"/>
        <v>2220</v>
      </c>
    </row>
    <row r="48">
      <c r="A48" s="282" t="s">
        <v>16</v>
      </c>
      <c r="B48" s="283">
        <v>4320.0</v>
      </c>
      <c r="C48" s="284"/>
      <c r="D48" s="301">
        <v>0.0</v>
      </c>
      <c r="E48" s="282" t="s">
        <v>476</v>
      </c>
      <c r="F48" s="282" t="s">
        <v>529</v>
      </c>
      <c r="G48" s="286" t="s">
        <v>477</v>
      </c>
      <c r="H48" s="287"/>
      <c r="I48" s="288">
        <v>37220.0</v>
      </c>
      <c r="J48" s="288">
        <v>45572.0</v>
      </c>
      <c r="K48" s="289"/>
      <c r="L48" s="302">
        <f t="shared" si="6"/>
        <v>31</v>
      </c>
      <c r="M48" s="350">
        <v>45778.0</v>
      </c>
      <c r="N48" s="350">
        <v>45808.0</v>
      </c>
      <c r="O48" s="290">
        <f t="shared" si="7"/>
        <v>370</v>
      </c>
      <c r="P48" s="290">
        <f t="shared" si="3"/>
        <v>1850</v>
      </c>
      <c r="Q48" s="290">
        <f t="shared" si="4"/>
        <v>2220</v>
      </c>
    </row>
    <row r="49">
      <c r="A49" s="282" t="s">
        <v>16</v>
      </c>
      <c r="B49" s="283">
        <v>4320.0</v>
      </c>
      <c r="C49" s="284"/>
      <c r="D49" s="301">
        <v>0.0</v>
      </c>
      <c r="E49" s="282" t="s">
        <v>102</v>
      </c>
      <c r="F49" s="282" t="s">
        <v>103</v>
      </c>
      <c r="G49" s="286" t="s">
        <v>104</v>
      </c>
      <c r="H49" s="287"/>
      <c r="I49" s="288">
        <v>33240.0</v>
      </c>
      <c r="J49" s="288">
        <v>44287.0</v>
      </c>
      <c r="K49" s="289"/>
      <c r="L49" s="302">
        <f t="shared" si="6"/>
        <v>31</v>
      </c>
      <c r="M49" s="350">
        <v>45778.0</v>
      </c>
      <c r="N49" s="350">
        <v>45808.0</v>
      </c>
      <c r="O49" s="290">
        <f t="shared" si="7"/>
        <v>370</v>
      </c>
      <c r="P49" s="290">
        <f t="shared" si="3"/>
        <v>1850</v>
      </c>
      <c r="Q49" s="290">
        <f t="shared" si="4"/>
        <v>2220</v>
      </c>
    </row>
    <row r="50">
      <c r="A50" s="282" t="s">
        <v>16</v>
      </c>
      <c r="B50" s="283">
        <v>4320.0</v>
      </c>
      <c r="C50" s="284"/>
      <c r="D50" s="301">
        <v>0.0</v>
      </c>
      <c r="E50" s="282" t="s">
        <v>255</v>
      </c>
      <c r="F50" s="282" t="s">
        <v>256</v>
      </c>
      <c r="G50" s="286" t="s">
        <v>257</v>
      </c>
      <c r="H50" s="287"/>
      <c r="I50" s="288">
        <v>35173.0</v>
      </c>
      <c r="J50" s="288">
        <v>45264.0</v>
      </c>
      <c r="K50" s="289"/>
      <c r="L50" s="302">
        <f t="shared" si="6"/>
        <v>31</v>
      </c>
      <c r="M50" s="350">
        <v>45778.0</v>
      </c>
      <c r="N50" s="350">
        <v>45808.0</v>
      </c>
      <c r="O50" s="290">
        <f t="shared" si="7"/>
        <v>370</v>
      </c>
      <c r="P50" s="290">
        <f t="shared" si="3"/>
        <v>1850</v>
      </c>
      <c r="Q50" s="290">
        <f t="shared" si="4"/>
        <v>2220</v>
      </c>
    </row>
    <row r="51">
      <c r="A51" s="282" t="s">
        <v>16</v>
      </c>
      <c r="B51" s="283">
        <v>4320.0</v>
      </c>
      <c r="C51" s="284"/>
      <c r="D51" s="305">
        <v>0.0</v>
      </c>
      <c r="E51" s="282" t="s">
        <v>438</v>
      </c>
      <c r="F51" s="282" t="s">
        <v>341</v>
      </c>
      <c r="G51" s="286" t="s">
        <v>342</v>
      </c>
      <c r="H51" s="287"/>
      <c r="I51" s="288">
        <v>37964.0</v>
      </c>
      <c r="J51" s="288">
        <v>45355.0</v>
      </c>
      <c r="K51" s="289"/>
      <c r="L51" s="302">
        <f t="shared" si="6"/>
        <v>31</v>
      </c>
      <c r="M51" s="350">
        <v>45778.0</v>
      </c>
      <c r="N51" s="350">
        <v>45808.0</v>
      </c>
      <c r="O51" s="290">
        <f t="shared" si="7"/>
        <v>370</v>
      </c>
      <c r="P51" s="290">
        <f t="shared" si="3"/>
        <v>1850</v>
      </c>
      <c r="Q51" s="290">
        <f t="shared" si="4"/>
        <v>2220</v>
      </c>
    </row>
    <row r="52">
      <c r="A52" s="282" t="s">
        <v>16</v>
      </c>
      <c r="B52" s="283">
        <v>4320.0</v>
      </c>
      <c r="C52" s="284"/>
      <c r="D52" s="305">
        <v>0.0</v>
      </c>
      <c r="E52" s="282" t="s">
        <v>508</v>
      </c>
      <c r="F52" s="282" t="s">
        <v>545</v>
      </c>
      <c r="G52" s="286" t="s">
        <v>509</v>
      </c>
      <c r="H52" s="287"/>
      <c r="I52" s="288">
        <v>36637.0</v>
      </c>
      <c r="J52" s="288">
        <v>45649.0</v>
      </c>
      <c r="K52" s="289"/>
      <c r="L52" s="302">
        <f t="shared" si="6"/>
        <v>31</v>
      </c>
      <c r="M52" s="350">
        <v>45778.0</v>
      </c>
      <c r="N52" s="350">
        <v>45808.0</v>
      </c>
      <c r="O52" s="290">
        <f t="shared" si="7"/>
        <v>370</v>
      </c>
      <c r="P52" s="290">
        <f t="shared" si="3"/>
        <v>1850</v>
      </c>
      <c r="Q52" s="290">
        <f t="shared" si="4"/>
        <v>2220</v>
      </c>
    </row>
    <row r="53">
      <c r="A53" s="282" t="s">
        <v>16</v>
      </c>
      <c r="B53" s="283">
        <v>4320.0</v>
      </c>
      <c r="C53" s="284"/>
      <c r="D53" s="305">
        <v>0.0</v>
      </c>
      <c r="E53" s="282" t="s">
        <v>395</v>
      </c>
      <c r="F53" s="282" t="s">
        <v>396</v>
      </c>
      <c r="G53" s="286" t="s">
        <v>397</v>
      </c>
      <c r="H53" s="287"/>
      <c r="I53" s="288">
        <v>36557.0</v>
      </c>
      <c r="J53" s="294">
        <v>45432.0</v>
      </c>
      <c r="K53" s="381">
        <v>45807.0</v>
      </c>
      <c r="L53" s="302">
        <f t="shared" si="6"/>
        <v>30</v>
      </c>
      <c r="M53" s="350">
        <v>45778.0</v>
      </c>
      <c r="N53" s="381">
        <v>45807.0</v>
      </c>
      <c r="O53" s="290">
        <f t="shared" si="7"/>
        <v>359</v>
      </c>
      <c r="P53" s="290">
        <f t="shared" si="3"/>
        <v>1795</v>
      </c>
      <c r="Q53" s="290">
        <f t="shared" si="4"/>
        <v>2154</v>
      </c>
    </row>
    <row r="54">
      <c r="A54" s="282" t="s">
        <v>16</v>
      </c>
      <c r="B54" s="283">
        <v>4320.0</v>
      </c>
      <c r="C54" s="284"/>
      <c r="D54" s="301">
        <v>0.0</v>
      </c>
      <c r="E54" s="282" t="s">
        <v>370</v>
      </c>
      <c r="F54" s="282" t="s">
        <v>371</v>
      </c>
      <c r="G54" s="286" t="s">
        <v>372</v>
      </c>
      <c r="H54" s="287"/>
      <c r="I54" s="288">
        <v>35551.0</v>
      </c>
      <c r="J54" s="288">
        <v>45383.0</v>
      </c>
      <c r="K54" s="289"/>
      <c r="L54" s="302">
        <f t="shared" si="6"/>
        <v>31</v>
      </c>
      <c r="M54" s="350">
        <v>45778.0</v>
      </c>
      <c r="N54" s="350">
        <v>45808.0</v>
      </c>
      <c r="O54" s="290">
        <f t="shared" si="7"/>
        <v>370</v>
      </c>
      <c r="P54" s="290">
        <f t="shared" si="3"/>
        <v>1850</v>
      </c>
      <c r="Q54" s="290">
        <f t="shared" si="4"/>
        <v>2220</v>
      </c>
    </row>
    <row r="55">
      <c r="A55" s="282" t="s">
        <v>16</v>
      </c>
      <c r="B55" s="283">
        <v>4320.0</v>
      </c>
      <c r="C55" s="284"/>
      <c r="D55" s="305">
        <v>0.0</v>
      </c>
      <c r="E55" s="282" t="s">
        <v>114</v>
      </c>
      <c r="F55" s="282" t="s">
        <v>514</v>
      </c>
      <c r="G55" s="286" t="s">
        <v>456</v>
      </c>
      <c r="H55" s="287"/>
      <c r="I55" s="288">
        <v>35872.0</v>
      </c>
      <c r="J55" s="288">
        <v>45523.0</v>
      </c>
      <c r="K55" s="289"/>
      <c r="L55" s="302">
        <f t="shared" si="6"/>
        <v>31</v>
      </c>
      <c r="M55" s="350">
        <v>45778.0</v>
      </c>
      <c r="N55" s="350">
        <v>45808.0</v>
      </c>
      <c r="O55" s="290">
        <f t="shared" si="7"/>
        <v>370</v>
      </c>
      <c r="P55" s="290">
        <f t="shared" si="3"/>
        <v>1850</v>
      </c>
      <c r="Q55" s="290">
        <f t="shared" si="4"/>
        <v>2220</v>
      </c>
    </row>
    <row r="56">
      <c r="A56" s="282" t="s">
        <v>16</v>
      </c>
      <c r="B56" s="283">
        <v>4320.0</v>
      </c>
      <c r="C56" s="284"/>
      <c r="D56" s="301">
        <v>0.0</v>
      </c>
      <c r="E56" s="282" t="s">
        <v>457</v>
      </c>
      <c r="F56" s="282" t="s">
        <v>515</v>
      </c>
      <c r="G56" s="286" t="s">
        <v>458</v>
      </c>
      <c r="H56" s="287"/>
      <c r="I56" s="288">
        <v>37061.0</v>
      </c>
      <c r="J56" s="288">
        <v>45505.0</v>
      </c>
      <c r="K56" s="289"/>
      <c r="L56" s="302">
        <f t="shared" si="6"/>
        <v>31</v>
      </c>
      <c r="M56" s="350">
        <v>45778.0</v>
      </c>
      <c r="N56" s="350">
        <v>45808.0</v>
      </c>
      <c r="O56" s="290">
        <f t="shared" si="7"/>
        <v>370</v>
      </c>
      <c r="P56" s="290">
        <f t="shared" si="3"/>
        <v>1850</v>
      </c>
      <c r="Q56" s="290">
        <f t="shared" si="4"/>
        <v>2220</v>
      </c>
    </row>
    <row r="57">
      <c r="A57" s="282" t="s">
        <v>16</v>
      </c>
      <c r="B57" s="283">
        <v>4320.0</v>
      </c>
      <c r="C57" s="284"/>
      <c r="D57" s="301">
        <v>0.0</v>
      </c>
      <c r="E57" s="282" t="s">
        <v>506</v>
      </c>
      <c r="F57" s="282" t="s">
        <v>544</v>
      </c>
      <c r="G57" s="286" t="s">
        <v>507</v>
      </c>
      <c r="H57" s="287"/>
      <c r="I57" s="288">
        <v>36981.0</v>
      </c>
      <c r="J57" s="288">
        <v>45642.0</v>
      </c>
      <c r="K57" s="289"/>
      <c r="L57" s="302">
        <f t="shared" si="6"/>
        <v>31</v>
      </c>
      <c r="M57" s="350">
        <v>45778.0</v>
      </c>
      <c r="N57" s="350">
        <v>45808.0</v>
      </c>
      <c r="O57" s="290">
        <f t="shared" si="7"/>
        <v>370</v>
      </c>
      <c r="P57" s="290">
        <f t="shared" si="3"/>
        <v>1850</v>
      </c>
      <c r="Q57" s="290">
        <f t="shared" si="4"/>
        <v>2220</v>
      </c>
    </row>
    <row r="58">
      <c r="A58" s="282" t="s">
        <v>16</v>
      </c>
      <c r="B58" s="283">
        <v>4320.0</v>
      </c>
      <c r="C58" s="284"/>
      <c r="D58" s="301">
        <v>0.0</v>
      </c>
      <c r="E58" s="282" t="s">
        <v>487</v>
      </c>
      <c r="F58" s="282" t="s">
        <v>533</v>
      </c>
      <c r="G58" s="286" t="s">
        <v>488</v>
      </c>
      <c r="H58" s="287"/>
      <c r="I58" s="294">
        <v>35195.0</v>
      </c>
      <c r="J58" s="288">
        <v>45602.0</v>
      </c>
      <c r="K58" s="289"/>
      <c r="L58" s="302">
        <f t="shared" si="6"/>
        <v>31</v>
      </c>
      <c r="M58" s="350">
        <v>45778.0</v>
      </c>
      <c r="N58" s="350">
        <v>45808.0</v>
      </c>
      <c r="O58" s="290">
        <f t="shared" si="7"/>
        <v>370</v>
      </c>
      <c r="P58" s="290">
        <f t="shared" si="3"/>
        <v>1850</v>
      </c>
      <c r="Q58" s="290">
        <f t="shared" si="4"/>
        <v>2220</v>
      </c>
    </row>
    <row r="59">
      <c r="A59" s="282" t="s">
        <v>16</v>
      </c>
      <c r="B59" s="283">
        <v>4320.0</v>
      </c>
      <c r="C59" s="289"/>
      <c r="D59" s="305">
        <v>0.0</v>
      </c>
      <c r="E59" s="282" t="s">
        <v>343</v>
      </c>
      <c r="F59" s="282" t="s">
        <v>344</v>
      </c>
      <c r="G59" s="286" t="s">
        <v>345</v>
      </c>
      <c r="H59" s="287"/>
      <c r="I59" s="288">
        <v>36821.0</v>
      </c>
      <c r="J59" s="288">
        <v>45362.0</v>
      </c>
      <c r="K59" s="289"/>
      <c r="L59" s="302">
        <f t="shared" si="6"/>
        <v>31</v>
      </c>
      <c r="M59" s="350">
        <v>45778.0</v>
      </c>
      <c r="N59" s="350">
        <v>45808.0</v>
      </c>
      <c r="O59" s="290">
        <f t="shared" si="7"/>
        <v>370</v>
      </c>
      <c r="P59" s="290">
        <f t="shared" si="3"/>
        <v>1850</v>
      </c>
      <c r="Q59" s="290">
        <f t="shared" si="4"/>
        <v>2220</v>
      </c>
    </row>
    <row r="60">
      <c r="A60" s="282" t="s">
        <v>16</v>
      </c>
      <c r="B60" s="283">
        <v>4320.0</v>
      </c>
      <c r="C60" s="289"/>
      <c r="D60" s="285">
        <v>0.0</v>
      </c>
      <c r="E60" s="306" t="s">
        <v>429</v>
      </c>
      <c r="F60" s="282" t="s">
        <v>516</v>
      </c>
      <c r="G60" s="286" t="s">
        <v>430</v>
      </c>
      <c r="H60" s="287"/>
      <c r="I60" s="288">
        <v>37257.0</v>
      </c>
      <c r="J60" s="288">
        <v>45481.0</v>
      </c>
      <c r="K60" s="289"/>
      <c r="L60" s="302">
        <f t="shared" si="6"/>
        <v>31</v>
      </c>
      <c r="M60" s="350">
        <v>45778.0</v>
      </c>
      <c r="N60" s="350">
        <v>45808.0</v>
      </c>
      <c r="O60" s="290">
        <f t="shared" si="7"/>
        <v>370</v>
      </c>
      <c r="P60" s="290">
        <f t="shared" si="3"/>
        <v>1850</v>
      </c>
      <c r="Q60" s="290">
        <f t="shared" si="4"/>
        <v>2220</v>
      </c>
    </row>
    <row r="61">
      <c r="A61" s="282" t="s">
        <v>16</v>
      </c>
      <c r="B61" s="283">
        <v>4320.0</v>
      </c>
      <c r="C61" s="289"/>
      <c r="D61" s="285">
        <v>0.0</v>
      </c>
      <c r="E61" s="306" t="s">
        <v>489</v>
      </c>
      <c r="F61" s="282" t="s">
        <v>536</v>
      </c>
      <c r="G61" s="286" t="s">
        <v>490</v>
      </c>
      <c r="H61" s="287"/>
      <c r="I61" s="288">
        <v>37105.0</v>
      </c>
      <c r="J61" s="288">
        <v>45602.0</v>
      </c>
      <c r="K61" s="289"/>
      <c r="L61" s="302">
        <f t="shared" si="6"/>
        <v>31</v>
      </c>
      <c r="M61" s="350">
        <v>45778.0</v>
      </c>
      <c r="N61" s="350">
        <v>45808.0</v>
      </c>
      <c r="O61" s="290">
        <f t="shared" si="7"/>
        <v>370</v>
      </c>
      <c r="P61" s="290">
        <f t="shared" si="3"/>
        <v>1850</v>
      </c>
      <c r="Q61" s="290">
        <f t="shared" si="4"/>
        <v>2220</v>
      </c>
    </row>
    <row r="62">
      <c r="A62" s="282" t="s">
        <v>16</v>
      </c>
      <c r="B62" s="283">
        <v>4320.0</v>
      </c>
      <c r="C62" s="289"/>
      <c r="D62" s="285">
        <v>0.0</v>
      </c>
      <c r="E62" s="306" t="s">
        <v>416</v>
      </c>
      <c r="F62" s="282" t="s">
        <v>517</v>
      </c>
      <c r="G62" s="286" t="s">
        <v>417</v>
      </c>
      <c r="H62" s="287"/>
      <c r="I62" s="288">
        <v>36346.0</v>
      </c>
      <c r="J62" s="288">
        <v>45453.0</v>
      </c>
      <c r="K62" s="289"/>
      <c r="L62" s="302">
        <f t="shared" si="6"/>
        <v>31</v>
      </c>
      <c r="M62" s="350">
        <v>45778.0</v>
      </c>
      <c r="N62" s="350">
        <v>45808.0</v>
      </c>
      <c r="O62" s="290">
        <f t="shared" si="7"/>
        <v>370</v>
      </c>
      <c r="P62" s="290">
        <f t="shared" si="3"/>
        <v>1850</v>
      </c>
      <c r="Q62" s="290">
        <f t="shared" si="4"/>
        <v>2220</v>
      </c>
    </row>
    <row r="63">
      <c r="A63" s="282" t="s">
        <v>16</v>
      </c>
      <c r="B63" s="283">
        <v>4320.0</v>
      </c>
      <c r="C63" s="289"/>
      <c r="D63" s="285">
        <v>0.0</v>
      </c>
      <c r="E63" s="306" t="s">
        <v>582</v>
      </c>
      <c r="F63" s="282" t="s">
        <v>583</v>
      </c>
      <c r="G63" s="286" t="s">
        <v>584</v>
      </c>
      <c r="H63" s="287"/>
      <c r="I63" s="288">
        <v>37880.0</v>
      </c>
      <c r="J63" s="288">
        <v>45677.0</v>
      </c>
      <c r="K63" s="381">
        <v>45800.0</v>
      </c>
      <c r="L63" s="302">
        <f t="shared" si="6"/>
        <v>23</v>
      </c>
      <c r="M63" s="350">
        <v>45778.0</v>
      </c>
      <c r="N63" s="381">
        <v>45800.0</v>
      </c>
      <c r="O63" s="290">
        <f t="shared" si="7"/>
        <v>275</v>
      </c>
      <c r="P63" s="290">
        <f t="shared" si="3"/>
        <v>1375</v>
      </c>
      <c r="Q63" s="290">
        <f t="shared" si="4"/>
        <v>1650</v>
      </c>
    </row>
    <row r="64">
      <c r="A64" s="282" t="s">
        <v>16</v>
      </c>
      <c r="B64" s="283">
        <v>4320.0</v>
      </c>
      <c r="C64" s="289"/>
      <c r="D64" s="285">
        <v>0.0</v>
      </c>
      <c r="E64" s="306" t="s">
        <v>478</v>
      </c>
      <c r="F64" s="282" t="s">
        <v>518</v>
      </c>
      <c r="G64" s="286" t="s">
        <v>426</v>
      </c>
      <c r="H64" s="287"/>
      <c r="I64" s="288">
        <v>36530.0</v>
      </c>
      <c r="J64" s="288">
        <v>45446.0</v>
      </c>
      <c r="K64" s="289"/>
      <c r="L64" s="302">
        <f t="shared" si="6"/>
        <v>31</v>
      </c>
      <c r="M64" s="350">
        <v>45778.0</v>
      </c>
      <c r="N64" s="350">
        <v>45808.0</v>
      </c>
      <c r="O64" s="290">
        <f t="shared" si="7"/>
        <v>370</v>
      </c>
      <c r="P64" s="290">
        <f t="shared" si="3"/>
        <v>1850</v>
      </c>
      <c r="Q64" s="290">
        <f t="shared" si="4"/>
        <v>2220</v>
      </c>
    </row>
    <row r="65">
      <c r="A65" s="282" t="s">
        <v>16</v>
      </c>
      <c r="B65" s="283">
        <v>4320.0</v>
      </c>
      <c r="C65" s="289"/>
      <c r="D65" s="285">
        <v>0.0</v>
      </c>
      <c r="E65" s="306" t="s">
        <v>570</v>
      </c>
      <c r="F65" s="282" t="s">
        <v>571</v>
      </c>
      <c r="G65" s="286" t="s">
        <v>572</v>
      </c>
      <c r="H65" s="287"/>
      <c r="I65" s="288">
        <v>37362.0</v>
      </c>
      <c r="J65" s="288">
        <v>45677.0</v>
      </c>
      <c r="K65" s="289"/>
      <c r="L65" s="302">
        <f t="shared" si="6"/>
        <v>31</v>
      </c>
      <c r="M65" s="350">
        <v>45778.0</v>
      </c>
      <c r="N65" s="350">
        <v>45808.0</v>
      </c>
      <c r="O65" s="290">
        <f t="shared" si="7"/>
        <v>370</v>
      </c>
      <c r="P65" s="290">
        <f t="shared" si="3"/>
        <v>1850</v>
      </c>
      <c r="Q65" s="290">
        <f t="shared" si="4"/>
        <v>2220</v>
      </c>
    </row>
    <row r="66">
      <c r="A66" s="282" t="s">
        <v>16</v>
      </c>
      <c r="B66" s="283">
        <v>4320.0</v>
      </c>
      <c r="C66" s="289"/>
      <c r="D66" s="285">
        <v>0.0</v>
      </c>
      <c r="E66" s="291" t="s">
        <v>702</v>
      </c>
      <c r="F66" s="292" t="s">
        <v>703</v>
      </c>
      <c r="G66" s="289" t="s">
        <v>704</v>
      </c>
      <c r="H66" s="289"/>
      <c r="I66" s="293">
        <v>35714.0</v>
      </c>
      <c r="J66" s="288">
        <v>45705.0</v>
      </c>
      <c r="K66" s="289"/>
      <c r="L66" s="302">
        <f t="shared" si="6"/>
        <v>31</v>
      </c>
      <c r="M66" s="350">
        <v>45778.0</v>
      </c>
      <c r="N66" s="350">
        <v>45808.0</v>
      </c>
      <c r="O66" s="290">
        <f t="shared" si="7"/>
        <v>370</v>
      </c>
      <c r="P66" s="290">
        <f t="shared" si="3"/>
        <v>1850</v>
      </c>
      <c r="Q66" s="290">
        <f t="shared" si="4"/>
        <v>2220</v>
      </c>
    </row>
    <row r="67">
      <c r="A67" s="282" t="s">
        <v>16</v>
      </c>
      <c r="B67" s="283">
        <v>4320.0</v>
      </c>
      <c r="C67" s="289"/>
      <c r="D67" s="285">
        <v>0.0</v>
      </c>
      <c r="E67" s="306" t="s">
        <v>459</v>
      </c>
      <c r="F67" s="282" t="s">
        <v>374</v>
      </c>
      <c r="G67" s="286" t="s">
        <v>375</v>
      </c>
      <c r="H67" s="287"/>
      <c r="I67" s="288">
        <v>37085.0</v>
      </c>
      <c r="J67" s="288">
        <v>45400.0</v>
      </c>
      <c r="K67" s="289"/>
      <c r="L67" s="302">
        <f t="shared" si="6"/>
        <v>31</v>
      </c>
      <c r="M67" s="350">
        <v>45778.0</v>
      </c>
      <c r="N67" s="350">
        <v>45808.0</v>
      </c>
      <c r="O67" s="290">
        <f t="shared" si="7"/>
        <v>370</v>
      </c>
      <c r="P67" s="290">
        <f t="shared" si="3"/>
        <v>1850</v>
      </c>
      <c r="Q67" s="290">
        <f t="shared" si="4"/>
        <v>2220</v>
      </c>
    </row>
    <row r="68">
      <c r="A68" s="282" t="s">
        <v>16</v>
      </c>
      <c r="B68" s="283">
        <v>4320.0</v>
      </c>
      <c r="C68" s="289"/>
      <c r="D68" s="285">
        <v>0.0</v>
      </c>
      <c r="E68" s="306" t="s">
        <v>349</v>
      </c>
      <c r="F68" s="282" t="s">
        <v>350</v>
      </c>
      <c r="G68" s="286" t="s">
        <v>351</v>
      </c>
      <c r="H68" s="287"/>
      <c r="I68" s="288">
        <v>37647.0</v>
      </c>
      <c r="J68" s="288">
        <v>45355.0</v>
      </c>
      <c r="K68" s="350"/>
      <c r="L68" s="302">
        <f t="shared" si="6"/>
        <v>31</v>
      </c>
      <c r="M68" s="350">
        <v>45778.0</v>
      </c>
      <c r="N68" s="350">
        <v>45808.0</v>
      </c>
      <c r="O68" s="290">
        <f t="shared" si="7"/>
        <v>370</v>
      </c>
      <c r="P68" s="290">
        <f t="shared" si="3"/>
        <v>1850</v>
      </c>
      <c r="Q68" s="290">
        <f t="shared" si="4"/>
        <v>2220</v>
      </c>
    </row>
    <row r="69">
      <c r="A69" s="282" t="s">
        <v>16</v>
      </c>
      <c r="B69" s="283">
        <v>4320.0</v>
      </c>
      <c r="C69" s="289"/>
      <c r="D69" s="285">
        <v>0.0</v>
      </c>
      <c r="E69" s="306" t="s">
        <v>352</v>
      </c>
      <c r="F69" s="282" t="s">
        <v>353</v>
      </c>
      <c r="G69" s="286" t="s">
        <v>354</v>
      </c>
      <c r="H69" s="287"/>
      <c r="I69" s="288">
        <v>36412.0</v>
      </c>
      <c r="J69" s="288">
        <v>45355.0</v>
      </c>
      <c r="K69" s="289"/>
      <c r="L69" s="302">
        <f t="shared" si="6"/>
        <v>31</v>
      </c>
      <c r="M69" s="350">
        <v>45778.0</v>
      </c>
      <c r="N69" s="350">
        <v>45808.0</v>
      </c>
      <c r="O69" s="290">
        <f t="shared" si="7"/>
        <v>370</v>
      </c>
      <c r="P69" s="290">
        <f t="shared" si="3"/>
        <v>1850</v>
      </c>
      <c r="Q69" s="290">
        <f t="shared" si="4"/>
        <v>2220</v>
      </c>
    </row>
    <row r="70">
      <c r="A70" s="282" t="s">
        <v>16</v>
      </c>
      <c r="B70" s="283">
        <v>4320.0</v>
      </c>
      <c r="C70" s="289"/>
      <c r="D70" s="285">
        <v>0.0</v>
      </c>
      <c r="E70" s="303" t="s">
        <v>705</v>
      </c>
      <c r="F70" s="295" t="s">
        <v>781</v>
      </c>
      <c r="G70" s="289" t="s">
        <v>707</v>
      </c>
      <c r="H70" s="289"/>
      <c r="I70" s="293">
        <v>36594.0</v>
      </c>
      <c r="J70" s="288">
        <v>45712.0</v>
      </c>
      <c r="K70" s="289"/>
      <c r="L70" s="302">
        <f t="shared" si="6"/>
        <v>31</v>
      </c>
      <c r="M70" s="350">
        <v>45778.0</v>
      </c>
      <c r="N70" s="350">
        <v>45808.0</v>
      </c>
      <c r="O70" s="290">
        <f t="shared" si="7"/>
        <v>370</v>
      </c>
      <c r="P70" s="290">
        <f t="shared" si="3"/>
        <v>1850</v>
      </c>
      <c r="Q70" s="290">
        <f t="shared" si="4"/>
        <v>2220</v>
      </c>
    </row>
    <row r="71">
      <c r="A71" s="282" t="s">
        <v>16</v>
      </c>
      <c r="B71" s="283">
        <v>4320.0</v>
      </c>
      <c r="C71" s="289"/>
      <c r="D71" s="285">
        <v>0.0</v>
      </c>
      <c r="E71" s="306" t="s">
        <v>273</v>
      </c>
      <c r="F71" s="282" t="s">
        <v>274</v>
      </c>
      <c r="G71" s="286" t="s">
        <v>275</v>
      </c>
      <c r="H71" s="287"/>
      <c r="I71" s="288">
        <v>34522.0</v>
      </c>
      <c r="J71" s="288">
        <v>45292.0</v>
      </c>
      <c r="K71" s="289"/>
      <c r="L71" s="302">
        <f t="shared" si="6"/>
        <v>31</v>
      </c>
      <c r="M71" s="350">
        <v>45778.0</v>
      </c>
      <c r="N71" s="350">
        <v>45808.0</v>
      </c>
      <c r="O71" s="290">
        <f t="shared" si="7"/>
        <v>370</v>
      </c>
      <c r="P71" s="290">
        <f t="shared" si="3"/>
        <v>1850</v>
      </c>
      <c r="Q71" s="290">
        <f t="shared" si="4"/>
        <v>2220</v>
      </c>
    </row>
    <row r="72">
      <c r="A72" s="282" t="s">
        <v>16</v>
      </c>
      <c r="B72" s="283">
        <v>4320.0</v>
      </c>
      <c r="C72" s="289"/>
      <c r="D72" s="285">
        <v>0.0</v>
      </c>
      <c r="E72" s="303" t="s">
        <v>708</v>
      </c>
      <c r="F72" s="295" t="s">
        <v>782</v>
      </c>
      <c r="G72" s="289" t="s">
        <v>710</v>
      </c>
      <c r="H72" s="289"/>
      <c r="I72" s="293">
        <v>37028.0</v>
      </c>
      <c r="J72" s="288">
        <v>45705.0</v>
      </c>
      <c r="K72" s="289"/>
      <c r="L72" s="302">
        <f t="shared" si="6"/>
        <v>31</v>
      </c>
      <c r="M72" s="350">
        <v>45778.0</v>
      </c>
      <c r="N72" s="350">
        <v>45808.0</v>
      </c>
      <c r="O72" s="290">
        <f t="shared" si="7"/>
        <v>370</v>
      </c>
      <c r="P72" s="290">
        <f t="shared" si="3"/>
        <v>1850</v>
      </c>
      <c r="Q72" s="290">
        <f t="shared" si="4"/>
        <v>2220</v>
      </c>
    </row>
    <row r="73">
      <c r="A73" s="432" t="s">
        <v>16</v>
      </c>
      <c r="B73" s="433">
        <v>4320.0</v>
      </c>
      <c r="C73" s="434"/>
      <c r="D73" s="435">
        <v>0.0</v>
      </c>
      <c r="E73" s="436" t="s">
        <v>470</v>
      </c>
      <c r="F73" s="432" t="s">
        <v>528</v>
      </c>
      <c r="G73" s="437" t="s">
        <v>472</v>
      </c>
      <c r="H73" s="395"/>
      <c r="I73" s="438">
        <v>37278.0</v>
      </c>
      <c r="J73" s="438">
        <v>45544.0</v>
      </c>
      <c r="K73" s="434"/>
      <c r="L73" s="439">
        <v>0.0</v>
      </c>
      <c r="M73" s="429">
        <v>45778.0</v>
      </c>
      <c r="N73" s="429">
        <v>45808.0</v>
      </c>
      <c r="O73" s="430">
        <f t="shared" si="7"/>
        <v>0</v>
      </c>
      <c r="P73" s="440">
        <f t="shared" si="3"/>
        <v>0</v>
      </c>
      <c r="Q73" s="440">
        <f t="shared" si="4"/>
        <v>0</v>
      </c>
      <c r="R73" s="48"/>
      <c r="S73" s="48"/>
      <c r="T73" s="48"/>
      <c r="U73" s="48"/>
      <c r="V73" s="48"/>
      <c r="W73" s="48"/>
      <c r="X73" s="48"/>
    </row>
    <row r="74">
      <c r="A74" s="349" t="s">
        <v>16</v>
      </c>
      <c r="B74" s="400">
        <v>4320.0</v>
      </c>
      <c r="C74" s="401"/>
      <c r="D74" s="402">
        <v>0.0</v>
      </c>
      <c r="E74" s="403" t="s">
        <v>162</v>
      </c>
      <c r="F74" s="349" t="s">
        <v>163</v>
      </c>
      <c r="G74" s="404" t="s">
        <v>164</v>
      </c>
      <c r="H74" s="405"/>
      <c r="I74" s="406">
        <v>34732.0</v>
      </c>
      <c r="J74" s="406">
        <v>44986.0</v>
      </c>
      <c r="K74" s="401"/>
      <c r="L74" s="407">
        <f t="shared" ref="L74:L81" si="8">N74-M74+1</f>
        <v>31</v>
      </c>
      <c r="M74" s="350">
        <v>45778.0</v>
      </c>
      <c r="N74" s="350">
        <v>45808.0</v>
      </c>
      <c r="O74" s="290">
        <f t="shared" si="7"/>
        <v>370</v>
      </c>
      <c r="P74" s="409">
        <f t="shared" si="3"/>
        <v>1850</v>
      </c>
      <c r="Q74" s="409">
        <f t="shared" si="4"/>
        <v>2220</v>
      </c>
    </row>
    <row r="75">
      <c r="A75" s="282" t="s">
        <v>16</v>
      </c>
      <c r="B75" s="283">
        <v>4320.0</v>
      </c>
      <c r="C75" s="289"/>
      <c r="D75" s="285">
        <v>0.0</v>
      </c>
      <c r="E75" s="306" t="s">
        <v>549</v>
      </c>
      <c r="F75" s="282" t="s">
        <v>550</v>
      </c>
      <c r="G75" s="286" t="s">
        <v>551</v>
      </c>
      <c r="H75" s="287"/>
      <c r="I75" s="288">
        <v>37636.0</v>
      </c>
      <c r="J75" s="288">
        <v>45663.0</v>
      </c>
      <c r="K75" s="289"/>
      <c r="L75" s="302">
        <f t="shared" si="8"/>
        <v>31</v>
      </c>
      <c r="M75" s="350">
        <v>45778.0</v>
      </c>
      <c r="N75" s="350">
        <v>45808.0</v>
      </c>
      <c r="O75" s="290">
        <f t="shared" si="7"/>
        <v>370</v>
      </c>
      <c r="P75" s="290">
        <f t="shared" si="3"/>
        <v>1850</v>
      </c>
      <c r="Q75" s="290">
        <f t="shared" si="4"/>
        <v>2220</v>
      </c>
    </row>
    <row r="76">
      <c r="A76" s="282" t="s">
        <v>16</v>
      </c>
      <c r="B76" s="283">
        <v>4320.0</v>
      </c>
      <c r="C76" s="289"/>
      <c r="D76" s="285">
        <v>0.0</v>
      </c>
      <c r="E76" s="291" t="s">
        <v>711</v>
      </c>
      <c r="F76" s="295" t="s">
        <v>783</v>
      </c>
      <c r="G76" s="289" t="s">
        <v>713</v>
      </c>
      <c r="H76" s="289"/>
      <c r="I76" s="293">
        <v>34694.0</v>
      </c>
      <c r="J76" s="288">
        <v>45712.0</v>
      </c>
      <c r="K76" s="289"/>
      <c r="L76" s="302">
        <f t="shared" si="8"/>
        <v>31</v>
      </c>
      <c r="M76" s="350">
        <v>45778.0</v>
      </c>
      <c r="N76" s="350">
        <v>45808.0</v>
      </c>
      <c r="O76" s="290">
        <f t="shared" si="7"/>
        <v>370</v>
      </c>
      <c r="P76" s="290">
        <f t="shared" si="3"/>
        <v>1850</v>
      </c>
      <c r="Q76" s="290">
        <f t="shared" si="4"/>
        <v>2220</v>
      </c>
    </row>
    <row r="77">
      <c r="A77" s="282" t="s">
        <v>16</v>
      </c>
      <c r="B77" s="283">
        <v>4320.0</v>
      </c>
      <c r="C77" s="289"/>
      <c r="D77" s="285">
        <v>0.0</v>
      </c>
      <c r="E77" s="306" t="s">
        <v>355</v>
      </c>
      <c r="F77" s="282" t="s">
        <v>356</v>
      </c>
      <c r="G77" s="286" t="s">
        <v>357</v>
      </c>
      <c r="H77" s="287"/>
      <c r="I77" s="288">
        <v>35395.0</v>
      </c>
      <c r="J77" s="288">
        <v>45376.0</v>
      </c>
      <c r="K77" s="289"/>
      <c r="L77" s="302">
        <f t="shared" si="8"/>
        <v>31</v>
      </c>
      <c r="M77" s="350">
        <v>45778.0</v>
      </c>
      <c r="N77" s="350">
        <v>45808.0</v>
      </c>
      <c r="O77" s="290">
        <f t="shared" si="7"/>
        <v>370</v>
      </c>
      <c r="P77" s="290">
        <f t="shared" si="3"/>
        <v>1850</v>
      </c>
      <c r="Q77" s="290">
        <f t="shared" si="4"/>
        <v>2220</v>
      </c>
    </row>
    <row r="78">
      <c r="A78" s="282" t="s">
        <v>16</v>
      </c>
      <c r="B78" s="283">
        <v>4320.0</v>
      </c>
      <c r="C78" s="289"/>
      <c r="D78" s="285">
        <v>0.0</v>
      </c>
      <c r="E78" s="291" t="s">
        <v>714</v>
      </c>
      <c r="F78" s="295" t="s">
        <v>784</v>
      </c>
      <c r="G78" s="289" t="s">
        <v>716</v>
      </c>
      <c r="H78" s="289"/>
      <c r="I78" s="293">
        <v>36514.0</v>
      </c>
      <c r="J78" s="288">
        <v>45698.0</v>
      </c>
      <c r="K78" s="289"/>
      <c r="L78" s="302">
        <f t="shared" si="8"/>
        <v>31</v>
      </c>
      <c r="M78" s="350">
        <v>45778.0</v>
      </c>
      <c r="N78" s="350">
        <v>45808.0</v>
      </c>
      <c r="O78" s="290">
        <f t="shared" si="7"/>
        <v>370</v>
      </c>
      <c r="P78" s="290">
        <f t="shared" si="3"/>
        <v>1850</v>
      </c>
      <c r="Q78" s="290">
        <f t="shared" si="4"/>
        <v>2220</v>
      </c>
    </row>
    <row r="79">
      <c r="A79" s="282" t="s">
        <v>16</v>
      </c>
      <c r="B79" s="283">
        <v>4320.0</v>
      </c>
      <c r="C79" s="289"/>
      <c r="D79" s="285">
        <v>0.0</v>
      </c>
      <c r="E79" s="306" t="s">
        <v>600</v>
      </c>
      <c r="F79" s="282" t="s">
        <v>601</v>
      </c>
      <c r="G79" s="286" t="s">
        <v>602</v>
      </c>
      <c r="H79" s="287"/>
      <c r="I79" s="288">
        <v>29741.0</v>
      </c>
      <c r="J79" s="288">
        <v>45658.0</v>
      </c>
      <c r="K79" s="289"/>
      <c r="L79" s="302">
        <f t="shared" si="8"/>
        <v>31</v>
      </c>
      <c r="M79" s="350">
        <v>45778.0</v>
      </c>
      <c r="N79" s="350">
        <v>45808.0</v>
      </c>
      <c r="O79" s="290">
        <f t="shared" si="7"/>
        <v>370</v>
      </c>
      <c r="P79" s="290">
        <f t="shared" si="3"/>
        <v>1850</v>
      </c>
      <c r="Q79" s="290">
        <f t="shared" si="4"/>
        <v>2220</v>
      </c>
    </row>
    <row r="80">
      <c r="A80" s="282" t="s">
        <v>16</v>
      </c>
      <c r="B80" s="283">
        <v>4320.0</v>
      </c>
      <c r="C80" s="289"/>
      <c r="D80" s="285">
        <v>0.0</v>
      </c>
      <c r="E80" s="306" t="s">
        <v>431</v>
      </c>
      <c r="F80" s="282" t="s">
        <v>377</v>
      </c>
      <c r="G80" s="286" t="s">
        <v>378</v>
      </c>
      <c r="H80" s="287"/>
      <c r="I80" s="294">
        <v>36289.0</v>
      </c>
      <c r="J80" s="288">
        <v>45476.0</v>
      </c>
      <c r="K80" s="381">
        <v>45808.0</v>
      </c>
      <c r="L80" s="302">
        <f t="shared" si="8"/>
        <v>31</v>
      </c>
      <c r="M80" s="350">
        <v>45778.0</v>
      </c>
      <c r="N80" s="350">
        <v>45808.0</v>
      </c>
      <c r="O80" s="290">
        <f t="shared" si="7"/>
        <v>370</v>
      </c>
      <c r="P80" s="290">
        <f t="shared" si="3"/>
        <v>1850</v>
      </c>
      <c r="Q80" s="290">
        <f t="shared" si="4"/>
        <v>2220</v>
      </c>
    </row>
    <row r="81">
      <c r="A81" s="282" t="s">
        <v>16</v>
      </c>
      <c r="B81" s="283">
        <v>4320.0</v>
      </c>
      <c r="C81" s="289"/>
      <c r="D81" s="285">
        <v>0.0</v>
      </c>
      <c r="E81" s="306" t="s">
        <v>183</v>
      </c>
      <c r="F81" s="282" t="s">
        <v>184</v>
      </c>
      <c r="G81" s="286" t="s">
        <v>185</v>
      </c>
      <c r="H81" s="287"/>
      <c r="I81" s="288">
        <v>36979.0</v>
      </c>
      <c r="J81" s="288">
        <v>44907.0</v>
      </c>
      <c r="K81" s="289"/>
      <c r="L81" s="302">
        <f t="shared" si="8"/>
        <v>31</v>
      </c>
      <c r="M81" s="350">
        <v>45778.0</v>
      </c>
      <c r="N81" s="350">
        <v>45808.0</v>
      </c>
      <c r="O81" s="290">
        <f t="shared" si="7"/>
        <v>370</v>
      </c>
      <c r="P81" s="290">
        <f t="shared" si="3"/>
        <v>1850</v>
      </c>
      <c r="Q81" s="290">
        <f t="shared" si="4"/>
        <v>2220</v>
      </c>
    </row>
    <row r="82">
      <c r="A82" s="421" t="s">
        <v>16</v>
      </c>
      <c r="B82" s="422">
        <v>4320.0</v>
      </c>
      <c r="C82" s="427"/>
      <c r="D82" s="424">
        <v>0.0</v>
      </c>
      <c r="E82" s="441" t="s">
        <v>499</v>
      </c>
      <c r="F82" s="421" t="s">
        <v>540</v>
      </c>
      <c r="G82" s="425" t="s">
        <v>500</v>
      </c>
      <c r="H82" s="287"/>
      <c r="I82" s="426">
        <v>36144.0</v>
      </c>
      <c r="J82" s="426">
        <v>45628.0</v>
      </c>
      <c r="K82" s="442"/>
      <c r="L82" s="428">
        <v>0.0</v>
      </c>
      <c r="M82" s="429">
        <v>45778.0</v>
      </c>
      <c r="N82" s="429">
        <v>45808.0</v>
      </c>
      <c r="O82" s="430">
        <f t="shared" si="7"/>
        <v>0</v>
      </c>
      <c r="P82" s="430">
        <f t="shared" si="3"/>
        <v>0</v>
      </c>
      <c r="Q82" s="430">
        <f t="shared" si="4"/>
        <v>0</v>
      </c>
      <c r="R82" s="48"/>
      <c r="S82" s="48"/>
      <c r="T82" s="48"/>
      <c r="U82" s="48"/>
      <c r="V82" s="48"/>
      <c r="W82" s="48"/>
      <c r="X82" s="48"/>
    </row>
    <row r="83">
      <c r="A83" s="282" t="s">
        <v>16</v>
      </c>
      <c r="B83" s="283">
        <v>4320.0</v>
      </c>
      <c r="C83" s="289"/>
      <c r="D83" s="285">
        <v>0.0</v>
      </c>
      <c r="E83" s="306" t="s">
        <v>301</v>
      </c>
      <c r="F83" s="282" t="s">
        <v>302</v>
      </c>
      <c r="G83" s="286" t="s">
        <v>303</v>
      </c>
      <c r="H83" s="287"/>
      <c r="I83" s="288">
        <v>36991.0</v>
      </c>
      <c r="J83" s="288">
        <v>45205.0</v>
      </c>
      <c r="K83" s="289"/>
      <c r="L83" s="302">
        <f t="shared" ref="L83:L115" si="9">N83-M83+1</f>
        <v>31</v>
      </c>
      <c r="M83" s="350">
        <v>45778.0</v>
      </c>
      <c r="N83" s="350">
        <v>45808.0</v>
      </c>
      <c r="O83" s="290">
        <f t="shared" si="7"/>
        <v>370</v>
      </c>
      <c r="P83" s="290">
        <f t="shared" si="3"/>
        <v>1850</v>
      </c>
      <c r="Q83" s="290">
        <f t="shared" si="4"/>
        <v>2220</v>
      </c>
    </row>
    <row r="84">
      <c r="A84" s="282" t="s">
        <v>16</v>
      </c>
      <c r="B84" s="283">
        <v>4320.0</v>
      </c>
      <c r="C84" s="289"/>
      <c r="D84" s="285">
        <v>0.0</v>
      </c>
      <c r="E84" s="306" t="s">
        <v>432</v>
      </c>
      <c r="F84" s="282" t="s">
        <v>521</v>
      </c>
      <c r="G84" s="286" t="s">
        <v>433</v>
      </c>
      <c r="H84" s="287"/>
      <c r="I84" s="288">
        <v>34504.0</v>
      </c>
      <c r="J84" s="288">
        <v>45481.0</v>
      </c>
      <c r="K84" s="289"/>
      <c r="L84" s="302">
        <f t="shared" si="9"/>
        <v>31</v>
      </c>
      <c r="M84" s="350">
        <v>45778.0</v>
      </c>
      <c r="N84" s="350">
        <v>45808.0</v>
      </c>
      <c r="O84" s="290">
        <f t="shared" si="7"/>
        <v>370</v>
      </c>
      <c r="P84" s="290">
        <f t="shared" si="3"/>
        <v>1850</v>
      </c>
      <c r="Q84" s="290">
        <f t="shared" si="4"/>
        <v>2220</v>
      </c>
    </row>
    <row r="85">
      <c r="A85" s="282" t="s">
        <v>16</v>
      </c>
      <c r="B85" s="283">
        <v>4320.0</v>
      </c>
      <c r="C85" s="289"/>
      <c r="D85" s="285">
        <v>0.0</v>
      </c>
      <c r="E85" s="306" t="s">
        <v>434</v>
      </c>
      <c r="F85" s="282" t="s">
        <v>522</v>
      </c>
      <c r="G85" s="286" t="s">
        <v>435</v>
      </c>
      <c r="H85" s="287"/>
      <c r="I85" s="288">
        <v>37446.0</v>
      </c>
      <c r="J85" s="288">
        <v>45495.0</v>
      </c>
      <c r="K85" s="289"/>
      <c r="L85" s="302">
        <f t="shared" si="9"/>
        <v>31</v>
      </c>
      <c r="M85" s="350">
        <v>45778.0</v>
      </c>
      <c r="N85" s="350">
        <v>45808.0</v>
      </c>
      <c r="O85" s="290">
        <f t="shared" si="7"/>
        <v>370</v>
      </c>
      <c r="P85" s="290">
        <f t="shared" si="3"/>
        <v>1850</v>
      </c>
      <c r="Q85" s="290">
        <f t="shared" si="4"/>
        <v>2220</v>
      </c>
    </row>
    <row r="86">
      <c r="A86" s="282" t="s">
        <v>16</v>
      </c>
      <c r="B86" s="283">
        <v>4320.0</v>
      </c>
      <c r="C86" s="289"/>
      <c r="D86" s="285">
        <v>0.0</v>
      </c>
      <c r="E86" s="306" t="s">
        <v>460</v>
      </c>
      <c r="F86" s="282" t="s">
        <v>523</v>
      </c>
      <c r="G86" s="286" t="s">
        <v>461</v>
      </c>
      <c r="H86" s="287"/>
      <c r="I86" s="288">
        <v>36856.0</v>
      </c>
      <c r="J86" s="288">
        <v>45505.0</v>
      </c>
      <c r="K86" s="296"/>
      <c r="L86" s="302">
        <f t="shared" si="9"/>
        <v>31</v>
      </c>
      <c r="M86" s="350">
        <v>45778.0</v>
      </c>
      <c r="N86" s="350">
        <v>45808.0</v>
      </c>
      <c r="O86" s="290">
        <f t="shared" si="7"/>
        <v>370</v>
      </c>
      <c r="P86" s="290">
        <f t="shared" si="3"/>
        <v>1850</v>
      </c>
      <c r="Q86" s="290">
        <f t="shared" si="4"/>
        <v>2220</v>
      </c>
    </row>
    <row r="87">
      <c r="A87" s="282" t="s">
        <v>16</v>
      </c>
      <c r="B87" s="283">
        <v>4320.0</v>
      </c>
      <c r="C87" s="289"/>
      <c r="D87" s="285">
        <v>0.0</v>
      </c>
      <c r="E87" s="306" t="s">
        <v>462</v>
      </c>
      <c r="F87" s="282" t="s">
        <v>526</v>
      </c>
      <c r="G87" s="286" t="s">
        <v>463</v>
      </c>
      <c r="H87" s="287"/>
      <c r="I87" s="288">
        <v>34588.0</v>
      </c>
      <c r="J87" s="288">
        <v>45530.0</v>
      </c>
      <c r="K87" s="289"/>
      <c r="L87" s="302">
        <f t="shared" si="9"/>
        <v>31</v>
      </c>
      <c r="M87" s="350">
        <v>45778.0</v>
      </c>
      <c r="N87" s="350">
        <v>45808.0</v>
      </c>
      <c r="O87" s="290">
        <f t="shared" si="7"/>
        <v>370</v>
      </c>
      <c r="P87" s="290">
        <f t="shared" si="3"/>
        <v>1850</v>
      </c>
      <c r="Q87" s="290">
        <f t="shared" si="4"/>
        <v>2220</v>
      </c>
    </row>
    <row r="88">
      <c r="A88" s="282" t="s">
        <v>16</v>
      </c>
      <c r="B88" s="283">
        <v>4320.0</v>
      </c>
      <c r="C88" s="289"/>
      <c r="D88" s="285">
        <v>0.0</v>
      </c>
      <c r="E88" s="306" t="s">
        <v>423</v>
      </c>
      <c r="F88" s="282" t="s">
        <v>524</v>
      </c>
      <c r="G88" s="286" t="s">
        <v>424</v>
      </c>
      <c r="H88" s="287"/>
      <c r="I88" s="288">
        <v>37818.0</v>
      </c>
      <c r="J88" s="288">
        <v>45467.0</v>
      </c>
      <c r="K88" s="289"/>
      <c r="L88" s="302">
        <f t="shared" si="9"/>
        <v>31</v>
      </c>
      <c r="M88" s="350">
        <v>45778.0</v>
      </c>
      <c r="N88" s="350">
        <v>45808.0</v>
      </c>
      <c r="O88" s="290">
        <f t="shared" si="7"/>
        <v>370</v>
      </c>
      <c r="P88" s="290">
        <f t="shared" si="3"/>
        <v>1850</v>
      </c>
      <c r="Q88" s="290">
        <f t="shared" si="4"/>
        <v>2220</v>
      </c>
    </row>
    <row r="89">
      <c r="A89" s="282" t="s">
        <v>16</v>
      </c>
      <c r="B89" s="283">
        <v>4320.0</v>
      </c>
      <c r="C89" s="289"/>
      <c r="D89" s="285">
        <v>0.0</v>
      </c>
      <c r="E89" s="291" t="s">
        <v>717</v>
      </c>
      <c r="F89" s="292" t="s">
        <v>718</v>
      </c>
      <c r="G89" s="289" t="s">
        <v>719</v>
      </c>
      <c r="H89" s="289"/>
      <c r="I89" s="293">
        <v>36505.0</v>
      </c>
      <c r="J89" s="288">
        <v>45712.0</v>
      </c>
      <c r="K89" s="289"/>
      <c r="L89" s="302">
        <f t="shared" si="9"/>
        <v>31</v>
      </c>
      <c r="M89" s="350">
        <v>45778.0</v>
      </c>
      <c r="N89" s="350">
        <v>45808.0</v>
      </c>
      <c r="O89" s="290">
        <f t="shared" si="7"/>
        <v>370</v>
      </c>
      <c r="P89" s="290">
        <f t="shared" si="3"/>
        <v>1850</v>
      </c>
      <c r="Q89" s="290">
        <f t="shared" si="4"/>
        <v>2220</v>
      </c>
    </row>
    <row r="90">
      <c r="A90" s="282" t="s">
        <v>16</v>
      </c>
      <c r="B90" s="283">
        <v>4320.0</v>
      </c>
      <c r="C90" s="289"/>
      <c r="D90" s="285">
        <v>0.0</v>
      </c>
      <c r="E90" s="306" t="s">
        <v>588</v>
      </c>
      <c r="F90" s="282" t="s">
        <v>589</v>
      </c>
      <c r="G90" s="286" t="s">
        <v>590</v>
      </c>
      <c r="H90" s="287"/>
      <c r="I90" s="288">
        <v>34190.0</v>
      </c>
      <c r="J90" s="288">
        <v>45684.0</v>
      </c>
      <c r="K90" s="296"/>
      <c r="L90" s="302">
        <f t="shared" si="9"/>
        <v>31</v>
      </c>
      <c r="M90" s="350">
        <v>45778.0</v>
      </c>
      <c r="N90" s="350">
        <v>45808.0</v>
      </c>
      <c r="O90" s="290">
        <f t="shared" si="7"/>
        <v>370</v>
      </c>
      <c r="P90" s="290">
        <f t="shared" si="3"/>
        <v>1850</v>
      </c>
      <c r="Q90" s="290">
        <f t="shared" si="4"/>
        <v>2220</v>
      </c>
    </row>
    <row r="91">
      <c r="A91" s="282" t="s">
        <v>16</v>
      </c>
      <c r="B91" s="283">
        <v>4320.0</v>
      </c>
      <c r="C91" s="289"/>
      <c r="D91" s="285">
        <v>0.0</v>
      </c>
      <c r="E91" s="306" t="s">
        <v>427</v>
      </c>
      <c r="F91" s="282" t="s">
        <v>525</v>
      </c>
      <c r="G91" s="286" t="s">
        <v>428</v>
      </c>
      <c r="H91" s="287"/>
      <c r="I91" s="288">
        <v>36451.0</v>
      </c>
      <c r="J91" s="288">
        <v>45453.0</v>
      </c>
      <c r="K91" s="289"/>
      <c r="L91" s="302">
        <f t="shared" si="9"/>
        <v>31</v>
      </c>
      <c r="M91" s="350">
        <v>45778.0</v>
      </c>
      <c r="N91" s="350">
        <v>45808.0</v>
      </c>
      <c r="O91" s="290">
        <f t="shared" si="7"/>
        <v>370</v>
      </c>
      <c r="P91" s="290">
        <f t="shared" si="3"/>
        <v>1850</v>
      </c>
      <c r="Q91" s="290">
        <f t="shared" si="4"/>
        <v>2220</v>
      </c>
    </row>
    <row r="92">
      <c r="A92" s="282" t="s">
        <v>16</v>
      </c>
      <c r="B92" s="283">
        <v>4320.0</v>
      </c>
      <c r="C92" s="289"/>
      <c r="D92" s="285">
        <v>0.0</v>
      </c>
      <c r="E92" s="306" t="s">
        <v>493</v>
      </c>
      <c r="F92" s="282" t="s">
        <v>532</v>
      </c>
      <c r="G92" s="286" t="s">
        <v>494</v>
      </c>
      <c r="H92" s="287"/>
      <c r="I92" s="288">
        <v>36208.0</v>
      </c>
      <c r="J92" s="288">
        <v>45602.0</v>
      </c>
      <c r="K92" s="289"/>
      <c r="L92" s="302">
        <f t="shared" si="9"/>
        <v>31</v>
      </c>
      <c r="M92" s="350">
        <v>45778.0</v>
      </c>
      <c r="N92" s="350">
        <v>45808.0</v>
      </c>
      <c r="O92" s="290">
        <f t="shared" si="7"/>
        <v>370</v>
      </c>
      <c r="P92" s="290">
        <f t="shared" si="3"/>
        <v>1850</v>
      </c>
      <c r="Q92" s="290">
        <f t="shared" si="4"/>
        <v>2220</v>
      </c>
    </row>
    <row r="93">
      <c r="A93" s="282" t="s">
        <v>16</v>
      </c>
      <c r="B93" s="283">
        <v>4320.0</v>
      </c>
      <c r="C93" s="289"/>
      <c r="D93" s="285">
        <v>0.0</v>
      </c>
      <c r="E93" s="306" t="s">
        <v>585</v>
      </c>
      <c r="F93" s="282" t="s">
        <v>586</v>
      </c>
      <c r="G93" s="286" t="s">
        <v>587</v>
      </c>
      <c r="H93" s="287"/>
      <c r="I93" s="288">
        <v>35827.0</v>
      </c>
      <c r="J93" s="288">
        <v>45684.0</v>
      </c>
      <c r="K93" s="289"/>
      <c r="L93" s="302">
        <f t="shared" si="9"/>
        <v>31</v>
      </c>
      <c r="M93" s="350">
        <v>45778.0</v>
      </c>
      <c r="N93" s="350">
        <v>45808.0</v>
      </c>
      <c r="O93" s="290">
        <f t="shared" si="7"/>
        <v>370</v>
      </c>
      <c r="P93" s="290">
        <f t="shared" si="3"/>
        <v>1850</v>
      </c>
      <c r="Q93" s="290">
        <f t="shared" si="4"/>
        <v>2220</v>
      </c>
    </row>
    <row r="94">
      <c r="A94" s="282" t="s">
        <v>16</v>
      </c>
      <c r="B94" s="283">
        <v>4320.0</v>
      </c>
      <c r="C94" s="289"/>
      <c r="D94" s="285">
        <v>0.0</v>
      </c>
      <c r="E94" s="306" t="s">
        <v>225</v>
      </c>
      <c r="F94" s="282" t="s">
        <v>226</v>
      </c>
      <c r="G94" s="286" t="s">
        <v>227</v>
      </c>
      <c r="H94" s="287"/>
      <c r="I94" s="288">
        <v>36177.0</v>
      </c>
      <c r="J94" s="288">
        <v>45320.0</v>
      </c>
      <c r="K94" s="289"/>
      <c r="L94" s="302">
        <f t="shared" si="9"/>
        <v>31</v>
      </c>
      <c r="M94" s="350">
        <v>45778.0</v>
      </c>
      <c r="N94" s="350">
        <v>45808.0</v>
      </c>
      <c r="O94" s="290">
        <f t="shared" si="7"/>
        <v>370</v>
      </c>
      <c r="P94" s="290">
        <f t="shared" si="3"/>
        <v>1850</v>
      </c>
      <c r="Q94" s="290">
        <f t="shared" si="4"/>
        <v>2220</v>
      </c>
    </row>
    <row r="95">
      <c r="A95" s="410" t="s">
        <v>16</v>
      </c>
      <c r="B95" s="411">
        <v>4320.0</v>
      </c>
      <c r="C95" s="412"/>
      <c r="D95" s="285">
        <v>0.0</v>
      </c>
      <c r="E95" s="410" t="s">
        <v>741</v>
      </c>
      <c r="F95" s="413" t="s">
        <v>742</v>
      </c>
      <c r="G95" s="410" t="s">
        <v>743</v>
      </c>
      <c r="H95" s="412"/>
      <c r="I95" s="414">
        <v>37329.0</v>
      </c>
      <c r="J95" s="414">
        <v>45719.0</v>
      </c>
      <c r="K95" s="381">
        <v>45786.0</v>
      </c>
      <c r="L95" s="415">
        <f t="shared" si="9"/>
        <v>9</v>
      </c>
      <c r="M95" s="350">
        <v>45778.0</v>
      </c>
      <c r="N95" s="381">
        <v>45786.0</v>
      </c>
      <c r="O95" s="290">
        <f t="shared" si="7"/>
        <v>108</v>
      </c>
      <c r="P95" s="416">
        <f t="shared" si="3"/>
        <v>540</v>
      </c>
      <c r="Q95" s="417">
        <f t="shared" si="4"/>
        <v>648</v>
      </c>
    </row>
    <row r="96">
      <c r="A96" s="410" t="s">
        <v>16</v>
      </c>
      <c r="B96" s="411">
        <v>4320.0</v>
      </c>
      <c r="C96" s="412"/>
      <c r="D96" s="285">
        <v>0.0</v>
      </c>
      <c r="E96" s="410" t="s">
        <v>744</v>
      </c>
      <c r="F96" s="413" t="s">
        <v>745</v>
      </c>
      <c r="G96" s="410" t="s">
        <v>746</v>
      </c>
      <c r="H96" s="412"/>
      <c r="I96" s="414">
        <v>37479.0</v>
      </c>
      <c r="J96" s="414">
        <v>45726.0</v>
      </c>
      <c r="K96" s="412"/>
      <c r="L96" s="415">
        <f t="shared" si="9"/>
        <v>31</v>
      </c>
      <c r="M96" s="350">
        <v>45778.0</v>
      </c>
      <c r="N96" s="350">
        <v>45808.0</v>
      </c>
      <c r="O96" s="290">
        <f t="shared" si="7"/>
        <v>370</v>
      </c>
      <c r="P96" s="416">
        <f t="shared" si="3"/>
        <v>1850</v>
      </c>
      <c r="Q96" s="417">
        <f t="shared" si="4"/>
        <v>2220</v>
      </c>
    </row>
    <row r="97">
      <c r="A97" s="410" t="s">
        <v>16</v>
      </c>
      <c r="B97" s="411">
        <v>4320.0</v>
      </c>
      <c r="C97" s="412"/>
      <c r="D97" s="285">
        <v>0.0</v>
      </c>
      <c r="E97" s="410" t="s">
        <v>747</v>
      </c>
      <c r="F97" s="418" t="s">
        <v>748</v>
      </c>
      <c r="G97" s="410" t="s">
        <v>749</v>
      </c>
      <c r="H97" s="412"/>
      <c r="I97" s="414">
        <v>37314.0</v>
      </c>
      <c r="J97" s="414">
        <v>45733.0</v>
      </c>
      <c r="K97" s="412"/>
      <c r="L97" s="415">
        <f t="shared" si="9"/>
        <v>31</v>
      </c>
      <c r="M97" s="350">
        <v>45778.0</v>
      </c>
      <c r="N97" s="350">
        <v>45808.0</v>
      </c>
      <c r="O97" s="290">
        <f t="shared" si="7"/>
        <v>370</v>
      </c>
      <c r="P97" s="416">
        <f t="shared" si="3"/>
        <v>1850</v>
      </c>
      <c r="Q97" s="417">
        <f t="shared" si="4"/>
        <v>2220</v>
      </c>
    </row>
    <row r="98">
      <c r="A98" s="410" t="s">
        <v>16</v>
      </c>
      <c r="B98" s="411">
        <v>4320.0</v>
      </c>
      <c r="C98" s="412"/>
      <c r="D98" s="285">
        <v>0.0</v>
      </c>
      <c r="E98" s="410" t="s">
        <v>750</v>
      </c>
      <c r="F98" s="418" t="s">
        <v>751</v>
      </c>
      <c r="G98" s="410" t="s">
        <v>752</v>
      </c>
      <c r="H98" s="412"/>
      <c r="I98" s="414">
        <v>36581.0</v>
      </c>
      <c r="J98" s="414">
        <v>45740.0</v>
      </c>
      <c r="K98" s="412"/>
      <c r="L98" s="415">
        <f t="shared" si="9"/>
        <v>31</v>
      </c>
      <c r="M98" s="350">
        <v>45778.0</v>
      </c>
      <c r="N98" s="350">
        <v>45808.0</v>
      </c>
      <c r="O98" s="290">
        <f t="shared" si="7"/>
        <v>370</v>
      </c>
      <c r="P98" s="416">
        <f t="shared" si="3"/>
        <v>1850</v>
      </c>
      <c r="Q98" s="417">
        <f t="shared" si="4"/>
        <v>2220</v>
      </c>
    </row>
    <row r="99">
      <c r="A99" s="410" t="s">
        <v>16</v>
      </c>
      <c r="B99" s="411">
        <v>4320.0</v>
      </c>
      <c r="C99" s="412"/>
      <c r="D99" s="285">
        <v>0.0</v>
      </c>
      <c r="E99" s="410" t="s">
        <v>764</v>
      </c>
      <c r="F99" s="418" t="s">
        <v>765</v>
      </c>
      <c r="G99" s="410" t="s">
        <v>766</v>
      </c>
      <c r="H99" s="412"/>
      <c r="I99" s="414">
        <v>36087.0</v>
      </c>
      <c r="J99" s="414">
        <v>45761.0</v>
      </c>
      <c r="K99" s="412"/>
      <c r="L99" s="415">
        <f t="shared" si="9"/>
        <v>31</v>
      </c>
      <c r="M99" s="350">
        <v>45778.0</v>
      </c>
      <c r="N99" s="350">
        <v>45808.0</v>
      </c>
      <c r="O99" s="290">
        <f t="shared" si="7"/>
        <v>370</v>
      </c>
      <c r="P99" s="416">
        <f t="shared" si="3"/>
        <v>1850</v>
      </c>
      <c r="Q99" s="416">
        <f t="shared" si="4"/>
        <v>2220</v>
      </c>
    </row>
    <row r="100">
      <c r="A100" s="410" t="s">
        <v>16</v>
      </c>
      <c r="B100" s="411">
        <v>4320.0</v>
      </c>
      <c r="C100" s="412"/>
      <c r="D100" s="285">
        <v>0.0</v>
      </c>
      <c r="E100" s="410" t="s">
        <v>767</v>
      </c>
      <c r="F100" s="418" t="s">
        <v>765</v>
      </c>
      <c r="G100" s="410" t="s">
        <v>768</v>
      </c>
      <c r="H100" s="412"/>
      <c r="I100" s="414">
        <v>35792.0</v>
      </c>
      <c r="J100" s="414">
        <v>45754.0</v>
      </c>
      <c r="K100" s="412"/>
      <c r="L100" s="415">
        <f t="shared" si="9"/>
        <v>31</v>
      </c>
      <c r="M100" s="350">
        <v>45778.0</v>
      </c>
      <c r="N100" s="350">
        <v>45808.0</v>
      </c>
      <c r="O100" s="290">
        <f t="shared" si="7"/>
        <v>370</v>
      </c>
      <c r="P100" s="416">
        <f t="shared" si="3"/>
        <v>1850</v>
      </c>
      <c r="Q100" s="416">
        <f t="shared" si="4"/>
        <v>2220</v>
      </c>
    </row>
    <row r="101">
      <c r="A101" s="410" t="s">
        <v>16</v>
      </c>
      <c r="B101" s="411">
        <v>4320.0</v>
      </c>
      <c r="C101" s="443"/>
      <c r="D101" s="285">
        <v>0.0</v>
      </c>
      <c r="E101" s="444" t="s">
        <v>785</v>
      </c>
      <c r="F101" s="445" t="s">
        <v>786</v>
      </c>
      <c r="G101" s="445" t="s">
        <v>787</v>
      </c>
      <c r="H101" s="443"/>
      <c r="I101" s="446">
        <v>38089.0</v>
      </c>
      <c r="J101" s="447">
        <v>45789.0</v>
      </c>
      <c r="K101" s="443"/>
      <c r="L101" s="448">
        <f t="shared" si="9"/>
        <v>20</v>
      </c>
      <c r="M101" s="447">
        <v>45789.0</v>
      </c>
      <c r="N101" s="449">
        <v>45808.0</v>
      </c>
      <c r="O101" s="450">
        <f t="shared" si="7"/>
        <v>239</v>
      </c>
      <c r="P101" s="451">
        <f t="shared" si="3"/>
        <v>1195</v>
      </c>
      <c r="Q101" s="451">
        <f t="shared" si="4"/>
        <v>1434</v>
      </c>
    </row>
    <row r="102">
      <c r="A102" s="410" t="s">
        <v>16</v>
      </c>
      <c r="B102" s="411">
        <v>4320.0</v>
      </c>
      <c r="C102" s="443"/>
      <c r="D102" s="285">
        <v>0.0</v>
      </c>
      <c r="E102" s="444" t="s">
        <v>788</v>
      </c>
      <c r="F102" s="445" t="s">
        <v>789</v>
      </c>
      <c r="G102" s="445" t="s">
        <v>790</v>
      </c>
      <c r="H102" s="443"/>
      <c r="I102" s="446">
        <v>36459.0</v>
      </c>
      <c r="J102" s="447">
        <v>45789.0</v>
      </c>
      <c r="K102" s="443"/>
      <c r="L102" s="448">
        <f t="shared" si="9"/>
        <v>20</v>
      </c>
      <c r="M102" s="447">
        <v>45789.0</v>
      </c>
      <c r="N102" s="449">
        <v>45808.0</v>
      </c>
      <c r="O102" s="450">
        <f t="shared" si="7"/>
        <v>239</v>
      </c>
      <c r="P102" s="451">
        <f t="shared" si="3"/>
        <v>1195</v>
      </c>
      <c r="Q102" s="451">
        <f t="shared" si="4"/>
        <v>1434</v>
      </c>
    </row>
    <row r="103">
      <c r="A103" s="410" t="s">
        <v>16</v>
      </c>
      <c r="B103" s="411">
        <v>4320.0</v>
      </c>
      <c r="C103" s="443"/>
      <c r="D103" s="285">
        <v>0.0</v>
      </c>
      <c r="E103" s="444" t="s">
        <v>791</v>
      </c>
      <c r="F103" s="445" t="s">
        <v>792</v>
      </c>
      <c r="G103" s="445" t="s">
        <v>793</v>
      </c>
      <c r="H103" s="443"/>
      <c r="I103" s="446">
        <v>36197.0</v>
      </c>
      <c r="J103" s="447">
        <v>45782.0</v>
      </c>
      <c r="K103" s="443"/>
      <c r="L103" s="448">
        <f t="shared" si="9"/>
        <v>27</v>
      </c>
      <c r="M103" s="447">
        <v>45782.0</v>
      </c>
      <c r="N103" s="449">
        <v>45808.0</v>
      </c>
      <c r="O103" s="450">
        <f t="shared" si="7"/>
        <v>323</v>
      </c>
      <c r="P103" s="451">
        <f t="shared" si="3"/>
        <v>1615</v>
      </c>
      <c r="Q103" s="451">
        <f t="shared" si="4"/>
        <v>1938</v>
      </c>
    </row>
    <row r="104">
      <c r="A104" s="410" t="s">
        <v>16</v>
      </c>
      <c r="B104" s="411">
        <v>4320.0</v>
      </c>
      <c r="C104" s="443"/>
      <c r="D104" s="285">
        <v>0.0</v>
      </c>
      <c r="E104" s="444" t="s">
        <v>794</v>
      </c>
      <c r="F104" s="445" t="s">
        <v>795</v>
      </c>
      <c r="G104" s="445" t="s">
        <v>796</v>
      </c>
      <c r="H104" s="443"/>
      <c r="I104" s="446">
        <v>36857.0</v>
      </c>
      <c r="J104" s="446">
        <v>45775.0</v>
      </c>
      <c r="K104" s="443"/>
      <c r="L104" s="448">
        <f t="shared" si="9"/>
        <v>31</v>
      </c>
      <c r="M104" s="449">
        <v>45778.0</v>
      </c>
      <c r="N104" s="449">
        <v>45808.0</v>
      </c>
      <c r="O104" s="450">
        <f t="shared" si="7"/>
        <v>370</v>
      </c>
      <c r="P104" s="451">
        <f t="shared" si="3"/>
        <v>1850</v>
      </c>
      <c r="Q104" s="451">
        <f t="shared" si="4"/>
        <v>2220</v>
      </c>
    </row>
    <row r="105">
      <c r="A105" s="410" t="s">
        <v>16</v>
      </c>
      <c r="B105" s="411">
        <v>4320.0</v>
      </c>
      <c r="C105" s="443"/>
      <c r="D105" s="285">
        <v>0.0</v>
      </c>
      <c r="E105" s="444" t="s">
        <v>797</v>
      </c>
      <c r="F105" s="445" t="s">
        <v>798</v>
      </c>
      <c r="G105" s="445" t="s">
        <v>799</v>
      </c>
      <c r="H105" s="443"/>
      <c r="I105" s="446">
        <v>37709.0</v>
      </c>
      <c r="J105" s="447">
        <v>45789.0</v>
      </c>
      <c r="K105" s="443"/>
      <c r="L105" s="448">
        <f t="shared" si="9"/>
        <v>20</v>
      </c>
      <c r="M105" s="447">
        <v>45789.0</v>
      </c>
      <c r="N105" s="449">
        <v>45808.0</v>
      </c>
      <c r="O105" s="450">
        <f t="shared" si="7"/>
        <v>239</v>
      </c>
      <c r="P105" s="451">
        <f t="shared" si="3"/>
        <v>1195</v>
      </c>
      <c r="Q105" s="451">
        <f t="shared" si="4"/>
        <v>1434</v>
      </c>
    </row>
    <row r="106">
      <c r="A106" s="410" t="s">
        <v>16</v>
      </c>
      <c r="B106" s="411">
        <v>4320.0</v>
      </c>
      <c r="C106" s="443"/>
      <c r="D106" s="285">
        <v>0.0</v>
      </c>
      <c r="E106" s="444" t="s">
        <v>800</v>
      </c>
      <c r="F106" s="445" t="s">
        <v>801</v>
      </c>
      <c r="G106" s="445" t="s">
        <v>802</v>
      </c>
      <c r="H106" s="443"/>
      <c r="I106" s="446">
        <v>36939.0</v>
      </c>
      <c r="J106" s="447">
        <v>45789.0</v>
      </c>
      <c r="K106" s="443"/>
      <c r="L106" s="448">
        <f t="shared" si="9"/>
        <v>20</v>
      </c>
      <c r="M106" s="447">
        <v>45789.0</v>
      </c>
      <c r="N106" s="449">
        <v>45808.0</v>
      </c>
      <c r="O106" s="450">
        <f t="shared" si="7"/>
        <v>239</v>
      </c>
      <c r="P106" s="451">
        <f t="shared" si="3"/>
        <v>1195</v>
      </c>
      <c r="Q106" s="451">
        <f t="shared" si="4"/>
        <v>1434</v>
      </c>
    </row>
    <row r="107">
      <c r="A107" s="410" t="s">
        <v>16</v>
      </c>
      <c r="B107" s="411">
        <v>4320.0</v>
      </c>
      <c r="C107" s="443"/>
      <c r="D107" s="285">
        <v>0.0</v>
      </c>
      <c r="E107" s="444" t="s">
        <v>803</v>
      </c>
      <c r="F107" s="445" t="s">
        <v>804</v>
      </c>
      <c r="G107" s="445" t="s">
        <v>805</v>
      </c>
      <c r="H107" s="443"/>
      <c r="I107" s="446">
        <v>37817.0</v>
      </c>
      <c r="J107" s="447">
        <v>45796.0</v>
      </c>
      <c r="K107" s="443"/>
      <c r="L107" s="448">
        <f t="shared" si="9"/>
        <v>13</v>
      </c>
      <c r="M107" s="447">
        <v>45796.0</v>
      </c>
      <c r="N107" s="449">
        <v>45808.0</v>
      </c>
      <c r="O107" s="450">
        <f t="shared" si="7"/>
        <v>156</v>
      </c>
      <c r="P107" s="451">
        <f t="shared" si="3"/>
        <v>780</v>
      </c>
      <c r="Q107" s="451">
        <f t="shared" si="4"/>
        <v>936</v>
      </c>
    </row>
    <row r="108">
      <c r="A108" s="410" t="s">
        <v>16</v>
      </c>
      <c r="B108" s="411">
        <v>4320.0</v>
      </c>
      <c r="C108" s="443"/>
      <c r="D108" s="285">
        <v>0.0</v>
      </c>
      <c r="E108" s="444" t="s">
        <v>806</v>
      </c>
      <c r="F108" s="445" t="s">
        <v>807</v>
      </c>
      <c r="G108" s="445" t="s">
        <v>808</v>
      </c>
      <c r="H108" s="443"/>
      <c r="I108" s="446">
        <v>36061.0</v>
      </c>
      <c r="J108" s="447">
        <v>45796.0</v>
      </c>
      <c r="K108" s="443"/>
      <c r="L108" s="448">
        <f t="shared" si="9"/>
        <v>13</v>
      </c>
      <c r="M108" s="447">
        <v>45796.0</v>
      </c>
      <c r="N108" s="449">
        <v>45808.0</v>
      </c>
      <c r="O108" s="450">
        <f t="shared" si="7"/>
        <v>156</v>
      </c>
      <c r="P108" s="451">
        <f t="shared" si="3"/>
        <v>780</v>
      </c>
      <c r="Q108" s="451">
        <f t="shared" si="4"/>
        <v>936</v>
      </c>
    </row>
    <row r="109">
      <c r="A109" s="410" t="s">
        <v>16</v>
      </c>
      <c r="B109" s="411">
        <v>4320.0</v>
      </c>
      <c r="C109" s="443"/>
      <c r="D109" s="285">
        <v>0.0</v>
      </c>
      <c r="E109" s="444" t="s">
        <v>809</v>
      </c>
      <c r="F109" s="445" t="s">
        <v>810</v>
      </c>
      <c r="G109" s="445" t="s">
        <v>811</v>
      </c>
      <c r="H109" s="443"/>
      <c r="I109" s="446">
        <v>35148.0</v>
      </c>
      <c r="J109" s="446">
        <v>45775.0</v>
      </c>
      <c r="K109" s="443"/>
      <c r="L109" s="448">
        <f t="shared" si="9"/>
        <v>31</v>
      </c>
      <c r="M109" s="449">
        <v>45778.0</v>
      </c>
      <c r="N109" s="449">
        <v>45808.0</v>
      </c>
      <c r="O109" s="450">
        <f t="shared" si="7"/>
        <v>370</v>
      </c>
      <c r="P109" s="451">
        <f t="shared" si="3"/>
        <v>1850</v>
      </c>
      <c r="Q109" s="451">
        <f t="shared" si="4"/>
        <v>2220</v>
      </c>
    </row>
    <row r="110">
      <c r="A110" s="410" t="s">
        <v>16</v>
      </c>
      <c r="B110" s="411">
        <v>4320.0</v>
      </c>
      <c r="C110" s="443"/>
      <c r="D110" s="285">
        <v>0.0</v>
      </c>
      <c r="E110" s="444" t="s">
        <v>812</v>
      </c>
      <c r="F110" s="445" t="s">
        <v>813</v>
      </c>
      <c r="G110" s="445" t="s">
        <v>814</v>
      </c>
      <c r="H110" s="443"/>
      <c r="I110" s="446">
        <v>37940.0</v>
      </c>
      <c r="J110" s="446">
        <v>45775.0</v>
      </c>
      <c r="K110" s="443"/>
      <c r="L110" s="448">
        <f t="shared" si="9"/>
        <v>31</v>
      </c>
      <c r="M110" s="449">
        <v>45778.0</v>
      </c>
      <c r="N110" s="449">
        <v>45808.0</v>
      </c>
      <c r="O110" s="450">
        <f t="shared" si="7"/>
        <v>370</v>
      </c>
      <c r="P110" s="451">
        <f t="shared" si="3"/>
        <v>1850</v>
      </c>
      <c r="Q110" s="451">
        <f t="shared" si="4"/>
        <v>2220</v>
      </c>
    </row>
    <row r="111">
      <c r="A111" s="410" t="s">
        <v>16</v>
      </c>
      <c r="B111" s="411">
        <v>4320.0</v>
      </c>
      <c r="C111" s="443"/>
      <c r="D111" s="285">
        <v>0.0</v>
      </c>
      <c r="E111" s="444" t="s">
        <v>629</v>
      </c>
      <c r="F111" s="445" t="s">
        <v>815</v>
      </c>
      <c r="G111" s="445" t="s">
        <v>631</v>
      </c>
      <c r="H111" s="445" t="s">
        <v>763</v>
      </c>
      <c r="I111" s="446">
        <v>34807.0</v>
      </c>
      <c r="J111" s="447">
        <v>45778.0</v>
      </c>
      <c r="K111" s="443"/>
      <c r="L111" s="448">
        <f t="shared" si="9"/>
        <v>31</v>
      </c>
      <c r="M111" s="449">
        <v>45778.0</v>
      </c>
      <c r="N111" s="449">
        <v>45808.0</v>
      </c>
      <c r="O111" s="450">
        <f t="shared" si="7"/>
        <v>370</v>
      </c>
      <c r="P111" s="451">
        <f t="shared" si="3"/>
        <v>1850</v>
      </c>
      <c r="Q111" s="451">
        <f t="shared" si="4"/>
        <v>2220</v>
      </c>
    </row>
    <row r="112">
      <c r="A112" s="410" t="s">
        <v>16</v>
      </c>
      <c r="B112" s="411">
        <v>4320.0</v>
      </c>
      <c r="C112" s="443"/>
      <c r="D112" s="285">
        <v>0.0</v>
      </c>
      <c r="E112" s="444" t="s">
        <v>816</v>
      </c>
      <c r="F112" s="445" t="s">
        <v>627</v>
      </c>
      <c r="G112" s="445" t="s">
        <v>628</v>
      </c>
      <c r="H112" s="443"/>
      <c r="I112" s="446">
        <v>35257.0</v>
      </c>
      <c r="J112" s="447">
        <v>45778.0</v>
      </c>
      <c r="K112" s="443"/>
      <c r="L112" s="448">
        <f t="shared" si="9"/>
        <v>31</v>
      </c>
      <c r="M112" s="449">
        <v>45778.0</v>
      </c>
      <c r="N112" s="449">
        <v>45808.0</v>
      </c>
      <c r="O112" s="450">
        <f t="shared" si="7"/>
        <v>370</v>
      </c>
      <c r="P112" s="451">
        <f t="shared" si="3"/>
        <v>1850</v>
      </c>
      <c r="Q112" s="451">
        <f t="shared" si="4"/>
        <v>2220</v>
      </c>
    </row>
    <row r="113">
      <c r="A113" s="410" t="s">
        <v>16</v>
      </c>
      <c r="B113" s="411">
        <v>4320.0</v>
      </c>
      <c r="C113" s="443"/>
      <c r="D113" s="285">
        <v>0.0</v>
      </c>
      <c r="E113" s="444" t="s">
        <v>606</v>
      </c>
      <c r="F113" s="445" t="s">
        <v>607</v>
      </c>
      <c r="G113" s="445" t="s">
        <v>608</v>
      </c>
      <c r="H113" s="443"/>
      <c r="I113" s="446">
        <v>33844.0</v>
      </c>
      <c r="J113" s="447">
        <v>45778.0</v>
      </c>
      <c r="K113" s="443"/>
      <c r="L113" s="448">
        <f t="shared" si="9"/>
        <v>31</v>
      </c>
      <c r="M113" s="449">
        <v>45778.0</v>
      </c>
      <c r="N113" s="449">
        <v>45808.0</v>
      </c>
      <c r="O113" s="450">
        <f t="shared" si="7"/>
        <v>370</v>
      </c>
      <c r="P113" s="451">
        <f t="shared" si="3"/>
        <v>1850</v>
      </c>
      <c r="Q113" s="451">
        <f t="shared" si="4"/>
        <v>2220</v>
      </c>
    </row>
    <row r="114">
      <c r="A114" s="410" t="s">
        <v>16</v>
      </c>
      <c r="B114" s="411">
        <v>4320.0</v>
      </c>
      <c r="C114" s="443"/>
      <c r="D114" s="285">
        <v>0.0</v>
      </c>
      <c r="E114" s="444" t="s">
        <v>817</v>
      </c>
      <c r="F114" s="445" t="s">
        <v>637</v>
      </c>
      <c r="G114" s="445" t="s">
        <v>638</v>
      </c>
      <c r="H114" s="443"/>
      <c r="I114" s="446">
        <v>36720.0</v>
      </c>
      <c r="J114" s="447">
        <v>45778.0</v>
      </c>
      <c r="K114" s="443"/>
      <c r="L114" s="448">
        <f t="shared" si="9"/>
        <v>31</v>
      </c>
      <c r="M114" s="449">
        <v>45778.0</v>
      </c>
      <c r="N114" s="449">
        <v>45808.0</v>
      </c>
      <c r="O114" s="450">
        <f t="shared" si="7"/>
        <v>370</v>
      </c>
      <c r="P114" s="451">
        <f t="shared" si="3"/>
        <v>1850</v>
      </c>
      <c r="Q114" s="451">
        <f t="shared" si="4"/>
        <v>2220</v>
      </c>
    </row>
    <row r="115">
      <c r="A115" s="410" t="s">
        <v>16</v>
      </c>
      <c r="B115" s="411">
        <v>4320.0</v>
      </c>
      <c r="C115" s="443"/>
      <c r="D115" s="285">
        <v>0.0</v>
      </c>
      <c r="E115" s="444" t="s">
        <v>676</v>
      </c>
      <c r="F115" s="445" t="s">
        <v>677</v>
      </c>
      <c r="G115" s="445" t="s">
        <v>678</v>
      </c>
      <c r="H115" s="443"/>
      <c r="I115" s="446">
        <v>36107.0</v>
      </c>
      <c r="J115" s="447">
        <v>45778.0</v>
      </c>
      <c r="K115" s="443"/>
      <c r="L115" s="448">
        <f t="shared" si="9"/>
        <v>31</v>
      </c>
      <c r="M115" s="449">
        <v>45778.0</v>
      </c>
      <c r="N115" s="449">
        <v>45808.0</v>
      </c>
      <c r="O115" s="450">
        <f t="shared" si="7"/>
        <v>370</v>
      </c>
      <c r="P115" s="451">
        <f t="shared" si="3"/>
        <v>1850</v>
      </c>
      <c r="Q115" s="451">
        <f t="shared" si="4"/>
        <v>2220</v>
      </c>
    </row>
    <row r="116">
      <c r="A116" s="307"/>
      <c r="B116" s="307"/>
      <c r="C116" s="307"/>
      <c r="D116" s="308"/>
      <c r="E116" s="309"/>
      <c r="F116" s="307"/>
      <c r="G116" s="307"/>
      <c r="H116" s="307"/>
      <c r="I116" s="307"/>
      <c r="J116" s="307"/>
      <c r="K116" s="307"/>
      <c r="L116" s="307"/>
      <c r="M116" s="307"/>
      <c r="N116" s="307"/>
      <c r="O116" s="362">
        <f t="shared" ref="O116:Q116" si="10">sum(O2:O115)</f>
        <v>38725</v>
      </c>
      <c r="P116" s="362">
        <f t="shared" si="10"/>
        <v>193625</v>
      </c>
      <c r="Q116" s="362">
        <f t="shared" si="10"/>
        <v>232350</v>
      </c>
    </row>
    <row r="117">
      <c r="D117" s="310"/>
      <c r="E117" s="311"/>
      <c r="L117" s="364">
        <f>SUM(L2:L115)</f>
        <v>3244</v>
      </c>
      <c r="O117" s="53">
        <v>39088.709677419356</v>
      </c>
    </row>
    <row r="118">
      <c r="D118" s="310"/>
      <c r="E118" s="311"/>
      <c r="O118" s="53">
        <f>O116-O117</f>
        <v>-363.7096774</v>
      </c>
    </row>
    <row r="119">
      <c r="D119" s="310"/>
      <c r="E119" s="311"/>
      <c r="N119" s="53"/>
      <c r="R119" s="359"/>
      <c r="S119" s="360"/>
      <c r="T119" s="360"/>
      <c r="U119" s="360"/>
      <c r="V119" s="360"/>
      <c r="W119" s="360"/>
      <c r="X119" s="360"/>
    </row>
    <row r="120">
      <c r="D120" s="310"/>
      <c r="E120" s="311"/>
      <c r="R120" s="359"/>
      <c r="S120" s="360"/>
      <c r="T120" s="360"/>
      <c r="U120" s="360"/>
      <c r="V120" s="360"/>
      <c r="W120" s="360"/>
      <c r="X120" s="360"/>
    </row>
    <row r="121">
      <c r="D121" s="310"/>
      <c r="E121" s="311"/>
      <c r="R121" s="359"/>
      <c r="S121" s="360"/>
      <c r="T121" s="360"/>
      <c r="U121" s="360"/>
      <c r="V121" s="360"/>
      <c r="W121" s="360"/>
      <c r="X121" s="360"/>
    </row>
    <row r="122">
      <c r="D122" s="310"/>
      <c r="E122" s="311"/>
      <c r="R122" s="359"/>
      <c r="S122" s="360"/>
      <c r="T122" s="360"/>
      <c r="U122" s="360"/>
      <c r="V122" s="360"/>
      <c r="W122" s="360"/>
      <c r="X122" s="360"/>
    </row>
    <row r="123">
      <c r="D123" s="310"/>
      <c r="E123" s="311"/>
      <c r="R123" s="360"/>
      <c r="S123" s="360"/>
      <c r="T123" s="360"/>
      <c r="U123" s="360"/>
      <c r="V123" s="360"/>
      <c r="W123" s="360"/>
      <c r="X123" s="360"/>
    </row>
    <row r="124">
      <c r="D124" s="310"/>
      <c r="E124" s="311"/>
      <c r="R124" s="360"/>
      <c r="S124" s="360"/>
      <c r="T124" s="360"/>
      <c r="U124" s="360"/>
      <c r="V124" s="360"/>
      <c r="W124" s="360"/>
      <c r="X124" s="360"/>
    </row>
    <row r="125">
      <c r="D125" s="310"/>
      <c r="E125" s="311"/>
    </row>
    <row r="126">
      <c r="A126" s="66"/>
      <c r="B126" s="66"/>
      <c r="C126" s="66"/>
      <c r="D126" s="419"/>
      <c r="E126" s="420"/>
      <c r="F126" s="66"/>
      <c r="G126" s="66"/>
      <c r="H126" s="66"/>
      <c r="I126" s="66"/>
      <c r="J126" s="66"/>
      <c r="K126" s="66"/>
      <c r="L126" s="66"/>
      <c r="M126" s="66"/>
      <c r="N126" s="318"/>
      <c r="O126" s="66"/>
      <c r="P126" s="66"/>
      <c r="Q126" s="66"/>
    </row>
    <row r="127">
      <c r="A127" s="66"/>
      <c r="B127" s="66"/>
      <c r="C127" s="66"/>
      <c r="D127" s="419"/>
      <c r="E127" s="420"/>
      <c r="F127" s="66"/>
      <c r="G127" s="66"/>
      <c r="H127" s="66"/>
      <c r="I127" s="66"/>
      <c r="J127" s="66"/>
      <c r="K127" s="66"/>
      <c r="L127" s="66"/>
      <c r="M127" s="66"/>
      <c r="N127" s="66"/>
      <c r="O127" s="66"/>
      <c r="P127" s="66"/>
      <c r="Q127" s="66"/>
    </row>
    <row r="128">
      <c r="A128" s="66"/>
      <c r="B128" s="66"/>
      <c r="C128" s="66"/>
      <c r="D128" s="419"/>
      <c r="E128" s="420"/>
      <c r="F128" s="66"/>
      <c r="G128" s="66"/>
      <c r="H128" s="66"/>
      <c r="I128" s="66"/>
      <c r="J128" s="66"/>
      <c r="K128" s="66"/>
      <c r="L128" s="66"/>
      <c r="M128" s="66"/>
      <c r="N128" s="66"/>
      <c r="O128" s="66"/>
      <c r="P128" s="66"/>
      <c r="Q128" s="66"/>
    </row>
    <row r="129">
      <c r="A129" s="66"/>
      <c r="B129" s="66"/>
      <c r="C129" s="66"/>
      <c r="D129" s="419"/>
      <c r="E129" s="420"/>
      <c r="F129" s="66"/>
      <c r="G129" s="66"/>
      <c r="H129" s="66"/>
      <c r="I129" s="66"/>
      <c r="J129" s="66"/>
      <c r="K129" s="66"/>
      <c r="L129" s="7"/>
      <c r="M129" s="66"/>
      <c r="N129" s="66"/>
      <c r="O129" s="66"/>
      <c r="P129" s="66"/>
      <c r="Q129" s="66"/>
    </row>
    <row r="130">
      <c r="A130" s="66"/>
      <c r="B130" s="66"/>
      <c r="C130" s="66"/>
      <c r="D130" s="419"/>
      <c r="E130" s="420"/>
      <c r="F130" s="66"/>
      <c r="G130" s="66"/>
      <c r="H130" s="66"/>
      <c r="I130" s="66"/>
      <c r="J130" s="66"/>
      <c r="K130" s="66"/>
      <c r="L130" s="7"/>
      <c r="M130" s="66"/>
      <c r="N130" s="66"/>
      <c r="O130" s="66"/>
      <c r="P130" s="66"/>
      <c r="Q130" s="66"/>
    </row>
    <row r="131">
      <c r="D131" s="310"/>
      <c r="E131" s="311"/>
    </row>
    <row r="132">
      <c r="D132" s="310"/>
      <c r="E132" s="311"/>
    </row>
    <row r="133">
      <c r="D133" s="310"/>
      <c r="E133" s="311"/>
    </row>
    <row r="134">
      <c r="D134" s="310"/>
      <c r="E134" s="311"/>
    </row>
    <row r="135">
      <c r="D135" s="310"/>
      <c r="E135" s="311"/>
    </row>
    <row r="136">
      <c r="D136" s="310"/>
      <c r="E136" s="311"/>
    </row>
    <row r="137">
      <c r="D137" s="310"/>
      <c r="E137" s="311"/>
    </row>
    <row r="138">
      <c r="D138" s="310"/>
      <c r="E138" s="311"/>
    </row>
    <row r="139">
      <c r="D139" s="310"/>
      <c r="E139" s="311"/>
    </row>
    <row r="140">
      <c r="D140" s="310"/>
      <c r="E140" s="311"/>
    </row>
    <row r="141">
      <c r="D141" s="310"/>
      <c r="E141" s="311"/>
    </row>
    <row r="142">
      <c r="D142" s="310"/>
      <c r="E142" s="311"/>
    </row>
    <row r="143">
      <c r="D143" s="310"/>
      <c r="E143" s="311"/>
    </row>
    <row r="144">
      <c r="D144" s="310"/>
      <c r="E144" s="311"/>
    </row>
    <row r="145">
      <c r="D145" s="310"/>
      <c r="E145" s="311"/>
    </row>
    <row r="146">
      <c r="D146" s="310"/>
      <c r="E146" s="311"/>
    </row>
    <row r="147">
      <c r="D147" s="310"/>
      <c r="E147" s="311"/>
    </row>
    <row r="148">
      <c r="D148" s="310"/>
      <c r="E148" s="311"/>
    </row>
    <row r="149">
      <c r="D149" s="310"/>
      <c r="E149" s="311"/>
    </row>
    <row r="150">
      <c r="D150" s="310"/>
      <c r="E150" s="311"/>
    </row>
    <row r="151">
      <c r="D151" s="310"/>
      <c r="E151" s="311"/>
    </row>
    <row r="152">
      <c r="D152" s="310"/>
      <c r="E152" s="311"/>
    </row>
    <row r="153">
      <c r="D153" s="310"/>
      <c r="E153" s="311"/>
    </row>
    <row r="154">
      <c r="D154" s="310"/>
      <c r="E154" s="311"/>
    </row>
    <row r="155">
      <c r="D155" s="310"/>
      <c r="E155" s="311"/>
    </row>
    <row r="156">
      <c r="D156" s="310"/>
      <c r="E156" s="311"/>
    </row>
    <row r="157">
      <c r="D157" s="310"/>
      <c r="E157" s="311"/>
    </row>
    <row r="158">
      <c r="D158" s="310"/>
      <c r="E158" s="311"/>
    </row>
    <row r="159">
      <c r="D159" s="310"/>
      <c r="E159" s="311"/>
    </row>
    <row r="160">
      <c r="D160" s="310"/>
      <c r="E160" s="311"/>
    </row>
    <row r="161">
      <c r="D161" s="310"/>
      <c r="E161" s="311"/>
    </row>
    <row r="162">
      <c r="D162" s="310"/>
      <c r="E162" s="311"/>
    </row>
    <row r="163">
      <c r="D163" s="310"/>
      <c r="E163" s="311"/>
    </row>
    <row r="164">
      <c r="D164" s="310"/>
      <c r="E164" s="311"/>
    </row>
    <row r="165">
      <c r="D165" s="310"/>
      <c r="E165" s="311"/>
    </row>
    <row r="166">
      <c r="D166" s="310"/>
      <c r="E166" s="311"/>
    </row>
    <row r="167">
      <c r="D167" s="310"/>
      <c r="E167" s="311"/>
    </row>
    <row r="168">
      <c r="D168" s="310"/>
      <c r="E168" s="311"/>
    </row>
    <row r="169">
      <c r="D169" s="310"/>
      <c r="E169" s="311"/>
    </row>
    <row r="170">
      <c r="D170" s="310"/>
      <c r="E170" s="311"/>
    </row>
    <row r="171">
      <c r="D171" s="310"/>
      <c r="E171" s="311"/>
    </row>
    <row r="172">
      <c r="D172" s="310"/>
      <c r="E172" s="311"/>
    </row>
    <row r="173">
      <c r="D173" s="310"/>
      <c r="E173" s="311"/>
    </row>
    <row r="174">
      <c r="D174" s="310"/>
      <c r="E174" s="311"/>
    </row>
    <row r="175">
      <c r="D175" s="310"/>
      <c r="E175" s="311"/>
    </row>
    <row r="176">
      <c r="D176" s="310"/>
      <c r="E176" s="311"/>
    </row>
    <row r="177">
      <c r="D177" s="310"/>
      <c r="E177" s="311"/>
    </row>
    <row r="178">
      <c r="D178" s="310"/>
      <c r="E178" s="311"/>
    </row>
    <row r="179">
      <c r="D179" s="310"/>
      <c r="E179" s="311"/>
    </row>
    <row r="180">
      <c r="D180" s="310"/>
      <c r="E180" s="311"/>
    </row>
    <row r="181">
      <c r="D181" s="310"/>
      <c r="E181" s="311"/>
    </row>
    <row r="182">
      <c r="D182" s="310"/>
      <c r="E182" s="311"/>
    </row>
    <row r="183">
      <c r="D183" s="310"/>
      <c r="E183" s="311"/>
    </row>
    <row r="184">
      <c r="D184" s="310"/>
      <c r="E184" s="311"/>
    </row>
    <row r="185">
      <c r="D185" s="310"/>
      <c r="E185" s="311"/>
    </row>
    <row r="186">
      <c r="D186" s="310"/>
      <c r="E186" s="311"/>
    </row>
    <row r="187">
      <c r="D187" s="310"/>
      <c r="E187" s="311"/>
    </row>
    <row r="188">
      <c r="D188" s="310"/>
      <c r="E188" s="311"/>
    </row>
    <row r="189">
      <c r="D189" s="310"/>
      <c r="E189" s="311"/>
    </row>
    <row r="190">
      <c r="D190" s="310"/>
      <c r="E190" s="311"/>
    </row>
    <row r="191">
      <c r="D191" s="310"/>
      <c r="E191" s="311"/>
    </row>
    <row r="192">
      <c r="D192" s="310"/>
      <c r="E192" s="311"/>
    </row>
    <row r="193">
      <c r="D193" s="310"/>
      <c r="E193" s="311"/>
    </row>
    <row r="194">
      <c r="D194" s="310"/>
      <c r="E194" s="311"/>
    </row>
    <row r="195">
      <c r="D195" s="310"/>
      <c r="E195" s="311"/>
    </row>
    <row r="196">
      <c r="D196" s="310"/>
      <c r="E196" s="311"/>
    </row>
    <row r="197">
      <c r="D197" s="310"/>
      <c r="E197" s="311"/>
    </row>
    <row r="198">
      <c r="D198" s="310"/>
      <c r="E198" s="311"/>
    </row>
    <row r="199">
      <c r="D199" s="310"/>
      <c r="E199" s="311"/>
    </row>
    <row r="200">
      <c r="D200" s="310"/>
      <c r="E200" s="311"/>
    </row>
    <row r="201">
      <c r="D201" s="310"/>
      <c r="E201" s="311"/>
    </row>
    <row r="202">
      <c r="D202" s="310"/>
      <c r="E202" s="311"/>
    </row>
    <row r="203">
      <c r="D203" s="310"/>
      <c r="E203" s="311"/>
    </row>
    <row r="204">
      <c r="D204" s="310"/>
      <c r="E204" s="311"/>
    </row>
    <row r="205">
      <c r="D205" s="310"/>
      <c r="E205" s="311"/>
    </row>
    <row r="206">
      <c r="D206" s="310"/>
      <c r="E206" s="311"/>
    </row>
    <row r="207">
      <c r="D207" s="310"/>
      <c r="E207" s="311"/>
    </row>
    <row r="208">
      <c r="D208" s="310"/>
      <c r="E208" s="311"/>
    </row>
    <row r="209">
      <c r="D209" s="310"/>
      <c r="E209" s="311"/>
    </row>
    <row r="210">
      <c r="D210" s="310"/>
      <c r="E210" s="311"/>
    </row>
    <row r="211">
      <c r="D211" s="310"/>
      <c r="E211" s="311"/>
    </row>
    <row r="212">
      <c r="D212" s="310"/>
      <c r="E212" s="311"/>
    </row>
    <row r="213">
      <c r="D213" s="310"/>
      <c r="E213" s="311"/>
    </row>
    <row r="214">
      <c r="D214" s="310"/>
      <c r="E214" s="311"/>
    </row>
    <row r="215">
      <c r="D215" s="310"/>
      <c r="E215" s="311"/>
    </row>
    <row r="216">
      <c r="D216" s="310"/>
      <c r="E216" s="311"/>
    </row>
    <row r="217">
      <c r="D217" s="310"/>
      <c r="E217" s="311"/>
    </row>
    <row r="218">
      <c r="D218" s="310"/>
      <c r="E218" s="311"/>
    </row>
    <row r="219">
      <c r="D219" s="310"/>
      <c r="E219" s="311"/>
    </row>
    <row r="220">
      <c r="D220" s="310"/>
      <c r="E220" s="311"/>
    </row>
    <row r="221">
      <c r="D221" s="310"/>
      <c r="E221" s="311"/>
    </row>
    <row r="222">
      <c r="D222" s="310"/>
      <c r="E222" s="311"/>
    </row>
    <row r="223">
      <c r="D223" s="310"/>
      <c r="E223" s="311"/>
    </row>
    <row r="224">
      <c r="D224" s="310"/>
      <c r="E224" s="311"/>
    </row>
    <row r="225">
      <c r="D225" s="310"/>
      <c r="E225" s="311"/>
    </row>
    <row r="226">
      <c r="D226" s="310"/>
      <c r="E226" s="311"/>
    </row>
    <row r="227">
      <c r="D227" s="310"/>
      <c r="E227" s="311"/>
    </row>
    <row r="228">
      <c r="D228" s="310"/>
      <c r="E228" s="311"/>
    </row>
    <row r="229">
      <c r="D229" s="310"/>
      <c r="E229" s="311"/>
    </row>
    <row r="230">
      <c r="D230" s="310"/>
      <c r="E230" s="311"/>
    </row>
    <row r="231">
      <c r="D231" s="310"/>
      <c r="E231" s="311"/>
    </row>
    <row r="232">
      <c r="D232" s="310"/>
      <c r="E232" s="311"/>
    </row>
    <row r="233">
      <c r="D233" s="310"/>
      <c r="E233" s="311"/>
    </row>
    <row r="234">
      <c r="D234" s="310"/>
      <c r="E234" s="311"/>
    </row>
    <row r="235">
      <c r="D235" s="310"/>
      <c r="E235" s="311"/>
    </row>
    <row r="236">
      <c r="D236" s="310"/>
      <c r="E236" s="311"/>
    </row>
    <row r="237">
      <c r="D237" s="310"/>
      <c r="E237" s="311"/>
    </row>
    <row r="238">
      <c r="D238" s="310"/>
      <c r="E238" s="311"/>
    </row>
    <row r="239">
      <c r="D239" s="310"/>
      <c r="E239" s="311"/>
    </row>
    <row r="240">
      <c r="D240" s="310"/>
      <c r="E240" s="311"/>
    </row>
    <row r="241">
      <c r="D241" s="310"/>
      <c r="E241" s="311"/>
    </row>
    <row r="242">
      <c r="D242" s="310"/>
      <c r="E242" s="311"/>
    </row>
    <row r="243">
      <c r="D243" s="310"/>
      <c r="E243" s="3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row r="734">
      <c r="D734" s="310"/>
      <c r="E734" s="311"/>
    </row>
    <row r="735">
      <c r="D735" s="310"/>
      <c r="E735" s="311"/>
    </row>
    <row r="736">
      <c r="D736" s="310"/>
      <c r="E736" s="311"/>
    </row>
    <row r="737">
      <c r="D737" s="310"/>
      <c r="E737" s="311"/>
    </row>
    <row r="738">
      <c r="D738" s="310"/>
      <c r="E738" s="311"/>
    </row>
    <row r="739">
      <c r="D739" s="310"/>
      <c r="E739" s="311"/>
    </row>
    <row r="740">
      <c r="D740" s="310"/>
      <c r="E740" s="311"/>
    </row>
    <row r="741">
      <c r="D741" s="310"/>
      <c r="E741" s="311"/>
    </row>
    <row r="742">
      <c r="D742" s="310"/>
      <c r="E742" s="311"/>
    </row>
    <row r="743">
      <c r="D743" s="310"/>
      <c r="E743" s="311"/>
    </row>
    <row r="744">
      <c r="D744" s="310"/>
      <c r="E744" s="311"/>
    </row>
    <row r="745">
      <c r="D745" s="310"/>
      <c r="E745" s="311"/>
    </row>
    <row r="746">
      <c r="D746" s="310"/>
      <c r="E746" s="311"/>
    </row>
    <row r="747">
      <c r="D747" s="310"/>
      <c r="E747" s="311"/>
    </row>
    <row r="748">
      <c r="D748" s="310"/>
      <c r="E748" s="311"/>
    </row>
    <row r="749">
      <c r="D749" s="310"/>
      <c r="E749" s="311"/>
    </row>
    <row r="750">
      <c r="D750" s="310"/>
      <c r="E750" s="311"/>
    </row>
    <row r="751">
      <c r="D751" s="310"/>
      <c r="E751" s="311"/>
    </row>
    <row r="752">
      <c r="D752" s="310"/>
      <c r="E752" s="311"/>
    </row>
    <row r="753">
      <c r="D753" s="310"/>
      <c r="E753" s="311"/>
    </row>
    <row r="754">
      <c r="D754" s="310"/>
      <c r="E754" s="311"/>
    </row>
    <row r="755">
      <c r="D755" s="310"/>
      <c r="E755" s="311"/>
    </row>
    <row r="756">
      <c r="D756" s="310"/>
      <c r="E756" s="311"/>
    </row>
    <row r="757">
      <c r="D757" s="310"/>
      <c r="E757" s="311"/>
    </row>
    <row r="758">
      <c r="D758" s="310"/>
      <c r="E758" s="311"/>
    </row>
    <row r="759">
      <c r="D759" s="310"/>
      <c r="E759" s="311"/>
    </row>
    <row r="760">
      <c r="D760" s="310"/>
      <c r="E760" s="311"/>
    </row>
  </sheetData>
  <mergeCells count="83">
    <mergeCell ref="G55:H55"/>
    <mergeCell ref="G56:H56"/>
    <mergeCell ref="G57:H57"/>
    <mergeCell ref="G58:H58"/>
    <mergeCell ref="G59:H59"/>
    <mergeCell ref="G60:H60"/>
    <mergeCell ref="G61:H61"/>
    <mergeCell ref="G62:H62"/>
    <mergeCell ref="G63:H63"/>
    <mergeCell ref="G64:H64"/>
    <mergeCell ref="G65:H65"/>
    <mergeCell ref="G67:H67"/>
    <mergeCell ref="G68:H68"/>
    <mergeCell ref="G69:H69"/>
    <mergeCell ref="G71:H71"/>
    <mergeCell ref="G73:H73"/>
    <mergeCell ref="G74:H74"/>
    <mergeCell ref="G75:H75"/>
    <mergeCell ref="G77:H77"/>
    <mergeCell ref="G79:H79"/>
    <mergeCell ref="G80:H80"/>
    <mergeCell ref="G88:H88"/>
    <mergeCell ref="G90:H90"/>
    <mergeCell ref="G91:H91"/>
    <mergeCell ref="G92:H92"/>
    <mergeCell ref="G93:H93"/>
    <mergeCell ref="G94:H94"/>
    <mergeCell ref="G81:H81"/>
    <mergeCell ref="G82:H82"/>
    <mergeCell ref="G83:H83"/>
    <mergeCell ref="G84:H84"/>
    <mergeCell ref="G85:H85"/>
    <mergeCell ref="G86:H86"/>
    <mergeCell ref="G87:H87"/>
    <mergeCell ref="G2:H2"/>
    <mergeCell ref="G3:H3"/>
    <mergeCell ref="G4:H4"/>
    <mergeCell ref="G5:H5"/>
    <mergeCell ref="G6:H6"/>
    <mergeCell ref="G8:H8"/>
    <mergeCell ref="G9:H9"/>
    <mergeCell ref="G10:H10"/>
    <mergeCell ref="G11:H11"/>
    <mergeCell ref="G12:H12"/>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2:H42"/>
    <mergeCell ref="G43:H43"/>
    <mergeCell ref="G44:H44"/>
    <mergeCell ref="G45:H45"/>
    <mergeCell ref="G46:H46"/>
    <mergeCell ref="G47:H47"/>
    <mergeCell ref="G48:H48"/>
    <mergeCell ref="G49:H49"/>
    <mergeCell ref="G50:H50"/>
    <mergeCell ref="G51:H51"/>
    <mergeCell ref="G52:H52"/>
    <mergeCell ref="G53:H53"/>
    <mergeCell ref="G54:H54"/>
  </mergeCells>
  <conditionalFormatting sqref="K1:K820 N21 N37 N53 N63 N95">
    <cfRule type="expression" dxfId="0" priority="1">
      <formula>K1&lt;45748.0</formula>
    </cfRule>
  </conditionalFormatting>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4" max="4" width="23.75"/>
    <col customWidth="1" min="5" max="5" width="38.25"/>
    <col customWidth="1" min="9" max="9" width="21.25"/>
    <col customWidth="1" min="12" max="12" width="18.38"/>
  </cols>
  <sheetData>
    <row r="1">
      <c r="A1" s="366" t="s">
        <v>0</v>
      </c>
      <c r="B1" s="366" t="s">
        <v>1</v>
      </c>
      <c r="C1" s="366" t="s">
        <v>2</v>
      </c>
      <c r="D1" s="366" t="s">
        <v>603</v>
      </c>
      <c r="E1" s="366" t="s">
        <v>604</v>
      </c>
      <c r="F1" s="366" t="s">
        <v>4</v>
      </c>
      <c r="G1" s="366" t="s">
        <v>5</v>
      </c>
      <c r="H1" s="366" t="s">
        <v>6</v>
      </c>
      <c r="I1" s="366" t="s">
        <v>7</v>
      </c>
      <c r="J1" s="366" t="s">
        <v>8</v>
      </c>
      <c r="K1" s="366" t="s">
        <v>9</v>
      </c>
      <c r="L1" s="366" t="s">
        <v>10</v>
      </c>
      <c r="M1" s="366" t="s">
        <v>11</v>
      </c>
      <c r="N1" s="366" t="s">
        <v>12</v>
      </c>
    </row>
    <row r="2">
      <c r="A2" s="452" t="s">
        <v>16</v>
      </c>
      <c r="B2" s="453">
        <v>4320.0</v>
      </c>
      <c r="C2" s="454"/>
      <c r="D2" s="453">
        <v>0.0</v>
      </c>
      <c r="E2" s="452" t="s">
        <v>767</v>
      </c>
      <c r="F2" s="452" t="s">
        <v>818</v>
      </c>
      <c r="G2" s="452" t="s">
        <v>768</v>
      </c>
      <c r="H2" s="455"/>
      <c r="I2" s="456">
        <v>35792.0</v>
      </c>
      <c r="J2" s="456">
        <v>45754.0</v>
      </c>
      <c r="K2" s="454"/>
      <c r="L2" s="453">
        <v>31.0</v>
      </c>
      <c r="M2" s="457">
        <v>45778.0</v>
      </c>
      <c r="N2" s="458">
        <v>45808.0</v>
      </c>
    </row>
    <row r="3">
      <c r="A3" s="452" t="s">
        <v>16</v>
      </c>
      <c r="B3" s="453">
        <v>4320.0</v>
      </c>
      <c r="C3" s="454"/>
      <c r="D3" s="453">
        <v>0.0</v>
      </c>
      <c r="E3" s="452" t="s">
        <v>794</v>
      </c>
      <c r="F3" s="452" t="s">
        <v>819</v>
      </c>
      <c r="G3" s="452" t="s">
        <v>796</v>
      </c>
      <c r="H3" s="455"/>
      <c r="I3" s="456">
        <v>36857.0</v>
      </c>
      <c r="J3" s="456">
        <v>45775.0</v>
      </c>
      <c r="K3" s="454"/>
      <c r="L3" s="453">
        <v>31.0</v>
      </c>
      <c r="M3" s="457">
        <v>45778.0</v>
      </c>
      <c r="N3" s="458">
        <v>45808.0</v>
      </c>
    </row>
    <row r="4">
      <c r="A4" s="452" t="s">
        <v>16</v>
      </c>
      <c r="B4" s="453">
        <v>4320.0</v>
      </c>
      <c r="C4" s="454"/>
      <c r="D4" s="453">
        <v>0.0</v>
      </c>
      <c r="E4" s="452" t="s">
        <v>809</v>
      </c>
      <c r="F4" s="452" t="s">
        <v>810</v>
      </c>
      <c r="G4" s="452" t="s">
        <v>811</v>
      </c>
      <c r="H4" s="455"/>
      <c r="I4" s="456">
        <v>35148.0</v>
      </c>
      <c r="J4" s="456">
        <v>45775.0</v>
      </c>
      <c r="K4" s="454"/>
      <c r="L4" s="453">
        <v>31.0</v>
      </c>
      <c r="M4" s="457">
        <v>45778.0</v>
      </c>
      <c r="N4" s="458">
        <v>45808.0</v>
      </c>
    </row>
    <row r="5">
      <c r="A5" s="452" t="s">
        <v>16</v>
      </c>
      <c r="B5" s="453">
        <v>4320.0</v>
      </c>
      <c r="C5" s="454"/>
      <c r="D5" s="453">
        <v>0.0</v>
      </c>
      <c r="E5" s="452" t="s">
        <v>812</v>
      </c>
      <c r="F5" s="452" t="s">
        <v>820</v>
      </c>
      <c r="G5" s="452" t="s">
        <v>814</v>
      </c>
      <c r="H5" s="455"/>
      <c r="I5" s="456">
        <v>37940.0</v>
      </c>
      <c r="J5" s="456">
        <v>45775.0</v>
      </c>
      <c r="K5" s="454"/>
      <c r="L5" s="453">
        <v>31.0</v>
      </c>
      <c r="M5" s="457">
        <v>45778.0</v>
      </c>
      <c r="N5" s="458">
        <v>45808.0</v>
      </c>
    </row>
    <row r="6">
      <c r="A6" s="452" t="s">
        <v>16</v>
      </c>
      <c r="B6" s="453">
        <v>4320.0</v>
      </c>
      <c r="C6" s="454"/>
      <c r="D6" s="453">
        <v>0.0</v>
      </c>
      <c r="E6" s="452" t="s">
        <v>629</v>
      </c>
      <c r="F6" s="452" t="s">
        <v>630</v>
      </c>
      <c r="G6" s="452" t="s">
        <v>631</v>
      </c>
      <c r="H6" s="455"/>
      <c r="I6" s="456">
        <v>34807.0</v>
      </c>
      <c r="J6" s="458">
        <v>45778.0</v>
      </c>
      <c r="K6" s="454"/>
      <c r="L6" s="453">
        <v>31.0</v>
      </c>
      <c r="M6" s="457">
        <v>45778.0</v>
      </c>
      <c r="N6" s="458">
        <v>45808.0</v>
      </c>
    </row>
    <row r="7">
      <c r="A7" s="452" t="s">
        <v>16</v>
      </c>
      <c r="B7" s="453">
        <v>4320.0</v>
      </c>
      <c r="C7" s="454"/>
      <c r="D7" s="453">
        <v>0.0</v>
      </c>
      <c r="E7" s="452" t="s">
        <v>816</v>
      </c>
      <c r="F7" s="452" t="s">
        <v>627</v>
      </c>
      <c r="G7" s="452" t="s">
        <v>628</v>
      </c>
      <c r="H7" s="455"/>
      <c r="I7" s="456">
        <v>35257.0</v>
      </c>
      <c r="J7" s="458">
        <v>45778.0</v>
      </c>
      <c r="K7" s="454"/>
      <c r="L7" s="453">
        <v>31.0</v>
      </c>
      <c r="M7" s="457">
        <v>45778.0</v>
      </c>
      <c r="N7" s="458">
        <v>45808.0</v>
      </c>
    </row>
    <row r="8">
      <c r="A8" s="452" t="s">
        <v>16</v>
      </c>
      <c r="B8" s="453">
        <v>4320.0</v>
      </c>
      <c r="C8" s="454"/>
      <c r="D8" s="453">
        <v>0.0</v>
      </c>
      <c r="E8" s="452" t="s">
        <v>606</v>
      </c>
      <c r="F8" s="452" t="s">
        <v>607</v>
      </c>
      <c r="G8" s="452" t="s">
        <v>608</v>
      </c>
      <c r="H8" s="455"/>
      <c r="I8" s="456">
        <v>33844.0</v>
      </c>
      <c r="J8" s="458">
        <v>45778.0</v>
      </c>
      <c r="K8" s="454"/>
      <c r="L8" s="453">
        <v>31.0</v>
      </c>
      <c r="M8" s="457">
        <v>45778.0</v>
      </c>
      <c r="N8" s="458">
        <v>45808.0</v>
      </c>
    </row>
    <row r="9">
      <c r="A9" s="452" t="s">
        <v>16</v>
      </c>
      <c r="B9" s="453">
        <v>4320.0</v>
      </c>
      <c r="C9" s="454"/>
      <c r="D9" s="453">
        <v>0.0</v>
      </c>
      <c r="E9" s="452" t="s">
        <v>817</v>
      </c>
      <c r="F9" s="452" t="s">
        <v>637</v>
      </c>
      <c r="G9" s="452" t="s">
        <v>638</v>
      </c>
      <c r="H9" s="455"/>
      <c r="I9" s="456">
        <v>36720.0</v>
      </c>
      <c r="J9" s="458">
        <v>45778.0</v>
      </c>
      <c r="K9" s="454"/>
      <c r="L9" s="453">
        <v>31.0</v>
      </c>
      <c r="M9" s="457">
        <v>45778.0</v>
      </c>
      <c r="N9" s="458">
        <v>45808.0</v>
      </c>
    </row>
    <row r="10">
      <c r="A10" s="452" t="s">
        <v>16</v>
      </c>
      <c r="B10" s="453">
        <v>4320.0</v>
      </c>
      <c r="C10" s="454"/>
      <c r="D10" s="453">
        <v>0.0</v>
      </c>
      <c r="E10" s="452" t="s">
        <v>676</v>
      </c>
      <c r="F10" s="452" t="s">
        <v>677</v>
      </c>
      <c r="G10" s="452" t="s">
        <v>678</v>
      </c>
      <c r="H10" s="455"/>
      <c r="I10" s="456">
        <v>36107.0</v>
      </c>
      <c r="J10" s="458">
        <v>45778.0</v>
      </c>
      <c r="K10" s="454"/>
      <c r="L10" s="453">
        <v>31.0</v>
      </c>
      <c r="M10" s="457">
        <v>45778.0</v>
      </c>
      <c r="N10" s="458">
        <v>45808.0</v>
      </c>
    </row>
    <row r="11">
      <c r="A11" s="452" t="s">
        <v>16</v>
      </c>
      <c r="B11" s="453">
        <v>4320.0</v>
      </c>
      <c r="C11" s="459"/>
      <c r="D11" s="453">
        <v>0.0</v>
      </c>
      <c r="E11" s="452" t="s">
        <v>436</v>
      </c>
      <c r="F11" s="452" t="s">
        <v>362</v>
      </c>
      <c r="G11" s="452" t="s">
        <v>363</v>
      </c>
      <c r="H11" s="455"/>
      <c r="I11" s="456">
        <v>37149.0</v>
      </c>
      <c r="J11" s="457">
        <v>45397.0</v>
      </c>
      <c r="K11" s="454"/>
      <c r="L11" s="453">
        <v>31.0</v>
      </c>
      <c r="M11" s="457">
        <v>45778.0</v>
      </c>
      <c r="N11" s="458">
        <v>45808.0</v>
      </c>
    </row>
    <row r="12">
      <c r="A12" s="452" t="s">
        <v>16</v>
      </c>
      <c r="B12" s="453">
        <v>4320.0</v>
      </c>
      <c r="C12" s="459"/>
      <c r="D12" s="453">
        <v>0.0</v>
      </c>
      <c r="E12" s="452" t="s">
        <v>753</v>
      </c>
      <c r="F12" s="452" t="s">
        <v>754</v>
      </c>
      <c r="G12" s="452" t="s">
        <v>689</v>
      </c>
      <c r="H12" s="455"/>
      <c r="I12" s="456">
        <v>37214.0</v>
      </c>
      <c r="J12" s="457">
        <v>45691.0</v>
      </c>
      <c r="K12" s="460"/>
      <c r="L12" s="453">
        <v>31.0</v>
      </c>
      <c r="M12" s="457">
        <v>45778.0</v>
      </c>
      <c r="N12" s="458">
        <v>45808.0</v>
      </c>
    </row>
    <row r="13">
      <c r="A13" s="452" t="s">
        <v>16</v>
      </c>
      <c r="B13" s="453">
        <v>4320.0</v>
      </c>
      <c r="C13" s="459"/>
      <c r="D13" s="453">
        <v>0.0</v>
      </c>
      <c r="E13" s="452" t="s">
        <v>407</v>
      </c>
      <c r="F13" s="452" t="s">
        <v>97</v>
      </c>
      <c r="G13" s="452" t="s">
        <v>98</v>
      </c>
      <c r="H13" s="455"/>
      <c r="I13" s="457">
        <v>36690.0</v>
      </c>
      <c r="J13" s="457">
        <v>44938.0</v>
      </c>
      <c r="K13" s="454"/>
      <c r="L13" s="453">
        <v>31.0</v>
      </c>
      <c r="M13" s="457">
        <v>45778.0</v>
      </c>
      <c r="N13" s="458">
        <v>45808.0</v>
      </c>
    </row>
    <row r="14">
      <c r="A14" s="452" t="s">
        <v>16</v>
      </c>
      <c r="B14" s="453">
        <v>4320.0</v>
      </c>
      <c r="C14" s="459"/>
      <c r="D14" s="453">
        <v>0.0</v>
      </c>
      <c r="E14" s="452" t="s">
        <v>473</v>
      </c>
      <c r="F14" s="452" t="s">
        <v>530</v>
      </c>
      <c r="G14" s="452" t="s">
        <v>475</v>
      </c>
      <c r="H14" s="455"/>
      <c r="I14" s="457">
        <v>37459.0</v>
      </c>
      <c r="J14" s="456">
        <v>45586.0</v>
      </c>
      <c r="K14" s="457">
        <v>45777.0</v>
      </c>
      <c r="L14" s="453">
        <v>0.0</v>
      </c>
      <c r="M14" s="457">
        <v>45778.0</v>
      </c>
      <c r="N14" s="458">
        <v>45808.0</v>
      </c>
    </row>
    <row r="15">
      <c r="A15" s="452" t="s">
        <v>16</v>
      </c>
      <c r="B15" s="453">
        <v>4320.0</v>
      </c>
      <c r="C15" s="459"/>
      <c r="D15" s="453">
        <v>0.0</v>
      </c>
      <c r="E15" s="452" t="s">
        <v>408</v>
      </c>
      <c r="F15" s="452" t="s">
        <v>409</v>
      </c>
      <c r="G15" s="452" t="s">
        <v>410</v>
      </c>
      <c r="H15" s="455"/>
      <c r="I15" s="456">
        <v>37978.0</v>
      </c>
      <c r="J15" s="457">
        <v>45453.0</v>
      </c>
      <c r="K15" s="461"/>
      <c r="L15" s="453">
        <v>31.0</v>
      </c>
      <c r="M15" s="457">
        <v>45778.0</v>
      </c>
      <c r="N15" s="458">
        <v>45808.0</v>
      </c>
    </row>
    <row r="16">
      <c r="A16" s="452" t="s">
        <v>16</v>
      </c>
      <c r="B16" s="453">
        <v>4320.0</v>
      </c>
      <c r="C16" s="459"/>
      <c r="D16" s="453">
        <v>0.0</v>
      </c>
      <c r="E16" s="452" t="s">
        <v>246</v>
      </c>
      <c r="F16" s="452" t="s">
        <v>247</v>
      </c>
      <c r="G16" s="452" t="s">
        <v>248</v>
      </c>
      <c r="H16" s="455"/>
      <c r="I16" s="457">
        <v>36501.0</v>
      </c>
      <c r="J16" s="456">
        <v>45246.0</v>
      </c>
      <c r="K16" s="461"/>
      <c r="L16" s="453">
        <v>31.0</v>
      </c>
      <c r="M16" s="457">
        <v>45778.0</v>
      </c>
      <c r="N16" s="458">
        <v>45808.0</v>
      </c>
    </row>
    <row r="17">
      <c r="A17" s="452" t="s">
        <v>16</v>
      </c>
      <c r="B17" s="453">
        <v>4320.0</v>
      </c>
      <c r="C17" s="459"/>
      <c r="D17" s="453">
        <v>0.0</v>
      </c>
      <c r="E17" s="452" t="s">
        <v>564</v>
      </c>
      <c r="F17" s="452" t="s">
        <v>565</v>
      </c>
      <c r="G17" s="452" t="s">
        <v>566</v>
      </c>
      <c r="H17" s="455"/>
      <c r="I17" s="457">
        <v>34799.0</v>
      </c>
      <c r="J17" s="457">
        <v>45670.0</v>
      </c>
      <c r="K17" s="454"/>
      <c r="L17" s="453">
        <v>31.0</v>
      </c>
      <c r="M17" s="457">
        <v>45778.0</v>
      </c>
      <c r="N17" s="458">
        <v>45808.0</v>
      </c>
    </row>
    <row r="18">
      <c r="A18" s="452" t="s">
        <v>16</v>
      </c>
      <c r="B18" s="453">
        <v>4320.0</v>
      </c>
      <c r="C18" s="459"/>
      <c r="D18" s="453">
        <v>0.0</v>
      </c>
      <c r="E18" s="452" t="s">
        <v>264</v>
      </c>
      <c r="F18" s="452" t="s">
        <v>265</v>
      </c>
      <c r="G18" s="452" t="s">
        <v>266</v>
      </c>
      <c r="H18" s="455"/>
      <c r="I18" s="458">
        <v>37398.0</v>
      </c>
      <c r="J18" s="457">
        <v>45096.0</v>
      </c>
      <c r="K18" s="454"/>
      <c r="L18" s="453">
        <v>31.0</v>
      </c>
      <c r="M18" s="457">
        <v>45778.0</v>
      </c>
      <c r="N18" s="458">
        <v>45808.0</v>
      </c>
    </row>
    <row r="19">
      <c r="A19" s="452" t="s">
        <v>16</v>
      </c>
      <c r="B19" s="453">
        <v>4320.0</v>
      </c>
      <c r="C19" s="459"/>
      <c r="D19" s="453">
        <v>0.0</v>
      </c>
      <c r="E19" s="452" t="s">
        <v>411</v>
      </c>
      <c r="F19" s="452" t="s">
        <v>412</v>
      </c>
      <c r="G19" s="452" t="s">
        <v>413</v>
      </c>
      <c r="H19" s="455"/>
      <c r="I19" s="456">
        <v>33230.0</v>
      </c>
      <c r="J19" s="457">
        <v>45453.0</v>
      </c>
      <c r="K19" s="454"/>
      <c r="L19" s="453">
        <v>31.0</v>
      </c>
      <c r="M19" s="457">
        <v>45778.0</v>
      </c>
      <c r="N19" s="458">
        <v>45808.0</v>
      </c>
    </row>
    <row r="20">
      <c r="A20" s="452" t="s">
        <v>16</v>
      </c>
      <c r="B20" s="453">
        <v>4320.0</v>
      </c>
      <c r="C20" s="459"/>
      <c r="D20" s="453">
        <v>0.0</v>
      </c>
      <c r="E20" s="452" t="s">
        <v>690</v>
      </c>
      <c r="F20" s="452" t="s">
        <v>755</v>
      </c>
      <c r="G20" s="452" t="s">
        <v>692</v>
      </c>
      <c r="H20" s="455"/>
      <c r="I20" s="457">
        <v>37137.0</v>
      </c>
      <c r="J20" s="457">
        <v>45691.0</v>
      </c>
      <c r="K20" s="454"/>
      <c r="L20" s="453">
        <v>31.0</v>
      </c>
      <c r="M20" s="457">
        <v>45778.0</v>
      </c>
      <c r="N20" s="458">
        <v>45808.0</v>
      </c>
    </row>
    <row r="21">
      <c r="A21" s="452" t="s">
        <v>16</v>
      </c>
      <c r="B21" s="453">
        <v>4320.0</v>
      </c>
      <c r="C21" s="459"/>
      <c r="D21" s="453">
        <v>0.0</v>
      </c>
      <c r="E21" s="452" t="s">
        <v>693</v>
      </c>
      <c r="F21" s="452" t="s">
        <v>694</v>
      </c>
      <c r="G21" s="452" t="s">
        <v>695</v>
      </c>
      <c r="H21" s="455"/>
      <c r="I21" s="457">
        <v>35599.0</v>
      </c>
      <c r="J21" s="456">
        <v>45712.0</v>
      </c>
      <c r="K21" s="454"/>
      <c r="L21" s="453">
        <v>31.0</v>
      </c>
      <c r="M21" s="457">
        <v>45778.0</v>
      </c>
      <c r="N21" s="458">
        <v>45808.0</v>
      </c>
    </row>
    <row r="22">
      <c r="A22" s="452" t="s">
        <v>16</v>
      </c>
      <c r="B22" s="453">
        <v>4320.0</v>
      </c>
      <c r="C22" s="459"/>
      <c r="D22" s="453">
        <v>0.0</v>
      </c>
      <c r="E22" s="452" t="s">
        <v>282</v>
      </c>
      <c r="F22" s="452" t="s">
        <v>283</v>
      </c>
      <c r="G22" s="452" t="s">
        <v>284</v>
      </c>
      <c r="H22" s="455"/>
      <c r="I22" s="456">
        <v>35047.0</v>
      </c>
      <c r="J22" s="456">
        <v>45257.0</v>
      </c>
      <c r="K22" s="454"/>
      <c r="L22" s="453">
        <v>31.0</v>
      </c>
      <c r="M22" s="457">
        <v>45778.0</v>
      </c>
      <c r="N22" s="458">
        <v>45808.0</v>
      </c>
    </row>
    <row r="23">
      <c r="A23" s="452" t="s">
        <v>16</v>
      </c>
      <c r="B23" s="453">
        <v>4320.0</v>
      </c>
      <c r="C23" s="459"/>
      <c r="D23" s="453">
        <v>0.0</v>
      </c>
      <c r="E23" s="452" t="s">
        <v>481</v>
      </c>
      <c r="F23" s="452" t="s">
        <v>531</v>
      </c>
      <c r="G23" s="452" t="s">
        <v>482</v>
      </c>
      <c r="H23" s="455"/>
      <c r="I23" s="457">
        <v>35096.0</v>
      </c>
      <c r="J23" s="457">
        <v>45602.0</v>
      </c>
      <c r="K23" s="454"/>
      <c r="L23" s="453">
        <v>31.0</v>
      </c>
      <c r="M23" s="457">
        <v>45778.0</v>
      </c>
      <c r="N23" s="458">
        <v>45808.0</v>
      </c>
    </row>
    <row r="24">
      <c r="A24" s="452" t="s">
        <v>16</v>
      </c>
      <c r="B24" s="453">
        <v>4320.0</v>
      </c>
      <c r="C24" s="459"/>
      <c r="D24" s="453">
        <v>0.0</v>
      </c>
      <c r="E24" s="452" t="s">
        <v>45</v>
      </c>
      <c r="F24" s="452" t="s">
        <v>46</v>
      </c>
      <c r="G24" s="452" t="s">
        <v>47</v>
      </c>
      <c r="H24" s="455"/>
      <c r="I24" s="462">
        <v>37370.0</v>
      </c>
      <c r="J24" s="457">
        <v>44739.0</v>
      </c>
      <c r="K24" s="454"/>
      <c r="L24" s="453">
        <v>31.0</v>
      </c>
      <c r="M24" s="457">
        <v>45778.0</v>
      </c>
      <c r="N24" s="458">
        <v>45808.0</v>
      </c>
    </row>
    <row r="25">
      <c r="A25" s="452" t="s">
        <v>16</v>
      </c>
      <c r="B25" s="453">
        <v>4320.0</v>
      </c>
      <c r="C25" s="459"/>
      <c r="D25" s="453">
        <v>0.0</v>
      </c>
      <c r="E25" s="452" t="s">
        <v>48</v>
      </c>
      <c r="F25" s="452" t="s">
        <v>49</v>
      </c>
      <c r="G25" s="452" t="s">
        <v>50</v>
      </c>
      <c r="H25" s="455"/>
      <c r="I25" s="456">
        <v>36399.0</v>
      </c>
      <c r="J25" s="456">
        <v>45229.0</v>
      </c>
      <c r="K25" s="460"/>
      <c r="L25" s="453">
        <v>31.0</v>
      </c>
      <c r="M25" s="457">
        <v>45778.0</v>
      </c>
      <c r="N25" s="458">
        <v>45808.0</v>
      </c>
    </row>
    <row r="26">
      <c r="A26" s="452" t="s">
        <v>16</v>
      </c>
      <c r="B26" s="453">
        <v>4320.0</v>
      </c>
      <c r="C26" s="459"/>
      <c r="D26" s="453">
        <v>0.0</v>
      </c>
      <c r="E26" s="452" t="s">
        <v>444</v>
      </c>
      <c r="F26" s="452" t="s">
        <v>320</v>
      </c>
      <c r="G26" s="452" t="s">
        <v>321</v>
      </c>
      <c r="H26" s="455"/>
      <c r="I26" s="457">
        <v>36360.0</v>
      </c>
      <c r="J26" s="457">
        <v>45355.0</v>
      </c>
      <c r="K26" s="461"/>
      <c r="L26" s="453">
        <v>31.0</v>
      </c>
      <c r="M26" s="457">
        <v>45778.0</v>
      </c>
      <c r="N26" s="458">
        <v>45808.0</v>
      </c>
    </row>
    <row r="27">
      <c r="A27" s="452" t="s">
        <v>16</v>
      </c>
      <c r="B27" s="453">
        <v>4320.0</v>
      </c>
      <c r="C27" s="459"/>
      <c r="D27" s="453">
        <v>0.0</v>
      </c>
      <c r="E27" s="452" t="s">
        <v>383</v>
      </c>
      <c r="F27" s="452" t="s">
        <v>384</v>
      </c>
      <c r="G27" s="452" t="s">
        <v>385</v>
      </c>
      <c r="H27" s="455"/>
      <c r="I27" s="457">
        <v>36183.0</v>
      </c>
      <c r="J27" s="457">
        <v>45418.0</v>
      </c>
      <c r="K27" s="461"/>
      <c r="L27" s="453">
        <v>31.0</v>
      </c>
      <c r="M27" s="457">
        <v>45778.0</v>
      </c>
      <c r="N27" s="458">
        <v>45808.0</v>
      </c>
    </row>
    <row r="28">
      <c r="A28" s="452" t="s">
        <v>16</v>
      </c>
      <c r="B28" s="453">
        <v>4320.0</v>
      </c>
      <c r="C28" s="459"/>
      <c r="D28" s="453">
        <v>0.0</v>
      </c>
      <c r="E28" s="452" t="s">
        <v>288</v>
      </c>
      <c r="F28" s="452" t="s">
        <v>289</v>
      </c>
      <c r="G28" s="452" t="s">
        <v>290</v>
      </c>
      <c r="H28" s="455"/>
      <c r="I28" s="457">
        <v>37047.0</v>
      </c>
      <c r="J28" s="456">
        <v>45257.0</v>
      </c>
      <c r="K28" s="454"/>
      <c r="L28" s="453">
        <v>31.0</v>
      </c>
      <c r="M28" s="457">
        <v>45778.0</v>
      </c>
      <c r="N28" s="458">
        <v>45808.0</v>
      </c>
    </row>
    <row r="29">
      <c r="A29" s="452" t="s">
        <v>16</v>
      </c>
      <c r="B29" s="453">
        <v>4320.0</v>
      </c>
      <c r="C29" s="459"/>
      <c r="D29" s="453">
        <v>0.0</v>
      </c>
      <c r="E29" s="452" t="s">
        <v>445</v>
      </c>
      <c r="F29" s="452" t="s">
        <v>510</v>
      </c>
      <c r="G29" s="452" t="s">
        <v>447</v>
      </c>
      <c r="H29" s="455"/>
      <c r="I29" s="462">
        <v>37047.0</v>
      </c>
      <c r="J29" s="457">
        <v>45505.0</v>
      </c>
      <c r="K29" s="454"/>
      <c r="L29" s="453">
        <v>31.0</v>
      </c>
      <c r="M29" s="457">
        <v>45778.0</v>
      </c>
      <c r="N29" s="458">
        <v>45808.0</v>
      </c>
    </row>
    <row r="30">
      <c r="A30" s="452" t="s">
        <v>16</v>
      </c>
      <c r="B30" s="453">
        <v>4320.0</v>
      </c>
      <c r="C30" s="459"/>
      <c r="D30" s="453">
        <v>0.0</v>
      </c>
      <c r="E30" s="452" t="s">
        <v>467</v>
      </c>
      <c r="F30" s="452" t="s">
        <v>511</v>
      </c>
      <c r="G30" s="452" t="s">
        <v>450</v>
      </c>
      <c r="H30" s="455"/>
      <c r="I30" s="457">
        <v>36682.0</v>
      </c>
      <c r="J30" s="457">
        <v>45505.0</v>
      </c>
      <c r="K30" s="461"/>
      <c r="L30" s="453">
        <v>31.0</v>
      </c>
      <c r="M30" s="457">
        <v>45778.0</v>
      </c>
      <c r="N30" s="458">
        <v>45808.0</v>
      </c>
    </row>
    <row r="31">
      <c r="A31" s="452" t="s">
        <v>16</v>
      </c>
      <c r="B31" s="453">
        <v>4320.0</v>
      </c>
      <c r="C31" s="459"/>
      <c r="D31" s="453">
        <v>0.0</v>
      </c>
      <c r="E31" s="452" t="s">
        <v>503</v>
      </c>
      <c r="F31" s="452" t="s">
        <v>542</v>
      </c>
      <c r="G31" s="452" t="s">
        <v>504</v>
      </c>
      <c r="H31" s="455"/>
      <c r="I31" s="457">
        <v>37422.0</v>
      </c>
      <c r="J31" s="457">
        <v>45635.0</v>
      </c>
      <c r="K31" s="454"/>
      <c r="L31" s="453">
        <v>31.0</v>
      </c>
      <c r="M31" s="457">
        <v>45778.0</v>
      </c>
      <c r="N31" s="458">
        <v>45808.0</v>
      </c>
    </row>
    <row r="32">
      <c r="A32" s="452" t="s">
        <v>16</v>
      </c>
      <c r="B32" s="453">
        <v>4320.0</v>
      </c>
      <c r="C32" s="459"/>
      <c r="D32" s="453">
        <v>0.0</v>
      </c>
      <c r="E32" s="452" t="s">
        <v>291</v>
      </c>
      <c r="F32" s="452" t="s">
        <v>292</v>
      </c>
      <c r="G32" s="452" t="s">
        <v>293</v>
      </c>
      <c r="H32" s="455"/>
      <c r="I32" s="456">
        <v>37219.0</v>
      </c>
      <c r="J32" s="456">
        <v>45257.0</v>
      </c>
      <c r="K32" s="454"/>
      <c r="L32" s="453">
        <v>31.0</v>
      </c>
      <c r="M32" s="457">
        <v>45778.0</v>
      </c>
      <c r="N32" s="458">
        <v>45808.0</v>
      </c>
    </row>
    <row r="33">
      <c r="A33" s="452" t="s">
        <v>16</v>
      </c>
      <c r="B33" s="453">
        <v>4320.0</v>
      </c>
      <c r="C33" s="459"/>
      <c r="D33" s="453">
        <v>0.0</v>
      </c>
      <c r="E33" s="452" t="s">
        <v>594</v>
      </c>
      <c r="F33" s="452" t="s">
        <v>595</v>
      </c>
      <c r="G33" s="452" t="s">
        <v>596</v>
      </c>
      <c r="H33" s="455"/>
      <c r="I33" s="457">
        <v>37809.0</v>
      </c>
      <c r="J33" s="457">
        <v>45684.0</v>
      </c>
      <c r="K33" s="454"/>
      <c r="L33" s="453">
        <v>31.0</v>
      </c>
      <c r="M33" s="457">
        <v>45778.0</v>
      </c>
      <c r="N33" s="458">
        <v>45808.0</v>
      </c>
    </row>
    <row r="34">
      <c r="A34" s="452" t="s">
        <v>16</v>
      </c>
      <c r="B34" s="453">
        <v>4320.0</v>
      </c>
      <c r="C34" s="459"/>
      <c r="D34" s="453">
        <v>0.0</v>
      </c>
      <c r="E34" s="452" t="s">
        <v>60</v>
      </c>
      <c r="F34" s="452" t="s">
        <v>61</v>
      </c>
      <c r="G34" s="452" t="s">
        <v>62</v>
      </c>
      <c r="H34" s="455"/>
      <c r="I34" s="456">
        <v>36246.0</v>
      </c>
      <c r="J34" s="456">
        <v>44851.0</v>
      </c>
      <c r="K34" s="461"/>
      <c r="L34" s="453">
        <v>31.0</v>
      </c>
      <c r="M34" s="457">
        <v>45778.0</v>
      </c>
      <c r="N34" s="458">
        <v>45808.0</v>
      </c>
    </row>
    <row r="35">
      <c r="A35" s="452" t="s">
        <v>16</v>
      </c>
      <c r="B35" s="453">
        <v>4320.0</v>
      </c>
      <c r="C35" s="459"/>
      <c r="D35" s="453">
        <v>0.0</v>
      </c>
      <c r="E35" s="452" t="s">
        <v>63</v>
      </c>
      <c r="F35" s="452" t="s">
        <v>64</v>
      </c>
      <c r="G35" s="452" t="s">
        <v>65</v>
      </c>
      <c r="H35" s="455"/>
      <c r="I35" s="457">
        <v>35606.0</v>
      </c>
      <c r="J35" s="457">
        <v>44896.0</v>
      </c>
      <c r="K35" s="454"/>
      <c r="L35" s="453">
        <v>31.0</v>
      </c>
      <c r="M35" s="457">
        <v>45778.0</v>
      </c>
      <c r="N35" s="458">
        <v>45808.0</v>
      </c>
    </row>
    <row r="36">
      <c r="A36" s="452" t="s">
        <v>16</v>
      </c>
      <c r="B36" s="453">
        <v>4320.0</v>
      </c>
      <c r="C36" s="459"/>
      <c r="D36" s="453">
        <v>0.0</v>
      </c>
      <c r="E36" s="452" t="s">
        <v>63</v>
      </c>
      <c r="F36" s="452" t="s">
        <v>543</v>
      </c>
      <c r="G36" s="452" t="s">
        <v>505</v>
      </c>
      <c r="H36" s="455"/>
      <c r="I36" s="457">
        <v>36725.0</v>
      </c>
      <c r="J36" s="457">
        <v>45635.0</v>
      </c>
      <c r="K36" s="454"/>
      <c r="L36" s="453">
        <v>31.0</v>
      </c>
      <c r="M36" s="457">
        <v>45778.0</v>
      </c>
      <c r="N36" s="458">
        <v>45808.0</v>
      </c>
    </row>
    <row r="37">
      <c r="A37" s="452" t="s">
        <v>16</v>
      </c>
      <c r="B37" s="453">
        <v>4320.0</v>
      </c>
      <c r="C37" s="459"/>
      <c r="D37" s="453">
        <v>0.0</v>
      </c>
      <c r="E37" s="452" t="s">
        <v>744</v>
      </c>
      <c r="F37" s="452" t="s">
        <v>745</v>
      </c>
      <c r="G37" s="452" t="s">
        <v>746</v>
      </c>
      <c r="H37" s="455"/>
      <c r="I37" s="456">
        <v>37479.0</v>
      </c>
      <c r="J37" s="456">
        <v>45726.0</v>
      </c>
      <c r="K37" s="461"/>
      <c r="L37" s="453">
        <v>31.0</v>
      </c>
      <c r="M37" s="457">
        <v>45778.0</v>
      </c>
      <c r="N37" s="458">
        <v>45808.0</v>
      </c>
    </row>
    <row r="38">
      <c r="A38" s="452" t="s">
        <v>16</v>
      </c>
      <c r="B38" s="453">
        <v>4320.0</v>
      </c>
      <c r="C38" s="459"/>
      <c r="D38" s="453">
        <v>0.0</v>
      </c>
      <c r="E38" s="452" t="s">
        <v>591</v>
      </c>
      <c r="F38" s="452" t="s">
        <v>592</v>
      </c>
      <c r="G38" s="452" t="s">
        <v>593</v>
      </c>
      <c r="H38" s="455"/>
      <c r="I38" s="458">
        <v>37041.0</v>
      </c>
      <c r="J38" s="457">
        <v>45684.0</v>
      </c>
      <c r="K38" s="454"/>
      <c r="L38" s="453">
        <v>31.0</v>
      </c>
      <c r="M38" s="457">
        <v>45778.0</v>
      </c>
      <c r="N38" s="458">
        <v>45808.0</v>
      </c>
    </row>
    <row r="39">
      <c r="A39" s="452" t="s">
        <v>16</v>
      </c>
      <c r="B39" s="453">
        <v>4320.0</v>
      </c>
      <c r="C39" s="459"/>
      <c r="D39" s="453">
        <v>0.0</v>
      </c>
      <c r="E39" s="452" t="s">
        <v>597</v>
      </c>
      <c r="F39" s="452" t="s">
        <v>598</v>
      </c>
      <c r="G39" s="452" t="s">
        <v>599</v>
      </c>
      <c r="H39" s="455"/>
      <c r="I39" s="457">
        <v>37265.0</v>
      </c>
      <c r="J39" s="457">
        <v>45684.0</v>
      </c>
      <c r="K39" s="461"/>
      <c r="L39" s="453">
        <v>31.0</v>
      </c>
      <c r="M39" s="457">
        <v>45778.0</v>
      </c>
      <c r="N39" s="458">
        <v>45808.0</v>
      </c>
    </row>
    <row r="40">
      <c r="A40" s="452" t="s">
        <v>16</v>
      </c>
      <c r="B40" s="453">
        <v>4320.0</v>
      </c>
      <c r="C40" s="459"/>
      <c r="D40" s="453">
        <v>0.0</v>
      </c>
      <c r="E40" s="452" t="s">
        <v>267</v>
      </c>
      <c r="F40" s="452" t="s">
        <v>268</v>
      </c>
      <c r="G40" s="452" t="s">
        <v>269</v>
      </c>
      <c r="H40" s="455"/>
      <c r="I40" s="456">
        <v>34590.0</v>
      </c>
      <c r="J40" s="457">
        <v>45313.0</v>
      </c>
      <c r="K40" s="460"/>
      <c r="L40" s="453">
        <v>31.0</v>
      </c>
      <c r="M40" s="457">
        <v>45778.0</v>
      </c>
      <c r="N40" s="458">
        <v>45808.0</v>
      </c>
    </row>
    <row r="41">
      <c r="A41" s="452" t="s">
        <v>16</v>
      </c>
      <c r="B41" s="453">
        <v>4320.0</v>
      </c>
      <c r="C41" s="459"/>
      <c r="D41" s="453">
        <v>0.0</v>
      </c>
      <c r="E41" s="452" t="s">
        <v>69</v>
      </c>
      <c r="F41" s="452" t="s">
        <v>70</v>
      </c>
      <c r="G41" s="452" t="s">
        <v>71</v>
      </c>
      <c r="H41" s="455"/>
      <c r="I41" s="456">
        <v>36891.0</v>
      </c>
      <c r="J41" s="457">
        <v>44739.0</v>
      </c>
      <c r="K41" s="454"/>
      <c r="L41" s="453">
        <v>31.0</v>
      </c>
      <c r="M41" s="457">
        <v>45778.0</v>
      </c>
      <c r="N41" s="458">
        <v>45808.0</v>
      </c>
    </row>
    <row r="42">
      <c r="A42" s="452" t="s">
        <v>16</v>
      </c>
      <c r="B42" s="453">
        <v>4320.0</v>
      </c>
      <c r="C42" s="459"/>
      <c r="D42" s="453">
        <v>0.0</v>
      </c>
      <c r="E42" s="452" t="s">
        <v>468</v>
      </c>
      <c r="F42" s="452" t="s">
        <v>527</v>
      </c>
      <c r="G42" s="452" t="s">
        <v>469</v>
      </c>
      <c r="H42" s="455"/>
      <c r="I42" s="457">
        <v>35986.0</v>
      </c>
      <c r="J42" s="457">
        <v>45537.0</v>
      </c>
      <c r="K42" s="454"/>
      <c r="L42" s="453">
        <v>31.0</v>
      </c>
      <c r="M42" s="457">
        <v>45778.0</v>
      </c>
      <c r="N42" s="458">
        <v>45808.0</v>
      </c>
    </row>
    <row r="43">
      <c r="A43" s="452" t="s">
        <v>16</v>
      </c>
      <c r="B43" s="453">
        <v>4320.0</v>
      </c>
      <c r="C43" s="459"/>
      <c r="D43" s="453">
        <v>0.0</v>
      </c>
      <c r="E43" s="452" t="s">
        <v>78</v>
      </c>
      <c r="F43" s="452" t="s">
        <v>79</v>
      </c>
      <c r="G43" s="452" t="s">
        <v>80</v>
      </c>
      <c r="H43" s="455"/>
      <c r="I43" s="456">
        <v>36401.0</v>
      </c>
      <c r="J43" s="457">
        <v>45096.0</v>
      </c>
      <c r="K43" s="454"/>
      <c r="L43" s="453">
        <v>31.0</v>
      </c>
      <c r="M43" s="457">
        <v>45778.0</v>
      </c>
      <c r="N43" s="458">
        <v>45808.0</v>
      </c>
    </row>
    <row r="44">
      <c r="A44" s="452" t="s">
        <v>16</v>
      </c>
      <c r="B44" s="453">
        <v>4320.0</v>
      </c>
      <c r="C44" s="459"/>
      <c r="D44" s="453">
        <v>0.0</v>
      </c>
      <c r="E44" s="452" t="s">
        <v>555</v>
      </c>
      <c r="F44" s="452" t="s">
        <v>556</v>
      </c>
      <c r="G44" s="452" t="s">
        <v>557</v>
      </c>
      <c r="H44" s="455"/>
      <c r="I44" s="457">
        <v>36135.0</v>
      </c>
      <c r="J44" s="457">
        <v>45663.0</v>
      </c>
      <c r="K44" s="454"/>
      <c r="L44" s="453">
        <v>31.0</v>
      </c>
      <c r="M44" s="457">
        <v>45778.0</v>
      </c>
      <c r="N44" s="458">
        <v>45808.0</v>
      </c>
    </row>
    <row r="45">
      <c r="A45" s="452" t="s">
        <v>16</v>
      </c>
      <c r="B45" s="453">
        <v>4320.0</v>
      </c>
      <c r="C45" s="459"/>
      <c r="D45" s="453">
        <v>0.0</v>
      </c>
      <c r="E45" s="452" t="s">
        <v>331</v>
      </c>
      <c r="F45" s="452" t="s">
        <v>332</v>
      </c>
      <c r="G45" s="452" t="s">
        <v>333</v>
      </c>
      <c r="H45" s="455"/>
      <c r="I45" s="457">
        <v>37958.0</v>
      </c>
      <c r="J45" s="456">
        <v>45369.0</v>
      </c>
      <c r="K45" s="461"/>
      <c r="L45" s="453">
        <v>31.0</v>
      </c>
      <c r="M45" s="457">
        <v>45778.0</v>
      </c>
      <c r="N45" s="458">
        <v>45808.0</v>
      </c>
    </row>
    <row r="46">
      <c r="A46" s="452" t="s">
        <v>16</v>
      </c>
      <c r="B46" s="453">
        <v>4320.0</v>
      </c>
      <c r="C46" s="459"/>
      <c r="D46" s="453">
        <v>0.0</v>
      </c>
      <c r="E46" s="452" t="s">
        <v>392</v>
      </c>
      <c r="F46" s="452" t="s">
        <v>393</v>
      </c>
      <c r="G46" s="452" t="s">
        <v>394</v>
      </c>
      <c r="H46" s="455"/>
      <c r="I46" s="456">
        <v>34922.0</v>
      </c>
      <c r="J46" s="457">
        <v>45418.0</v>
      </c>
      <c r="K46" s="461"/>
      <c r="L46" s="453">
        <v>31.0</v>
      </c>
      <c r="M46" s="457">
        <v>45778.0</v>
      </c>
      <c r="N46" s="458">
        <v>45808.0</v>
      </c>
    </row>
    <row r="47">
      <c r="A47" s="452" t="s">
        <v>16</v>
      </c>
      <c r="B47" s="453">
        <v>4320.0</v>
      </c>
      <c r="C47" s="459"/>
      <c r="D47" s="453">
        <v>0.0</v>
      </c>
      <c r="E47" s="452" t="s">
        <v>696</v>
      </c>
      <c r="F47" s="452" t="s">
        <v>756</v>
      </c>
      <c r="G47" s="452" t="s">
        <v>698</v>
      </c>
      <c r="H47" s="455"/>
      <c r="I47" s="456">
        <v>36474.0</v>
      </c>
      <c r="J47" s="456">
        <v>45698.0</v>
      </c>
      <c r="K47" s="461"/>
      <c r="L47" s="453">
        <v>31.0</v>
      </c>
      <c r="M47" s="457">
        <v>45778.0</v>
      </c>
      <c r="N47" s="458">
        <v>45808.0</v>
      </c>
    </row>
    <row r="48">
      <c r="A48" s="452" t="s">
        <v>16</v>
      </c>
      <c r="B48" s="453">
        <v>4320.0</v>
      </c>
      <c r="C48" s="459"/>
      <c r="D48" s="453">
        <v>0.0</v>
      </c>
      <c r="E48" s="452" t="s">
        <v>699</v>
      </c>
      <c r="F48" s="452" t="s">
        <v>757</v>
      </c>
      <c r="G48" s="452" t="s">
        <v>701</v>
      </c>
      <c r="H48" s="455"/>
      <c r="I48" s="456">
        <v>36474.0</v>
      </c>
      <c r="J48" s="456">
        <v>45698.0</v>
      </c>
      <c r="K48" s="461"/>
      <c r="L48" s="453">
        <v>31.0</v>
      </c>
      <c r="M48" s="457">
        <v>45778.0</v>
      </c>
      <c r="N48" s="458">
        <v>45808.0</v>
      </c>
    </row>
    <row r="49">
      <c r="A49" s="452" t="s">
        <v>16</v>
      </c>
      <c r="B49" s="453">
        <v>4320.0</v>
      </c>
      <c r="C49" s="459"/>
      <c r="D49" s="453">
        <v>0.0</v>
      </c>
      <c r="E49" s="452" t="s">
        <v>576</v>
      </c>
      <c r="F49" s="452" t="s">
        <v>577</v>
      </c>
      <c r="G49" s="452" t="s">
        <v>578</v>
      </c>
      <c r="H49" s="455"/>
      <c r="I49" s="456">
        <v>37944.0</v>
      </c>
      <c r="J49" s="457">
        <v>45677.0</v>
      </c>
      <c r="K49" s="454"/>
      <c r="L49" s="453">
        <v>31.0</v>
      </c>
      <c r="M49" s="457">
        <v>45778.0</v>
      </c>
      <c r="N49" s="458">
        <v>45808.0</v>
      </c>
    </row>
    <row r="50">
      <c r="A50" s="452" t="s">
        <v>16</v>
      </c>
      <c r="B50" s="453">
        <v>4320.0</v>
      </c>
      <c r="C50" s="459"/>
      <c r="D50" s="453">
        <v>0.0</v>
      </c>
      <c r="E50" s="452" t="s">
        <v>546</v>
      </c>
      <c r="F50" s="452" t="s">
        <v>547</v>
      </c>
      <c r="G50" s="452" t="s">
        <v>548</v>
      </c>
      <c r="H50" s="455"/>
      <c r="I50" s="456">
        <v>38255.0</v>
      </c>
      <c r="J50" s="457">
        <v>45658.0</v>
      </c>
      <c r="K50" s="460"/>
      <c r="L50" s="453">
        <v>31.0</v>
      </c>
      <c r="M50" s="457">
        <v>45778.0</v>
      </c>
      <c r="N50" s="458">
        <v>45808.0</v>
      </c>
    </row>
    <row r="51">
      <c r="A51" s="452" t="s">
        <v>16</v>
      </c>
      <c r="B51" s="453">
        <v>4320.0</v>
      </c>
      <c r="C51" s="459"/>
      <c r="D51" s="453">
        <v>0.0</v>
      </c>
      <c r="E51" s="452" t="s">
        <v>501</v>
      </c>
      <c r="F51" s="452" t="s">
        <v>541</v>
      </c>
      <c r="G51" s="452" t="s">
        <v>502</v>
      </c>
      <c r="H51" s="455"/>
      <c r="I51" s="456">
        <v>36062.0</v>
      </c>
      <c r="J51" s="457">
        <v>45628.0</v>
      </c>
      <c r="K51" s="461"/>
      <c r="L51" s="453">
        <v>31.0</v>
      </c>
      <c r="M51" s="457">
        <v>45778.0</v>
      </c>
      <c r="N51" s="458">
        <v>45808.0</v>
      </c>
    </row>
    <row r="52">
      <c r="A52" s="452" t="s">
        <v>16</v>
      </c>
      <c r="B52" s="453">
        <v>4320.0</v>
      </c>
      <c r="C52" s="459"/>
      <c r="D52" s="453">
        <v>0.0</v>
      </c>
      <c r="E52" s="452" t="s">
        <v>451</v>
      </c>
      <c r="F52" s="452" t="s">
        <v>512</v>
      </c>
      <c r="G52" s="452" t="s">
        <v>415</v>
      </c>
      <c r="H52" s="455"/>
      <c r="I52" s="456">
        <v>36443.0</v>
      </c>
      <c r="J52" s="457">
        <v>45446.0</v>
      </c>
      <c r="K52" s="461"/>
      <c r="L52" s="453">
        <v>31.0</v>
      </c>
      <c r="M52" s="457">
        <v>45778.0</v>
      </c>
      <c r="N52" s="458">
        <v>45808.0</v>
      </c>
    </row>
    <row r="53">
      <c r="A53" s="452" t="s">
        <v>16</v>
      </c>
      <c r="B53" s="453">
        <v>4320.0</v>
      </c>
      <c r="C53" s="459"/>
      <c r="D53" s="453">
        <v>0.0</v>
      </c>
      <c r="E53" s="452" t="s">
        <v>579</v>
      </c>
      <c r="F53" s="452" t="s">
        <v>580</v>
      </c>
      <c r="G53" s="452" t="s">
        <v>581</v>
      </c>
      <c r="H53" s="455"/>
      <c r="I53" s="456">
        <v>37609.0</v>
      </c>
      <c r="J53" s="457">
        <v>45677.0</v>
      </c>
      <c r="K53" s="460"/>
      <c r="L53" s="453">
        <v>31.0</v>
      </c>
      <c r="M53" s="457">
        <v>45778.0</v>
      </c>
      <c r="N53" s="458">
        <v>45808.0</v>
      </c>
    </row>
    <row r="54">
      <c r="A54" s="452" t="s">
        <v>16</v>
      </c>
      <c r="B54" s="453">
        <v>4320.0</v>
      </c>
      <c r="C54" s="459"/>
      <c r="D54" s="453">
        <v>0.0</v>
      </c>
      <c r="E54" s="452" t="s">
        <v>476</v>
      </c>
      <c r="F54" s="452" t="s">
        <v>529</v>
      </c>
      <c r="G54" s="452" t="s">
        <v>477</v>
      </c>
      <c r="H54" s="455"/>
      <c r="I54" s="456">
        <v>37220.0</v>
      </c>
      <c r="J54" s="462">
        <v>45572.0</v>
      </c>
      <c r="K54" s="454"/>
      <c r="L54" s="453">
        <v>31.0</v>
      </c>
      <c r="M54" s="457">
        <v>45778.0</v>
      </c>
      <c r="N54" s="458">
        <v>45808.0</v>
      </c>
    </row>
    <row r="55">
      <c r="A55" s="452" t="s">
        <v>16</v>
      </c>
      <c r="B55" s="453">
        <v>4320.0</v>
      </c>
      <c r="C55" s="459"/>
      <c r="D55" s="453">
        <v>0.0</v>
      </c>
      <c r="E55" s="452" t="s">
        <v>102</v>
      </c>
      <c r="F55" s="452" t="s">
        <v>103</v>
      </c>
      <c r="G55" s="452" t="s">
        <v>104</v>
      </c>
      <c r="H55" s="455"/>
      <c r="I55" s="457">
        <v>33240.0</v>
      </c>
      <c r="J55" s="457">
        <v>44287.0</v>
      </c>
      <c r="K55" s="454"/>
      <c r="L55" s="453">
        <v>31.0</v>
      </c>
      <c r="M55" s="457">
        <v>45778.0</v>
      </c>
      <c r="N55" s="458">
        <v>45808.0</v>
      </c>
    </row>
    <row r="56">
      <c r="A56" s="452" t="s">
        <v>16</v>
      </c>
      <c r="B56" s="453">
        <v>4320.0</v>
      </c>
      <c r="C56" s="459"/>
      <c r="D56" s="453">
        <v>0.0</v>
      </c>
      <c r="E56" s="452" t="s">
        <v>255</v>
      </c>
      <c r="F56" s="452" t="s">
        <v>256</v>
      </c>
      <c r="G56" s="452" t="s">
        <v>257</v>
      </c>
      <c r="H56" s="455"/>
      <c r="I56" s="457">
        <v>35173.0</v>
      </c>
      <c r="J56" s="457">
        <v>45264.0</v>
      </c>
      <c r="K56" s="461"/>
      <c r="L56" s="453">
        <v>31.0</v>
      </c>
      <c r="M56" s="457">
        <v>45778.0</v>
      </c>
      <c r="N56" s="458">
        <v>45808.0</v>
      </c>
    </row>
    <row r="57">
      <c r="A57" s="452" t="s">
        <v>16</v>
      </c>
      <c r="B57" s="453">
        <v>4320.0</v>
      </c>
      <c r="C57" s="459"/>
      <c r="D57" s="453">
        <v>0.0</v>
      </c>
      <c r="E57" s="452" t="s">
        <v>438</v>
      </c>
      <c r="F57" s="452" t="s">
        <v>341</v>
      </c>
      <c r="G57" s="452" t="s">
        <v>342</v>
      </c>
      <c r="H57" s="455"/>
      <c r="I57" s="457">
        <v>37964.0</v>
      </c>
      <c r="J57" s="457">
        <v>45355.0</v>
      </c>
      <c r="K57" s="461"/>
      <c r="L57" s="453">
        <v>31.0</v>
      </c>
      <c r="M57" s="457">
        <v>45778.0</v>
      </c>
      <c r="N57" s="458">
        <v>45808.0</v>
      </c>
    </row>
    <row r="58">
      <c r="A58" s="452" t="s">
        <v>16</v>
      </c>
      <c r="B58" s="453">
        <v>4320.0</v>
      </c>
      <c r="C58" s="459"/>
      <c r="D58" s="453">
        <v>0.0</v>
      </c>
      <c r="E58" s="452" t="s">
        <v>508</v>
      </c>
      <c r="F58" s="452" t="s">
        <v>545</v>
      </c>
      <c r="G58" s="452" t="s">
        <v>509</v>
      </c>
      <c r="H58" s="455"/>
      <c r="I58" s="457">
        <v>36637.0</v>
      </c>
      <c r="J58" s="456">
        <v>45649.0</v>
      </c>
      <c r="K58" s="454"/>
      <c r="L58" s="453">
        <v>31.0</v>
      </c>
      <c r="M58" s="457">
        <v>45778.0</v>
      </c>
      <c r="N58" s="458">
        <v>45808.0</v>
      </c>
    </row>
    <row r="59">
      <c r="A59" s="452" t="s">
        <v>16</v>
      </c>
      <c r="B59" s="453">
        <v>4320.0</v>
      </c>
      <c r="C59" s="459"/>
      <c r="D59" s="453">
        <v>0.0</v>
      </c>
      <c r="E59" s="452" t="s">
        <v>395</v>
      </c>
      <c r="F59" s="452" t="s">
        <v>396</v>
      </c>
      <c r="G59" s="452" t="s">
        <v>397</v>
      </c>
      <c r="H59" s="455"/>
      <c r="I59" s="457">
        <v>36557.0</v>
      </c>
      <c r="J59" s="458">
        <v>45432.0</v>
      </c>
      <c r="K59" s="458">
        <v>45807.0</v>
      </c>
      <c r="L59" s="453">
        <v>30.0</v>
      </c>
      <c r="M59" s="457">
        <v>45778.0</v>
      </c>
      <c r="N59" s="458">
        <v>45808.0</v>
      </c>
    </row>
    <row r="60">
      <c r="A60" s="452" t="s">
        <v>16</v>
      </c>
      <c r="B60" s="453">
        <v>4320.0</v>
      </c>
      <c r="C60" s="459"/>
      <c r="D60" s="453">
        <v>0.0</v>
      </c>
      <c r="E60" s="452" t="s">
        <v>370</v>
      </c>
      <c r="F60" s="452" t="s">
        <v>371</v>
      </c>
      <c r="G60" s="452" t="s">
        <v>372</v>
      </c>
      <c r="H60" s="455"/>
      <c r="I60" s="457">
        <v>35551.0</v>
      </c>
      <c r="J60" s="457">
        <v>45383.0</v>
      </c>
      <c r="K60" s="461"/>
      <c r="L60" s="453">
        <v>31.0</v>
      </c>
      <c r="M60" s="457">
        <v>45778.0</v>
      </c>
      <c r="N60" s="458">
        <v>45808.0</v>
      </c>
    </row>
    <row r="61">
      <c r="A61" s="452" t="s">
        <v>16</v>
      </c>
      <c r="B61" s="453">
        <v>4320.0</v>
      </c>
      <c r="C61" s="459"/>
      <c r="D61" s="453">
        <v>0.0</v>
      </c>
      <c r="E61" s="452" t="s">
        <v>114</v>
      </c>
      <c r="F61" s="452" t="s">
        <v>514</v>
      </c>
      <c r="G61" s="452" t="s">
        <v>456</v>
      </c>
      <c r="H61" s="455"/>
      <c r="I61" s="456">
        <v>35872.0</v>
      </c>
      <c r="J61" s="456">
        <v>45523.0</v>
      </c>
      <c r="K61" s="454"/>
      <c r="L61" s="453">
        <v>31.0</v>
      </c>
      <c r="M61" s="457">
        <v>45778.0</v>
      </c>
      <c r="N61" s="458">
        <v>45808.0</v>
      </c>
    </row>
    <row r="62">
      <c r="A62" s="452" t="s">
        <v>16</v>
      </c>
      <c r="B62" s="453">
        <v>4320.0</v>
      </c>
      <c r="C62" s="454"/>
      <c r="D62" s="453">
        <v>0.0</v>
      </c>
      <c r="E62" s="452" t="s">
        <v>457</v>
      </c>
      <c r="F62" s="452" t="s">
        <v>515</v>
      </c>
      <c r="G62" s="452" t="s">
        <v>458</v>
      </c>
      <c r="H62" s="455"/>
      <c r="I62" s="457">
        <v>37061.0</v>
      </c>
      <c r="J62" s="462">
        <v>45505.0</v>
      </c>
      <c r="K62" s="461"/>
      <c r="L62" s="453">
        <v>31.0</v>
      </c>
      <c r="M62" s="457">
        <v>45778.0</v>
      </c>
      <c r="N62" s="458">
        <v>45808.0</v>
      </c>
    </row>
    <row r="63">
      <c r="A63" s="452" t="s">
        <v>16</v>
      </c>
      <c r="B63" s="453">
        <v>4320.0</v>
      </c>
      <c r="C63" s="454"/>
      <c r="D63" s="453">
        <v>0.0</v>
      </c>
      <c r="E63" s="452" t="s">
        <v>506</v>
      </c>
      <c r="F63" s="452" t="s">
        <v>544</v>
      </c>
      <c r="G63" s="452" t="s">
        <v>507</v>
      </c>
      <c r="H63" s="455"/>
      <c r="I63" s="456">
        <v>36981.0</v>
      </c>
      <c r="J63" s="456">
        <v>45642.0</v>
      </c>
      <c r="K63" s="461"/>
      <c r="L63" s="453">
        <v>31.0</v>
      </c>
      <c r="M63" s="457">
        <v>45778.0</v>
      </c>
      <c r="N63" s="458">
        <v>45808.0</v>
      </c>
    </row>
    <row r="64">
      <c r="A64" s="452" t="s">
        <v>16</v>
      </c>
      <c r="B64" s="453">
        <v>4320.0</v>
      </c>
      <c r="C64" s="454"/>
      <c r="D64" s="453">
        <v>0.0</v>
      </c>
      <c r="E64" s="452" t="s">
        <v>487</v>
      </c>
      <c r="F64" s="452" t="s">
        <v>533</v>
      </c>
      <c r="G64" s="452" t="s">
        <v>488</v>
      </c>
      <c r="H64" s="455"/>
      <c r="I64" s="458">
        <v>35195.0</v>
      </c>
      <c r="J64" s="457">
        <v>45602.0</v>
      </c>
      <c r="K64" s="454"/>
      <c r="L64" s="453">
        <v>31.0</v>
      </c>
      <c r="M64" s="457">
        <v>45778.0</v>
      </c>
      <c r="N64" s="458">
        <v>45808.0</v>
      </c>
    </row>
    <row r="65">
      <c r="A65" s="452" t="s">
        <v>16</v>
      </c>
      <c r="B65" s="453">
        <v>4320.0</v>
      </c>
      <c r="C65" s="454"/>
      <c r="D65" s="453">
        <v>0.0</v>
      </c>
      <c r="E65" s="452" t="s">
        <v>343</v>
      </c>
      <c r="F65" s="452" t="s">
        <v>344</v>
      </c>
      <c r="G65" s="452" t="s">
        <v>345</v>
      </c>
      <c r="H65" s="455"/>
      <c r="I65" s="456">
        <v>36821.0</v>
      </c>
      <c r="J65" s="456">
        <v>45362.0</v>
      </c>
      <c r="K65" s="454"/>
      <c r="L65" s="453">
        <v>31.0</v>
      </c>
      <c r="M65" s="457">
        <v>45778.0</v>
      </c>
      <c r="N65" s="458">
        <v>45808.0</v>
      </c>
    </row>
    <row r="66">
      <c r="A66" s="452" t="s">
        <v>16</v>
      </c>
      <c r="B66" s="453">
        <v>4320.0</v>
      </c>
      <c r="C66" s="454"/>
      <c r="D66" s="453">
        <v>0.0</v>
      </c>
      <c r="E66" s="452" t="s">
        <v>750</v>
      </c>
      <c r="F66" s="452" t="s">
        <v>751</v>
      </c>
      <c r="G66" s="452" t="s">
        <v>752</v>
      </c>
      <c r="H66" s="455"/>
      <c r="I66" s="456">
        <v>36581.0</v>
      </c>
      <c r="J66" s="456">
        <v>45740.0</v>
      </c>
      <c r="K66" s="461"/>
      <c r="L66" s="453">
        <v>31.0</v>
      </c>
      <c r="M66" s="457">
        <v>45778.0</v>
      </c>
      <c r="N66" s="458">
        <v>45808.0</v>
      </c>
    </row>
    <row r="67">
      <c r="A67" s="452" t="s">
        <v>16</v>
      </c>
      <c r="B67" s="453">
        <v>4320.0</v>
      </c>
      <c r="C67" s="454"/>
      <c r="D67" s="453">
        <v>0.0</v>
      </c>
      <c r="E67" s="452" t="s">
        <v>429</v>
      </c>
      <c r="F67" s="452" t="s">
        <v>516</v>
      </c>
      <c r="G67" s="452" t="s">
        <v>430</v>
      </c>
      <c r="H67" s="455"/>
      <c r="I67" s="457">
        <v>37257.0</v>
      </c>
      <c r="J67" s="457">
        <v>45481.0</v>
      </c>
      <c r="K67" s="454"/>
      <c r="L67" s="453">
        <v>31.0</v>
      </c>
      <c r="M67" s="457">
        <v>45778.0</v>
      </c>
      <c r="N67" s="458">
        <v>45808.0</v>
      </c>
    </row>
    <row r="68">
      <c r="A68" s="452" t="s">
        <v>16</v>
      </c>
      <c r="B68" s="453">
        <v>4320.0</v>
      </c>
      <c r="C68" s="454"/>
      <c r="D68" s="453">
        <v>0.0</v>
      </c>
      <c r="E68" s="452" t="s">
        <v>489</v>
      </c>
      <c r="F68" s="452" t="s">
        <v>536</v>
      </c>
      <c r="G68" s="452" t="s">
        <v>490</v>
      </c>
      <c r="H68" s="455"/>
      <c r="I68" s="457">
        <v>37105.0</v>
      </c>
      <c r="J68" s="457">
        <v>45602.0</v>
      </c>
      <c r="K68" s="461"/>
      <c r="L68" s="453">
        <v>31.0</v>
      </c>
      <c r="M68" s="457">
        <v>45778.0</v>
      </c>
      <c r="N68" s="458">
        <v>45808.0</v>
      </c>
    </row>
    <row r="69">
      <c r="A69" s="452" t="s">
        <v>16</v>
      </c>
      <c r="B69" s="453">
        <v>4320.0</v>
      </c>
      <c r="C69" s="454"/>
      <c r="D69" s="453">
        <v>0.0</v>
      </c>
      <c r="E69" s="452" t="s">
        <v>416</v>
      </c>
      <c r="F69" s="452" t="s">
        <v>517</v>
      </c>
      <c r="G69" s="452" t="s">
        <v>417</v>
      </c>
      <c r="H69" s="455"/>
      <c r="I69" s="457">
        <v>36346.0</v>
      </c>
      <c r="J69" s="457">
        <v>45453.0</v>
      </c>
      <c r="K69" s="461"/>
      <c r="L69" s="453">
        <v>31.0</v>
      </c>
      <c r="M69" s="457">
        <v>45778.0</v>
      </c>
      <c r="N69" s="458">
        <v>45808.0</v>
      </c>
    </row>
    <row r="70">
      <c r="A70" s="452" t="s">
        <v>16</v>
      </c>
      <c r="B70" s="453">
        <v>4320.0</v>
      </c>
      <c r="C70" s="454"/>
      <c r="D70" s="453">
        <v>0.0</v>
      </c>
      <c r="E70" s="452" t="s">
        <v>478</v>
      </c>
      <c r="F70" s="452" t="s">
        <v>518</v>
      </c>
      <c r="G70" s="452" t="s">
        <v>426</v>
      </c>
      <c r="H70" s="455"/>
      <c r="I70" s="457">
        <v>36530.0</v>
      </c>
      <c r="J70" s="457">
        <v>45446.0</v>
      </c>
      <c r="K70" s="454"/>
      <c r="L70" s="453">
        <v>31.0</v>
      </c>
      <c r="M70" s="457">
        <v>45778.0</v>
      </c>
      <c r="N70" s="458">
        <v>45808.0</v>
      </c>
    </row>
    <row r="71">
      <c r="A71" s="452" t="s">
        <v>16</v>
      </c>
      <c r="B71" s="453">
        <v>4320.0</v>
      </c>
      <c r="C71" s="454"/>
      <c r="D71" s="453">
        <v>0.0</v>
      </c>
      <c r="E71" s="452" t="s">
        <v>570</v>
      </c>
      <c r="F71" s="452" t="s">
        <v>571</v>
      </c>
      <c r="G71" s="452" t="s">
        <v>572</v>
      </c>
      <c r="H71" s="455"/>
      <c r="I71" s="457">
        <v>37362.0</v>
      </c>
      <c r="J71" s="457">
        <v>45677.0</v>
      </c>
      <c r="K71" s="461"/>
      <c r="L71" s="453">
        <v>31.0</v>
      </c>
      <c r="M71" s="457">
        <v>45778.0</v>
      </c>
      <c r="N71" s="458">
        <v>45808.0</v>
      </c>
    </row>
    <row r="72">
      <c r="A72" s="452" t="s">
        <v>16</v>
      </c>
      <c r="B72" s="453">
        <v>4320.0</v>
      </c>
      <c r="C72" s="454"/>
      <c r="D72" s="453">
        <v>0.0</v>
      </c>
      <c r="E72" s="452" t="s">
        <v>702</v>
      </c>
      <c r="F72" s="452" t="s">
        <v>703</v>
      </c>
      <c r="G72" s="452" t="s">
        <v>704</v>
      </c>
      <c r="H72" s="455"/>
      <c r="I72" s="456">
        <v>35714.0</v>
      </c>
      <c r="J72" s="456">
        <v>45705.0</v>
      </c>
      <c r="K72" s="454"/>
      <c r="L72" s="453">
        <v>31.0</v>
      </c>
      <c r="M72" s="457">
        <v>45778.0</v>
      </c>
      <c r="N72" s="458">
        <v>45808.0</v>
      </c>
    </row>
    <row r="73">
      <c r="A73" s="452" t="s">
        <v>16</v>
      </c>
      <c r="B73" s="453">
        <v>4320.0</v>
      </c>
      <c r="C73" s="454"/>
      <c r="D73" s="453">
        <v>0.0</v>
      </c>
      <c r="E73" s="452" t="s">
        <v>459</v>
      </c>
      <c r="F73" s="452" t="s">
        <v>374</v>
      </c>
      <c r="G73" s="452" t="s">
        <v>375</v>
      </c>
      <c r="H73" s="455"/>
      <c r="I73" s="462">
        <v>37085.0</v>
      </c>
      <c r="J73" s="462">
        <v>45400.0</v>
      </c>
      <c r="K73" s="461"/>
      <c r="L73" s="453">
        <v>31.0</v>
      </c>
      <c r="M73" s="457">
        <v>45778.0</v>
      </c>
      <c r="N73" s="458">
        <v>45808.0</v>
      </c>
    </row>
    <row r="74">
      <c r="A74" s="452" t="s">
        <v>16</v>
      </c>
      <c r="B74" s="453">
        <v>4320.0</v>
      </c>
      <c r="C74" s="454"/>
      <c r="D74" s="453">
        <v>0.0</v>
      </c>
      <c r="E74" s="452" t="s">
        <v>349</v>
      </c>
      <c r="F74" s="452" t="s">
        <v>350</v>
      </c>
      <c r="G74" s="452" t="s">
        <v>351</v>
      </c>
      <c r="H74" s="455"/>
      <c r="I74" s="457">
        <v>37647.0</v>
      </c>
      <c r="J74" s="457">
        <v>45355.0</v>
      </c>
      <c r="K74" s="461"/>
      <c r="L74" s="453">
        <v>31.0</v>
      </c>
      <c r="M74" s="457">
        <v>45778.0</v>
      </c>
      <c r="N74" s="458">
        <v>45808.0</v>
      </c>
    </row>
    <row r="75">
      <c r="A75" s="452" t="s">
        <v>16</v>
      </c>
      <c r="B75" s="453">
        <v>4320.0</v>
      </c>
      <c r="C75" s="454"/>
      <c r="D75" s="453">
        <v>0.0</v>
      </c>
      <c r="E75" s="452" t="s">
        <v>352</v>
      </c>
      <c r="F75" s="452" t="s">
        <v>353</v>
      </c>
      <c r="G75" s="452" t="s">
        <v>354</v>
      </c>
      <c r="H75" s="455"/>
      <c r="I75" s="457">
        <v>36412.0</v>
      </c>
      <c r="J75" s="457">
        <v>45355.0</v>
      </c>
      <c r="K75" s="454"/>
      <c r="L75" s="453">
        <v>31.0</v>
      </c>
      <c r="M75" s="457">
        <v>45778.0</v>
      </c>
      <c r="N75" s="458">
        <v>45808.0</v>
      </c>
    </row>
    <row r="76">
      <c r="A76" s="452" t="s">
        <v>16</v>
      </c>
      <c r="B76" s="453">
        <v>4320.0</v>
      </c>
      <c r="C76" s="454"/>
      <c r="D76" s="453">
        <v>0.0</v>
      </c>
      <c r="E76" s="452" t="s">
        <v>705</v>
      </c>
      <c r="F76" s="452" t="s">
        <v>758</v>
      </c>
      <c r="G76" s="452" t="s">
        <v>707</v>
      </c>
      <c r="H76" s="455"/>
      <c r="I76" s="457">
        <v>36594.0</v>
      </c>
      <c r="J76" s="456">
        <v>45712.0</v>
      </c>
      <c r="K76" s="454"/>
      <c r="L76" s="453">
        <v>31.0</v>
      </c>
      <c r="M76" s="457">
        <v>45778.0</v>
      </c>
      <c r="N76" s="458">
        <v>45808.0</v>
      </c>
    </row>
    <row r="77">
      <c r="A77" s="452" t="s">
        <v>16</v>
      </c>
      <c r="B77" s="453">
        <v>4320.0</v>
      </c>
      <c r="C77" s="454"/>
      <c r="D77" s="453">
        <v>0.0</v>
      </c>
      <c r="E77" s="452" t="s">
        <v>273</v>
      </c>
      <c r="F77" s="452" t="s">
        <v>274</v>
      </c>
      <c r="G77" s="452" t="s">
        <v>275</v>
      </c>
      <c r="H77" s="455"/>
      <c r="I77" s="457">
        <v>34522.0</v>
      </c>
      <c r="J77" s="457">
        <v>45292.0</v>
      </c>
      <c r="K77" s="454"/>
      <c r="L77" s="453">
        <v>31.0</v>
      </c>
      <c r="M77" s="457">
        <v>45778.0</v>
      </c>
      <c r="N77" s="458">
        <v>45808.0</v>
      </c>
    </row>
    <row r="78">
      <c r="A78" s="452" t="s">
        <v>16</v>
      </c>
      <c r="B78" s="453">
        <v>4320.0</v>
      </c>
      <c r="C78" s="454"/>
      <c r="D78" s="453">
        <v>0.0</v>
      </c>
      <c r="E78" s="452" t="s">
        <v>708</v>
      </c>
      <c r="F78" s="452" t="s">
        <v>759</v>
      </c>
      <c r="G78" s="452" t="s">
        <v>710</v>
      </c>
      <c r="H78" s="455"/>
      <c r="I78" s="458">
        <v>37028.0</v>
      </c>
      <c r="J78" s="456">
        <v>45705.0</v>
      </c>
      <c r="K78" s="461"/>
      <c r="L78" s="453">
        <v>31.0</v>
      </c>
      <c r="M78" s="457">
        <v>45778.0</v>
      </c>
      <c r="N78" s="458">
        <v>45808.0</v>
      </c>
    </row>
    <row r="79">
      <c r="A79" s="452" t="s">
        <v>16</v>
      </c>
      <c r="B79" s="453">
        <v>4320.0</v>
      </c>
      <c r="C79" s="454"/>
      <c r="D79" s="453">
        <v>0.0</v>
      </c>
      <c r="E79" s="452" t="s">
        <v>470</v>
      </c>
      <c r="F79" s="452" t="s">
        <v>528</v>
      </c>
      <c r="G79" s="452" t="s">
        <v>472</v>
      </c>
      <c r="H79" s="455"/>
      <c r="I79" s="457">
        <v>37278.0</v>
      </c>
      <c r="J79" s="457">
        <v>45544.0</v>
      </c>
      <c r="K79" s="456">
        <v>45777.0</v>
      </c>
      <c r="L79" s="453">
        <v>0.0</v>
      </c>
      <c r="M79" s="457">
        <v>45778.0</v>
      </c>
      <c r="N79" s="458">
        <v>45808.0</v>
      </c>
    </row>
    <row r="80">
      <c r="A80" s="452" t="s">
        <v>16</v>
      </c>
      <c r="B80" s="453">
        <v>4320.0</v>
      </c>
      <c r="C80" s="454"/>
      <c r="D80" s="453">
        <v>0.0</v>
      </c>
      <c r="E80" s="452" t="s">
        <v>162</v>
      </c>
      <c r="F80" s="452" t="s">
        <v>163</v>
      </c>
      <c r="G80" s="452" t="s">
        <v>164</v>
      </c>
      <c r="H80" s="455"/>
      <c r="I80" s="462">
        <v>34732.0</v>
      </c>
      <c r="J80" s="457">
        <v>44986.0</v>
      </c>
      <c r="K80" s="461"/>
      <c r="L80" s="453">
        <v>31.0</v>
      </c>
      <c r="M80" s="457">
        <v>45778.0</v>
      </c>
      <c r="N80" s="458">
        <v>45808.0</v>
      </c>
    </row>
    <row r="81">
      <c r="A81" s="452" t="s">
        <v>16</v>
      </c>
      <c r="B81" s="453">
        <v>4320.0</v>
      </c>
      <c r="C81" s="454"/>
      <c r="D81" s="453">
        <v>0.0</v>
      </c>
      <c r="E81" s="452" t="s">
        <v>549</v>
      </c>
      <c r="F81" s="452" t="s">
        <v>550</v>
      </c>
      <c r="G81" s="452" t="s">
        <v>551</v>
      </c>
      <c r="H81" s="455"/>
      <c r="I81" s="457">
        <v>37636.0</v>
      </c>
      <c r="J81" s="457">
        <v>45663.0</v>
      </c>
      <c r="K81" s="454"/>
      <c r="L81" s="453">
        <v>31.0</v>
      </c>
      <c r="M81" s="457">
        <v>45778.0</v>
      </c>
      <c r="N81" s="458">
        <v>45808.0</v>
      </c>
    </row>
    <row r="82">
      <c r="A82" s="452" t="s">
        <v>16</v>
      </c>
      <c r="B82" s="453">
        <v>4320.0</v>
      </c>
      <c r="C82" s="454"/>
      <c r="D82" s="453">
        <v>0.0</v>
      </c>
      <c r="E82" s="452" t="s">
        <v>711</v>
      </c>
      <c r="F82" s="452" t="s">
        <v>760</v>
      </c>
      <c r="G82" s="452" t="s">
        <v>713</v>
      </c>
      <c r="H82" s="455"/>
      <c r="I82" s="456">
        <v>34694.0</v>
      </c>
      <c r="J82" s="456">
        <v>45712.0</v>
      </c>
      <c r="K82" s="461"/>
      <c r="L82" s="453">
        <v>31.0</v>
      </c>
      <c r="M82" s="457">
        <v>45778.0</v>
      </c>
      <c r="N82" s="458">
        <v>45808.0</v>
      </c>
    </row>
    <row r="83">
      <c r="A83" s="452" t="s">
        <v>16</v>
      </c>
      <c r="B83" s="453">
        <v>4320.0</v>
      </c>
      <c r="C83" s="454"/>
      <c r="D83" s="453">
        <v>0.0</v>
      </c>
      <c r="E83" s="452" t="s">
        <v>355</v>
      </c>
      <c r="F83" s="452" t="s">
        <v>356</v>
      </c>
      <c r="G83" s="452" t="s">
        <v>357</v>
      </c>
      <c r="H83" s="455"/>
      <c r="I83" s="456">
        <v>35395.0</v>
      </c>
      <c r="J83" s="456">
        <v>45376.0</v>
      </c>
      <c r="K83" s="461"/>
      <c r="L83" s="453">
        <v>31.0</v>
      </c>
      <c r="M83" s="457">
        <v>45778.0</v>
      </c>
      <c r="N83" s="458">
        <v>45808.0</v>
      </c>
    </row>
    <row r="84">
      <c r="A84" s="452" t="s">
        <v>16</v>
      </c>
      <c r="B84" s="453">
        <v>4320.0</v>
      </c>
      <c r="C84" s="454"/>
      <c r="D84" s="453">
        <v>0.0</v>
      </c>
      <c r="E84" s="452" t="s">
        <v>714</v>
      </c>
      <c r="F84" s="452" t="s">
        <v>761</v>
      </c>
      <c r="G84" s="452" t="s">
        <v>716</v>
      </c>
      <c r="H84" s="455"/>
      <c r="I84" s="456">
        <v>36514.0</v>
      </c>
      <c r="J84" s="456">
        <v>45698.0</v>
      </c>
      <c r="K84" s="454"/>
      <c r="L84" s="453">
        <v>31.0</v>
      </c>
      <c r="M84" s="457">
        <v>45778.0</v>
      </c>
      <c r="N84" s="458">
        <v>45808.0</v>
      </c>
    </row>
    <row r="85">
      <c r="A85" s="452" t="s">
        <v>16</v>
      </c>
      <c r="B85" s="453">
        <v>4320.0</v>
      </c>
      <c r="C85" s="454"/>
      <c r="D85" s="453">
        <v>0.0</v>
      </c>
      <c r="E85" s="452" t="s">
        <v>600</v>
      </c>
      <c r="F85" s="452" t="s">
        <v>601</v>
      </c>
      <c r="G85" s="452" t="s">
        <v>602</v>
      </c>
      <c r="H85" s="455"/>
      <c r="I85" s="457">
        <v>29741.0</v>
      </c>
      <c r="J85" s="457">
        <v>45658.0</v>
      </c>
      <c r="K85" s="461"/>
      <c r="L85" s="453">
        <v>31.0</v>
      </c>
      <c r="M85" s="457">
        <v>45778.0</v>
      </c>
      <c r="N85" s="458">
        <v>45808.0</v>
      </c>
    </row>
    <row r="86">
      <c r="A86" s="452" t="s">
        <v>16</v>
      </c>
      <c r="B86" s="453">
        <v>4320.0</v>
      </c>
      <c r="C86" s="454"/>
      <c r="D86" s="453">
        <v>0.0</v>
      </c>
      <c r="E86" s="452" t="s">
        <v>431</v>
      </c>
      <c r="F86" s="452" t="s">
        <v>377</v>
      </c>
      <c r="G86" s="452" t="s">
        <v>378</v>
      </c>
      <c r="H86" s="455"/>
      <c r="I86" s="457">
        <v>36289.0</v>
      </c>
      <c r="J86" s="457">
        <v>45476.0</v>
      </c>
      <c r="K86" s="458">
        <v>45808.0</v>
      </c>
      <c r="L86" s="453">
        <v>31.0</v>
      </c>
      <c r="M86" s="457">
        <v>45778.0</v>
      </c>
      <c r="N86" s="458">
        <v>45808.0</v>
      </c>
    </row>
    <row r="87">
      <c r="A87" s="452" t="s">
        <v>16</v>
      </c>
      <c r="B87" s="453">
        <v>4320.0</v>
      </c>
      <c r="C87" s="454"/>
      <c r="D87" s="453">
        <v>0.0</v>
      </c>
      <c r="E87" s="452" t="s">
        <v>183</v>
      </c>
      <c r="F87" s="452" t="s">
        <v>184</v>
      </c>
      <c r="G87" s="452" t="s">
        <v>185</v>
      </c>
      <c r="H87" s="455"/>
      <c r="I87" s="456">
        <v>36979.0</v>
      </c>
      <c r="J87" s="456">
        <v>44907.0</v>
      </c>
      <c r="K87" s="461"/>
      <c r="L87" s="453">
        <v>31.0</v>
      </c>
      <c r="M87" s="457">
        <v>45778.0</v>
      </c>
      <c r="N87" s="458">
        <v>45808.0</v>
      </c>
    </row>
    <row r="88">
      <c r="A88" s="452" t="s">
        <v>16</v>
      </c>
      <c r="B88" s="453">
        <v>4320.0</v>
      </c>
      <c r="C88" s="454"/>
      <c r="D88" s="453">
        <v>0.0</v>
      </c>
      <c r="E88" s="452" t="s">
        <v>499</v>
      </c>
      <c r="F88" s="452" t="s">
        <v>540</v>
      </c>
      <c r="G88" s="452" t="s">
        <v>500</v>
      </c>
      <c r="H88" s="455"/>
      <c r="I88" s="456">
        <v>36144.0</v>
      </c>
      <c r="J88" s="457">
        <v>45628.0</v>
      </c>
      <c r="K88" s="456">
        <v>45777.0</v>
      </c>
      <c r="L88" s="453">
        <v>0.0</v>
      </c>
      <c r="M88" s="457">
        <v>45778.0</v>
      </c>
      <c r="N88" s="458">
        <v>45808.0</v>
      </c>
    </row>
    <row r="89">
      <c r="A89" s="452" t="s">
        <v>16</v>
      </c>
      <c r="B89" s="453">
        <v>4320.0</v>
      </c>
      <c r="C89" s="454"/>
      <c r="D89" s="453">
        <v>0.0</v>
      </c>
      <c r="E89" s="452" t="s">
        <v>301</v>
      </c>
      <c r="F89" s="452" t="s">
        <v>302</v>
      </c>
      <c r="G89" s="452" t="s">
        <v>303</v>
      </c>
      <c r="H89" s="455"/>
      <c r="I89" s="457">
        <v>36991.0</v>
      </c>
      <c r="J89" s="457">
        <v>45205.0</v>
      </c>
      <c r="K89" s="454"/>
      <c r="L89" s="453">
        <v>31.0</v>
      </c>
      <c r="M89" s="457">
        <v>45778.0</v>
      </c>
      <c r="N89" s="458">
        <v>45808.0</v>
      </c>
    </row>
    <row r="90">
      <c r="A90" s="452" t="s">
        <v>16</v>
      </c>
      <c r="B90" s="453">
        <v>4320.0</v>
      </c>
      <c r="C90" s="454"/>
      <c r="D90" s="453">
        <v>0.0</v>
      </c>
      <c r="E90" s="452" t="s">
        <v>432</v>
      </c>
      <c r="F90" s="452" t="s">
        <v>521</v>
      </c>
      <c r="G90" s="452" t="s">
        <v>433</v>
      </c>
      <c r="H90" s="455"/>
      <c r="I90" s="457">
        <v>34504.0</v>
      </c>
      <c r="J90" s="457">
        <v>45481.0</v>
      </c>
      <c r="K90" s="454"/>
      <c r="L90" s="453">
        <v>31.0</v>
      </c>
      <c r="M90" s="457">
        <v>45778.0</v>
      </c>
      <c r="N90" s="458">
        <v>45808.0</v>
      </c>
    </row>
    <row r="91">
      <c r="A91" s="452" t="s">
        <v>16</v>
      </c>
      <c r="B91" s="453">
        <v>4320.0</v>
      </c>
      <c r="C91" s="454"/>
      <c r="D91" s="453">
        <v>0.0</v>
      </c>
      <c r="E91" s="452" t="s">
        <v>434</v>
      </c>
      <c r="F91" s="452" t="s">
        <v>522</v>
      </c>
      <c r="G91" s="452" t="s">
        <v>435</v>
      </c>
      <c r="H91" s="455"/>
      <c r="I91" s="457">
        <v>37446.0</v>
      </c>
      <c r="J91" s="457">
        <v>45495.0</v>
      </c>
      <c r="K91" s="454"/>
      <c r="L91" s="453">
        <v>31.0</v>
      </c>
      <c r="M91" s="457">
        <v>45778.0</v>
      </c>
      <c r="N91" s="458">
        <v>45808.0</v>
      </c>
    </row>
    <row r="92">
      <c r="A92" s="452" t="s">
        <v>16</v>
      </c>
      <c r="B92" s="453">
        <v>4320.0</v>
      </c>
      <c r="C92" s="454"/>
      <c r="D92" s="453">
        <v>0.0</v>
      </c>
      <c r="E92" s="452" t="s">
        <v>460</v>
      </c>
      <c r="F92" s="452" t="s">
        <v>523</v>
      </c>
      <c r="G92" s="452" t="s">
        <v>461</v>
      </c>
      <c r="H92" s="455"/>
      <c r="I92" s="456">
        <v>36856.0</v>
      </c>
      <c r="J92" s="457">
        <v>45505.0</v>
      </c>
      <c r="K92" s="461"/>
      <c r="L92" s="453">
        <v>31.0</v>
      </c>
      <c r="M92" s="457">
        <v>45778.0</v>
      </c>
      <c r="N92" s="458">
        <v>45808.0</v>
      </c>
    </row>
    <row r="93">
      <c r="A93" s="452" t="s">
        <v>16</v>
      </c>
      <c r="B93" s="453">
        <v>4320.0</v>
      </c>
      <c r="C93" s="454"/>
      <c r="D93" s="453">
        <v>0.0</v>
      </c>
      <c r="E93" s="452" t="s">
        <v>462</v>
      </c>
      <c r="F93" s="452" t="s">
        <v>526</v>
      </c>
      <c r="G93" s="452" t="s">
        <v>463</v>
      </c>
      <c r="H93" s="455"/>
      <c r="I93" s="456">
        <v>34588.0</v>
      </c>
      <c r="J93" s="456">
        <v>45530.0</v>
      </c>
      <c r="K93" s="461"/>
      <c r="L93" s="453">
        <v>31.0</v>
      </c>
      <c r="M93" s="457">
        <v>45778.0</v>
      </c>
      <c r="N93" s="458">
        <v>45808.0</v>
      </c>
    </row>
    <row r="94">
      <c r="A94" s="452" t="s">
        <v>16</v>
      </c>
      <c r="B94" s="453">
        <v>4320.0</v>
      </c>
      <c r="C94" s="454"/>
      <c r="D94" s="453">
        <v>0.0</v>
      </c>
      <c r="E94" s="452" t="s">
        <v>423</v>
      </c>
      <c r="F94" s="452" t="s">
        <v>524</v>
      </c>
      <c r="G94" s="452" t="s">
        <v>424</v>
      </c>
      <c r="H94" s="455"/>
      <c r="I94" s="457">
        <v>37818.0</v>
      </c>
      <c r="J94" s="457">
        <v>45467.0</v>
      </c>
      <c r="K94" s="461"/>
      <c r="L94" s="453">
        <v>31.0</v>
      </c>
      <c r="M94" s="457">
        <v>45778.0</v>
      </c>
      <c r="N94" s="458">
        <v>45808.0</v>
      </c>
    </row>
    <row r="95">
      <c r="A95" s="452" t="s">
        <v>16</v>
      </c>
      <c r="B95" s="453">
        <v>4320.0</v>
      </c>
      <c r="C95" s="454"/>
      <c r="D95" s="453">
        <v>0.0</v>
      </c>
      <c r="E95" s="452" t="s">
        <v>717</v>
      </c>
      <c r="F95" s="452" t="s">
        <v>718</v>
      </c>
      <c r="G95" s="452" t="s">
        <v>719</v>
      </c>
      <c r="H95" s="455"/>
      <c r="I95" s="456">
        <v>36505.0</v>
      </c>
      <c r="J95" s="456">
        <v>45712.0</v>
      </c>
      <c r="K95" s="454"/>
      <c r="L95" s="453">
        <v>31.0</v>
      </c>
      <c r="M95" s="457">
        <v>45778.0</v>
      </c>
      <c r="N95" s="458">
        <v>45808.0</v>
      </c>
    </row>
    <row r="96">
      <c r="A96" s="452" t="s">
        <v>16</v>
      </c>
      <c r="B96" s="453">
        <v>4320.0</v>
      </c>
      <c r="C96" s="454"/>
      <c r="D96" s="453">
        <v>0.0</v>
      </c>
      <c r="E96" s="452" t="s">
        <v>588</v>
      </c>
      <c r="F96" s="463" t="s">
        <v>589</v>
      </c>
      <c r="G96" s="452" t="s">
        <v>590</v>
      </c>
      <c r="H96" s="455"/>
      <c r="I96" s="457">
        <v>34190.0</v>
      </c>
      <c r="J96" s="457">
        <v>45684.0</v>
      </c>
      <c r="K96" s="454"/>
      <c r="L96" s="453">
        <v>31.0</v>
      </c>
      <c r="M96" s="457">
        <v>45778.0</v>
      </c>
      <c r="N96" s="458">
        <v>45808.0</v>
      </c>
    </row>
    <row r="97">
      <c r="A97" s="452" t="s">
        <v>16</v>
      </c>
      <c r="B97" s="453">
        <v>4320.0</v>
      </c>
      <c r="C97" s="454"/>
      <c r="D97" s="453">
        <v>0.0</v>
      </c>
      <c r="E97" s="452" t="s">
        <v>427</v>
      </c>
      <c r="F97" s="452" t="s">
        <v>525</v>
      </c>
      <c r="G97" s="452" t="s">
        <v>428</v>
      </c>
      <c r="H97" s="455"/>
      <c r="I97" s="456">
        <v>36451.0</v>
      </c>
      <c r="J97" s="457">
        <v>45453.0</v>
      </c>
      <c r="K97" s="454"/>
      <c r="L97" s="453">
        <v>31.0</v>
      </c>
      <c r="M97" s="457">
        <v>45778.0</v>
      </c>
      <c r="N97" s="458">
        <v>45808.0</v>
      </c>
    </row>
    <row r="98">
      <c r="A98" s="452" t="s">
        <v>16</v>
      </c>
      <c r="B98" s="453">
        <v>4320.0</v>
      </c>
      <c r="C98" s="454"/>
      <c r="D98" s="453">
        <v>0.0</v>
      </c>
      <c r="E98" s="452" t="s">
        <v>493</v>
      </c>
      <c r="F98" s="452" t="s">
        <v>532</v>
      </c>
      <c r="G98" s="452" t="s">
        <v>494</v>
      </c>
      <c r="H98" s="455"/>
      <c r="I98" s="456">
        <v>36208.0</v>
      </c>
      <c r="J98" s="457">
        <v>45602.0</v>
      </c>
      <c r="K98" s="454"/>
      <c r="L98" s="453">
        <v>31.0</v>
      </c>
      <c r="M98" s="457">
        <v>45778.0</v>
      </c>
      <c r="N98" s="458">
        <v>45808.0</v>
      </c>
    </row>
    <row r="99">
      <c r="A99" s="452" t="s">
        <v>16</v>
      </c>
      <c r="B99" s="453">
        <v>4320.0</v>
      </c>
      <c r="C99" s="454"/>
      <c r="D99" s="453">
        <v>0.0</v>
      </c>
      <c r="E99" s="452" t="s">
        <v>747</v>
      </c>
      <c r="F99" s="452" t="s">
        <v>748</v>
      </c>
      <c r="G99" s="452" t="s">
        <v>749</v>
      </c>
      <c r="H99" s="455"/>
      <c r="I99" s="456">
        <v>37314.0</v>
      </c>
      <c r="J99" s="456">
        <v>45733.0</v>
      </c>
      <c r="K99" s="454"/>
      <c r="L99" s="453">
        <v>31.0</v>
      </c>
      <c r="M99" s="457">
        <v>45778.0</v>
      </c>
      <c r="N99" s="458">
        <v>45808.0</v>
      </c>
    </row>
    <row r="100">
      <c r="A100" s="452" t="s">
        <v>16</v>
      </c>
      <c r="B100" s="453">
        <v>4320.0</v>
      </c>
      <c r="C100" s="454"/>
      <c r="D100" s="453">
        <v>0.0</v>
      </c>
      <c r="E100" s="452" t="s">
        <v>585</v>
      </c>
      <c r="F100" s="463" t="s">
        <v>586</v>
      </c>
      <c r="G100" s="452" t="s">
        <v>587</v>
      </c>
      <c r="H100" s="455"/>
      <c r="I100" s="457">
        <v>35827.0</v>
      </c>
      <c r="J100" s="457">
        <v>45684.0</v>
      </c>
      <c r="K100" s="454"/>
      <c r="L100" s="453">
        <v>31.0</v>
      </c>
      <c r="M100" s="457">
        <v>45778.0</v>
      </c>
      <c r="N100" s="458">
        <v>45808.0</v>
      </c>
    </row>
    <row r="101">
      <c r="A101" s="452" t="s">
        <v>16</v>
      </c>
      <c r="B101" s="453">
        <v>4320.0</v>
      </c>
      <c r="C101" s="454"/>
      <c r="D101" s="453">
        <v>0.0</v>
      </c>
      <c r="E101" s="452" t="s">
        <v>225</v>
      </c>
      <c r="F101" s="452" t="s">
        <v>226</v>
      </c>
      <c r="G101" s="452" t="s">
        <v>227</v>
      </c>
      <c r="H101" s="455"/>
      <c r="I101" s="457">
        <v>36177.0</v>
      </c>
      <c r="J101" s="457">
        <v>45320.0</v>
      </c>
      <c r="K101" s="454"/>
      <c r="L101" s="453">
        <v>31.0</v>
      </c>
      <c r="M101" s="457">
        <v>45778.0</v>
      </c>
      <c r="N101" s="458">
        <v>45808.0</v>
      </c>
    </row>
    <row r="102">
      <c r="A102" s="452" t="s">
        <v>16</v>
      </c>
      <c r="B102" s="453">
        <v>4320.0</v>
      </c>
      <c r="C102" s="454"/>
      <c r="D102" s="453">
        <v>0.0</v>
      </c>
      <c r="E102" s="452" t="s">
        <v>730</v>
      </c>
      <c r="F102" s="452" t="s">
        <v>731</v>
      </c>
      <c r="G102" s="452" t="s">
        <v>732</v>
      </c>
      <c r="H102" s="455"/>
      <c r="I102" s="456">
        <v>38263.0</v>
      </c>
      <c r="J102" s="456">
        <v>45355.0</v>
      </c>
      <c r="K102" s="454"/>
      <c r="L102" s="453">
        <v>31.0</v>
      </c>
      <c r="M102" s="457">
        <v>45778.0</v>
      </c>
      <c r="N102" s="458">
        <v>45808.0</v>
      </c>
    </row>
    <row r="103">
      <c r="A103" s="452" t="s">
        <v>16</v>
      </c>
      <c r="B103" s="453">
        <v>4320.0</v>
      </c>
      <c r="C103" s="454"/>
      <c r="D103" s="453">
        <v>0.0</v>
      </c>
      <c r="E103" s="452" t="s">
        <v>791</v>
      </c>
      <c r="F103" s="452" t="s">
        <v>821</v>
      </c>
      <c r="G103" s="452" t="s">
        <v>793</v>
      </c>
      <c r="H103" s="455"/>
      <c r="I103" s="456">
        <v>36197.0</v>
      </c>
      <c r="J103" s="458">
        <v>45782.0</v>
      </c>
      <c r="K103" s="454"/>
      <c r="L103" s="453">
        <v>27.0</v>
      </c>
      <c r="M103" s="457">
        <v>45778.0</v>
      </c>
      <c r="N103" s="458">
        <v>45808.0</v>
      </c>
    </row>
    <row r="104">
      <c r="A104" s="452" t="s">
        <v>16</v>
      </c>
      <c r="B104" s="453">
        <v>4320.0</v>
      </c>
      <c r="C104" s="454"/>
      <c r="D104" s="453">
        <v>0.0</v>
      </c>
      <c r="E104" s="452" t="s">
        <v>582</v>
      </c>
      <c r="F104" s="452" t="s">
        <v>583</v>
      </c>
      <c r="G104" s="452" t="s">
        <v>584</v>
      </c>
      <c r="H104" s="455"/>
      <c r="I104" s="456">
        <v>37880.0</v>
      </c>
      <c r="J104" s="457">
        <v>45677.0</v>
      </c>
      <c r="K104" s="458">
        <v>45800.0</v>
      </c>
      <c r="L104" s="453">
        <v>23.0</v>
      </c>
      <c r="M104" s="457">
        <v>45778.0</v>
      </c>
      <c r="N104" s="458">
        <v>45808.0</v>
      </c>
    </row>
    <row r="105">
      <c r="A105" s="452" t="s">
        <v>16</v>
      </c>
      <c r="B105" s="453">
        <v>4320.0</v>
      </c>
      <c r="C105" s="454"/>
      <c r="D105" s="453">
        <v>0.0</v>
      </c>
      <c r="E105" s="452" t="s">
        <v>785</v>
      </c>
      <c r="F105" s="452" t="s">
        <v>822</v>
      </c>
      <c r="G105" s="452" t="s">
        <v>787</v>
      </c>
      <c r="H105" s="455"/>
      <c r="I105" s="456">
        <v>38089.0</v>
      </c>
      <c r="J105" s="458">
        <v>45789.0</v>
      </c>
      <c r="K105" s="454"/>
      <c r="L105" s="453">
        <v>20.0</v>
      </c>
      <c r="M105" s="457">
        <v>45778.0</v>
      </c>
      <c r="N105" s="458">
        <v>45808.0</v>
      </c>
    </row>
    <row r="106">
      <c r="A106" s="452" t="s">
        <v>16</v>
      </c>
      <c r="B106" s="453">
        <v>4320.0</v>
      </c>
      <c r="C106" s="454"/>
      <c r="D106" s="453">
        <v>0.0</v>
      </c>
      <c r="E106" s="452" t="s">
        <v>788</v>
      </c>
      <c r="F106" s="452" t="s">
        <v>823</v>
      </c>
      <c r="G106" s="452" t="s">
        <v>790</v>
      </c>
      <c r="H106" s="455"/>
      <c r="I106" s="456">
        <v>36459.0</v>
      </c>
      <c r="J106" s="458">
        <v>45789.0</v>
      </c>
      <c r="K106" s="454"/>
      <c r="L106" s="453">
        <v>20.0</v>
      </c>
      <c r="M106" s="457">
        <v>45778.0</v>
      </c>
      <c r="N106" s="458">
        <v>45808.0</v>
      </c>
    </row>
    <row r="107">
      <c r="A107" s="452" t="s">
        <v>16</v>
      </c>
      <c r="B107" s="453">
        <v>4320.0</v>
      </c>
      <c r="C107" s="454"/>
      <c r="D107" s="453">
        <v>0.0</v>
      </c>
      <c r="E107" s="452" t="s">
        <v>797</v>
      </c>
      <c r="F107" s="452" t="s">
        <v>798</v>
      </c>
      <c r="G107" s="452" t="s">
        <v>799</v>
      </c>
      <c r="H107" s="455"/>
      <c r="I107" s="456">
        <v>37709.0</v>
      </c>
      <c r="J107" s="458">
        <v>45789.0</v>
      </c>
      <c r="K107" s="454"/>
      <c r="L107" s="453">
        <v>20.0</v>
      </c>
      <c r="M107" s="457">
        <v>45778.0</v>
      </c>
      <c r="N107" s="458">
        <v>45808.0</v>
      </c>
    </row>
    <row r="108">
      <c r="A108" s="452" t="s">
        <v>16</v>
      </c>
      <c r="B108" s="453">
        <v>4320.0</v>
      </c>
      <c r="C108" s="454"/>
      <c r="D108" s="453">
        <v>0.0</v>
      </c>
      <c r="E108" s="452" t="s">
        <v>800</v>
      </c>
      <c r="F108" s="452" t="s">
        <v>824</v>
      </c>
      <c r="G108" s="452" t="s">
        <v>802</v>
      </c>
      <c r="H108" s="455"/>
      <c r="I108" s="456">
        <v>36939.0</v>
      </c>
      <c r="J108" s="458">
        <v>45789.0</v>
      </c>
      <c r="K108" s="454"/>
      <c r="L108" s="453">
        <v>20.0</v>
      </c>
      <c r="M108" s="457">
        <v>45778.0</v>
      </c>
      <c r="N108" s="458">
        <v>45808.0</v>
      </c>
    </row>
    <row r="109">
      <c r="A109" s="452" t="s">
        <v>16</v>
      </c>
      <c r="B109" s="453">
        <v>4320.0</v>
      </c>
      <c r="C109" s="455"/>
      <c r="D109" s="453">
        <v>0.0</v>
      </c>
      <c r="E109" s="452" t="s">
        <v>764</v>
      </c>
      <c r="F109" s="452" t="s">
        <v>765</v>
      </c>
      <c r="G109" s="452" t="s">
        <v>766</v>
      </c>
      <c r="H109" s="455"/>
      <c r="I109" s="456">
        <v>36087.0</v>
      </c>
      <c r="J109" s="456">
        <v>45761.0</v>
      </c>
      <c r="K109" s="454"/>
      <c r="L109" s="453">
        <v>31.0</v>
      </c>
      <c r="M109" s="457">
        <v>45778.0</v>
      </c>
      <c r="N109" s="458">
        <v>45808.0</v>
      </c>
    </row>
    <row r="110">
      <c r="A110" s="452" t="s">
        <v>16</v>
      </c>
      <c r="B110" s="453">
        <v>4320.0</v>
      </c>
      <c r="C110" s="454"/>
      <c r="D110" s="453">
        <v>0.0</v>
      </c>
      <c r="E110" s="452" t="s">
        <v>803</v>
      </c>
      <c r="F110" s="452" t="s">
        <v>804</v>
      </c>
      <c r="G110" s="452" t="s">
        <v>805</v>
      </c>
      <c r="H110" s="455"/>
      <c r="I110" s="456">
        <v>37817.0</v>
      </c>
      <c r="J110" s="458">
        <v>45796.0</v>
      </c>
      <c r="K110" s="454"/>
      <c r="L110" s="453">
        <v>13.0</v>
      </c>
      <c r="M110" s="457">
        <v>45778.0</v>
      </c>
      <c r="N110" s="458">
        <v>45808.0</v>
      </c>
    </row>
    <row r="111">
      <c r="A111" s="452" t="s">
        <v>16</v>
      </c>
      <c r="B111" s="453">
        <v>4320.0</v>
      </c>
      <c r="C111" s="454"/>
      <c r="D111" s="453">
        <v>0.0</v>
      </c>
      <c r="E111" s="452" t="s">
        <v>806</v>
      </c>
      <c r="F111" s="452" t="s">
        <v>825</v>
      </c>
      <c r="G111" s="452" t="s">
        <v>808</v>
      </c>
      <c r="H111" s="455"/>
      <c r="I111" s="456">
        <v>36061.0</v>
      </c>
      <c r="J111" s="458">
        <v>45796.0</v>
      </c>
      <c r="K111" s="454"/>
      <c r="L111" s="453">
        <v>13.0</v>
      </c>
      <c r="M111" s="457">
        <v>45778.0</v>
      </c>
      <c r="N111" s="458">
        <v>45808.0</v>
      </c>
    </row>
    <row r="112">
      <c r="A112" s="452" t="s">
        <v>16</v>
      </c>
      <c r="B112" s="453">
        <v>4320.0</v>
      </c>
      <c r="C112" s="459"/>
      <c r="D112" s="453">
        <v>0.0</v>
      </c>
      <c r="E112" s="452" t="s">
        <v>485</v>
      </c>
      <c r="F112" s="452" t="s">
        <v>535</v>
      </c>
      <c r="G112" s="452" t="s">
        <v>486</v>
      </c>
      <c r="H112" s="455"/>
      <c r="I112" s="457">
        <v>36994.0</v>
      </c>
      <c r="J112" s="457">
        <v>45602.0</v>
      </c>
      <c r="K112" s="456">
        <v>45786.0</v>
      </c>
      <c r="L112" s="453">
        <v>9.0</v>
      </c>
      <c r="M112" s="457">
        <v>45778.0</v>
      </c>
      <c r="N112" s="458">
        <v>45808.0</v>
      </c>
    </row>
    <row r="113">
      <c r="A113" s="452" t="s">
        <v>16</v>
      </c>
      <c r="B113" s="453">
        <v>4320.0</v>
      </c>
      <c r="C113" s="459"/>
      <c r="D113" s="453">
        <v>0.0</v>
      </c>
      <c r="E113" s="452" t="s">
        <v>741</v>
      </c>
      <c r="F113" s="452" t="s">
        <v>742</v>
      </c>
      <c r="G113" s="452" t="s">
        <v>743</v>
      </c>
      <c r="H113" s="455"/>
      <c r="I113" s="456">
        <v>37329.0</v>
      </c>
      <c r="J113" s="457">
        <v>45719.0</v>
      </c>
      <c r="K113" s="458">
        <v>45786.0</v>
      </c>
      <c r="L113" s="453">
        <v>9.0</v>
      </c>
      <c r="M113" s="457">
        <v>45778.0</v>
      </c>
      <c r="N113" s="458">
        <v>45808.0</v>
      </c>
    </row>
    <row r="114">
      <c r="A114" s="452" t="s">
        <v>16</v>
      </c>
      <c r="B114" s="453">
        <v>4320.0</v>
      </c>
      <c r="C114" s="459"/>
      <c r="D114" s="453">
        <v>0.0</v>
      </c>
      <c r="E114" s="452" t="s">
        <v>567</v>
      </c>
      <c r="F114" s="452" t="s">
        <v>568</v>
      </c>
      <c r="G114" s="452" t="s">
        <v>569</v>
      </c>
      <c r="H114" s="455"/>
      <c r="I114" s="457">
        <v>37962.0</v>
      </c>
      <c r="J114" s="457">
        <v>45677.0</v>
      </c>
      <c r="K114" s="456">
        <v>45779.0</v>
      </c>
      <c r="L114" s="453">
        <v>2.0</v>
      </c>
      <c r="M114" s="457">
        <v>45778.0</v>
      </c>
      <c r="N114" s="458">
        <v>45808.0</v>
      </c>
    </row>
    <row r="115">
      <c r="A115" s="452" t="s">
        <v>16</v>
      </c>
      <c r="B115" s="453">
        <v>4320.0</v>
      </c>
      <c r="C115" s="459"/>
      <c r="D115" s="453">
        <v>0.0</v>
      </c>
      <c r="E115" s="452" t="s">
        <v>261</v>
      </c>
      <c r="F115" s="452" t="s">
        <v>262</v>
      </c>
      <c r="G115" s="452" t="s">
        <v>263</v>
      </c>
      <c r="H115" s="455"/>
      <c r="I115" s="464">
        <v>36529.0</v>
      </c>
      <c r="J115" s="457">
        <v>45505.0</v>
      </c>
      <c r="K115" s="457">
        <v>45604.0</v>
      </c>
      <c r="L115" s="453">
        <v>0.0</v>
      </c>
      <c r="M115" s="457">
        <v>45778.0</v>
      </c>
      <c r="N115" s="458">
        <v>45808.0</v>
      </c>
    </row>
    <row r="116">
      <c r="A116" s="452" t="s">
        <v>16</v>
      </c>
      <c r="B116" s="453">
        <v>4320.0</v>
      </c>
      <c r="C116" s="459"/>
      <c r="D116" s="453">
        <v>0.0</v>
      </c>
      <c r="E116" s="452" t="s">
        <v>310</v>
      </c>
      <c r="F116" s="452" t="s">
        <v>311</v>
      </c>
      <c r="G116" s="452" t="s">
        <v>312</v>
      </c>
      <c r="H116" s="455"/>
      <c r="I116" s="456">
        <v>36529.0</v>
      </c>
      <c r="J116" s="456">
        <v>45362.0</v>
      </c>
      <c r="K116" s="458">
        <v>45443.0</v>
      </c>
      <c r="L116" s="453">
        <v>0.0</v>
      </c>
      <c r="M116" s="457">
        <v>45778.0</v>
      </c>
      <c r="N116" s="458">
        <v>45808.0</v>
      </c>
    </row>
    <row r="117">
      <c r="A117" s="452" t="s">
        <v>16</v>
      </c>
      <c r="B117" s="453">
        <v>4320.0</v>
      </c>
      <c r="C117" s="459"/>
      <c r="D117" s="453">
        <v>0.0</v>
      </c>
      <c r="E117" s="452" t="s">
        <v>437</v>
      </c>
      <c r="F117" s="452" t="s">
        <v>22</v>
      </c>
      <c r="G117" s="452" t="s">
        <v>23</v>
      </c>
      <c r="H117" s="455"/>
      <c r="I117" s="457">
        <v>36358.0</v>
      </c>
      <c r="J117" s="462">
        <v>45027.0</v>
      </c>
      <c r="K117" s="456">
        <v>45603.0</v>
      </c>
      <c r="L117" s="453">
        <v>0.0</v>
      </c>
      <c r="M117" s="457">
        <v>45778.0</v>
      </c>
      <c r="N117" s="458">
        <v>45808.0</v>
      </c>
    </row>
    <row r="118">
      <c r="A118" s="452" t="s">
        <v>16</v>
      </c>
      <c r="B118" s="453">
        <v>4320.0</v>
      </c>
      <c r="C118" s="459"/>
      <c r="D118" s="453">
        <v>0.0</v>
      </c>
      <c r="E118" s="452" t="s">
        <v>561</v>
      </c>
      <c r="F118" s="452" t="s">
        <v>562</v>
      </c>
      <c r="G118" s="452" t="s">
        <v>563</v>
      </c>
      <c r="H118" s="455"/>
      <c r="I118" s="456">
        <v>36879.0</v>
      </c>
      <c r="J118" s="457">
        <v>45670.0</v>
      </c>
      <c r="K118" s="457">
        <v>45762.0</v>
      </c>
      <c r="L118" s="453">
        <v>0.0</v>
      </c>
      <c r="M118" s="457">
        <v>45778.0</v>
      </c>
      <c r="N118" s="458">
        <v>45808.0</v>
      </c>
    </row>
    <row r="119">
      <c r="A119" s="452" t="s">
        <v>16</v>
      </c>
      <c r="B119" s="453">
        <v>4320.0</v>
      </c>
      <c r="C119" s="459"/>
      <c r="D119" s="453">
        <v>0.0</v>
      </c>
      <c r="E119" s="452" t="s">
        <v>605</v>
      </c>
      <c r="F119" s="452" t="s">
        <v>25</v>
      </c>
      <c r="G119" s="452" t="s">
        <v>26</v>
      </c>
      <c r="H119" s="455"/>
      <c r="I119" s="456">
        <v>36860.0</v>
      </c>
      <c r="J119" s="457">
        <v>45124.0</v>
      </c>
      <c r="K119" s="456">
        <v>45527.0</v>
      </c>
      <c r="L119" s="453">
        <v>0.0</v>
      </c>
      <c r="M119" s="457">
        <v>45778.0</v>
      </c>
      <c r="N119" s="458">
        <v>45808.0</v>
      </c>
    </row>
    <row r="120">
      <c r="A120" s="452" t="s">
        <v>16</v>
      </c>
      <c r="B120" s="453">
        <v>4320.0</v>
      </c>
      <c r="C120" s="459"/>
      <c r="D120" s="453">
        <v>0.0</v>
      </c>
      <c r="E120" s="452" t="s">
        <v>313</v>
      </c>
      <c r="F120" s="452" t="s">
        <v>314</v>
      </c>
      <c r="G120" s="452" t="s">
        <v>315</v>
      </c>
      <c r="H120" s="455"/>
      <c r="I120" s="457">
        <v>35619.0</v>
      </c>
      <c r="J120" s="456">
        <v>45369.0</v>
      </c>
      <c r="K120" s="456">
        <v>45399.0</v>
      </c>
      <c r="L120" s="453">
        <v>0.0</v>
      </c>
      <c r="M120" s="457">
        <v>45778.0</v>
      </c>
      <c r="N120" s="458">
        <v>45808.0</v>
      </c>
    </row>
    <row r="121">
      <c r="A121" s="452" t="s">
        <v>16</v>
      </c>
      <c r="B121" s="453">
        <v>4320.0</v>
      </c>
      <c r="C121" s="459"/>
      <c r="D121" s="453">
        <v>0.0</v>
      </c>
      <c r="E121" s="452" t="s">
        <v>609</v>
      </c>
      <c r="F121" s="452" t="s">
        <v>31</v>
      </c>
      <c r="G121" s="452" t="s">
        <v>32</v>
      </c>
      <c r="H121" s="455"/>
      <c r="I121" s="457">
        <v>35997.0</v>
      </c>
      <c r="J121" s="458">
        <v>45061.0</v>
      </c>
      <c r="K121" s="457">
        <v>45569.0</v>
      </c>
      <c r="L121" s="453">
        <v>0.0</v>
      </c>
      <c r="M121" s="457">
        <v>45778.0</v>
      </c>
      <c r="N121" s="458">
        <v>45808.0</v>
      </c>
    </row>
    <row r="122">
      <c r="A122" s="452" t="s">
        <v>16</v>
      </c>
      <c r="B122" s="453">
        <v>4320.0</v>
      </c>
      <c r="C122" s="459"/>
      <c r="D122" s="453">
        <v>0.0</v>
      </c>
      <c r="E122" s="452" t="s">
        <v>380</v>
      </c>
      <c r="F122" s="452" t="s">
        <v>381</v>
      </c>
      <c r="G122" s="452" t="s">
        <v>382</v>
      </c>
      <c r="H122" s="455"/>
      <c r="I122" s="456">
        <v>35669.0</v>
      </c>
      <c r="J122" s="457">
        <v>45418.0</v>
      </c>
      <c r="K122" s="456">
        <v>45481.0</v>
      </c>
      <c r="L122" s="453">
        <v>0.0</v>
      </c>
      <c r="M122" s="457">
        <v>45778.0</v>
      </c>
      <c r="N122" s="458">
        <v>45808.0</v>
      </c>
    </row>
    <row r="123">
      <c r="A123" s="452" t="s">
        <v>16</v>
      </c>
      <c r="B123" s="453">
        <v>4320.0</v>
      </c>
      <c r="C123" s="459"/>
      <c r="D123" s="453">
        <v>0.0</v>
      </c>
      <c r="E123" s="452" t="s">
        <v>610</v>
      </c>
      <c r="F123" s="452" t="s">
        <v>611</v>
      </c>
      <c r="G123" s="452" t="s">
        <v>612</v>
      </c>
      <c r="H123" s="455"/>
      <c r="I123" s="462">
        <v>35400.0</v>
      </c>
      <c r="J123" s="458">
        <v>45061.0</v>
      </c>
      <c r="K123" s="457">
        <v>45503.0</v>
      </c>
      <c r="L123" s="453">
        <v>0.0</v>
      </c>
      <c r="M123" s="457">
        <v>45778.0</v>
      </c>
      <c r="N123" s="458">
        <v>45808.0</v>
      </c>
    </row>
    <row r="124">
      <c r="A124" s="452" t="s">
        <v>16</v>
      </c>
      <c r="B124" s="453">
        <v>4320.0</v>
      </c>
      <c r="C124" s="459"/>
      <c r="D124" s="453">
        <v>0.0</v>
      </c>
      <c r="E124" s="452" t="s">
        <v>613</v>
      </c>
      <c r="F124" s="452" t="s">
        <v>34</v>
      </c>
      <c r="G124" s="452" t="s">
        <v>35</v>
      </c>
      <c r="H124" s="455"/>
      <c r="I124" s="456">
        <v>35053.0</v>
      </c>
      <c r="J124" s="457">
        <v>45173.0</v>
      </c>
      <c r="K124" s="457">
        <v>45322.0</v>
      </c>
      <c r="L124" s="453">
        <v>0.0</v>
      </c>
      <c r="M124" s="457">
        <v>45778.0</v>
      </c>
      <c r="N124" s="458">
        <v>45808.0</v>
      </c>
    </row>
    <row r="125">
      <c r="A125" s="452" t="s">
        <v>16</v>
      </c>
      <c r="B125" s="453">
        <v>4320.0</v>
      </c>
      <c r="C125" s="459"/>
      <c r="D125" s="453">
        <v>0.0</v>
      </c>
      <c r="E125" s="452" t="s">
        <v>552</v>
      </c>
      <c r="F125" s="452" t="s">
        <v>553</v>
      </c>
      <c r="G125" s="452" t="s">
        <v>554</v>
      </c>
      <c r="H125" s="455"/>
      <c r="I125" s="457">
        <v>36904.0</v>
      </c>
      <c r="J125" s="457">
        <v>45663.0</v>
      </c>
      <c r="K125" s="456">
        <v>45412.0</v>
      </c>
      <c r="L125" s="453">
        <v>0.0</v>
      </c>
      <c r="M125" s="457">
        <v>45778.0</v>
      </c>
      <c r="N125" s="458">
        <v>45808.0</v>
      </c>
    </row>
    <row r="126">
      <c r="A126" s="452" t="s">
        <v>16</v>
      </c>
      <c r="B126" s="453">
        <v>4320.0</v>
      </c>
      <c r="C126" s="459"/>
      <c r="D126" s="453">
        <v>0.0</v>
      </c>
      <c r="E126" s="452" t="s">
        <v>614</v>
      </c>
      <c r="F126" s="452" t="s">
        <v>232</v>
      </c>
      <c r="G126" s="452" t="s">
        <v>233</v>
      </c>
      <c r="H126" s="455"/>
      <c r="I126" s="457">
        <v>36634.0</v>
      </c>
      <c r="J126" s="456">
        <v>45250.0</v>
      </c>
      <c r="K126" s="458">
        <v>45428.0</v>
      </c>
      <c r="L126" s="453">
        <v>0.0</v>
      </c>
      <c r="M126" s="457">
        <v>45778.0</v>
      </c>
      <c r="N126" s="458">
        <v>45808.0</v>
      </c>
    </row>
    <row r="127">
      <c r="A127" s="452" t="s">
        <v>16</v>
      </c>
      <c r="B127" s="453">
        <v>4320.0</v>
      </c>
      <c r="C127" s="459"/>
      <c r="D127" s="453">
        <v>0.0</v>
      </c>
      <c r="E127" s="452" t="s">
        <v>36</v>
      </c>
      <c r="F127" s="452" t="s">
        <v>37</v>
      </c>
      <c r="G127" s="452" t="s">
        <v>38</v>
      </c>
      <c r="H127" s="455"/>
      <c r="I127" s="457">
        <v>33408.0</v>
      </c>
      <c r="J127" s="457">
        <v>45078.0</v>
      </c>
      <c r="K127" s="456">
        <v>45366.0</v>
      </c>
      <c r="L127" s="453">
        <v>0.0</v>
      </c>
      <c r="M127" s="457">
        <v>45778.0</v>
      </c>
      <c r="N127" s="458">
        <v>45808.0</v>
      </c>
    </row>
    <row r="128">
      <c r="A128" s="452" t="s">
        <v>16</v>
      </c>
      <c r="B128" s="453">
        <v>4320.0</v>
      </c>
      <c r="C128" s="459"/>
      <c r="D128" s="453">
        <v>0.0</v>
      </c>
      <c r="E128" s="452" t="s">
        <v>39</v>
      </c>
      <c r="F128" s="452" t="s">
        <v>40</v>
      </c>
      <c r="G128" s="452" t="s">
        <v>41</v>
      </c>
      <c r="H128" s="455"/>
      <c r="I128" s="457">
        <v>35983.0</v>
      </c>
      <c r="J128" s="457">
        <v>45082.0</v>
      </c>
      <c r="K128" s="456">
        <v>45362.0</v>
      </c>
      <c r="L128" s="453">
        <v>0.0</v>
      </c>
      <c r="M128" s="457">
        <v>45778.0</v>
      </c>
      <c r="N128" s="458">
        <v>45808.0</v>
      </c>
    </row>
    <row r="129">
      <c r="A129" s="452" t="s">
        <v>16</v>
      </c>
      <c r="B129" s="453">
        <v>4320.0</v>
      </c>
      <c r="C129" s="459"/>
      <c r="D129" s="453">
        <v>0.0</v>
      </c>
      <c r="E129" s="452" t="s">
        <v>615</v>
      </c>
      <c r="F129" s="452" t="s">
        <v>365</v>
      </c>
      <c r="G129" s="452" t="s">
        <v>366</v>
      </c>
      <c r="H129" s="455"/>
      <c r="I129" s="457">
        <v>36703.0</v>
      </c>
      <c r="J129" s="457">
        <v>45411.0</v>
      </c>
      <c r="K129" s="458">
        <v>45432.0</v>
      </c>
      <c r="L129" s="453">
        <v>0.0</v>
      </c>
      <c r="M129" s="457">
        <v>45778.0</v>
      </c>
      <c r="N129" s="458">
        <v>45808.0</v>
      </c>
    </row>
    <row r="130">
      <c r="A130" s="452" t="s">
        <v>16</v>
      </c>
      <c r="B130" s="453">
        <v>4320.0</v>
      </c>
      <c r="C130" s="459"/>
      <c r="D130" s="453">
        <v>0.0</v>
      </c>
      <c r="E130" s="452" t="s">
        <v>234</v>
      </c>
      <c r="F130" s="452" t="s">
        <v>235</v>
      </c>
      <c r="G130" s="452" t="s">
        <v>236</v>
      </c>
      <c r="H130" s="455"/>
      <c r="I130" s="457">
        <v>33048.0</v>
      </c>
      <c r="J130" s="456">
        <v>45243.0</v>
      </c>
      <c r="K130" s="457">
        <v>45329.0</v>
      </c>
      <c r="L130" s="453">
        <v>0.0</v>
      </c>
      <c r="M130" s="457">
        <v>45778.0</v>
      </c>
      <c r="N130" s="458">
        <v>45808.0</v>
      </c>
    </row>
    <row r="131">
      <c r="A131" s="452" t="s">
        <v>16</v>
      </c>
      <c r="B131" s="453">
        <v>4320.0</v>
      </c>
      <c r="C131" s="459"/>
      <c r="D131" s="453">
        <v>0.0</v>
      </c>
      <c r="E131" s="452" t="s">
        <v>616</v>
      </c>
      <c r="F131" s="452" t="s">
        <v>617</v>
      </c>
      <c r="G131" s="452" t="s">
        <v>618</v>
      </c>
      <c r="H131" s="455"/>
      <c r="I131" s="457">
        <v>35082.0</v>
      </c>
      <c r="J131" s="456">
        <v>45194.0</v>
      </c>
      <c r="K131" s="456">
        <v>45199.0</v>
      </c>
      <c r="L131" s="453">
        <v>0.0</v>
      </c>
      <c r="M131" s="457">
        <v>45778.0</v>
      </c>
      <c r="N131" s="458">
        <v>45808.0</v>
      </c>
    </row>
    <row r="132">
      <c r="A132" s="452" t="s">
        <v>16</v>
      </c>
      <c r="B132" s="453">
        <v>4320.0</v>
      </c>
      <c r="C132" s="459"/>
      <c r="D132" s="453">
        <v>0.0</v>
      </c>
      <c r="E132" s="452" t="s">
        <v>316</v>
      </c>
      <c r="F132" s="452" t="s">
        <v>317</v>
      </c>
      <c r="G132" s="452" t="s">
        <v>318</v>
      </c>
      <c r="H132" s="455"/>
      <c r="I132" s="457">
        <v>37274.0</v>
      </c>
      <c r="J132" s="456">
        <v>45362.0</v>
      </c>
      <c r="K132" s="457">
        <v>45688.0</v>
      </c>
      <c r="L132" s="453">
        <v>0.0</v>
      </c>
      <c r="M132" s="457">
        <v>45778.0</v>
      </c>
      <c r="N132" s="458">
        <v>45808.0</v>
      </c>
    </row>
    <row r="133">
      <c r="A133" s="452" t="s">
        <v>16</v>
      </c>
      <c r="B133" s="453">
        <v>4320.0</v>
      </c>
      <c r="C133" s="459"/>
      <c r="D133" s="453">
        <v>0.0</v>
      </c>
      <c r="E133" s="452" t="s">
        <v>386</v>
      </c>
      <c r="F133" s="452" t="s">
        <v>387</v>
      </c>
      <c r="G133" s="452" t="s">
        <v>388</v>
      </c>
      <c r="H133" s="455"/>
      <c r="I133" s="456">
        <v>37144.0</v>
      </c>
      <c r="J133" s="457">
        <v>45418.0</v>
      </c>
      <c r="K133" s="456">
        <v>45418.0</v>
      </c>
      <c r="L133" s="453">
        <v>0.0</v>
      </c>
      <c r="M133" s="457">
        <v>45778.0</v>
      </c>
      <c r="N133" s="458">
        <v>45808.0</v>
      </c>
    </row>
    <row r="134">
      <c r="A134" s="452" t="s">
        <v>16</v>
      </c>
      <c r="B134" s="453">
        <v>4320.0</v>
      </c>
      <c r="C134" s="459"/>
      <c r="D134" s="453">
        <v>0.0</v>
      </c>
      <c r="E134" s="452" t="s">
        <v>325</v>
      </c>
      <c r="F134" s="452" t="s">
        <v>326</v>
      </c>
      <c r="G134" s="452" t="s">
        <v>327</v>
      </c>
      <c r="H134" s="455"/>
      <c r="I134" s="456">
        <v>36962.0</v>
      </c>
      <c r="J134" s="456">
        <v>45376.0</v>
      </c>
      <c r="K134" s="456">
        <v>45565.0</v>
      </c>
      <c r="L134" s="453">
        <v>0.0</v>
      </c>
      <c r="M134" s="457">
        <v>45778.0</v>
      </c>
      <c r="N134" s="458">
        <v>45808.0</v>
      </c>
    </row>
    <row r="135">
      <c r="A135" s="452" t="s">
        <v>16</v>
      </c>
      <c r="B135" s="453">
        <v>4320.0</v>
      </c>
      <c r="C135" s="459"/>
      <c r="D135" s="453">
        <v>0.0</v>
      </c>
      <c r="E135" s="452" t="s">
        <v>285</v>
      </c>
      <c r="F135" s="452" t="s">
        <v>286</v>
      </c>
      <c r="G135" s="452" t="s">
        <v>287</v>
      </c>
      <c r="H135" s="455"/>
      <c r="I135" s="457">
        <v>37377.0</v>
      </c>
      <c r="J135" s="456">
        <v>45334.0</v>
      </c>
      <c r="K135" s="456">
        <v>45688.0</v>
      </c>
      <c r="L135" s="453">
        <v>0.0</v>
      </c>
      <c r="M135" s="457">
        <v>45778.0</v>
      </c>
      <c r="N135" s="458">
        <v>45808.0</v>
      </c>
    </row>
    <row r="136">
      <c r="A136" s="452" t="s">
        <v>16</v>
      </c>
      <c r="B136" s="453">
        <v>4320.0</v>
      </c>
      <c r="C136" s="459"/>
      <c r="D136" s="453">
        <v>0.0</v>
      </c>
      <c r="E136" s="452" t="s">
        <v>51</v>
      </c>
      <c r="F136" s="452" t="s">
        <v>52</v>
      </c>
      <c r="G136" s="452" t="s">
        <v>53</v>
      </c>
      <c r="H136" s="455"/>
      <c r="I136" s="456">
        <v>34601.0</v>
      </c>
      <c r="J136" s="457">
        <v>44986.0</v>
      </c>
      <c r="K136" s="456">
        <v>45777.0</v>
      </c>
      <c r="L136" s="453">
        <v>0.0</v>
      </c>
      <c r="M136" s="457">
        <v>45778.0</v>
      </c>
      <c r="N136" s="458">
        <v>45808.0</v>
      </c>
    </row>
    <row r="137">
      <c r="A137" s="452" t="s">
        <v>16</v>
      </c>
      <c r="B137" s="453">
        <v>4320.0</v>
      </c>
      <c r="C137" s="459"/>
      <c r="D137" s="453">
        <v>0.0</v>
      </c>
      <c r="E137" s="452" t="s">
        <v>497</v>
      </c>
      <c r="F137" s="452" t="s">
        <v>539</v>
      </c>
      <c r="G137" s="452" t="s">
        <v>498</v>
      </c>
      <c r="H137" s="455"/>
      <c r="I137" s="458">
        <v>37026.0</v>
      </c>
      <c r="J137" s="462">
        <v>45628.0</v>
      </c>
      <c r="K137" s="456">
        <v>45758.0</v>
      </c>
      <c r="L137" s="453">
        <v>0.0</v>
      </c>
      <c r="M137" s="457">
        <v>45778.0</v>
      </c>
      <c r="N137" s="458">
        <v>45808.0</v>
      </c>
    </row>
    <row r="138">
      <c r="A138" s="452" t="s">
        <v>16</v>
      </c>
      <c r="B138" s="453">
        <v>4320.0</v>
      </c>
      <c r="C138" s="459"/>
      <c r="D138" s="453">
        <v>0.0</v>
      </c>
      <c r="E138" s="452" t="s">
        <v>249</v>
      </c>
      <c r="F138" s="452" t="s">
        <v>250</v>
      </c>
      <c r="G138" s="452" t="s">
        <v>251</v>
      </c>
      <c r="H138" s="455"/>
      <c r="I138" s="457">
        <v>37322.0</v>
      </c>
      <c r="J138" s="457">
        <v>45096.0</v>
      </c>
      <c r="K138" s="456">
        <v>45523.0</v>
      </c>
      <c r="L138" s="453">
        <v>0.0</v>
      </c>
      <c r="M138" s="457">
        <v>45778.0</v>
      </c>
      <c r="N138" s="458">
        <v>45808.0</v>
      </c>
    </row>
    <row r="139">
      <c r="A139" s="452" t="s">
        <v>16</v>
      </c>
      <c r="B139" s="453">
        <v>4320.0</v>
      </c>
      <c r="C139" s="459"/>
      <c r="D139" s="453">
        <v>0.0</v>
      </c>
      <c r="E139" s="452" t="s">
        <v>619</v>
      </c>
      <c r="F139" s="452" t="s">
        <v>220</v>
      </c>
      <c r="G139" s="452" t="s">
        <v>221</v>
      </c>
      <c r="H139" s="455"/>
      <c r="I139" s="462">
        <v>36408.0</v>
      </c>
      <c r="J139" s="457">
        <v>45173.0</v>
      </c>
      <c r="K139" s="457">
        <v>45412.0</v>
      </c>
      <c r="L139" s="453">
        <v>0.0</v>
      </c>
      <c r="M139" s="457">
        <v>45778.0</v>
      </c>
      <c r="N139" s="458">
        <v>45808.0</v>
      </c>
    </row>
    <row r="140">
      <c r="A140" s="452" t="s">
        <v>16</v>
      </c>
      <c r="B140" s="453">
        <v>4320.0</v>
      </c>
      <c r="C140" s="459"/>
      <c r="D140" s="453">
        <v>0.0</v>
      </c>
      <c r="E140" s="452" t="s">
        <v>367</v>
      </c>
      <c r="F140" s="452" t="s">
        <v>368</v>
      </c>
      <c r="G140" s="452" t="s">
        <v>369</v>
      </c>
      <c r="H140" s="455"/>
      <c r="I140" s="457">
        <v>36718.0</v>
      </c>
      <c r="J140" s="457">
        <v>45397.0</v>
      </c>
      <c r="K140" s="456">
        <v>45485.0</v>
      </c>
      <c r="L140" s="453">
        <v>0.0</v>
      </c>
      <c r="M140" s="457">
        <v>45778.0</v>
      </c>
      <c r="N140" s="458">
        <v>45808.0</v>
      </c>
    </row>
    <row r="141">
      <c r="A141" s="452" t="s">
        <v>16</v>
      </c>
      <c r="B141" s="453">
        <v>4320.0</v>
      </c>
      <c r="C141" s="459"/>
      <c r="D141" s="453">
        <v>0.0</v>
      </c>
      <c r="E141" s="452" t="s">
        <v>620</v>
      </c>
      <c r="F141" s="452" t="s">
        <v>621</v>
      </c>
      <c r="G141" s="452" t="s">
        <v>622</v>
      </c>
      <c r="H141" s="455"/>
      <c r="I141" s="457">
        <v>37067.0</v>
      </c>
      <c r="J141" s="456">
        <v>45216.0</v>
      </c>
      <c r="K141" s="456">
        <v>45453.0</v>
      </c>
      <c r="L141" s="453">
        <v>0.0</v>
      </c>
      <c r="M141" s="457">
        <v>45778.0</v>
      </c>
      <c r="N141" s="458">
        <v>45808.0</v>
      </c>
    </row>
    <row r="142">
      <c r="A142" s="452" t="s">
        <v>16</v>
      </c>
      <c r="B142" s="453">
        <v>4320.0</v>
      </c>
      <c r="C142" s="459"/>
      <c r="D142" s="453">
        <v>0.0</v>
      </c>
      <c r="E142" s="452" t="s">
        <v>66</v>
      </c>
      <c r="F142" s="452" t="s">
        <v>67</v>
      </c>
      <c r="G142" s="452" t="s">
        <v>68</v>
      </c>
      <c r="H142" s="455"/>
      <c r="I142" s="457">
        <v>34973.0</v>
      </c>
      <c r="J142" s="457">
        <v>44986.0</v>
      </c>
      <c r="K142" s="456">
        <v>45562.0</v>
      </c>
      <c r="L142" s="453">
        <v>0.0</v>
      </c>
      <c r="M142" s="457">
        <v>45778.0</v>
      </c>
      <c r="N142" s="458">
        <v>45808.0</v>
      </c>
    </row>
    <row r="143">
      <c r="A143" s="452" t="s">
        <v>16</v>
      </c>
      <c r="B143" s="453">
        <v>4320.0</v>
      </c>
      <c r="C143" s="459"/>
      <c r="D143" s="453">
        <v>0.0</v>
      </c>
      <c r="E143" s="452" t="s">
        <v>252</v>
      </c>
      <c r="F143" s="452" t="s">
        <v>253</v>
      </c>
      <c r="G143" s="452" t="s">
        <v>254</v>
      </c>
      <c r="H143" s="455"/>
      <c r="I143" s="456">
        <v>37516.0</v>
      </c>
      <c r="J143" s="456">
        <v>45159.0</v>
      </c>
      <c r="K143" s="456">
        <v>45450.0</v>
      </c>
      <c r="L143" s="453">
        <v>0.0</v>
      </c>
      <c r="M143" s="457">
        <v>45778.0</v>
      </c>
      <c r="N143" s="458">
        <v>45808.0</v>
      </c>
    </row>
    <row r="144">
      <c r="A144" s="452" t="s">
        <v>16</v>
      </c>
      <c r="B144" s="453">
        <v>4320.0</v>
      </c>
      <c r="C144" s="459"/>
      <c r="D144" s="453">
        <v>0.0</v>
      </c>
      <c r="E144" s="452" t="s">
        <v>72</v>
      </c>
      <c r="F144" s="452" t="s">
        <v>73</v>
      </c>
      <c r="G144" s="452" t="s">
        <v>74</v>
      </c>
      <c r="H144" s="455"/>
      <c r="I144" s="456">
        <v>37210.0</v>
      </c>
      <c r="J144" s="457">
        <v>44562.0</v>
      </c>
      <c r="K144" s="458">
        <v>45442.0</v>
      </c>
      <c r="L144" s="453">
        <v>0.0</v>
      </c>
      <c r="M144" s="457">
        <v>45778.0</v>
      </c>
      <c r="N144" s="458">
        <v>45808.0</v>
      </c>
    </row>
    <row r="145">
      <c r="A145" s="452" t="s">
        <v>16</v>
      </c>
      <c r="B145" s="453">
        <v>4320.0</v>
      </c>
      <c r="C145" s="459"/>
      <c r="D145" s="453">
        <v>0.0</v>
      </c>
      <c r="E145" s="452" t="s">
        <v>483</v>
      </c>
      <c r="F145" s="452" t="s">
        <v>537</v>
      </c>
      <c r="G145" s="452" t="s">
        <v>484</v>
      </c>
      <c r="H145" s="455"/>
      <c r="I145" s="457">
        <v>36286.0</v>
      </c>
      <c r="J145" s="457">
        <v>45602.0</v>
      </c>
      <c r="K145" s="457">
        <v>45723.0</v>
      </c>
      <c r="L145" s="453">
        <v>0.0</v>
      </c>
      <c r="M145" s="457">
        <v>45778.0</v>
      </c>
      <c r="N145" s="458">
        <v>45808.0</v>
      </c>
    </row>
    <row r="146">
      <c r="A146" s="452" t="s">
        <v>16</v>
      </c>
      <c r="B146" s="453">
        <v>4320.0</v>
      </c>
      <c r="C146" s="459"/>
      <c r="D146" s="453">
        <v>0.0</v>
      </c>
      <c r="E146" s="452" t="s">
        <v>81</v>
      </c>
      <c r="F146" s="452" t="s">
        <v>82</v>
      </c>
      <c r="G146" s="452" t="s">
        <v>83</v>
      </c>
      <c r="H146" s="455"/>
      <c r="I146" s="456">
        <v>36113.0</v>
      </c>
      <c r="J146" s="462">
        <v>44866.0</v>
      </c>
      <c r="K146" s="456">
        <v>45299.0</v>
      </c>
      <c r="L146" s="453">
        <v>0.0</v>
      </c>
      <c r="M146" s="457">
        <v>45778.0</v>
      </c>
      <c r="N146" s="458">
        <v>45808.0</v>
      </c>
    </row>
    <row r="147">
      <c r="A147" s="452" t="s">
        <v>16</v>
      </c>
      <c r="B147" s="453">
        <v>4320.0</v>
      </c>
      <c r="C147" s="459"/>
      <c r="D147" s="453">
        <v>0.0</v>
      </c>
      <c r="E147" s="452" t="s">
        <v>294</v>
      </c>
      <c r="F147" s="452" t="s">
        <v>295</v>
      </c>
      <c r="G147" s="452" t="s">
        <v>296</v>
      </c>
      <c r="H147" s="455"/>
      <c r="I147" s="457">
        <v>36551.0</v>
      </c>
      <c r="J147" s="456">
        <v>45278.0</v>
      </c>
      <c r="K147" s="456">
        <v>45359.0</v>
      </c>
      <c r="L147" s="453">
        <v>0.0</v>
      </c>
      <c r="M147" s="457">
        <v>45778.0</v>
      </c>
      <c r="N147" s="458">
        <v>45808.0</v>
      </c>
    </row>
    <row r="148">
      <c r="A148" s="452" t="s">
        <v>16</v>
      </c>
      <c r="B148" s="453">
        <v>4320.0</v>
      </c>
      <c r="C148" s="459"/>
      <c r="D148" s="453">
        <v>0.0</v>
      </c>
      <c r="E148" s="452" t="s">
        <v>623</v>
      </c>
      <c r="F148" s="452" t="s">
        <v>624</v>
      </c>
      <c r="G148" s="452" t="s">
        <v>625</v>
      </c>
      <c r="H148" s="455"/>
      <c r="I148" s="456">
        <v>37489.0</v>
      </c>
      <c r="J148" s="457">
        <v>45397.0</v>
      </c>
      <c r="K148" s="456">
        <v>45488.0</v>
      </c>
      <c r="L148" s="453">
        <v>0.0</v>
      </c>
      <c r="M148" s="457">
        <v>45778.0</v>
      </c>
      <c r="N148" s="458">
        <v>45808.0</v>
      </c>
    </row>
    <row r="149">
      <c r="A149" s="452" t="s">
        <v>16</v>
      </c>
      <c r="B149" s="453">
        <v>4320.0</v>
      </c>
      <c r="C149" s="459"/>
      <c r="D149" s="453">
        <v>0.0</v>
      </c>
      <c r="E149" s="452" t="s">
        <v>270</v>
      </c>
      <c r="F149" s="452" t="s">
        <v>271</v>
      </c>
      <c r="G149" s="452" t="s">
        <v>272</v>
      </c>
      <c r="H149" s="455"/>
      <c r="I149" s="456">
        <v>36769.0</v>
      </c>
      <c r="J149" s="457">
        <v>45313.0</v>
      </c>
      <c r="K149" s="457">
        <v>45415.0</v>
      </c>
      <c r="L149" s="453">
        <v>0.0</v>
      </c>
      <c r="M149" s="457">
        <v>45778.0</v>
      </c>
      <c r="N149" s="458">
        <v>45808.0</v>
      </c>
    </row>
    <row r="150">
      <c r="A150" s="452" t="s">
        <v>16</v>
      </c>
      <c r="B150" s="453">
        <v>4320.0</v>
      </c>
      <c r="C150" s="459"/>
      <c r="D150" s="453">
        <v>0.0</v>
      </c>
      <c r="E150" s="452" t="s">
        <v>87</v>
      </c>
      <c r="F150" s="452" t="s">
        <v>88</v>
      </c>
      <c r="G150" s="452" t="s">
        <v>89</v>
      </c>
      <c r="H150" s="455"/>
      <c r="I150" s="458">
        <v>33737.0</v>
      </c>
      <c r="J150" s="457">
        <v>45139.0</v>
      </c>
      <c r="K150" s="456">
        <v>45734.0</v>
      </c>
      <c r="L150" s="453">
        <v>0.0</v>
      </c>
      <c r="M150" s="457">
        <v>45778.0</v>
      </c>
      <c r="N150" s="458">
        <v>45808.0</v>
      </c>
    </row>
    <row r="151">
      <c r="A151" s="452" t="s">
        <v>16</v>
      </c>
      <c r="B151" s="453">
        <v>4320.0</v>
      </c>
      <c r="C151" s="459"/>
      <c r="D151" s="453">
        <v>0.0</v>
      </c>
      <c r="E151" s="452" t="s">
        <v>632</v>
      </c>
      <c r="F151" s="452" t="s">
        <v>633</v>
      </c>
      <c r="G151" s="452" t="s">
        <v>634</v>
      </c>
      <c r="H151" s="455"/>
      <c r="I151" s="456">
        <v>35300.0</v>
      </c>
      <c r="J151" s="457">
        <v>45103.0</v>
      </c>
      <c r="K151" s="457">
        <v>45310.0</v>
      </c>
      <c r="L151" s="453">
        <v>0.0</v>
      </c>
      <c r="M151" s="457">
        <v>45778.0</v>
      </c>
      <c r="N151" s="458">
        <v>45808.0</v>
      </c>
    </row>
    <row r="152">
      <c r="A152" s="452" t="s">
        <v>16</v>
      </c>
      <c r="B152" s="453">
        <v>4320.0</v>
      </c>
      <c r="C152" s="459"/>
      <c r="D152" s="453">
        <v>0.0</v>
      </c>
      <c r="E152" s="452" t="s">
        <v>573</v>
      </c>
      <c r="F152" s="452" t="s">
        <v>574</v>
      </c>
      <c r="G152" s="452" t="s">
        <v>575</v>
      </c>
      <c r="H152" s="455"/>
      <c r="I152" s="456">
        <v>36061.0</v>
      </c>
      <c r="J152" s="457">
        <v>45677.0</v>
      </c>
      <c r="K152" s="457">
        <v>45777.0</v>
      </c>
      <c r="L152" s="453">
        <v>0.0</v>
      </c>
      <c r="M152" s="457">
        <v>45778.0</v>
      </c>
      <c r="N152" s="458">
        <v>45808.0</v>
      </c>
    </row>
    <row r="153">
      <c r="A153" s="452" t="s">
        <v>16</v>
      </c>
      <c r="B153" s="453">
        <v>4320.0</v>
      </c>
      <c r="C153" s="459"/>
      <c r="D153" s="453">
        <v>0.0</v>
      </c>
      <c r="E153" s="452" t="s">
        <v>90</v>
      </c>
      <c r="F153" s="452" t="s">
        <v>91</v>
      </c>
      <c r="G153" s="452" t="s">
        <v>92</v>
      </c>
      <c r="H153" s="455"/>
      <c r="I153" s="465">
        <v>33917.0</v>
      </c>
      <c r="J153" s="456">
        <v>45166.0</v>
      </c>
      <c r="K153" s="457">
        <v>45321.0</v>
      </c>
      <c r="L153" s="453">
        <v>0.0</v>
      </c>
      <c r="M153" s="457">
        <v>45778.0</v>
      </c>
      <c r="N153" s="458">
        <v>45808.0</v>
      </c>
    </row>
    <row r="154">
      <c r="A154" s="452" t="s">
        <v>16</v>
      </c>
      <c r="B154" s="453">
        <v>4320.0</v>
      </c>
      <c r="C154" s="459"/>
      <c r="D154" s="453">
        <v>0.0</v>
      </c>
      <c r="E154" s="452" t="s">
        <v>337</v>
      </c>
      <c r="F154" s="452" t="s">
        <v>338</v>
      </c>
      <c r="G154" s="452" t="s">
        <v>339</v>
      </c>
      <c r="H154" s="455"/>
      <c r="I154" s="456">
        <v>37539.0</v>
      </c>
      <c r="J154" s="456">
        <v>45362.0</v>
      </c>
      <c r="K154" s="456">
        <v>45657.0</v>
      </c>
      <c r="L154" s="453">
        <v>0.0</v>
      </c>
      <c r="M154" s="457">
        <v>45778.0</v>
      </c>
      <c r="N154" s="458">
        <v>45808.0</v>
      </c>
    </row>
    <row r="155">
      <c r="A155" s="452" t="s">
        <v>16</v>
      </c>
      <c r="B155" s="453">
        <v>4320.0</v>
      </c>
      <c r="C155" s="459"/>
      <c r="D155" s="453">
        <v>0.0</v>
      </c>
      <c r="E155" s="452" t="s">
        <v>297</v>
      </c>
      <c r="F155" s="452" t="s">
        <v>298</v>
      </c>
      <c r="G155" s="452" t="s">
        <v>299</v>
      </c>
      <c r="H155" s="455"/>
      <c r="I155" s="457">
        <v>36692.0</v>
      </c>
      <c r="J155" s="456">
        <v>45243.0</v>
      </c>
      <c r="K155" s="456">
        <v>45365.0</v>
      </c>
      <c r="L155" s="453">
        <v>0.0</v>
      </c>
      <c r="M155" s="457">
        <v>45778.0</v>
      </c>
      <c r="N155" s="458">
        <v>45808.0</v>
      </c>
    </row>
    <row r="156">
      <c r="A156" s="452" t="s">
        <v>16</v>
      </c>
      <c r="B156" s="453">
        <v>4320.0</v>
      </c>
      <c r="C156" s="459"/>
      <c r="D156" s="453">
        <v>0.0</v>
      </c>
      <c r="E156" s="452" t="s">
        <v>93</v>
      </c>
      <c r="F156" s="452" t="s">
        <v>94</v>
      </c>
      <c r="G156" s="452" t="s">
        <v>95</v>
      </c>
      <c r="H156" s="455"/>
      <c r="I156" s="457">
        <v>36137.0</v>
      </c>
      <c r="J156" s="457">
        <v>45098.0</v>
      </c>
      <c r="K156" s="456">
        <v>45246.0</v>
      </c>
      <c r="L156" s="453">
        <v>0.0</v>
      </c>
      <c r="M156" s="457">
        <v>45778.0</v>
      </c>
      <c r="N156" s="458">
        <v>45808.0</v>
      </c>
    </row>
    <row r="157">
      <c r="A157" s="452" t="s">
        <v>16</v>
      </c>
      <c r="B157" s="453">
        <v>4320.0</v>
      </c>
      <c r="C157" s="459"/>
      <c r="D157" s="453">
        <v>0.0</v>
      </c>
      <c r="E157" s="452" t="s">
        <v>452</v>
      </c>
      <c r="F157" s="452" t="s">
        <v>513</v>
      </c>
      <c r="G157" s="452" t="s">
        <v>454</v>
      </c>
      <c r="H157" s="455"/>
      <c r="I157" s="457">
        <v>37834.0</v>
      </c>
      <c r="J157" s="457">
        <v>45505.0</v>
      </c>
      <c r="K157" s="456">
        <v>45667.0</v>
      </c>
      <c r="L157" s="453">
        <v>0.0</v>
      </c>
      <c r="M157" s="457">
        <v>45778.0</v>
      </c>
      <c r="N157" s="458">
        <v>45808.0</v>
      </c>
    </row>
    <row r="158">
      <c r="A158" s="452" t="s">
        <v>16</v>
      </c>
      <c r="B158" s="453">
        <v>4320.0</v>
      </c>
      <c r="C158" s="459"/>
      <c r="D158" s="453">
        <v>0.0</v>
      </c>
      <c r="E158" s="452" t="s">
        <v>99</v>
      </c>
      <c r="F158" s="452" t="s">
        <v>100</v>
      </c>
      <c r="G158" s="452" t="s">
        <v>101</v>
      </c>
      <c r="H158" s="455"/>
      <c r="I158" s="456">
        <v>37240.0</v>
      </c>
      <c r="J158" s="457">
        <v>45176.0</v>
      </c>
      <c r="K158" s="456">
        <v>45535.0</v>
      </c>
      <c r="L158" s="453">
        <v>0.0</v>
      </c>
      <c r="M158" s="457">
        <v>45778.0</v>
      </c>
      <c r="N158" s="458">
        <v>45808.0</v>
      </c>
    </row>
    <row r="159">
      <c r="A159" s="452" t="s">
        <v>16</v>
      </c>
      <c r="B159" s="453">
        <v>4320.0</v>
      </c>
      <c r="C159" s="459"/>
      <c r="D159" s="453">
        <v>0.0</v>
      </c>
      <c r="E159" s="452" t="s">
        <v>105</v>
      </c>
      <c r="F159" s="452" t="s">
        <v>106</v>
      </c>
      <c r="G159" s="452" t="s">
        <v>107</v>
      </c>
      <c r="H159" s="455"/>
      <c r="I159" s="457">
        <v>37136.0</v>
      </c>
      <c r="J159" s="456">
        <v>45181.0</v>
      </c>
      <c r="K159" s="456">
        <v>45054.0</v>
      </c>
      <c r="L159" s="453">
        <v>0.0</v>
      </c>
      <c r="M159" s="457">
        <v>45778.0</v>
      </c>
      <c r="N159" s="458">
        <v>45808.0</v>
      </c>
    </row>
    <row r="160">
      <c r="A160" s="452" t="s">
        <v>16</v>
      </c>
      <c r="B160" s="453">
        <v>4320.0</v>
      </c>
      <c r="C160" s="459"/>
      <c r="D160" s="453">
        <v>0.0</v>
      </c>
      <c r="E160" s="452" t="s">
        <v>639</v>
      </c>
      <c r="F160" s="452" t="s">
        <v>323</v>
      </c>
      <c r="G160" s="452" t="s">
        <v>324</v>
      </c>
      <c r="H160" s="455"/>
      <c r="I160" s="457">
        <v>37100.0</v>
      </c>
      <c r="J160" s="456">
        <v>45376.0</v>
      </c>
      <c r="K160" s="458">
        <v>45425.0</v>
      </c>
      <c r="L160" s="453">
        <v>0.0</v>
      </c>
      <c r="M160" s="457">
        <v>45778.0</v>
      </c>
      <c r="N160" s="458">
        <v>45808.0</v>
      </c>
    </row>
    <row r="161">
      <c r="A161" s="452" t="s">
        <v>16</v>
      </c>
      <c r="B161" s="453">
        <v>4320.0</v>
      </c>
      <c r="C161" s="459"/>
      <c r="D161" s="453">
        <v>0.0</v>
      </c>
      <c r="E161" s="452" t="s">
        <v>640</v>
      </c>
      <c r="F161" s="452" t="s">
        <v>641</v>
      </c>
      <c r="G161" s="452" t="s">
        <v>642</v>
      </c>
      <c r="H161" s="455"/>
      <c r="I161" s="456">
        <v>35152.0</v>
      </c>
      <c r="J161" s="456">
        <v>45180.0</v>
      </c>
      <c r="K161" s="462">
        <v>45233.0</v>
      </c>
      <c r="L161" s="453">
        <v>0.0</v>
      </c>
      <c r="M161" s="457">
        <v>45778.0</v>
      </c>
      <c r="N161" s="458">
        <v>45808.0</v>
      </c>
    </row>
    <row r="162">
      <c r="A162" s="452" t="s">
        <v>16</v>
      </c>
      <c r="B162" s="453">
        <v>4320.0</v>
      </c>
      <c r="C162" s="459"/>
      <c r="D162" s="453">
        <v>0.0</v>
      </c>
      <c r="E162" s="452" t="s">
        <v>111</v>
      </c>
      <c r="F162" s="452" t="s">
        <v>112</v>
      </c>
      <c r="G162" s="452" t="s">
        <v>113</v>
      </c>
      <c r="H162" s="455"/>
      <c r="I162" s="457">
        <v>36898.0</v>
      </c>
      <c r="J162" s="457">
        <v>44988.0</v>
      </c>
      <c r="K162" s="456">
        <v>45412.0</v>
      </c>
      <c r="L162" s="453">
        <v>0.0</v>
      </c>
      <c r="M162" s="457">
        <v>45778.0</v>
      </c>
      <c r="N162" s="458">
        <v>45808.0</v>
      </c>
    </row>
    <row r="163">
      <c r="A163" s="452" t="s">
        <v>16</v>
      </c>
      <c r="B163" s="453">
        <v>4320.0</v>
      </c>
      <c r="C163" s="459"/>
      <c r="D163" s="453">
        <v>0.0</v>
      </c>
      <c r="E163" s="452" t="s">
        <v>114</v>
      </c>
      <c r="F163" s="452" t="s">
        <v>115</v>
      </c>
      <c r="G163" s="452" t="s">
        <v>116</v>
      </c>
      <c r="H163" s="455"/>
      <c r="I163" s="457">
        <v>35159.0</v>
      </c>
      <c r="J163" s="457">
        <v>45078.0</v>
      </c>
      <c r="K163" s="458">
        <v>45322.0</v>
      </c>
      <c r="L163" s="453">
        <v>0.0</v>
      </c>
      <c r="M163" s="457">
        <v>45778.0</v>
      </c>
      <c r="N163" s="458">
        <v>45808.0</v>
      </c>
    </row>
    <row r="164">
      <c r="A164" s="452" t="s">
        <v>16</v>
      </c>
      <c r="B164" s="453">
        <v>4320.0</v>
      </c>
      <c r="C164" s="459"/>
      <c r="D164" s="453">
        <v>0.0</v>
      </c>
      <c r="E164" s="452" t="s">
        <v>439</v>
      </c>
      <c r="F164" s="452" t="s">
        <v>121</v>
      </c>
      <c r="G164" s="452" t="s">
        <v>122</v>
      </c>
      <c r="H164" s="455"/>
      <c r="I164" s="456">
        <v>36794.0</v>
      </c>
      <c r="J164" s="456">
        <v>44915.0</v>
      </c>
      <c r="K164" s="456">
        <v>45709.0</v>
      </c>
      <c r="L164" s="453">
        <v>0.0</v>
      </c>
      <c r="M164" s="457">
        <v>45778.0</v>
      </c>
      <c r="N164" s="458">
        <v>45808.0</v>
      </c>
    </row>
    <row r="165">
      <c r="A165" s="452" t="s">
        <v>16</v>
      </c>
      <c r="B165" s="453">
        <v>4320.0</v>
      </c>
      <c r="C165" s="459"/>
      <c r="D165" s="453">
        <v>0.0</v>
      </c>
      <c r="E165" s="452" t="s">
        <v>643</v>
      </c>
      <c r="F165" s="452" t="s">
        <v>124</v>
      </c>
      <c r="G165" s="452" t="s">
        <v>125</v>
      </c>
      <c r="H165" s="455"/>
      <c r="I165" s="456">
        <v>37149.0</v>
      </c>
      <c r="J165" s="457">
        <v>45124.0</v>
      </c>
      <c r="K165" s="457">
        <v>45453.0</v>
      </c>
      <c r="L165" s="453">
        <v>0.0</v>
      </c>
      <c r="M165" s="457">
        <v>45778.0</v>
      </c>
      <c r="N165" s="458">
        <v>45808.0</v>
      </c>
    </row>
    <row r="166">
      <c r="A166" s="452" t="s">
        <v>16</v>
      </c>
      <c r="B166" s="453">
        <v>4320.0</v>
      </c>
      <c r="C166" s="459"/>
      <c r="D166" s="453">
        <v>0.0</v>
      </c>
      <c r="E166" s="452" t="s">
        <v>237</v>
      </c>
      <c r="F166" s="452" t="s">
        <v>238</v>
      </c>
      <c r="G166" s="452" t="s">
        <v>239</v>
      </c>
      <c r="H166" s="455"/>
      <c r="I166" s="457">
        <v>34503.0</v>
      </c>
      <c r="J166" s="456">
        <v>45251.0</v>
      </c>
      <c r="K166" s="456">
        <v>45338.0</v>
      </c>
      <c r="L166" s="453">
        <v>0.0</v>
      </c>
      <c r="M166" s="457">
        <v>45778.0</v>
      </c>
      <c r="N166" s="458">
        <v>45808.0</v>
      </c>
    </row>
    <row r="167">
      <c r="A167" s="452" t="s">
        <v>16</v>
      </c>
      <c r="B167" s="453">
        <v>4320.0</v>
      </c>
      <c r="C167" s="454"/>
      <c r="D167" s="453">
        <v>0.0</v>
      </c>
      <c r="E167" s="452" t="s">
        <v>129</v>
      </c>
      <c r="F167" s="452" t="s">
        <v>130</v>
      </c>
      <c r="G167" s="452" t="s">
        <v>131</v>
      </c>
      <c r="H167" s="455"/>
      <c r="I167" s="456">
        <v>36207.0</v>
      </c>
      <c r="J167" s="457">
        <v>45054.0</v>
      </c>
      <c r="K167" s="456">
        <v>44960.0</v>
      </c>
      <c r="L167" s="453">
        <v>0.0</v>
      </c>
      <c r="M167" s="457">
        <v>45778.0</v>
      </c>
      <c r="N167" s="458">
        <v>45808.0</v>
      </c>
    </row>
    <row r="168">
      <c r="A168" s="452" t="s">
        <v>16</v>
      </c>
      <c r="B168" s="453">
        <v>4320.0</v>
      </c>
      <c r="C168" s="454"/>
      <c r="D168" s="453">
        <v>0.0</v>
      </c>
      <c r="E168" s="452" t="s">
        <v>644</v>
      </c>
      <c r="F168" s="452" t="s">
        <v>190</v>
      </c>
      <c r="G168" s="452" t="s">
        <v>191</v>
      </c>
      <c r="H168" s="455"/>
      <c r="I168" s="456">
        <v>36421.0</v>
      </c>
      <c r="J168" s="456">
        <v>45166.0</v>
      </c>
      <c r="K168" s="456">
        <v>45535.0</v>
      </c>
      <c r="L168" s="453">
        <v>0.0</v>
      </c>
      <c r="M168" s="457">
        <v>45778.0</v>
      </c>
      <c r="N168" s="458">
        <v>45808.0</v>
      </c>
    </row>
    <row r="169">
      <c r="A169" s="452" t="s">
        <v>16</v>
      </c>
      <c r="B169" s="453">
        <v>4320.0</v>
      </c>
      <c r="C169" s="454"/>
      <c r="D169" s="453">
        <v>0.0</v>
      </c>
      <c r="E169" s="452" t="s">
        <v>645</v>
      </c>
      <c r="F169" s="452" t="s">
        <v>646</v>
      </c>
      <c r="G169" s="452" t="s">
        <v>647</v>
      </c>
      <c r="H169" s="455"/>
      <c r="I169" s="456">
        <v>37123.0</v>
      </c>
      <c r="J169" s="456">
        <v>44984.0</v>
      </c>
      <c r="K169" s="456">
        <v>45199.0</v>
      </c>
      <c r="L169" s="453">
        <v>0.0</v>
      </c>
      <c r="M169" s="457">
        <v>45778.0</v>
      </c>
      <c r="N169" s="458">
        <v>45808.0</v>
      </c>
    </row>
    <row r="170">
      <c r="A170" s="452" t="s">
        <v>16</v>
      </c>
      <c r="B170" s="453">
        <v>4320.0</v>
      </c>
      <c r="C170" s="454"/>
      <c r="D170" s="453">
        <v>0.0</v>
      </c>
      <c r="E170" s="452" t="s">
        <v>648</v>
      </c>
      <c r="F170" s="452" t="s">
        <v>649</v>
      </c>
      <c r="G170" s="452" t="s">
        <v>650</v>
      </c>
      <c r="H170" s="455"/>
      <c r="I170" s="457">
        <v>35039.0</v>
      </c>
      <c r="J170" s="457">
        <v>44986.0</v>
      </c>
      <c r="K170" s="456">
        <v>45199.0</v>
      </c>
      <c r="L170" s="453">
        <v>0.0</v>
      </c>
      <c r="M170" s="457">
        <v>45778.0</v>
      </c>
      <c r="N170" s="458">
        <v>45808.0</v>
      </c>
    </row>
    <row r="171">
      <c r="A171" s="452" t="s">
        <v>16</v>
      </c>
      <c r="B171" s="453">
        <v>4320.0</v>
      </c>
      <c r="C171" s="454"/>
      <c r="D171" s="453">
        <v>0.0</v>
      </c>
      <c r="E171" s="452" t="s">
        <v>132</v>
      </c>
      <c r="F171" s="452" t="s">
        <v>519</v>
      </c>
      <c r="G171" s="452" t="s">
        <v>418</v>
      </c>
      <c r="H171" s="455"/>
      <c r="I171" s="456">
        <v>37494.0</v>
      </c>
      <c r="J171" s="457">
        <v>45467.0</v>
      </c>
      <c r="K171" s="456">
        <v>45723.0</v>
      </c>
      <c r="L171" s="453">
        <v>0.0</v>
      </c>
      <c r="M171" s="457">
        <v>45778.0</v>
      </c>
      <c r="N171" s="458">
        <v>45808.0</v>
      </c>
    </row>
    <row r="172">
      <c r="A172" s="452" t="s">
        <v>16</v>
      </c>
      <c r="B172" s="453">
        <v>4320.0</v>
      </c>
      <c r="C172" s="454"/>
      <c r="D172" s="453">
        <v>0.0</v>
      </c>
      <c r="E172" s="452" t="s">
        <v>132</v>
      </c>
      <c r="F172" s="452" t="s">
        <v>347</v>
      </c>
      <c r="G172" s="452" t="s">
        <v>348</v>
      </c>
      <c r="H172" s="455"/>
      <c r="I172" s="457">
        <v>36778.0</v>
      </c>
      <c r="J172" s="456">
        <v>45369.0</v>
      </c>
      <c r="K172" s="456">
        <v>45565.0</v>
      </c>
      <c r="L172" s="453">
        <v>0.0</v>
      </c>
      <c r="M172" s="457">
        <v>45778.0</v>
      </c>
      <c r="N172" s="458">
        <v>45808.0</v>
      </c>
    </row>
    <row r="173">
      <c r="A173" s="452" t="s">
        <v>16</v>
      </c>
      <c r="B173" s="453">
        <v>4320.0</v>
      </c>
      <c r="C173" s="454"/>
      <c r="D173" s="453">
        <v>0.0</v>
      </c>
      <c r="E173" s="452" t="s">
        <v>491</v>
      </c>
      <c r="F173" s="452" t="s">
        <v>534</v>
      </c>
      <c r="G173" s="452" t="s">
        <v>492</v>
      </c>
      <c r="H173" s="455"/>
      <c r="I173" s="456">
        <v>36849.0</v>
      </c>
      <c r="J173" s="456">
        <v>45602.0</v>
      </c>
      <c r="K173" s="456">
        <v>45700.0</v>
      </c>
      <c r="L173" s="453">
        <v>0.0</v>
      </c>
      <c r="M173" s="457">
        <v>45778.0</v>
      </c>
      <c r="N173" s="458">
        <v>45808.0</v>
      </c>
    </row>
    <row r="174">
      <c r="A174" s="452" t="s">
        <v>16</v>
      </c>
      <c r="B174" s="453">
        <v>4320.0</v>
      </c>
      <c r="C174" s="454"/>
      <c r="D174" s="453">
        <v>0.0</v>
      </c>
      <c r="E174" s="452" t="s">
        <v>651</v>
      </c>
      <c r="F174" s="452" t="s">
        <v>652</v>
      </c>
      <c r="G174" s="452" t="s">
        <v>653</v>
      </c>
      <c r="H174" s="455"/>
      <c r="I174" s="456">
        <v>34748.0</v>
      </c>
      <c r="J174" s="457">
        <v>45033.0</v>
      </c>
      <c r="K174" s="456">
        <v>45381.0</v>
      </c>
      <c r="L174" s="453">
        <v>0.0</v>
      </c>
      <c r="M174" s="457">
        <v>45778.0</v>
      </c>
      <c r="N174" s="458">
        <v>45808.0</v>
      </c>
    </row>
    <row r="175">
      <c r="A175" s="452" t="s">
        <v>16</v>
      </c>
      <c r="B175" s="453">
        <v>4320.0</v>
      </c>
      <c r="C175" s="454"/>
      <c r="D175" s="453">
        <v>0.0</v>
      </c>
      <c r="E175" s="452" t="s">
        <v>135</v>
      </c>
      <c r="F175" s="452" t="s">
        <v>136</v>
      </c>
      <c r="G175" s="452" t="s">
        <v>137</v>
      </c>
      <c r="H175" s="455"/>
      <c r="I175" s="456">
        <v>36768.0</v>
      </c>
      <c r="J175" s="456">
        <v>44888.0</v>
      </c>
      <c r="K175" s="456">
        <v>45260.0</v>
      </c>
      <c r="L175" s="453">
        <v>0.0</v>
      </c>
      <c r="M175" s="457">
        <v>45778.0</v>
      </c>
      <c r="N175" s="458">
        <v>45808.0</v>
      </c>
    </row>
    <row r="176">
      <c r="A176" s="452" t="s">
        <v>16</v>
      </c>
      <c r="B176" s="453">
        <v>4320.0</v>
      </c>
      <c r="C176" s="454"/>
      <c r="D176" s="453">
        <v>0.0</v>
      </c>
      <c r="E176" s="452" t="s">
        <v>654</v>
      </c>
      <c r="F176" s="452" t="s">
        <v>655</v>
      </c>
      <c r="G176" s="452" t="s">
        <v>656</v>
      </c>
      <c r="H176" s="455"/>
      <c r="I176" s="456">
        <v>34318.0</v>
      </c>
      <c r="J176" s="456">
        <v>45229.0</v>
      </c>
      <c r="K176" s="456">
        <v>45523.0</v>
      </c>
      <c r="L176" s="453">
        <v>0.0</v>
      </c>
      <c r="M176" s="457">
        <v>45778.0</v>
      </c>
      <c r="N176" s="458">
        <v>45808.0</v>
      </c>
    </row>
    <row r="177">
      <c r="A177" s="452" t="s">
        <v>16</v>
      </c>
      <c r="B177" s="453">
        <v>4320.0</v>
      </c>
      <c r="C177" s="454"/>
      <c r="D177" s="453">
        <v>0.0</v>
      </c>
      <c r="E177" s="452" t="s">
        <v>141</v>
      </c>
      <c r="F177" s="452" t="s">
        <v>142</v>
      </c>
      <c r="G177" s="452" t="s">
        <v>143</v>
      </c>
      <c r="H177" s="455"/>
      <c r="I177" s="456">
        <v>34300.0</v>
      </c>
      <c r="J177" s="456">
        <v>45183.0</v>
      </c>
      <c r="K177" s="456">
        <v>45565.0</v>
      </c>
      <c r="L177" s="453">
        <v>0.0</v>
      </c>
      <c r="M177" s="457">
        <v>45778.0</v>
      </c>
      <c r="N177" s="458">
        <v>45808.0</v>
      </c>
    </row>
    <row r="178">
      <c r="A178" s="452" t="s">
        <v>16</v>
      </c>
      <c r="B178" s="453">
        <v>4320.0</v>
      </c>
      <c r="C178" s="454"/>
      <c r="D178" s="453">
        <v>0.0</v>
      </c>
      <c r="E178" s="452" t="s">
        <v>657</v>
      </c>
      <c r="F178" s="452" t="s">
        <v>658</v>
      </c>
      <c r="G178" s="452" t="s">
        <v>659</v>
      </c>
      <c r="H178" s="455"/>
      <c r="I178" s="456">
        <v>35147.0</v>
      </c>
      <c r="J178" s="456">
        <v>44886.0</v>
      </c>
      <c r="K178" s="456">
        <v>45243.0</v>
      </c>
      <c r="L178" s="453">
        <v>0.0</v>
      </c>
      <c r="M178" s="457">
        <v>45778.0</v>
      </c>
      <c r="N178" s="458">
        <v>45808.0</v>
      </c>
    </row>
    <row r="179">
      <c r="A179" s="452" t="s">
        <v>16</v>
      </c>
      <c r="B179" s="453">
        <v>4320.0</v>
      </c>
      <c r="C179" s="454"/>
      <c r="D179" s="453">
        <v>0.0</v>
      </c>
      <c r="E179" s="452" t="s">
        <v>419</v>
      </c>
      <c r="F179" s="452" t="s">
        <v>520</v>
      </c>
      <c r="G179" s="452" t="s">
        <v>420</v>
      </c>
      <c r="H179" s="455"/>
      <c r="I179" s="457">
        <v>36907.0</v>
      </c>
      <c r="J179" s="462">
        <v>45446.0</v>
      </c>
      <c r="K179" s="457">
        <v>45676.0</v>
      </c>
      <c r="L179" s="453">
        <v>0.0</v>
      </c>
      <c r="M179" s="457">
        <v>45778.0</v>
      </c>
      <c r="N179" s="458">
        <v>45808.0</v>
      </c>
    </row>
    <row r="180">
      <c r="A180" s="452" t="s">
        <v>16</v>
      </c>
      <c r="B180" s="453">
        <v>4320.0</v>
      </c>
      <c r="C180" s="454"/>
      <c r="D180" s="453">
        <v>0.0</v>
      </c>
      <c r="E180" s="452" t="s">
        <v>660</v>
      </c>
      <c r="F180" s="452" t="s">
        <v>127</v>
      </c>
      <c r="G180" s="452" t="s">
        <v>128</v>
      </c>
      <c r="H180" s="455"/>
      <c r="I180" s="457">
        <v>36132.0</v>
      </c>
      <c r="J180" s="457">
        <v>45117.0</v>
      </c>
      <c r="K180" s="456">
        <v>45260.0</v>
      </c>
      <c r="L180" s="453">
        <v>0.0</v>
      </c>
      <c r="M180" s="457">
        <v>45778.0</v>
      </c>
      <c r="N180" s="458">
        <v>45808.0</v>
      </c>
    </row>
    <row r="181">
      <c r="A181" s="452" t="s">
        <v>16</v>
      </c>
      <c r="B181" s="453">
        <v>4320.0</v>
      </c>
      <c r="C181" s="454"/>
      <c r="D181" s="453">
        <v>0.0</v>
      </c>
      <c r="E181" s="452" t="s">
        <v>398</v>
      </c>
      <c r="F181" s="452" t="s">
        <v>399</v>
      </c>
      <c r="G181" s="452" t="s">
        <v>400</v>
      </c>
      <c r="H181" s="455"/>
      <c r="I181" s="457">
        <v>36655.0</v>
      </c>
      <c r="J181" s="457">
        <v>45418.0</v>
      </c>
      <c r="K181" s="457">
        <v>45539.0</v>
      </c>
      <c r="L181" s="453">
        <v>0.0</v>
      </c>
      <c r="M181" s="457">
        <v>45778.0</v>
      </c>
      <c r="N181" s="458">
        <v>45808.0</v>
      </c>
    </row>
    <row r="182">
      <c r="A182" s="452" t="s">
        <v>16</v>
      </c>
      <c r="B182" s="453">
        <v>4320.0</v>
      </c>
      <c r="C182" s="454"/>
      <c r="D182" s="453">
        <v>0.0</v>
      </c>
      <c r="E182" s="452" t="s">
        <v>661</v>
      </c>
      <c r="F182" s="452" t="s">
        <v>662</v>
      </c>
      <c r="G182" s="452" t="s">
        <v>663</v>
      </c>
      <c r="H182" s="455"/>
      <c r="I182" s="457">
        <v>31262.0</v>
      </c>
      <c r="J182" s="457">
        <v>45048.0</v>
      </c>
      <c r="K182" s="456">
        <v>45199.0</v>
      </c>
      <c r="L182" s="453">
        <v>0.0</v>
      </c>
      <c r="M182" s="457">
        <v>45778.0</v>
      </c>
      <c r="N182" s="458">
        <v>45808.0</v>
      </c>
    </row>
    <row r="183">
      <c r="A183" s="452" t="s">
        <v>16</v>
      </c>
      <c r="B183" s="453">
        <v>4320.0</v>
      </c>
      <c r="C183" s="454"/>
      <c r="D183" s="453">
        <v>0.0</v>
      </c>
      <c r="E183" s="452" t="s">
        <v>147</v>
      </c>
      <c r="F183" s="452" t="s">
        <v>148</v>
      </c>
      <c r="G183" s="452" t="s">
        <v>149</v>
      </c>
      <c r="H183" s="455"/>
      <c r="I183" s="457">
        <v>36541.0</v>
      </c>
      <c r="J183" s="457">
        <v>44755.0</v>
      </c>
      <c r="K183" s="457">
        <v>45386.0</v>
      </c>
      <c r="L183" s="453">
        <v>0.0</v>
      </c>
      <c r="M183" s="457">
        <v>45778.0</v>
      </c>
      <c r="N183" s="458">
        <v>45808.0</v>
      </c>
    </row>
    <row r="184">
      <c r="A184" s="452" t="s">
        <v>16</v>
      </c>
      <c r="B184" s="453">
        <v>4320.0</v>
      </c>
      <c r="C184" s="454"/>
      <c r="D184" s="453">
        <v>0.0</v>
      </c>
      <c r="E184" s="452" t="s">
        <v>150</v>
      </c>
      <c r="F184" s="452" t="s">
        <v>151</v>
      </c>
      <c r="G184" s="452" t="s">
        <v>152</v>
      </c>
      <c r="H184" s="455"/>
      <c r="I184" s="457">
        <v>34335.0</v>
      </c>
      <c r="J184" s="457">
        <v>45078.0</v>
      </c>
      <c r="K184" s="457">
        <v>45400.0</v>
      </c>
      <c r="L184" s="453">
        <v>0.0</v>
      </c>
      <c r="M184" s="457">
        <v>45778.0</v>
      </c>
      <c r="N184" s="458">
        <v>45808.0</v>
      </c>
    </row>
    <row r="185">
      <c r="A185" s="452" t="s">
        <v>16</v>
      </c>
      <c r="B185" s="453">
        <v>4320.0</v>
      </c>
      <c r="C185" s="454"/>
      <c r="D185" s="453">
        <v>0.0</v>
      </c>
      <c r="E185" s="452" t="s">
        <v>153</v>
      </c>
      <c r="F185" s="452" t="s">
        <v>154</v>
      </c>
      <c r="G185" s="452" t="s">
        <v>155</v>
      </c>
      <c r="H185" s="455"/>
      <c r="I185" s="456">
        <v>31014.0</v>
      </c>
      <c r="J185" s="457">
        <v>44805.0</v>
      </c>
      <c r="K185" s="456">
        <v>45199.0</v>
      </c>
      <c r="L185" s="453">
        <v>0.0</v>
      </c>
      <c r="M185" s="457">
        <v>45778.0</v>
      </c>
      <c r="N185" s="458">
        <v>45808.0</v>
      </c>
    </row>
    <row r="186">
      <c r="A186" s="452" t="s">
        <v>16</v>
      </c>
      <c r="B186" s="453">
        <v>4320.0</v>
      </c>
      <c r="C186" s="454"/>
      <c r="D186" s="453">
        <v>0.0</v>
      </c>
      <c r="E186" s="452" t="s">
        <v>558</v>
      </c>
      <c r="F186" s="452" t="s">
        <v>559</v>
      </c>
      <c r="G186" s="452" t="s">
        <v>560</v>
      </c>
      <c r="H186" s="455"/>
      <c r="I186" s="457">
        <v>33811.0</v>
      </c>
      <c r="J186" s="457">
        <v>45663.0</v>
      </c>
      <c r="K186" s="456">
        <v>45667.0</v>
      </c>
      <c r="L186" s="453">
        <v>0.0</v>
      </c>
      <c r="M186" s="457">
        <v>45778.0</v>
      </c>
      <c r="N186" s="458">
        <v>45808.0</v>
      </c>
    </row>
    <row r="187">
      <c r="A187" s="452" t="s">
        <v>16</v>
      </c>
      <c r="B187" s="453">
        <v>4320.0</v>
      </c>
      <c r="C187" s="454"/>
      <c r="D187" s="453">
        <v>0.0</v>
      </c>
      <c r="E187" s="452" t="s">
        <v>664</v>
      </c>
      <c r="F187" s="452" t="s">
        <v>157</v>
      </c>
      <c r="G187" s="452" t="s">
        <v>158</v>
      </c>
      <c r="H187" s="455"/>
      <c r="I187" s="456">
        <v>35150.0</v>
      </c>
      <c r="J187" s="457">
        <v>45079.0</v>
      </c>
      <c r="K187" s="456">
        <v>45322.0</v>
      </c>
      <c r="L187" s="453">
        <v>0.0</v>
      </c>
      <c r="M187" s="457">
        <v>45778.0</v>
      </c>
      <c r="N187" s="458">
        <v>45808.0</v>
      </c>
    </row>
    <row r="188">
      <c r="A188" s="452" t="s">
        <v>16</v>
      </c>
      <c r="B188" s="453">
        <v>4320.0</v>
      </c>
      <c r="C188" s="454"/>
      <c r="D188" s="453">
        <v>0.0</v>
      </c>
      <c r="E188" s="452" t="s">
        <v>495</v>
      </c>
      <c r="F188" s="452" t="s">
        <v>538</v>
      </c>
      <c r="G188" s="452" t="s">
        <v>496</v>
      </c>
      <c r="H188" s="455"/>
      <c r="I188" s="457">
        <v>33452.0</v>
      </c>
      <c r="J188" s="457">
        <v>45628.0</v>
      </c>
      <c r="K188" s="456">
        <v>45728.0</v>
      </c>
      <c r="L188" s="453">
        <v>0.0</v>
      </c>
      <c r="M188" s="457">
        <v>45778.0</v>
      </c>
      <c r="N188" s="458">
        <v>45808.0</v>
      </c>
    </row>
    <row r="189">
      <c r="A189" s="452" t="s">
        <v>16</v>
      </c>
      <c r="B189" s="453">
        <v>4320.0</v>
      </c>
      <c r="C189" s="454"/>
      <c r="D189" s="453">
        <v>0.0</v>
      </c>
      <c r="E189" s="452" t="s">
        <v>665</v>
      </c>
      <c r="F189" s="452" t="s">
        <v>160</v>
      </c>
      <c r="G189" s="452" t="s">
        <v>161</v>
      </c>
      <c r="H189" s="455"/>
      <c r="I189" s="456">
        <v>35779.0</v>
      </c>
      <c r="J189" s="457">
        <v>45176.0</v>
      </c>
      <c r="K189" s="457">
        <v>45317.0</v>
      </c>
      <c r="L189" s="453">
        <v>0.0</v>
      </c>
      <c r="M189" s="457">
        <v>45778.0</v>
      </c>
      <c r="N189" s="458">
        <v>45808.0</v>
      </c>
    </row>
    <row r="190">
      <c r="A190" s="452" t="s">
        <v>16</v>
      </c>
      <c r="B190" s="453">
        <v>4320.0</v>
      </c>
      <c r="C190" s="454"/>
      <c r="D190" s="453">
        <v>0.0</v>
      </c>
      <c r="E190" s="452" t="s">
        <v>240</v>
      </c>
      <c r="F190" s="452" t="s">
        <v>241</v>
      </c>
      <c r="G190" s="452" t="s">
        <v>242</v>
      </c>
      <c r="H190" s="455"/>
      <c r="I190" s="457">
        <v>33762.0</v>
      </c>
      <c r="J190" s="456">
        <v>45222.0</v>
      </c>
      <c r="K190" s="457">
        <v>45046.0</v>
      </c>
      <c r="L190" s="453">
        <v>0.0</v>
      </c>
      <c r="M190" s="457">
        <v>45778.0</v>
      </c>
      <c r="N190" s="458">
        <v>45808.0</v>
      </c>
    </row>
    <row r="191">
      <c r="A191" s="452" t="s">
        <v>16</v>
      </c>
      <c r="B191" s="453">
        <v>4320.0</v>
      </c>
      <c r="C191" s="454"/>
      <c r="D191" s="453">
        <v>0.0</v>
      </c>
      <c r="E191" s="452" t="s">
        <v>168</v>
      </c>
      <c r="F191" s="452" t="s">
        <v>169</v>
      </c>
      <c r="G191" s="452" t="s">
        <v>170</v>
      </c>
      <c r="H191" s="455"/>
      <c r="I191" s="458">
        <v>35931.0</v>
      </c>
      <c r="J191" s="457">
        <v>44958.0</v>
      </c>
      <c r="K191" s="462">
        <v>45322.0</v>
      </c>
      <c r="L191" s="453">
        <v>0.0</v>
      </c>
      <c r="M191" s="457">
        <v>45778.0</v>
      </c>
      <c r="N191" s="458">
        <v>45808.0</v>
      </c>
    </row>
    <row r="192">
      <c r="A192" s="452" t="s">
        <v>16</v>
      </c>
      <c r="B192" s="453">
        <v>4320.0</v>
      </c>
      <c r="C192" s="454"/>
      <c r="D192" s="453">
        <v>0.0</v>
      </c>
      <c r="E192" s="452" t="s">
        <v>358</v>
      </c>
      <c r="F192" s="452" t="s">
        <v>359</v>
      </c>
      <c r="G192" s="452" t="s">
        <v>360</v>
      </c>
      <c r="H192" s="455"/>
      <c r="I192" s="458">
        <v>37397.0</v>
      </c>
      <c r="J192" s="456">
        <v>45377.0</v>
      </c>
      <c r="K192" s="456">
        <v>45454.0</v>
      </c>
      <c r="L192" s="453">
        <v>0.0</v>
      </c>
      <c r="M192" s="457">
        <v>45778.0</v>
      </c>
      <c r="N192" s="458">
        <v>45808.0</v>
      </c>
      <c r="O192" s="383"/>
      <c r="P192" s="383"/>
      <c r="Q192" s="383"/>
      <c r="R192" s="383"/>
      <c r="S192" s="383"/>
      <c r="T192" s="383"/>
      <c r="U192" s="383"/>
      <c r="V192" s="383"/>
      <c r="W192" s="383"/>
    </row>
    <row r="193">
      <c r="A193" s="452" t="s">
        <v>16</v>
      </c>
      <c r="B193" s="453">
        <v>4320.0</v>
      </c>
      <c r="C193" s="454"/>
      <c r="D193" s="453">
        <v>0.0</v>
      </c>
      <c r="E193" s="452" t="s">
        <v>276</v>
      </c>
      <c r="F193" s="452" t="s">
        <v>277</v>
      </c>
      <c r="G193" s="452" t="s">
        <v>278</v>
      </c>
      <c r="H193" s="455"/>
      <c r="I193" s="456">
        <v>37479.0</v>
      </c>
      <c r="J193" s="457">
        <v>45320.0</v>
      </c>
      <c r="K193" s="456">
        <v>45453.0</v>
      </c>
      <c r="L193" s="453">
        <v>0.0</v>
      </c>
      <c r="M193" s="457">
        <v>45778.0</v>
      </c>
      <c r="N193" s="458">
        <v>45808.0</v>
      </c>
      <c r="O193" s="383"/>
      <c r="P193" s="383"/>
      <c r="Q193" s="383"/>
      <c r="R193" s="383"/>
      <c r="S193" s="383"/>
      <c r="T193" s="383"/>
      <c r="U193" s="383"/>
      <c r="V193" s="383"/>
      <c r="W193" s="383"/>
    </row>
    <row r="194">
      <c r="A194" s="452" t="s">
        <v>16</v>
      </c>
      <c r="B194" s="453">
        <v>4320.0</v>
      </c>
      <c r="C194" s="454"/>
      <c r="D194" s="453">
        <v>0.0</v>
      </c>
      <c r="E194" s="452" t="s">
        <v>171</v>
      </c>
      <c r="F194" s="452" t="s">
        <v>172</v>
      </c>
      <c r="G194" s="452" t="s">
        <v>173</v>
      </c>
      <c r="H194" s="455"/>
      <c r="I194" s="457">
        <v>37005.0</v>
      </c>
      <c r="J194" s="456">
        <v>44802.0</v>
      </c>
      <c r="K194" s="457">
        <v>45303.0</v>
      </c>
      <c r="L194" s="453">
        <v>0.0</v>
      </c>
      <c r="M194" s="457">
        <v>45778.0</v>
      </c>
      <c r="N194" s="458">
        <v>45808.0</v>
      </c>
      <c r="O194" s="383"/>
      <c r="P194" s="383"/>
      <c r="Q194" s="383"/>
      <c r="R194" s="383"/>
      <c r="S194" s="383"/>
      <c r="T194" s="383"/>
      <c r="U194" s="383"/>
      <c r="V194" s="383"/>
      <c r="W194" s="383"/>
    </row>
    <row r="195">
      <c r="A195" s="452" t="s">
        <v>16</v>
      </c>
      <c r="B195" s="453">
        <v>4320.0</v>
      </c>
      <c r="C195" s="454"/>
      <c r="D195" s="453">
        <v>0.0</v>
      </c>
      <c r="E195" s="452" t="s">
        <v>243</v>
      </c>
      <c r="F195" s="452" t="s">
        <v>244</v>
      </c>
      <c r="G195" s="452" t="s">
        <v>245</v>
      </c>
      <c r="H195" s="455"/>
      <c r="I195" s="456">
        <v>36109.0</v>
      </c>
      <c r="J195" s="456">
        <v>45250.0</v>
      </c>
      <c r="K195" s="457">
        <v>45416.0</v>
      </c>
      <c r="L195" s="453">
        <v>0.0</v>
      </c>
      <c r="M195" s="457">
        <v>45778.0</v>
      </c>
      <c r="N195" s="458">
        <v>45808.0</v>
      </c>
      <c r="O195" s="383"/>
      <c r="P195" s="383"/>
      <c r="Q195" s="383"/>
      <c r="R195" s="383"/>
      <c r="S195" s="383"/>
      <c r="T195" s="383"/>
      <c r="U195" s="383"/>
      <c r="V195" s="383"/>
      <c r="W195" s="383"/>
    </row>
    <row r="196">
      <c r="A196" s="452" t="s">
        <v>16</v>
      </c>
      <c r="B196" s="453">
        <v>4320.0</v>
      </c>
      <c r="C196" s="454"/>
      <c r="D196" s="453">
        <v>0.0</v>
      </c>
      <c r="E196" s="452" t="s">
        <v>180</v>
      </c>
      <c r="F196" s="452" t="s">
        <v>181</v>
      </c>
      <c r="G196" s="452" t="s">
        <v>182</v>
      </c>
      <c r="H196" s="455"/>
      <c r="I196" s="458">
        <v>36297.0</v>
      </c>
      <c r="J196" s="456">
        <v>45001.0</v>
      </c>
      <c r="K196" s="456">
        <v>45359.0</v>
      </c>
      <c r="L196" s="453">
        <v>0.0</v>
      </c>
      <c r="M196" s="457">
        <v>45778.0</v>
      </c>
      <c r="N196" s="458">
        <v>45808.0</v>
      </c>
      <c r="O196" s="383"/>
      <c r="P196" s="383"/>
      <c r="Q196" s="383"/>
      <c r="R196" s="383"/>
      <c r="S196" s="383"/>
      <c r="T196" s="383"/>
      <c r="U196" s="383"/>
      <c r="V196" s="383"/>
      <c r="W196" s="383"/>
    </row>
    <row r="197">
      <c r="A197" s="452" t="s">
        <v>16</v>
      </c>
      <c r="B197" s="453">
        <v>4320.0</v>
      </c>
      <c r="C197" s="454"/>
      <c r="D197" s="453">
        <v>0.0</v>
      </c>
      <c r="E197" s="452" t="s">
        <v>258</v>
      </c>
      <c r="F197" s="452" t="s">
        <v>259</v>
      </c>
      <c r="G197" s="452" t="s">
        <v>260</v>
      </c>
      <c r="H197" s="455"/>
      <c r="I197" s="457">
        <v>35447.0</v>
      </c>
      <c r="J197" s="456">
        <v>45273.0</v>
      </c>
      <c r="K197" s="456">
        <v>45565.0</v>
      </c>
      <c r="L197" s="453">
        <v>0.0</v>
      </c>
      <c r="M197" s="457">
        <v>45778.0</v>
      </c>
      <c r="N197" s="458">
        <v>45808.0</v>
      </c>
      <c r="O197" s="383"/>
      <c r="P197" s="383"/>
      <c r="Q197" s="383"/>
      <c r="R197" s="383"/>
      <c r="S197" s="383"/>
      <c r="T197" s="383"/>
      <c r="U197" s="383"/>
      <c r="V197" s="383"/>
      <c r="W197" s="383"/>
    </row>
    <row r="198">
      <c r="A198" s="452" t="s">
        <v>16</v>
      </c>
      <c r="B198" s="453">
        <v>4320.0</v>
      </c>
      <c r="C198" s="454"/>
      <c r="D198" s="453">
        <v>0.0</v>
      </c>
      <c r="E198" s="452" t="s">
        <v>192</v>
      </c>
      <c r="F198" s="452" t="s">
        <v>193</v>
      </c>
      <c r="G198" s="452" t="s">
        <v>194</v>
      </c>
      <c r="H198" s="455"/>
      <c r="I198" s="457">
        <v>36075.0</v>
      </c>
      <c r="J198" s="456">
        <v>44977.0</v>
      </c>
      <c r="K198" s="456">
        <v>45351.0</v>
      </c>
      <c r="L198" s="453">
        <v>0.0</v>
      </c>
      <c r="M198" s="457">
        <v>45778.0</v>
      </c>
      <c r="N198" s="458">
        <v>45808.0</v>
      </c>
      <c r="O198" s="383"/>
      <c r="P198" s="383"/>
      <c r="Q198" s="383"/>
      <c r="R198" s="383"/>
      <c r="S198" s="383"/>
      <c r="T198" s="383"/>
      <c r="U198" s="383"/>
      <c r="V198" s="383"/>
      <c r="W198" s="383"/>
    </row>
    <row r="199">
      <c r="A199" s="452" t="s">
        <v>16</v>
      </c>
      <c r="B199" s="453">
        <v>4320.0</v>
      </c>
      <c r="C199" s="454"/>
      <c r="D199" s="453">
        <v>0.0</v>
      </c>
      <c r="E199" s="452" t="s">
        <v>201</v>
      </c>
      <c r="F199" s="452" t="s">
        <v>202</v>
      </c>
      <c r="G199" s="452" t="s">
        <v>203</v>
      </c>
      <c r="H199" s="455"/>
      <c r="I199" s="456">
        <v>36574.0</v>
      </c>
      <c r="J199" s="456">
        <v>45187.0</v>
      </c>
      <c r="K199" s="457">
        <v>45544.0</v>
      </c>
      <c r="L199" s="453">
        <v>0.0</v>
      </c>
      <c r="M199" s="457">
        <v>45778.0</v>
      </c>
      <c r="N199" s="458">
        <v>45808.0</v>
      </c>
      <c r="O199" s="466"/>
      <c r="P199" s="466"/>
      <c r="Q199" s="466"/>
      <c r="R199" s="466"/>
      <c r="S199" s="466"/>
      <c r="T199" s="466"/>
      <c r="U199" s="466"/>
      <c r="V199" s="466"/>
      <c r="W199" s="466"/>
    </row>
    <row r="200">
      <c r="A200" s="452" t="s">
        <v>16</v>
      </c>
      <c r="B200" s="453">
        <v>4320.0</v>
      </c>
      <c r="C200" s="454"/>
      <c r="D200" s="453">
        <v>0.0</v>
      </c>
      <c r="E200" s="452" t="s">
        <v>667</v>
      </c>
      <c r="F200" s="452" t="s">
        <v>668</v>
      </c>
      <c r="G200" s="452" t="s">
        <v>669</v>
      </c>
      <c r="H200" s="455"/>
      <c r="I200" s="456">
        <v>33961.0</v>
      </c>
      <c r="J200" s="456">
        <v>45229.0</v>
      </c>
      <c r="K200" s="456">
        <v>45408.0</v>
      </c>
      <c r="L200" s="453">
        <v>0.0</v>
      </c>
      <c r="M200" s="457">
        <v>45778.0</v>
      </c>
      <c r="N200" s="458">
        <v>45808.0</v>
      </c>
      <c r="O200" s="466"/>
      <c r="P200" s="466"/>
      <c r="Q200" s="466"/>
      <c r="R200" s="466"/>
      <c r="S200" s="466"/>
      <c r="T200" s="466"/>
      <c r="U200" s="466"/>
      <c r="V200" s="466"/>
      <c r="W200" s="466"/>
    </row>
    <row r="201">
      <c r="A201" s="452" t="s">
        <v>16</v>
      </c>
      <c r="B201" s="453">
        <v>4320.0</v>
      </c>
      <c r="C201" s="454"/>
      <c r="D201" s="453">
        <v>0.0</v>
      </c>
      <c r="E201" s="452" t="s">
        <v>670</v>
      </c>
      <c r="F201" s="452" t="s">
        <v>671</v>
      </c>
      <c r="G201" s="452" t="s">
        <v>672</v>
      </c>
      <c r="H201" s="455"/>
      <c r="I201" s="456">
        <v>36386.0</v>
      </c>
      <c r="J201" s="457">
        <v>45111.0</v>
      </c>
      <c r="K201" s="457">
        <v>45394.0</v>
      </c>
      <c r="L201" s="453">
        <v>0.0</v>
      </c>
      <c r="M201" s="457">
        <v>45778.0</v>
      </c>
      <c r="N201" s="458">
        <v>45808.0</v>
      </c>
      <c r="O201" s="466"/>
      <c r="P201" s="466"/>
      <c r="Q201" s="466"/>
      <c r="R201" s="466"/>
      <c r="S201" s="466"/>
      <c r="T201" s="466"/>
      <c r="U201" s="466"/>
      <c r="V201" s="466"/>
      <c r="W201" s="466"/>
    </row>
    <row r="202">
      <c r="A202" s="452" t="s">
        <v>16</v>
      </c>
      <c r="B202" s="453">
        <v>4320.0</v>
      </c>
      <c r="C202" s="454"/>
      <c r="D202" s="453">
        <v>0.0</v>
      </c>
      <c r="E202" s="452" t="s">
        <v>207</v>
      </c>
      <c r="F202" s="452" t="s">
        <v>208</v>
      </c>
      <c r="G202" s="452" t="s">
        <v>209</v>
      </c>
      <c r="H202" s="455"/>
      <c r="I202" s="456">
        <v>33156.0</v>
      </c>
      <c r="J202" s="457">
        <v>44562.0</v>
      </c>
      <c r="K202" s="456">
        <v>45473.0</v>
      </c>
      <c r="L202" s="453">
        <v>0.0</v>
      </c>
      <c r="M202" s="457">
        <v>45778.0</v>
      </c>
      <c r="N202" s="458">
        <v>45808.0</v>
      </c>
      <c r="O202" s="466"/>
      <c r="P202" s="466"/>
      <c r="Q202" s="466"/>
      <c r="R202" s="466"/>
      <c r="S202" s="466"/>
      <c r="T202" s="466"/>
      <c r="U202" s="466"/>
      <c r="V202" s="466"/>
      <c r="W202" s="466"/>
    </row>
    <row r="203">
      <c r="A203" s="452" t="s">
        <v>16</v>
      </c>
      <c r="B203" s="453">
        <v>4320.0</v>
      </c>
      <c r="C203" s="454"/>
      <c r="D203" s="453">
        <v>0.0</v>
      </c>
      <c r="E203" s="452" t="s">
        <v>304</v>
      </c>
      <c r="F203" s="452" t="s">
        <v>305</v>
      </c>
      <c r="G203" s="452" t="s">
        <v>306</v>
      </c>
      <c r="H203" s="455"/>
      <c r="I203" s="456">
        <v>35697.0</v>
      </c>
      <c r="J203" s="456">
        <v>45348.0</v>
      </c>
      <c r="K203" s="456">
        <v>45698.0</v>
      </c>
      <c r="L203" s="453">
        <v>0.0</v>
      </c>
      <c r="M203" s="457">
        <v>45778.0</v>
      </c>
      <c r="N203" s="458">
        <v>45808.0</v>
      </c>
      <c r="O203" s="466"/>
      <c r="P203" s="466"/>
      <c r="Q203" s="466"/>
      <c r="R203" s="466"/>
      <c r="S203" s="466"/>
      <c r="T203" s="466"/>
      <c r="U203" s="466"/>
      <c r="V203" s="466"/>
      <c r="W203" s="466"/>
    </row>
    <row r="204">
      <c r="A204" s="452" t="s">
        <v>16</v>
      </c>
      <c r="B204" s="453">
        <v>4320.0</v>
      </c>
      <c r="C204" s="454"/>
      <c r="D204" s="453">
        <v>0.0</v>
      </c>
      <c r="E204" s="452" t="s">
        <v>213</v>
      </c>
      <c r="F204" s="452" t="s">
        <v>214</v>
      </c>
      <c r="G204" s="452" t="s">
        <v>215</v>
      </c>
      <c r="H204" s="455"/>
      <c r="I204" s="456">
        <v>36797.0</v>
      </c>
      <c r="J204" s="456">
        <v>44886.0</v>
      </c>
      <c r="K204" s="456">
        <v>45747.0</v>
      </c>
      <c r="L204" s="453">
        <v>0.0</v>
      </c>
      <c r="M204" s="457">
        <v>45778.0</v>
      </c>
      <c r="N204" s="458">
        <v>45808.0</v>
      </c>
      <c r="O204" s="466"/>
      <c r="P204" s="466"/>
      <c r="Q204" s="466"/>
      <c r="R204" s="466"/>
      <c r="S204" s="466"/>
      <c r="T204" s="466"/>
      <c r="U204" s="466"/>
      <c r="V204" s="466"/>
      <c r="W204" s="466"/>
    </row>
    <row r="205">
      <c r="A205" s="452" t="s">
        <v>16</v>
      </c>
      <c r="B205" s="453">
        <v>4320.0</v>
      </c>
      <c r="C205" s="454"/>
      <c r="D205" s="453">
        <v>0.0</v>
      </c>
      <c r="E205" s="452" t="s">
        <v>673</v>
      </c>
      <c r="F205" s="452" t="s">
        <v>674</v>
      </c>
      <c r="G205" s="452" t="s">
        <v>675</v>
      </c>
      <c r="H205" s="455"/>
      <c r="I205" s="456">
        <v>36961.0</v>
      </c>
      <c r="J205" s="457">
        <v>44593.0</v>
      </c>
      <c r="K205" s="456">
        <v>45457.0</v>
      </c>
      <c r="L205" s="453">
        <v>0.0</v>
      </c>
      <c r="M205" s="457">
        <v>45778.0</v>
      </c>
      <c r="N205" s="458">
        <v>45808.0</v>
      </c>
      <c r="O205" s="466"/>
      <c r="P205" s="466"/>
      <c r="Q205" s="466"/>
      <c r="R205" s="466"/>
      <c r="S205" s="466"/>
      <c r="T205" s="466"/>
      <c r="U205" s="466"/>
      <c r="V205" s="466"/>
      <c r="W205" s="466"/>
    </row>
    <row r="206">
      <c r="A206" s="452" t="s">
        <v>16</v>
      </c>
      <c r="B206" s="453">
        <v>4320.0</v>
      </c>
      <c r="C206" s="454"/>
      <c r="D206" s="453">
        <v>0.0</v>
      </c>
      <c r="E206" s="452" t="s">
        <v>222</v>
      </c>
      <c r="F206" s="452" t="s">
        <v>223</v>
      </c>
      <c r="G206" s="452" t="s">
        <v>224</v>
      </c>
      <c r="H206" s="455"/>
      <c r="I206" s="457">
        <v>35818.0</v>
      </c>
      <c r="J206" s="457">
        <v>45089.0</v>
      </c>
      <c r="K206" s="456">
        <v>45747.0</v>
      </c>
      <c r="L206" s="453">
        <v>0.0</v>
      </c>
      <c r="M206" s="457">
        <v>45778.0</v>
      </c>
      <c r="N206" s="458">
        <v>45808.0</v>
      </c>
      <c r="O206" s="466"/>
      <c r="P206" s="466"/>
      <c r="Q206" s="466"/>
      <c r="R206" s="466"/>
      <c r="S206" s="466"/>
      <c r="T206" s="466"/>
      <c r="U206" s="466"/>
      <c r="V206" s="466"/>
      <c r="W206" s="466"/>
    </row>
    <row r="207">
      <c r="A207" s="452" t="s">
        <v>16</v>
      </c>
      <c r="B207" s="453">
        <v>4320.0</v>
      </c>
      <c r="C207" s="454"/>
      <c r="D207" s="453">
        <v>0.0</v>
      </c>
      <c r="E207" s="452" t="s">
        <v>679</v>
      </c>
      <c r="F207" s="452" t="s">
        <v>680</v>
      </c>
      <c r="G207" s="452" t="s">
        <v>681</v>
      </c>
      <c r="H207" s="455"/>
      <c r="I207" s="457">
        <v>34915.0</v>
      </c>
      <c r="J207" s="456">
        <v>45153.0</v>
      </c>
      <c r="K207" s="457">
        <v>45306.0</v>
      </c>
      <c r="L207" s="453">
        <v>0.0</v>
      </c>
      <c r="M207" s="457">
        <v>45778.0</v>
      </c>
      <c r="N207" s="458">
        <v>45808.0</v>
      </c>
      <c r="O207" s="466"/>
      <c r="P207" s="466"/>
      <c r="Q207" s="466"/>
      <c r="R207" s="466"/>
      <c r="S207" s="466"/>
      <c r="T207" s="466"/>
      <c r="U207" s="466"/>
      <c r="V207" s="466"/>
      <c r="W207" s="466"/>
    </row>
    <row r="208">
      <c r="A208" s="452" t="s">
        <v>16</v>
      </c>
      <c r="B208" s="453">
        <v>4320.0</v>
      </c>
      <c r="C208" s="454"/>
      <c r="D208" s="453">
        <v>0.0</v>
      </c>
      <c r="E208" s="452" t="s">
        <v>682</v>
      </c>
      <c r="F208" s="452" t="s">
        <v>683</v>
      </c>
      <c r="G208" s="452" t="s">
        <v>684</v>
      </c>
      <c r="H208" s="455"/>
      <c r="I208" s="457">
        <v>36545.0</v>
      </c>
      <c r="J208" s="457">
        <v>44562.0</v>
      </c>
      <c r="K208" s="457">
        <v>45476.0</v>
      </c>
      <c r="L208" s="453">
        <v>0.0</v>
      </c>
      <c r="M208" s="457">
        <v>45778.0</v>
      </c>
      <c r="N208" s="458">
        <v>45808.0</v>
      </c>
      <c r="O208" s="466"/>
      <c r="P208" s="466"/>
      <c r="Q208" s="466"/>
      <c r="R208" s="466"/>
      <c r="S208" s="466"/>
      <c r="T208" s="466"/>
      <c r="U208" s="466"/>
      <c r="V208" s="466"/>
      <c r="W208" s="466"/>
    </row>
    <row r="209">
      <c r="A209" s="452" t="s">
        <v>16</v>
      </c>
      <c r="B209" s="453">
        <v>4320.0</v>
      </c>
      <c r="C209" s="454"/>
      <c r="D209" s="453">
        <v>0.0</v>
      </c>
      <c r="E209" s="452" t="s">
        <v>307</v>
      </c>
      <c r="F209" s="452" t="s">
        <v>308</v>
      </c>
      <c r="G209" s="452" t="s">
        <v>309</v>
      </c>
      <c r="H209" s="455"/>
      <c r="I209" s="456">
        <v>36522.0</v>
      </c>
      <c r="J209" s="457">
        <v>45328.0</v>
      </c>
      <c r="K209" s="456">
        <v>45572.0</v>
      </c>
      <c r="L209" s="453">
        <v>0.0</v>
      </c>
      <c r="M209" s="457">
        <v>45778.0</v>
      </c>
      <c r="N209" s="458">
        <v>45808.0</v>
      </c>
      <c r="O209" s="466"/>
      <c r="P209" s="466"/>
      <c r="Q209" s="466"/>
      <c r="R209" s="466"/>
      <c r="S209" s="466"/>
      <c r="T209" s="466"/>
      <c r="U209" s="466"/>
      <c r="V209" s="466"/>
      <c r="W209" s="466"/>
    </row>
    <row r="210">
      <c r="A210" s="366" t="s">
        <v>16</v>
      </c>
      <c r="B210" s="367">
        <v>4320.0</v>
      </c>
      <c r="C210" s="369"/>
      <c r="D210" s="367">
        <v>0.0</v>
      </c>
      <c r="E210" s="366" t="s">
        <v>222</v>
      </c>
      <c r="F210" s="366" t="s">
        <v>223</v>
      </c>
      <c r="G210" s="366" t="s">
        <v>224</v>
      </c>
      <c r="H210" s="369"/>
      <c r="I210" s="370">
        <v>35818.0</v>
      </c>
      <c r="J210" s="370">
        <v>45089.0</v>
      </c>
      <c r="K210" s="371">
        <v>45747.0</v>
      </c>
      <c r="L210" s="367">
        <v>0.0</v>
      </c>
      <c r="M210" s="370">
        <v>45778.0</v>
      </c>
      <c r="N210" s="370">
        <v>45808.0</v>
      </c>
      <c r="O210" s="466"/>
      <c r="P210" s="466"/>
      <c r="Q210" s="466"/>
      <c r="R210" s="466"/>
      <c r="S210" s="466"/>
      <c r="T210" s="466"/>
      <c r="U210" s="466"/>
      <c r="V210" s="466"/>
      <c r="W210" s="466"/>
    </row>
    <row r="211">
      <c r="A211" s="366" t="s">
        <v>16</v>
      </c>
      <c r="B211" s="367">
        <v>4320.0</v>
      </c>
      <c r="C211" s="369"/>
      <c r="D211" s="367">
        <v>0.0</v>
      </c>
      <c r="E211" s="366" t="s">
        <v>676</v>
      </c>
      <c r="F211" s="366" t="s">
        <v>677</v>
      </c>
      <c r="G211" s="366" t="s">
        <v>678</v>
      </c>
      <c r="H211" s="369"/>
      <c r="I211" s="371">
        <v>36096.0</v>
      </c>
      <c r="J211" s="371">
        <v>44562.0</v>
      </c>
      <c r="K211" s="371">
        <v>45199.0</v>
      </c>
      <c r="L211" s="367">
        <v>0.0</v>
      </c>
      <c r="M211" s="370">
        <v>45778.0</v>
      </c>
      <c r="N211" s="370">
        <v>45808.0</v>
      </c>
      <c r="O211" s="466"/>
      <c r="P211" s="466"/>
      <c r="Q211" s="466"/>
      <c r="R211" s="466"/>
      <c r="S211" s="466"/>
      <c r="T211" s="466"/>
      <c r="U211" s="466"/>
      <c r="V211" s="466"/>
      <c r="W211" s="466"/>
    </row>
    <row r="212">
      <c r="A212" s="366" t="s">
        <v>16</v>
      </c>
      <c r="B212" s="367">
        <v>4320.0</v>
      </c>
      <c r="C212" s="369"/>
      <c r="D212" s="367">
        <v>0.0</v>
      </c>
      <c r="E212" s="366" t="s">
        <v>679</v>
      </c>
      <c r="F212" s="366" t="s">
        <v>680</v>
      </c>
      <c r="G212" s="366" t="s">
        <v>681</v>
      </c>
      <c r="H212" s="369"/>
      <c r="I212" s="371">
        <v>34915.0</v>
      </c>
      <c r="J212" s="371">
        <v>45153.0</v>
      </c>
      <c r="K212" s="371">
        <v>45306.0</v>
      </c>
      <c r="L212" s="367">
        <v>0.0</v>
      </c>
      <c r="M212" s="370">
        <v>45778.0</v>
      </c>
      <c r="N212" s="370">
        <v>45808.0</v>
      </c>
      <c r="O212" s="466"/>
      <c r="P212" s="466"/>
      <c r="Q212" s="466"/>
      <c r="R212" s="466"/>
      <c r="S212" s="466"/>
      <c r="T212" s="466"/>
      <c r="U212" s="466"/>
      <c r="V212" s="466"/>
      <c r="W212" s="466"/>
    </row>
    <row r="213">
      <c r="A213" s="366" t="s">
        <v>16</v>
      </c>
      <c r="B213" s="367">
        <v>4320.0</v>
      </c>
      <c r="C213" s="369"/>
      <c r="D213" s="367">
        <v>0.0</v>
      </c>
      <c r="E213" s="366" t="s">
        <v>682</v>
      </c>
      <c r="F213" s="366" t="s">
        <v>683</v>
      </c>
      <c r="G213" s="366" t="s">
        <v>684</v>
      </c>
      <c r="H213" s="369"/>
      <c r="I213" s="371">
        <v>36545.0</v>
      </c>
      <c r="J213" s="371">
        <v>44562.0</v>
      </c>
      <c r="K213" s="371">
        <v>45476.0</v>
      </c>
      <c r="L213" s="367">
        <v>0.0</v>
      </c>
      <c r="M213" s="370">
        <v>45778.0</v>
      </c>
      <c r="N213" s="370">
        <v>45808.0</v>
      </c>
      <c r="O213" s="466"/>
      <c r="P213" s="466"/>
      <c r="Q213" s="466"/>
      <c r="R213" s="466"/>
      <c r="S213" s="466"/>
      <c r="T213" s="466"/>
      <c r="U213" s="466"/>
      <c r="V213" s="466"/>
      <c r="W213" s="466"/>
    </row>
    <row r="214">
      <c r="A214" s="366" t="s">
        <v>16</v>
      </c>
      <c r="B214" s="367">
        <v>4320.0</v>
      </c>
      <c r="C214" s="369"/>
      <c r="D214" s="367">
        <v>0.0</v>
      </c>
      <c r="E214" s="366" t="s">
        <v>307</v>
      </c>
      <c r="F214" s="366" t="s">
        <v>308</v>
      </c>
      <c r="G214" s="366" t="s">
        <v>309</v>
      </c>
      <c r="H214" s="369"/>
      <c r="I214" s="371">
        <v>36522.0</v>
      </c>
      <c r="J214" s="371">
        <v>45328.0</v>
      </c>
      <c r="K214" s="371">
        <v>45572.0</v>
      </c>
      <c r="L214" s="367">
        <v>0.0</v>
      </c>
      <c r="M214" s="370">
        <v>45778.0</v>
      </c>
      <c r="N214" s="370">
        <v>45808.0</v>
      </c>
      <c r="O214" s="466"/>
      <c r="P214" s="466"/>
      <c r="Q214" s="466"/>
      <c r="R214" s="466"/>
      <c r="S214" s="466"/>
      <c r="T214" s="466"/>
      <c r="U214" s="466"/>
      <c r="V214" s="466"/>
      <c r="W214" s="466"/>
    </row>
    <row r="215">
      <c r="D215" s="310"/>
      <c r="E215" s="311"/>
      <c r="L215" s="384">
        <f>SUM(L2:L214)</f>
        <v>3244</v>
      </c>
      <c r="O215" s="466"/>
      <c r="P215" s="466"/>
      <c r="Q215" s="466"/>
      <c r="R215" s="466"/>
      <c r="S215" s="466"/>
      <c r="T215" s="466"/>
      <c r="U215" s="466"/>
      <c r="V215" s="466"/>
      <c r="W215" s="466"/>
    </row>
    <row r="216">
      <c r="D216" s="310"/>
      <c r="E216" s="311"/>
    </row>
    <row r="217">
      <c r="D217" s="310"/>
      <c r="E217" s="311"/>
    </row>
    <row r="218">
      <c r="D218" s="310"/>
      <c r="E218" s="311"/>
      <c r="L218" s="365">
        <f>L215-'May Refrence 25'!L117</f>
        <v>0</v>
      </c>
    </row>
    <row r="219">
      <c r="D219" s="310"/>
      <c r="E219" s="311"/>
    </row>
    <row r="220">
      <c r="D220" s="310"/>
      <c r="E220" s="311"/>
    </row>
    <row r="221">
      <c r="D221" s="310"/>
      <c r="E221" s="311"/>
    </row>
    <row r="222">
      <c r="D222" s="310"/>
      <c r="E222" s="311"/>
    </row>
    <row r="223">
      <c r="D223" s="310"/>
      <c r="E223" s="311"/>
    </row>
    <row r="224">
      <c r="D224" s="310"/>
      <c r="E224" s="311"/>
    </row>
    <row r="225">
      <c r="D225" s="310"/>
      <c r="E225" s="311"/>
    </row>
    <row r="226">
      <c r="D226" s="310"/>
      <c r="E226" s="311"/>
    </row>
    <row r="227">
      <c r="D227" s="310"/>
      <c r="E227" s="311"/>
      <c r="L227" s="7"/>
    </row>
    <row r="228">
      <c r="D228" s="310"/>
      <c r="E228" s="311"/>
    </row>
    <row r="229">
      <c r="D229" s="310"/>
      <c r="E229" s="311"/>
    </row>
    <row r="230">
      <c r="D230" s="310"/>
      <c r="E230" s="311"/>
    </row>
    <row r="231">
      <c r="D231" s="310"/>
      <c r="E231" s="311"/>
    </row>
    <row r="232">
      <c r="D232" s="310"/>
      <c r="E232" s="311"/>
    </row>
    <row r="233">
      <c r="D233" s="310"/>
      <c r="E233" s="311"/>
    </row>
    <row r="234">
      <c r="D234" s="310"/>
      <c r="E234" s="311"/>
    </row>
    <row r="235">
      <c r="D235" s="310"/>
      <c r="E235" s="311"/>
    </row>
    <row r="236">
      <c r="D236" s="310"/>
      <c r="E236" s="311"/>
    </row>
    <row r="237">
      <c r="D237" s="310"/>
      <c r="E237" s="311"/>
    </row>
    <row r="238">
      <c r="D238" s="310"/>
      <c r="E238" s="311"/>
    </row>
    <row r="239">
      <c r="D239" s="310"/>
      <c r="E239" s="311"/>
    </row>
    <row r="240">
      <c r="D240" s="310"/>
      <c r="E240" s="311"/>
    </row>
    <row r="241">
      <c r="D241" s="310"/>
      <c r="E241" s="311"/>
    </row>
    <row r="242">
      <c r="D242" s="310"/>
      <c r="E242" s="311"/>
    </row>
    <row r="243">
      <c r="D243" s="310"/>
      <c r="E243" s="3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row r="734">
      <c r="D734" s="310"/>
      <c r="E734" s="311"/>
    </row>
    <row r="735">
      <c r="D735" s="310"/>
      <c r="E735" s="311"/>
    </row>
    <row r="736">
      <c r="D736" s="310"/>
      <c r="E736" s="311"/>
    </row>
    <row r="737">
      <c r="D737" s="310"/>
      <c r="E737" s="311"/>
    </row>
    <row r="738">
      <c r="D738" s="310"/>
      <c r="E738" s="311"/>
    </row>
    <row r="739">
      <c r="D739" s="310"/>
      <c r="E739" s="311"/>
    </row>
    <row r="740">
      <c r="D740" s="310"/>
      <c r="E740" s="311"/>
    </row>
    <row r="741">
      <c r="D741" s="310"/>
      <c r="E741" s="311"/>
    </row>
    <row r="742">
      <c r="D742" s="310"/>
      <c r="E742" s="311"/>
    </row>
    <row r="743">
      <c r="D743" s="310"/>
      <c r="E743" s="311"/>
    </row>
    <row r="744">
      <c r="D744" s="310"/>
      <c r="E744" s="311"/>
    </row>
    <row r="745">
      <c r="D745" s="310"/>
      <c r="E745" s="311"/>
    </row>
    <row r="746">
      <c r="D746" s="310"/>
      <c r="E746" s="311"/>
    </row>
    <row r="747">
      <c r="D747" s="310"/>
      <c r="E747" s="311"/>
    </row>
    <row r="748">
      <c r="D748" s="310"/>
      <c r="E748" s="311"/>
    </row>
    <row r="749">
      <c r="D749" s="310"/>
      <c r="E749" s="311"/>
    </row>
    <row r="750">
      <c r="D750" s="310"/>
      <c r="E750" s="311"/>
    </row>
    <row r="751">
      <c r="D751" s="310"/>
      <c r="E751" s="311"/>
    </row>
    <row r="752">
      <c r="D752" s="310"/>
      <c r="E752" s="311"/>
    </row>
    <row r="753">
      <c r="D753" s="310"/>
      <c r="E753" s="311"/>
    </row>
    <row r="754">
      <c r="D754" s="310"/>
      <c r="E754" s="311"/>
    </row>
    <row r="755">
      <c r="D755" s="310"/>
      <c r="E755" s="311"/>
    </row>
    <row r="756">
      <c r="D756" s="310"/>
      <c r="E756" s="311"/>
    </row>
    <row r="757">
      <c r="D757" s="310"/>
      <c r="E757" s="311"/>
    </row>
    <row r="758">
      <c r="D758" s="310"/>
      <c r="E758" s="311"/>
    </row>
    <row r="759">
      <c r="D759" s="310"/>
      <c r="E759" s="311"/>
    </row>
    <row r="760">
      <c r="D760" s="310"/>
      <c r="E760" s="311"/>
    </row>
    <row r="761">
      <c r="D761" s="310"/>
      <c r="E761" s="311"/>
    </row>
    <row r="762">
      <c r="D762" s="310"/>
      <c r="E762" s="311"/>
    </row>
    <row r="763">
      <c r="D763" s="310"/>
      <c r="E763" s="311"/>
    </row>
    <row r="764">
      <c r="D764" s="310"/>
      <c r="E764" s="311"/>
    </row>
    <row r="765">
      <c r="D765" s="310"/>
      <c r="E765" s="311"/>
    </row>
    <row r="766">
      <c r="D766" s="310"/>
      <c r="E766" s="311"/>
    </row>
    <row r="767">
      <c r="D767" s="310"/>
      <c r="E767" s="311"/>
    </row>
    <row r="768">
      <c r="D768" s="310"/>
      <c r="E768" s="311"/>
    </row>
    <row r="769">
      <c r="D769" s="310"/>
      <c r="E769" s="311"/>
    </row>
    <row r="770">
      <c r="D770" s="310"/>
      <c r="E770" s="311"/>
    </row>
    <row r="771">
      <c r="D771" s="310"/>
      <c r="E771" s="311"/>
    </row>
    <row r="772">
      <c r="D772" s="310"/>
      <c r="E772" s="311"/>
    </row>
    <row r="773">
      <c r="D773" s="310"/>
      <c r="E773" s="311"/>
    </row>
    <row r="774">
      <c r="D774" s="310"/>
      <c r="E774" s="311"/>
    </row>
    <row r="775">
      <c r="D775" s="310"/>
      <c r="E775" s="311"/>
    </row>
    <row r="776">
      <c r="D776" s="310"/>
      <c r="E776" s="311"/>
    </row>
    <row r="777">
      <c r="D777" s="310"/>
      <c r="E777" s="311"/>
    </row>
    <row r="778">
      <c r="D778" s="310"/>
      <c r="E778" s="311"/>
    </row>
    <row r="779">
      <c r="D779" s="310"/>
      <c r="E779" s="311"/>
    </row>
    <row r="780">
      <c r="D780" s="310"/>
      <c r="E780" s="311"/>
    </row>
    <row r="781">
      <c r="D781" s="310"/>
      <c r="E781" s="311"/>
    </row>
    <row r="782">
      <c r="D782" s="310"/>
      <c r="E782" s="311"/>
    </row>
    <row r="783">
      <c r="D783" s="310"/>
      <c r="E783" s="311"/>
    </row>
    <row r="784">
      <c r="D784" s="310"/>
      <c r="E784" s="311"/>
    </row>
    <row r="785">
      <c r="D785" s="310"/>
      <c r="E785" s="311"/>
    </row>
    <row r="786">
      <c r="D786" s="310"/>
      <c r="E786" s="311"/>
    </row>
    <row r="787">
      <c r="D787" s="310"/>
      <c r="E787" s="311"/>
    </row>
    <row r="788">
      <c r="D788" s="310"/>
      <c r="E788" s="311"/>
    </row>
    <row r="789">
      <c r="D789" s="310"/>
      <c r="E789" s="311"/>
    </row>
    <row r="790">
      <c r="D790" s="310"/>
      <c r="E790" s="311"/>
    </row>
    <row r="791">
      <c r="D791" s="310"/>
      <c r="E791" s="311"/>
    </row>
    <row r="792">
      <c r="D792" s="310"/>
      <c r="E792" s="311"/>
    </row>
    <row r="793">
      <c r="D793" s="310"/>
      <c r="E793" s="311"/>
    </row>
    <row r="794">
      <c r="D794" s="310"/>
      <c r="E794" s="311"/>
    </row>
    <row r="795">
      <c r="D795" s="310"/>
      <c r="E795" s="311"/>
    </row>
    <row r="796">
      <c r="D796" s="310"/>
      <c r="E796" s="311"/>
    </row>
    <row r="797">
      <c r="D797" s="310"/>
      <c r="E797" s="311"/>
    </row>
    <row r="798">
      <c r="D798" s="310"/>
      <c r="E798" s="311"/>
    </row>
    <row r="799">
      <c r="D799" s="310"/>
      <c r="E799" s="311"/>
    </row>
    <row r="800">
      <c r="D800" s="310"/>
      <c r="E800" s="311"/>
    </row>
    <row r="801">
      <c r="D801" s="310"/>
      <c r="E801" s="311"/>
    </row>
    <row r="802">
      <c r="D802" s="310"/>
      <c r="E802" s="311"/>
    </row>
    <row r="803">
      <c r="D803" s="310"/>
      <c r="E803" s="311"/>
    </row>
    <row r="804">
      <c r="D804" s="310"/>
      <c r="E804" s="311"/>
    </row>
    <row r="805">
      <c r="D805" s="310"/>
      <c r="E805" s="311"/>
    </row>
    <row r="806">
      <c r="D806" s="310"/>
      <c r="E806" s="311"/>
    </row>
    <row r="807">
      <c r="D807" s="310"/>
      <c r="E807" s="311"/>
    </row>
    <row r="808">
      <c r="D808" s="310"/>
      <c r="E808" s="311"/>
    </row>
    <row r="809">
      <c r="D809" s="310"/>
      <c r="E809" s="311"/>
    </row>
    <row r="810">
      <c r="D810" s="310"/>
      <c r="E810" s="311"/>
    </row>
    <row r="811">
      <c r="D811" s="310"/>
      <c r="E811" s="311"/>
    </row>
    <row r="812">
      <c r="D812" s="310"/>
      <c r="E812" s="311"/>
    </row>
    <row r="813">
      <c r="D813" s="310"/>
      <c r="E813" s="311"/>
    </row>
    <row r="814">
      <c r="D814" s="310"/>
      <c r="E814" s="311"/>
    </row>
    <row r="815">
      <c r="D815" s="310"/>
      <c r="E815" s="311"/>
    </row>
    <row r="816">
      <c r="D816" s="310"/>
      <c r="E816" s="311"/>
    </row>
    <row r="817">
      <c r="D817" s="310"/>
      <c r="E817" s="311"/>
    </row>
    <row r="818">
      <c r="D818" s="310"/>
      <c r="E818" s="311"/>
    </row>
    <row r="819">
      <c r="D819" s="310"/>
      <c r="E819" s="311"/>
    </row>
    <row r="820">
      <c r="D820" s="310"/>
      <c r="E820" s="311"/>
    </row>
    <row r="821">
      <c r="D821" s="310"/>
      <c r="E821" s="311"/>
    </row>
    <row r="822">
      <c r="D822" s="310"/>
      <c r="E822" s="311"/>
    </row>
    <row r="823">
      <c r="D823" s="310"/>
      <c r="E823" s="311"/>
    </row>
    <row r="824">
      <c r="D824" s="310"/>
      <c r="E824" s="311"/>
    </row>
    <row r="825">
      <c r="D825" s="310"/>
      <c r="E825" s="311"/>
    </row>
    <row r="826">
      <c r="D826" s="310"/>
      <c r="E826" s="311"/>
    </row>
    <row r="827">
      <c r="D827" s="310"/>
      <c r="E827" s="311"/>
    </row>
    <row r="828">
      <c r="D828" s="310"/>
      <c r="E828" s="311"/>
    </row>
    <row r="829">
      <c r="D829" s="310"/>
      <c r="E829" s="311"/>
    </row>
    <row r="830">
      <c r="D830" s="310"/>
      <c r="E830" s="311"/>
    </row>
    <row r="831">
      <c r="D831" s="310"/>
      <c r="E831" s="311"/>
    </row>
    <row r="832">
      <c r="D832" s="310"/>
      <c r="E832" s="311"/>
    </row>
    <row r="833">
      <c r="D833" s="310"/>
      <c r="E833" s="311"/>
    </row>
    <row r="834">
      <c r="D834" s="310"/>
      <c r="E834" s="311"/>
    </row>
    <row r="835">
      <c r="D835" s="310"/>
      <c r="E835" s="311"/>
    </row>
    <row r="836">
      <c r="D836" s="310"/>
      <c r="E836" s="311"/>
    </row>
    <row r="837">
      <c r="D837" s="310"/>
      <c r="E837" s="311"/>
    </row>
    <row r="838">
      <c r="D838" s="310"/>
      <c r="E838" s="311"/>
    </row>
    <row r="839">
      <c r="D839" s="310"/>
      <c r="E839" s="311"/>
    </row>
    <row r="840">
      <c r="D840" s="310"/>
      <c r="E840" s="311"/>
    </row>
    <row r="841">
      <c r="D841" s="310"/>
      <c r="E841" s="311"/>
    </row>
    <row r="842">
      <c r="D842" s="310"/>
      <c r="E842" s="311"/>
    </row>
    <row r="843">
      <c r="D843" s="310"/>
      <c r="E843" s="311"/>
    </row>
    <row r="844">
      <c r="D844" s="310"/>
      <c r="E844" s="311"/>
    </row>
    <row r="845">
      <c r="D845" s="310"/>
      <c r="E845" s="311"/>
    </row>
    <row r="846">
      <c r="D846" s="310"/>
      <c r="E846" s="311"/>
    </row>
    <row r="847">
      <c r="D847" s="310"/>
      <c r="E847" s="311"/>
    </row>
    <row r="848">
      <c r="D848" s="310"/>
      <c r="E848" s="311"/>
    </row>
    <row r="849">
      <c r="D849" s="310"/>
      <c r="E849" s="311"/>
    </row>
    <row r="850">
      <c r="D850" s="310"/>
      <c r="E850" s="311"/>
    </row>
    <row r="851">
      <c r="D851" s="310"/>
      <c r="E851" s="311"/>
    </row>
    <row r="852">
      <c r="D852" s="310"/>
      <c r="E852" s="311"/>
    </row>
    <row r="853">
      <c r="D853" s="310"/>
      <c r="E853" s="311"/>
    </row>
    <row r="854">
      <c r="D854" s="310"/>
      <c r="E854" s="311"/>
    </row>
    <row r="855">
      <c r="D855" s="310"/>
      <c r="E855" s="311"/>
    </row>
    <row r="856">
      <c r="D856" s="310"/>
      <c r="E856" s="311"/>
    </row>
    <row r="857">
      <c r="D857" s="310"/>
      <c r="E857" s="311"/>
    </row>
    <row r="858">
      <c r="D858" s="310"/>
      <c r="E858" s="311"/>
    </row>
    <row r="859">
      <c r="D859" s="310"/>
      <c r="E859" s="311"/>
    </row>
    <row r="860">
      <c r="D860" s="310"/>
      <c r="E860" s="311"/>
    </row>
    <row r="861">
      <c r="D861" s="310"/>
      <c r="E861" s="311"/>
    </row>
    <row r="862">
      <c r="D862" s="310"/>
      <c r="E862" s="311"/>
    </row>
    <row r="863">
      <c r="D863" s="310"/>
      <c r="E863" s="311"/>
    </row>
    <row r="864">
      <c r="D864" s="310"/>
      <c r="E864" s="311"/>
    </row>
    <row r="865">
      <c r="D865" s="310"/>
      <c r="E865" s="311"/>
    </row>
    <row r="866">
      <c r="D866" s="310"/>
      <c r="E866" s="311"/>
    </row>
    <row r="867">
      <c r="D867" s="310"/>
      <c r="E867" s="311"/>
    </row>
    <row r="868">
      <c r="D868" s="310"/>
      <c r="E868" s="311"/>
    </row>
    <row r="869">
      <c r="D869" s="310"/>
      <c r="E869" s="311"/>
    </row>
    <row r="870">
      <c r="D870" s="310"/>
      <c r="E870" s="311"/>
    </row>
    <row r="871">
      <c r="D871" s="310"/>
      <c r="E871" s="311"/>
    </row>
    <row r="872">
      <c r="D872" s="310"/>
      <c r="E872" s="311"/>
    </row>
    <row r="873">
      <c r="D873" s="310"/>
      <c r="E873" s="311"/>
    </row>
    <row r="874">
      <c r="D874" s="310"/>
      <c r="E874" s="311"/>
    </row>
    <row r="875">
      <c r="D875" s="310"/>
      <c r="E875" s="311"/>
    </row>
    <row r="876">
      <c r="D876" s="310"/>
      <c r="E876" s="311"/>
    </row>
    <row r="877">
      <c r="D877" s="310"/>
      <c r="E877" s="311"/>
    </row>
    <row r="878">
      <c r="D878" s="310"/>
      <c r="E878" s="311"/>
    </row>
    <row r="879">
      <c r="D879" s="310"/>
      <c r="E879" s="311"/>
    </row>
    <row r="880">
      <c r="D880" s="310"/>
      <c r="E880" s="311"/>
    </row>
    <row r="881">
      <c r="D881" s="310"/>
      <c r="E881" s="311"/>
    </row>
    <row r="882">
      <c r="D882" s="310"/>
      <c r="E882" s="311"/>
    </row>
    <row r="883">
      <c r="D883" s="310"/>
      <c r="E883" s="311"/>
    </row>
    <row r="884">
      <c r="D884" s="310"/>
      <c r="E884" s="311"/>
    </row>
    <row r="885">
      <c r="D885" s="310"/>
      <c r="E885" s="311"/>
    </row>
    <row r="886">
      <c r="D886" s="310"/>
      <c r="E886" s="311"/>
    </row>
    <row r="887">
      <c r="D887" s="310"/>
      <c r="E887" s="311"/>
    </row>
    <row r="888">
      <c r="D888" s="310"/>
      <c r="E888" s="311"/>
    </row>
    <row r="889">
      <c r="D889" s="310"/>
      <c r="E889" s="311"/>
    </row>
    <row r="890">
      <c r="D890" s="310"/>
      <c r="E890" s="311"/>
    </row>
    <row r="891">
      <c r="D891" s="310"/>
      <c r="E891" s="311"/>
    </row>
    <row r="892">
      <c r="D892" s="310"/>
      <c r="E892" s="311"/>
    </row>
    <row r="893">
      <c r="D893" s="310"/>
      <c r="E893" s="311"/>
    </row>
    <row r="894">
      <c r="D894" s="310"/>
      <c r="E894" s="311"/>
    </row>
    <row r="895">
      <c r="D895" s="310"/>
      <c r="E895" s="311"/>
    </row>
    <row r="896">
      <c r="D896" s="310"/>
      <c r="E896" s="311"/>
    </row>
    <row r="897">
      <c r="D897" s="310"/>
      <c r="E897" s="311"/>
    </row>
    <row r="898">
      <c r="D898" s="310"/>
      <c r="E898" s="311"/>
    </row>
    <row r="899">
      <c r="D899" s="310"/>
      <c r="E899" s="311"/>
    </row>
    <row r="900">
      <c r="D900" s="310"/>
      <c r="E900" s="311"/>
    </row>
    <row r="901">
      <c r="D901" s="310"/>
      <c r="E901" s="311"/>
    </row>
    <row r="902">
      <c r="D902" s="310"/>
      <c r="E902" s="311"/>
    </row>
    <row r="903">
      <c r="D903" s="310"/>
      <c r="E903" s="311"/>
    </row>
    <row r="904">
      <c r="D904" s="310"/>
      <c r="E904" s="311"/>
    </row>
    <row r="905">
      <c r="D905" s="310"/>
      <c r="E905" s="311"/>
    </row>
    <row r="906">
      <c r="D906" s="310"/>
      <c r="E906" s="311"/>
    </row>
    <row r="907">
      <c r="D907" s="310"/>
      <c r="E907" s="311"/>
    </row>
    <row r="908">
      <c r="D908" s="310"/>
      <c r="E908" s="311"/>
    </row>
    <row r="909">
      <c r="D909" s="310"/>
      <c r="E909" s="311"/>
    </row>
    <row r="910">
      <c r="D910" s="310"/>
      <c r="E910" s="311"/>
    </row>
    <row r="911">
      <c r="D911" s="310"/>
      <c r="E911" s="311"/>
    </row>
    <row r="912">
      <c r="D912" s="310"/>
      <c r="E912" s="311"/>
    </row>
    <row r="913">
      <c r="D913" s="310"/>
      <c r="E913" s="311"/>
    </row>
    <row r="914">
      <c r="D914" s="310"/>
      <c r="E914" s="311"/>
    </row>
    <row r="915">
      <c r="D915" s="310"/>
      <c r="E915" s="311"/>
    </row>
    <row r="916">
      <c r="D916" s="310"/>
      <c r="E916" s="311"/>
    </row>
    <row r="917">
      <c r="D917" s="310"/>
      <c r="E917" s="311"/>
    </row>
    <row r="918">
      <c r="D918" s="310"/>
      <c r="E918" s="311"/>
    </row>
    <row r="919">
      <c r="D919" s="310"/>
      <c r="E919" s="311"/>
    </row>
    <row r="920">
      <c r="D920" s="310"/>
      <c r="E920" s="311"/>
    </row>
    <row r="921">
      <c r="D921" s="310"/>
      <c r="E921" s="311"/>
    </row>
    <row r="922">
      <c r="D922" s="310"/>
      <c r="E922" s="311"/>
    </row>
    <row r="923">
      <c r="D923" s="310"/>
      <c r="E923" s="311"/>
    </row>
    <row r="924">
      <c r="D924" s="310"/>
      <c r="E924" s="311"/>
    </row>
    <row r="925">
      <c r="D925" s="310"/>
      <c r="E925" s="311"/>
    </row>
    <row r="926">
      <c r="D926" s="310"/>
      <c r="E926" s="311"/>
    </row>
    <row r="927">
      <c r="D927" s="310"/>
      <c r="E927" s="311"/>
    </row>
    <row r="928">
      <c r="D928" s="310"/>
      <c r="E928" s="311"/>
    </row>
    <row r="929">
      <c r="D929" s="310"/>
      <c r="E929" s="311"/>
    </row>
    <row r="930">
      <c r="D930" s="310"/>
      <c r="E930" s="311"/>
    </row>
    <row r="931">
      <c r="D931" s="310"/>
      <c r="E931" s="311"/>
    </row>
    <row r="932">
      <c r="D932" s="310"/>
      <c r="E932" s="311"/>
    </row>
    <row r="933">
      <c r="D933" s="310"/>
      <c r="E933" s="311"/>
    </row>
    <row r="934">
      <c r="D934" s="310"/>
      <c r="E934" s="311"/>
    </row>
    <row r="935">
      <c r="D935" s="310"/>
      <c r="E935" s="311"/>
    </row>
    <row r="936">
      <c r="D936" s="310"/>
      <c r="E936" s="311"/>
    </row>
    <row r="937">
      <c r="D937" s="310"/>
      <c r="E937" s="311"/>
    </row>
    <row r="938">
      <c r="D938" s="310"/>
      <c r="E938" s="311"/>
    </row>
    <row r="939">
      <c r="D939" s="310"/>
      <c r="E939" s="311"/>
    </row>
    <row r="940">
      <c r="D940" s="310"/>
      <c r="E940" s="311"/>
    </row>
    <row r="941">
      <c r="D941" s="310"/>
      <c r="E941" s="311"/>
    </row>
    <row r="942">
      <c r="D942" s="310"/>
      <c r="E942" s="311"/>
    </row>
    <row r="943">
      <c r="D943" s="310"/>
      <c r="E943" s="311"/>
    </row>
    <row r="944">
      <c r="D944" s="310"/>
      <c r="E944" s="311"/>
    </row>
    <row r="945">
      <c r="D945" s="310"/>
      <c r="E945" s="311"/>
    </row>
    <row r="946">
      <c r="D946" s="310"/>
      <c r="E946" s="311"/>
    </row>
    <row r="947">
      <c r="D947" s="310"/>
      <c r="E947" s="311"/>
    </row>
    <row r="948">
      <c r="D948" s="310"/>
      <c r="E948" s="311"/>
    </row>
    <row r="949">
      <c r="D949" s="310"/>
      <c r="E949" s="311"/>
    </row>
    <row r="950">
      <c r="D950" s="310"/>
      <c r="E950" s="311"/>
    </row>
    <row r="951">
      <c r="D951" s="310"/>
      <c r="E951" s="311"/>
    </row>
    <row r="952">
      <c r="D952" s="310"/>
      <c r="E952" s="311"/>
    </row>
    <row r="953">
      <c r="D953" s="310"/>
      <c r="E953" s="311"/>
    </row>
    <row r="954">
      <c r="D954" s="310"/>
      <c r="E954" s="311"/>
    </row>
    <row r="955">
      <c r="D955" s="310"/>
      <c r="E955" s="311"/>
    </row>
    <row r="956">
      <c r="D956" s="310"/>
      <c r="E956" s="311"/>
    </row>
    <row r="957">
      <c r="D957" s="310"/>
      <c r="E957" s="311"/>
    </row>
    <row r="958">
      <c r="D958" s="310"/>
      <c r="E958" s="311"/>
    </row>
    <row r="959">
      <c r="D959" s="310"/>
      <c r="E959" s="311"/>
    </row>
    <row r="960">
      <c r="D960" s="310"/>
      <c r="E960" s="311"/>
    </row>
    <row r="961">
      <c r="D961" s="310"/>
      <c r="E961" s="311"/>
    </row>
    <row r="962">
      <c r="D962" s="310"/>
      <c r="E962" s="311"/>
    </row>
    <row r="963">
      <c r="D963" s="310"/>
      <c r="E963" s="311"/>
    </row>
    <row r="964">
      <c r="D964" s="310"/>
      <c r="E964" s="311"/>
    </row>
    <row r="965">
      <c r="D965" s="310"/>
      <c r="E965" s="311"/>
    </row>
    <row r="966">
      <c r="D966" s="310"/>
      <c r="E966" s="311"/>
    </row>
  </sheetData>
  <autoFilter ref="$A$1:$M$215">
    <sortState ref="A1:M215">
      <sortCondition descending="1" ref="L1:L215"/>
    </sortState>
  </autoFilter>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7.25"/>
    <col customWidth="1" min="6" max="6" width="11.5"/>
    <col customWidth="1" min="7" max="7" width="14.25"/>
    <col customWidth="1" min="15" max="15" width="19.25"/>
  </cols>
  <sheetData>
    <row r="1">
      <c r="A1" s="347" t="s">
        <v>0</v>
      </c>
      <c r="B1" s="348" t="s">
        <v>1</v>
      </c>
      <c r="C1" s="281" t="s">
        <v>2</v>
      </c>
      <c r="D1" s="281" t="s">
        <v>603</v>
      </c>
      <c r="E1" s="281" t="s">
        <v>604</v>
      </c>
      <c r="F1" s="281" t="s">
        <v>4</v>
      </c>
      <c r="G1" s="281" t="s">
        <v>5</v>
      </c>
      <c r="H1" s="281" t="s">
        <v>6</v>
      </c>
      <c r="I1" s="281" t="s">
        <v>7</v>
      </c>
      <c r="J1" s="281" t="s">
        <v>8</v>
      </c>
      <c r="K1" s="281" t="s">
        <v>9</v>
      </c>
      <c r="L1" s="281" t="s">
        <v>10</v>
      </c>
      <c r="M1" s="281" t="s">
        <v>11</v>
      </c>
      <c r="N1" s="281" t="s">
        <v>12</v>
      </c>
      <c r="O1" s="281" t="s">
        <v>379</v>
      </c>
      <c r="P1" s="281" t="s">
        <v>14</v>
      </c>
      <c r="Q1" s="281" t="s">
        <v>15</v>
      </c>
      <c r="R1" s="66"/>
      <c r="S1" s="66"/>
      <c r="T1" s="66"/>
      <c r="U1" s="66"/>
      <c r="V1" s="66"/>
      <c r="W1" s="66"/>
      <c r="X1" s="66"/>
    </row>
    <row r="2">
      <c r="A2" s="349" t="s">
        <v>16</v>
      </c>
      <c r="B2" s="283">
        <v>4320.0</v>
      </c>
      <c r="C2" s="284"/>
      <c r="D2" s="285">
        <v>0.0</v>
      </c>
      <c r="E2" s="282" t="s">
        <v>436</v>
      </c>
      <c r="F2" s="282" t="s">
        <v>362</v>
      </c>
      <c r="G2" s="286" t="s">
        <v>363</v>
      </c>
      <c r="H2" s="287"/>
      <c r="I2" s="288">
        <v>37149.0</v>
      </c>
      <c r="J2" s="288">
        <v>45397.0</v>
      </c>
      <c r="K2" s="289"/>
      <c r="L2" s="302">
        <v>30.0</v>
      </c>
      <c r="M2" s="350">
        <v>45809.0</v>
      </c>
      <c r="N2" s="350">
        <v>45838.0</v>
      </c>
      <c r="O2" s="290">
        <f t="shared" ref="O2:O124" si="1">ROUNDUP(L2/30*370,0)</f>
        <v>370</v>
      </c>
      <c r="P2" s="290">
        <f t="shared" ref="P2:P124" si="2">O2*5</f>
        <v>1850</v>
      </c>
      <c r="Q2" s="290">
        <f t="shared" ref="Q2:Q124" si="3">O2+P2</f>
        <v>2220</v>
      </c>
    </row>
    <row r="3">
      <c r="A3" s="282" t="s">
        <v>16</v>
      </c>
      <c r="B3" s="283">
        <v>4320.0</v>
      </c>
      <c r="C3" s="289"/>
      <c r="D3" s="285">
        <v>0.0</v>
      </c>
      <c r="E3" s="291" t="s">
        <v>687</v>
      </c>
      <c r="F3" s="292" t="s">
        <v>826</v>
      </c>
      <c r="G3" s="286" t="s">
        <v>689</v>
      </c>
      <c r="H3" s="287"/>
      <c r="I3" s="293">
        <v>37214.0</v>
      </c>
      <c r="J3" s="288">
        <v>45691.0</v>
      </c>
      <c r="K3" s="289"/>
      <c r="L3" s="302">
        <v>30.0</v>
      </c>
      <c r="M3" s="350">
        <v>45809.0</v>
      </c>
      <c r="N3" s="350">
        <v>45838.0</v>
      </c>
      <c r="O3" s="290">
        <f t="shared" si="1"/>
        <v>370</v>
      </c>
      <c r="P3" s="290">
        <f t="shared" si="2"/>
        <v>1850</v>
      </c>
      <c r="Q3" s="290">
        <f t="shared" si="3"/>
        <v>2220</v>
      </c>
    </row>
    <row r="4">
      <c r="A4" s="282" t="s">
        <v>16</v>
      </c>
      <c r="B4" s="283">
        <v>4320.0</v>
      </c>
      <c r="C4" s="284"/>
      <c r="D4" s="285">
        <v>0.0</v>
      </c>
      <c r="E4" s="282" t="s">
        <v>407</v>
      </c>
      <c r="F4" s="282" t="s">
        <v>97</v>
      </c>
      <c r="G4" s="286" t="s">
        <v>98</v>
      </c>
      <c r="H4" s="287"/>
      <c r="I4" s="294">
        <v>36690.0</v>
      </c>
      <c r="J4" s="288">
        <v>44938.0</v>
      </c>
      <c r="K4" s="289"/>
      <c r="L4" s="302">
        <v>30.0</v>
      </c>
      <c r="M4" s="350">
        <v>45809.0</v>
      </c>
      <c r="N4" s="350">
        <v>45838.0</v>
      </c>
      <c r="O4" s="290">
        <f t="shared" si="1"/>
        <v>370</v>
      </c>
      <c r="P4" s="290">
        <f t="shared" si="2"/>
        <v>1850</v>
      </c>
      <c r="Q4" s="290">
        <f t="shared" si="3"/>
        <v>2220</v>
      </c>
    </row>
    <row r="5">
      <c r="A5" s="467" t="s">
        <v>16</v>
      </c>
      <c r="B5" s="468">
        <v>4320.0</v>
      </c>
      <c r="C5" s="469"/>
      <c r="D5" s="470">
        <v>0.0</v>
      </c>
      <c r="E5" s="467" t="s">
        <v>408</v>
      </c>
      <c r="F5" s="467" t="s">
        <v>409</v>
      </c>
      <c r="G5" s="471" t="s">
        <v>410</v>
      </c>
      <c r="H5" s="287"/>
      <c r="I5" s="472">
        <v>37978.0</v>
      </c>
      <c r="J5" s="472">
        <v>45453.0</v>
      </c>
      <c r="K5" s="473">
        <v>45821.0</v>
      </c>
      <c r="L5" s="474">
        <v>13.0</v>
      </c>
      <c r="M5" s="350">
        <v>45809.0</v>
      </c>
      <c r="N5" s="350">
        <v>45821.0</v>
      </c>
      <c r="O5" s="290">
        <f t="shared" si="1"/>
        <v>161</v>
      </c>
      <c r="P5" s="475">
        <f t="shared" si="2"/>
        <v>805</v>
      </c>
      <c r="Q5" s="475">
        <f t="shared" si="3"/>
        <v>966</v>
      </c>
      <c r="R5" s="476"/>
      <c r="S5" s="476"/>
      <c r="T5" s="476"/>
      <c r="U5" s="476"/>
      <c r="V5" s="476"/>
      <c r="W5" s="476"/>
      <c r="X5" s="476"/>
    </row>
    <row r="6">
      <c r="A6" s="282" t="s">
        <v>16</v>
      </c>
      <c r="B6" s="283">
        <v>4320.0</v>
      </c>
      <c r="C6" s="284"/>
      <c r="D6" s="477">
        <v>36524.0</v>
      </c>
      <c r="E6" s="351" t="s">
        <v>730</v>
      </c>
      <c r="F6" s="352" t="s">
        <v>731</v>
      </c>
      <c r="G6" s="352" t="s">
        <v>732</v>
      </c>
      <c r="H6" s="282"/>
      <c r="I6" s="350">
        <v>38263.0</v>
      </c>
      <c r="J6" s="350">
        <v>45355.0</v>
      </c>
      <c r="K6" s="289"/>
      <c r="L6" s="302">
        <v>30.0</v>
      </c>
      <c r="M6" s="350">
        <v>45809.0</v>
      </c>
      <c r="N6" s="350">
        <v>45838.0</v>
      </c>
      <c r="O6" s="290">
        <f t="shared" si="1"/>
        <v>370</v>
      </c>
      <c r="P6" s="290">
        <f t="shared" si="2"/>
        <v>1850</v>
      </c>
      <c r="Q6" s="290">
        <f t="shared" si="3"/>
        <v>2220</v>
      </c>
    </row>
    <row r="7">
      <c r="A7" s="282" t="s">
        <v>16</v>
      </c>
      <c r="B7" s="283">
        <v>4320.0</v>
      </c>
      <c r="C7" s="284"/>
      <c r="D7" s="285">
        <v>0.0</v>
      </c>
      <c r="E7" s="282" t="s">
        <v>246</v>
      </c>
      <c r="F7" s="282" t="s">
        <v>247</v>
      </c>
      <c r="G7" s="286" t="s">
        <v>248</v>
      </c>
      <c r="H7" s="287"/>
      <c r="I7" s="288">
        <v>36501.0</v>
      </c>
      <c r="J7" s="288">
        <v>45246.0</v>
      </c>
      <c r="K7" s="289"/>
      <c r="L7" s="302">
        <v>30.0</v>
      </c>
      <c r="M7" s="350">
        <v>45809.0</v>
      </c>
      <c r="N7" s="350">
        <v>45838.0</v>
      </c>
      <c r="O7" s="290">
        <f t="shared" si="1"/>
        <v>370</v>
      </c>
      <c r="P7" s="290">
        <f t="shared" si="2"/>
        <v>1850</v>
      </c>
      <c r="Q7" s="290">
        <f t="shared" si="3"/>
        <v>2220</v>
      </c>
    </row>
    <row r="8">
      <c r="A8" s="282" t="s">
        <v>16</v>
      </c>
      <c r="B8" s="283">
        <v>4320.0</v>
      </c>
      <c r="C8" s="284"/>
      <c r="D8" s="285">
        <v>0.0</v>
      </c>
      <c r="E8" s="282" t="s">
        <v>564</v>
      </c>
      <c r="F8" s="282" t="s">
        <v>565</v>
      </c>
      <c r="G8" s="286" t="s">
        <v>566</v>
      </c>
      <c r="H8" s="287"/>
      <c r="I8" s="288">
        <v>34799.0</v>
      </c>
      <c r="J8" s="288">
        <v>45670.0</v>
      </c>
      <c r="K8" s="289"/>
      <c r="L8" s="302">
        <v>30.0</v>
      </c>
      <c r="M8" s="350">
        <v>45809.0</v>
      </c>
      <c r="N8" s="350">
        <v>45838.0</v>
      </c>
      <c r="O8" s="290">
        <f t="shared" si="1"/>
        <v>370</v>
      </c>
      <c r="P8" s="290">
        <f t="shared" si="2"/>
        <v>1850</v>
      </c>
      <c r="Q8" s="290">
        <f t="shared" si="3"/>
        <v>2220</v>
      </c>
    </row>
    <row r="9">
      <c r="A9" s="282" t="s">
        <v>16</v>
      </c>
      <c r="B9" s="283">
        <v>4320.0</v>
      </c>
      <c r="C9" s="284"/>
      <c r="D9" s="285">
        <v>0.0</v>
      </c>
      <c r="E9" s="282" t="s">
        <v>264</v>
      </c>
      <c r="F9" s="282" t="s">
        <v>265</v>
      </c>
      <c r="G9" s="286" t="s">
        <v>266</v>
      </c>
      <c r="H9" s="287"/>
      <c r="I9" s="288">
        <v>37398.0</v>
      </c>
      <c r="J9" s="288">
        <v>45096.0</v>
      </c>
      <c r="K9" s="289"/>
      <c r="L9" s="302">
        <v>30.0</v>
      </c>
      <c r="M9" s="350">
        <v>45809.0</v>
      </c>
      <c r="N9" s="350">
        <v>45838.0</v>
      </c>
      <c r="O9" s="290">
        <f t="shared" si="1"/>
        <v>370</v>
      </c>
      <c r="P9" s="290">
        <f t="shared" si="2"/>
        <v>1850</v>
      </c>
      <c r="Q9" s="290">
        <f t="shared" si="3"/>
        <v>2220</v>
      </c>
    </row>
    <row r="10">
      <c r="A10" s="282" t="s">
        <v>16</v>
      </c>
      <c r="B10" s="283">
        <v>4320.0</v>
      </c>
      <c r="C10" s="284"/>
      <c r="D10" s="283">
        <v>0.0</v>
      </c>
      <c r="E10" s="282" t="s">
        <v>411</v>
      </c>
      <c r="F10" s="282" t="s">
        <v>412</v>
      </c>
      <c r="G10" s="286" t="s">
        <v>413</v>
      </c>
      <c r="H10" s="287"/>
      <c r="I10" s="288">
        <v>33230.0</v>
      </c>
      <c r="J10" s="288">
        <v>45453.0</v>
      </c>
      <c r="K10" s="289"/>
      <c r="L10" s="302">
        <v>30.0</v>
      </c>
      <c r="M10" s="350">
        <v>45809.0</v>
      </c>
      <c r="N10" s="350">
        <v>45838.0</v>
      </c>
      <c r="O10" s="290">
        <f t="shared" si="1"/>
        <v>370</v>
      </c>
      <c r="P10" s="290">
        <f t="shared" si="2"/>
        <v>1850</v>
      </c>
      <c r="Q10" s="290">
        <f t="shared" si="3"/>
        <v>2220</v>
      </c>
    </row>
    <row r="11">
      <c r="A11" s="282" t="s">
        <v>16</v>
      </c>
      <c r="B11" s="283">
        <v>4320.0</v>
      </c>
      <c r="C11" s="289"/>
      <c r="D11" s="285">
        <v>0.0</v>
      </c>
      <c r="E11" s="291" t="s">
        <v>690</v>
      </c>
      <c r="F11" s="295" t="s">
        <v>827</v>
      </c>
      <c r="G11" s="286" t="s">
        <v>692</v>
      </c>
      <c r="H11" s="287"/>
      <c r="I11" s="288">
        <v>37137.0</v>
      </c>
      <c r="J11" s="288">
        <v>45691.0</v>
      </c>
      <c r="K11" s="296"/>
      <c r="L11" s="302">
        <v>30.0</v>
      </c>
      <c r="M11" s="350">
        <v>45809.0</v>
      </c>
      <c r="N11" s="350">
        <v>45838.0</v>
      </c>
      <c r="O11" s="290">
        <f t="shared" si="1"/>
        <v>370</v>
      </c>
      <c r="P11" s="290">
        <f t="shared" si="2"/>
        <v>1850</v>
      </c>
      <c r="Q11" s="290">
        <f t="shared" si="3"/>
        <v>2220</v>
      </c>
    </row>
    <row r="12">
      <c r="A12" s="282" t="s">
        <v>16</v>
      </c>
      <c r="B12" s="283">
        <v>4320.0</v>
      </c>
      <c r="C12" s="289"/>
      <c r="D12" s="285">
        <v>0.0</v>
      </c>
      <c r="E12" s="291" t="s">
        <v>693</v>
      </c>
      <c r="F12" s="478" t="s">
        <v>828</v>
      </c>
      <c r="G12" s="479" t="s">
        <v>829</v>
      </c>
      <c r="H12" s="289"/>
      <c r="I12" s="293">
        <v>35599.0</v>
      </c>
      <c r="J12" s="288">
        <v>45712.0</v>
      </c>
      <c r="K12" s="289"/>
      <c r="L12" s="302">
        <v>30.0</v>
      </c>
      <c r="M12" s="350">
        <v>45809.0</v>
      </c>
      <c r="N12" s="350">
        <v>45838.0</v>
      </c>
      <c r="O12" s="290">
        <f t="shared" si="1"/>
        <v>370</v>
      </c>
      <c r="P12" s="290">
        <f t="shared" si="2"/>
        <v>1850</v>
      </c>
      <c r="Q12" s="290">
        <f t="shared" si="3"/>
        <v>2220</v>
      </c>
    </row>
    <row r="13">
      <c r="A13" s="282" t="s">
        <v>16</v>
      </c>
      <c r="B13" s="283">
        <v>4320.0</v>
      </c>
      <c r="C13" s="284"/>
      <c r="D13" s="285">
        <v>0.0</v>
      </c>
      <c r="E13" s="282" t="s">
        <v>282</v>
      </c>
      <c r="F13" s="282" t="s">
        <v>283</v>
      </c>
      <c r="G13" s="286" t="s">
        <v>284</v>
      </c>
      <c r="H13" s="287"/>
      <c r="I13" s="294">
        <v>35047.0</v>
      </c>
      <c r="J13" s="288">
        <v>45257.0</v>
      </c>
      <c r="K13" s="289"/>
      <c r="L13" s="302">
        <v>30.0</v>
      </c>
      <c r="M13" s="350">
        <v>45809.0</v>
      </c>
      <c r="N13" s="350">
        <v>45838.0</v>
      </c>
      <c r="O13" s="290">
        <f t="shared" si="1"/>
        <v>370</v>
      </c>
      <c r="P13" s="290">
        <f t="shared" si="2"/>
        <v>1850</v>
      </c>
      <c r="Q13" s="290">
        <f t="shared" si="3"/>
        <v>2220</v>
      </c>
    </row>
    <row r="14">
      <c r="A14" s="282" t="s">
        <v>16</v>
      </c>
      <c r="B14" s="283">
        <v>4320.0</v>
      </c>
      <c r="C14" s="284"/>
      <c r="D14" s="285">
        <v>0.0</v>
      </c>
      <c r="E14" s="282" t="s">
        <v>481</v>
      </c>
      <c r="F14" s="282" t="s">
        <v>531</v>
      </c>
      <c r="G14" s="286" t="s">
        <v>482</v>
      </c>
      <c r="H14" s="287"/>
      <c r="I14" s="288">
        <v>35096.0</v>
      </c>
      <c r="J14" s="288">
        <v>45602.0</v>
      </c>
      <c r="K14" s="289"/>
      <c r="L14" s="302">
        <v>30.0</v>
      </c>
      <c r="M14" s="350">
        <v>45809.0</v>
      </c>
      <c r="N14" s="350">
        <v>45838.0</v>
      </c>
      <c r="O14" s="290">
        <f t="shared" si="1"/>
        <v>370</v>
      </c>
      <c r="P14" s="290">
        <f t="shared" si="2"/>
        <v>1850</v>
      </c>
      <c r="Q14" s="290">
        <f t="shared" si="3"/>
        <v>2220</v>
      </c>
    </row>
    <row r="15">
      <c r="A15" s="282" t="s">
        <v>16</v>
      </c>
      <c r="B15" s="283">
        <v>4320.0</v>
      </c>
      <c r="C15" s="284"/>
      <c r="D15" s="285">
        <v>0.0</v>
      </c>
      <c r="E15" s="282" t="s">
        <v>45</v>
      </c>
      <c r="F15" s="282" t="s">
        <v>46</v>
      </c>
      <c r="G15" s="286" t="s">
        <v>47</v>
      </c>
      <c r="H15" s="287"/>
      <c r="I15" s="288">
        <v>37370.0</v>
      </c>
      <c r="J15" s="288">
        <v>44739.0</v>
      </c>
      <c r="K15" s="289"/>
      <c r="L15" s="302">
        <v>30.0</v>
      </c>
      <c r="M15" s="350">
        <v>45809.0</v>
      </c>
      <c r="N15" s="350">
        <v>45838.0</v>
      </c>
      <c r="O15" s="290">
        <f t="shared" si="1"/>
        <v>370</v>
      </c>
      <c r="P15" s="290">
        <f t="shared" si="2"/>
        <v>1850</v>
      </c>
      <c r="Q15" s="290">
        <f t="shared" si="3"/>
        <v>2220</v>
      </c>
    </row>
    <row r="16">
      <c r="A16" s="282" t="s">
        <v>16</v>
      </c>
      <c r="B16" s="283">
        <v>4320.0</v>
      </c>
      <c r="C16" s="284"/>
      <c r="D16" s="285">
        <v>0.0</v>
      </c>
      <c r="E16" s="282" t="s">
        <v>48</v>
      </c>
      <c r="F16" s="282" t="s">
        <v>49</v>
      </c>
      <c r="G16" s="286" t="s">
        <v>50</v>
      </c>
      <c r="H16" s="287"/>
      <c r="I16" s="288">
        <v>36399.0</v>
      </c>
      <c r="J16" s="294">
        <v>45229.0</v>
      </c>
      <c r="K16" s="289"/>
      <c r="L16" s="302">
        <v>30.0</v>
      </c>
      <c r="M16" s="350">
        <v>45809.0</v>
      </c>
      <c r="N16" s="350">
        <v>45838.0</v>
      </c>
      <c r="O16" s="290">
        <f t="shared" si="1"/>
        <v>370</v>
      </c>
      <c r="P16" s="290">
        <f t="shared" si="2"/>
        <v>1850</v>
      </c>
      <c r="Q16" s="290">
        <f t="shared" si="3"/>
        <v>2220</v>
      </c>
    </row>
    <row r="17">
      <c r="A17" s="282" t="s">
        <v>16</v>
      </c>
      <c r="B17" s="283">
        <v>4320.0</v>
      </c>
      <c r="C17" s="284"/>
      <c r="D17" s="285">
        <v>0.0</v>
      </c>
      <c r="E17" s="282" t="s">
        <v>444</v>
      </c>
      <c r="F17" s="282" t="s">
        <v>320</v>
      </c>
      <c r="G17" s="286" t="s">
        <v>321</v>
      </c>
      <c r="H17" s="287"/>
      <c r="I17" s="288">
        <v>36360.0</v>
      </c>
      <c r="J17" s="288">
        <v>45355.0</v>
      </c>
      <c r="K17" s="289"/>
      <c r="L17" s="302">
        <v>30.0</v>
      </c>
      <c r="M17" s="350">
        <v>45809.0</v>
      </c>
      <c r="N17" s="350">
        <v>45838.0</v>
      </c>
      <c r="O17" s="290">
        <f t="shared" si="1"/>
        <v>370</v>
      </c>
      <c r="P17" s="290">
        <f t="shared" si="2"/>
        <v>1850</v>
      </c>
      <c r="Q17" s="290">
        <f t="shared" si="3"/>
        <v>2220</v>
      </c>
    </row>
    <row r="18">
      <c r="A18" s="282" t="s">
        <v>16</v>
      </c>
      <c r="B18" s="283">
        <v>4320.0</v>
      </c>
      <c r="C18" s="284"/>
      <c r="D18" s="285">
        <v>0.0</v>
      </c>
      <c r="E18" s="282" t="s">
        <v>383</v>
      </c>
      <c r="F18" s="282" t="s">
        <v>384</v>
      </c>
      <c r="G18" s="286" t="s">
        <v>385</v>
      </c>
      <c r="H18" s="287"/>
      <c r="I18" s="294">
        <v>36183.0</v>
      </c>
      <c r="J18" s="288">
        <v>45418.0</v>
      </c>
      <c r="K18" s="289"/>
      <c r="L18" s="302">
        <v>30.0</v>
      </c>
      <c r="M18" s="350">
        <v>45809.0</v>
      </c>
      <c r="N18" s="350">
        <v>45838.0</v>
      </c>
      <c r="O18" s="290">
        <f t="shared" si="1"/>
        <v>370</v>
      </c>
      <c r="P18" s="290">
        <f t="shared" si="2"/>
        <v>1850</v>
      </c>
      <c r="Q18" s="290">
        <f t="shared" si="3"/>
        <v>2220</v>
      </c>
    </row>
    <row r="19">
      <c r="A19" s="282" t="s">
        <v>16</v>
      </c>
      <c r="B19" s="283">
        <v>4320.0</v>
      </c>
      <c r="C19" s="284"/>
      <c r="D19" s="285">
        <v>0.0</v>
      </c>
      <c r="E19" s="282" t="s">
        <v>288</v>
      </c>
      <c r="F19" s="282" t="s">
        <v>289</v>
      </c>
      <c r="G19" s="480" t="s">
        <v>830</v>
      </c>
      <c r="H19" s="287"/>
      <c r="I19" s="288">
        <v>37047.0</v>
      </c>
      <c r="J19" s="288">
        <v>45257.0</v>
      </c>
      <c r="K19" s="289"/>
      <c r="L19" s="302">
        <v>30.0</v>
      </c>
      <c r="M19" s="350">
        <v>45809.0</v>
      </c>
      <c r="N19" s="350">
        <v>45838.0</v>
      </c>
      <c r="O19" s="290">
        <f t="shared" si="1"/>
        <v>370</v>
      </c>
      <c r="P19" s="290">
        <f t="shared" si="2"/>
        <v>1850</v>
      </c>
      <c r="Q19" s="290">
        <f t="shared" si="3"/>
        <v>2220</v>
      </c>
    </row>
    <row r="20">
      <c r="A20" s="421" t="s">
        <v>16</v>
      </c>
      <c r="B20" s="422">
        <v>4320.0</v>
      </c>
      <c r="C20" s="423"/>
      <c r="D20" s="424">
        <v>0.0</v>
      </c>
      <c r="E20" s="421" t="s">
        <v>567</v>
      </c>
      <c r="F20" s="421" t="s">
        <v>568</v>
      </c>
      <c r="G20" s="425" t="s">
        <v>569</v>
      </c>
      <c r="H20" s="287"/>
      <c r="I20" s="426">
        <v>37962.0</v>
      </c>
      <c r="J20" s="426">
        <v>45677.0</v>
      </c>
      <c r="K20" s="481">
        <v>45779.0</v>
      </c>
      <c r="L20" s="428">
        <v>0.0</v>
      </c>
      <c r="M20" s="350">
        <v>45809.0</v>
      </c>
      <c r="N20" s="350">
        <v>45838.0</v>
      </c>
      <c r="O20" s="290">
        <f t="shared" si="1"/>
        <v>0</v>
      </c>
      <c r="P20" s="430">
        <f t="shared" si="2"/>
        <v>0</v>
      </c>
      <c r="Q20" s="430">
        <f t="shared" si="3"/>
        <v>0</v>
      </c>
      <c r="R20" s="48"/>
      <c r="S20" s="48"/>
      <c r="T20" s="48"/>
      <c r="U20" s="48"/>
      <c r="V20" s="48"/>
      <c r="W20" s="48"/>
      <c r="X20" s="48"/>
    </row>
    <row r="21">
      <c r="A21" s="282" t="s">
        <v>16</v>
      </c>
      <c r="B21" s="283">
        <v>4320.0</v>
      </c>
      <c r="C21" s="284"/>
      <c r="D21" s="285">
        <v>0.0</v>
      </c>
      <c r="E21" s="298" t="s">
        <v>445</v>
      </c>
      <c r="F21" s="282" t="s">
        <v>510</v>
      </c>
      <c r="G21" s="286" t="s">
        <v>447</v>
      </c>
      <c r="H21" s="287"/>
      <c r="I21" s="288">
        <v>37047.0</v>
      </c>
      <c r="J21" s="288">
        <v>45505.0</v>
      </c>
      <c r="K21" s="289"/>
      <c r="L21" s="302">
        <v>30.0</v>
      </c>
      <c r="M21" s="350">
        <v>45809.0</v>
      </c>
      <c r="N21" s="350">
        <v>45838.0</v>
      </c>
      <c r="O21" s="290">
        <f t="shared" si="1"/>
        <v>370</v>
      </c>
      <c r="P21" s="290">
        <f t="shared" si="2"/>
        <v>1850</v>
      </c>
      <c r="Q21" s="290">
        <f t="shared" si="3"/>
        <v>2220</v>
      </c>
    </row>
    <row r="22">
      <c r="A22" s="282" t="s">
        <v>16</v>
      </c>
      <c r="B22" s="283">
        <v>4320.0</v>
      </c>
      <c r="C22" s="284"/>
      <c r="D22" s="285">
        <v>0.0</v>
      </c>
      <c r="E22" s="282" t="s">
        <v>467</v>
      </c>
      <c r="F22" s="282" t="s">
        <v>511</v>
      </c>
      <c r="G22" s="286" t="s">
        <v>450</v>
      </c>
      <c r="H22" s="287"/>
      <c r="I22" s="288">
        <v>36682.0</v>
      </c>
      <c r="J22" s="288">
        <v>45505.0</v>
      </c>
      <c r="K22" s="289"/>
      <c r="L22" s="302">
        <v>30.0</v>
      </c>
      <c r="M22" s="350">
        <v>45809.0</v>
      </c>
      <c r="N22" s="350">
        <v>45838.0</v>
      </c>
      <c r="O22" s="290">
        <f t="shared" si="1"/>
        <v>370</v>
      </c>
      <c r="P22" s="290">
        <f t="shared" si="2"/>
        <v>1850</v>
      </c>
      <c r="Q22" s="290">
        <f t="shared" si="3"/>
        <v>2220</v>
      </c>
    </row>
    <row r="23">
      <c r="A23" s="282" t="s">
        <v>16</v>
      </c>
      <c r="B23" s="283">
        <v>4320.0</v>
      </c>
      <c r="C23" s="284"/>
      <c r="D23" s="285">
        <v>0.0</v>
      </c>
      <c r="E23" s="282" t="s">
        <v>503</v>
      </c>
      <c r="F23" s="282" t="s">
        <v>542</v>
      </c>
      <c r="G23" s="286" t="s">
        <v>504</v>
      </c>
      <c r="H23" s="287"/>
      <c r="I23" s="288">
        <v>37422.0</v>
      </c>
      <c r="J23" s="294">
        <v>45635.0</v>
      </c>
      <c r="K23" s="289"/>
      <c r="L23" s="302">
        <v>30.0</v>
      </c>
      <c r="M23" s="350">
        <v>45809.0</v>
      </c>
      <c r="N23" s="350">
        <v>45838.0</v>
      </c>
      <c r="O23" s="290">
        <f t="shared" si="1"/>
        <v>370</v>
      </c>
      <c r="P23" s="290">
        <f t="shared" si="2"/>
        <v>1850</v>
      </c>
      <c r="Q23" s="290">
        <f t="shared" si="3"/>
        <v>2220</v>
      </c>
    </row>
    <row r="24">
      <c r="A24" s="282" t="s">
        <v>16</v>
      </c>
      <c r="B24" s="283">
        <v>4320.0</v>
      </c>
      <c r="C24" s="284"/>
      <c r="D24" s="285">
        <v>0.0</v>
      </c>
      <c r="E24" s="282" t="s">
        <v>291</v>
      </c>
      <c r="F24" s="282" t="s">
        <v>292</v>
      </c>
      <c r="G24" s="286" t="s">
        <v>293</v>
      </c>
      <c r="H24" s="287"/>
      <c r="I24" s="288">
        <v>37219.0</v>
      </c>
      <c r="J24" s="288">
        <v>45257.0</v>
      </c>
      <c r="K24" s="289"/>
      <c r="L24" s="302">
        <v>30.0</v>
      </c>
      <c r="M24" s="350">
        <v>45809.0</v>
      </c>
      <c r="N24" s="350">
        <v>45838.0</v>
      </c>
      <c r="O24" s="290">
        <f t="shared" si="1"/>
        <v>370</v>
      </c>
      <c r="P24" s="290">
        <f t="shared" si="2"/>
        <v>1850</v>
      </c>
      <c r="Q24" s="290">
        <f t="shared" si="3"/>
        <v>2220</v>
      </c>
    </row>
    <row r="25">
      <c r="A25" s="282" t="s">
        <v>16</v>
      </c>
      <c r="B25" s="283">
        <v>4320.0</v>
      </c>
      <c r="C25" s="284"/>
      <c r="D25" s="285">
        <v>0.0</v>
      </c>
      <c r="E25" s="282" t="s">
        <v>594</v>
      </c>
      <c r="F25" s="282" t="s">
        <v>595</v>
      </c>
      <c r="G25" s="286" t="s">
        <v>596</v>
      </c>
      <c r="H25" s="287"/>
      <c r="I25" s="288">
        <v>37809.0</v>
      </c>
      <c r="J25" s="288">
        <v>45684.0</v>
      </c>
      <c r="K25" s="289"/>
      <c r="L25" s="302">
        <v>30.0</v>
      </c>
      <c r="M25" s="350">
        <v>45809.0</v>
      </c>
      <c r="N25" s="350">
        <v>45838.0</v>
      </c>
      <c r="O25" s="290">
        <f t="shared" si="1"/>
        <v>370</v>
      </c>
      <c r="P25" s="290">
        <f t="shared" si="2"/>
        <v>1850</v>
      </c>
      <c r="Q25" s="290">
        <f t="shared" si="3"/>
        <v>2220</v>
      </c>
    </row>
    <row r="26">
      <c r="A26" s="467" t="s">
        <v>16</v>
      </c>
      <c r="B26" s="468">
        <v>4320.0</v>
      </c>
      <c r="C26" s="469"/>
      <c r="D26" s="470">
        <v>0.0</v>
      </c>
      <c r="E26" s="467" t="s">
        <v>60</v>
      </c>
      <c r="F26" s="467" t="s">
        <v>61</v>
      </c>
      <c r="G26" s="471" t="s">
        <v>62</v>
      </c>
      <c r="H26" s="287"/>
      <c r="I26" s="472">
        <v>36246.0</v>
      </c>
      <c r="J26" s="472">
        <v>44851.0</v>
      </c>
      <c r="K26" s="473">
        <v>45838.0</v>
      </c>
      <c r="L26" s="474">
        <v>30.0</v>
      </c>
      <c r="M26" s="350">
        <v>45809.0</v>
      </c>
      <c r="N26" s="350">
        <v>45838.0</v>
      </c>
      <c r="O26" s="290">
        <f t="shared" si="1"/>
        <v>370</v>
      </c>
      <c r="P26" s="475">
        <f t="shared" si="2"/>
        <v>1850</v>
      </c>
      <c r="Q26" s="475">
        <f t="shared" si="3"/>
        <v>2220</v>
      </c>
      <c r="R26" s="476"/>
      <c r="S26" s="476"/>
      <c r="T26" s="476"/>
      <c r="U26" s="476"/>
      <c r="V26" s="476"/>
      <c r="W26" s="476"/>
      <c r="X26" s="476"/>
    </row>
    <row r="27">
      <c r="A27" s="282" t="s">
        <v>16</v>
      </c>
      <c r="B27" s="283">
        <v>4320.0</v>
      </c>
      <c r="C27" s="284"/>
      <c r="D27" s="285">
        <v>0.0</v>
      </c>
      <c r="E27" s="282" t="s">
        <v>63</v>
      </c>
      <c r="F27" s="282" t="s">
        <v>64</v>
      </c>
      <c r="G27" s="286" t="s">
        <v>65</v>
      </c>
      <c r="H27" s="287"/>
      <c r="I27" s="288">
        <v>35606.0</v>
      </c>
      <c r="J27" s="288">
        <v>44896.0</v>
      </c>
      <c r="K27" s="289"/>
      <c r="L27" s="302">
        <v>30.0</v>
      </c>
      <c r="M27" s="350">
        <v>45809.0</v>
      </c>
      <c r="N27" s="350">
        <v>45838.0</v>
      </c>
      <c r="O27" s="290">
        <f t="shared" si="1"/>
        <v>370</v>
      </c>
      <c r="P27" s="290">
        <f t="shared" si="2"/>
        <v>1850</v>
      </c>
      <c r="Q27" s="290">
        <f t="shared" si="3"/>
        <v>2220</v>
      </c>
    </row>
    <row r="28">
      <c r="A28" s="282" t="s">
        <v>16</v>
      </c>
      <c r="B28" s="283">
        <v>4320.0</v>
      </c>
      <c r="C28" s="284"/>
      <c r="D28" s="285">
        <v>0.0</v>
      </c>
      <c r="E28" s="282" t="s">
        <v>63</v>
      </c>
      <c r="F28" s="282" t="s">
        <v>543</v>
      </c>
      <c r="G28" s="286" t="s">
        <v>505</v>
      </c>
      <c r="H28" s="287"/>
      <c r="I28" s="288">
        <v>36725.0</v>
      </c>
      <c r="J28" s="288">
        <v>45635.0</v>
      </c>
      <c r="K28" s="289"/>
      <c r="L28" s="302">
        <v>30.0</v>
      </c>
      <c r="M28" s="350">
        <v>45809.0</v>
      </c>
      <c r="N28" s="350">
        <v>45838.0</v>
      </c>
      <c r="O28" s="290">
        <f t="shared" si="1"/>
        <v>370</v>
      </c>
      <c r="P28" s="290">
        <f t="shared" si="2"/>
        <v>1850</v>
      </c>
      <c r="Q28" s="290">
        <f t="shared" si="3"/>
        <v>2220</v>
      </c>
    </row>
    <row r="29">
      <c r="A29" s="282" t="s">
        <v>16</v>
      </c>
      <c r="B29" s="283">
        <v>4320.0</v>
      </c>
      <c r="C29" s="284"/>
      <c r="D29" s="285">
        <v>0.0</v>
      </c>
      <c r="E29" s="298" t="s">
        <v>591</v>
      </c>
      <c r="F29" s="282" t="s">
        <v>592</v>
      </c>
      <c r="G29" s="286" t="s">
        <v>593</v>
      </c>
      <c r="H29" s="287"/>
      <c r="I29" s="288">
        <v>37041.0</v>
      </c>
      <c r="J29" s="288">
        <v>45684.0</v>
      </c>
      <c r="K29" s="289"/>
      <c r="L29" s="302">
        <v>30.0</v>
      </c>
      <c r="M29" s="350">
        <v>45809.0</v>
      </c>
      <c r="N29" s="350">
        <v>45838.0</v>
      </c>
      <c r="O29" s="290">
        <f t="shared" si="1"/>
        <v>370</v>
      </c>
      <c r="P29" s="290">
        <f t="shared" si="2"/>
        <v>1850</v>
      </c>
      <c r="Q29" s="290">
        <f t="shared" si="3"/>
        <v>2220</v>
      </c>
    </row>
    <row r="30">
      <c r="A30" s="282" t="s">
        <v>16</v>
      </c>
      <c r="B30" s="283">
        <v>4320.0</v>
      </c>
      <c r="C30" s="284"/>
      <c r="D30" s="285">
        <v>0.0</v>
      </c>
      <c r="E30" s="282" t="s">
        <v>597</v>
      </c>
      <c r="F30" s="282" t="s">
        <v>598</v>
      </c>
      <c r="G30" s="286" t="s">
        <v>599</v>
      </c>
      <c r="H30" s="287"/>
      <c r="I30" s="288">
        <v>37265.0</v>
      </c>
      <c r="J30" s="288">
        <v>45684.0</v>
      </c>
      <c r="K30" s="289"/>
      <c r="L30" s="302">
        <v>30.0</v>
      </c>
      <c r="M30" s="350">
        <v>45809.0</v>
      </c>
      <c r="N30" s="350">
        <v>45838.0</v>
      </c>
      <c r="O30" s="290">
        <f t="shared" si="1"/>
        <v>370</v>
      </c>
      <c r="P30" s="290">
        <f t="shared" si="2"/>
        <v>1850</v>
      </c>
      <c r="Q30" s="290">
        <f t="shared" si="3"/>
        <v>2220</v>
      </c>
    </row>
    <row r="31">
      <c r="A31" s="282" t="s">
        <v>16</v>
      </c>
      <c r="B31" s="283">
        <v>4320.0</v>
      </c>
      <c r="C31" s="284"/>
      <c r="D31" s="285">
        <v>0.0</v>
      </c>
      <c r="E31" s="282" t="s">
        <v>267</v>
      </c>
      <c r="F31" s="282" t="s">
        <v>268</v>
      </c>
      <c r="G31" s="286" t="s">
        <v>269</v>
      </c>
      <c r="H31" s="287"/>
      <c r="I31" s="288">
        <v>34590.0</v>
      </c>
      <c r="J31" s="288">
        <v>45313.0</v>
      </c>
      <c r="K31" s="289"/>
      <c r="L31" s="302">
        <v>30.0</v>
      </c>
      <c r="M31" s="350">
        <v>45809.0</v>
      </c>
      <c r="N31" s="350">
        <v>45838.0</v>
      </c>
      <c r="O31" s="290">
        <f t="shared" si="1"/>
        <v>370</v>
      </c>
      <c r="P31" s="290">
        <f t="shared" si="2"/>
        <v>1850</v>
      </c>
      <c r="Q31" s="290">
        <f t="shared" si="3"/>
        <v>2220</v>
      </c>
    </row>
    <row r="32">
      <c r="A32" s="282" t="s">
        <v>16</v>
      </c>
      <c r="B32" s="283">
        <v>4320.0</v>
      </c>
      <c r="C32" s="284"/>
      <c r="D32" s="285">
        <v>0.0</v>
      </c>
      <c r="E32" s="282" t="s">
        <v>69</v>
      </c>
      <c r="F32" s="282" t="s">
        <v>70</v>
      </c>
      <c r="G32" s="286" t="s">
        <v>71</v>
      </c>
      <c r="H32" s="287"/>
      <c r="I32" s="350">
        <v>36890.0</v>
      </c>
      <c r="J32" s="288">
        <v>44739.0</v>
      </c>
      <c r="K32" s="289"/>
      <c r="L32" s="302">
        <v>30.0</v>
      </c>
      <c r="M32" s="350">
        <v>45809.0</v>
      </c>
      <c r="N32" s="350">
        <v>45838.0</v>
      </c>
      <c r="O32" s="290">
        <f t="shared" si="1"/>
        <v>370</v>
      </c>
      <c r="P32" s="290">
        <f t="shared" si="2"/>
        <v>1850</v>
      </c>
      <c r="Q32" s="290">
        <f t="shared" si="3"/>
        <v>2220</v>
      </c>
    </row>
    <row r="33">
      <c r="A33" s="282" t="s">
        <v>16</v>
      </c>
      <c r="B33" s="283">
        <v>4320.0</v>
      </c>
      <c r="C33" s="284"/>
      <c r="D33" s="285">
        <v>0.0</v>
      </c>
      <c r="E33" s="282" t="s">
        <v>468</v>
      </c>
      <c r="F33" s="282" t="s">
        <v>527</v>
      </c>
      <c r="G33" s="286" t="s">
        <v>469</v>
      </c>
      <c r="H33" s="287"/>
      <c r="I33" s="288">
        <v>35986.0</v>
      </c>
      <c r="J33" s="288">
        <v>45537.0</v>
      </c>
      <c r="K33" s="289"/>
      <c r="L33" s="302">
        <v>30.0</v>
      </c>
      <c r="M33" s="350">
        <v>45809.0</v>
      </c>
      <c r="N33" s="350">
        <v>45838.0</v>
      </c>
      <c r="O33" s="290">
        <f t="shared" si="1"/>
        <v>370</v>
      </c>
      <c r="P33" s="290">
        <f t="shared" si="2"/>
        <v>1850</v>
      </c>
      <c r="Q33" s="290">
        <f t="shared" si="3"/>
        <v>2220</v>
      </c>
    </row>
    <row r="34">
      <c r="A34" s="282" t="s">
        <v>16</v>
      </c>
      <c r="B34" s="283">
        <v>4320.0</v>
      </c>
      <c r="C34" s="284"/>
      <c r="D34" s="285">
        <v>0.0</v>
      </c>
      <c r="E34" s="282" t="s">
        <v>78</v>
      </c>
      <c r="F34" s="282" t="s">
        <v>79</v>
      </c>
      <c r="G34" s="480" t="s">
        <v>831</v>
      </c>
      <c r="H34" s="287"/>
      <c r="I34" s="288">
        <v>36401.0</v>
      </c>
      <c r="J34" s="288">
        <v>45096.0</v>
      </c>
      <c r="K34" s="289"/>
      <c r="L34" s="302">
        <v>30.0</v>
      </c>
      <c r="M34" s="350">
        <v>45809.0</v>
      </c>
      <c r="N34" s="350">
        <v>45838.0</v>
      </c>
      <c r="O34" s="290">
        <f t="shared" si="1"/>
        <v>370</v>
      </c>
      <c r="P34" s="290">
        <f t="shared" si="2"/>
        <v>1850</v>
      </c>
      <c r="Q34" s="290">
        <f t="shared" si="3"/>
        <v>2220</v>
      </c>
    </row>
    <row r="35">
      <c r="A35" s="282" t="s">
        <v>16</v>
      </c>
      <c r="B35" s="283">
        <v>4320.0</v>
      </c>
      <c r="C35" s="284"/>
      <c r="D35" s="285">
        <v>0.0</v>
      </c>
      <c r="E35" s="282" t="s">
        <v>555</v>
      </c>
      <c r="F35" s="282" t="s">
        <v>556</v>
      </c>
      <c r="G35" s="286" t="s">
        <v>557</v>
      </c>
      <c r="H35" s="287"/>
      <c r="I35" s="294">
        <v>36135.0</v>
      </c>
      <c r="J35" s="288">
        <v>45663.0</v>
      </c>
      <c r="K35" s="289"/>
      <c r="L35" s="302">
        <v>30.0</v>
      </c>
      <c r="M35" s="350">
        <v>45809.0</v>
      </c>
      <c r="N35" s="350">
        <v>45838.0</v>
      </c>
      <c r="O35" s="290">
        <f t="shared" si="1"/>
        <v>370</v>
      </c>
      <c r="P35" s="290">
        <f t="shared" si="2"/>
        <v>1850</v>
      </c>
      <c r="Q35" s="290">
        <f t="shared" si="3"/>
        <v>2220</v>
      </c>
    </row>
    <row r="36">
      <c r="A36" s="482" t="s">
        <v>16</v>
      </c>
      <c r="B36" s="483">
        <v>4320.0</v>
      </c>
      <c r="C36" s="423"/>
      <c r="D36" s="484">
        <v>0.0</v>
      </c>
      <c r="E36" s="421" t="s">
        <v>485</v>
      </c>
      <c r="F36" s="421" t="s">
        <v>535</v>
      </c>
      <c r="G36" s="425" t="s">
        <v>486</v>
      </c>
      <c r="H36" s="287"/>
      <c r="I36" s="426">
        <v>36994.0</v>
      </c>
      <c r="J36" s="426">
        <v>45602.0</v>
      </c>
      <c r="K36" s="481">
        <v>45786.0</v>
      </c>
      <c r="L36" s="428">
        <v>0.0</v>
      </c>
      <c r="M36" s="350">
        <v>45809.0</v>
      </c>
      <c r="N36" s="350">
        <v>45838.0</v>
      </c>
      <c r="O36" s="290">
        <f t="shared" si="1"/>
        <v>0</v>
      </c>
      <c r="P36" s="430">
        <f t="shared" si="2"/>
        <v>0</v>
      </c>
      <c r="Q36" s="430">
        <f t="shared" si="3"/>
        <v>0</v>
      </c>
      <c r="R36" s="48"/>
      <c r="S36" s="48"/>
      <c r="T36" s="48"/>
      <c r="U36" s="48"/>
      <c r="V36" s="48"/>
      <c r="W36" s="48"/>
      <c r="X36" s="48"/>
    </row>
    <row r="37">
      <c r="A37" s="299" t="s">
        <v>16</v>
      </c>
      <c r="B37" s="300">
        <v>4320.0</v>
      </c>
      <c r="C37" s="284"/>
      <c r="D37" s="301">
        <v>0.0</v>
      </c>
      <c r="E37" s="298" t="s">
        <v>331</v>
      </c>
      <c r="F37" s="282" t="s">
        <v>332</v>
      </c>
      <c r="G37" s="286" t="s">
        <v>333</v>
      </c>
      <c r="H37" s="287"/>
      <c r="I37" s="288">
        <v>37958.0</v>
      </c>
      <c r="J37" s="288">
        <v>45369.0</v>
      </c>
      <c r="K37" s="289"/>
      <c r="L37" s="302">
        <v>30.0</v>
      </c>
      <c r="M37" s="350">
        <v>45809.0</v>
      </c>
      <c r="N37" s="350">
        <v>45838.0</v>
      </c>
      <c r="O37" s="290">
        <f t="shared" si="1"/>
        <v>370</v>
      </c>
      <c r="P37" s="290">
        <f t="shared" si="2"/>
        <v>1850</v>
      </c>
      <c r="Q37" s="290">
        <f t="shared" si="3"/>
        <v>2220</v>
      </c>
    </row>
    <row r="38">
      <c r="A38" s="282" t="s">
        <v>16</v>
      </c>
      <c r="B38" s="283">
        <v>4320.0</v>
      </c>
      <c r="C38" s="284"/>
      <c r="D38" s="301">
        <v>0.0</v>
      </c>
      <c r="E38" s="282" t="s">
        <v>392</v>
      </c>
      <c r="F38" s="282" t="s">
        <v>393</v>
      </c>
      <c r="G38" s="286" t="s">
        <v>394</v>
      </c>
      <c r="H38" s="287"/>
      <c r="I38" s="288">
        <v>34922.0</v>
      </c>
      <c r="J38" s="294">
        <v>45418.0</v>
      </c>
      <c r="K38" s="289"/>
      <c r="L38" s="302">
        <v>30.0</v>
      </c>
      <c r="M38" s="350">
        <v>45809.0</v>
      </c>
      <c r="N38" s="350">
        <v>45838.0</v>
      </c>
      <c r="O38" s="290">
        <f t="shared" si="1"/>
        <v>370</v>
      </c>
      <c r="P38" s="290">
        <f t="shared" si="2"/>
        <v>1850</v>
      </c>
      <c r="Q38" s="290">
        <f t="shared" si="3"/>
        <v>2220</v>
      </c>
    </row>
    <row r="39">
      <c r="A39" s="282" t="s">
        <v>16</v>
      </c>
      <c r="B39" s="283">
        <v>4320.0</v>
      </c>
      <c r="C39" s="289"/>
      <c r="D39" s="285">
        <v>0.0</v>
      </c>
      <c r="E39" s="291" t="s">
        <v>696</v>
      </c>
      <c r="F39" s="292" t="s">
        <v>832</v>
      </c>
      <c r="G39" s="289" t="s">
        <v>698</v>
      </c>
      <c r="H39" s="289"/>
      <c r="I39" s="293">
        <v>36474.0</v>
      </c>
      <c r="J39" s="288">
        <v>45698.0</v>
      </c>
      <c r="K39" s="289"/>
      <c r="L39" s="302">
        <v>30.0</v>
      </c>
      <c r="M39" s="350">
        <v>45809.0</v>
      </c>
      <c r="N39" s="350">
        <v>45838.0</v>
      </c>
      <c r="O39" s="290">
        <f t="shared" si="1"/>
        <v>370</v>
      </c>
      <c r="P39" s="290">
        <f t="shared" si="2"/>
        <v>1850</v>
      </c>
      <c r="Q39" s="290">
        <f t="shared" si="3"/>
        <v>2220</v>
      </c>
    </row>
    <row r="40">
      <c r="A40" s="282" t="s">
        <v>16</v>
      </c>
      <c r="B40" s="283">
        <v>4320.0</v>
      </c>
      <c r="C40" s="289"/>
      <c r="D40" s="285">
        <v>0.0</v>
      </c>
      <c r="E40" s="303" t="s">
        <v>699</v>
      </c>
      <c r="F40" s="304" t="s">
        <v>833</v>
      </c>
      <c r="G40" s="289" t="s">
        <v>701</v>
      </c>
      <c r="H40" s="289"/>
      <c r="I40" s="293">
        <v>36474.0</v>
      </c>
      <c r="J40" s="288">
        <v>45698.0</v>
      </c>
      <c r="K40" s="289"/>
      <c r="L40" s="302">
        <v>30.0</v>
      </c>
      <c r="M40" s="350">
        <v>45809.0</v>
      </c>
      <c r="N40" s="350">
        <v>45838.0</v>
      </c>
      <c r="O40" s="290">
        <f t="shared" si="1"/>
        <v>370</v>
      </c>
      <c r="P40" s="290">
        <f t="shared" si="2"/>
        <v>1850</v>
      </c>
      <c r="Q40" s="290">
        <f t="shared" si="3"/>
        <v>2220</v>
      </c>
    </row>
    <row r="41">
      <c r="A41" s="282" t="s">
        <v>16</v>
      </c>
      <c r="B41" s="283">
        <v>4320.0</v>
      </c>
      <c r="C41" s="284"/>
      <c r="D41" s="301">
        <v>0.0</v>
      </c>
      <c r="E41" s="282" t="s">
        <v>576</v>
      </c>
      <c r="F41" s="282" t="s">
        <v>577</v>
      </c>
      <c r="G41" s="286" t="s">
        <v>578</v>
      </c>
      <c r="H41" s="287"/>
      <c r="I41" s="288">
        <v>37944.0</v>
      </c>
      <c r="J41" s="288">
        <v>45677.0</v>
      </c>
      <c r="K41" s="289"/>
      <c r="L41" s="302">
        <v>30.0</v>
      </c>
      <c r="M41" s="350">
        <v>45809.0</v>
      </c>
      <c r="N41" s="350">
        <v>45838.0</v>
      </c>
      <c r="O41" s="290">
        <f t="shared" si="1"/>
        <v>370</v>
      </c>
      <c r="P41" s="290">
        <f t="shared" si="2"/>
        <v>1850</v>
      </c>
      <c r="Q41" s="290">
        <f t="shared" si="3"/>
        <v>2220</v>
      </c>
    </row>
    <row r="42">
      <c r="A42" s="282" t="s">
        <v>16</v>
      </c>
      <c r="B42" s="283">
        <v>4320.0</v>
      </c>
      <c r="C42" s="284"/>
      <c r="D42" s="301">
        <v>0.0</v>
      </c>
      <c r="E42" s="282" t="s">
        <v>546</v>
      </c>
      <c r="F42" s="282" t="s">
        <v>547</v>
      </c>
      <c r="G42" s="286" t="s">
        <v>548</v>
      </c>
      <c r="H42" s="287"/>
      <c r="I42" s="288">
        <v>38255.0</v>
      </c>
      <c r="J42" s="288">
        <v>45658.0</v>
      </c>
      <c r="K42" s="289"/>
      <c r="L42" s="302">
        <v>30.0</v>
      </c>
      <c r="M42" s="350">
        <v>45809.0</v>
      </c>
      <c r="N42" s="350">
        <v>45838.0</v>
      </c>
      <c r="O42" s="290">
        <f t="shared" si="1"/>
        <v>370</v>
      </c>
      <c r="P42" s="290">
        <f t="shared" si="2"/>
        <v>1850</v>
      </c>
      <c r="Q42" s="290">
        <f t="shared" si="3"/>
        <v>2220</v>
      </c>
    </row>
    <row r="43">
      <c r="A43" s="299" t="s">
        <v>16</v>
      </c>
      <c r="B43" s="300">
        <v>4320.0</v>
      </c>
      <c r="C43" s="284"/>
      <c r="D43" s="305">
        <v>0.0</v>
      </c>
      <c r="E43" s="282" t="s">
        <v>501</v>
      </c>
      <c r="F43" s="282" t="s">
        <v>541</v>
      </c>
      <c r="G43" s="286" t="s">
        <v>502</v>
      </c>
      <c r="H43" s="287"/>
      <c r="I43" s="288">
        <v>36062.0</v>
      </c>
      <c r="J43" s="288">
        <v>45628.0</v>
      </c>
      <c r="K43" s="289"/>
      <c r="L43" s="302">
        <v>30.0</v>
      </c>
      <c r="M43" s="350">
        <v>45809.0</v>
      </c>
      <c r="N43" s="350">
        <v>45838.0</v>
      </c>
      <c r="O43" s="290">
        <f t="shared" si="1"/>
        <v>370</v>
      </c>
      <c r="P43" s="290">
        <f t="shared" si="2"/>
        <v>1850</v>
      </c>
      <c r="Q43" s="290">
        <f t="shared" si="3"/>
        <v>2220</v>
      </c>
    </row>
    <row r="44">
      <c r="A44" s="282" t="s">
        <v>16</v>
      </c>
      <c r="B44" s="283">
        <v>4320.0</v>
      </c>
      <c r="C44" s="284"/>
      <c r="D44" s="305">
        <v>0.0</v>
      </c>
      <c r="E44" s="282" t="s">
        <v>451</v>
      </c>
      <c r="F44" s="282" t="s">
        <v>512</v>
      </c>
      <c r="G44" s="286" t="s">
        <v>415</v>
      </c>
      <c r="H44" s="287"/>
      <c r="I44" s="288">
        <v>36443.0</v>
      </c>
      <c r="J44" s="288">
        <v>45446.0</v>
      </c>
      <c r="K44" s="289"/>
      <c r="L44" s="302">
        <v>30.0</v>
      </c>
      <c r="M44" s="350">
        <v>45809.0</v>
      </c>
      <c r="N44" s="350">
        <v>45838.0</v>
      </c>
      <c r="O44" s="290">
        <f t="shared" si="1"/>
        <v>370</v>
      </c>
      <c r="P44" s="290">
        <f t="shared" si="2"/>
        <v>1850</v>
      </c>
      <c r="Q44" s="290">
        <f t="shared" si="3"/>
        <v>2220</v>
      </c>
    </row>
    <row r="45">
      <c r="A45" s="282" t="s">
        <v>16</v>
      </c>
      <c r="B45" s="283">
        <v>4320.0</v>
      </c>
      <c r="C45" s="284"/>
      <c r="D45" s="301">
        <v>0.0</v>
      </c>
      <c r="E45" s="282" t="s">
        <v>579</v>
      </c>
      <c r="F45" s="282" t="s">
        <v>580</v>
      </c>
      <c r="G45" s="286" t="s">
        <v>581</v>
      </c>
      <c r="H45" s="287"/>
      <c r="I45" s="288">
        <v>37609.0</v>
      </c>
      <c r="J45" s="288">
        <v>45677.0</v>
      </c>
      <c r="K45" s="289"/>
      <c r="L45" s="302">
        <v>30.0</v>
      </c>
      <c r="M45" s="350">
        <v>45809.0</v>
      </c>
      <c r="N45" s="350">
        <v>45838.0</v>
      </c>
      <c r="O45" s="290">
        <f t="shared" si="1"/>
        <v>370</v>
      </c>
      <c r="P45" s="290">
        <f t="shared" si="2"/>
        <v>1850</v>
      </c>
      <c r="Q45" s="290">
        <f t="shared" si="3"/>
        <v>2220</v>
      </c>
    </row>
    <row r="46">
      <c r="A46" s="282" t="s">
        <v>16</v>
      </c>
      <c r="B46" s="283">
        <v>4320.0</v>
      </c>
      <c r="C46" s="284"/>
      <c r="D46" s="301">
        <v>0.0</v>
      </c>
      <c r="E46" s="282" t="s">
        <v>476</v>
      </c>
      <c r="F46" s="282" t="s">
        <v>529</v>
      </c>
      <c r="G46" s="286" t="s">
        <v>477</v>
      </c>
      <c r="H46" s="287"/>
      <c r="I46" s="288">
        <v>37220.0</v>
      </c>
      <c r="J46" s="288">
        <v>45572.0</v>
      </c>
      <c r="K46" s="289"/>
      <c r="L46" s="302">
        <v>30.0</v>
      </c>
      <c r="M46" s="350">
        <v>45809.0</v>
      </c>
      <c r="N46" s="350">
        <v>45838.0</v>
      </c>
      <c r="O46" s="290">
        <f t="shared" si="1"/>
        <v>370</v>
      </c>
      <c r="P46" s="290">
        <f t="shared" si="2"/>
        <v>1850</v>
      </c>
      <c r="Q46" s="290">
        <f t="shared" si="3"/>
        <v>2220</v>
      </c>
    </row>
    <row r="47">
      <c r="A47" s="282" t="s">
        <v>16</v>
      </c>
      <c r="B47" s="283">
        <v>4320.0</v>
      </c>
      <c r="C47" s="284"/>
      <c r="D47" s="301">
        <v>0.0</v>
      </c>
      <c r="E47" s="282" t="s">
        <v>102</v>
      </c>
      <c r="F47" s="282" t="s">
        <v>103</v>
      </c>
      <c r="G47" s="286" t="s">
        <v>104</v>
      </c>
      <c r="H47" s="287"/>
      <c r="I47" s="288">
        <v>33240.0</v>
      </c>
      <c r="J47" s="288">
        <v>44287.0</v>
      </c>
      <c r="K47" s="289"/>
      <c r="L47" s="302">
        <v>30.0</v>
      </c>
      <c r="M47" s="350">
        <v>45809.0</v>
      </c>
      <c r="N47" s="350">
        <v>45838.0</v>
      </c>
      <c r="O47" s="290">
        <f t="shared" si="1"/>
        <v>370</v>
      </c>
      <c r="P47" s="290">
        <f t="shared" si="2"/>
        <v>1850</v>
      </c>
      <c r="Q47" s="290">
        <f t="shared" si="3"/>
        <v>2220</v>
      </c>
    </row>
    <row r="48">
      <c r="A48" s="467" t="s">
        <v>16</v>
      </c>
      <c r="B48" s="468">
        <v>4320.0</v>
      </c>
      <c r="C48" s="469"/>
      <c r="D48" s="485">
        <v>0.0</v>
      </c>
      <c r="E48" s="467" t="s">
        <v>255</v>
      </c>
      <c r="F48" s="467" t="s">
        <v>256</v>
      </c>
      <c r="G48" s="471" t="s">
        <v>257</v>
      </c>
      <c r="H48" s="287"/>
      <c r="I48" s="472">
        <v>35173.0</v>
      </c>
      <c r="J48" s="472">
        <v>45264.0</v>
      </c>
      <c r="K48" s="473">
        <v>45833.0</v>
      </c>
      <c r="L48" s="474">
        <v>25.0</v>
      </c>
      <c r="M48" s="350">
        <v>45809.0</v>
      </c>
      <c r="N48" s="350">
        <v>45833.0</v>
      </c>
      <c r="O48" s="290">
        <f t="shared" si="1"/>
        <v>309</v>
      </c>
      <c r="P48" s="475">
        <f t="shared" si="2"/>
        <v>1545</v>
      </c>
      <c r="Q48" s="475">
        <f t="shared" si="3"/>
        <v>1854</v>
      </c>
      <c r="R48" s="476"/>
      <c r="S48" s="476"/>
      <c r="T48" s="476"/>
      <c r="U48" s="476"/>
      <c r="V48" s="476"/>
      <c r="W48" s="476"/>
      <c r="X48" s="476"/>
    </row>
    <row r="49">
      <c r="A49" s="282" t="s">
        <v>16</v>
      </c>
      <c r="B49" s="283">
        <v>4320.0</v>
      </c>
      <c r="C49" s="284"/>
      <c r="D49" s="305">
        <v>0.0</v>
      </c>
      <c r="E49" s="282" t="s">
        <v>438</v>
      </c>
      <c r="F49" s="282" t="s">
        <v>341</v>
      </c>
      <c r="G49" s="480" t="s">
        <v>834</v>
      </c>
      <c r="H49" s="287"/>
      <c r="I49" s="288">
        <v>37964.0</v>
      </c>
      <c r="J49" s="288">
        <v>45355.0</v>
      </c>
      <c r="K49" s="289"/>
      <c r="L49" s="302">
        <v>30.0</v>
      </c>
      <c r="M49" s="350">
        <v>45809.0</v>
      </c>
      <c r="N49" s="350">
        <v>45838.0</v>
      </c>
      <c r="O49" s="290">
        <f t="shared" si="1"/>
        <v>370</v>
      </c>
      <c r="P49" s="290">
        <f t="shared" si="2"/>
        <v>1850</v>
      </c>
      <c r="Q49" s="290">
        <f t="shared" si="3"/>
        <v>2220</v>
      </c>
    </row>
    <row r="50">
      <c r="A50" s="282" t="s">
        <v>16</v>
      </c>
      <c r="B50" s="283">
        <v>4320.0</v>
      </c>
      <c r="C50" s="284"/>
      <c r="D50" s="305">
        <v>0.0</v>
      </c>
      <c r="E50" s="282" t="s">
        <v>508</v>
      </c>
      <c r="F50" s="282" t="s">
        <v>545</v>
      </c>
      <c r="G50" s="286" t="s">
        <v>509</v>
      </c>
      <c r="H50" s="287"/>
      <c r="I50" s="288">
        <v>36637.0</v>
      </c>
      <c r="J50" s="288">
        <v>45649.0</v>
      </c>
      <c r="K50" s="289"/>
      <c r="L50" s="302">
        <v>30.0</v>
      </c>
      <c r="M50" s="350">
        <v>45809.0</v>
      </c>
      <c r="N50" s="350">
        <v>45838.0</v>
      </c>
      <c r="O50" s="290">
        <f t="shared" si="1"/>
        <v>370</v>
      </c>
      <c r="P50" s="290">
        <f t="shared" si="2"/>
        <v>1850</v>
      </c>
      <c r="Q50" s="290">
        <f t="shared" si="3"/>
        <v>2220</v>
      </c>
    </row>
    <row r="51">
      <c r="A51" s="421" t="s">
        <v>16</v>
      </c>
      <c r="B51" s="422">
        <v>4320.0</v>
      </c>
      <c r="C51" s="423"/>
      <c r="D51" s="431">
        <v>0.0</v>
      </c>
      <c r="E51" s="421" t="s">
        <v>395</v>
      </c>
      <c r="F51" s="421" t="s">
        <v>396</v>
      </c>
      <c r="G51" s="425" t="s">
        <v>397</v>
      </c>
      <c r="H51" s="287"/>
      <c r="I51" s="426">
        <v>36557.0</v>
      </c>
      <c r="J51" s="486">
        <v>45432.0</v>
      </c>
      <c r="K51" s="481">
        <v>45807.0</v>
      </c>
      <c r="L51" s="428">
        <v>0.0</v>
      </c>
      <c r="M51" s="350">
        <v>45809.0</v>
      </c>
      <c r="N51" s="350">
        <v>45838.0</v>
      </c>
      <c r="O51" s="290">
        <f t="shared" si="1"/>
        <v>0</v>
      </c>
      <c r="P51" s="430">
        <f t="shared" si="2"/>
        <v>0</v>
      </c>
      <c r="Q51" s="430">
        <f t="shared" si="3"/>
        <v>0</v>
      </c>
      <c r="R51" s="48"/>
      <c r="S51" s="48"/>
      <c r="T51" s="48"/>
      <c r="U51" s="48"/>
      <c r="V51" s="48"/>
      <c r="W51" s="48"/>
      <c r="X51" s="48"/>
    </row>
    <row r="52">
      <c r="A52" s="282" t="s">
        <v>16</v>
      </c>
      <c r="B52" s="283">
        <v>4320.0</v>
      </c>
      <c r="C52" s="284"/>
      <c r="D52" s="301">
        <v>0.0</v>
      </c>
      <c r="E52" s="282" t="s">
        <v>370</v>
      </c>
      <c r="F52" s="282" t="s">
        <v>371</v>
      </c>
      <c r="G52" s="286" t="s">
        <v>372</v>
      </c>
      <c r="H52" s="287"/>
      <c r="I52" s="288">
        <v>35551.0</v>
      </c>
      <c r="J52" s="288">
        <v>45383.0</v>
      </c>
      <c r="K52" s="289"/>
      <c r="L52" s="302">
        <v>30.0</v>
      </c>
      <c r="M52" s="350">
        <v>45809.0</v>
      </c>
      <c r="N52" s="350">
        <v>45838.0</v>
      </c>
      <c r="O52" s="290">
        <f t="shared" si="1"/>
        <v>370</v>
      </c>
      <c r="P52" s="290">
        <f t="shared" si="2"/>
        <v>1850</v>
      </c>
      <c r="Q52" s="290">
        <f t="shared" si="3"/>
        <v>2220</v>
      </c>
    </row>
    <row r="53">
      <c r="A53" s="282" t="s">
        <v>16</v>
      </c>
      <c r="B53" s="283">
        <v>4320.0</v>
      </c>
      <c r="C53" s="284"/>
      <c r="D53" s="305">
        <v>0.0</v>
      </c>
      <c r="E53" s="282" t="s">
        <v>114</v>
      </c>
      <c r="F53" s="282" t="s">
        <v>514</v>
      </c>
      <c r="G53" s="286" t="s">
        <v>456</v>
      </c>
      <c r="H53" s="287"/>
      <c r="I53" s="288">
        <v>35872.0</v>
      </c>
      <c r="J53" s="288">
        <v>45523.0</v>
      </c>
      <c r="K53" s="289"/>
      <c r="L53" s="302">
        <v>30.0</v>
      </c>
      <c r="M53" s="350">
        <v>45809.0</v>
      </c>
      <c r="N53" s="350">
        <v>45838.0</v>
      </c>
      <c r="O53" s="290">
        <f t="shared" si="1"/>
        <v>370</v>
      </c>
      <c r="P53" s="290">
        <f t="shared" si="2"/>
        <v>1850</v>
      </c>
      <c r="Q53" s="290">
        <f t="shared" si="3"/>
        <v>2220</v>
      </c>
    </row>
    <row r="54">
      <c r="A54" s="421" t="s">
        <v>16</v>
      </c>
      <c r="B54" s="422">
        <v>4320.0</v>
      </c>
      <c r="C54" s="423"/>
      <c r="D54" s="484">
        <v>0.0</v>
      </c>
      <c r="E54" s="421" t="s">
        <v>457</v>
      </c>
      <c r="F54" s="421" t="s">
        <v>515</v>
      </c>
      <c r="G54" s="425" t="s">
        <v>458</v>
      </c>
      <c r="H54" s="287"/>
      <c r="I54" s="426">
        <v>37061.0</v>
      </c>
      <c r="J54" s="426">
        <v>45505.0</v>
      </c>
      <c r="K54" s="427"/>
      <c r="L54" s="428">
        <v>0.0</v>
      </c>
      <c r="M54" s="350">
        <v>45809.0</v>
      </c>
      <c r="N54" s="350">
        <v>45838.0</v>
      </c>
      <c r="O54" s="290">
        <f t="shared" si="1"/>
        <v>0</v>
      </c>
      <c r="P54" s="430">
        <f t="shared" si="2"/>
        <v>0</v>
      </c>
      <c r="Q54" s="430">
        <f t="shared" si="3"/>
        <v>0</v>
      </c>
      <c r="R54" s="48"/>
      <c r="S54" s="48"/>
      <c r="T54" s="48"/>
      <c r="U54" s="48"/>
      <c r="V54" s="48"/>
      <c r="W54" s="48"/>
      <c r="X54" s="48"/>
    </row>
    <row r="55">
      <c r="A55" s="282" t="s">
        <v>16</v>
      </c>
      <c r="B55" s="283">
        <v>4320.0</v>
      </c>
      <c r="C55" s="284"/>
      <c r="D55" s="301">
        <v>0.0</v>
      </c>
      <c r="E55" s="282" t="s">
        <v>506</v>
      </c>
      <c r="F55" s="282" t="s">
        <v>544</v>
      </c>
      <c r="G55" s="286" t="s">
        <v>507</v>
      </c>
      <c r="H55" s="287"/>
      <c r="I55" s="350">
        <v>36980.0</v>
      </c>
      <c r="J55" s="288">
        <v>45642.0</v>
      </c>
      <c r="K55" s="289"/>
      <c r="L55" s="302">
        <v>30.0</v>
      </c>
      <c r="M55" s="350">
        <v>45809.0</v>
      </c>
      <c r="N55" s="350">
        <v>45838.0</v>
      </c>
      <c r="O55" s="290">
        <f t="shared" si="1"/>
        <v>370</v>
      </c>
      <c r="P55" s="290">
        <f t="shared" si="2"/>
        <v>1850</v>
      </c>
      <c r="Q55" s="290">
        <f t="shared" si="3"/>
        <v>2220</v>
      </c>
    </row>
    <row r="56">
      <c r="A56" s="282" t="s">
        <v>16</v>
      </c>
      <c r="B56" s="283">
        <v>4320.0</v>
      </c>
      <c r="C56" s="284"/>
      <c r="D56" s="301">
        <v>0.0</v>
      </c>
      <c r="E56" s="282" t="s">
        <v>487</v>
      </c>
      <c r="F56" s="282" t="s">
        <v>533</v>
      </c>
      <c r="G56" s="286" t="s">
        <v>488</v>
      </c>
      <c r="H56" s="287"/>
      <c r="I56" s="294">
        <v>35195.0</v>
      </c>
      <c r="J56" s="288">
        <v>45602.0</v>
      </c>
      <c r="K56" s="289"/>
      <c r="L56" s="302">
        <v>30.0</v>
      </c>
      <c r="M56" s="350">
        <v>45809.0</v>
      </c>
      <c r="N56" s="350">
        <v>45838.0</v>
      </c>
      <c r="O56" s="290">
        <f t="shared" si="1"/>
        <v>370</v>
      </c>
      <c r="P56" s="290">
        <f t="shared" si="2"/>
        <v>1850</v>
      </c>
      <c r="Q56" s="290">
        <f t="shared" si="3"/>
        <v>2220</v>
      </c>
    </row>
    <row r="57">
      <c r="A57" s="282" t="s">
        <v>16</v>
      </c>
      <c r="B57" s="283">
        <v>4320.0</v>
      </c>
      <c r="C57" s="289"/>
      <c r="D57" s="305">
        <v>0.0</v>
      </c>
      <c r="E57" s="282" t="s">
        <v>343</v>
      </c>
      <c r="F57" s="282" t="s">
        <v>344</v>
      </c>
      <c r="G57" s="480" t="s">
        <v>835</v>
      </c>
      <c r="H57" s="287"/>
      <c r="I57" s="288">
        <v>36821.0</v>
      </c>
      <c r="J57" s="288">
        <v>45362.0</v>
      </c>
      <c r="K57" s="289"/>
      <c r="L57" s="302">
        <v>30.0</v>
      </c>
      <c r="M57" s="350">
        <v>45809.0</v>
      </c>
      <c r="N57" s="350">
        <v>45838.0</v>
      </c>
      <c r="O57" s="290">
        <f t="shared" si="1"/>
        <v>370</v>
      </c>
      <c r="P57" s="290">
        <f t="shared" si="2"/>
        <v>1850</v>
      </c>
      <c r="Q57" s="290">
        <f t="shared" si="3"/>
        <v>2220</v>
      </c>
    </row>
    <row r="58">
      <c r="A58" s="282" t="s">
        <v>16</v>
      </c>
      <c r="B58" s="283">
        <v>4320.0</v>
      </c>
      <c r="C58" s="289"/>
      <c r="D58" s="285">
        <v>0.0</v>
      </c>
      <c r="E58" s="306" t="s">
        <v>429</v>
      </c>
      <c r="F58" s="282" t="s">
        <v>516</v>
      </c>
      <c r="G58" s="286" t="s">
        <v>430</v>
      </c>
      <c r="H58" s="287"/>
      <c r="I58" s="288">
        <v>37257.0</v>
      </c>
      <c r="J58" s="288">
        <v>45481.0</v>
      </c>
      <c r="K58" s="289"/>
      <c r="L58" s="302">
        <v>30.0</v>
      </c>
      <c r="M58" s="350">
        <v>45809.0</v>
      </c>
      <c r="N58" s="350">
        <v>45838.0</v>
      </c>
      <c r="O58" s="290">
        <f t="shared" si="1"/>
        <v>370</v>
      </c>
      <c r="P58" s="290">
        <f t="shared" si="2"/>
        <v>1850</v>
      </c>
      <c r="Q58" s="290">
        <f t="shared" si="3"/>
        <v>2220</v>
      </c>
    </row>
    <row r="59">
      <c r="A59" s="282" t="s">
        <v>16</v>
      </c>
      <c r="B59" s="283">
        <v>4320.0</v>
      </c>
      <c r="C59" s="289"/>
      <c r="D59" s="285">
        <v>0.0</v>
      </c>
      <c r="E59" s="306" t="s">
        <v>489</v>
      </c>
      <c r="F59" s="282" t="s">
        <v>536</v>
      </c>
      <c r="G59" s="286" t="s">
        <v>490</v>
      </c>
      <c r="H59" s="287"/>
      <c r="I59" s="288">
        <v>37105.0</v>
      </c>
      <c r="J59" s="288">
        <v>45602.0</v>
      </c>
      <c r="K59" s="289"/>
      <c r="L59" s="302">
        <v>30.0</v>
      </c>
      <c r="M59" s="350">
        <v>45809.0</v>
      </c>
      <c r="N59" s="350">
        <v>45838.0</v>
      </c>
      <c r="O59" s="290">
        <f t="shared" si="1"/>
        <v>370</v>
      </c>
      <c r="P59" s="290">
        <f t="shared" si="2"/>
        <v>1850</v>
      </c>
      <c r="Q59" s="290">
        <f t="shared" si="3"/>
        <v>2220</v>
      </c>
    </row>
    <row r="60">
      <c r="A60" s="282" t="s">
        <v>16</v>
      </c>
      <c r="B60" s="283">
        <v>4320.0</v>
      </c>
      <c r="C60" s="289"/>
      <c r="D60" s="285">
        <v>0.0</v>
      </c>
      <c r="E60" s="306" t="s">
        <v>416</v>
      </c>
      <c r="F60" s="282" t="s">
        <v>517</v>
      </c>
      <c r="G60" s="286" t="s">
        <v>417</v>
      </c>
      <c r="H60" s="287"/>
      <c r="I60" s="288">
        <v>36346.0</v>
      </c>
      <c r="J60" s="288">
        <v>45453.0</v>
      </c>
      <c r="K60" s="289"/>
      <c r="L60" s="302">
        <v>30.0</v>
      </c>
      <c r="M60" s="350">
        <v>45809.0</v>
      </c>
      <c r="N60" s="350">
        <v>45838.0</v>
      </c>
      <c r="O60" s="290">
        <f t="shared" si="1"/>
        <v>370</v>
      </c>
      <c r="P60" s="290">
        <f t="shared" si="2"/>
        <v>1850</v>
      </c>
      <c r="Q60" s="290">
        <f t="shared" si="3"/>
        <v>2220</v>
      </c>
    </row>
    <row r="61">
      <c r="A61" s="421" t="s">
        <v>16</v>
      </c>
      <c r="B61" s="422">
        <v>4320.0</v>
      </c>
      <c r="C61" s="427"/>
      <c r="D61" s="424">
        <v>0.0</v>
      </c>
      <c r="E61" s="441" t="s">
        <v>582</v>
      </c>
      <c r="F61" s="421" t="s">
        <v>583</v>
      </c>
      <c r="G61" s="425" t="s">
        <v>584</v>
      </c>
      <c r="H61" s="287"/>
      <c r="I61" s="426">
        <v>37880.0</v>
      </c>
      <c r="J61" s="426">
        <v>45677.0</v>
      </c>
      <c r="K61" s="481">
        <v>45800.0</v>
      </c>
      <c r="L61" s="428">
        <v>0.0</v>
      </c>
      <c r="M61" s="350">
        <v>45809.0</v>
      </c>
      <c r="N61" s="350">
        <v>45838.0</v>
      </c>
      <c r="O61" s="290">
        <f t="shared" si="1"/>
        <v>0</v>
      </c>
      <c r="P61" s="430">
        <f t="shared" si="2"/>
        <v>0</v>
      </c>
      <c r="Q61" s="430">
        <f t="shared" si="3"/>
        <v>0</v>
      </c>
      <c r="R61" s="48"/>
      <c r="S61" s="48"/>
      <c r="T61" s="48"/>
      <c r="U61" s="48"/>
      <c r="V61" s="48"/>
      <c r="W61" s="48"/>
      <c r="X61" s="48"/>
    </row>
    <row r="62">
      <c r="A62" s="282" t="s">
        <v>16</v>
      </c>
      <c r="B62" s="283">
        <v>4320.0</v>
      </c>
      <c r="C62" s="289"/>
      <c r="D62" s="285">
        <v>0.0</v>
      </c>
      <c r="E62" s="306" t="s">
        <v>478</v>
      </c>
      <c r="F62" s="282" t="s">
        <v>518</v>
      </c>
      <c r="G62" s="286" t="s">
        <v>426</v>
      </c>
      <c r="H62" s="287"/>
      <c r="I62" s="288">
        <v>36530.0</v>
      </c>
      <c r="J62" s="288">
        <v>45446.0</v>
      </c>
      <c r="K62" s="289"/>
      <c r="L62" s="302">
        <v>30.0</v>
      </c>
      <c r="M62" s="350">
        <v>45809.0</v>
      </c>
      <c r="N62" s="350">
        <v>45838.0</v>
      </c>
      <c r="O62" s="290">
        <f t="shared" si="1"/>
        <v>370</v>
      </c>
      <c r="P62" s="290">
        <f t="shared" si="2"/>
        <v>1850</v>
      </c>
      <c r="Q62" s="290">
        <f t="shared" si="3"/>
        <v>2220</v>
      </c>
    </row>
    <row r="63">
      <c r="A63" s="282" t="s">
        <v>16</v>
      </c>
      <c r="B63" s="283">
        <v>4320.0</v>
      </c>
      <c r="C63" s="289"/>
      <c r="D63" s="285">
        <v>0.0</v>
      </c>
      <c r="E63" s="306" t="s">
        <v>570</v>
      </c>
      <c r="F63" s="282" t="s">
        <v>571</v>
      </c>
      <c r="G63" s="286" t="s">
        <v>572</v>
      </c>
      <c r="H63" s="287"/>
      <c r="I63" s="288">
        <v>37362.0</v>
      </c>
      <c r="J63" s="288">
        <v>45677.0</v>
      </c>
      <c r="K63" s="289"/>
      <c r="L63" s="302">
        <v>30.0</v>
      </c>
      <c r="M63" s="350">
        <v>45809.0</v>
      </c>
      <c r="N63" s="350">
        <v>45838.0</v>
      </c>
      <c r="O63" s="290">
        <f t="shared" si="1"/>
        <v>370</v>
      </c>
      <c r="P63" s="290">
        <f t="shared" si="2"/>
        <v>1850</v>
      </c>
      <c r="Q63" s="290">
        <f t="shared" si="3"/>
        <v>2220</v>
      </c>
    </row>
    <row r="64">
      <c r="A64" s="282" t="s">
        <v>16</v>
      </c>
      <c r="B64" s="283">
        <v>4320.0</v>
      </c>
      <c r="C64" s="289"/>
      <c r="D64" s="285">
        <v>0.0</v>
      </c>
      <c r="E64" s="291" t="s">
        <v>702</v>
      </c>
      <c r="F64" s="292" t="s">
        <v>703</v>
      </c>
      <c r="G64" s="289" t="s">
        <v>704</v>
      </c>
      <c r="H64" s="289"/>
      <c r="I64" s="293">
        <v>35714.0</v>
      </c>
      <c r="J64" s="288">
        <v>45705.0</v>
      </c>
      <c r="K64" s="289"/>
      <c r="L64" s="302">
        <v>30.0</v>
      </c>
      <c r="M64" s="350">
        <v>45809.0</v>
      </c>
      <c r="N64" s="350">
        <v>45838.0</v>
      </c>
      <c r="O64" s="290">
        <f t="shared" si="1"/>
        <v>370</v>
      </c>
      <c r="P64" s="290">
        <f t="shared" si="2"/>
        <v>1850</v>
      </c>
      <c r="Q64" s="290">
        <f t="shared" si="3"/>
        <v>2220</v>
      </c>
    </row>
    <row r="65">
      <c r="A65" s="282" t="s">
        <v>16</v>
      </c>
      <c r="B65" s="283">
        <v>4320.0</v>
      </c>
      <c r="C65" s="289"/>
      <c r="D65" s="285">
        <v>0.0</v>
      </c>
      <c r="E65" s="306" t="s">
        <v>459</v>
      </c>
      <c r="F65" s="282" t="s">
        <v>374</v>
      </c>
      <c r="G65" s="286" t="s">
        <v>375</v>
      </c>
      <c r="H65" s="287"/>
      <c r="I65" s="288">
        <v>37085.0</v>
      </c>
      <c r="J65" s="288">
        <v>45400.0</v>
      </c>
      <c r="K65" s="289"/>
      <c r="L65" s="302">
        <v>30.0</v>
      </c>
      <c r="M65" s="350">
        <v>45809.0</v>
      </c>
      <c r="N65" s="350">
        <v>45838.0</v>
      </c>
      <c r="O65" s="290">
        <f t="shared" si="1"/>
        <v>370</v>
      </c>
      <c r="P65" s="290">
        <f t="shared" si="2"/>
        <v>1850</v>
      </c>
      <c r="Q65" s="290">
        <f t="shared" si="3"/>
        <v>2220</v>
      </c>
    </row>
    <row r="66">
      <c r="A66" s="282" t="s">
        <v>16</v>
      </c>
      <c r="B66" s="283">
        <v>4320.0</v>
      </c>
      <c r="C66" s="289"/>
      <c r="D66" s="285">
        <v>0.0</v>
      </c>
      <c r="E66" s="306" t="s">
        <v>349</v>
      </c>
      <c r="F66" s="282" t="s">
        <v>350</v>
      </c>
      <c r="G66" s="286" t="s">
        <v>351</v>
      </c>
      <c r="H66" s="287"/>
      <c r="I66" s="288">
        <v>37647.0</v>
      </c>
      <c r="J66" s="288">
        <v>45355.0</v>
      </c>
      <c r="K66" s="350"/>
      <c r="L66" s="302">
        <v>30.0</v>
      </c>
      <c r="M66" s="350">
        <v>45809.0</v>
      </c>
      <c r="N66" s="350">
        <v>45838.0</v>
      </c>
      <c r="O66" s="290">
        <f t="shared" si="1"/>
        <v>370</v>
      </c>
      <c r="P66" s="290">
        <f t="shared" si="2"/>
        <v>1850</v>
      </c>
      <c r="Q66" s="290">
        <f t="shared" si="3"/>
        <v>2220</v>
      </c>
    </row>
    <row r="67">
      <c r="A67" s="282" t="s">
        <v>16</v>
      </c>
      <c r="B67" s="283">
        <v>4320.0</v>
      </c>
      <c r="C67" s="289"/>
      <c r="D67" s="285">
        <v>0.0</v>
      </c>
      <c r="E67" s="306" t="s">
        <v>352</v>
      </c>
      <c r="F67" s="282" t="s">
        <v>353</v>
      </c>
      <c r="G67" s="286" t="s">
        <v>354</v>
      </c>
      <c r="H67" s="287"/>
      <c r="I67" s="288">
        <v>36412.0</v>
      </c>
      <c r="J67" s="288">
        <v>45355.0</v>
      </c>
      <c r="K67" s="289"/>
      <c r="L67" s="302">
        <v>30.0</v>
      </c>
      <c r="M67" s="350">
        <v>45809.0</v>
      </c>
      <c r="N67" s="350">
        <v>45838.0</v>
      </c>
      <c r="O67" s="290">
        <f t="shared" si="1"/>
        <v>370</v>
      </c>
      <c r="P67" s="290">
        <f t="shared" si="2"/>
        <v>1850</v>
      </c>
      <c r="Q67" s="290">
        <f t="shared" si="3"/>
        <v>2220</v>
      </c>
    </row>
    <row r="68">
      <c r="A68" s="282" t="s">
        <v>16</v>
      </c>
      <c r="B68" s="283">
        <v>4320.0</v>
      </c>
      <c r="C68" s="289"/>
      <c r="D68" s="285">
        <v>0.0</v>
      </c>
      <c r="E68" s="303" t="s">
        <v>705</v>
      </c>
      <c r="F68" s="295" t="s">
        <v>836</v>
      </c>
      <c r="G68" s="289" t="s">
        <v>707</v>
      </c>
      <c r="H68" s="289"/>
      <c r="I68" s="293">
        <v>36594.0</v>
      </c>
      <c r="J68" s="288">
        <v>45712.0</v>
      </c>
      <c r="K68" s="289"/>
      <c r="L68" s="302">
        <v>30.0</v>
      </c>
      <c r="M68" s="350">
        <v>45809.0</v>
      </c>
      <c r="N68" s="350">
        <v>45838.0</v>
      </c>
      <c r="O68" s="290">
        <f t="shared" si="1"/>
        <v>370</v>
      </c>
      <c r="P68" s="290">
        <f t="shared" si="2"/>
        <v>1850</v>
      </c>
      <c r="Q68" s="290">
        <f t="shared" si="3"/>
        <v>2220</v>
      </c>
    </row>
    <row r="69">
      <c r="A69" s="282" t="s">
        <v>16</v>
      </c>
      <c r="B69" s="283">
        <v>4320.0</v>
      </c>
      <c r="C69" s="289"/>
      <c r="D69" s="285">
        <v>0.0</v>
      </c>
      <c r="E69" s="306" t="s">
        <v>273</v>
      </c>
      <c r="F69" s="282" t="s">
        <v>274</v>
      </c>
      <c r="G69" s="286" t="s">
        <v>275</v>
      </c>
      <c r="H69" s="287"/>
      <c r="I69" s="288">
        <v>34522.0</v>
      </c>
      <c r="J69" s="288">
        <v>45292.0</v>
      </c>
      <c r="K69" s="289"/>
      <c r="L69" s="302">
        <v>30.0</v>
      </c>
      <c r="M69" s="350">
        <v>45809.0</v>
      </c>
      <c r="N69" s="350">
        <v>45838.0</v>
      </c>
      <c r="O69" s="290">
        <f t="shared" si="1"/>
        <v>370</v>
      </c>
      <c r="P69" s="290">
        <f t="shared" si="2"/>
        <v>1850</v>
      </c>
      <c r="Q69" s="290">
        <f t="shared" si="3"/>
        <v>2220</v>
      </c>
    </row>
    <row r="70">
      <c r="A70" s="282" t="s">
        <v>16</v>
      </c>
      <c r="B70" s="283">
        <v>4320.0</v>
      </c>
      <c r="C70" s="289"/>
      <c r="D70" s="285">
        <v>0.0</v>
      </c>
      <c r="E70" s="303" t="s">
        <v>708</v>
      </c>
      <c r="F70" s="295" t="s">
        <v>837</v>
      </c>
      <c r="G70" s="289" t="s">
        <v>710</v>
      </c>
      <c r="H70" s="289"/>
      <c r="I70" s="293">
        <v>37028.0</v>
      </c>
      <c r="J70" s="288">
        <v>45705.0</v>
      </c>
      <c r="K70" s="289"/>
      <c r="L70" s="302">
        <v>30.0</v>
      </c>
      <c r="M70" s="350">
        <v>45809.0</v>
      </c>
      <c r="N70" s="350">
        <v>45838.0</v>
      </c>
      <c r="O70" s="290">
        <f t="shared" si="1"/>
        <v>370</v>
      </c>
      <c r="P70" s="290">
        <f t="shared" si="2"/>
        <v>1850</v>
      </c>
      <c r="Q70" s="290">
        <f t="shared" si="3"/>
        <v>2220</v>
      </c>
    </row>
    <row r="71">
      <c r="A71" s="349" t="s">
        <v>16</v>
      </c>
      <c r="B71" s="400">
        <v>4320.0</v>
      </c>
      <c r="C71" s="401"/>
      <c r="D71" s="402">
        <v>0.0</v>
      </c>
      <c r="E71" s="403" t="s">
        <v>162</v>
      </c>
      <c r="F71" s="487" t="s">
        <v>838</v>
      </c>
      <c r="G71" s="404" t="s">
        <v>164</v>
      </c>
      <c r="H71" s="405"/>
      <c r="I71" s="406">
        <v>34732.0</v>
      </c>
      <c r="J71" s="406">
        <v>44986.0</v>
      </c>
      <c r="K71" s="401"/>
      <c r="L71" s="302">
        <v>30.0</v>
      </c>
      <c r="M71" s="350">
        <v>45809.0</v>
      </c>
      <c r="N71" s="350">
        <v>45838.0</v>
      </c>
      <c r="O71" s="290">
        <f t="shared" si="1"/>
        <v>370</v>
      </c>
      <c r="P71" s="409">
        <f t="shared" si="2"/>
        <v>1850</v>
      </c>
      <c r="Q71" s="409">
        <f t="shared" si="3"/>
        <v>2220</v>
      </c>
    </row>
    <row r="72">
      <c r="A72" s="282" t="s">
        <v>16</v>
      </c>
      <c r="B72" s="283">
        <v>4320.0</v>
      </c>
      <c r="C72" s="289"/>
      <c r="D72" s="285">
        <v>0.0</v>
      </c>
      <c r="E72" s="306" t="s">
        <v>549</v>
      </c>
      <c r="F72" s="282" t="s">
        <v>550</v>
      </c>
      <c r="G72" s="286" t="s">
        <v>551</v>
      </c>
      <c r="H72" s="287"/>
      <c r="I72" s="288">
        <v>37636.0</v>
      </c>
      <c r="J72" s="288">
        <v>45663.0</v>
      </c>
      <c r="K72" s="289"/>
      <c r="L72" s="302">
        <v>30.0</v>
      </c>
      <c r="M72" s="350">
        <v>45809.0</v>
      </c>
      <c r="N72" s="350">
        <v>45838.0</v>
      </c>
      <c r="O72" s="290">
        <f t="shared" si="1"/>
        <v>370</v>
      </c>
      <c r="P72" s="290">
        <f t="shared" si="2"/>
        <v>1850</v>
      </c>
      <c r="Q72" s="290">
        <f t="shared" si="3"/>
        <v>2220</v>
      </c>
    </row>
    <row r="73">
      <c r="A73" s="282" t="s">
        <v>16</v>
      </c>
      <c r="B73" s="283">
        <v>4320.0</v>
      </c>
      <c r="C73" s="289"/>
      <c r="D73" s="285">
        <v>0.0</v>
      </c>
      <c r="E73" s="291" t="s">
        <v>711</v>
      </c>
      <c r="F73" s="295" t="s">
        <v>839</v>
      </c>
      <c r="G73" s="289" t="s">
        <v>713</v>
      </c>
      <c r="H73" s="289"/>
      <c r="I73" s="293">
        <v>34694.0</v>
      </c>
      <c r="J73" s="288">
        <v>45712.0</v>
      </c>
      <c r="K73" s="289"/>
      <c r="L73" s="302">
        <v>30.0</v>
      </c>
      <c r="M73" s="350">
        <v>45809.0</v>
      </c>
      <c r="N73" s="350">
        <v>45838.0</v>
      </c>
      <c r="O73" s="290">
        <f t="shared" si="1"/>
        <v>370</v>
      </c>
      <c r="P73" s="290">
        <f t="shared" si="2"/>
        <v>1850</v>
      </c>
      <c r="Q73" s="290">
        <f t="shared" si="3"/>
        <v>2220</v>
      </c>
    </row>
    <row r="74">
      <c r="A74" s="282" t="s">
        <v>16</v>
      </c>
      <c r="B74" s="283">
        <v>4320.0</v>
      </c>
      <c r="C74" s="289"/>
      <c r="D74" s="285">
        <v>0.0</v>
      </c>
      <c r="E74" s="306" t="s">
        <v>355</v>
      </c>
      <c r="F74" s="282" t="s">
        <v>356</v>
      </c>
      <c r="G74" s="286" t="s">
        <v>357</v>
      </c>
      <c r="H74" s="287"/>
      <c r="I74" s="288">
        <v>35395.0</v>
      </c>
      <c r="J74" s="288">
        <v>45376.0</v>
      </c>
      <c r="K74" s="289"/>
      <c r="L74" s="302">
        <v>30.0</v>
      </c>
      <c r="M74" s="350">
        <v>45809.0</v>
      </c>
      <c r="N74" s="350">
        <v>45838.0</v>
      </c>
      <c r="O74" s="290">
        <f t="shared" si="1"/>
        <v>370</v>
      </c>
      <c r="P74" s="290">
        <f t="shared" si="2"/>
        <v>1850</v>
      </c>
      <c r="Q74" s="290">
        <f t="shared" si="3"/>
        <v>2220</v>
      </c>
    </row>
    <row r="75">
      <c r="A75" s="282" t="s">
        <v>16</v>
      </c>
      <c r="B75" s="283">
        <v>4320.0</v>
      </c>
      <c r="C75" s="289"/>
      <c r="D75" s="285">
        <v>0.0</v>
      </c>
      <c r="E75" s="291" t="s">
        <v>714</v>
      </c>
      <c r="F75" s="295" t="s">
        <v>840</v>
      </c>
      <c r="G75" s="289" t="s">
        <v>716</v>
      </c>
      <c r="H75" s="289"/>
      <c r="I75" s="293">
        <v>36514.0</v>
      </c>
      <c r="J75" s="288">
        <v>45698.0</v>
      </c>
      <c r="K75" s="289"/>
      <c r="L75" s="302">
        <v>30.0</v>
      </c>
      <c r="M75" s="350">
        <v>45809.0</v>
      </c>
      <c r="N75" s="350">
        <v>45838.0</v>
      </c>
      <c r="O75" s="290">
        <f t="shared" si="1"/>
        <v>370</v>
      </c>
      <c r="P75" s="290">
        <f t="shared" si="2"/>
        <v>1850</v>
      </c>
      <c r="Q75" s="290">
        <f t="shared" si="3"/>
        <v>2220</v>
      </c>
    </row>
    <row r="76">
      <c r="A76" s="467" t="s">
        <v>16</v>
      </c>
      <c r="B76" s="468">
        <v>4320.0</v>
      </c>
      <c r="C76" s="488"/>
      <c r="D76" s="470">
        <v>0.0</v>
      </c>
      <c r="E76" s="489" t="s">
        <v>600</v>
      </c>
      <c r="F76" s="467" t="s">
        <v>601</v>
      </c>
      <c r="G76" s="471" t="s">
        <v>602</v>
      </c>
      <c r="H76" s="287"/>
      <c r="I76" s="472">
        <v>29741.0</v>
      </c>
      <c r="J76" s="472">
        <v>45658.0</v>
      </c>
      <c r="K76" s="473">
        <v>45823.0</v>
      </c>
      <c r="L76" s="474">
        <v>15.0</v>
      </c>
      <c r="M76" s="350">
        <v>45809.0</v>
      </c>
      <c r="N76" s="350">
        <v>45823.0</v>
      </c>
      <c r="O76" s="290">
        <f t="shared" si="1"/>
        <v>185</v>
      </c>
      <c r="P76" s="475">
        <f t="shared" si="2"/>
        <v>925</v>
      </c>
      <c r="Q76" s="475">
        <f t="shared" si="3"/>
        <v>1110</v>
      </c>
      <c r="R76" s="476"/>
      <c r="S76" s="476"/>
      <c r="T76" s="476"/>
      <c r="U76" s="476"/>
      <c r="V76" s="476"/>
      <c r="W76" s="476"/>
      <c r="X76" s="476"/>
    </row>
    <row r="77">
      <c r="A77" s="421" t="s">
        <v>16</v>
      </c>
      <c r="B77" s="422">
        <v>4320.0</v>
      </c>
      <c r="C77" s="427"/>
      <c r="D77" s="424">
        <v>0.0</v>
      </c>
      <c r="E77" s="441" t="s">
        <v>431</v>
      </c>
      <c r="F77" s="421" t="s">
        <v>377</v>
      </c>
      <c r="G77" s="425" t="s">
        <v>378</v>
      </c>
      <c r="H77" s="287"/>
      <c r="I77" s="486">
        <v>36289.0</v>
      </c>
      <c r="J77" s="426">
        <v>45476.0</v>
      </c>
      <c r="K77" s="481">
        <v>45807.0</v>
      </c>
      <c r="L77" s="428">
        <v>0.0</v>
      </c>
      <c r="M77" s="350">
        <v>45809.0</v>
      </c>
      <c r="N77" s="350">
        <v>45838.0</v>
      </c>
      <c r="O77" s="290">
        <f t="shared" si="1"/>
        <v>0</v>
      </c>
      <c r="P77" s="430">
        <f t="shared" si="2"/>
        <v>0</v>
      </c>
      <c r="Q77" s="430">
        <f t="shared" si="3"/>
        <v>0</v>
      </c>
      <c r="R77" s="48"/>
      <c r="S77" s="48"/>
      <c r="T77" s="48"/>
      <c r="U77" s="48"/>
      <c r="V77" s="48"/>
      <c r="W77" s="48"/>
      <c r="X77" s="48"/>
    </row>
    <row r="78">
      <c r="A78" s="282" t="s">
        <v>16</v>
      </c>
      <c r="B78" s="283">
        <v>4320.0</v>
      </c>
      <c r="C78" s="289"/>
      <c r="D78" s="285">
        <v>0.0</v>
      </c>
      <c r="E78" s="306" t="s">
        <v>183</v>
      </c>
      <c r="F78" s="282" t="s">
        <v>184</v>
      </c>
      <c r="G78" s="286" t="s">
        <v>185</v>
      </c>
      <c r="H78" s="287"/>
      <c r="I78" s="288">
        <v>36979.0</v>
      </c>
      <c r="J78" s="288">
        <v>44907.0</v>
      </c>
      <c r="K78" s="289"/>
      <c r="L78" s="302">
        <v>30.0</v>
      </c>
      <c r="M78" s="350">
        <v>45809.0</v>
      </c>
      <c r="N78" s="350">
        <v>45838.0</v>
      </c>
      <c r="O78" s="290">
        <f t="shared" si="1"/>
        <v>370</v>
      </c>
      <c r="P78" s="290">
        <f t="shared" si="2"/>
        <v>1850</v>
      </c>
      <c r="Q78" s="290">
        <f t="shared" si="3"/>
        <v>2220</v>
      </c>
    </row>
    <row r="79">
      <c r="A79" s="282" t="s">
        <v>16</v>
      </c>
      <c r="B79" s="283">
        <v>4320.0</v>
      </c>
      <c r="C79" s="289"/>
      <c r="D79" s="285">
        <v>0.0</v>
      </c>
      <c r="E79" s="306" t="s">
        <v>301</v>
      </c>
      <c r="F79" s="282" t="s">
        <v>302</v>
      </c>
      <c r="G79" s="286" t="s">
        <v>303</v>
      </c>
      <c r="H79" s="287"/>
      <c r="I79" s="288">
        <v>36991.0</v>
      </c>
      <c r="J79" s="288">
        <v>45205.0</v>
      </c>
      <c r="K79" s="289"/>
      <c r="L79" s="302">
        <v>30.0</v>
      </c>
      <c r="M79" s="350">
        <v>45809.0</v>
      </c>
      <c r="N79" s="350">
        <v>45838.0</v>
      </c>
      <c r="O79" s="290">
        <f t="shared" si="1"/>
        <v>370</v>
      </c>
      <c r="P79" s="290">
        <f t="shared" si="2"/>
        <v>1850</v>
      </c>
      <c r="Q79" s="290">
        <f t="shared" si="3"/>
        <v>2220</v>
      </c>
    </row>
    <row r="80">
      <c r="A80" s="282" t="s">
        <v>16</v>
      </c>
      <c r="B80" s="283">
        <v>4320.0</v>
      </c>
      <c r="C80" s="289"/>
      <c r="D80" s="285">
        <v>0.0</v>
      </c>
      <c r="E80" s="306" t="s">
        <v>432</v>
      </c>
      <c r="F80" s="282" t="s">
        <v>521</v>
      </c>
      <c r="G80" s="286" t="s">
        <v>433</v>
      </c>
      <c r="H80" s="287"/>
      <c r="I80" s="288">
        <v>34504.0</v>
      </c>
      <c r="J80" s="288">
        <v>45481.0</v>
      </c>
      <c r="K80" s="289"/>
      <c r="L80" s="302">
        <v>30.0</v>
      </c>
      <c r="M80" s="350">
        <v>45809.0</v>
      </c>
      <c r="N80" s="350">
        <v>45838.0</v>
      </c>
      <c r="O80" s="290">
        <f t="shared" si="1"/>
        <v>370</v>
      </c>
      <c r="P80" s="290">
        <f t="shared" si="2"/>
        <v>1850</v>
      </c>
      <c r="Q80" s="290">
        <f t="shared" si="3"/>
        <v>2220</v>
      </c>
    </row>
    <row r="81">
      <c r="A81" s="282" t="s">
        <v>16</v>
      </c>
      <c r="B81" s="283">
        <v>4320.0</v>
      </c>
      <c r="C81" s="289"/>
      <c r="D81" s="285">
        <v>0.0</v>
      </c>
      <c r="E81" s="306" t="s">
        <v>434</v>
      </c>
      <c r="F81" s="282" t="s">
        <v>522</v>
      </c>
      <c r="G81" s="286" t="s">
        <v>435</v>
      </c>
      <c r="H81" s="287"/>
      <c r="I81" s="288">
        <v>37446.0</v>
      </c>
      <c r="J81" s="288">
        <v>45495.0</v>
      </c>
      <c r="K81" s="289"/>
      <c r="L81" s="302">
        <v>30.0</v>
      </c>
      <c r="M81" s="350">
        <v>45809.0</v>
      </c>
      <c r="N81" s="350">
        <v>45838.0</v>
      </c>
      <c r="O81" s="290">
        <f t="shared" si="1"/>
        <v>370</v>
      </c>
      <c r="P81" s="290">
        <f t="shared" si="2"/>
        <v>1850</v>
      </c>
      <c r="Q81" s="290">
        <f t="shared" si="3"/>
        <v>2220</v>
      </c>
    </row>
    <row r="82">
      <c r="A82" s="282" t="s">
        <v>16</v>
      </c>
      <c r="B82" s="283">
        <v>4320.0</v>
      </c>
      <c r="C82" s="289"/>
      <c r="D82" s="285">
        <v>0.0</v>
      </c>
      <c r="E82" s="306" t="s">
        <v>460</v>
      </c>
      <c r="F82" s="282" t="s">
        <v>523</v>
      </c>
      <c r="G82" s="286" t="s">
        <v>461</v>
      </c>
      <c r="H82" s="287"/>
      <c r="I82" s="288">
        <v>36856.0</v>
      </c>
      <c r="J82" s="288">
        <v>45505.0</v>
      </c>
      <c r="K82" s="296"/>
      <c r="L82" s="302">
        <v>30.0</v>
      </c>
      <c r="M82" s="350">
        <v>45809.0</v>
      </c>
      <c r="N82" s="350">
        <v>45838.0</v>
      </c>
      <c r="O82" s="290">
        <f t="shared" si="1"/>
        <v>370</v>
      </c>
      <c r="P82" s="290">
        <f t="shared" si="2"/>
        <v>1850</v>
      </c>
      <c r="Q82" s="290">
        <f t="shared" si="3"/>
        <v>2220</v>
      </c>
    </row>
    <row r="83">
      <c r="A83" s="282" t="s">
        <v>16</v>
      </c>
      <c r="B83" s="283">
        <v>4320.0</v>
      </c>
      <c r="C83" s="289"/>
      <c r="D83" s="285">
        <v>0.0</v>
      </c>
      <c r="E83" s="306" t="s">
        <v>462</v>
      </c>
      <c r="F83" s="282" t="s">
        <v>526</v>
      </c>
      <c r="G83" s="286" t="s">
        <v>463</v>
      </c>
      <c r="H83" s="287"/>
      <c r="I83" s="288">
        <v>34588.0</v>
      </c>
      <c r="J83" s="288">
        <v>45530.0</v>
      </c>
      <c r="K83" s="289"/>
      <c r="L83" s="302">
        <v>30.0</v>
      </c>
      <c r="M83" s="350">
        <v>45809.0</v>
      </c>
      <c r="N83" s="350">
        <v>45838.0</v>
      </c>
      <c r="O83" s="290">
        <f t="shared" si="1"/>
        <v>370</v>
      </c>
      <c r="P83" s="290">
        <f t="shared" si="2"/>
        <v>1850</v>
      </c>
      <c r="Q83" s="290">
        <f t="shared" si="3"/>
        <v>2220</v>
      </c>
    </row>
    <row r="84">
      <c r="A84" s="282" t="s">
        <v>16</v>
      </c>
      <c r="B84" s="283">
        <v>4320.0</v>
      </c>
      <c r="C84" s="289"/>
      <c r="D84" s="285">
        <v>0.0</v>
      </c>
      <c r="E84" s="306" t="s">
        <v>423</v>
      </c>
      <c r="F84" s="282" t="s">
        <v>524</v>
      </c>
      <c r="G84" s="286" t="s">
        <v>424</v>
      </c>
      <c r="H84" s="287"/>
      <c r="I84" s="288">
        <v>37818.0</v>
      </c>
      <c r="J84" s="288">
        <v>45467.0</v>
      </c>
      <c r="K84" s="289"/>
      <c r="L84" s="302">
        <v>30.0</v>
      </c>
      <c r="M84" s="350">
        <v>45809.0</v>
      </c>
      <c r="N84" s="350">
        <v>45838.0</v>
      </c>
      <c r="O84" s="290">
        <f t="shared" si="1"/>
        <v>370</v>
      </c>
      <c r="P84" s="290">
        <f t="shared" si="2"/>
        <v>1850</v>
      </c>
      <c r="Q84" s="290">
        <f t="shared" si="3"/>
        <v>2220</v>
      </c>
    </row>
    <row r="85">
      <c r="A85" s="282" t="s">
        <v>16</v>
      </c>
      <c r="B85" s="283">
        <v>4320.0</v>
      </c>
      <c r="C85" s="289"/>
      <c r="D85" s="285">
        <v>0.0</v>
      </c>
      <c r="E85" s="291" t="s">
        <v>717</v>
      </c>
      <c r="F85" s="292" t="s">
        <v>718</v>
      </c>
      <c r="G85" s="289" t="s">
        <v>719</v>
      </c>
      <c r="H85" s="289"/>
      <c r="I85" s="293">
        <v>36505.0</v>
      </c>
      <c r="J85" s="288">
        <v>45712.0</v>
      </c>
      <c r="K85" s="289"/>
      <c r="L85" s="302">
        <v>30.0</v>
      </c>
      <c r="M85" s="350">
        <v>45809.0</v>
      </c>
      <c r="N85" s="350">
        <v>45838.0</v>
      </c>
      <c r="O85" s="290">
        <f t="shared" si="1"/>
        <v>370</v>
      </c>
      <c r="P85" s="290">
        <f t="shared" si="2"/>
        <v>1850</v>
      </c>
      <c r="Q85" s="290">
        <f t="shared" si="3"/>
        <v>2220</v>
      </c>
    </row>
    <row r="86">
      <c r="A86" s="467" t="s">
        <v>16</v>
      </c>
      <c r="B86" s="468">
        <v>4320.0</v>
      </c>
      <c r="C86" s="488"/>
      <c r="D86" s="470">
        <v>0.0</v>
      </c>
      <c r="E86" s="489" t="s">
        <v>588</v>
      </c>
      <c r="F86" s="467" t="s">
        <v>589</v>
      </c>
      <c r="G86" s="471" t="s">
        <v>590</v>
      </c>
      <c r="H86" s="287"/>
      <c r="I86" s="472">
        <v>34190.0</v>
      </c>
      <c r="J86" s="472">
        <v>45684.0</v>
      </c>
      <c r="K86" s="473">
        <v>45812.0</v>
      </c>
      <c r="L86" s="474">
        <v>4.0</v>
      </c>
      <c r="M86" s="350">
        <v>45809.0</v>
      </c>
      <c r="N86" s="350">
        <v>45838.0</v>
      </c>
      <c r="O86" s="290">
        <f t="shared" si="1"/>
        <v>50</v>
      </c>
      <c r="P86" s="475">
        <f t="shared" si="2"/>
        <v>250</v>
      </c>
      <c r="Q86" s="475">
        <f t="shared" si="3"/>
        <v>300</v>
      </c>
      <c r="R86" s="476"/>
      <c r="S86" s="476"/>
      <c r="T86" s="476"/>
      <c r="U86" s="476"/>
      <c r="V86" s="476"/>
      <c r="W86" s="476"/>
      <c r="X86" s="476"/>
    </row>
    <row r="87">
      <c r="A87" s="282" t="s">
        <v>16</v>
      </c>
      <c r="B87" s="283">
        <v>4320.0</v>
      </c>
      <c r="C87" s="289"/>
      <c r="D87" s="285">
        <v>0.0</v>
      </c>
      <c r="E87" s="306" t="s">
        <v>427</v>
      </c>
      <c r="F87" s="282" t="s">
        <v>525</v>
      </c>
      <c r="G87" s="286" t="s">
        <v>428</v>
      </c>
      <c r="H87" s="287"/>
      <c r="I87" s="288">
        <v>36451.0</v>
      </c>
      <c r="J87" s="288">
        <v>45453.0</v>
      </c>
      <c r="K87" s="289"/>
      <c r="L87" s="302">
        <f t="shared" ref="L87:L89" si="4">N87-M87+1</f>
        <v>30</v>
      </c>
      <c r="M87" s="350">
        <v>45809.0</v>
      </c>
      <c r="N87" s="350">
        <v>45838.0</v>
      </c>
      <c r="O87" s="290">
        <f t="shared" si="1"/>
        <v>370</v>
      </c>
      <c r="P87" s="290">
        <f t="shared" si="2"/>
        <v>1850</v>
      </c>
      <c r="Q87" s="290">
        <f t="shared" si="3"/>
        <v>2220</v>
      </c>
    </row>
    <row r="88">
      <c r="A88" s="282" t="s">
        <v>16</v>
      </c>
      <c r="B88" s="283">
        <v>4320.0</v>
      </c>
      <c r="C88" s="289"/>
      <c r="D88" s="285">
        <v>0.0</v>
      </c>
      <c r="E88" s="306" t="s">
        <v>493</v>
      </c>
      <c r="F88" s="282" t="s">
        <v>532</v>
      </c>
      <c r="G88" s="286" t="s">
        <v>494</v>
      </c>
      <c r="H88" s="287"/>
      <c r="I88" s="288">
        <v>36208.0</v>
      </c>
      <c r="J88" s="288">
        <v>45602.0</v>
      </c>
      <c r="K88" s="289"/>
      <c r="L88" s="302">
        <f t="shared" si="4"/>
        <v>30</v>
      </c>
      <c r="M88" s="350">
        <v>45809.0</v>
      </c>
      <c r="N88" s="350">
        <v>45838.0</v>
      </c>
      <c r="O88" s="290">
        <f t="shared" si="1"/>
        <v>370</v>
      </c>
      <c r="P88" s="290">
        <f t="shared" si="2"/>
        <v>1850</v>
      </c>
      <c r="Q88" s="290">
        <f t="shared" si="3"/>
        <v>2220</v>
      </c>
    </row>
    <row r="89">
      <c r="A89" s="282" t="s">
        <v>16</v>
      </c>
      <c r="B89" s="283">
        <v>4320.0</v>
      </c>
      <c r="C89" s="289"/>
      <c r="D89" s="285">
        <v>0.0</v>
      </c>
      <c r="E89" s="306" t="s">
        <v>585</v>
      </c>
      <c r="F89" s="282" t="s">
        <v>586</v>
      </c>
      <c r="G89" s="480" t="s">
        <v>841</v>
      </c>
      <c r="H89" s="287"/>
      <c r="I89" s="288">
        <v>35827.0</v>
      </c>
      <c r="J89" s="288">
        <v>45684.0</v>
      </c>
      <c r="K89" s="289"/>
      <c r="L89" s="302">
        <f t="shared" si="4"/>
        <v>30</v>
      </c>
      <c r="M89" s="350">
        <v>45809.0</v>
      </c>
      <c r="N89" s="350">
        <v>45838.0</v>
      </c>
      <c r="O89" s="290">
        <f t="shared" si="1"/>
        <v>370</v>
      </c>
      <c r="P89" s="290">
        <f t="shared" si="2"/>
        <v>1850</v>
      </c>
      <c r="Q89" s="290">
        <f t="shared" si="3"/>
        <v>2220</v>
      </c>
    </row>
    <row r="90">
      <c r="A90" s="467" t="s">
        <v>16</v>
      </c>
      <c r="B90" s="468">
        <v>4320.0</v>
      </c>
      <c r="C90" s="488"/>
      <c r="D90" s="470">
        <v>0.0</v>
      </c>
      <c r="E90" s="489" t="s">
        <v>225</v>
      </c>
      <c r="F90" s="467" t="s">
        <v>226</v>
      </c>
      <c r="G90" s="471" t="s">
        <v>227</v>
      </c>
      <c r="H90" s="287"/>
      <c r="I90" s="472">
        <v>36177.0</v>
      </c>
      <c r="J90" s="472">
        <v>45320.0</v>
      </c>
      <c r="K90" s="473">
        <v>45826.0</v>
      </c>
      <c r="L90" s="474">
        <v>18.0</v>
      </c>
      <c r="M90" s="350">
        <v>45809.0</v>
      </c>
      <c r="N90" s="350">
        <v>45838.0</v>
      </c>
      <c r="O90" s="290">
        <f t="shared" si="1"/>
        <v>222</v>
      </c>
      <c r="P90" s="475">
        <f t="shared" si="2"/>
        <v>1110</v>
      </c>
      <c r="Q90" s="475">
        <f t="shared" si="3"/>
        <v>1332</v>
      </c>
      <c r="R90" s="476"/>
      <c r="S90" s="476"/>
      <c r="T90" s="476"/>
      <c r="U90" s="476"/>
      <c r="V90" s="476"/>
      <c r="W90" s="476"/>
      <c r="X90" s="476"/>
    </row>
    <row r="91">
      <c r="A91" s="490" t="s">
        <v>16</v>
      </c>
      <c r="B91" s="491">
        <v>4320.0</v>
      </c>
      <c r="C91" s="492"/>
      <c r="D91" s="424">
        <v>0.0</v>
      </c>
      <c r="E91" s="490" t="s">
        <v>741</v>
      </c>
      <c r="F91" s="493" t="s">
        <v>742</v>
      </c>
      <c r="G91" s="490" t="s">
        <v>743</v>
      </c>
      <c r="H91" s="492"/>
      <c r="I91" s="494">
        <v>37329.0</v>
      </c>
      <c r="J91" s="494">
        <v>45719.0</v>
      </c>
      <c r="K91" s="481">
        <v>45786.0</v>
      </c>
      <c r="L91" s="428">
        <v>0.0</v>
      </c>
      <c r="M91" s="350">
        <v>45809.0</v>
      </c>
      <c r="N91" s="350">
        <v>45838.0</v>
      </c>
      <c r="O91" s="290">
        <f t="shared" si="1"/>
        <v>0</v>
      </c>
      <c r="P91" s="430">
        <f t="shared" si="2"/>
        <v>0</v>
      </c>
      <c r="Q91" s="495">
        <f t="shared" si="3"/>
        <v>0</v>
      </c>
      <c r="R91" s="48"/>
      <c r="S91" s="48"/>
      <c r="T91" s="48"/>
      <c r="U91" s="48"/>
      <c r="V91" s="48"/>
      <c r="W91" s="48"/>
      <c r="X91" s="48"/>
    </row>
    <row r="92">
      <c r="A92" s="410" t="s">
        <v>16</v>
      </c>
      <c r="B92" s="411">
        <v>4320.0</v>
      </c>
      <c r="C92" s="412"/>
      <c r="D92" s="285">
        <v>0.0</v>
      </c>
      <c r="E92" s="410" t="s">
        <v>744</v>
      </c>
      <c r="F92" s="413" t="s">
        <v>745</v>
      </c>
      <c r="G92" s="410" t="s">
        <v>746</v>
      </c>
      <c r="H92" s="412"/>
      <c r="I92" s="414">
        <v>37479.0</v>
      </c>
      <c r="J92" s="414">
        <v>45726.0</v>
      </c>
      <c r="K92" s="412"/>
      <c r="L92" s="415">
        <f t="shared" ref="L92:L95" si="5">N92-M92+1</f>
        <v>30</v>
      </c>
      <c r="M92" s="350">
        <v>45809.0</v>
      </c>
      <c r="N92" s="350">
        <v>45838.0</v>
      </c>
      <c r="O92" s="290">
        <f t="shared" si="1"/>
        <v>370</v>
      </c>
      <c r="P92" s="416">
        <f t="shared" si="2"/>
        <v>1850</v>
      </c>
      <c r="Q92" s="417">
        <f t="shared" si="3"/>
        <v>2220</v>
      </c>
    </row>
    <row r="93">
      <c r="A93" s="410" t="s">
        <v>16</v>
      </c>
      <c r="B93" s="411">
        <v>4320.0</v>
      </c>
      <c r="C93" s="412"/>
      <c r="D93" s="285">
        <v>0.0</v>
      </c>
      <c r="E93" s="410" t="s">
        <v>747</v>
      </c>
      <c r="F93" s="418" t="s">
        <v>748</v>
      </c>
      <c r="G93" s="410" t="s">
        <v>842</v>
      </c>
      <c r="H93" s="412"/>
      <c r="I93" s="414">
        <v>37314.0</v>
      </c>
      <c r="J93" s="414">
        <v>45733.0</v>
      </c>
      <c r="K93" s="412"/>
      <c r="L93" s="415">
        <f t="shared" si="5"/>
        <v>30</v>
      </c>
      <c r="M93" s="350">
        <v>45809.0</v>
      </c>
      <c r="N93" s="350">
        <v>45838.0</v>
      </c>
      <c r="O93" s="290">
        <f t="shared" si="1"/>
        <v>370</v>
      </c>
      <c r="P93" s="416">
        <f t="shared" si="2"/>
        <v>1850</v>
      </c>
      <c r="Q93" s="417">
        <f t="shared" si="3"/>
        <v>2220</v>
      </c>
    </row>
    <row r="94">
      <c r="A94" s="410" t="s">
        <v>16</v>
      </c>
      <c r="B94" s="411">
        <v>4320.0</v>
      </c>
      <c r="C94" s="412"/>
      <c r="D94" s="285">
        <v>0.0</v>
      </c>
      <c r="E94" s="410" t="s">
        <v>750</v>
      </c>
      <c r="F94" s="418" t="s">
        <v>751</v>
      </c>
      <c r="G94" s="410" t="s">
        <v>752</v>
      </c>
      <c r="H94" s="412"/>
      <c r="I94" s="414">
        <v>36581.0</v>
      </c>
      <c r="J94" s="414">
        <v>45740.0</v>
      </c>
      <c r="K94" s="412"/>
      <c r="L94" s="415">
        <f t="shared" si="5"/>
        <v>30</v>
      </c>
      <c r="M94" s="350">
        <v>45809.0</v>
      </c>
      <c r="N94" s="350">
        <v>45838.0</v>
      </c>
      <c r="O94" s="290">
        <f t="shared" si="1"/>
        <v>370</v>
      </c>
      <c r="P94" s="416">
        <f t="shared" si="2"/>
        <v>1850</v>
      </c>
      <c r="Q94" s="417">
        <f t="shared" si="3"/>
        <v>2220</v>
      </c>
    </row>
    <row r="95">
      <c r="A95" s="410" t="s">
        <v>16</v>
      </c>
      <c r="B95" s="411">
        <v>4320.0</v>
      </c>
      <c r="C95" s="412"/>
      <c r="D95" s="285">
        <v>0.0</v>
      </c>
      <c r="E95" s="410" t="s">
        <v>764</v>
      </c>
      <c r="F95" s="418" t="s">
        <v>765</v>
      </c>
      <c r="G95" s="410" t="s">
        <v>766</v>
      </c>
      <c r="H95" s="412"/>
      <c r="I95" s="414">
        <v>36087.0</v>
      </c>
      <c r="J95" s="414">
        <v>45761.0</v>
      </c>
      <c r="K95" s="412"/>
      <c r="L95" s="415">
        <f t="shared" si="5"/>
        <v>30</v>
      </c>
      <c r="M95" s="350">
        <v>45809.0</v>
      </c>
      <c r="N95" s="350">
        <v>45838.0</v>
      </c>
      <c r="O95" s="290">
        <f t="shared" si="1"/>
        <v>370</v>
      </c>
      <c r="P95" s="416">
        <f t="shared" si="2"/>
        <v>1850</v>
      </c>
      <c r="Q95" s="416">
        <f t="shared" si="3"/>
        <v>2220</v>
      </c>
    </row>
    <row r="96">
      <c r="A96" s="496" t="s">
        <v>16</v>
      </c>
      <c r="B96" s="497">
        <v>4320.0</v>
      </c>
      <c r="C96" s="498"/>
      <c r="D96" s="470">
        <v>0.0</v>
      </c>
      <c r="E96" s="496" t="s">
        <v>767</v>
      </c>
      <c r="F96" s="499" t="s">
        <v>765</v>
      </c>
      <c r="G96" s="496" t="s">
        <v>768</v>
      </c>
      <c r="H96" s="498"/>
      <c r="I96" s="500">
        <v>35792.0</v>
      </c>
      <c r="J96" s="500">
        <v>45754.0</v>
      </c>
      <c r="K96" s="473">
        <v>45819.0</v>
      </c>
      <c r="L96" s="474">
        <v>11.0</v>
      </c>
      <c r="M96" s="350">
        <v>45809.0</v>
      </c>
      <c r="N96" s="350">
        <v>45838.0</v>
      </c>
      <c r="O96" s="290">
        <f t="shared" si="1"/>
        <v>136</v>
      </c>
      <c r="P96" s="475">
        <f t="shared" si="2"/>
        <v>680</v>
      </c>
      <c r="Q96" s="475">
        <f t="shared" si="3"/>
        <v>816</v>
      </c>
      <c r="R96" s="476"/>
      <c r="S96" s="476"/>
      <c r="T96" s="476"/>
      <c r="U96" s="476"/>
      <c r="V96" s="476"/>
      <c r="W96" s="476"/>
      <c r="X96" s="476"/>
    </row>
    <row r="97">
      <c r="A97" s="410" t="s">
        <v>16</v>
      </c>
      <c r="B97" s="411">
        <v>4320.0</v>
      </c>
      <c r="C97" s="443"/>
      <c r="D97" s="285">
        <v>0.0</v>
      </c>
      <c r="E97" s="444" t="s">
        <v>785</v>
      </c>
      <c r="F97" s="445" t="s">
        <v>786</v>
      </c>
      <c r="G97" s="445" t="s">
        <v>787</v>
      </c>
      <c r="H97" s="443"/>
      <c r="I97" s="446">
        <v>38089.0</v>
      </c>
      <c r="J97" s="447">
        <v>45789.0</v>
      </c>
      <c r="K97" s="443"/>
      <c r="L97" s="448">
        <v>30.0</v>
      </c>
      <c r="M97" s="350">
        <v>45809.0</v>
      </c>
      <c r="N97" s="350">
        <v>45838.0</v>
      </c>
      <c r="O97" s="290">
        <f t="shared" si="1"/>
        <v>370</v>
      </c>
      <c r="P97" s="451">
        <f t="shared" si="2"/>
        <v>1850</v>
      </c>
      <c r="Q97" s="451">
        <f t="shared" si="3"/>
        <v>2220</v>
      </c>
    </row>
    <row r="98">
      <c r="A98" s="410" t="s">
        <v>16</v>
      </c>
      <c r="B98" s="411">
        <v>4320.0</v>
      </c>
      <c r="C98" s="443"/>
      <c r="D98" s="285">
        <v>0.0</v>
      </c>
      <c r="E98" s="444" t="s">
        <v>788</v>
      </c>
      <c r="F98" s="445" t="s">
        <v>789</v>
      </c>
      <c r="G98" s="445" t="s">
        <v>843</v>
      </c>
      <c r="H98" s="443"/>
      <c r="I98" s="446">
        <v>36459.0</v>
      </c>
      <c r="J98" s="447">
        <v>45789.0</v>
      </c>
      <c r="K98" s="443"/>
      <c r="L98" s="448">
        <v>30.0</v>
      </c>
      <c r="M98" s="350">
        <v>45809.0</v>
      </c>
      <c r="N98" s="350">
        <v>45838.0</v>
      </c>
      <c r="O98" s="290">
        <f t="shared" si="1"/>
        <v>370</v>
      </c>
      <c r="P98" s="451">
        <f t="shared" si="2"/>
        <v>1850</v>
      </c>
      <c r="Q98" s="451">
        <f t="shared" si="3"/>
        <v>2220</v>
      </c>
    </row>
    <row r="99">
      <c r="A99" s="410" t="s">
        <v>16</v>
      </c>
      <c r="B99" s="411">
        <v>4320.0</v>
      </c>
      <c r="C99" s="443"/>
      <c r="D99" s="285">
        <v>0.0</v>
      </c>
      <c r="E99" s="444" t="s">
        <v>791</v>
      </c>
      <c r="F99" s="445" t="s">
        <v>792</v>
      </c>
      <c r="G99" s="445" t="s">
        <v>793</v>
      </c>
      <c r="H99" s="443"/>
      <c r="I99" s="446">
        <v>36197.0</v>
      </c>
      <c r="J99" s="447">
        <v>45782.0</v>
      </c>
      <c r="K99" s="443"/>
      <c r="L99" s="448">
        <v>30.0</v>
      </c>
      <c r="M99" s="350">
        <v>45809.0</v>
      </c>
      <c r="N99" s="350">
        <v>45838.0</v>
      </c>
      <c r="O99" s="290">
        <f t="shared" si="1"/>
        <v>370</v>
      </c>
      <c r="P99" s="451">
        <f t="shared" si="2"/>
        <v>1850</v>
      </c>
      <c r="Q99" s="451">
        <f t="shared" si="3"/>
        <v>2220</v>
      </c>
    </row>
    <row r="100">
      <c r="A100" s="410" t="s">
        <v>16</v>
      </c>
      <c r="B100" s="411">
        <v>4320.0</v>
      </c>
      <c r="C100" s="443"/>
      <c r="D100" s="285">
        <v>0.0</v>
      </c>
      <c r="E100" s="444" t="s">
        <v>794</v>
      </c>
      <c r="F100" s="445" t="s">
        <v>795</v>
      </c>
      <c r="G100" s="445" t="s">
        <v>796</v>
      </c>
      <c r="H100" s="443"/>
      <c r="I100" s="446">
        <v>36857.0</v>
      </c>
      <c r="J100" s="446">
        <v>45775.0</v>
      </c>
      <c r="K100" s="443"/>
      <c r="L100" s="448">
        <v>30.0</v>
      </c>
      <c r="M100" s="350">
        <v>45809.0</v>
      </c>
      <c r="N100" s="350">
        <v>45838.0</v>
      </c>
      <c r="O100" s="290">
        <f t="shared" si="1"/>
        <v>370</v>
      </c>
      <c r="P100" s="451">
        <f t="shared" si="2"/>
        <v>1850</v>
      </c>
      <c r="Q100" s="451">
        <f t="shared" si="3"/>
        <v>2220</v>
      </c>
    </row>
    <row r="101">
      <c r="A101" s="410" t="s">
        <v>16</v>
      </c>
      <c r="B101" s="411">
        <v>4320.0</v>
      </c>
      <c r="C101" s="443"/>
      <c r="D101" s="285">
        <v>0.0</v>
      </c>
      <c r="E101" s="444" t="s">
        <v>797</v>
      </c>
      <c r="F101" s="445" t="s">
        <v>798</v>
      </c>
      <c r="G101" s="445" t="s">
        <v>799</v>
      </c>
      <c r="H101" s="443"/>
      <c r="I101" s="446">
        <v>37709.0</v>
      </c>
      <c r="J101" s="447">
        <v>45789.0</v>
      </c>
      <c r="K101" s="443"/>
      <c r="L101" s="448">
        <v>30.0</v>
      </c>
      <c r="M101" s="350">
        <v>45809.0</v>
      </c>
      <c r="N101" s="350">
        <v>45838.0</v>
      </c>
      <c r="O101" s="290">
        <f t="shared" si="1"/>
        <v>370</v>
      </c>
      <c r="P101" s="451">
        <f t="shared" si="2"/>
        <v>1850</v>
      </c>
      <c r="Q101" s="451">
        <f t="shared" si="3"/>
        <v>2220</v>
      </c>
    </row>
    <row r="102">
      <c r="A102" s="410" t="s">
        <v>16</v>
      </c>
      <c r="B102" s="411">
        <v>4320.0</v>
      </c>
      <c r="C102" s="443"/>
      <c r="D102" s="285">
        <v>0.0</v>
      </c>
      <c r="E102" s="444" t="s">
        <v>800</v>
      </c>
      <c r="F102" s="445" t="s">
        <v>801</v>
      </c>
      <c r="G102" s="445" t="s">
        <v>802</v>
      </c>
      <c r="H102" s="443"/>
      <c r="I102" s="446">
        <v>36939.0</v>
      </c>
      <c r="J102" s="447">
        <v>45789.0</v>
      </c>
      <c r="K102" s="443"/>
      <c r="L102" s="448">
        <v>30.0</v>
      </c>
      <c r="M102" s="350">
        <v>45809.0</v>
      </c>
      <c r="N102" s="350">
        <v>45838.0</v>
      </c>
      <c r="O102" s="290">
        <f t="shared" si="1"/>
        <v>370</v>
      </c>
      <c r="P102" s="451">
        <f t="shared" si="2"/>
        <v>1850</v>
      </c>
      <c r="Q102" s="451">
        <f t="shared" si="3"/>
        <v>2220</v>
      </c>
    </row>
    <row r="103">
      <c r="A103" s="410" t="s">
        <v>16</v>
      </c>
      <c r="B103" s="411">
        <v>4320.0</v>
      </c>
      <c r="C103" s="443"/>
      <c r="D103" s="285">
        <v>0.0</v>
      </c>
      <c r="E103" s="444" t="s">
        <v>803</v>
      </c>
      <c r="F103" s="445" t="s">
        <v>804</v>
      </c>
      <c r="G103" s="445" t="s">
        <v>844</v>
      </c>
      <c r="H103" s="443"/>
      <c r="I103" s="446">
        <v>37817.0</v>
      </c>
      <c r="J103" s="447">
        <v>45796.0</v>
      </c>
      <c r="K103" s="443"/>
      <c r="L103" s="448">
        <v>30.0</v>
      </c>
      <c r="M103" s="350">
        <v>45809.0</v>
      </c>
      <c r="N103" s="350">
        <v>45838.0</v>
      </c>
      <c r="O103" s="290">
        <f t="shared" si="1"/>
        <v>370</v>
      </c>
      <c r="P103" s="451">
        <f t="shared" si="2"/>
        <v>1850</v>
      </c>
      <c r="Q103" s="451">
        <f t="shared" si="3"/>
        <v>2220</v>
      </c>
    </row>
    <row r="104">
      <c r="A104" s="410" t="s">
        <v>16</v>
      </c>
      <c r="B104" s="411">
        <v>4320.0</v>
      </c>
      <c r="C104" s="443"/>
      <c r="D104" s="285">
        <v>0.0</v>
      </c>
      <c r="E104" s="444" t="s">
        <v>806</v>
      </c>
      <c r="F104" s="445" t="s">
        <v>807</v>
      </c>
      <c r="G104" s="445" t="s">
        <v>808</v>
      </c>
      <c r="H104" s="443"/>
      <c r="I104" s="446">
        <v>36061.0</v>
      </c>
      <c r="J104" s="447">
        <v>45796.0</v>
      </c>
      <c r="K104" s="443"/>
      <c r="L104" s="448">
        <v>30.0</v>
      </c>
      <c r="M104" s="350">
        <v>45809.0</v>
      </c>
      <c r="N104" s="350">
        <v>45838.0</v>
      </c>
      <c r="O104" s="290">
        <f t="shared" si="1"/>
        <v>370</v>
      </c>
      <c r="P104" s="451">
        <f t="shared" si="2"/>
        <v>1850</v>
      </c>
      <c r="Q104" s="451">
        <f t="shared" si="3"/>
        <v>2220</v>
      </c>
    </row>
    <row r="105">
      <c r="A105" s="410" t="s">
        <v>16</v>
      </c>
      <c r="B105" s="411">
        <v>4320.0</v>
      </c>
      <c r="C105" s="443"/>
      <c r="D105" s="285">
        <v>0.0</v>
      </c>
      <c r="E105" s="444" t="s">
        <v>809</v>
      </c>
      <c r="F105" s="445" t="s">
        <v>810</v>
      </c>
      <c r="G105" s="445" t="s">
        <v>811</v>
      </c>
      <c r="H105" s="443"/>
      <c r="I105" s="446">
        <v>35148.0</v>
      </c>
      <c r="J105" s="446">
        <v>45775.0</v>
      </c>
      <c r="K105" s="443"/>
      <c r="L105" s="448">
        <v>30.0</v>
      </c>
      <c r="M105" s="350">
        <v>45809.0</v>
      </c>
      <c r="N105" s="350">
        <v>45838.0</v>
      </c>
      <c r="O105" s="290">
        <f t="shared" si="1"/>
        <v>370</v>
      </c>
      <c r="P105" s="451">
        <f t="shared" si="2"/>
        <v>1850</v>
      </c>
      <c r="Q105" s="451">
        <f t="shared" si="3"/>
        <v>2220</v>
      </c>
    </row>
    <row r="106">
      <c r="A106" s="410" t="s">
        <v>16</v>
      </c>
      <c r="B106" s="411">
        <v>4320.0</v>
      </c>
      <c r="C106" s="443"/>
      <c r="D106" s="285">
        <v>0.0</v>
      </c>
      <c r="E106" s="444" t="s">
        <v>812</v>
      </c>
      <c r="F106" s="445" t="s">
        <v>813</v>
      </c>
      <c r="G106" s="445" t="s">
        <v>814</v>
      </c>
      <c r="H106" s="443"/>
      <c r="I106" s="446">
        <v>37940.0</v>
      </c>
      <c r="J106" s="446">
        <v>45775.0</v>
      </c>
      <c r="K106" s="443"/>
      <c r="L106" s="448">
        <v>30.0</v>
      </c>
      <c r="M106" s="350">
        <v>45809.0</v>
      </c>
      <c r="N106" s="350">
        <v>45838.0</v>
      </c>
      <c r="O106" s="290">
        <f t="shared" si="1"/>
        <v>370</v>
      </c>
      <c r="P106" s="451">
        <f t="shared" si="2"/>
        <v>1850</v>
      </c>
      <c r="Q106" s="451">
        <f t="shared" si="3"/>
        <v>2220</v>
      </c>
    </row>
    <row r="107">
      <c r="A107" s="410" t="s">
        <v>16</v>
      </c>
      <c r="B107" s="411">
        <v>4320.0</v>
      </c>
      <c r="C107" s="443"/>
      <c r="D107" s="285">
        <v>0.0</v>
      </c>
      <c r="E107" s="444" t="s">
        <v>629</v>
      </c>
      <c r="F107" s="445" t="s">
        <v>815</v>
      </c>
      <c r="G107" s="445" t="s">
        <v>631</v>
      </c>
      <c r="H107" s="445" t="s">
        <v>763</v>
      </c>
      <c r="I107" s="446">
        <v>34807.0</v>
      </c>
      <c r="J107" s="447">
        <v>45778.0</v>
      </c>
      <c r="K107" s="443"/>
      <c r="L107" s="448">
        <v>30.0</v>
      </c>
      <c r="M107" s="350">
        <v>45809.0</v>
      </c>
      <c r="N107" s="350">
        <v>45838.0</v>
      </c>
      <c r="O107" s="290">
        <f t="shared" si="1"/>
        <v>370</v>
      </c>
      <c r="P107" s="451">
        <f t="shared" si="2"/>
        <v>1850</v>
      </c>
      <c r="Q107" s="451">
        <f t="shared" si="3"/>
        <v>2220</v>
      </c>
    </row>
    <row r="108">
      <c r="A108" s="410" t="s">
        <v>16</v>
      </c>
      <c r="B108" s="411">
        <v>4320.0</v>
      </c>
      <c r="C108" s="443"/>
      <c r="D108" s="285">
        <v>0.0</v>
      </c>
      <c r="E108" s="444" t="s">
        <v>816</v>
      </c>
      <c r="F108" s="445" t="s">
        <v>627</v>
      </c>
      <c r="G108" s="445" t="s">
        <v>628</v>
      </c>
      <c r="H108" s="443"/>
      <c r="I108" s="446">
        <v>35257.0</v>
      </c>
      <c r="J108" s="447">
        <v>45778.0</v>
      </c>
      <c r="K108" s="443"/>
      <c r="L108" s="448">
        <v>30.0</v>
      </c>
      <c r="M108" s="350">
        <v>45809.0</v>
      </c>
      <c r="N108" s="350">
        <v>45838.0</v>
      </c>
      <c r="O108" s="290">
        <f t="shared" si="1"/>
        <v>370</v>
      </c>
      <c r="P108" s="451">
        <f t="shared" si="2"/>
        <v>1850</v>
      </c>
      <c r="Q108" s="451">
        <f t="shared" si="3"/>
        <v>2220</v>
      </c>
    </row>
    <row r="109">
      <c r="A109" s="410" t="s">
        <v>16</v>
      </c>
      <c r="B109" s="411">
        <v>4320.0</v>
      </c>
      <c r="C109" s="443"/>
      <c r="D109" s="285">
        <v>0.0</v>
      </c>
      <c r="E109" s="444" t="s">
        <v>606</v>
      </c>
      <c r="F109" s="445" t="s">
        <v>607</v>
      </c>
      <c r="G109" s="445" t="s">
        <v>608</v>
      </c>
      <c r="H109" s="443"/>
      <c r="I109" s="446">
        <v>33844.0</v>
      </c>
      <c r="J109" s="447">
        <v>45778.0</v>
      </c>
      <c r="K109" s="443"/>
      <c r="L109" s="448">
        <v>30.0</v>
      </c>
      <c r="M109" s="350">
        <v>45809.0</v>
      </c>
      <c r="N109" s="350">
        <v>45838.0</v>
      </c>
      <c r="O109" s="290">
        <f t="shared" si="1"/>
        <v>370</v>
      </c>
      <c r="P109" s="451">
        <f t="shared" si="2"/>
        <v>1850</v>
      </c>
      <c r="Q109" s="451">
        <f t="shared" si="3"/>
        <v>2220</v>
      </c>
    </row>
    <row r="110">
      <c r="A110" s="410" t="s">
        <v>16</v>
      </c>
      <c r="B110" s="411">
        <v>4320.0</v>
      </c>
      <c r="C110" s="443"/>
      <c r="D110" s="285">
        <v>0.0</v>
      </c>
      <c r="E110" s="444" t="s">
        <v>817</v>
      </c>
      <c r="F110" s="445" t="s">
        <v>637</v>
      </c>
      <c r="G110" s="445" t="s">
        <v>638</v>
      </c>
      <c r="H110" s="443"/>
      <c r="I110" s="446">
        <v>36720.0</v>
      </c>
      <c r="J110" s="447">
        <v>45778.0</v>
      </c>
      <c r="K110" s="443"/>
      <c r="L110" s="448">
        <v>30.0</v>
      </c>
      <c r="M110" s="350">
        <v>45809.0</v>
      </c>
      <c r="N110" s="350">
        <v>45838.0</v>
      </c>
      <c r="O110" s="290">
        <f t="shared" si="1"/>
        <v>370</v>
      </c>
      <c r="P110" s="451">
        <f t="shared" si="2"/>
        <v>1850</v>
      </c>
      <c r="Q110" s="451">
        <f t="shared" si="3"/>
        <v>2220</v>
      </c>
    </row>
    <row r="111">
      <c r="A111" s="410" t="s">
        <v>16</v>
      </c>
      <c r="B111" s="411">
        <v>4320.0</v>
      </c>
      <c r="C111" s="443"/>
      <c r="D111" s="285">
        <v>0.0</v>
      </c>
      <c r="E111" s="444" t="s">
        <v>676</v>
      </c>
      <c r="F111" s="445" t="s">
        <v>677</v>
      </c>
      <c r="G111" s="445" t="s">
        <v>678</v>
      </c>
      <c r="H111" s="443"/>
      <c r="I111" s="446">
        <v>36107.0</v>
      </c>
      <c r="J111" s="447">
        <v>45778.0</v>
      </c>
      <c r="K111" s="443"/>
      <c r="L111" s="448">
        <v>30.0</v>
      </c>
      <c r="M111" s="350">
        <v>45809.0</v>
      </c>
      <c r="N111" s="350">
        <v>45838.0</v>
      </c>
      <c r="O111" s="290">
        <f t="shared" si="1"/>
        <v>370</v>
      </c>
      <c r="P111" s="451">
        <f t="shared" si="2"/>
        <v>1850</v>
      </c>
      <c r="Q111" s="451">
        <f t="shared" si="3"/>
        <v>2220</v>
      </c>
    </row>
    <row r="112">
      <c r="A112" s="410" t="s">
        <v>16</v>
      </c>
      <c r="B112" s="411">
        <v>4320.0</v>
      </c>
      <c r="C112" s="443"/>
      <c r="D112" s="285">
        <v>0.0</v>
      </c>
      <c r="E112" s="501" t="s">
        <v>845</v>
      </c>
      <c r="F112" s="502" t="s">
        <v>846</v>
      </c>
      <c r="G112" s="502" t="s">
        <v>847</v>
      </c>
      <c r="H112" s="307"/>
      <c r="I112" s="503">
        <v>34794.0</v>
      </c>
      <c r="J112" s="504">
        <v>45809.0</v>
      </c>
      <c r="K112" s="307"/>
      <c r="L112" s="505">
        <f>30</f>
        <v>30</v>
      </c>
      <c r="M112" s="506">
        <v>45809.0</v>
      </c>
      <c r="N112" s="350">
        <v>45838.0</v>
      </c>
      <c r="O112" s="290">
        <f t="shared" si="1"/>
        <v>370</v>
      </c>
      <c r="P112" s="451">
        <f t="shared" si="2"/>
        <v>1850</v>
      </c>
      <c r="Q112" s="451">
        <f t="shared" si="3"/>
        <v>2220</v>
      </c>
    </row>
    <row r="113">
      <c r="A113" s="410" t="s">
        <v>16</v>
      </c>
      <c r="B113" s="411">
        <v>4320.0</v>
      </c>
      <c r="C113" s="443"/>
      <c r="D113" s="285">
        <v>0.0</v>
      </c>
      <c r="E113" s="501" t="s">
        <v>848</v>
      </c>
      <c r="F113" s="507" t="s">
        <v>849</v>
      </c>
      <c r="G113" s="507" t="s">
        <v>850</v>
      </c>
      <c r="I113" s="508">
        <v>33637.0</v>
      </c>
      <c r="J113" s="504">
        <v>45809.0</v>
      </c>
      <c r="L113" s="505">
        <v>30.0</v>
      </c>
      <c r="M113" s="509">
        <v>45809.0</v>
      </c>
      <c r="N113" s="350">
        <v>45838.0</v>
      </c>
      <c r="O113" s="290">
        <f t="shared" si="1"/>
        <v>370</v>
      </c>
      <c r="P113" s="451">
        <f t="shared" si="2"/>
        <v>1850</v>
      </c>
      <c r="Q113" s="451">
        <f t="shared" si="3"/>
        <v>2220</v>
      </c>
    </row>
    <row r="114">
      <c r="A114" s="410" t="s">
        <v>16</v>
      </c>
      <c r="B114" s="411">
        <v>4320.0</v>
      </c>
      <c r="C114" s="443"/>
      <c r="D114" s="285">
        <v>0.0</v>
      </c>
      <c r="E114" s="501" t="s">
        <v>851</v>
      </c>
      <c r="F114" s="507" t="s">
        <v>852</v>
      </c>
      <c r="G114" s="507" t="s">
        <v>853</v>
      </c>
      <c r="I114" s="509">
        <v>36113.0</v>
      </c>
      <c r="J114" s="509">
        <v>45810.0</v>
      </c>
      <c r="L114" s="505">
        <f t="shared" ref="L114:L117" si="6">30-1</f>
        <v>29</v>
      </c>
      <c r="M114" s="509">
        <v>45810.0</v>
      </c>
      <c r="N114" s="350">
        <v>45838.0</v>
      </c>
      <c r="O114" s="290">
        <f t="shared" si="1"/>
        <v>358</v>
      </c>
      <c r="P114" s="451">
        <f t="shared" si="2"/>
        <v>1790</v>
      </c>
      <c r="Q114" s="451">
        <f t="shared" si="3"/>
        <v>2148</v>
      </c>
    </row>
    <row r="115">
      <c r="A115" s="410" t="s">
        <v>16</v>
      </c>
      <c r="B115" s="411">
        <v>4320.0</v>
      </c>
      <c r="C115" s="443"/>
      <c r="D115" s="285">
        <v>0.0</v>
      </c>
      <c r="E115" s="501" t="s">
        <v>854</v>
      </c>
      <c r="F115" s="507" t="s">
        <v>855</v>
      </c>
      <c r="G115" s="507" t="s">
        <v>856</v>
      </c>
      <c r="I115" s="509">
        <v>36059.0</v>
      </c>
      <c r="J115" s="509">
        <v>45810.0</v>
      </c>
      <c r="L115" s="505">
        <f t="shared" si="6"/>
        <v>29</v>
      </c>
      <c r="M115" s="509">
        <v>45810.0</v>
      </c>
      <c r="N115" s="350">
        <v>45838.0</v>
      </c>
      <c r="O115" s="290">
        <f t="shared" si="1"/>
        <v>358</v>
      </c>
      <c r="P115" s="451">
        <f t="shared" si="2"/>
        <v>1790</v>
      </c>
      <c r="Q115" s="451">
        <f t="shared" si="3"/>
        <v>2148</v>
      </c>
      <c r="R115" s="359"/>
      <c r="S115" s="360"/>
      <c r="T115" s="360"/>
      <c r="U115" s="360"/>
      <c r="V115" s="360"/>
      <c r="W115" s="360"/>
      <c r="X115" s="360"/>
    </row>
    <row r="116">
      <c r="A116" s="410" t="s">
        <v>16</v>
      </c>
      <c r="B116" s="411">
        <v>4320.0</v>
      </c>
      <c r="C116" s="443"/>
      <c r="D116" s="285">
        <v>0.0</v>
      </c>
      <c r="E116" s="501" t="s">
        <v>857</v>
      </c>
      <c r="F116" s="507" t="s">
        <v>858</v>
      </c>
      <c r="G116" s="507" t="s">
        <v>859</v>
      </c>
      <c r="I116" s="509">
        <v>36087.0</v>
      </c>
      <c r="J116" s="509">
        <v>45810.0</v>
      </c>
      <c r="L116" s="505">
        <f t="shared" si="6"/>
        <v>29</v>
      </c>
      <c r="M116" s="509">
        <v>45810.0</v>
      </c>
      <c r="N116" s="350">
        <v>45838.0</v>
      </c>
      <c r="O116" s="290">
        <f t="shared" si="1"/>
        <v>358</v>
      </c>
      <c r="P116" s="451">
        <f t="shared" si="2"/>
        <v>1790</v>
      </c>
      <c r="Q116" s="451">
        <f t="shared" si="3"/>
        <v>2148</v>
      </c>
      <c r="R116" s="359"/>
      <c r="S116" s="360"/>
      <c r="T116" s="360"/>
      <c r="U116" s="360"/>
      <c r="V116" s="360"/>
      <c r="W116" s="360"/>
      <c r="X116" s="360"/>
    </row>
    <row r="117">
      <c r="A117" s="410" t="s">
        <v>16</v>
      </c>
      <c r="B117" s="411">
        <v>4320.0</v>
      </c>
      <c r="C117" s="443"/>
      <c r="D117" s="285">
        <v>0.0</v>
      </c>
      <c r="E117" s="501" t="s">
        <v>860</v>
      </c>
      <c r="F117" s="507" t="s">
        <v>861</v>
      </c>
      <c r="G117" s="507" t="s">
        <v>862</v>
      </c>
      <c r="I117" s="509">
        <v>36176.0</v>
      </c>
      <c r="J117" s="509">
        <v>45810.0</v>
      </c>
      <c r="L117" s="505">
        <f t="shared" si="6"/>
        <v>29</v>
      </c>
      <c r="M117" s="509">
        <v>45810.0</v>
      </c>
      <c r="N117" s="350">
        <v>45838.0</v>
      </c>
      <c r="O117" s="290">
        <f t="shared" si="1"/>
        <v>358</v>
      </c>
      <c r="P117" s="451">
        <f t="shared" si="2"/>
        <v>1790</v>
      </c>
      <c r="Q117" s="451">
        <f t="shared" si="3"/>
        <v>2148</v>
      </c>
      <c r="R117" s="359"/>
      <c r="S117" s="360"/>
      <c r="T117" s="360"/>
      <c r="U117" s="360"/>
      <c r="V117" s="360"/>
      <c r="W117" s="360"/>
      <c r="X117" s="360"/>
    </row>
    <row r="118">
      <c r="A118" s="410" t="s">
        <v>16</v>
      </c>
      <c r="B118" s="411">
        <v>4320.0</v>
      </c>
      <c r="C118" s="443"/>
      <c r="D118" s="285">
        <v>0.0</v>
      </c>
      <c r="E118" s="501" t="s">
        <v>863</v>
      </c>
      <c r="F118" s="507" t="s">
        <v>864</v>
      </c>
      <c r="G118" s="507" t="s">
        <v>865</v>
      </c>
      <c r="I118" s="509">
        <v>36175.0</v>
      </c>
      <c r="J118" s="509">
        <v>45824.0</v>
      </c>
      <c r="L118" s="505">
        <f t="shared" ref="L118:L120" si="7">30-15</f>
        <v>15</v>
      </c>
      <c r="M118" s="509">
        <v>45824.0</v>
      </c>
      <c r="N118" s="350">
        <v>45838.0</v>
      </c>
      <c r="O118" s="290">
        <f t="shared" si="1"/>
        <v>185</v>
      </c>
      <c r="P118" s="451">
        <f t="shared" si="2"/>
        <v>925</v>
      </c>
      <c r="Q118" s="451">
        <f t="shared" si="3"/>
        <v>1110</v>
      </c>
      <c r="R118" s="359"/>
      <c r="S118" s="360"/>
      <c r="T118" s="360"/>
      <c r="U118" s="360"/>
      <c r="V118" s="360"/>
      <c r="W118" s="360"/>
      <c r="X118" s="360"/>
    </row>
    <row r="119">
      <c r="A119" s="410" t="s">
        <v>16</v>
      </c>
      <c r="B119" s="411">
        <v>4320.0</v>
      </c>
      <c r="C119" s="443"/>
      <c r="D119" s="285">
        <v>0.0</v>
      </c>
      <c r="E119" s="501" t="s">
        <v>866</v>
      </c>
      <c r="F119" s="507" t="s">
        <v>867</v>
      </c>
      <c r="G119" s="507" t="s">
        <v>868</v>
      </c>
      <c r="I119" s="509">
        <v>36180.0</v>
      </c>
      <c r="J119" s="509">
        <v>45824.0</v>
      </c>
      <c r="L119" s="505">
        <f t="shared" si="7"/>
        <v>15</v>
      </c>
      <c r="M119" s="509">
        <v>45824.0</v>
      </c>
      <c r="N119" s="350">
        <v>45838.0</v>
      </c>
      <c r="O119" s="290">
        <f t="shared" si="1"/>
        <v>185</v>
      </c>
      <c r="P119" s="451">
        <f t="shared" si="2"/>
        <v>925</v>
      </c>
      <c r="Q119" s="451">
        <f t="shared" si="3"/>
        <v>1110</v>
      </c>
      <c r="R119" s="360"/>
      <c r="S119" s="360"/>
      <c r="T119" s="360"/>
      <c r="U119" s="360"/>
      <c r="V119" s="360"/>
      <c r="W119" s="360"/>
      <c r="X119" s="360"/>
    </row>
    <row r="120">
      <c r="A120" s="410" t="s">
        <v>16</v>
      </c>
      <c r="B120" s="411">
        <v>4320.0</v>
      </c>
      <c r="C120" s="443"/>
      <c r="D120" s="285">
        <v>0.0</v>
      </c>
      <c r="E120" s="501" t="s">
        <v>869</v>
      </c>
      <c r="F120" s="507" t="s">
        <v>870</v>
      </c>
      <c r="G120" s="507" t="s">
        <v>871</v>
      </c>
      <c r="I120" s="509">
        <v>36585.0</v>
      </c>
      <c r="J120" s="509">
        <v>45824.0</v>
      </c>
      <c r="L120" s="505">
        <f t="shared" si="7"/>
        <v>15</v>
      </c>
      <c r="M120" s="509">
        <v>45824.0</v>
      </c>
      <c r="N120" s="350">
        <v>45838.0</v>
      </c>
      <c r="O120" s="290">
        <f t="shared" si="1"/>
        <v>185</v>
      </c>
      <c r="P120" s="451">
        <f t="shared" si="2"/>
        <v>925</v>
      </c>
      <c r="Q120" s="451">
        <f t="shared" si="3"/>
        <v>1110</v>
      </c>
      <c r="R120" s="360"/>
      <c r="S120" s="360"/>
      <c r="T120" s="360"/>
      <c r="U120" s="360"/>
      <c r="V120" s="360"/>
      <c r="W120" s="360"/>
      <c r="X120" s="360"/>
    </row>
    <row r="121">
      <c r="A121" s="410" t="s">
        <v>16</v>
      </c>
      <c r="B121" s="411">
        <v>4320.0</v>
      </c>
      <c r="C121" s="443"/>
      <c r="D121" s="285">
        <v>0.0</v>
      </c>
      <c r="E121" s="501" t="s">
        <v>872</v>
      </c>
      <c r="F121" s="507" t="s">
        <v>873</v>
      </c>
      <c r="G121" s="507" t="s">
        <v>874</v>
      </c>
      <c r="I121" s="509">
        <v>35415.0</v>
      </c>
      <c r="J121" s="509">
        <v>45831.0</v>
      </c>
      <c r="L121" s="505">
        <f t="shared" ref="L121:L123" si="8">30-22</f>
        <v>8</v>
      </c>
      <c r="M121" s="509">
        <v>45831.0</v>
      </c>
      <c r="N121" s="350">
        <v>45838.0</v>
      </c>
      <c r="O121" s="290">
        <f t="shared" si="1"/>
        <v>99</v>
      </c>
      <c r="P121" s="451">
        <f t="shared" si="2"/>
        <v>495</v>
      </c>
      <c r="Q121" s="451">
        <f t="shared" si="3"/>
        <v>594</v>
      </c>
    </row>
    <row r="122">
      <c r="A122" s="410" t="s">
        <v>16</v>
      </c>
      <c r="B122" s="411">
        <v>4320.0</v>
      </c>
      <c r="C122" s="443"/>
      <c r="D122" s="285">
        <v>0.0</v>
      </c>
      <c r="E122" s="501" t="s">
        <v>875</v>
      </c>
      <c r="F122" s="507" t="s">
        <v>876</v>
      </c>
      <c r="G122" s="507" t="s">
        <v>877</v>
      </c>
      <c r="H122" s="66"/>
      <c r="I122" s="504">
        <v>37517.0</v>
      </c>
      <c r="J122" s="504">
        <v>45831.0</v>
      </c>
      <c r="K122" s="66"/>
      <c r="L122" s="505">
        <f t="shared" si="8"/>
        <v>8</v>
      </c>
      <c r="M122" s="504">
        <v>45831.0</v>
      </c>
      <c r="N122" s="350">
        <v>45838.0</v>
      </c>
      <c r="O122" s="290">
        <f t="shared" si="1"/>
        <v>99</v>
      </c>
      <c r="P122" s="451">
        <f t="shared" si="2"/>
        <v>495</v>
      </c>
      <c r="Q122" s="451">
        <f t="shared" si="3"/>
        <v>594</v>
      </c>
    </row>
    <row r="123">
      <c r="A123" s="410" t="s">
        <v>16</v>
      </c>
      <c r="B123" s="411">
        <v>4320.0</v>
      </c>
      <c r="C123" s="443"/>
      <c r="D123" s="285">
        <v>0.0</v>
      </c>
      <c r="E123" s="501" t="s">
        <v>878</v>
      </c>
      <c r="F123" s="507" t="s">
        <v>879</v>
      </c>
      <c r="G123" s="507" t="s">
        <v>880</v>
      </c>
      <c r="H123" s="66"/>
      <c r="I123" s="504">
        <v>34912.0</v>
      </c>
      <c r="J123" s="504">
        <v>45831.0</v>
      </c>
      <c r="K123" s="66"/>
      <c r="L123" s="505">
        <f t="shared" si="8"/>
        <v>8</v>
      </c>
      <c r="M123" s="504">
        <v>45831.0</v>
      </c>
      <c r="N123" s="350">
        <v>45838.0</v>
      </c>
      <c r="O123" s="290">
        <f t="shared" si="1"/>
        <v>99</v>
      </c>
      <c r="P123" s="451">
        <f t="shared" si="2"/>
        <v>495</v>
      </c>
      <c r="Q123" s="451">
        <f t="shared" si="3"/>
        <v>594</v>
      </c>
    </row>
    <row r="124">
      <c r="A124" s="410" t="s">
        <v>16</v>
      </c>
      <c r="B124" s="411">
        <v>4320.0</v>
      </c>
      <c r="C124" s="443"/>
      <c r="D124" s="285">
        <v>0.0</v>
      </c>
      <c r="E124" s="510" t="s">
        <v>881</v>
      </c>
      <c r="F124" s="511" t="s">
        <v>882</v>
      </c>
      <c r="G124" s="511" t="s">
        <v>883</v>
      </c>
      <c r="H124" s="66"/>
      <c r="I124" s="504">
        <v>35887.0</v>
      </c>
      <c r="J124" s="504">
        <v>45809.0</v>
      </c>
      <c r="K124" s="66"/>
      <c r="L124" s="505">
        <v>30.0</v>
      </c>
      <c r="M124" s="504">
        <v>45809.0</v>
      </c>
      <c r="N124" s="350">
        <v>45838.0</v>
      </c>
      <c r="O124" s="290">
        <f t="shared" si="1"/>
        <v>370</v>
      </c>
      <c r="P124" s="451">
        <f t="shared" si="2"/>
        <v>1850</v>
      </c>
      <c r="Q124" s="451">
        <f t="shared" si="3"/>
        <v>2220</v>
      </c>
    </row>
    <row r="125">
      <c r="A125" s="66"/>
      <c r="B125" s="66"/>
      <c r="C125" s="66"/>
      <c r="D125" s="419"/>
      <c r="E125" s="420"/>
      <c r="F125" s="66"/>
      <c r="G125" s="66"/>
      <c r="H125" s="66"/>
      <c r="I125" s="66"/>
      <c r="J125" s="66"/>
      <c r="K125" s="66"/>
      <c r="L125" s="7">
        <f>SUM(L2:L124)</f>
        <v>3271</v>
      </c>
      <c r="M125" s="66"/>
      <c r="N125" s="66"/>
      <c r="O125" s="66"/>
      <c r="P125" s="362"/>
      <c r="Q125" s="362"/>
    </row>
    <row r="126">
      <c r="A126" s="66"/>
      <c r="B126" s="66"/>
      <c r="C126" s="66"/>
      <c r="D126" s="419"/>
      <c r="E126" s="420"/>
      <c r="F126" s="66"/>
      <c r="G126" s="66"/>
      <c r="H126" s="66"/>
      <c r="I126" s="66"/>
      <c r="J126" s="66"/>
      <c r="K126" s="66"/>
      <c r="L126" s="7">
        <f>sum(L2:L124)</f>
        <v>3271</v>
      </c>
      <c r="M126" s="66"/>
      <c r="N126" s="66"/>
      <c r="O126" s="362">
        <f t="shared" ref="O126:Q126" si="9">sum(O2:O124)</f>
        <v>40347</v>
      </c>
      <c r="P126" s="362">
        <f t="shared" si="9"/>
        <v>201735</v>
      </c>
      <c r="Q126" s="362">
        <f t="shared" si="9"/>
        <v>242082</v>
      </c>
    </row>
    <row r="127">
      <c r="D127" s="310"/>
      <c r="E127" s="311"/>
      <c r="L127" s="512"/>
      <c r="O127" s="228">
        <f>39972</f>
        <v>39972</v>
      </c>
    </row>
    <row r="128">
      <c r="D128" s="310"/>
      <c r="E128" s="311"/>
      <c r="O128" s="228">
        <f>O125-O127</f>
        <v>-39972</v>
      </c>
    </row>
    <row r="129">
      <c r="D129" s="310"/>
      <c r="E129" s="311"/>
    </row>
    <row r="130">
      <c r="D130" s="310"/>
      <c r="E130" s="311"/>
    </row>
    <row r="131">
      <c r="D131" s="310"/>
      <c r="E131" s="311"/>
    </row>
    <row r="132">
      <c r="D132" s="310"/>
      <c r="E132" s="311"/>
    </row>
    <row r="133">
      <c r="D133" s="310"/>
      <c r="E133" s="311"/>
    </row>
    <row r="134">
      <c r="D134" s="310"/>
      <c r="E134" s="311"/>
    </row>
    <row r="135">
      <c r="D135" s="310"/>
      <c r="E135" s="311"/>
    </row>
    <row r="136">
      <c r="D136" s="310"/>
      <c r="E136" s="311"/>
    </row>
    <row r="137">
      <c r="D137" s="310"/>
      <c r="E137" s="311"/>
    </row>
    <row r="138">
      <c r="D138" s="310"/>
      <c r="E138" s="311"/>
    </row>
    <row r="139">
      <c r="D139" s="310"/>
      <c r="E139" s="311"/>
    </row>
    <row r="140">
      <c r="D140" s="310"/>
      <c r="E140" s="311"/>
    </row>
    <row r="141">
      <c r="D141" s="310"/>
      <c r="E141" s="311"/>
    </row>
    <row r="142">
      <c r="D142" s="310"/>
      <c r="E142" s="311"/>
    </row>
    <row r="143">
      <c r="D143" s="310"/>
      <c r="E143" s="311"/>
    </row>
    <row r="144">
      <c r="D144" s="310"/>
      <c r="E144" s="311"/>
    </row>
    <row r="145">
      <c r="D145" s="310"/>
      <c r="E145" s="311"/>
    </row>
    <row r="146">
      <c r="D146" s="310"/>
      <c r="E146" s="311"/>
    </row>
    <row r="147">
      <c r="D147" s="310"/>
      <c r="E147" s="311"/>
    </row>
    <row r="148">
      <c r="D148" s="310"/>
      <c r="E148" s="311"/>
    </row>
    <row r="149">
      <c r="D149" s="310"/>
      <c r="E149" s="311"/>
    </row>
    <row r="150">
      <c r="D150" s="310"/>
      <c r="E150" s="311"/>
    </row>
    <row r="151">
      <c r="D151" s="310"/>
      <c r="E151" s="311"/>
    </row>
    <row r="152">
      <c r="D152" s="310"/>
      <c r="E152" s="311"/>
    </row>
    <row r="153">
      <c r="D153" s="310"/>
      <c r="E153" s="311"/>
    </row>
    <row r="154">
      <c r="D154" s="310"/>
      <c r="E154" s="311"/>
    </row>
    <row r="155">
      <c r="D155" s="310"/>
      <c r="E155" s="311"/>
    </row>
    <row r="156">
      <c r="D156" s="310"/>
      <c r="E156" s="311"/>
    </row>
    <row r="157">
      <c r="D157" s="310"/>
      <c r="E157" s="311"/>
    </row>
    <row r="158">
      <c r="D158" s="310"/>
      <c r="E158" s="311"/>
    </row>
    <row r="159">
      <c r="D159" s="310"/>
      <c r="E159" s="311"/>
    </row>
    <row r="160">
      <c r="D160" s="310"/>
      <c r="E160" s="311"/>
    </row>
    <row r="161">
      <c r="D161" s="310"/>
      <c r="E161" s="311"/>
    </row>
    <row r="162">
      <c r="D162" s="310"/>
      <c r="E162" s="311"/>
    </row>
    <row r="163">
      <c r="D163" s="310"/>
      <c r="E163" s="311"/>
    </row>
    <row r="164">
      <c r="D164" s="310"/>
      <c r="E164" s="311"/>
    </row>
    <row r="165">
      <c r="D165" s="310"/>
      <c r="E165" s="311"/>
    </row>
    <row r="166">
      <c r="D166" s="310"/>
      <c r="E166" s="311"/>
    </row>
    <row r="167">
      <c r="D167" s="310"/>
      <c r="E167" s="311"/>
    </row>
    <row r="168">
      <c r="D168" s="310"/>
      <c r="E168" s="311"/>
    </row>
    <row r="169">
      <c r="D169" s="310"/>
      <c r="E169" s="311"/>
    </row>
    <row r="170">
      <c r="D170" s="310"/>
      <c r="E170" s="311"/>
    </row>
    <row r="171">
      <c r="D171" s="310"/>
      <c r="E171" s="311"/>
    </row>
    <row r="172">
      <c r="D172" s="310"/>
      <c r="E172" s="311"/>
    </row>
    <row r="173">
      <c r="D173" s="310"/>
      <c r="E173" s="311"/>
    </row>
    <row r="174">
      <c r="D174" s="310"/>
      <c r="E174" s="311"/>
    </row>
    <row r="175">
      <c r="D175" s="310"/>
      <c r="E175" s="311"/>
    </row>
    <row r="176">
      <c r="D176" s="310"/>
      <c r="E176" s="311"/>
    </row>
    <row r="177">
      <c r="D177" s="310"/>
      <c r="E177" s="311"/>
    </row>
    <row r="178">
      <c r="D178" s="310"/>
      <c r="E178" s="311"/>
    </row>
    <row r="179">
      <c r="D179" s="310"/>
      <c r="E179" s="311"/>
    </row>
    <row r="180">
      <c r="D180" s="310"/>
      <c r="E180" s="311"/>
    </row>
    <row r="181">
      <c r="D181" s="310"/>
      <c r="E181" s="311"/>
    </row>
    <row r="182">
      <c r="D182" s="310"/>
      <c r="E182" s="311"/>
    </row>
    <row r="183">
      <c r="D183" s="310"/>
      <c r="E183" s="311"/>
    </row>
    <row r="184">
      <c r="D184" s="310"/>
      <c r="E184" s="311"/>
    </row>
    <row r="185">
      <c r="D185" s="310"/>
      <c r="E185" s="311"/>
    </row>
    <row r="186">
      <c r="D186" s="310"/>
      <c r="E186" s="311"/>
    </row>
    <row r="187">
      <c r="D187" s="310"/>
      <c r="E187" s="311"/>
    </row>
    <row r="188">
      <c r="D188" s="310"/>
      <c r="E188" s="311"/>
    </row>
    <row r="189">
      <c r="D189" s="310"/>
      <c r="E189" s="311"/>
    </row>
    <row r="190">
      <c r="D190" s="310"/>
      <c r="E190" s="311"/>
    </row>
    <row r="191">
      <c r="D191" s="310"/>
      <c r="E191" s="311"/>
    </row>
    <row r="192">
      <c r="D192" s="310"/>
      <c r="E192" s="311"/>
    </row>
    <row r="193">
      <c r="D193" s="310"/>
      <c r="E193" s="311"/>
    </row>
    <row r="194">
      <c r="D194" s="310"/>
      <c r="E194" s="311"/>
    </row>
    <row r="195">
      <c r="D195" s="310"/>
      <c r="E195" s="311"/>
    </row>
    <row r="196">
      <c r="D196" s="310"/>
      <c r="E196" s="311"/>
    </row>
    <row r="197">
      <c r="D197" s="310"/>
      <c r="E197" s="311"/>
    </row>
    <row r="198">
      <c r="D198" s="310"/>
      <c r="E198" s="311"/>
    </row>
    <row r="199">
      <c r="D199" s="310"/>
      <c r="E199" s="311"/>
    </row>
    <row r="200">
      <c r="D200" s="310"/>
      <c r="E200" s="311"/>
    </row>
    <row r="201">
      <c r="D201" s="310"/>
      <c r="E201" s="311"/>
    </row>
    <row r="202">
      <c r="D202" s="310"/>
      <c r="E202" s="311"/>
    </row>
    <row r="203">
      <c r="D203" s="310"/>
      <c r="E203" s="311"/>
    </row>
    <row r="204">
      <c r="D204" s="310"/>
      <c r="E204" s="311"/>
    </row>
    <row r="205">
      <c r="D205" s="310"/>
      <c r="E205" s="311"/>
    </row>
    <row r="206">
      <c r="D206" s="310"/>
      <c r="E206" s="311"/>
    </row>
    <row r="207">
      <c r="D207" s="310"/>
      <c r="E207" s="311"/>
    </row>
    <row r="208">
      <c r="D208" s="310"/>
      <c r="E208" s="311"/>
    </row>
    <row r="209">
      <c r="D209" s="310"/>
      <c r="E209" s="311"/>
    </row>
    <row r="210">
      <c r="D210" s="310"/>
      <c r="E210" s="311"/>
    </row>
    <row r="211">
      <c r="D211" s="310"/>
      <c r="E211" s="311"/>
    </row>
    <row r="212">
      <c r="D212" s="310"/>
      <c r="E212" s="311"/>
    </row>
    <row r="213">
      <c r="D213" s="310"/>
      <c r="E213" s="311"/>
    </row>
    <row r="214">
      <c r="D214" s="310"/>
      <c r="E214" s="311"/>
    </row>
    <row r="215">
      <c r="D215" s="310"/>
      <c r="E215" s="311"/>
    </row>
    <row r="216">
      <c r="D216" s="310"/>
      <c r="E216" s="311"/>
    </row>
    <row r="217">
      <c r="D217" s="310"/>
      <c r="E217" s="311"/>
    </row>
    <row r="218">
      <c r="D218" s="310"/>
      <c r="E218" s="311"/>
    </row>
    <row r="219">
      <c r="D219" s="310"/>
      <c r="E219" s="311"/>
    </row>
    <row r="220">
      <c r="D220" s="310"/>
      <c r="E220" s="311"/>
    </row>
    <row r="221">
      <c r="D221" s="310"/>
      <c r="E221" s="311"/>
    </row>
    <row r="222">
      <c r="D222" s="310"/>
      <c r="E222" s="311"/>
    </row>
    <row r="223">
      <c r="D223" s="310"/>
      <c r="E223" s="311"/>
    </row>
    <row r="224">
      <c r="D224" s="310"/>
      <c r="E224" s="311"/>
    </row>
    <row r="225">
      <c r="D225" s="310"/>
      <c r="E225" s="311"/>
    </row>
    <row r="226">
      <c r="D226" s="310"/>
      <c r="E226" s="311"/>
    </row>
    <row r="227">
      <c r="D227" s="310"/>
      <c r="E227" s="311"/>
    </row>
    <row r="228">
      <c r="D228" s="310"/>
      <c r="E228" s="311"/>
    </row>
    <row r="229">
      <c r="D229" s="310"/>
      <c r="E229" s="311"/>
    </row>
    <row r="230">
      <c r="D230" s="310"/>
      <c r="E230" s="311"/>
    </row>
    <row r="231">
      <c r="D231" s="310"/>
      <c r="E231" s="311"/>
    </row>
    <row r="232">
      <c r="D232" s="310"/>
      <c r="E232" s="311"/>
    </row>
    <row r="233">
      <c r="D233" s="310"/>
      <c r="E233" s="311"/>
    </row>
    <row r="234">
      <c r="D234" s="310"/>
      <c r="E234" s="311"/>
    </row>
    <row r="235">
      <c r="D235" s="310"/>
      <c r="E235" s="311"/>
    </row>
    <row r="236">
      <c r="D236" s="310"/>
      <c r="E236" s="311"/>
    </row>
    <row r="237">
      <c r="D237" s="310"/>
      <c r="E237" s="311"/>
    </row>
    <row r="238">
      <c r="D238" s="310"/>
      <c r="E238" s="311"/>
    </row>
    <row r="239">
      <c r="D239" s="310"/>
      <c r="E239" s="311"/>
    </row>
    <row r="240">
      <c r="D240" s="310"/>
      <c r="E240" s="311"/>
    </row>
    <row r="241">
      <c r="D241" s="310"/>
      <c r="E241" s="311"/>
    </row>
    <row r="242">
      <c r="D242" s="310"/>
      <c r="E242" s="311"/>
    </row>
    <row r="243">
      <c r="D243" s="310"/>
      <c r="E243" s="3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row r="734">
      <c r="D734" s="310"/>
      <c r="E734" s="311"/>
    </row>
    <row r="735">
      <c r="D735" s="310"/>
      <c r="E735" s="311"/>
    </row>
    <row r="736">
      <c r="D736" s="310"/>
      <c r="E736" s="311"/>
    </row>
    <row r="737">
      <c r="D737" s="310"/>
      <c r="E737" s="311"/>
    </row>
    <row r="738">
      <c r="D738" s="310"/>
      <c r="E738" s="311"/>
    </row>
    <row r="739">
      <c r="D739" s="310"/>
      <c r="E739" s="311"/>
    </row>
    <row r="740">
      <c r="D740" s="310"/>
      <c r="E740" s="311"/>
    </row>
    <row r="741">
      <c r="D741" s="310"/>
      <c r="E741" s="311"/>
    </row>
    <row r="742">
      <c r="D742" s="310"/>
      <c r="E742" s="311"/>
    </row>
    <row r="743">
      <c r="D743" s="310"/>
      <c r="E743" s="311"/>
    </row>
    <row r="744">
      <c r="D744" s="310"/>
      <c r="E744" s="311"/>
    </row>
    <row r="745">
      <c r="D745" s="310"/>
      <c r="E745" s="311"/>
    </row>
    <row r="746">
      <c r="D746" s="310"/>
      <c r="E746" s="311"/>
    </row>
    <row r="747">
      <c r="D747" s="310"/>
      <c r="E747" s="311"/>
    </row>
    <row r="748">
      <c r="D748" s="310"/>
      <c r="E748" s="311"/>
    </row>
    <row r="749">
      <c r="D749" s="310"/>
      <c r="E749" s="311"/>
    </row>
    <row r="750">
      <c r="D750" s="310"/>
      <c r="E750" s="311"/>
    </row>
    <row r="751">
      <c r="D751" s="310"/>
      <c r="E751" s="311"/>
    </row>
    <row r="752">
      <c r="D752" s="310"/>
      <c r="E752" s="311"/>
    </row>
    <row r="753">
      <c r="D753" s="310"/>
      <c r="E753" s="311"/>
    </row>
    <row r="754">
      <c r="D754" s="310"/>
      <c r="E754" s="311"/>
    </row>
    <row r="755">
      <c r="D755" s="310"/>
      <c r="E755" s="311"/>
    </row>
    <row r="756">
      <c r="D756" s="310"/>
      <c r="E756" s="311"/>
    </row>
  </sheetData>
  <mergeCells count="79">
    <mergeCell ref="G55:H55"/>
    <mergeCell ref="G56:H56"/>
    <mergeCell ref="G57:H57"/>
    <mergeCell ref="G58:H58"/>
    <mergeCell ref="G59:H59"/>
    <mergeCell ref="G60:H60"/>
    <mergeCell ref="G61:H61"/>
    <mergeCell ref="G62:H62"/>
    <mergeCell ref="G63:H63"/>
    <mergeCell ref="G65:H65"/>
    <mergeCell ref="G66:H66"/>
    <mergeCell ref="G67:H67"/>
    <mergeCell ref="G69:H69"/>
    <mergeCell ref="G71:H71"/>
    <mergeCell ref="G72:H72"/>
    <mergeCell ref="G74:H74"/>
    <mergeCell ref="G76:H76"/>
    <mergeCell ref="G77:H77"/>
    <mergeCell ref="G78:H78"/>
    <mergeCell ref="G79:H79"/>
    <mergeCell ref="G80:H80"/>
    <mergeCell ref="G89:H89"/>
    <mergeCell ref="G90:H90"/>
    <mergeCell ref="G81:H81"/>
    <mergeCell ref="G82:H82"/>
    <mergeCell ref="G83:H83"/>
    <mergeCell ref="G84:H84"/>
    <mergeCell ref="G86:H86"/>
    <mergeCell ref="G87:H87"/>
    <mergeCell ref="G88:H88"/>
    <mergeCell ref="G2:H2"/>
    <mergeCell ref="G3:H3"/>
    <mergeCell ref="G4:H4"/>
    <mergeCell ref="G5:H5"/>
    <mergeCell ref="G7:H7"/>
    <mergeCell ref="G8:H8"/>
    <mergeCell ref="G9:H9"/>
    <mergeCell ref="G10:H10"/>
    <mergeCell ref="G11:H11"/>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s>
  <conditionalFormatting sqref="K1:K4 K6:K25 K27:K47 K49:K75 K77:K85 K87:K89 K91:K95 K97:K816">
    <cfRule type="expression" dxfId="0" priority="1">
      <formula>K1&lt;45748.0</formula>
    </cfRule>
  </conditionalFormatting>
  <drawing r:id="rId2"/>
  <legacyDrawing r:id="rId3"/>
  <tableParts count="1">
    <tablePart r:id="rId5"/>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4" max="4" width="23.75"/>
    <col customWidth="1" min="5" max="5" width="38.25"/>
    <col customWidth="1" min="9" max="9" width="21.25"/>
    <col customWidth="1" min="12" max="12" width="18.38"/>
  </cols>
  <sheetData>
    <row r="1">
      <c r="A1" s="366" t="s">
        <v>0</v>
      </c>
      <c r="B1" s="366" t="s">
        <v>1</v>
      </c>
      <c r="C1" s="366" t="s">
        <v>2</v>
      </c>
      <c r="D1" s="366" t="s">
        <v>603</v>
      </c>
      <c r="E1" s="366" t="s">
        <v>604</v>
      </c>
      <c r="F1" s="366" t="s">
        <v>4</v>
      </c>
      <c r="G1" s="366" t="s">
        <v>5</v>
      </c>
      <c r="H1" s="366" t="s">
        <v>6</v>
      </c>
      <c r="I1" s="366" t="s">
        <v>7</v>
      </c>
      <c r="J1" s="366" t="s">
        <v>8</v>
      </c>
      <c r="K1" s="366" t="s">
        <v>9</v>
      </c>
      <c r="L1" s="366" t="s">
        <v>10</v>
      </c>
      <c r="M1" s="366" t="s">
        <v>11</v>
      </c>
      <c r="N1" s="366" t="s">
        <v>12</v>
      </c>
    </row>
    <row r="2">
      <c r="A2" s="452" t="s">
        <v>16</v>
      </c>
      <c r="B2" s="453">
        <v>4320.0</v>
      </c>
      <c r="C2" s="454"/>
      <c r="D2" s="453">
        <v>0.0</v>
      </c>
      <c r="E2" s="452" t="s">
        <v>767</v>
      </c>
      <c r="F2" s="452" t="s">
        <v>818</v>
      </c>
      <c r="G2" s="452" t="s">
        <v>768</v>
      </c>
      <c r="H2" s="455"/>
      <c r="I2" s="456">
        <v>35792.0</v>
      </c>
      <c r="J2" s="456">
        <v>45754.0</v>
      </c>
      <c r="K2" s="513">
        <v>45819.0</v>
      </c>
      <c r="L2" s="514">
        <v>11.0</v>
      </c>
      <c r="M2" s="515">
        <v>45809.0</v>
      </c>
      <c r="N2" s="515">
        <v>45838.0</v>
      </c>
    </row>
    <row r="3">
      <c r="A3" s="452" t="s">
        <v>16</v>
      </c>
      <c r="B3" s="453">
        <v>4320.0</v>
      </c>
      <c r="C3" s="454"/>
      <c r="D3" s="453">
        <v>0.0</v>
      </c>
      <c r="E3" s="452" t="s">
        <v>794</v>
      </c>
      <c r="F3" s="452" t="s">
        <v>819</v>
      </c>
      <c r="G3" s="452" t="s">
        <v>796</v>
      </c>
      <c r="H3" s="455"/>
      <c r="I3" s="456">
        <v>36857.0</v>
      </c>
      <c r="J3" s="456">
        <v>45775.0</v>
      </c>
      <c r="K3" s="454"/>
      <c r="L3" s="453">
        <v>30.0</v>
      </c>
      <c r="M3" s="515">
        <v>45809.0</v>
      </c>
      <c r="N3" s="515">
        <v>45838.0</v>
      </c>
    </row>
    <row r="4">
      <c r="A4" s="452" t="s">
        <v>16</v>
      </c>
      <c r="B4" s="453">
        <v>4320.0</v>
      </c>
      <c r="C4" s="454"/>
      <c r="D4" s="453">
        <v>0.0</v>
      </c>
      <c r="E4" s="452" t="s">
        <v>809</v>
      </c>
      <c r="F4" s="452" t="s">
        <v>810</v>
      </c>
      <c r="G4" s="452" t="s">
        <v>811</v>
      </c>
      <c r="H4" s="455"/>
      <c r="I4" s="456">
        <v>35148.0</v>
      </c>
      <c r="J4" s="456">
        <v>45775.0</v>
      </c>
      <c r="K4" s="454"/>
      <c r="L4" s="453">
        <v>30.0</v>
      </c>
      <c r="M4" s="515">
        <v>45809.0</v>
      </c>
      <c r="N4" s="515">
        <v>45838.0</v>
      </c>
    </row>
    <row r="5">
      <c r="A5" s="452" t="s">
        <v>16</v>
      </c>
      <c r="B5" s="453">
        <v>4320.0</v>
      </c>
      <c r="C5" s="454"/>
      <c r="D5" s="453">
        <v>0.0</v>
      </c>
      <c r="E5" s="452" t="s">
        <v>812</v>
      </c>
      <c r="F5" s="452" t="s">
        <v>820</v>
      </c>
      <c r="G5" s="452" t="s">
        <v>814</v>
      </c>
      <c r="H5" s="455"/>
      <c r="I5" s="456">
        <v>37940.0</v>
      </c>
      <c r="J5" s="456">
        <v>45775.0</v>
      </c>
      <c r="K5" s="454"/>
      <c r="L5" s="453">
        <v>30.0</v>
      </c>
      <c r="M5" s="515">
        <v>45809.0</v>
      </c>
      <c r="N5" s="515">
        <v>45838.0</v>
      </c>
    </row>
    <row r="6">
      <c r="A6" s="452" t="s">
        <v>16</v>
      </c>
      <c r="B6" s="453">
        <v>4320.0</v>
      </c>
      <c r="C6" s="454"/>
      <c r="D6" s="453">
        <v>0.0</v>
      </c>
      <c r="E6" s="452" t="s">
        <v>629</v>
      </c>
      <c r="F6" s="452" t="s">
        <v>630</v>
      </c>
      <c r="G6" s="452" t="s">
        <v>631</v>
      </c>
      <c r="H6" s="455"/>
      <c r="I6" s="456">
        <v>34807.0</v>
      </c>
      <c r="J6" s="458">
        <v>45778.0</v>
      </c>
      <c r="K6" s="454"/>
      <c r="L6" s="453">
        <v>30.0</v>
      </c>
      <c r="M6" s="515">
        <v>45809.0</v>
      </c>
      <c r="N6" s="515">
        <v>45838.0</v>
      </c>
    </row>
    <row r="7">
      <c r="A7" s="452" t="s">
        <v>16</v>
      </c>
      <c r="B7" s="453">
        <v>4320.0</v>
      </c>
      <c r="C7" s="454"/>
      <c r="D7" s="453">
        <v>0.0</v>
      </c>
      <c r="E7" s="452" t="s">
        <v>816</v>
      </c>
      <c r="F7" s="452" t="s">
        <v>627</v>
      </c>
      <c r="G7" s="452" t="s">
        <v>628</v>
      </c>
      <c r="H7" s="455"/>
      <c r="I7" s="456">
        <v>35257.0</v>
      </c>
      <c r="J7" s="458">
        <v>45778.0</v>
      </c>
      <c r="K7" s="454"/>
      <c r="L7" s="453">
        <v>30.0</v>
      </c>
      <c r="M7" s="515">
        <v>45809.0</v>
      </c>
      <c r="N7" s="515">
        <v>45838.0</v>
      </c>
    </row>
    <row r="8">
      <c r="A8" s="452" t="s">
        <v>16</v>
      </c>
      <c r="B8" s="453">
        <v>4320.0</v>
      </c>
      <c r="C8" s="454"/>
      <c r="D8" s="453">
        <v>0.0</v>
      </c>
      <c r="E8" s="452" t="s">
        <v>606</v>
      </c>
      <c r="F8" s="452" t="s">
        <v>607</v>
      </c>
      <c r="G8" s="452" t="s">
        <v>608</v>
      </c>
      <c r="H8" s="455"/>
      <c r="I8" s="456">
        <v>33844.0</v>
      </c>
      <c r="J8" s="458">
        <v>45778.0</v>
      </c>
      <c r="K8" s="454"/>
      <c r="L8" s="453">
        <v>30.0</v>
      </c>
      <c r="M8" s="515">
        <v>45809.0</v>
      </c>
      <c r="N8" s="515">
        <v>45838.0</v>
      </c>
    </row>
    <row r="9">
      <c r="A9" s="452" t="s">
        <v>16</v>
      </c>
      <c r="B9" s="453">
        <v>4320.0</v>
      </c>
      <c r="C9" s="454"/>
      <c r="D9" s="453">
        <v>0.0</v>
      </c>
      <c r="E9" s="452" t="s">
        <v>817</v>
      </c>
      <c r="F9" s="452" t="s">
        <v>637</v>
      </c>
      <c r="G9" s="452" t="s">
        <v>638</v>
      </c>
      <c r="H9" s="455"/>
      <c r="I9" s="456">
        <v>36720.0</v>
      </c>
      <c r="J9" s="458">
        <v>45778.0</v>
      </c>
      <c r="K9" s="454"/>
      <c r="L9" s="453">
        <v>30.0</v>
      </c>
      <c r="M9" s="515">
        <v>45809.0</v>
      </c>
      <c r="N9" s="515">
        <v>45838.0</v>
      </c>
    </row>
    <row r="10">
      <c r="A10" s="452" t="s">
        <v>16</v>
      </c>
      <c r="B10" s="453">
        <v>4320.0</v>
      </c>
      <c r="C10" s="454"/>
      <c r="D10" s="453">
        <v>0.0</v>
      </c>
      <c r="E10" s="452" t="s">
        <v>676</v>
      </c>
      <c r="F10" s="452" t="s">
        <v>677</v>
      </c>
      <c r="G10" s="452" t="s">
        <v>678</v>
      </c>
      <c r="H10" s="455"/>
      <c r="I10" s="456">
        <v>36107.0</v>
      </c>
      <c r="J10" s="458">
        <v>45778.0</v>
      </c>
      <c r="K10" s="454"/>
      <c r="L10" s="453">
        <v>30.0</v>
      </c>
      <c r="M10" s="515">
        <v>45809.0</v>
      </c>
      <c r="N10" s="515">
        <v>45838.0</v>
      </c>
    </row>
    <row r="11">
      <c r="A11" s="452" t="s">
        <v>16</v>
      </c>
      <c r="B11" s="453">
        <v>4320.0</v>
      </c>
      <c r="C11" s="459"/>
      <c r="D11" s="453">
        <v>0.0</v>
      </c>
      <c r="E11" s="452" t="s">
        <v>436</v>
      </c>
      <c r="F11" s="452" t="s">
        <v>362</v>
      </c>
      <c r="G11" s="452" t="s">
        <v>363</v>
      </c>
      <c r="H11" s="455"/>
      <c r="I11" s="456">
        <v>37149.0</v>
      </c>
      <c r="J11" s="457">
        <v>45397.0</v>
      </c>
      <c r="K11" s="454"/>
      <c r="L11" s="453">
        <v>30.0</v>
      </c>
      <c r="M11" s="515">
        <v>45809.0</v>
      </c>
      <c r="N11" s="515">
        <v>45838.0</v>
      </c>
    </row>
    <row r="12">
      <c r="A12" s="452" t="s">
        <v>16</v>
      </c>
      <c r="B12" s="453">
        <v>4320.0</v>
      </c>
      <c r="C12" s="459"/>
      <c r="D12" s="453">
        <v>0.0</v>
      </c>
      <c r="E12" s="452" t="s">
        <v>753</v>
      </c>
      <c r="F12" s="452" t="s">
        <v>754</v>
      </c>
      <c r="G12" s="452" t="s">
        <v>689</v>
      </c>
      <c r="H12" s="455"/>
      <c r="I12" s="456">
        <v>37214.0</v>
      </c>
      <c r="J12" s="457">
        <v>45691.0</v>
      </c>
      <c r="K12" s="460"/>
      <c r="L12" s="453">
        <v>30.0</v>
      </c>
      <c r="M12" s="515">
        <v>45809.0</v>
      </c>
      <c r="N12" s="515">
        <v>45838.0</v>
      </c>
    </row>
    <row r="13">
      <c r="A13" s="452" t="s">
        <v>16</v>
      </c>
      <c r="B13" s="453">
        <v>4320.0</v>
      </c>
      <c r="C13" s="459"/>
      <c r="D13" s="453">
        <v>0.0</v>
      </c>
      <c r="E13" s="452" t="s">
        <v>407</v>
      </c>
      <c r="F13" s="452" t="s">
        <v>97</v>
      </c>
      <c r="G13" s="452" t="s">
        <v>98</v>
      </c>
      <c r="H13" s="455"/>
      <c r="I13" s="457">
        <v>36690.0</v>
      </c>
      <c r="J13" s="457">
        <v>44938.0</v>
      </c>
      <c r="K13" s="454"/>
      <c r="L13" s="453">
        <v>30.0</v>
      </c>
      <c r="M13" s="515">
        <v>45809.0</v>
      </c>
      <c r="N13" s="515">
        <v>45838.0</v>
      </c>
    </row>
    <row r="14">
      <c r="A14" s="452" t="s">
        <v>16</v>
      </c>
      <c r="B14" s="453">
        <v>4320.0</v>
      </c>
      <c r="C14" s="459"/>
      <c r="D14" s="453">
        <v>0.0</v>
      </c>
      <c r="E14" s="452" t="s">
        <v>473</v>
      </c>
      <c r="F14" s="452" t="s">
        <v>530</v>
      </c>
      <c r="G14" s="452" t="s">
        <v>475</v>
      </c>
      <c r="H14" s="455"/>
      <c r="I14" s="457">
        <v>37459.0</v>
      </c>
      <c r="J14" s="456">
        <v>45586.0</v>
      </c>
      <c r="K14" s="457">
        <v>45777.0</v>
      </c>
      <c r="L14" s="453">
        <v>0.0</v>
      </c>
      <c r="M14" s="515">
        <v>45809.0</v>
      </c>
      <c r="N14" s="515">
        <v>45838.0</v>
      </c>
    </row>
    <row r="15">
      <c r="A15" s="452" t="s">
        <v>16</v>
      </c>
      <c r="B15" s="453">
        <v>4320.0</v>
      </c>
      <c r="C15" s="459"/>
      <c r="D15" s="453">
        <v>0.0</v>
      </c>
      <c r="E15" s="452" t="s">
        <v>408</v>
      </c>
      <c r="F15" s="452" t="s">
        <v>409</v>
      </c>
      <c r="G15" s="452" t="s">
        <v>410</v>
      </c>
      <c r="H15" s="455"/>
      <c r="I15" s="456">
        <v>37978.0</v>
      </c>
      <c r="J15" s="457">
        <v>45453.0</v>
      </c>
      <c r="K15" s="513">
        <v>45821.0</v>
      </c>
      <c r="L15" s="514">
        <v>13.0</v>
      </c>
      <c r="M15" s="515">
        <v>45809.0</v>
      </c>
      <c r="N15" s="515">
        <v>45838.0</v>
      </c>
    </row>
    <row r="16">
      <c r="A16" s="452" t="s">
        <v>16</v>
      </c>
      <c r="B16" s="453">
        <v>4320.0</v>
      </c>
      <c r="C16" s="459"/>
      <c r="D16" s="453">
        <v>0.0</v>
      </c>
      <c r="E16" s="452" t="s">
        <v>246</v>
      </c>
      <c r="F16" s="452" t="s">
        <v>247</v>
      </c>
      <c r="G16" s="452" t="s">
        <v>248</v>
      </c>
      <c r="H16" s="455"/>
      <c r="I16" s="457">
        <v>36501.0</v>
      </c>
      <c r="J16" s="456">
        <v>45246.0</v>
      </c>
      <c r="K16" s="461"/>
      <c r="L16" s="453">
        <v>30.0</v>
      </c>
      <c r="M16" s="515">
        <v>45809.0</v>
      </c>
      <c r="N16" s="515">
        <v>45838.0</v>
      </c>
    </row>
    <row r="17">
      <c r="A17" s="452" t="s">
        <v>16</v>
      </c>
      <c r="B17" s="453">
        <v>4320.0</v>
      </c>
      <c r="C17" s="459"/>
      <c r="D17" s="453">
        <v>0.0</v>
      </c>
      <c r="E17" s="452" t="s">
        <v>564</v>
      </c>
      <c r="F17" s="452" t="s">
        <v>565</v>
      </c>
      <c r="G17" s="452" t="s">
        <v>566</v>
      </c>
      <c r="H17" s="455"/>
      <c r="I17" s="457">
        <v>34799.0</v>
      </c>
      <c r="J17" s="457">
        <v>45670.0</v>
      </c>
      <c r="K17" s="454"/>
      <c r="L17" s="453">
        <v>30.0</v>
      </c>
      <c r="M17" s="515">
        <v>45809.0</v>
      </c>
      <c r="N17" s="515">
        <v>45838.0</v>
      </c>
    </row>
    <row r="18">
      <c r="A18" s="452" t="s">
        <v>16</v>
      </c>
      <c r="B18" s="453">
        <v>4320.0</v>
      </c>
      <c r="C18" s="459"/>
      <c r="D18" s="453">
        <v>0.0</v>
      </c>
      <c r="E18" s="452" t="s">
        <v>264</v>
      </c>
      <c r="F18" s="452" t="s">
        <v>265</v>
      </c>
      <c r="G18" s="452" t="s">
        <v>266</v>
      </c>
      <c r="H18" s="455"/>
      <c r="I18" s="458">
        <v>37398.0</v>
      </c>
      <c r="J18" s="457">
        <v>45096.0</v>
      </c>
      <c r="K18" s="454"/>
      <c r="L18" s="453">
        <v>30.0</v>
      </c>
      <c r="M18" s="515">
        <v>45809.0</v>
      </c>
      <c r="N18" s="515">
        <v>45838.0</v>
      </c>
    </row>
    <row r="19">
      <c r="A19" s="452" t="s">
        <v>16</v>
      </c>
      <c r="B19" s="453">
        <v>4320.0</v>
      </c>
      <c r="C19" s="459"/>
      <c r="D19" s="453">
        <v>0.0</v>
      </c>
      <c r="E19" s="452" t="s">
        <v>411</v>
      </c>
      <c r="F19" s="452" t="s">
        <v>412</v>
      </c>
      <c r="G19" s="452" t="s">
        <v>413</v>
      </c>
      <c r="H19" s="455"/>
      <c r="I19" s="456">
        <v>33230.0</v>
      </c>
      <c r="J19" s="457">
        <v>45453.0</v>
      </c>
      <c r="K19" s="454"/>
      <c r="L19" s="453">
        <v>30.0</v>
      </c>
      <c r="M19" s="515">
        <v>45809.0</v>
      </c>
      <c r="N19" s="515">
        <v>45838.0</v>
      </c>
    </row>
    <row r="20">
      <c r="A20" s="452" t="s">
        <v>16</v>
      </c>
      <c r="B20" s="453">
        <v>4320.0</v>
      </c>
      <c r="C20" s="459"/>
      <c r="D20" s="453">
        <v>0.0</v>
      </c>
      <c r="E20" s="452" t="s">
        <v>690</v>
      </c>
      <c r="F20" s="452" t="s">
        <v>755</v>
      </c>
      <c r="G20" s="452" t="s">
        <v>692</v>
      </c>
      <c r="H20" s="455"/>
      <c r="I20" s="457">
        <v>37137.0</v>
      </c>
      <c r="J20" s="457">
        <v>45691.0</v>
      </c>
      <c r="K20" s="454"/>
      <c r="L20" s="453">
        <v>30.0</v>
      </c>
      <c r="M20" s="515">
        <v>45809.0</v>
      </c>
      <c r="N20" s="515">
        <v>45838.0</v>
      </c>
    </row>
    <row r="21">
      <c r="A21" s="452" t="s">
        <v>16</v>
      </c>
      <c r="B21" s="453">
        <v>4320.0</v>
      </c>
      <c r="C21" s="459"/>
      <c r="D21" s="453">
        <v>0.0</v>
      </c>
      <c r="E21" s="452" t="s">
        <v>693</v>
      </c>
      <c r="F21" s="452" t="s">
        <v>694</v>
      </c>
      <c r="G21" s="452" t="s">
        <v>695</v>
      </c>
      <c r="H21" s="455"/>
      <c r="I21" s="457">
        <v>35599.0</v>
      </c>
      <c r="J21" s="456">
        <v>45712.0</v>
      </c>
      <c r="K21" s="454"/>
      <c r="L21" s="453">
        <v>30.0</v>
      </c>
      <c r="M21" s="515">
        <v>45809.0</v>
      </c>
      <c r="N21" s="515">
        <v>45838.0</v>
      </c>
    </row>
    <row r="22">
      <c r="A22" s="452" t="s">
        <v>16</v>
      </c>
      <c r="B22" s="453">
        <v>4320.0</v>
      </c>
      <c r="C22" s="459"/>
      <c r="D22" s="453">
        <v>0.0</v>
      </c>
      <c r="E22" s="452" t="s">
        <v>282</v>
      </c>
      <c r="F22" s="452" t="s">
        <v>283</v>
      </c>
      <c r="G22" s="452" t="s">
        <v>284</v>
      </c>
      <c r="H22" s="455"/>
      <c r="I22" s="456">
        <v>35047.0</v>
      </c>
      <c r="J22" s="456">
        <v>45257.0</v>
      </c>
      <c r="K22" s="454"/>
      <c r="L22" s="453">
        <v>30.0</v>
      </c>
      <c r="M22" s="515">
        <v>45809.0</v>
      </c>
      <c r="N22" s="515">
        <v>45838.0</v>
      </c>
    </row>
    <row r="23">
      <c r="A23" s="452" t="s">
        <v>16</v>
      </c>
      <c r="B23" s="453">
        <v>4320.0</v>
      </c>
      <c r="C23" s="459"/>
      <c r="D23" s="453">
        <v>0.0</v>
      </c>
      <c r="E23" s="452" t="s">
        <v>481</v>
      </c>
      <c r="F23" s="452" t="s">
        <v>531</v>
      </c>
      <c r="G23" s="452" t="s">
        <v>482</v>
      </c>
      <c r="H23" s="455"/>
      <c r="I23" s="457">
        <v>35096.0</v>
      </c>
      <c r="J23" s="457">
        <v>45602.0</v>
      </c>
      <c r="K23" s="454"/>
      <c r="L23" s="453">
        <v>30.0</v>
      </c>
      <c r="M23" s="515">
        <v>45809.0</v>
      </c>
      <c r="N23" s="515">
        <v>45838.0</v>
      </c>
    </row>
    <row r="24">
      <c r="A24" s="452" t="s">
        <v>16</v>
      </c>
      <c r="B24" s="453">
        <v>4320.0</v>
      </c>
      <c r="C24" s="459"/>
      <c r="D24" s="453">
        <v>0.0</v>
      </c>
      <c r="E24" s="452" t="s">
        <v>45</v>
      </c>
      <c r="F24" s="452" t="s">
        <v>46</v>
      </c>
      <c r="G24" s="452" t="s">
        <v>47</v>
      </c>
      <c r="H24" s="455"/>
      <c r="I24" s="462">
        <v>37370.0</v>
      </c>
      <c r="J24" s="457">
        <v>44739.0</v>
      </c>
      <c r="K24" s="454"/>
      <c r="L24" s="453">
        <v>30.0</v>
      </c>
      <c r="M24" s="515">
        <v>45809.0</v>
      </c>
      <c r="N24" s="515">
        <v>45838.0</v>
      </c>
    </row>
    <row r="25">
      <c r="A25" s="452" t="s">
        <v>16</v>
      </c>
      <c r="B25" s="453">
        <v>4320.0</v>
      </c>
      <c r="C25" s="459"/>
      <c r="D25" s="453">
        <v>0.0</v>
      </c>
      <c r="E25" s="452" t="s">
        <v>48</v>
      </c>
      <c r="F25" s="452" t="s">
        <v>49</v>
      </c>
      <c r="G25" s="452" t="s">
        <v>50</v>
      </c>
      <c r="H25" s="455"/>
      <c r="I25" s="456">
        <v>36399.0</v>
      </c>
      <c r="J25" s="456">
        <v>45229.0</v>
      </c>
      <c r="K25" s="460"/>
      <c r="L25" s="453">
        <v>30.0</v>
      </c>
      <c r="M25" s="515">
        <v>45809.0</v>
      </c>
      <c r="N25" s="515">
        <v>45838.0</v>
      </c>
    </row>
    <row r="26">
      <c r="A26" s="452" t="s">
        <v>16</v>
      </c>
      <c r="B26" s="453">
        <v>4320.0</v>
      </c>
      <c r="C26" s="459"/>
      <c r="D26" s="453">
        <v>0.0</v>
      </c>
      <c r="E26" s="452" t="s">
        <v>444</v>
      </c>
      <c r="F26" s="452" t="s">
        <v>320</v>
      </c>
      <c r="G26" s="452" t="s">
        <v>321</v>
      </c>
      <c r="H26" s="455"/>
      <c r="I26" s="457">
        <v>36360.0</v>
      </c>
      <c r="J26" s="457">
        <v>45355.0</v>
      </c>
      <c r="K26" s="461"/>
      <c r="L26" s="453">
        <v>30.0</v>
      </c>
      <c r="M26" s="515">
        <v>45809.0</v>
      </c>
      <c r="N26" s="515">
        <v>45838.0</v>
      </c>
    </row>
    <row r="27">
      <c r="A27" s="452" t="s">
        <v>16</v>
      </c>
      <c r="B27" s="453">
        <v>4320.0</v>
      </c>
      <c r="C27" s="459"/>
      <c r="D27" s="453">
        <v>0.0</v>
      </c>
      <c r="E27" s="452" t="s">
        <v>383</v>
      </c>
      <c r="F27" s="452" t="s">
        <v>384</v>
      </c>
      <c r="G27" s="452" t="s">
        <v>385</v>
      </c>
      <c r="H27" s="455"/>
      <c r="I27" s="457">
        <v>36183.0</v>
      </c>
      <c r="J27" s="457">
        <v>45418.0</v>
      </c>
      <c r="K27" s="461"/>
      <c r="L27" s="453">
        <v>30.0</v>
      </c>
      <c r="M27" s="515">
        <v>45809.0</v>
      </c>
      <c r="N27" s="515">
        <v>45838.0</v>
      </c>
    </row>
    <row r="28">
      <c r="A28" s="452" t="s">
        <v>16</v>
      </c>
      <c r="B28" s="453">
        <v>4320.0</v>
      </c>
      <c r="C28" s="459"/>
      <c r="D28" s="453">
        <v>0.0</v>
      </c>
      <c r="E28" s="452" t="s">
        <v>288</v>
      </c>
      <c r="F28" s="452" t="s">
        <v>289</v>
      </c>
      <c r="G28" s="452" t="s">
        <v>290</v>
      </c>
      <c r="H28" s="455"/>
      <c r="I28" s="457">
        <v>37047.0</v>
      </c>
      <c r="J28" s="456">
        <v>45257.0</v>
      </c>
      <c r="K28" s="454"/>
      <c r="L28" s="453">
        <v>30.0</v>
      </c>
      <c r="M28" s="515">
        <v>45809.0</v>
      </c>
      <c r="N28" s="515">
        <v>45838.0</v>
      </c>
    </row>
    <row r="29">
      <c r="A29" s="452" t="s">
        <v>16</v>
      </c>
      <c r="B29" s="453">
        <v>4320.0</v>
      </c>
      <c r="C29" s="459"/>
      <c r="D29" s="453">
        <v>0.0</v>
      </c>
      <c r="E29" s="452" t="s">
        <v>445</v>
      </c>
      <c r="F29" s="452" t="s">
        <v>510</v>
      </c>
      <c r="G29" s="452" t="s">
        <v>447</v>
      </c>
      <c r="H29" s="455"/>
      <c r="I29" s="462">
        <v>37047.0</v>
      </c>
      <c r="J29" s="457">
        <v>45505.0</v>
      </c>
      <c r="K29" s="454"/>
      <c r="L29" s="453">
        <v>30.0</v>
      </c>
      <c r="M29" s="515">
        <v>45809.0</v>
      </c>
      <c r="N29" s="515">
        <v>45838.0</v>
      </c>
    </row>
    <row r="30">
      <c r="A30" s="452" t="s">
        <v>16</v>
      </c>
      <c r="B30" s="453">
        <v>4320.0</v>
      </c>
      <c r="C30" s="459"/>
      <c r="D30" s="453">
        <v>0.0</v>
      </c>
      <c r="E30" s="452" t="s">
        <v>467</v>
      </c>
      <c r="F30" s="452" t="s">
        <v>511</v>
      </c>
      <c r="G30" s="452" t="s">
        <v>450</v>
      </c>
      <c r="H30" s="455"/>
      <c r="I30" s="457">
        <v>36682.0</v>
      </c>
      <c r="J30" s="457">
        <v>45505.0</v>
      </c>
      <c r="K30" s="461"/>
      <c r="L30" s="453">
        <v>30.0</v>
      </c>
      <c r="M30" s="515">
        <v>45809.0</v>
      </c>
      <c r="N30" s="515">
        <v>45838.0</v>
      </c>
    </row>
    <row r="31">
      <c r="A31" s="452" t="s">
        <v>16</v>
      </c>
      <c r="B31" s="453">
        <v>4320.0</v>
      </c>
      <c r="C31" s="459"/>
      <c r="D31" s="453">
        <v>0.0</v>
      </c>
      <c r="E31" s="452" t="s">
        <v>503</v>
      </c>
      <c r="F31" s="452" t="s">
        <v>542</v>
      </c>
      <c r="G31" s="452" t="s">
        <v>504</v>
      </c>
      <c r="H31" s="455"/>
      <c r="I31" s="457">
        <v>37422.0</v>
      </c>
      <c r="J31" s="457">
        <v>45635.0</v>
      </c>
      <c r="K31" s="454"/>
      <c r="L31" s="453">
        <v>30.0</v>
      </c>
      <c r="M31" s="515">
        <v>45809.0</v>
      </c>
      <c r="N31" s="515">
        <v>45838.0</v>
      </c>
    </row>
    <row r="32">
      <c r="A32" s="452" t="s">
        <v>16</v>
      </c>
      <c r="B32" s="453">
        <v>4320.0</v>
      </c>
      <c r="C32" s="459"/>
      <c r="D32" s="453">
        <v>0.0</v>
      </c>
      <c r="E32" s="452" t="s">
        <v>291</v>
      </c>
      <c r="F32" s="452" t="s">
        <v>292</v>
      </c>
      <c r="G32" s="452" t="s">
        <v>293</v>
      </c>
      <c r="H32" s="455"/>
      <c r="I32" s="456">
        <v>37219.0</v>
      </c>
      <c r="J32" s="456">
        <v>45257.0</v>
      </c>
      <c r="K32" s="454"/>
      <c r="L32" s="453">
        <v>30.0</v>
      </c>
      <c r="M32" s="515">
        <v>45809.0</v>
      </c>
      <c r="N32" s="515">
        <v>45838.0</v>
      </c>
    </row>
    <row r="33">
      <c r="A33" s="452" t="s">
        <v>16</v>
      </c>
      <c r="B33" s="453">
        <v>4320.0</v>
      </c>
      <c r="C33" s="459"/>
      <c r="D33" s="453">
        <v>0.0</v>
      </c>
      <c r="E33" s="452" t="s">
        <v>594</v>
      </c>
      <c r="F33" s="452" t="s">
        <v>595</v>
      </c>
      <c r="G33" s="452" t="s">
        <v>596</v>
      </c>
      <c r="H33" s="455"/>
      <c r="I33" s="457">
        <v>37809.0</v>
      </c>
      <c r="J33" s="457">
        <v>45684.0</v>
      </c>
      <c r="K33" s="454"/>
      <c r="L33" s="453">
        <v>30.0</v>
      </c>
      <c r="M33" s="515">
        <v>45809.0</v>
      </c>
      <c r="N33" s="515">
        <v>45838.0</v>
      </c>
    </row>
    <row r="34">
      <c r="A34" s="452" t="s">
        <v>16</v>
      </c>
      <c r="B34" s="453">
        <v>4320.0</v>
      </c>
      <c r="C34" s="459"/>
      <c r="D34" s="453">
        <v>0.0</v>
      </c>
      <c r="E34" s="452" t="s">
        <v>60</v>
      </c>
      <c r="F34" s="452" t="s">
        <v>61</v>
      </c>
      <c r="G34" s="452" t="s">
        <v>62</v>
      </c>
      <c r="H34" s="455"/>
      <c r="I34" s="456">
        <v>36246.0</v>
      </c>
      <c r="J34" s="456">
        <v>44851.0</v>
      </c>
      <c r="K34" s="513">
        <v>45838.0</v>
      </c>
      <c r="L34" s="453">
        <v>30.0</v>
      </c>
      <c r="M34" s="515">
        <v>45809.0</v>
      </c>
      <c r="N34" s="515">
        <v>45838.0</v>
      </c>
    </row>
    <row r="35">
      <c r="A35" s="452" t="s">
        <v>16</v>
      </c>
      <c r="B35" s="453">
        <v>4320.0</v>
      </c>
      <c r="C35" s="459"/>
      <c r="D35" s="453">
        <v>0.0</v>
      </c>
      <c r="E35" s="452" t="s">
        <v>63</v>
      </c>
      <c r="F35" s="452" t="s">
        <v>64</v>
      </c>
      <c r="G35" s="452" t="s">
        <v>65</v>
      </c>
      <c r="H35" s="455"/>
      <c r="I35" s="457">
        <v>35606.0</v>
      </c>
      <c r="J35" s="457">
        <v>44896.0</v>
      </c>
      <c r="K35" s="454"/>
      <c r="L35" s="453">
        <v>30.0</v>
      </c>
      <c r="M35" s="515">
        <v>45809.0</v>
      </c>
      <c r="N35" s="515">
        <v>45838.0</v>
      </c>
    </row>
    <row r="36">
      <c r="A36" s="452" t="s">
        <v>16</v>
      </c>
      <c r="B36" s="453">
        <v>4320.0</v>
      </c>
      <c r="C36" s="459"/>
      <c r="D36" s="453">
        <v>0.0</v>
      </c>
      <c r="E36" s="452" t="s">
        <v>63</v>
      </c>
      <c r="F36" s="452" t="s">
        <v>543</v>
      </c>
      <c r="G36" s="452" t="s">
        <v>505</v>
      </c>
      <c r="H36" s="455"/>
      <c r="I36" s="457">
        <v>36725.0</v>
      </c>
      <c r="J36" s="457">
        <v>45635.0</v>
      </c>
      <c r="K36" s="454"/>
      <c r="L36" s="453">
        <v>30.0</v>
      </c>
      <c r="M36" s="515">
        <v>45809.0</v>
      </c>
      <c r="N36" s="515">
        <v>45838.0</v>
      </c>
    </row>
    <row r="37">
      <c r="A37" s="452" t="s">
        <v>16</v>
      </c>
      <c r="B37" s="453">
        <v>4320.0</v>
      </c>
      <c r="C37" s="459"/>
      <c r="D37" s="453">
        <v>0.0</v>
      </c>
      <c r="E37" s="452" t="s">
        <v>744</v>
      </c>
      <c r="F37" s="452" t="s">
        <v>745</v>
      </c>
      <c r="G37" s="452" t="s">
        <v>746</v>
      </c>
      <c r="H37" s="455"/>
      <c r="I37" s="456">
        <v>37479.0</v>
      </c>
      <c r="J37" s="456">
        <v>45726.0</v>
      </c>
      <c r="K37" s="461"/>
      <c r="L37" s="453">
        <v>30.0</v>
      </c>
      <c r="M37" s="515">
        <v>45809.0</v>
      </c>
      <c r="N37" s="515">
        <v>45838.0</v>
      </c>
    </row>
    <row r="38">
      <c r="A38" s="452" t="s">
        <v>16</v>
      </c>
      <c r="B38" s="453">
        <v>4320.0</v>
      </c>
      <c r="C38" s="459"/>
      <c r="D38" s="453">
        <v>0.0</v>
      </c>
      <c r="E38" s="452" t="s">
        <v>591</v>
      </c>
      <c r="F38" s="452" t="s">
        <v>592</v>
      </c>
      <c r="G38" s="452" t="s">
        <v>593</v>
      </c>
      <c r="H38" s="455"/>
      <c r="I38" s="458">
        <v>37041.0</v>
      </c>
      <c r="J38" s="457">
        <v>45684.0</v>
      </c>
      <c r="K38" s="454"/>
      <c r="L38" s="453">
        <v>30.0</v>
      </c>
      <c r="M38" s="515">
        <v>45809.0</v>
      </c>
      <c r="N38" s="515">
        <v>45838.0</v>
      </c>
    </row>
    <row r="39">
      <c r="A39" s="452" t="s">
        <v>16</v>
      </c>
      <c r="B39" s="453">
        <v>4320.0</v>
      </c>
      <c r="C39" s="459"/>
      <c r="D39" s="453">
        <v>0.0</v>
      </c>
      <c r="E39" s="452" t="s">
        <v>597</v>
      </c>
      <c r="F39" s="452" t="s">
        <v>598</v>
      </c>
      <c r="G39" s="452" t="s">
        <v>599</v>
      </c>
      <c r="H39" s="455"/>
      <c r="I39" s="457">
        <v>37265.0</v>
      </c>
      <c r="J39" s="457">
        <v>45684.0</v>
      </c>
      <c r="K39" s="461"/>
      <c r="L39" s="453">
        <v>30.0</v>
      </c>
      <c r="M39" s="515">
        <v>45809.0</v>
      </c>
      <c r="N39" s="515">
        <v>45838.0</v>
      </c>
    </row>
    <row r="40">
      <c r="A40" s="452" t="s">
        <v>16</v>
      </c>
      <c r="B40" s="453">
        <v>4320.0</v>
      </c>
      <c r="C40" s="459"/>
      <c r="D40" s="453">
        <v>0.0</v>
      </c>
      <c r="E40" s="452" t="s">
        <v>267</v>
      </c>
      <c r="F40" s="452" t="s">
        <v>268</v>
      </c>
      <c r="G40" s="452" t="s">
        <v>269</v>
      </c>
      <c r="H40" s="455"/>
      <c r="I40" s="456">
        <v>34590.0</v>
      </c>
      <c r="J40" s="457">
        <v>45313.0</v>
      </c>
      <c r="K40" s="460"/>
      <c r="L40" s="453">
        <v>30.0</v>
      </c>
      <c r="M40" s="515">
        <v>45809.0</v>
      </c>
      <c r="N40" s="515">
        <v>45838.0</v>
      </c>
    </row>
    <row r="41">
      <c r="A41" s="452" t="s">
        <v>16</v>
      </c>
      <c r="B41" s="453">
        <v>4320.0</v>
      </c>
      <c r="C41" s="459"/>
      <c r="D41" s="453">
        <v>0.0</v>
      </c>
      <c r="E41" s="452" t="s">
        <v>69</v>
      </c>
      <c r="F41" s="452" t="s">
        <v>70</v>
      </c>
      <c r="G41" s="452" t="s">
        <v>71</v>
      </c>
      <c r="H41" s="455"/>
      <c r="I41" s="456">
        <v>36891.0</v>
      </c>
      <c r="J41" s="457">
        <v>44739.0</v>
      </c>
      <c r="K41" s="454"/>
      <c r="L41" s="453">
        <v>30.0</v>
      </c>
      <c r="M41" s="515">
        <v>45809.0</v>
      </c>
      <c r="N41" s="515">
        <v>45838.0</v>
      </c>
    </row>
    <row r="42">
      <c r="A42" s="452" t="s">
        <v>16</v>
      </c>
      <c r="B42" s="453">
        <v>4320.0</v>
      </c>
      <c r="C42" s="459"/>
      <c r="D42" s="453">
        <v>0.0</v>
      </c>
      <c r="E42" s="452" t="s">
        <v>468</v>
      </c>
      <c r="F42" s="452" t="s">
        <v>527</v>
      </c>
      <c r="G42" s="452" t="s">
        <v>469</v>
      </c>
      <c r="H42" s="455"/>
      <c r="I42" s="457">
        <v>35986.0</v>
      </c>
      <c r="J42" s="457">
        <v>45537.0</v>
      </c>
      <c r="K42" s="454"/>
      <c r="L42" s="453">
        <v>30.0</v>
      </c>
      <c r="M42" s="515">
        <v>45809.0</v>
      </c>
      <c r="N42" s="515">
        <v>45838.0</v>
      </c>
    </row>
    <row r="43">
      <c r="A43" s="452" t="s">
        <v>16</v>
      </c>
      <c r="B43" s="453">
        <v>4320.0</v>
      </c>
      <c r="C43" s="459"/>
      <c r="D43" s="453">
        <v>0.0</v>
      </c>
      <c r="E43" s="452" t="s">
        <v>78</v>
      </c>
      <c r="F43" s="452" t="s">
        <v>79</v>
      </c>
      <c r="G43" s="452" t="s">
        <v>80</v>
      </c>
      <c r="H43" s="455"/>
      <c r="I43" s="456">
        <v>36401.0</v>
      </c>
      <c r="J43" s="457">
        <v>45096.0</v>
      </c>
      <c r="K43" s="454"/>
      <c r="L43" s="453">
        <v>30.0</v>
      </c>
      <c r="M43" s="515">
        <v>45809.0</v>
      </c>
      <c r="N43" s="515">
        <v>45838.0</v>
      </c>
    </row>
    <row r="44">
      <c r="A44" s="452" t="s">
        <v>16</v>
      </c>
      <c r="B44" s="453">
        <v>4320.0</v>
      </c>
      <c r="C44" s="459"/>
      <c r="D44" s="453">
        <v>0.0</v>
      </c>
      <c r="E44" s="452" t="s">
        <v>555</v>
      </c>
      <c r="F44" s="452" t="s">
        <v>556</v>
      </c>
      <c r="G44" s="452" t="s">
        <v>557</v>
      </c>
      <c r="H44" s="455"/>
      <c r="I44" s="457">
        <v>36135.0</v>
      </c>
      <c r="J44" s="457">
        <v>45663.0</v>
      </c>
      <c r="K44" s="454"/>
      <c r="L44" s="453">
        <v>30.0</v>
      </c>
      <c r="M44" s="515">
        <v>45809.0</v>
      </c>
      <c r="N44" s="515">
        <v>45838.0</v>
      </c>
    </row>
    <row r="45">
      <c r="A45" s="452" t="s">
        <v>16</v>
      </c>
      <c r="B45" s="453">
        <v>4320.0</v>
      </c>
      <c r="C45" s="459"/>
      <c r="D45" s="453">
        <v>0.0</v>
      </c>
      <c r="E45" s="452" t="s">
        <v>331</v>
      </c>
      <c r="F45" s="452" t="s">
        <v>332</v>
      </c>
      <c r="G45" s="452" t="s">
        <v>333</v>
      </c>
      <c r="H45" s="455"/>
      <c r="I45" s="457">
        <v>37958.0</v>
      </c>
      <c r="J45" s="456">
        <v>45369.0</v>
      </c>
      <c r="K45" s="461"/>
      <c r="L45" s="453">
        <v>30.0</v>
      </c>
      <c r="M45" s="515">
        <v>45809.0</v>
      </c>
      <c r="N45" s="515">
        <v>45838.0</v>
      </c>
    </row>
    <row r="46">
      <c r="A46" s="452" t="s">
        <v>16</v>
      </c>
      <c r="B46" s="453">
        <v>4320.0</v>
      </c>
      <c r="C46" s="459"/>
      <c r="D46" s="453">
        <v>0.0</v>
      </c>
      <c r="E46" s="452" t="s">
        <v>392</v>
      </c>
      <c r="F46" s="452" t="s">
        <v>393</v>
      </c>
      <c r="G46" s="452" t="s">
        <v>394</v>
      </c>
      <c r="H46" s="455"/>
      <c r="I46" s="456">
        <v>34922.0</v>
      </c>
      <c r="J46" s="457">
        <v>45418.0</v>
      </c>
      <c r="K46" s="461"/>
      <c r="L46" s="453">
        <v>30.0</v>
      </c>
      <c r="M46" s="515">
        <v>45809.0</v>
      </c>
      <c r="N46" s="515">
        <v>45838.0</v>
      </c>
    </row>
    <row r="47">
      <c r="A47" s="452" t="s">
        <v>16</v>
      </c>
      <c r="B47" s="453">
        <v>4320.0</v>
      </c>
      <c r="C47" s="459"/>
      <c r="D47" s="453">
        <v>0.0</v>
      </c>
      <c r="E47" s="452" t="s">
        <v>696</v>
      </c>
      <c r="F47" s="452" t="s">
        <v>756</v>
      </c>
      <c r="G47" s="452" t="s">
        <v>698</v>
      </c>
      <c r="H47" s="455"/>
      <c r="I47" s="456">
        <v>36474.0</v>
      </c>
      <c r="J47" s="456">
        <v>45698.0</v>
      </c>
      <c r="K47" s="461"/>
      <c r="L47" s="453">
        <v>30.0</v>
      </c>
      <c r="M47" s="515">
        <v>45809.0</v>
      </c>
      <c r="N47" s="515">
        <v>45838.0</v>
      </c>
    </row>
    <row r="48">
      <c r="A48" s="452" t="s">
        <v>16</v>
      </c>
      <c r="B48" s="453">
        <v>4320.0</v>
      </c>
      <c r="C48" s="459"/>
      <c r="D48" s="453">
        <v>0.0</v>
      </c>
      <c r="E48" s="452" t="s">
        <v>699</v>
      </c>
      <c r="F48" s="452" t="s">
        <v>757</v>
      </c>
      <c r="G48" s="452" t="s">
        <v>701</v>
      </c>
      <c r="H48" s="455"/>
      <c r="I48" s="456">
        <v>36474.0</v>
      </c>
      <c r="J48" s="456">
        <v>45698.0</v>
      </c>
      <c r="K48" s="461"/>
      <c r="L48" s="453">
        <v>30.0</v>
      </c>
      <c r="M48" s="515">
        <v>45809.0</v>
      </c>
      <c r="N48" s="515">
        <v>45838.0</v>
      </c>
    </row>
    <row r="49">
      <c r="A49" s="452" t="s">
        <v>16</v>
      </c>
      <c r="B49" s="453">
        <v>4320.0</v>
      </c>
      <c r="C49" s="459"/>
      <c r="D49" s="453">
        <v>0.0</v>
      </c>
      <c r="E49" s="452" t="s">
        <v>576</v>
      </c>
      <c r="F49" s="452" t="s">
        <v>577</v>
      </c>
      <c r="G49" s="452" t="s">
        <v>578</v>
      </c>
      <c r="H49" s="455"/>
      <c r="I49" s="456">
        <v>37944.0</v>
      </c>
      <c r="J49" s="457">
        <v>45677.0</v>
      </c>
      <c r="K49" s="454"/>
      <c r="L49" s="453">
        <v>30.0</v>
      </c>
      <c r="M49" s="515">
        <v>45809.0</v>
      </c>
      <c r="N49" s="515">
        <v>45838.0</v>
      </c>
    </row>
    <row r="50">
      <c r="A50" s="452" t="s">
        <v>16</v>
      </c>
      <c r="B50" s="453">
        <v>4320.0</v>
      </c>
      <c r="C50" s="459"/>
      <c r="D50" s="453">
        <v>0.0</v>
      </c>
      <c r="E50" s="452" t="s">
        <v>546</v>
      </c>
      <c r="F50" s="452" t="s">
        <v>547</v>
      </c>
      <c r="G50" s="452" t="s">
        <v>548</v>
      </c>
      <c r="H50" s="455"/>
      <c r="I50" s="456">
        <v>38255.0</v>
      </c>
      <c r="J50" s="457">
        <v>45658.0</v>
      </c>
      <c r="K50" s="460"/>
      <c r="L50" s="453">
        <v>30.0</v>
      </c>
      <c r="M50" s="515">
        <v>45809.0</v>
      </c>
      <c r="N50" s="515">
        <v>45838.0</v>
      </c>
    </row>
    <row r="51">
      <c r="A51" s="452" t="s">
        <v>16</v>
      </c>
      <c r="B51" s="453">
        <v>4320.0</v>
      </c>
      <c r="C51" s="459"/>
      <c r="D51" s="453">
        <v>0.0</v>
      </c>
      <c r="E51" s="452" t="s">
        <v>501</v>
      </c>
      <c r="F51" s="452" t="s">
        <v>541</v>
      </c>
      <c r="G51" s="452" t="s">
        <v>502</v>
      </c>
      <c r="H51" s="455"/>
      <c r="I51" s="456">
        <v>36062.0</v>
      </c>
      <c r="J51" s="457">
        <v>45628.0</v>
      </c>
      <c r="K51" s="461"/>
      <c r="L51" s="453">
        <v>30.0</v>
      </c>
      <c r="M51" s="515">
        <v>45809.0</v>
      </c>
      <c r="N51" s="515">
        <v>45838.0</v>
      </c>
    </row>
    <row r="52">
      <c r="A52" s="452" t="s">
        <v>16</v>
      </c>
      <c r="B52" s="453">
        <v>4320.0</v>
      </c>
      <c r="C52" s="459"/>
      <c r="D52" s="453">
        <v>0.0</v>
      </c>
      <c r="E52" s="452" t="s">
        <v>451</v>
      </c>
      <c r="F52" s="452" t="s">
        <v>512</v>
      </c>
      <c r="G52" s="452" t="s">
        <v>415</v>
      </c>
      <c r="H52" s="455"/>
      <c r="I52" s="456">
        <v>36443.0</v>
      </c>
      <c r="J52" s="457">
        <v>45446.0</v>
      </c>
      <c r="K52" s="461"/>
      <c r="L52" s="453">
        <v>30.0</v>
      </c>
      <c r="M52" s="515">
        <v>45809.0</v>
      </c>
      <c r="N52" s="515">
        <v>45838.0</v>
      </c>
    </row>
    <row r="53">
      <c r="A53" s="452" t="s">
        <v>16</v>
      </c>
      <c r="B53" s="453">
        <v>4320.0</v>
      </c>
      <c r="C53" s="459"/>
      <c r="D53" s="453">
        <v>0.0</v>
      </c>
      <c r="E53" s="452" t="s">
        <v>579</v>
      </c>
      <c r="F53" s="452" t="s">
        <v>580</v>
      </c>
      <c r="G53" s="452" t="s">
        <v>581</v>
      </c>
      <c r="H53" s="455"/>
      <c r="I53" s="456">
        <v>37609.0</v>
      </c>
      <c r="J53" s="457">
        <v>45677.0</v>
      </c>
      <c r="K53" s="460"/>
      <c r="L53" s="453">
        <v>30.0</v>
      </c>
      <c r="M53" s="515">
        <v>45809.0</v>
      </c>
      <c r="N53" s="515">
        <v>45838.0</v>
      </c>
    </row>
    <row r="54">
      <c r="A54" s="452" t="s">
        <v>16</v>
      </c>
      <c r="B54" s="453">
        <v>4320.0</v>
      </c>
      <c r="C54" s="459"/>
      <c r="D54" s="453">
        <v>0.0</v>
      </c>
      <c r="E54" s="452" t="s">
        <v>476</v>
      </c>
      <c r="F54" s="452" t="s">
        <v>529</v>
      </c>
      <c r="G54" s="452" t="s">
        <v>477</v>
      </c>
      <c r="H54" s="455"/>
      <c r="I54" s="456">
        <v>37220.0</v>
      </c>
      <c r="J54" s="462">
        <v>45572.0</v>
      </c>
      <c r="K54" s="454"/>
      <c r="L54" s="453">
        <v>30.0</v>
      </c>
      <c r="M54" s="515">
        <v>45809.0</v>
      </c>
      <c r="N54" s="515">
        <v>45838.0</v>
      </c>
    </row>
    <row r="55">
      <c r="A55" s="452" t="s">
        <v>16</v>
      </c>
      <c r="B55" s="453">
        <v>4320.0</v>
      </c>
      <c r="C55" s="459"/>
      <c r="D55" s="453">
        <v>0.0</v>
      </c>
      <c r="E55" s="452" t="s">
        <v>102</v>
      </c>
      <c r="F55" s="452" t="s">
        <v>103</v>
      </c>
      <c r="G55" s="452" t="s">
        <v>104</v>
      </c>
      <c r="H55" s="455"/>
      <c r="I55" s="457">
        <v>33240.0</v>
      </c>
      <c r="J55" s="457">
        <v>44287.0</v>
      </c>
      <c r="K55" s="454"/>
      <c r="L55" s="453">
        <v>30.0</v>
      </c>
      <c r="M55" s="515">
        <v>45809.0</v>
      </c>
      <c r="N55" s="515">
        <v>45838.0</v>
      </c>
    </row>
    <row r="56">
      <c r="A56" s="452" t="s">
        <v>16</v>
      </c>
      <c r="B56" s="453">
        <v>4320.0</v>
      </c>
      <c r="C56" s="459"/>
      <c r="D56" s="453">
        <v>0.0</v>
      </c>
      <c r="E56" s="452" t="s">
        <v>255</v>
      </c>
      <c r="F56" s="452" t="s">
        <v>256</v>
      </c>
      <c r="G56" s="452" t="s">
        <v>257</v>
      </c>
      <c r="H56" s="455"/>
      <c r="I56" s="457">
        <v>35173.0</v>
      </c>
      <c r="J56" s="457">
        <v>45264.0</v>
      </c>
      <c r="K56" s="513">
        <v>45833.0</v>
      </c>
      <c r="L56" s="514">
        <v>25.0</v>
      </c>
      <c r="M56" s="515">
        <v>45809.0</v>
      </c>
      <c r="N56" s="515">
        <v>45838.0</v>
      </c>
    </row>
    <row r="57">
      <c r="A57" s="452" t="s">
        <v>16</v>
      </c>
      <c r="B57" s="453">
        <v>4320.0</v>
      </c>
      <c r="C57" s="459"/>
      <c r="D57" s="453">
        <v>0.0</v>
      </c>
      <c r="E57" s="452" t="s">
        <v>438</v>
      </c>
      <c r="F57" s="452" t="s">
        <v>341</v>
      </c>
      <c r="G57" s="452" t="s">
        <v>342</v>
      </c>
      <c r="H57" s="455"/>
      <c r="I57" s="457">
        <v>37964.0</v>
      </c>
      <c r="J57" s="457">
        <v>45355.0</v>
      </c>
      <c r="K57" s="461"/>
      <c r="L57" s="453">
        <v>30.0</v>
      </c>
      <c r="M57" s="515">
        <v>45809.0</v>
      </c>
      <c r="N57" s="515">
        <v>45838.0</v>
      </c>
    </row>
    <row r="58">
      <c r="A58" s="452" t="s">
        <v>16</v>
      </c>
      <c r="B58" s="453">
        <v>4320.0</v>
      </c>
      <c r="C58" s="459"/>
      <c r="D58" s="453">
        <v>0.0</v>
      </c>
      <c r="E58" s="452" t="s">
        <v>508</v>
      </c>
      <c r="F58" s="452" t="s">
        <v>545</v>
      </c>
      <c r="G58" s="452" t="s">
        <v>509</v>
      </c>
      <c r="H58" s="455"/>
      <c r="I58" s="457">
        <v>36637.0</v>
      </c>
      <c r="J58" s="456">
        <v>45649.0</v>
      </c>
      <c r="K58" s="454"/>
      <c r="L58" s="453">
        <v>30.0</v>
      </c>
      <c r="M58" s="515">
        <v>45809.0</v>
      </c>
      <c r="N58" s="515">
        <v>45838.0</v>
      </c>
    </row>
    <row r="59">
      <c r="A59" s="452" t="s">
        <v>16</v>
      </c>
      <c r="B59" s="453">
        <v>4320.0</v>
      </c>
      <c r="C59" s="459"/>
      <c r="D59" s="453">
        <v>0.0</v>
      </c>
      <c r="E59" s="452" t="s">
        <v>395</v>
      </c>
      <c r="F59" s="452" t="s">
        <v>396</v>
      </c>
      <c r="G59" s="452" t="s">
        <v>397</v>
      </c>
      <c r="H59" s="455"/>
      <c r="I59" s="457">
        <v>36557.0</v>
      </c>
      <c r="J59" s="458">
        <v>45432.0</v>
      </c>
      <c r="K59" s="458">
        <v>45807.0</v>
      </c>
      <c r="L59" s="514">
        <v>0.0</v>
      </c>
      <c r="M59" s="515">
        <v>45809.0</v>
      </c>
      <c r="N59" s="515">
        <v>45838.0</v>
      </c>
    </row>
    <row r="60">
      <c r="A60" s="452" t="s">
        <v>16</v>
      </c>
      <c r="B60" s="453">
        <v>4320.0</v>
      </c>
      <c r="C60" s="459"/>
      <c r="D60" s="453">
        <v>0.0</v>
      </c>
      <c r="E60" s="452" t="s">
        <v>370</v>
      </c>
      <c r="F60" s="452" t="s">
        <v>371</v>
      </c>
      <c r="G60" s="452" t="s">
        <v>372</v>
      </c>
      <c r="H60" s="455"/>
      <c r="I60" s="457">
        <v>35551.0</v>
      </c>
      <c r="J60" s="457">
        <v>45383.0</v>
      </c>
      <c r="K60" s="461"/>
      <c r="L60" s="453">
        <v>30.0</v>
      </c>
      <c r="M60" s="515">
        <v>45809.0</v>
      </c>
      <c r="N60" s="515">
        <v>45838.0</v>
      </c>
    </row>
    <row r="61">
      <c r="A61" s="452" t="s">
        <v>16</v>
      </c>
      <c r="B61" s="453">
        <v>4320.0</v>
      </c>
      <c r="C61" s="459"/>
      <c r="D61" s="453">
        <v>0.0</v>
      </c>
      <c r="E61" s="452" t="s">
        <v>114</v>
      </c>
      <c r="F61" s="452" t="s">
        <v>514</v>
      </c>
      <c r="G61" s="452" t="s">
        <v>456</v>
      </c>
      <c r="H61" s="455"/>
      <c r="I61" s="456">
        <v>35872.0</v>
      </c>
      <c r="J61" s="456">
        <v>45523.0</v>
      </c>
      <c r="K61" s="454"/>
      <c r="L61" s="453">
        <v>30.0</v>
      </c>
      <c r="M61" s="515">
        <v>45809.0</v>
      </c>
      <c r="N61" s="515">
        <v>45838.0</v>
      </c>
    </row>
    <row r="62">
      <c r="A62" s="452" t="s">
        <v>16</v>
      </c>
      <c r="B62" s="453">
        <v>4320.0</v>
      </c>
      <c r="C62" s="454"/>
      <c r="D62" s="453">
        <v>0.0</v>
      </c>
      <c r="E62" s="452" t="s">
        <v>457</v>
      </c>
      <c r="F62" s="452" t="s">
        <v>515</v>
      </c>
      <c r="G62" s="452" t="s">
        <v>458</v>
      </c>
      <c r="H62" s="455"/>
      <c r="I62" s="457">
        <v>37061.0</v>
      </c>
      <c r="J62" s="462">
        <v>45505.0</v>
      </c>
      <c r="K62" s="516">
        <v>45808.0</v>
      </c>
      <c r="L62" s="514">
        <v>0.0</v>
      </c>
      <c r="M62" s="515">
        <v>45809.0</v>
      </c>
      <c r="N62" s="515">
        <v>45838.0</v>
      </c>
    </row>
    <row r="63">
      <c r="A63" s="452" t="s">
        <v>16</v>
      </c>
      <c r="B63" s="453">
        <v>4320.0</v>
      </c>
      <c r="C63" s="454"/>
      <c r="D63" s="453">
        <v>0.0</v>
      </c>
      <c r="E63" s="452" t="s">
        <v>506</v>
      </c>
      <c r="F63" s="452" t="s">
        <v>544</v>
      </c>
      <c r="G63" s="452" t="s">
        <v>507</v>
      </c>
      <c r="H63" s="455"/>
      <c r="I63" s="456">
        <v>36981.0</v>
      </c>
      <c r="J63" s="456">
        <v>45642.0</v>
      </c>
      <c r="K63" s="461"/>
      <c r="L63" s="453">
        <v>30.0</v>
      </c>
      <c r="M63" s="515">
        <v>45809.0</v>
      </c>
      <c r="N63" s="515">
        <v>45838.0</v>
      </c>
    </row>
    <row r="64">
      <c r="A64" s="452" t="s">
        <v>16</v>
      </c>
      <c r="B64" s="453">
        <v>4320.0</v>
      </c>
      <c r="C64" s="454"/>
      <c r="D64" s="453">
        <v>0.0</v>
      </c>
      <c r="E64" s="452" t="s">
        <v>487</v>
      </c>
      <c r="F64" s="452" t="s">
        <v>533</v>
      </c>
      <c r="G64" s="452" t="s">
        <v>488</v>
      </c>
      <c r="H64" s="455"/>
      <c r="I64" s="458">
        <v>35195.0</v>
      </c>
      <c r="J64" s="457">
        <v>45602.0</v>
      </c>
      <c r="K64" s="454"/>
      <c r="L64" s="453">
        <v>30.0</v>
      </c>
      <c r="M64" s="515">
        <v>45809.0</v>
      </c>
      <c r="N64" s="515">
        <v>45838.0</v>
      </c>
    </row>
    <row r="65">
      <c r="A65" s="452" t="s">
        <v>16</v>
      </c>
      <c r="B65" s="453">
        <v>4320.0</v>
      </c>
      <c r="C65" s="454"/>
      <c r="D65" s="453">
        <v>0.0</v>
      </c>
      <c r="E65" s="452" t="s">
        <v>343</v>
      </c>
      <c r="F65" s="452" t="s">
        <v>344</v>
      </c>
      <c r="G65" s="452" t="s">
        <v>345</v>
      </c>
      <c r="H65" s="455"/>
      <c r="I65" s="456">
        <v>36821.0</v>
      </c>
      <c r="J65" s="456">
        <v>45362.0</v>
      </c>
      <c r="K65" s="454"/>
      <c r="L65" s="453">
        <v>30.0</v>
      </c>
      <c r="M65" s="515">
        <v>45809.0</v>
      </c>
      <c r="N65" s="515">
        <v>45838.0</v>
      </c>
    </row>
    <row r="66">
      <c r="A66" s="452" t="s">
        <v>16</v>
      </c>
      <c r="B66" s="453">
        <v>4320.0</v>
      </c>
      <c r="C66" s="454"/>
      <c r="D66" s="453">
        <v>0.0</v>
      </c>
      <c r="E66" s="452" t="s">
        <v>750</v>
      </c>
      <c r="F66" s="452" t="s">
        <v>751</v>
      </c>
      <c r="G66" s="452" t="s">
        <v>752</v>
      </c>
      <c r="H66" s="455"/>
      <c r="I66" s="456">
        <v>36581.0</v>
      </c>
      <c r="J66" s="456">
        <v>45740.0</v>
      </c>
      <c r="K66" s="461"/>
      <c r="L66" s="453">
        <v>30.0</v>
      </c>
      <c r="M66" s="515">
        <v>45809.0</v>
      </c>
      <c r="N66" s="515">
        <v>45838.0</v>
      </c>
    </row>
    <row r="67">
      <c r="A67" s="452" t="s">
        <v>16</v>
      </c>
      <c r="B67" s="453">
        <v>4320.0</v>
      </c>
      <c r="C67" s="454"/>
      <c r="D67" s="453">
        <v>0.0</v>
      </c>
      <c r="E67" s="452" t="s">
        <v>429</v>
      </c>
      <c r="F67" s="452" t="s">
        <v>516</v>
      </c>
      <c r="G67" s="452" t="s">
        <v>430</v>
      </c>
      <c r="H67" s="455"/>
      <c r="I67" s="457">
        <v>37257.0</v>
      </c>
      <c r="J67" s="457">
        <v>45481.0</v>
      </c>
      <c r="K67" s="454"/>
      <c r="L67" s="453">
        <v>30.0</v>
      </c>
      <c r="M67" s="515">
        <v>45809.0</v>
      </c>
      <c r="N67" s="515">
        <v>45838.0</v>
      </c>
    </row>
    <row r="68">
      <c r="A68" s="452" t="s">
        <v>16</v>
      </c>
      <c r="B68" s="453">
        <v>4320.0</v>
      </c>
      <c r="C68" s="454"/>
      <c r="D68" s="453">
        <v>0.0</v>
      </c>
      <c r="E68" s="452" t="s">
        <v>489</v>
      </c>
      <c r="F68" s="452" t="s">
        <v>536</v>
      </c>
      <c r="G68" s="452" t="s">
        <v>490</v>
      </c>
      <c r="H68" s="455"/>
      <c r="I68" s="457">
        <v>37105.0</v>
      </c>
      <c r="J68" s="457">
        <v>45602.0</v>
      </c>
      <c r="K68" s="461"/>
      <c r="L68" s="453">
        <v>30.0</v>
      </c>
      <c r="M68" s="515">
        <v>45809.0</v>
      </c>
      <c r="N68" s="515">
        <v>45838.0</v>
      </c>
    </row>
    <row r="69">
      <c r="A69" s="452" t="s">
        <v>16</v>
      </c>
      <c r="B69" s="453">
        <v>4320.0</v>
      </c>
      <c r="C69" s="454"/>
      <c r="D69" s="453">
        <v>0.0</v>
      </c>
      <c r="E69" s="452" t="s">
        <v>416</v>
      </c>
      <c r="F69" s="452" t="s">
        <v>517</v>
      </c>
      <c r="G69" s="452" t="s">
        <v>417</v>
      </c>
      <c r="H69" s="455"/>
      <c r="I69" s="457">
        <v>36346.0</v>
      </c>
      <c r="J69" s="457">
        <v>45453.0</v>
      </c>
      <c r="K69" s="461"/>
      <c r="L69" s="453">
        <v>30.0</v>
      </c>
      <c r="M69" s="515">
        <v>45809.0</v>
      </c>
      <c r="N69" s="515">
        <v>45838.0</v>
      </c>
    </row>
    <row r="70">
      <c r="A70" s="452" t="s">
        <v>16</v>
      </c>
      <c r="B70" s="453">
        <v>4320.0</v>
      </c>
      <c r="C70" s="454"/>
      <c r="D70" s="453">
        <v>0.0</v>
      </c>
      <c r="E70" s="452" t="s">
        <v>478</v>
      </c>
      <c r="F70" s="452" t="s">
        <v>518</v>
      </c>
      <c r="G70" s="452" t="s">
        <v>426</v>
      </c>
      <c r="H70" s="455"/>
      <c r="I70" s="457">
        <v>36530.0</v>
      </c>
      <c r="J70" s="457">
        <v>45446.0</v>
      </c>
      <c r="K70" s="454"/>
      <c r="L70" s="453">
        <v>30.0</v>
      </c>
      <c r="M70" s="515">
        <v>45809.0</v>
      </c>
      <c r="N70" s="515">
        <v>45838.0</v>
      </c>
    </row>
    <row r="71">
      <c r="A71" s="452" t="s">
        <v>16</v>
      </c>
      <c r="B71" s="453">
        <v>4320.0</v>
      </c>
      <c r="C71" s="454"/>
      <c r="D71" s="453">
        <v>0.0</v>
      </c>
      <c r="E71" s="452" t="s">
        <v>570</v>
      </c>
      <c r="F71" s="452" t="s">
        <v>571</v>
      </c>
      <c r="G71" s="452" t="s">
        <v>572</v>
      </c>
      <c r="H71" s="455"/>
      <c r="I71" s="457">
        <v>37362.0</v>
      </c>
      <c r="J71" s="457">
        <v>45677.0</v>
      </c>
      <c r="K71" s="461"/>
      <c r="L71" s="453">
        <v>30.0</v>
      </c>
      <c r="M71" s="515">
        <v>45809.0</v>
      </c>
      <c r="N71" s="515">
        <v>45838.0</v>
      </c>
    </row>
    <row r="72">
      <c r="A72" s="452" t="s">
        <v>16</v>
      </c>
      <c r="B72" s="453">
        <v>4320.0</v>
      </c>
      <c r="C72" s="454"/>
      <c r="D72" s="453">
        <v>0.0</v>
      </c>
      <c r="E72" s="452" t="s">
        <v>702</v>
      </c>
      <c r="F72" s="452" t="s">
        <v>703</v>
      </c>
      <c r="G72" s="452" t="s">
        <v>704</v>
      </c>
      <c r="H72" s="455"/>
      <c r="I72" s="456">
        <v>35714.0</v>
      </c>
      <c r="J72" s="456">
        <v>45705.0</v>
      </c>
      <c r="K72" s="454"/>
      <c r="L72" s="453">
        <v>30.0</v>
      </c>
      <c r="M72" s="515">
        <v>45809.0</v>
      </c>
      <c r="N72" s="515">
        <v>45838.0</v>
      </c>
    </row>
    <row r="73">
      <c r="A73" s="452" t="s">
        <v>16</v>
      </c>
      <c r="B73" s="453">
        <v>4320.0</v>
      </c>
      <c r="C73" s="454"/>
      <c r="D73" s="453">
        <v>0.0</v>
      </c>
      <c r="E73" s="452" t="s">
        <v>459</v>
      </c>
      <c r="F73" s="452" t="s">
        <v>374</v>
      </c>
      <c r="G73" s="452" t="s">
        <v>375</v>
      </c>
      <c r="H73" s="455"/>
      <c r="I73" s="462">
        <v>37085.0</v>
      </c>
      <c r="J73" s="462">
        <v>45400.0</v>
      </c>
      <c r="K73" s="461"/>
      <c r="L73" s="453">
        <v>30.0</v>
      </c>
      <c r="M73" s="515">
        <v>45809.0</v>
      </c>
      <c r="N73" s="515">
        <v>45838.0</v>
      </c>
    </row>
    <row r="74">
      <c r="A74" s="452" t="s">
        <v>16</v>
      </c>
      <c r="B74" s="453">
        <v>4320.0</v>
      </c>
      <c r="C74" s="454"/>
      <c r="D74" s="453">
        <v>0.0</v>
      </c>
      <c r="E74" s="452" t="s">
        <v>349</v>
      </c>
      <c r="F74" s="452" t="s">
        <v>350</v>
      </c>
      <c r="G74" s="452" t="s">
        <v>351</v>
      </c>
      <c r="H74" s="455"/>
      <c r="I74" s="457">
        <v>37647.0</v>
      </c>
      <c r="J74" s="457">
        <v>45355.0</v>
      </c>
      <c r="K74" s="461"/>
      <c r="L74" s="453">
        <v>30.0</v>
      </c>
      <c r="M74" s="515">
        <v>45809.0</v>
      </c>
      <c r="N74" s="515">
        <v>45838.0</v>
      </c>
    </row>
    <row r="75">
      <c r="A75" s="452" t="s">
        <v>16</v>
      </c>
      <c r="B75" s="453">
        <v>4320.0</v>
      </c>
      <c r="C75" s="454"/>
      <c r="D75" s="453">
        <v>0.0</v>
      </c>
      <c r="E75" s="452" t="s">
        <v>352</v>
      </c>
      <c r="F75" s="452" t="s">
        <v>353</v>
      </c>
      <c r="G75" s="452" t="s">
        <v>354</v>
      </c>
      <c r="H75" s="455"/>
      <c r="I75" s="457">
        <v>36412.0</v>
      </c>
      <c r="J75" s="457">
        <v>45355.0</v>
      </c>
      <c r="K75" s="454"/>
      <c r="L75" s="453">
        <v>30.0</v>
      </c>
      <c r="M75" s="515">
        <v>45809.0</v>
      </c>
      <c r="N75" s="515">
        <v>45838.0</v>
      </c>
    </row>
    <row r="76">
      <c r="A76" s="452" t="s">
        <v>16</v>
      </c>
      <c r="B76" s="453">
        <v>4320.0</v>
      </c>
      <c r="C76" s="454"/>
      <c r="D76" s="453">
        <v>0.0</v>
      </c>
      <c r="E76" s="452" t="s">
        <v>705</v>
      </c>
      <c r="F76" s="452" t="s">
        <v>758</v>
      </c>
      <c r="G76" s="452" t="s">
        <v>707</v>
      </c>
      <c r="H76" s="455"/>
      <c r="I76" s="457">
        <v>36594.0</v>
      </c>
      <c r="J76" s="456">
        <v>45712.0</v>
      </c>
      <c r="K76" s="454"/>
      <c r="L76" s="453">
        <v>30.0</v>
      </c>
      <c r="M76" s="515">
        <v>45809.0</v>
      </c>
      <c r="N76" s="515">
        <v>45838.0</v>
      </c>
    </row>
    <row r="77">
      <c r="A77" s="452" t="s">
        <v>16</v>
      </c>
      <c r="B77" s="453">
        <v>4320.0</v>
      </c>
      <c r="C77" s="454"/>
      <c r="D77" s="453">
        <v>0.0</v>
      </c>
      <c r="E77" s="452" t="s">
        <v>273</v>
      </c>
      <c r="F77" s="452" t="s">
        <v>274</v>
      </c>
      <c r="G77" s="452" t="s">
        <v>275</v>
      </c>
      <c r="H77" s="455"/>
      <c r="I77" s="457">
        <v>34522.0</v>
      </c>
      <c r="J77" s="457">
        <v>45292.0</v>
      </c>
      <c r="K77" s="454"/>
      <c r="L77" s="453">
        <v>30.0</v>
      </c>
      <c r="M77" s="515">
        <v>45809.0</v>
      </c>
      <c r="N77" s="515">
        <v>45838.0</v>
      </c>
    </row>
    <row r="78">
      <c r="A78" s="452" t="s">
        <v>16</v>
      </c>
      <c r="B78" s="453">
        <v>4320.0</v>
      </c>
      <c r="C78" s="454"/>
      <c r="D78" s="453">
        <v>0.0</v>
      </c>
      <c r="E78" s="452" t="s">
        <v>708</v>
      </c>
      <c r="F78" s="452" t="s">
        <v>759</v>
      </c>
      <c r="G78" s="452" t="s">
        <v>710</v>
      </c>
      <c r="H78" s="455"/>
      <c r="I78" s="458">
        <v>37028.0</v>
      </c>
      <c r="J78" s="456">
        <v>45705.0</v>
      </c>
      <c r="K78" s="461"/>
      <c r="L78" s="453">
        <v>30.0</v>
      </c>
      <c r="M78" s="515">
        <v>45809.0</v>
      </c>
      <c r="N78" s="515">
        <v>45838.0</v>
      </c>
    </row>
    <row r="79">
      <c r="A79" s="452" t="s">
        <v>16</v>
      </c>
      <c r="B79" s="453">
        <v>4320.0</v>
      </c>
      <c r="C79" s="454"/>
      <c r="D79" s="453">
        <v>0.0</v>
      </c>
      <c r="E79" s="452" t="s">
        <v>470</v>
      </c>
      <c r="F79" s="452" t="s">
        <v>528</v>
      </c>
      <c r="G79" s="452" t="s">
        <v>472</v>
      </c>
      <c r="H79" s="455"/>
      <c r="I79" s="457">
        <v>37278.0</v>
      </c>
      <c r="J79" s="457">
        <v>45544.0</v>
      </c>
      <c r="K79" s="456">
        <v>45777.0</v>
      </c>
      <c r="L79" s="453">
        <v>0.0</v>
      </c>
      <c r="M79" s="515">
        <v>45809.0</v>
      </c>
      <c r="N79" s="515">
        <v>45838.0</v>
      </c>
    </row>
    <row r="80">
      <c r="A80" s="452" t="s">
        <v>16</v>
      </c>
      <c r="B80" s="453">
        <v>4320.0</v>
      </c>
      <c r="C80" s="454"/>
      <c r="D80" s="453">
        <v>0.0</v>
      </c>
      <c r="E80" s="452" t="s">
        <v>162</v>
      </c>
      <c r="F80" s="452" t="s">
        <v>163</v>
      </c>
      <c r="G80" s="452" t="s">
        <v>164</v>
      </c>
      <c r="H80" s="455"/>
      <c r="I80" s="462">
        <v>34732.0</v>
      </c>
      <c r="J80" s="457">
        <v>44986.0</v>
      </c>
      <c r="K80" s="461"/>
      <c r="L80" s="453">
        <v>30.0</v>
      </c>
      <c r="M80" s="515">
        <v>45809.0</v>
      </c>
      <c r="N80" s="515">
        <v>45838.0</v>
      </c>
    </row>
    <row r="81">
      <c r="A81" s="452" t="s">
        <v>16</v>
      </c>
      <c r="B81" s="453">
        <v>4320.0</v>
      </c>
      <c r="C81" s="454"/>
      <c r="D81" s="453">
        <v>0.0</v>
      </c>
      <c r="E81" s="452" t="s">
        <v>549</v>
      </c>
      <c r="F81" s="452" t="s">
        <v>550</v>
      </c>
      <c r="G81" s="452" t="s">
        <v>551</v>
      </c>
      <c r="H81" s="455"/>
      <c r="I81" s="457">
        <v>37636.0</v>
      </c>
      <c r="J81" s="457">
        <v>45663.0</v>
      </c>
      <c r="K81" s="454"/>
      <c r="L81" s="453">
        <v>30.0</v>
      </c>
      <c r="M81" s="515">
        <v>45809.0</v>
      </c>
      <c r="N81" s="515">
        <v>45838.0</v>
      </c>
    </row>
    <row r="82">
      <c r="A82" s="452" t="s">
        <v>16</v>
      </c>
      <c r="B82" s="453">
        <v>4320.0</v>
      </c>
      <c r="C82" s="454"/>
      <c r="D82" s="453">
        <v>0.0</v>
      </c>
      <c r="E82" s="452" t="s">
        <v>711</v>
      </c>
      <c r="F82" s="452" t="s">
        <v>760</v>
      </c>
      <c r="G82" s="452" t="s">
        <v>713</v>
      </c>
      <c r="H82" s="455"/>
      <c r="I82" s="456">
        <v>34694.0</v>
      </c>
      <c r="J82" s="456">
        <v>45712.0</v>
      </c>
      <c r="K82" s="461"/>
      <c r="L82" s="453">
        <v>30.0</v>
      </c>
      <c r="M82" s="515">
        <v>45809.0</v>
      </c>
      <c r="N82" s="515">
        <v>45838.0</v>
      </c>
    </row>
    <row r="83">
      <c r="A83" s="452" t="s">
        <v>16</v>
      </c>
      <c r="B83" s="453">
        <v>4320.0</v>
      </c>
      <c r="C83" s="454"/>
      <c r="D83" s="453">
        <v>0.0</v>
      </c>
      <c r="E83" s="452" t="s">
        <v>355</v>
      </c>
      <c r="F83" s="452" t="s">
        <v>356</v>
      </c>
      <c r="G83" s="452" t="s">
        <v>357</v>
      </c>
      <c r="H83" s="455"/>
      <c r="I83" s="456">
        <v>35395.0</v>
      </c>
      <c r="J83" s="456">
        <v>45376.0</v>
      </c>
      <c r="K83" s="461"/>
      <c r="L83" s="453">
        <v>30.0</v>
      </c>
      <c r="M83" s="515">
        <v>45809.0</v>
      </c>
      <c r="N83" s="515">
        <v>45838.0</v>
      </c>
    </row>
    <row r="84">
      <c r="A84" s="452" t="s">
        <v>16</v>
      </c>
      <c r="B84" s="453">
        <v>4320.0</v>
      </c>
      <c r="C84" s="454"/>
      <c r="D84" s="453">
        <v>0.0</v>
      </c>
      <c r="E84" s="452" t="s">
        <v>714</v>
      </c>
      <c r="F84" s="452" t="s">
        <v>761</v>
      </c>
      <c r="G84" s="452" t="s">
        <v>716</v>
      </c>
      <c r="H84" s="455"/>
      <c r="I84" s="456">
        <v>36514.0</v>
      </c>
      <c r="J84" s="456">
        <v>45698.0</v>
      </c>
      <c r="K84" s="454"/>
      <c r="L84" s="453">
        <v>30.0</v>
      </c>
      <c r="M84" s="515">
        <v>45809.0</v>
      </c>
      <c r="N84" s="515">
        <v>45838.0</v>
      </c>
    </row>
    <row r="85">
      <c r="A85" s="452" t="s">
        <v>16</v>
      </c>
      <c r="B85" s="453">
        <v>4320.0</v>
      </c>
      <c r="C85" s="454"/>
      <c r="D85" s="453">
        <v>0.0</v>
      </c>
      <c r="E85" s="452" t="s">
        <v>600</v>
      </c>
      <c r="F85" s="452" t="s">
        <v>601</v>
      </c>
      <c r="G85" s="452" t="s">
        <v>602</v>
      </c>
      <c r="H85" s="455"/>
      <c r="I85" s="457">
        <v>29741.0</v>
      </c>
      <c r="J85" s="457">
        <v>45658.0</v>
      </c>
      <c r="K85" s="513">
        <v>45823.0</v>
      </c>
      <c r="L85" s="514">
        <v>15.0</v>
      </c>
      <c r="M85" s="515">
        <v>45809.0</v>
      </c>
      <c r="N85" s="515">
        <v>45838.0</v>
      </c>
    </row>
    <row r="86">
      <c r="A86" s="452" t="s">
        <v>16</v>
      </c>
      <c r="B86" s="453">
        <v>4320.0</v>
      </c>
      <c r="C86" s="454"/>
      <c r="D86" s="453">
        <v>0.0</v>
      </c>
      <c r="E86" s="452" t="s">
        <v>431</v>
      </c>
      <c r="F86" s="452" t="s">
        <v>377</v>
      </c>
      <c r="G86" s="452" t="s">
        <v>378</v>
      </c>
      <c r="H86" s="455"/>
      <c r="I86" s="457">
        <v>36289.0</v>
      </c>
      <c r="J86" s="457">
        <v>45476.0</v>
      </c>
      <c r="K86" s="458">
        <v>45808.0</v>
      </c>
      <c r="L86" s="514">
        <v>0.0</v>
      </c>
      <c r="M86" s="515">
        <v>45809.0</v>
      </c>
      <c r="N86" s="515">
        <v>45838.0</v>
      </c>
    </row>
    <row r="87">
      <c r="A87" s="452" t="s">
        <v>16</v>
      </c>
      <c r="B87" s="453">
        <v>4320.0</v>
      </c>
      <c r="C87" s="454"/>
      <c r="D87" s="453">
        <v>0.0</v>
      </c>
      <c r="E87" s="452" t="s">
        <v>183</v>
      </c>
      <c r="F87" s="452" t="s">
        <v>184</v>
      </c>
      <c r="G87" s="452" t="s">
        <v>185</v>
      </c>
      <c r="H87" s="455"/>
      <c r="I87" s="456">
        <v>36979.0</v>
      </c>
      <c r="J87" s="456">
        <v>44907.0</v>
      </c>
      <c r="K87" s="461"/>
      <c r="L87" s="453">
        <v>30.0</v>
      </c>
      <c r="M87" s="515">
        <v>45809.0</v>
      </c>
      <c r="N87" s="515">
        <v>45838.0</v>
      </c>
    </row>
    <row r="88">
      <c r="A88" s="452" t="s">
        <v>16</v>
      </c>
      <c r="B88" s="453">
        <v>4320.0</v>
      </c>
      <c r="C88" s="454"/>
      <c r="D88" s="453">
        <v>0.0</v>
      </c>
      <c r="E88" s="452" t="s">
        <v>499</v>
      </c>
      <c r="F88" s="452" t="s">
        <v>540</v>
      </c>
      <c r="G88" s="452" t="s">
        <v>500</v>
      </c>
      <c r="H88" s="455"/>
      <c r="I88" s="456">
        <v>36144.0</v>
      </c>
      <c r="J88" s="457">
        <v>45628.0</v>
      </c>
      <c r="K88" s="456">
        <v>45777.0</v>
      </c>
      <c r="L88" s="453">
        <v>0.0</v>
      </c>
      <c r="M88" s="515">
        <v>45809.0</v>
      </c>
      <c r="N88" s="515">
        <v>45838.0</v>
      </c>
    </row>
    <row r="89">
      <c r="A89" s="452" t="s">
        <v>16</v>
      </c>
      <c r="B89" s="453">
        <v>4320.0</v>
      </c>
      <c r="C89" s="454"/>
      <c r="D89" s="453">
        <v>0.0</v>
      </c>
      <c r="E89" s="452" t="s">
        <v>301</v>
      </c>
      <c r="F89" s="452" t="s">
        <v>302</v>
      </c>
      <c r="G89" s="452" t="s">
        <v>303</v>
      </c>
      <c r="H89" s="455"/>
      <c r="I89" s="457">
        <v>36991.0</v>
      </c>
      <c r="J89" s="457">
        <v>45205.0</v>
      </c>
      <c r="K89" s="454"/>
      <c r="L89" s="453">
        <v>30.0</v>
      </c>
      <c r="M89" s="515">
        <v>45809.0</v>
      </c>
      <c r="N89" s="515">
        <v>45838.0</v>
      </c>
    </row>
    <row r="90">
      <c r="A90" s="452" t="s">
        <v>16</v>
      </c>
      <c r="B90" s="453">
        <v>4320.0</v>
      </c>
      <c r="C90" s="454"/>
      <c r="D90" s="453">
        <v>0.0</v>
      </c>
      <c r="E90" s="452" t="s">
        <v>432</v>
      </c>
      <c r="F90" s="452" t="s">
        <v>521</v>
      </c>
      <c r="G90" s="452" t="s">
        <v>433</v>
      </c>
      <c r="H90" s="455"/>
      <c r="I90" s="457">
        <v>34504.0</v>
      </c>
      <c r="J90" s="457">
        <v>45481.0</v>
      </c>
      <c r="K90" s="454"/>
      <c r="L90" s="453">
        <v>30.0</v>
      </c>
      <c r="M90" s="515">
        <v>45809.0</v>
      </c>
      <c r="N90" s="515">
        <v>45838.0</v>
      </c>
    </row>
    <row r="91">
      <c r="A91" s="452" t="s">
        <v>16</v>
      </c>
      <c r="B91" s="453">
        <v>4320.0</v>
      </c>
      <c r="C91" s="454"/>
      <c r="D91" s="453">
        <v>0.0</v>
      </c>
      <c r="E91" s="452" t="s">
        <v>434</v>
      </c>
      <c r="F91" s="452" t="s">
        <v>522</v>
      </c>
      <c r="G91" s="452" t="s">
        <v>435</v>
      </c>
      <c r="H91" s="455"/>
      <c r="I91" s="457">
        <v>37446.0</v>
      </c>
      <c r="J91" s="457">
        <v>45495.0</v>
      </c>
      <c r="K91" s="454"/>
      <c r="L91" s="453">
        <v>30.0</v>
      </c>
      <c r="M91" s="515">
        <v>45809.0</v>
      </c>
      <c r="N91" s="515">
        <v>45838.0</v>
      </c>
    </row>
    <row r="92">
      <c r="A92" s="452" t="s">
        <v>16</v>
      </c>
      <c r="B92" s="453">
        <v>4320.0</v>
      </c>
      <c r="C92" s="454"/>
      <c r="D92" s="453">
        <v>0.0</v>
      </c>
      <c r="E92" s="452" t="s">
        <v>460</v>
      </c>
      <c r="F92" s="452" t="s">
        <v>523</v>
      </c>
      <c r="G92" s="452" t="s">
        <v>461</v>
      </c>
      <c r="H92" s="455"/>
      <c r="I92" s="456">
        <v>36856.0</v>
      </c>
      <c r="J92" s="457">
        <v>45505.0</v>
      </c>
      <c r="K92" s="461"/>
      <c r="L92" s="453">
        <v>30.0</v>
      </c>
      <c r="M92" s="515">
        <v>45809.0</v>
      </c>
      <c r="N92" s="515">
        <v>45838.0</v>
      </c>
    </row>
    <row r="93">
      <c r="A93" s="452" t="s">
        <v>16</v>
      </c>
      <c r="B93" s="453">
        <v>4320.0</v>
      </c>
      <c r="C93" s="454"/>
      <c r="D93" s="453">
        <v>0.0</v>
      </c>
      <c r="E93" s="452" t="s">
        <v>462</v>
      </c>
      <c r="F93" s="452" t="s">
        <v>526</v>
      </c>
      <c r="G93" s="452" t="s">
        <v>463</v>
      </c>
      <c r="H93" s="455"/>
      <c r="I93" s="456">
        <v>34588.0</v>
      </c>
      <c r="J93" s="456">
        <v>45530.0</v>
      </c>
      <c r="K93" s="461"/>
      <c r="L93" s="453">
        <v>30.0</v>
      </c>
      <c r="M93" s="515">
        <v>45809.0</v>
      </c>
      <c r="N93" s="515">
        <v>45838.0</v>
      </c>
    </row>
    <row r="94">
      <c r="A94" s="452" t="s">
        <v>16</v>
      </c>
      <c r="B94" s="453">
        <v>4320.0</v>
      </c>
      <c r="C94" s="454"/>
      <c r="D94" s="453">
        <v>0.0</v>
      </c>
      <c r="E94" s="452" t="s">
        <v>423</v>
      </c>
      <c r="F94" s="452" t="s">
        <v>524</v>
      </c>
      <c r="G94" s="452" t="s">
        <v>424</v>
      </c>
      <c r="H94" s="455"/>
      <c r="I94" s="457">
        <v>37818.0</v>
      </c>
      <c r="J94" s="457">
        <v>45467.0</v>
      </c>
      <c r="K94" s="461"/>
      <c r="L94" s="453">
        <v>30.0</v>
      </c>
      <c r="M94" s="515">
        <v>45809.0</v>
      </c>
      <c r="N94" s="515">
        <v>45838.0</v>
      </c>
    </row>
    <row r="95">
      <c r="A95" s="452" t="s">
        <v>16</v>
      </c>
      <c r="B95" s="453">
        <v>4320.0</v>
      </c>
      <c r="C95" s="454"/>
      <c r="D95" s="453">
        <v>0.0</v>
      </c>
      <c r="E95" s="452" t="s">
        <v>717</v>
      </c>
      <c r="F95" s="452" t="s">
        <v>718</v>
      </c>
      <c r="G95" s="452" t="s">
        <v>719</v>
      </c>
      <c r="H95" s="455"/>
      <c r="I95" s="456">
        <v>36505.0</v>
      </c>
      <c r="J95" s="456">
        <v>45712.0</v>
      </c>
      <c r="K95" s="454"/>
      <c r="L95" s="453">
        <v>30.0</v>
      </c>
      <c r="M95" s="515">
        <v>45809.0</v>
      </c>
      <c r="N95" s="515">
        <v>45838.0</v>
      </c>
    </row>
    <row r="96">
      <c r="A96" s="452" t="s">
        <v>16</v>
      </c>
      <c r="B96" s="453">
        <v>4320.0</v>
      </c>
      <c r="C96" s="454"/>
      <c r="D96" s="453">
        <v>0.0</v>
      </c>
      <c r="E96" s="452" t="s">
        <v>588</v>
      </c>
      <c r="F96" s="463" t="s">
        <v>589</v>
      </c>
      <c r="G96" s="452" t="s">
        <v>590</v>
      </c>
      <c r="H96" s="455"/>
      <c r="I96" s="457">
        <v>34190.0</v>
      </c>
      <c r="J96" s="457">
        <v>45684.0</v>
      </c>
      <c r="K96" s="513">
        <v>45812.0</v>
      </c>
      <c r="L96" s="514">
        <v>4.0</v>
      </c>
      <c r="M96" s="515">
        <v>45809.0</v>
      </c>
      <c r="N96" s="515">
        <v>45838.0</v>
      </c>
    </row>
    <row r="97">
      <c r="A97" s="452" t="s">
        <v>16</v>
      </c>
      <c r="B97" s="453">
        <v>4320.0</v>
      </c>
      <c r="C97" s="454"/>
      <c r="D97" s="453">
        <v>0.0</v>
      </c>
      <c r="E97" s="452" t="s">
        <v>427</v>
      </c>
      <c r="F97" s="452" t="s">
        <v>525</v>
      </c>
      <c r="G97" s="452" t="s">
        <v>428</v>
      </c>
      <c r="H97" s="455"/>
      <c r="I97" s="456">
        <v>36451.0</v>
      </c>
      <c r="J97" s="457">
        <v>45453.0</v>
      </c>
      <c r="K97" s="454"/>
      <c r="L97" s="453">
        <v>30.0</v>
      </c>
      <c r="M97" s="515">
        <v>45809.0</v>
      </c>
      <c r="N97" s="515">
        <v>45838.0</v>
      </c>
    </row>
    <row r="98">
      <c r="A98" s="452" t="s">
        <v>16</v>
      </c>
      <c r="B98" s="453">
        <v>4320.0</v>
      </c>
      <c r="C98" s="454"/>
      <c r="D98" s="453">
        <v>0.0</v>
      </c>
      <c r="E98" s="452" t="s">
        <v>493</v>
      </c>
      <c r="F98" s="452" t="s">
        <v>532</v>
      </c>
      <c r="G98" s="452" t="s">
        <v>494</v>
      </c>
      <c r="H98" s="455"/>
      <c r="I98" s="456">
        <v>36208.0</v>
      </c>
      <c r="J98" s="457">
        <v>45602.0</v>
      </c>
      <c r="K98" s="454"/>
      <c r="L98" s="453">
        <v>30.0</v>
      </c>
      <c r="M98" s="515">
        <v>45809.0</v>
      </c>
      <c r="N98" s="515">
        <v>45838.0</v>
      </c>
    </row>
    <row r="99">
      <c r="A99" s="452" t="s">
        <v>16</v>
      </c>
      <c r="B99" s="453">
        <v>4320.0</v>
      </c>
      <c r="C99" s="454"/>
      <c r="D99" s="453">
        <v>0.0</v>
      </c>
      <c r="E99" s="452" t="s">
        <v>747</v>
      </c>
      <c r="F99" s="452" t="s">
        <v>748</v>
      </c>
      <c r="G99" s="452" t="s">
        <v>749</v>
      </c>
      <c r="H99" s="455"/>
      <c r="I99" s="456">
        <v>37314.0</v>
      </c>
      <c r="J99" s="456">
        <v>45733.0</v>
      </c>
      <c r="K99" s="454"/>
      <c r="L99" s="453">
        <v>30.0</v>
      </c>
      <c r="M99" s="515">
        <v>45809.0</v>
      </c>
      <c r="N99" s="515">
        <v>45838.0</v>
      </c>
    </row>
    <row r="100">
      <c r="A100" s="452" t="s">
        <v>16</v>
      </c>
      <c r="B100" s="453">
        <v>4320.0</v>
      </c>
      <c r="C100" s="454"/>
      <c r="D100" s="453">
        <v>0.0</v>
      </c>
      <c r="E100" s="452" t="s">
        <v>585</v>
      </c>
      <c r="F100" s="463" t="s">
        <v>586</v>
      </c>
      <c r="G100" s="452" t="s">
        <v>587</v>
      </c>
      <c r="H100" s="455"/>
      <c r="I100" s="457">
        <v>35827.0</v>
      </c>
      <c r="J100" s="457">
        <v>45684.0</v>
      </c>
      <c r="K100" s="454"/>
      <c r="L100" s="453">
        <v>30.0</v>
      </c>
      <c r="M100" s="515">
        <v>45809.0</v>
      </c>
      <c r="N100" s="515">
        <v>45838.0</v>
      </c>
    </row>
    <row r="101">
      <c r="A101" s="452" t="s">
        <v>16</v>
      </c>
      <c r="B101" s="453">
        <v>4320.0</v>
      </c>
      <c r="C101" s="454"/>
      <c r="D101" s="453">
        <v>0.0</v>
      </c>
      <c r="E101" s="452" t="s">
        <v>225</v>
      </c>
      <c r="F101" s="452" t="s">
        <v>226</v>
      </c>
      <c r="G101" s="452" t="s">
        <v>227</v>
      </c>
      <c r="H101" s="455"/>
      <c r="I101" s="457">
        <v>36177.0</v>
      </c>
      <c r="J101" s="457">
        <v>45320.0</v>
      </c>
      <c r="K101" s="513">
        <v>45826.0</v>
      </c>
      <c r="L101" s="514">
        <v>18.0</v>
      </c>
      <c r="M101" s="515">
        <v>45809.0</v>
      </c>
      <c r="N101" s="515">
        <v>45838.0</v>
      </c>
    </row>
    <row r="102">
      <c r="A102" s="452" t="s">
        <v>16</v>
      </c>
      <c r="B102" s="453">
        <v>4320.0</v>
      </c>
      <c r="C102" s="454"/>
      <c r="D102" s="453">
        <v>0.0</v>
      </c>
      <c r="E102" s="452" t="s">
        <v>730</v>
      </c>
      <c r="F102" s="452" t="s">
        <v>731</v>
      </c>
      <c r="G102" s="452" t="s">
        <v>732</v>
      </c>
      <c r="H102" s="455"/>
      <c r="I102" s="456">
        <v>38263.0</v>
      </c>
      <c r="J102" s="456">
        <v>45355.0</v>
      </c>
      <c r="K102" s="454"/>
      <c r="L102" s="453">
        <v>30.0</v>
      </c>
      <c r="M102" s="515">
        <v>45809.0</v>
      </c>
      <c r="N102" s="515">
        <v>45838.0</v>
      </c>
    </row>
    <row r="103">
      <c r="A103" s="452" t="s">
        <v>16</v>
      </c>
      <c r="B103" s="453">
        <v>4320.0</v>
      </c>
      <c r="C103" s="454"/>
      <c r="D103" s="453">
        <v>0.0</v>
      </c>
      <c r="E103" s="452" t="s">
        <v>791</v>
      </c>
      <c r="F103" s="452" t="s">
        <v>821</v>
      </c>
      <c r="G103" s="452" t="s">
        <v>793</v>
      </c>
      <c r="H103" s="455"/>
      <c r="I103" s="456">
        <v>36197.0</v>
      </c>
      <c r="J103" s="458">
        <v>45782.0</v>
      </c>
      <c r="K103" s="454"/>
      <c r="L103" s="514">
        <v>30.0</v>
      </c>
      <c r="M103" s="515">
        <v>45809.0</v>
      </c>
      <c r="N103" s="515">
        <v>45838.0</v>
      </c>
    </row>
    <row r="104">
      <c r="A104" s="452" t="s">
        <v>16</v>
      </c>
      <c r="B104" s="453">
        <v>4320.0</v>
      </c>
      <c r="C104" s="454"/>
      <c r="D104" s="453">
        <v>0.0</v>
      </c>
      <c r="E104" s="452" t="s">
        <v>582</v>
      </c>
      <c r="F104" s="452" t="s">
        <v>583</v>
      </c>
      <c r="G104" s="452" t="s">
        <v>584</v>
      </c>
      <c r="H104" s="455"/>
      <c r="I104" s="456">
        <v>37880.0</v>
      </c>
      <c r="J104" s="457">
        <v>45677.0</v>
      </c>
      <c r="K104" s="458">
        <v>45800.0</v>
      </c>
      <c r="L104" s="514">
        <v>0.0</v>
      </c>
      <c r="M104" s="515">
        <v>45809.0</v>
      </c>
      <c r="N104" s="515">
        <v>45838.0</v>
      </c>
    </row>
    <row r="105">
      <c r="A105" s="452" t="s">
        <v>16</v>
      </c>
      <c r="B105" s="453">
        <v>4320.0</v>
      </c>
      <c r="C105" s="454"/>
      <c r="D105" s="453">
        <v>0.0</v>
      </c>
      <c r="E105" s="452" t="s">
        <v>785</v>
      </c>
      <c r="F105" s="452" t="s">
        <v>822</v>
      </c>
      <c r="G105" s="452" t="s">
        <v>787</v>
      </c>
      <c r="H105" s="455"/>
      <c r="I105" s="456">
        <v>38089.0</v>
      </c>
      <c r="J105" s="458">
        <v>45789.0</v>
      </c>
      <c r="K105" s="454"/>
      <c r="L105" s="514">
        <v>30.0</v>
      </c>
      <c r="M105" s="515">
        <v>45809.0</v>
      </c>
      <c r="N105" s="515">
        <v>45838.0</v>
      </c>
    </row>
    <row r="106">
      <c r="A106" s="452" t="s">
        <v>16</v>
      </c>
      <c r="B106" s="453">
        <v>4320.0</v>
      </c>
      <c r="C106" s="454"/>
      <c r="D106" s="453">
        <v>0.0</v>
      </c>
      <c r="E106" s="452" t="s">
        <v>788</v>
      </c>
      <c r="F106" s="452" t="s">
        <v>823</v>
      </c>
      <c r="G106" s="452" t="s">
        <v>790</v>
      </c>
      <c r="H106" s="455"/>
      <c r="I106" s="456">
        <v>36459.0</v>
      </c>
      <c r="J106" s="458">
        <v>45789.0</v>
      </c>
      <c r="K106" s="454"/>
      <c r="L106" s="514">
        <v>30.0</v>
      </c>
      <c r="M106" s="515">
        <v>45809.0</v>
      </c>
      <c r="N106" s="515">
        <v>45838.0</v>
      </c>
    </row>
    <row r="107">
      <c r="A107" s="452" t="s">
        <v>16</v>
      </c>
      <c r="B107" s="453">
        <v>4320.0</v>
      </c>
      <c r="C107" s="454"/>
      <c r="D107" s="453">
        <v>0.0</v>
      </c>
      <c r="E107" s="452" t="s">
        <v>797</v>
      </c>
      <c r="F107" s="452" t="s">
        <v>798</v>
      </c>
      <c r="G107" s="452" t="s">
        <v>799</v>
      </c>
      <c r="H107" s="455"/>
      <c r="I107" s="456">
        <v>37709.0</v>
      </c>
      <c r="J107" s="458">
        <v>45789.0</v>
      </c>
      <c r="K107" s="454"/>
      <c r="L107" s="514">
        <v>30.0</v>
      </c>
      <c r="M107" s="515">
        <v>45809.0</v>
      </c>
      <c r="N107" s="515">
        <v>45838.0</v>
      </c>
    </row>
    <row r="108">
      <c r="A108" s="452" t="s">
        <v>16</v>
      </c>
      <c r="B108" s="453">
        <v>4320.0</v>
      </c>
      <c r="C108" s="454"/>
      <c r="D108" s="453">
        <v>0.0</v>
      </c>
      <c r="E108" s="452" t="s">
        <v>800</v>
      </c>
      <c r="F108" s="452" t="s">
        <v>824</v>
      </c>
      <c r="G108" s="452" t="s">
        <v>802</v>
      </c>
      <c r="H108" s="455"/>
      <c r="I108" s="456">
        <v>36939.0</v>
      </c>
      <c r="J108" s="458">
        <v>45789.0</v>
      </c>
      <c r="K108" s="454"/>
      <c r="L108" s="514">
        <v>30.0</v>
      </c>
      <c r="M108" s="515">
        <v>45809.0</v>
      </c>
      <c r="N108" s="515">
        <v>45838.0</v>
      </c>
    </row>
    <row r="109">
      <c r="A109" s="452" t="s">
        <v>16</v>
      </c>
      <c r="B109" s="453">
        <v>4320.0</v>
      </c>
      <c r="C109" s="455"/>
      <c r="D109" s="453">
        <v>0.0</v>
      </c>
      <c r="E109" s="452" t="s">
        <v>764</v>
      </c>
      <c r="F109" s="452" t="s">
        <v>765</v>
      </c>
      <c r="G109" s="452" t="s">
        <v>766</v>
      </c>
      <c r="H109" s="455"/>
      <c r="I109" s="456">
        <v>36087.0</v>
      </c>
      <c r="J109" s="456">
        <v>45761.0</v>
      </c>
      <c r="K109" s="454"/>
      <c r="L109" s="453">
        <v>30.0</v>
      </c>
      <c r="M109" s="515">
        <v>45809.0</v>
      </c>
      <c r="N109" s="515">
        <v>45838.0</v>
      </c>
    </row>
    <row r="110">
      <c r="A110" s="452" t="s">
        <v>16</v>
      </c>
      <c r="B110" s="453">
        <v>4320.0</v>
      </c>
      <c r="C110" s="454"/>
      <c r="D110" s="453">
        <v>0.0</v>
      </c>
      <c r="E110" s="452" t="s">
        <v>803</v>
      </c>
      <c r="F110" s="452" t="s">
        <v>804</v>
      </c>
      <c r="G110" s="452" t="s">
        <v>805</v>
      </c>
      <c r="H110" s="455"/>
      <c r="I110" s="456">
        <v>37817.0</v>
      </c>
      <c r="J110" s="458">
        <v>45796.0</v>
      </c>
      <c r="K110" s="454"/>
      <c r="L110" s="514">
        <v>30.0</v>
      </c>
      <c r="M110" s="515">
        <v>45809.0</v>
      </c>
      <c r="N110" s="515">
        <v>45838.0</v>
      </c>
    </row>
    <row r="111">
      <c r="A111" s="452" t="s">
        <v>16</v>
      </c>
      <c r="B111" s="453">
        <v>4320.0</v>
      </c>
      <c r="C111" s="454"/>
      <c r="D111" s="453">
        <v>0.0</v>
      </c>
      <c r="E111" s="452" t="s">
        <v>806</v>
      </c>
      <c r="F111" s="452" t="s">
        <v>825</v>
      </c>
      <c r="G111" s="452" t="s">
        <v>808</v>
      </c>
      <c r="H111" s="455"/>
      <c r="I111" s="456">
        <v>36061.0</v>
      </c>
      <c r="J111" s="458">
        <v>45796.0</v>
      </c>
      <c r="K111" s="454"/>
      <c r="L111" s="514">
        <v>30.0</v>
      </c>
      <c r="M111" s="515">
        <v>45809.0</v>
      </c>
      <c r="N111" s="515">
        <v>45838.0</v>
      </c>
    </row>
    <row r="112">
      <c r="A112" s="452" t="s">
        <v>16</v>
      </c>
      <c r="B112" s="453">
        <v>4320.0</v>
      </c>
      <c r="C112" s="459"/>
      <c r="D112" s="453">
        <v>0.0</v>
      </c>
      <c r="E112" s="452" t="s">
        <v>485</v>
      </c>
      <c r="F112" s="452" t="s">
        <v>535</v>
      </c>
      <c r="G112" s="452" t="s">
        <v>486</v>
      </c>
      <c r="H112" s="455"/>
      <c r="I112" s="457">
        <v>36994.0</v>
      </c>
      <c r="J112" s="457">
        <v>45602.0</v>
      </c>
      <c r="K112" s="456">
        <v>45786.0</v>
      </c>
      <c r="L112" s="514">
        <v>0.0</v>
      </c>
      <c r="M112" s="515">
        <v>45809.0</v>
      </c>
      <c r="N112" s="515">
        <v>45838.0</v>
      </c>
    </row>
    <row r="113">
      <c r="A113" s="452" t="s">
        <v>16</v>
      </c>
      <c r="B113" s="453">
        <v>4320.0</v>
      </c>
      <c r="C113" s="459"/>
      <c r="D113" s="453">
        <v>0.0</v>
      </c>
      <c r="E113" s="452" t="s">
        <v>741</v>
      </c>
      <c r="F113" s="452" t="s">
        <v>742</v>
      </c>
      <c r="G113" s="452" t="s">
        <v>743</v>
      </c>
      <c r="H113" s="455"/>
      <c r="I113" s="456">
        <v>37329.0</v>
      </c>
      <c r="J113" s="457">
        <v>45719.0</v>
      </c>
      <c r="K113" s="458">
        <v>45786.0</v>
      </c>
      <c r="L113" s="514">
        <v>0.0</v>
      </c>
      <c r="M113" s="515">
        <v>45809.0</v>
      </c>
      <c r="N113" s="515">
        <v>45838.0</v>
      </c>
    </row>
    <row r="114">
      <c r="A114" s="452" t="s">
        <v>16</v>
      </c>
      <c r="B114" s="453">
        <v>4320.0</v>
      </c>
      <c r="C114" s="459"/>
      <c r="D114" s="453">
        <v>0.0</v>
      </c>
      <c r="E114" s="452" t="s">
        <v>567</v>
      </c>
      <c r="F114" s="452" t="s">
        <v>568</v>
      </c>
      <c r="G114" s="452" t="s">
        <v>569</v>
      </c>
      <c r="H114" s="455"/>
      <c r="I114" s="457">
        <v>37962.0</v>
      </c>
      <c r="J114" s="457">
        <v>45677.0</v>
      </c>
      <c r="K114" s="456">
        <v>45779.0</v>
      </c>
      <c r="L114" s="514">
        <v>0.0</v>
      </c>
      <c r="M114" s="515">
        <v>45809.0</v>
      </c>
      <c r="N114" s="515">
        <v>45838.0</v>
      </c>
    </row>
    <row r="115">
      <c r="A115" s="452" t="s">
        <v>16</v>
      </c>
      <c r="B115" s="453">
        <v>4320.0</v>
      </c>
      <c r="C115" s="459"/>
      <c r="D115" s="453">
        <v>0.0</v>
      </c>
      <c r="E115" s="452" t="s">
        <v>261</v>
      </c>
      <c r="F115" s="452" t="s">
        <v>262</v>
      </c>
      <c r="G115" s="452" t="s">
        <v>263</v>
      </c>
      <c r="H115" s="455"/>
      <c r="I115" s="457">
        <v>36529.0</v>
      </c>
      <c r="J115" s="457">
        <v>45505.0</v>
      </c>
      <c r="K115" s="457">
        <v>45604.0</v>
      </c>
      <c r="L115" s="514">
        <v>0.0</v>
      </c>
      <c r="M115" s="515">
        <v>45809.0</v>
      </c>
      <c r="N115" s="515">
        <v>45838.0</v>
      </c>
    </row>
    <row r="116">
      <c r="A116" s="452" t="s">
        <v>16</v>
      </c>
      <c r="B116" s="453">
        <v>4320.0</v>
      </c>
      <c r="C116" s="459"/>
      <c r="D116" s="453">
        <v>0.0</v>
      </c>
      <c r="E116" s="452" t="s">
        <v>310</v>
      </c>
      <c r="F116" s="452" t="s">
        <v>311</v>
      </c>
      <c r="G116" s="452" t="s">
        <v>312</v>
      </c>
      <c r="H116" s="455"/>
      <c r="I116" s="456">
        <v>36529.0</v>
      </c>
      <c r="J116" s="456">
        <v>45362.0</v>
      </c>
      <c r="K116" s="458">
        <v>45443.0</v>
      </c>
      <c r="L116" s="453">
        <v>0.0</v>
      </c>
      <c r="M116" s="515">
        <v>45809.0</v>
      </c>
      <c r="N116" s="515">
        <v>45838.0</v>
      </c>
    </row>
    <row r="117">
      <c r="A117" s="452" t="s">
        <v>16</v>
      </c>
      <c r="B117" s="453">
        <v>4320.0</v>
      </c>
      <c r="C117" s="459"/>
      <c r="D117" s="453">
        <v>0.0</v>
      </c>
      <c r="E117" s="452" t="s">
        <v>437</v>
      </c>
      <c r="F117" s="452" t="s">
        <v>22</v>
      </c>
      <c r="G117" s="452" t="s">
        <v>23</v>
      </c>
      <c r="H117" s="455"/>
      <c r="I117" s="457">
        <v>36358.0</v>
      </c>
      <c r="J117" s="462">
        <v>45027.0</v>
      </c>
      <c r="K117" s="456">
        <v>45603.0</v>
      </c>
      <c r="L117" s="453">
        <v>0.0</v>
      </c>
      <c r="M117" s="515">
        <v>45809.0</v>
      </c>
      <c r="N117" s="515">
        <v>45838.0</v>
      </c>
    </row>
    <row r="118">
      <c r="A118" s="452" t="s">
        <v>16</v>
      </c>
      <c r="B118" s="453">
        <v>4320.0</v>
      </c>
      <c r="C118" s="459"/>
      <c r="D118" s="453">
        <v>0.0</v>
      </c>
      <c r="E118" s="452" t="s">
        <v>561</v>
      </c>
      <c r="F118" s="452" t="s">
        <v>562</v>
      </c>
      <c r="G118" s="452" t="s">
        <v>563</v>
      </c>
      <c r="H118" s="455"/>
      <c r="I118" s="456">
        <v>36879.0</v>
      </c>
      <c r="J118" s="457">
        <v>45670.0</v>
      </c>
      <c r="K118" s="457">
        <v>45762.0</v>
      </c>
      <c r="L118" s="453">
        <v>0.0</v>
      </c>
      <c r="M118" s="515">
        <v>45809.0</v>
      </c>
      <c r="N118" s="515">
        <v>45838.0</v>
      </c>
    </row>
    <row r="119">
      <c r="A119" s="452" t="s">
        <v>16</v>
      </c>
      <c r="B119" s="453">
        <v>4320.0</v>
      </c>
      <c r="C119" s="459"/>
      <c r="D119" s="453">
        <v>0.0</v>
      </c>
      <c r="E119" s="452" t="s">
        <v>605</v>
      </c>
      <c r="F119" s="452" t="s">
        <v>25</v>
      </c>
      <c r="G119" s="452" t="s">
        <v>26</v>
      </c>
      <c r="H119" s="455"/>
      <c r="I119" s="456">
        <v>36860.0</v>
      </c>
      <c r="J119" s="457">
        <v>45124.0</v>
      </c>
      <c r="K119" s="456">
        <v>45527.0</v>
      </c>
      <c r="L119" s="453">
        <v>0.0</v>
      </c>
      <c r="M119" s="515">
        <v>45809.0</v>
      </c>
      <c r="N119" s="515">
        <v>45838.0</v>
      </c>
    </row>
    <row r="120">
      <c r="A120" s="452" t="s">
        <v>16</v>
      </c>
      <c r="B120" s="453">
        <v>4320.0</v>
      </c>
      <c r="C120" s="459"/>
      <c r="D120" s="453">
        <v>0.0</v>
      </c>
      <c r="E120" s="452" t="s">
        <v>313</v>
      </c>
      <c r="F120" s="452" t="s">
        <v>314</v>
      </c>
      <c r="G120" s="452" t="s">
        <v>315</v>
      </c>
      <c r="H120" s="455"/>
      <c r="I120" s="457">
        <v>35619.0</v>
      </c>
      <c r="J120" s="456">
        <v>45369.0</v>
      </c>
      <c r="K120" s="456">
        <v>45399.0</v>
      </c>
      <c r="L120" s="453">
        <v>0.0</v>
      </c>
      <c r="M120" s="515">
        <v>45809.0</v>
      </c>
      <c r="N120" s="515">
        <v>45838.0</v>
      </c>
    </row>
    <row r="121">
      <c r="A121" s="452" t="s">
        <v>16</v>
      </c>
      <c r="B121" s="453">
        <v>4320.0</v>
      </c>
      <c r="C121" s="459"/>
      <c r="D121" s="453">
        <v>0.0</v>
      </c>
      <c r="E121" s="452" t="s">
        <v>609</v>
      </c>
      <c r="F121" s="452" t="s">
        <v>31</v>
      </c>
      <c r="G121" s="452" t="s">
        <v>32</v>
      </c>
      <c r="H121" s="455"/>
      <c r="I121" s="457">
        <v>35997.0</v>
      </c>
      <c r="J121" s="458">
        <v>45061.0</v>
      </c>
      <c r="K121" s="457">
        <v>45569.0</v>
      </c>
      <c r="L121" s="453">
        <v>0.0</v>
      </c>
      <c r="M121" s="515">
        <v>45809.0</v>
      </c>
      <c r="N121" s="515">
        <v>45838.0</v>
      </c>
    </row>
    <row r="122">
      <c r="A122" s="452" t="s">
        <v>16</v>
      </c>
      <c r="B122" s="453">
        <v>4320.0</v>
      </c>
      <c r="C122" s="459"/>
      <c r="D122" s="453">
        <v>0.0</v>
      </c>
      <c r="E122" s="452" t="s">
        <v>380</v>
      </c>
      <c r="F122" s="452" t="s">
        <v>381</v>
      </c>
      <c r="G122" s="452" t="s">
        <v>382</v>
      </c>
      <c r="H122" s="455"/>
      <c r="I122" s="456">
        <v>35669.0</v>
      </c>
      <c r="J122" s="457">
        <v>45418.0</v>
      </c>
      <c r="K122" s="456">
        <v>45481.0</v>
      </c>
      <c r="L122" s="453">
        <v>0.0</v>
      </c>
      <c r="M122" s="515">
        <v>45809.0</v>
      </c>
      <c r="N122" s="515">
        <v>45838.0</v>
      </c>
    </row>
    <row r="123">
      <c r="A123" s="452" t="s">
        <v>16</v>
      </c>
      <c r="B123" s="453">
        <v>4320.0</v>
      </c>
      <c r="C123" s="459"/>
      <c r="D123" s="453">
        <v>0.0</v>
      </c>
      <c r="E123" s="452" t="s">
        <v>610</v>
      </c>
      <c r="F123" s="452" t="s">
        <v>611</v>
      </c>
      <c r="G123" s="452" t="s">
        <v>612</v>
      </c>
      <c r="H123" s="455"/>
      <c r="I123" s="462">
        <v>35400.0</v>
      </c>
      <c r="J123" s="458">
        <v>45061.0</v>
      </c>
      <c r="K123" s="457">
        <v>45503.0</v>
      </c>
      <c r="L123" s="453">
        <v>0.0</v>
      </c>
      <c r="M123" s="515">
        <v>45809.0</v>
      </c>
      <c r="N123" s="515">
        <v>45838.0</v>
      </c>
    </row>
    <row r="124">
      <c r="A124" s="452" t="s">
        <v>16</v>
      </c>
      <c r="B124" s="453">
        <v>4320.0</v>
      </c>
      <c r="C124" s="459"/>
      <c r="D124" s="453">
        <v>0.0</v>
      </c>
      <c r="E124" s="452" t="s">
        <v>613</v>
      </c>
      <c r="F124" s="452" t="s">
        <v>34</v>
      </c>
      <c r="G124" s="452" t="s">
        <v>35</v>
      </c>
      <c r="H124" s="455"/>
      <c r="I124" s="456">
        <v>35053.0</v>
      </c>
      <c r="J124" s="457">
        <v>45173.0</v>
      </c>
      <c r="K124" s="457">
        <v>45322.0</v>
      </c>
      <c r="L124" s="453">
        <v>0.0</v>
      </c>
      <c r="M124" s="515">
        <v>45809.0</v>
      </c>
      <c r="N124" s="515">
        <v>45838.0</v>
      </c>
    </row>
    <row r="125">
      <c r="A125" s="452" t="s">
        <v>16</v>
      </c>
      <c r="B125" s="453">
        <v>4320.0</v>
      </c>
      <c r="C125" s="459"/>
      <c r="D125" s="453">
        <v>0.0</v>
      </c>
      <c r="E125" s="452" t="s">
        <v>552</v>
      </c>
      <c r="F125" s="452" t="s">
        <v>553</v>
      </c>
      <c r="G125" s="452" t="s">
        <v>554</v>
      </c>
      <c r="H125" s="455"/>
      <c r="I125" s="457">
        <v>36904.0</v>
      </c>
      <c r="J125" s="457">
        <v>45663.0</v>
      </c>
      <c r="K125" s="456">
        <v>45412.0</v>
      </c>
      <c r="L125" s="453">
        <v>0.0</v>
      </c>
      <c r="M125" s="515">
        <v>45809.0</v>
      </c>
      <c r="N125" s="515">
        <v>45838.0</v>
      </c>
    </row>
    <row r="126">
      <c r="A126" s="452" t="s">
        <v>16</v>
      </c>
      <c r="B126" s="453">
        <v>4320.0</v>
      </c>
      <c r="C126" s="459"/>
      <c r="D126" s="453">
        <v>0.0</v>
      </c>
      <c r="E126" s="452" t="s">
        <v>614</v>
      </c>
      <c r="F126" s="452" t="s">
        <v>232</v>
      </c>
      <c r="G126" s="452" t="s">
        <v>233</v>
      </c>
      <c r="H126" s="455"/>
      <c r="I126" s="457">
        <v>36634.0</v>
      </c>
      <c r="J126" s="456">
        <v>45250.0</v>
      </c>
      <c r="K126" s="458">
        <v>45428.0</v>
      </c>
      <c r="L126" s="453">
        <v>0.0</v>
      </c>
      <c r="M126" s="515">
        <v>45809.0</v>
      </c>
      <c r="N126" s="515">
        <v>45838.0</v>
      </c>
    </row>
    <row r="127">
      <c r="A127" s="452" t="s">
        <v>16</v>
      </c>
      <c r="B127" s="453">
        <v>4320.0</v>
      </c>
      <c r="C127" s="459"/>
      <c r="D127" s="453">
        <v>0.0</v>
      </c>
      <c r="E127" s="452" t="s">
        <v>36</v>
      </c>
      <c r="F127" s="452" t="s">
        <v>37</v>
      </c>
      <c r="G127" s="452" t="s">
        <v>38</v>
      </c>
      <c r="H127" s="455"/>
      <c r="I127" s="457">
        <v>33408.0</v>
      </c>
      <c r="J127" s="457">
        <v>45078.0</v>
      </c>
      <c r="K127" s="456">
        <v>45366.0</v>
      </c>
      <c r="L127" s="453">
        <v>0.0</v>
      </c>
      <c r="M127" s="515">
        <v>45809.0</v>
      </c>
      <c r="N127" s="515">
        <v>45838.0</v>
      </c>
    </row>
    <row r="128">
      <c r="A128" s="452" t="s">
        <v>16</v>
      </c>
      <c r="B128" s="453">
        <v>4320.0</v>
      </c>
      <c r="C128" s="459"/>
      <c r="D128" s="453">
        <v>0.0</v>
      </c>
      <c r="E128" s="452" t="s">
        <v>39</v>
      </c>
      <c r="F128" s="452" t="s">
        <v>40</v>
      </c>
      <c r="G128" s="452" t="s">
        <v>41</v>
      </c>
      <c r="H128" s="455"/>
      <c r="I128" s="457">
        <v>35983.0</v>
      </c>
      <c r="J128" s="457">
        <v>45082.0</v>
      </c>
      <c r="K128" s="456">
        <v>45362.0</v>
      </c>
      <c r="L128" s="453">
        <v>0.0</v>
      </c>
      <c r="M128" s="515">
        <v>45809.0</v>
      </c>
      <c r="N128" s="515">
        <v>45838.0</v>
      </c>
    </row>
    <row r="129">
      <c r="A129" s="452" t="s">
        <v>16</v>
      </c>
      <c r="B129" s="453">
        <v>4320.0</v>
      </c>
      <c r="C129" s="459"/>
      <c r="D129" s="453">
        <v>0.0</v>
      </c>
      <c r="E129" s="452" t="s">
        <v>615</v>
      </c>
      <c r="F129" s="452" t="s">
        <v>365</v>
      </c>
      <c r="G129" s="452" t="s">
        <v>366</v>
      </c>
      <c r="H129" s="455"/>
      <c r="I129" s="457">
        <v>36703.0</v>
      </c>
      <c r="J129" s="457">
        <v>45411.0</v>
      </c>
      <c r="K129" s="458">
        <v>45432.0</v>
      </c>
      <c r="L129" s="453">
        <v>0.0</v>
      </c>
      <c r="M129" s="515">
        <v>45809.0</v>
      </c>
      <c r="N129" s="515">
        <v>45838.0</v>
      </c>
    </row>
    <row r="130">
      <c r="A130" s="452" t="s">
        <v>16</v>
      </c>
      <c r="B130" s="453">
        <v>4320.0</v>
      </c>
      <c r="C130" s="459"/>
      <c r="D130" s="453">
        <v>0.0</v>
      </c>
      <c r="E130" s="452" t="s">
        <v>234</v>
      </c>
      <c r="F130" s="452" t="s">
        <v>235</v>
      </c>
      <c r="G130" s="452" t="s">
        <v>236</v>
      </c>
      <c r="H130" s="455"/>
      <c r="I130" s="457">
        <v>33048.0</v>
      </c>
      <c r="J130" s="456">
        <v>45243.0</v>
      </c>
      <c r="K130" s="457">
        <v>45329.0</v>
      </c>
      <c r="L130" s="453">
        <v>0.0</v>
      </c>
      <c r="M130" s="515">
        <v>45809.0</v>
      </c>
      <c r="N130" s="515">
        <v>45838.0</v>
      </c>
    </row>
    <row r="131">
      <c r="A131" s="452" t="s">
        <v>16</v>
      </c>
      <c r="B131" s="453">
        <v>4320.0</v>
      </c>
      <c r="C131" s="459"/>
      <c r="D131" s="453">
        <v>0.0</v>
      </c>
      <c r="E131" s="452" t="s">
        <v>616</v>
      </c>
      <c r="F131" s="452" t="s">
        <v>617</v>
      </c>
      <c r="G131" s="452" t="s">
        <v>618</v>
      </c>
      <c r="H131" s="455"/>
      <c r="I131" s="457">
        <v>35082.0</v>
      </c>
      <c r="J131" s="456">
        <v>45194.0</v>
      </c>
      <c r="K131" s="456">
        <v>45199.0</v>
      </c>
      <c r="L131" s="453">
        <v>0.0</v>
      </c>
      <c r="M131" s="515">
        <v>45809.0</v>
      </c>
      <c r="N131" s="515">
        <v>45838.0</v>
      </c>
    </row>
    <row r="132">
      <c r="A132" s="452" t="s">
        <v>16</v>
      </c>
      <c r="B132" s="453">
        <v>4320.0</v>
      </c>
      <c r="C132" s="459"/>
      <c r="D132" s="453">
        <v>0.0</v>
      </c>
      <c r="E132" s="452" t="s">
        <v>316</v>
      </c>
      <c r="F132" s="452" t="s">
        <v>317</v>
      </c>
      <c r="G132" s="452" t="s">
        <v>318</v>
      </c>
      <c r="H132" s="455"/>
      <c r="I132" s="457">
        <v>37274.0</v>
      </c>
      <c r="J132" s="456">
        <v>45362.0</v>
      </c>
      <c r="K132" s="457">
        <v>45688.0</v>
      </c>
      <c r="L132" s="453">
        <v>0.0</v>
      </c>
      <c r="M132" s="515">
        <v>45809.0</v>
      </c>
      <c r="N132" s="515">
        <v>45838.0</v>
      </c>
    </row>
    <row r="133">
      <c r="A133" s="452" t="s">
        <v>16</v>
      </c>
      <c r="B133" s="453">
        <v>4320.0</v>
      </c>
      <c r="C133" s="459"/>
      <c r="D133" s="453">
        <v>0.0</v>
      </c>
      <c r="E133" s="452" t="s">
        <v>386</v>
      </c>
      <c r="F133" s="452" t="s">
        <v>387</v>
      </c>
      <c r="G133" s="452" t="s">
        <v>388</v>
      </c>
      <c r="H133" s="455"/>
      <c r="I133" s="456">
        <v>37144.0</v>
      </c>
      <c r="J133" s="457">
        <v>45418.0</v>
      </c>
      <c r="K133" s="456">
        <v>45418.0</v>
      </c>
      <c r="L133" s="453">
        <v>0.0</v>
      </c>
      <c r="M133" s="515">
        <v>45809.0</v>
      </c>
      <c r="N133" s="515">
        <v>45838.0</v>
      </c>
    </row>
    <row r="134">
      <c r="A134" s="452" t="s">
        <v>16</v>
      </c>
      <c r="B134" s="453">
        <v>4320.0</v>
      </c>
      <c r="C134" s="459"/>
      <c r="D134" s="453">
        <v>0.0</v>
      </c>
      <c r="E134" s="452" t="s">
        <v>325</v>
      </c>
      <c r="F134" s="452" t="s">
        <v>326</v>
      </c>
      <c r="G134" s="452" t="s">
        <v>327</v>
      </c>
      <c r="H134" s="455"/>
      <c r="I134" s="456">
        <v>36962.0</v>
      </c>
      <c r="J134" s="456">
        <v>45376.0</v>
      </c>
      <c r="K134" s="456">
        <v>45565.0</v>
      </c>
      <c r="L134" s="453">
        <v>0.0</v>
      </c>
      <c r="M134" s="515">
        <v>45809.0</v>
      </c>
      <c r="N134" s="515">
        <v>45838.0</v>
      </c>
    </row>
    <row r="135">
      <c r="A135" s="452" t="s">
        <v>16</v>
      </c>
      <c r="B135" s="453">
        <v>4320.0</v>
      </c>
      <c r="C135" s="459"/>
      <c r="D135" s="453">
        <v>0.0</v>
      </c>
      <c r="E135" s="452" t="s">
        <v>285</v>
      </c>
      <c r="F135" s="452" t="s">
        <v>286</v>
      </c>
      <c r="G135" s="452" t="s">
        <v>287</v>
      </c>
      <c r="H135" s="455"/>
      <c r="I135" s="457">
        <v>37377.0</v>
      </c>
      <c r="J135" s="456">
        <v>45334.0</v>
      </c>
      <c r="K135" s="456">
        <v>45688.0</v>
      </c>
      <c r="L135" s="453">
        <v>0.0</v>
      </c>
      <c r="M135" s="515">
        <v>45809.0</v>
      </c>
      <c r="N135" s="515">
        <v>45838.0</v>
      </c>
    </row>
    <row r="136">
      <c r="A136" s="452" t="s">
        <v>16</v>
      </c>
      <c r="B136" s="453">
        <v>4320.0</v>
      </c>
      <c r="C136" s="459"/>
      <c r="D136" s="453">
        <v>0.0</v>
      </c>
      <c r="E136" s="452" t="s">
        <v>51</v>
      </c>
      <c r="F136" s="452" t="s">
        <v>52</v>
      </c>
      <c r="G136" s="452" t="s">
        <v>53</v>
      </c>
      <c r="H136" s="455"/>
      <c r="I136" s="456">
        <v>34601.0</v>
      </c>
      <c r="J136" s="457">
        <v>44986.0</v>
      </c>
      <c r="K136" s="456">
        <v>45777.0</v>
      </c>
      <c r="L136" s="453">
        <v>0.0</v>
      </c>
      <c r="M136" s="515">
        <v>45809.0</v>
      </c>
      <c r="N136" s="515">
        <v>45838.0</v>
      </c>
    </row>
    <row r="137">
      <c r="A137" s="452" t="s">
        <v>16</v>
      </c>
      <c r="B137" s="453">
        <v>4320.0</v>
      </c>
      <c r="C137" s="459"/>
      <c r="D137" s="453">
        <v>0.0</v>
      </c>
      <c r="E137" s="452" t="s">
        <v>497</v>
      </c>
      <c r="F137" s="452" t="s">
        <v>539</v>
      </c>
      <c r="G137" s="452" t="s">
        <v>498</v>
      </c>
      <c r="H137" s="455"/>
      <c r="I137" s="458">
        <v>37026.0</v>
      </c>
      <c r="J137" s="462">
        <v>45628.0</v>
      </c>
      <c r="K137" s="456">
        <v>45758.0</v>
      </c>
      <c r="L137" s="453">
        <v>0.0</v>
      </c>
      <c r="M137" s="515">
        <v>45809.0</v>
      </c>
      <c r="N137" s="515">
        <v>45838.0</v>
      </c>
    </row>
    <row r="138">
      <c r="A138" s="452" t="s">
        <v>16</v>
      </c>
      <c r="B138" s="453">
        <v>4320.0</v>
      </c>
      <c r="C138" s="459"/>
      <c r="D138" s="453">
        <v>0.0</v>
      </c>
      <c r="E138" s="452" t="s">
        <v>249</v>
      </c>
      <c r="F138" s="452" t="s">
        <v>250</v>
      </c>
      <c r="G138" s="452" t="s">
        <v>251</v>
      </c>
      <c r="H138" s="455"/>
      <c r="I138" s="457">
        <v>37322.0</v>
      </c>
      <c r="J138" s="457">
        <v>45096.0</v>
      </c>
      <c r="K138" s="456">
        <v>45523.0</v>
      </c>
      <c r="L138" s="453">
        <v>0.0</v>
      </c>
      <c r="M138" s="515">
        <v>45809.0</v>
      </c>
      <c r="N138" s="515">
        <v>45838.0</v>
      </c>
    </row>
    <row r="139">
      <c r="A139" s="452" t="s">
        <v>16</v>
      </c>
      <c r="B139" s="453">
        <v>4320.0</v>
      </c>
      <c r="C139" s="459"/>
      <c r="D139" s="453">
        <v>0.0</v>
      </c>
      <c r="E139" s="452" t="s">
        <v>619</v>
      </c>
      <c r="F139" s="452" t="s">
        <v>220</v>
      </c>
      <c r="G139" s="452" t="s">
        <v>221</v>
      </c>
      <c r="H139" s="455"/>
      <c r="I139" s="462">
        <v>36408.0</v>
      </c>
      <c r="J139" s="457">
        <v>45173.0</v>
      </c>
      <c r="K139" s="457">
        <v>45412.0</v>
      </c>
      <c r="L139" s="453">
        <v>0.0</v>
      </c>
      <c r="M139" s="515">
        <v>45809.0</v>
      </c>
      <c r="N139" s="515">
        <v>45838.0</v>
      </c>
    </row>
    <row r="140">
      <c r="A140" s="452" t="s">
        <v>16</v>
      </c>
      <c r="B140" s="453">
        <v>4320.0</v>
      </c>
      <c r="C140" s="459"/>
      <c r="D140" s="453">
        <v>0.0</v>
      </c>
      <c r="E140" s="452" t="s">
        <v>367</v>
      </c>
      <c r="F140" s="452" t="s">
        <v>368</v>
      </c>
      <c r="G140" s="452" t="s">
        <v>369</v>
      </c>
      <c r="H140" s="455"/>
      <c r="I140" s="457">
        <v>36718.0</v>
      </c>
      <c r="J140" s="457">
        <v>45397.0</v>
      </c>
      <c r="K140" s="456">
        <v>45485.0</v>
      </c>
      <c r="L140" s="453">
        <v>0.0</v>
      </c>
      <c r="M140" s="515">
        <v>45809.0</v>
      </c>
      <c r="N140" s="515">
        <v>45838.0</v>
      </c>
    </row>
    <row r="141">
      <c r="A141" s="452" t="s">
        <v>16</v>
      </c>
      <c r="B141" s="453">
        <v>4320.0</v>
      </c>
      <c r="C141" s="459"/>
      <c r="D141" s="453">
        <v>0.0</v>
      </c>
      <c r="E141" s="452" t="s">
        <v>620</v>
      </c>
      <c r="F141" s="452" t="s">
        <v>621</v>
      </c>
      <c r="G141" s="452" t="s">
        <v>622</v>
      </c>
      <c r="H141" s="455"/>
      <c r="I141" s="457">
        <v>37067.0</v>
      </c>
      <c r="J141" s="456">
        <v>45216.0</v>
      </c>
      <c r="K141" s="456">
        <v>45453.0</v>
      </c>
      <c r="L141" s="453">
        <v>0.0</v>
      </c>
      <c r="M141" s="515">
        <v>45809.0</v>
      </c>
      <c r="N141" s="515">
        <v>45838.0</v>
      </c>
    </row>
    <row r="142">
      <c r="A142" s="452" t="s">
        <v>16</v>
      </c>
      <c r="B142" s="453">
        <v>4320.0</v>
      </c>
      <c r="C142" s="459"/>
      <c r="D142" s="453">
        <v>0.0</v>
      </c>
      <c r="E142" s="452" t="s">
        <v>66</v>
      </c>
      <c r="F142" s="452" t="s">
        <v>67</v>
      </c>
      <c r="G142" s="452" t="s">
        <v>68</v>
      </c>
      <c r="H142" s="455"/>
      <c r="I142" s="457">
        <v>34973.0</v>
      </c>
      <c r="J142" s="457">
        <v>44986.0</v>
      </c>
      <c r="K142" s="456">
        <v>45562.0</v>
      </c>
      <c r="L142" s="453">
        <v>0.0</v>
      </c>
      <c r="M142" s="515">
        <v>45809.0</v>
      </c>
      <c r="N142" s="515">
        <v>45838.0</v>
      </c>
    </row>
    <row r="143">
      <c r="A143" s="452" t="s">
        <v>16</v>
      </c>
      <c r="B143" s="453">
        <v>4320.0</v>
      </c>
      <c r="C143" s="459"/>
      <c r="D143" s="453">
        <v>0.0</v>
      </c>
      <c r="E143" s="452" t="s">
        <v>252</v>
      </c>
      <c r="F143" s="452" t="s">
        <v>253</v>
      </c>
      <c r="G143" s="452" t="s">
        <v>254</v>
      </c>
      <c r="H143" s="455"/>
      <c r="I143" s="456">
        <v>37516.0</v>
      </c>
      <c r="J143" s="456">
        <v>45159.0</v>
      </c>
      <c r="K143" s="456">
        <v>45450.0</v>
      </c>
      <c r="L143" s="453">
        <v>0.0</v>
      </c>
      <c r="M143" s="515">
        <v>45809.0</v>
      </c>
      <c r="N143" s="515">
        <v>45838.0</v>
      </c>
    </row>
    <row r="144">
      <c r="A144" s="452" t="s">
        <v>16</v>
      </c>
      <c r="B144" s="453">
        <v>4320.0</v>
      </c>
      <c r="C144" s="459"/>
      <c r="D144" s="453">
        <v>0.0</v>
      </c>
      <c r="E144" s="452" t="s">
        <v>72</v>
      </c>
      <c r="F144" s="452" t="s">
        <v>73</v>
      </c>
      <c r="G144" s="452" t="s">
        <v>74</v>
      </c>
      <c r="H144" s="455"/>
      <c r="I144" s="456">
        <v>37210.0</v>
      </c>
      <c r="J144" s="457">
        <v>44562.0</v>
      </c>
      <c r="K144" s="458">
        <v>45442.0</v>
      </c>
      <c r="L144" s="453">
        <v>0.0</v>
      </c>
      <c r="M144" s="515">
        <v>45809.0</v>
      </c>
      <c r="N144" s="515">
        <v>45838.0</v>
      </c>
    </row>
    <row r="145">
      <c r="A145" s="452" t="s">
        <v>16</v>
      </c>
      <c r="B145" s="453">
        <v>4320.0</v>
      </c>
      <c r="C145" s="459"/>
      <c r="D145" s="453">
        <v>0.0</v>
      </c>
      <c r="E145" s="452" t="s">
        <v>483</v>
      </c>
      <c r="F145" s="452" t="s">
        <v>537</v>
      </c>
      <c r="G145" s="452" t="s">
        <v>484</v>
      </c>
      <c r="H145" s="455"/>
      <c r="I145" s="457">
        <v>36286.0</v>
      </c>
      <c r="J145" s="457">
        <v>45602.0</v>
      </c>
      <c r="K145" s="457">
        <v>45723.0</v>
      </c>
      <c r="L145" s="453">
        <v>0.0</v>
      </c>
      <c r="M145" s="515">
        <v>45809.0</v>
      </c>
      <c r="N145" s="515">
        <v>45838.0</v>
      </c>
    </row>
    <row r="146">
      <c r="A146" s="452" t="s">
        <v>16</v>
      </c>
      <c r="B146" s="453">
        <v>4320.0</v>
      </c>
      <c r="C146" s="459"/>
      <c r="D146" s="453">
        <v>0.0</v>
      </c>
      <c r="E146" s="452" t="s">
        <v>81</v>
      </c>
      <c r="F146" s="452" t="s">
        <v>82</v>
      </c>
      <c r="G146" s="452" t="s">
        <v>83</v>
      </c>
      <c r="H146" s="455"/>
      <c r="I146" s="456">
        <v>36113.0</v>
      </c>
      <c r="J146" s="462">
        <v>44866.0</v>
      </c>
      <c r="K146" s="456">
        <v>45299.0</v>
      </c>
      <c r="L146" s="453">
        <v>0.0</v>
      </c>
      <c r="M146" s="515">
        <v>45809.0</v>
      </c>
      <c r="N146" s="515">
        <v>45838.0</v>
      </c>
    </row>
    <row r="147">
      <c r="A147" s="452" t="s">
        <v>16</v>
      </c>
      <c r="B147" s="453">
        <v>4320.0</v>
      </c>
      <c r="C147" s="459"/>
      <c r="D147" s="453">
        <v>0.0</v>
      </c>
      <c r="E147" s="452" t="s">
        <v>294</v>
      </c>
      <c r="F147" s="452" t="s">
        <v>295</v>
      </c>
      <c r="G147" s="452" t="s">
        <v>296</v>
      </c>
      <c r="H147" s="455"/>
      <c r="I147" s="457">
        <v>36551.0</v>
      </c>
      <c r="J147" s="456">
        <v>45278.0</v>
      </c>
      <c r="K147" s="456">
        <v>45359.0</v>
      </c>
      <c r="L147" s="453">
        <v>0.0</v>
      </c>
      <c r="M147" s="515">
        <v>45809.0</v>
      </c>
      <c r="N147" s="515">
        <v>45838.0</v>
      </c>
    </row>
    <row r="148">
      <c r="A148" s="452" t="s">
        <v>16</v>
      </c>
      <c r="B148" s="453">
        <v>4320.0</v>
      </c>
      <c r="C148" s="459"/>
      <c r="D148" s="453">
        <v>0.0</v>
      </c>
      <c r="E148" s="452" t="s">
        <v>623</v>
      </c>
      <c r="F148" s="452" t="s">
        <v>624</v>
      </c>
      <c r="G148" s="452" t="s">
        <v>625</v>
      </c>
      <c r="H148" s="455"/>
      <c r="I148" s="456">
        <v>37489.0</v>
      </c>
      <c r="J148" s="457">
        <v>45397.0</v>
      </c>
      <c r="K148" s="456">
        <v>45488.0</v>
      </c>
      <c r="L148" s="453">
        <v>0.0</v>
      </c>
      <c r="M148" s="515">
        <v>45809.0</v>
      </c>
      <c r="N148" s="515">
        <v>45838.0</v>
      </c>
    </row>
    <row r="149">
      <c r="A149" s="452" t="s">
        <v>16</v>
      </c>
      <c r="B149" s="453">
        <v>4320.0</v>
      </c>
      <c r="C149" s="459"/>
      <c r="D149" s="453">
        <v>0.0</v>
      </c>
      <c r="E149" s="452" t="s">
        <v>270</v>
      </c>
      <c r="F149" s="452" t="s">
        <v>271</v>
      </c>
      <c r="G149" s="452" t="s">
        <v>272</v>
      </c>
      <c r="H149" s="455"/>
      <c r="I149" s="456">
        <v>36769.0</v>
      </c>
      <c r="J149" s="457">
        <v>45313.0</v>
      </c>
      <c r="K149" s="457">
        <v>45415.0</v>
      </c>
      <c r="L149" s="453">
        <v>0.0</v>
      </c>
      <c r="M149" s="515">
        <v>45809.0</v>
      </c>
      <c r="N149" s="515">
        <v>45838.0</v>
      </c>
    </row>
    <row r="150">
      <c r="A150" s="452" t="s">
        <v>16</v>
      </c>
      <c r="B150" s="453">
        <v>4320.0</v>
      </c>
      <c r="C150" s="459"/>
      <c r="D150" s="453">
        <v>0.0</v>
      </c>
      <c r="E150" s="452" t="s">
        <v>87</v>
      </c>
      <c r="F150" s="452" t="s">
        <v>88</v>
      </c>
      <c r="G150" s="452" t="s">
        <v>89</v>
      </c>
      <c r="H150" s="455"/>
      <c r="I150" s="458">
        <v>33737.0</v>
      </c>
      <c r="J150" s="457">
        <v>45139.0</v>
      </c>
      <c r="K150" s="456">
        <v>45734.0</v>
      </c>
      <c r="L150" s="453">
        <v>0.0</v>
      </c>
      <c r="M150" s="515">
        <v>45809.0</v>
      </c>
      <c r="N150" s="515">
        <v>45838.0</v>
      </c>
    </row>
    <row r="151">
      <c r="A151" s="452" t="s">
        <v>16</v>
      </c>
      <c r="B151" s="453">
        <v>4320.0</v>
      </c>
      <c r="C151" s="459"/>
      <c r="D151" s="453">
        <v>0.0</v>
      </c>
      <c r="E151" s="452" t="s">
        <v>632</v>
      </c>
      <c r="F151" s="452" t="s">
        <v>633</v>
      </c>
      <c r="G151" s="452" t="s">
        <v>634</v>
      </c>
      <c r="H151" s="455"/>
      <c r="I151" s="456">
        <v>35300.0</v>
      </c>
      <c r="J151" s="457">
        <v>45103.0</v>
      </c>
      <c r="K151" s="457">
        <v>45310.0</v>
      </c>
      <c r="L151" s="453">
        <v>0.0</v>
      </c>
      <c r="M151" s="515">
        <v>45809.0</v>
      </c>
      <c r="N151" s="515">
        <v>45838.0</v>
      </c>
    </row>
    <row r="152">
      <c r="A152" s="452" t="s">
        <v>16</v>
      </c>
      <c r="B152" s="453">
        <v>4320.0</v>
      </c>
      <c r="C152" s="459"/>
      <c r="D152" s="453">
        <v>0.0</v>
      </c>
      <c r="E152" s="452" t="s">
        <v>573</v>
      </c>
      <c r="F152" s="452" t="s">
        <v>574</v>
      </c>
      <c r="G152" s="452" t="s">
        <v>575</v>
      </c>
      <c r="H152" s="455"/>
      <c r="I152" s="456">
        <v>36061.0</v>
      </c>
      <c r="J152" s="457">
        <v>45677.0</v>
      </c>
      <c r="K152" s="457">
        <v>45777.0</v>
      </c>
      <c r="L152" s="453">
        <v>0.0</v>
      </c>
      <c r="M152" s="515">
        <v>45809.0</v>
      </c>
      <c r="N152" s="515">
        <v>45838.0</v>
      </c>
    </row>
    <row r="153">
      <c r="A153" s="452" t="s">
        <v>16</v>
      </c>
      <c r="B153" s="453">
        <v>4320.0</v>
      </c>
      <c r="C153" s="459"/>
      <c r="D153" s="453">
        <v>0.0</v>
      </c>
      <c r="E153" s="452" t="s">
        <v>90</v>
      </c>
      <c r="F153" s="452" t="s">
        <v>91</v>
      </c>
      <c r="G153" s="452" t="s">
        <v>92</v>
      </c>
      <c r="H153" s="455"/>
      <c r="I153" s="465">
        <v>33917.0</v>
      </c>
      <c r="J153" s="456">
        <v>45166.0</v>
      </c>
      <c r="K153" s="457">
        <v>45321.0</v>
      </c>
      <c r="L153" s="453">
        <v>0.0</v>
      </c>
      <c r="M153" s="515">
        <v>45809.0</v>
      </c>
      <c r="N153" s="515">
        <v>45838.0</v>
      </c>
    </row>
    <row r="154">
      <c r="A154" s="452" t="s">
        <v>16</v>
      </c>
      <c r="B154" s="453">
        <v>4320.0</v>
      </c>
      <c r="C154" s="459"/>
      <c r="D154" s="453">
        <v>0.0</v>
      </c>
      <c r="E154" s="452" t="s">
        <v>337</v>
      </c>
      <c r="F154" s="452" t="s">
        <v>338</v>
      </c>
      <c r="G154" s="452" t="s">
        <v>339</v>
      </c>
      <c r="H154" s="455"/>
      <c r="I154" s="456">
        <v>37539.0</v>
      </c>
      <c r="J154" s="456">
        <v>45362.0</v>
      </c>
      <c r="K154" s="456">
        <v>45657.0</v>
      </c>
      <c r="L154" s="453">
        <v>0.0</v>
      </c>
      <c r="M154" s="515">
        <v>45809.0</v>
      </c>
      <c r="N154" s="515">
        <v>45838.0</v>
      </c>
    </row>
    <row r="155">
      <c r="A155" s="452" t="s">
        <v>16</v>
      </c>
      <c r="B155" s="453">
        <v>4320.0</v>
      </c>
      <c r="C155" s="459"/>
      <c r="D155" s="453">
        <v>0.0</v>
      </c>
      <c r="E155" s="452" t="s">
        <v>297</v>
      </c>
      <c r="F155" s="452" t="s">
        <v>298</v>
      </c>
      <c r="G155" s="452" t="s">
        <v>299</v>
      </c>
      <c r="H155" s="455"/>
      <c r="I155" s="457">
        <v>36692.0</v>
      </c>
      <c r="J155" s="456">
        <v>45243.0</v>
      </c>
      <c r="K155" s="456">
        <v>45365.0</v>
      </c>
      <c r="L155" s="453">
        <v>0.0</v>
      </c>
      <c r="M155" s="515">
        <v>45809.0</v>
      </c>
      <c r="N155" s="515">
        <v>45838.0</v>
      </c>
    </row>
    <row r="156">
      <c r="A156" s="452" t="s">
        <v>16</v>
      </c>
      <c r="B156" s="453">
        <v>4320.0</v>
      </c>
      <c r="C156" s="459"/>
      <c r="D156" s="453">
        <v>0.0</v>
      </c>
      <c r="E156" s="452" t="s">
        <v>93</v>
      </c>
      <c r="F156" s="452" t="s">
        <v>94</v>
      </c>
      <c r="G156" s="452" t="s">
        <v>95</v>
      </c>
      <c r="H156" s="455"/>
      <c r="I156" s="457">
        <v>36137.0</v>
      </c>
      <c r="J156" s="457">
        <v>45098.0</v>
      </c>
      <c r="K156" s="456">
        <v>45246.0</v>
      </c>
      <c r="L156" s="453">
        <v>0.0</v>
      </c>
      <c r="M156" s="515">
        <v>45809.0</v>
      </c>
      <c r="N156" s="515">
        <v>45838.0</v>
      </c>
    </row>
    <row r="157">
      <c r="A157" s="452" t="s">
        <v>16</v>
      </c>
      <c r="B157" s="453">
        <v>4320.0</v>
      </c>
      <c r="C157" s="459"/>
      <c r="D157" s="453">
        <v>0.0</v>
      </c>
      <c r="E157" s="452" t="s">
        <v>452</v>
      </c>
      <c r="F157" s="452" t="s">
        <v>513</v>
      </c>
      <c r="G157" s="452" t="s">
        <v>454</v>
      </c>
      <c r="H157" s="455"/>
      <c r="I157" s="457">
        <v>37834.0</v>
      </c>
      <c r="J157" s="457">
        <v>45505.0</v>
      </c>
      <c r="K157" s="456">
        <v>45667.0</v>
      </c>
      <c r="L157" s="453">
        <v>0.0</v>
      </c>
      <c r="M157" s="515">
        <v>45809.0</v>
      </c>
      <c r="N157" s="515">
        <v>45838.0</v>
      </c>
    </row>
    <row r="158">
      <c r="A158" s="452" t="s">
        <v>16</v>
      </c>
      <c r="B158" s="453">
        <v>4320.0</v>
      </c>
      <c r="C158" s="459"/>
      <c r="D158" s="453">
        <v>0.0</v>
      </c>
      <c r="E158" s="452" t="s">
        <v>99</v>
      </c>
      <c r="F158" s="452" t="s">
        <v>100</v>
      </c>
      <c r="G158" s="452" t="s">
        <v>101</v>
      </c>
      <c r="H158" s="455"/>
      <c r="I158" s="456">
        <v>37240.0</v>
      </c>
      <c r="J158" s="457">
        <v>45176.0</v>
      </c>
      <c r="K158" s="456">
        <v>45535.0</v>
      </c>
      <c r="L158" s="453">
        <v>0.0</v>
      </c>
      <c r="M158" s="515">
        <v>45809.0</v>
      </c>
      <c r="N158" s="515">
        <v>45838.0</v>
      </c>
    </row>
    <row r="159">
      <c r="A159" s="452" t="s">
        <v>16</v>
      </c>
      <c r="B159" s="453">
        <v>4320.0</v>
      </c>
      <c r="C159" s="459"/>
      <c r="D159" s="453">
        <v>0.0</v>
      </c>
      <c r="E159" s="452" t="s">
        <v>105</v>
      </c>
      <c r="F159" s="452" t="s">
        <v>106</v>
      </c>
      <c r="G159" s="452" t="s">
        <v>107</v>
      </c>
      <c r="H159" s="455"/>
      <c r="I159" s="457">
        <v>37136.0</v>
      </c>
      <c r="J159" s="456">
        <v>45181.0</v>
      </c>
      <c r="K159" s="456">
        <v>45054.0</v>
      </c>
      <c r="L159" s="453">
        <v>0.0</v>
      </c>
      <c r="M159" s="515">
        <v>45809.0</v>
      </c>
      <c r="N159" s="515">
        <v>45838.0</v>
      </c>
    </row>
    <row r="160">
      <c r="A160" s="452" t="s">
        <v>16</v>
      </c>
      <c r="B160" s="453">
        <v>4320.0</v>
      </c>
      <c r="C160" s="459"/>
      <c r="D160" s="453">
        <v>0.0</v>
      </c>
      <c r="E160" s="452" t="s">
        <v>639</v>
      </c>
      <c r="F160" s="452" t="s">
        <v>323</v>
      </c>
      <c r="G160" s="452" t="s">
        <v>324</v>
      </c>
      <c r="H160" s="455"/>
      <c r="I160" s="457">
        <v>37100.0</v>
      </c>
      <c r="J160" s="456">
        <v>45376.0</v>
      </c>
      <c r="K160" s="458">
        <v>45425.0</v>
      </c>
      <c r="L160" s="453">
        <v>0.0</v>
      </c>
      <c r="M160" s="515">
        <v>45809.0</v>
      </c>
      <c r="N160" s="515">
        <v>45838.0</v>
      </c>
    </row>
    <row r="161">
      <c r="A161" s="452" t="s">
        <v>16</v>
      </c>
      <c r="B161" s="453">
        <v>4320.0</v>
      </c>
      <c r="C161" s="459"/>
      <c r="D161" s="453">
        <v>0.0</v>
      </c>
      <c r="E161" s="452" t="s">
        <v>640</v>
      </c>
      <c r="F161" s="452" t="s">
        <v>641</v>
      </c>
      <c r="G161" s="452" t="s">
        <v>642</v>
      </c>
      <c r="H161" s="455"/>
      <c r="I161" s="456">
        <v>35152.0</v>
      </c>
      <c r="J161" s="456">
        <v>45180.0</v>
      </c>
      <c r="K161" s="462">
        <v>45233.0</v>
      </c>
      <c r="L161" s="453">
        <v>0.0</v>
      </c>
      <c r="M161" s="515">
        <v>45809.0</v>
      </c>
      <c r="N161" s="515">
        <v>45838.0</v>
      </c>
    </row>
    <row r="162">
      <c r="A162" s="452" t="s">
        <v>16</v>
      </c>
      <c r="B162" s="453">
        <v>4320.0</v>
      </c>
      <c r="C162" s="459"/>
      <c r="D162" s="453">
        <v>0.0</v>
      </c>
      <c r="E162" s="452" t="s">
        <v>111</v>
      </c>
      <c r="F162" s="452" t="s">
        <v>112</v>
      </c>
      <c r="G162" s="452" t="s">
        <v>113</v>
      </c>
      <c r="H162" s="455"/>
      <c r="I162" s="457">
        <v>36898.0</v>
      </c>
      <c r="J162" s="457">
        <v>44988.0</v>
      </c>
      <c r="K162" s="456">
        <v>45412.0</v>
      </c>
      <c r="L162" s="453">
        <v>0.0</v>
      </c>
      <c r="M162" s="515">
        <v>45809.0</v>
      </c>
      <c r="N162" s="515">
        <v>45838.0</v>
      </c>
    </row>
    <row r="163">
      <c r="A163" s="452" t="s">
        <v>16</v>
      </c>
      <c r="B163" s="453">
        <v>4320.0</v>
      </c>
      <c r="C163" s="459"/>
      <c r="D163" s="453">
        <v>0.0</v>
      </c>
      <c r="E163" s="452" t="s">
        <v>114</v>
      </c>
      <c r="F163" s="452" t="s">
        <v>115</v>
      </c>
      <c r="G163" s="452" t="s">
        <v>116</v>
      </c>
      <c r="H163" s="455"/>
      <c r="I163" s="457">
        <v>35159.0</v>
      </c>
      <c r="J163" s="457">
        <v>45078.0</v>
      </c>
      <c r="K163" s="458">
        <v>45322.0</v>
      </c>
      <c r="L163" s="453">
        <v>0.0</v>
      </c>
      <c r="M163" s="515">
        <v>45809.0</v>
      </c>
      <c r="N163" s="515">
        <v>45838.0</v>
      </c>
    </row>
    <row r="164">
      <c r="A164" s="452" t="s">
        <v>16</v>
      </c>
      <c r="B164" s="453">
        <v>4320.0</v>
      </c>
      <c r="C164" s="459"/>
      <c r="D164" s="453">
        <v>0.0</v>
      </c>
      <c r="E164" s="452" t="s">
        <v>439</v>
      </c>
      <c r="F164" s="452" t="s">
        <v>121</v>
      </c>
      <c r="G164" s="452" t="s">
        <v>122</v>
      </c>
      <c r="H164" s="455"/>
      <c r="I164" s="456">
        <v>36794.0</v>
      </c>
      <c r="J164" s="456">
        <v>44915.0</v>
      </c>
      <c r="K164" s="456">
        <v>45709.0</v>
      </c>
      <c r="L164" s="453">
        <v>0.0</v>
      </c>
      <c r="M164" s="515">
        <v>45809.0</v>
      </c>
      <c r="N164" s="515">
        <v>45838.0</v>
      </c>
    </row>
    <row r="165">
      <c r="A165" s="452" t="s">
        <v>16</v>
      </c>
      <c r="B165" s="453">
        <v>4320.0</v>
      </c>
      <c r="C165" s="459"/>
      <c r="D165" s="453">
        <v>0.0</v>
      </c>
      <c r="E165" s="452" t="s">
        <v>643</v>
      </c>
      <c r="F165" s="452" t="s">
        <v>124</v>
      </c>
      <c r="G165" s="452" t="s">
        <v>125</v>
      </c>
      <c r="H165" s="455"/>
      <c r="I165" s="456">
        <v>37149.0</v>
      </c>
      <c r="J165" s="457">
        <v>45124.0</v>
      </c>
      <c r="K165" s="457">
        <v>45453.0</v>
      </c>
      <c r="L165" s="453">
        <v>0.0</v>
      </c>
      <c r="M165" s="515">
        <v>45809.0</v>
      </c>
      <c r="N165" s="515">
        <v>45838.0</v>
      </c>
    </row>
    <row r="166">
      <c r="A166" s="452" t="s">
        <v>16</v>
      </c>
      <c r="B166" s="453">
        <v>4320.0</v>
      </c>
      <c r="C166" s="459"/>
      <c r="D166" s="453">
        <v>0.0</v>
      </c>
      <c r="E166" s="452" t="s">
        <v>237</v>
      </c>
      <c r="F166" s="452" t="s">
        <v>238</v>
      </c>
      <c r="G166" s="452" t="s">
        <v>239</v>
      </c>
      <c r="H166" s="455"/>
      <c r="I166" s="457">
        <v>34503.0</v>
      </c>
      <c r="J166" s="456">
        <v>45251.0</v>
      </c>
      <c r="K166" s="456">
        <v>45338.0</v>
      </c>
      <c r="L166" s="453">
        <v>0.0</v>
      </c>
      <c r="M166" s="515">
        <v>45809.0</v>
      </c>
      <c r="N166" s="515">
        <v>45838.0</v>
      </c>
    </row>
    <row r="167">
      <c r="A167" s="452" t="s">
        <v>16</v>
      </c>
      <c r="B167" s="453">
        <v>4320.0</v>
      </c>
      <c r="C167" s="454"/>
      <c r="D167" s="453">
        <v>0.0</v>
      </c>
      <c r="E167" s="452" t="s">
        <v>129</v>
      </c>
      <c r="F167" s="452" t="s">
        <v>130</v>
      </c>
      <c r="G167" s="452" t="s">
        <v>131</v>
      </c>
      <c r="H167" s="455"/>
      <c r="I167" s="456">
        <v>36207.0</v>
      </c>
      <c r="J167" s="457">
        <v>45054.0</v>
      </c>
      <c r="K167" s="456">
        <v>44960.0</v>
      </c>
      <c r="L167" s="453">
        <v>0.0</v>
      </c>
      <c r="M167" s="515">
        <v>45809.0</v>
      </c>
      <c r="N167" s="515">
        <v>45838.0</v>
      </c>
    </row>
    <row r="168">
      <c r="A168" s="452" t="s">
        <v>16</v>
      </c>
      <c r="B168" s="453">
        <v>4320.0</v>
      </c>
      <c r="C168" s="454"/>
      <c r="D168" s="453">
        <v>0.0</v>
      </c>
      <c r="E168" s="452" t="s">
        <v>644</v>
      </c>
      <c r="F168" s="452" t="s">
        <v>190</v>
      </c>
      <c r="G168" s="452" t="s">
        <v>191</v>
      </c>
      <c r="H168" s="455"/>
      <c r="I168" s="456">
        <v>36421.0</v>
      </c>
      <c r="J168" s="456">
        <v>45166.0</v>
      </c>
      <c r="K168" s="456">
        <v>45535.0</v>
      </c>
      <c r="L168" s="453">
        <v>0.0</v>
      </c>
      <c r="M168" s="515">
        <v>45809.0</v>
      </c>
      <c r="N168" s="515">
        <v>45838.0</v>
      </c>
    </row>
    <row r="169">
      <c r="A169" s="452" t="s">
        <v>16</v>
      </c>
      <c r="B169" s="453">
        <v>4320.0</v>
      </c>
      <c r="C169" s="454"/>
      <c r="D169" s="453">
        <v>0.0</v>
      </c>
      <c r="E169" s="452" t="s">
        <v>645</v>
      </c>
      <c r="F169" s="452" t="s">
        <v>646</v>
      </c>
      <c r="G169" s="452" t="s">
        <v>647</v>
      </c>
      <c r="H169" s="455"/>
      <c r="I169" s="456">
        <v>37123.0</v>
      </c>
      <c r="J169" s="456">
        <v>44984.0</v>
      </c>
      <c r="K169" s="456">
        <v>45199.0</v>
      </c>
      <c r="L169" s="453">
        <v>0.0</v>
      </c>
      <c r="M169" s="515">
        <v>45809.0</v>
      </c>
      <c r="N169" s="515">
        <v>45838.0</v>
      </c>
    </row>
    <row r="170">
      <c r="A170" s="452" t="s">
        <v>16</v>
      </c>
      <c r="B170" s="453">
        <v>4320.0</v>
      </c>
      <c r="C170" s="454"/>
      <c r="D170" s="453">
        <v>0.0</v>
      </c>
      <c r="E170" s="452" t="s">
        <v>648</v>
      </c>
      <c r="F170" s="452" t="s">
        <v>649</v>
      </c>
      <c r="G170" s="452" t="s">
        <v>650</v>
      </c>
      <c r="H170" s="455"/>
      <c r="I170" s="457">
        <v>35039.0</v>
      </c>
      <c r="J170" s="457">
        <v>44986.0</v>
      </c>
      <c r="K170" s="456">
        <v>45199.0</v>
      </c>
      <c r="L170" s="453">
        <v>0.0</v>
      </c>
      <c r="M170" s="515">
        <v>45809.0</v>
      </c>
      <c r="N170" s="515">
        <v>45838.0</v>
      </c>
    </row>
    <row r="171">
      <c r="A171" s="452" t="s">
        <v>16</v>
      </c>
      <c r="B171" s="453">
        <v>4320.0</v>
      </c>
      <c r="C171" s="454"/>
      <c r="D171" s="453">
        <v>0.0</v>
      </c>
      <c r="E171" s="452" t="s">
        <v>132</v>
      </c>
      <c r="F171" s="452" t="s">
        <v>519</v>
      </c>
      <c r="G171" s="452" t="s">
        <v>418</v>
      </c>
      <c r="H171" s="455"/>
      <c r="I171" s="456">
        <v>37494.0</v>
      </c>
      <c r="J171" s="457">
        <v>45467.0</v>
      </c>
      <c r="K171" s="456">
        <v>45723.0</v>
      </c>
      <c r="L171" s="453">
        <v>0.0</v>
      </c>
      <c r="M171" s="515">
        <v>45809.0</v>
      </c>
      <c r="N171" s="515">
        <v>45838.0</v>
      </c>
    </row>
    <row r="172">
      <c r="A172" s="452" t="s">
        <v>16</v>
      </c>
      <c r="B172" s="453">
        <v>4320.0</v>
      </c>
      <c r="C172" s="454"/>
      <c r="D172" s="453">
        <v>0.0</v>
      </c>
      <c r="E172" s="452" t="s">
        <v>132</v>
      </c>
      <c r="F172" s="452" t="s">
        <v>347</v>
      </c>
      <c r="G172" s="452" t="s">
        <v>348</v>
      </c>
      <c r="H172" s="455"/>
      <c r="I172" s="457">
        <v>36778.0</v>
      </c>
      <c r="J172" s="456">
        <v>45369.0</v>
      </c>
      <c r="K172" s="456">
        <v>45565.0</v>
      </c>
      <c r="L172" s="453">
        <v>0.0</v>
      </c>
      <c r="M172" s="515">
        <v>45809.0</v>
      </c>
      <c r="N172" s="515">
        <v>45838.0</v>
      </c>
    </row>
    <row r="173">
      <c r="A173" s="452" t="s">
        <v>16</v>
      </c>
      <c r="B173" s="453">
        <v>4320.0</v>
      </c>
      <c r="C173" s="454"/>
      <c r="D173" s="453">
        <v>0.0</v>
      </c>
      <c r="E173" s="452" t="s">
        <v>491</v>
      </c>
      <c r="F173" s="452" t="s">
        <v>534</v>
      </c>
      <c r="G173" s="452" t="s">
        <v>492</v>
      </c>
      <c r="H173" s="455"/>
      <c r="I173" s="456">
        <v>36849.0</v>
      </c>
      <c r="J173" s="456">
        <v>45602.0</v>
      </c>
      <c r="K173" s="456">
        <v>45700.0</v>
      </c>
      <c r="L173" s="453">
        <v>0.0</v>
      </c>
      <c r="M173" s="515">
        <v>45809.0</v>
      </c>
      <c r="N173" s="515">
        <v>45838.0</v>
      </c>
    </row>
    <row r="174">
      <c r="A174" s="452" t="s">
        <v>16</v>
      </c>
      <c r="B174" s="453">
        <v>4320.0</v>
      </c>
      <c r="C174" s="454"/>
      <c r="D174" s="453">
        <v>0.0</v>
      </c>
      <c r="E174" s="452" t="s">
        <v>651</v>
      </c>
      <c r="F174" s="452" t="s">
        <v>652</v>
      </c>
      <c r="G174" s="452" t="s">
        <v>653</v>
      </c>
      <c r="H174" s="455"/>
      <c r="I174" s="456">
        <v>34748.0</v>
      </c>
      <c r="J174" s="457">
        <v>45033.0</v>
      </c>
      <c r="K174" s="456">
        <v>45381.0</v>
      </c>
      <c r="L174" s="453">
        <v>0.0</v>
      </c>
      <c r="M174" s="515">
        <v>45809.0</v>
      </c>
      <c r="N174" s="515">
        <v>45838.0</v>
      </c>
    </row>
    <row r="175">
      <c r="A175" s="452" t="s">
        <v>16</v>
      </c>
      <c r="B175" s="453">
        <v>4320.0</v>
      </c>
      <c r="C175" s="454"/>
      <c r="D175" s="453">
        <v>0.0</v>
      </c>
      <c r="E175" s="452" t="s">
        <v>135</v>
      </c>
      <c r="F175" s="452" t="s">
        <v>136</v>
      </c>
      <c r="G175" s="452" t="s">
        <v>137</v>
      </c>
      <c r="H175" s="455"/>
      <c r="I175" s="456">
        <v>36768.0</v>
      </c>
      <c r="J175" s="456">
        <v>44888.0</v>
      </c>
      <c r="K175" s="456">
        <v>45260.0</v>
      </c>
      <c r="L175" s="453">
        <v>0.0</v>
      </c>
      <c r="M175" s="515">
        <v>45809.0</v>
      </c>
      <c r="N175" s="515">
        <v>45838.0</v>
      </c>
    </row>
    <row r="176">
      <c r="A176" s="452" t="s">
        <v>16</v>
      </c>
      <c r="B176" s="453">
        <v>4320.0</v>
      </c>
      <c r="C176" s="454"/>
      <c r="D176" s="453">
        <v>0.0</v>
      </c>
      <c r="E176" s="452" t="s">
        <v>654</v>
      </c>
      <c r="F176" s="452" t="s">
        <v>655</v>
      </c>
      <c r="G176" s="452" t="s">
        <v>656</v>
      </c>
      <c r="H176" s="455"/>
      <c r="I176" s="456">
        <v>34318.0</v>
      </c>
      <c r="J176" s="456">
        <v>45229.0</v>
      </c>
      <c r="K176" s="456">
        <v>45523.0</v>
      </c>
      <c r="L176" s="453">
        <v>0.0</v>
      </c>
      <c r="M176" s="515">
        <v>45809.0</v>
      </c>
      <c r="N176" s="515">
        <v>45838.0</v>
      </c>
    </row>
    <row r="177">
      <c r="A177" s="452" t="s">
        <v>16</v>
      </c>
      <c r="B177" s="453">
        <v>4320.0</v>
      </c>
      <c r="C177" s="454"/>
      <c r="D177" s="453">
        <v>0.0</v>
      </c>
      <c r="E177" s="452" t="s">
        <v>141</v>
      </c>
      <c r="F177" s="452" t="s">
        <v>142</v>
      </c>
      <c r="G177" s="452" t="s">
        <v>143</v>
      </c>
      <c r="H177" s="455"/>
      <c r="I177" s="456">
        <v>34300.0</v>
      </c>
      <c r="J177" s="456">
        <v>45183.0</v>
      </c>
      <c r="K177" s="456">
        <v>45565.0</v>
      </c>
      <c r="L177" s="453">
        <v>0.0</v>
      </c>
      <c r="M177" s="515">
        <v>45809.0</v>
      </c>
      <c r="N177" s="515">
        <v>45838.0</v>
      </c>
    </row>
    <row r="178">
      <c r="A178" s="452" t="s">
        <v>16</v>
      </c>
      <c r="B178" s="453">
        <v>4320.0</v>
      </c>
      <c r="C178" s="454"/>
      <c r="D178" s="453">
        <v>0.0</v>
      </c>
      <c r="E178" s="452" t="s">
        <v>657</v>
      </c>
      <c r="F178" s="452" t="s">
        <v>658</v>
      </c>
      <c r="G178" s="452" t="s">
        <v>659</v>
      </c>
      <c r="H178" s="455"/>
      <c r="I178" s="456">
        <v>35147.0</v>
      </c>
      <c r="J178" s="456">
        <v>44886.0</v>
      </c>
      <c r="K178" s="456">
        <v>45243.0</v>
      </c>
      <c r="L178" s="453">
        <v>0.0</v>
      </c>
      <c r="M178" s="515">
        <v>45809.0</v>
      </c>
      <c r="N178" s="515">
        <v>45838.0</v>
      </c>
    </row>
    <row r="179">
      <c r="A179" s="452" t="s">
        <v>16</v>
      </c>
      <c r="B179" s="453">
        <v>4320.0</v>
      </c>
      <c r="C179" s="454"/>
      <c r="D179" s="453">
        <v>0.0</v>
      </c>
      <c r="E179" s="452" t="s">
        <v>419</v>
      </c>
      <c r="F179" s="452" t="s">
        <v>520</v>
      </c>
      <c r="G179" s="452" t="s">
        <v>420</v>
      </c>
      <c r="H179" s="455"/>
      <c r="I179" s="457">
        <v>36907.0</v>
      </c>
      <c r="J179" s="462">
        <v>45446.0</v>
      </c>
      <c r="K179" s="457">
        <v>45676.0</v>
      </c>
      <c r="L179" s="453">
        <v>0.0</v>
      </c>
      <c r="M179" s="515">
        <v>45809.0</v>
      </c>
      <c r="N179" s="515">
        <v>45838.0</v>
      </c>
    </row>
    <row r="180">
      <c r="A180" s="452" t="s">
        <v>16</v>
      </c>
      <c r="B180" s="453">
        <v>4320.0</v>
      </c>
      <c r="C180" s="454"/>
      <c r="D180" s="453">
        <v>0.0</v>
      </c>
      <c r="E180" s="452" t="s">
        <v>660</v>
      </c>
      <c r="F180" s="452" t="s">
        <v>127</v>
      </c>
      <c r="G180" s="452" t="s">
        <v>128</v>
      </c>
      <c r="H180" s="455"/>
      <c r="I180" s="457">
        <v>36132.0</v>
      </c>
      <c r="J180" s="457">
        <v>45117.0</v>
      </c>
      <c r="K180" s="456">
        <v>45260.0</v>
      </c>
      <c r="L180" s="453">
        <v>0.0</v>
      </c>
      <c r="M180" s="515">
        <v>45809.0</v>
      </c>
      <c r="N180" s="515">
        <v>45838.0</v>
      </c>
    </row>
    <row r="181">
      <c r="A181" s="452" t="s">
        <v>16</v>
      </c>
      <c r="B181" s="453">
        <v>4320.0</v>
      </c>
      <c r="C181" s="454"/>
      <c r="D181" s="453">
        <v>0.0</v>
      </c>
      <c r="E181" s="452" t="s">
        <v>398</v>
      </c>
      <c r="F181" s="452" t="s">
        <v>399</v>
      </c>
      <c r="G181" s="452" t="s">
        <v>400</v>
      </c>
      <c r="H181" s="455"/>
      <c r="I181" s="457">
        <v>36655.0</v>
      </c>
      <c r="J181" s="457">
        <v>45418.0</v>
      </c>
      <c r="K181" s="457">
        <v>45539.0</v>
      </c>
      <c r="L181" s="453">
        <v>0.0</v>
      </c>
      <c r="M181" s="515">
        <v>45809.0</v>
      </c>
      <c r="N181" s="515">
        <v>45838.0</v>
      </c>
    </row>
    <row r="182">
      <c r="A182" s="452" t="s">
        <v>16</v>
      </c>
      <c r="B182" s="453">
        <v>4320.0</v>
      </c>
      <c r="C182" s="454"/>
      <c r="D182" s="453">
        <v>0.0</v>
      </c>
      <c r="E182" s="452" t="s">
        <v>661</v>
      </c>
      <c r="F182" s="452" t="s">
        <v>662</v>
      </c>
      <c r="G182" s="452" t="s">
        <v>663</v>
      </c>
      <c r="H182" s="455"/>
      <c r="I182" s="457">
        <v>31262.0</v>
      </c>
      <c r="J182" s="457">
        <v>45048.0</v>
      </c>
      <c r="K182" s="456">
        <v>45199.0</v>
      </c>
      <c r="L182" s="453">
        <v>0.0</v>
      </c>
      <c r="M182" s="515">
        <v>45809.0</v>
      </c>
      <c r="N182" s="515">
        <v>45838.0</v>
      </c>
    </row>
    <row r="183">
      <c r="A183" s="452" t="s">
        <v>16</v>
      </c>
      <c r="B183" s="453">
        <v>4320.0</v>
      </c>
      <c r="C183" s="454"/>
      <c r="D183" s="453">
        <v>0.0</v>
      </c>
      <c r="E183" s="452" t="s">
        <v>147</v>
      </c>
      <c r="F183" s="452" t="s">
        <v>148</v>
      </c>
      <c r="G183" s="452" t="s">
        <v>149</v>
      </c>
      <c r="H183" s="455"/>
      <c r="I183" s="457">
        <v>36541.0</v>
      </c>
      <c r="J183" s="457">
        <v>44755.0</v>
      </c>
      <c r="K183" s="457">
        <v>45386.0</v>
      </c>
      <c r="L183" s="453">
        <v>0.0</v>
      </c>
      <c r="M183" s="515">
        <v>45809.0</v>
      </c>
      <c r="N183" s="515">
        <v>45838.0</v>
      </c>
    </row>
    <row r="184">
      <c r="A184" s="452" t="s">
        <v>16</v>
      </c>
      <c r="B184" s="453">
        <v>4320.0</v>
      </c>
      <c r="C184" s="454"/>
      <c r="D184" s="453">
        <v>0.0</v>
      </c>
      <c r="E184" s="452" t="s">
        <v>150</v>
      </c>
      <c r="F184" s="452" t="s">
        <v>151</v>
      </c>
      <c r="G184" s="452" t="s">
        <v>152</v>
      </c>
      <c r="H184" s="455"/>
      <c r="I184" s="457">
        <v>34335.0</v>
      </c>
      <c r="J184" s="457">
        <v>45078.0</v>
      </c>
      <c r="K184" s="457">
        <v>45400.0</v>
      </c>
      <c r="L184" s="453">
        <v>0.0</v>
      </c>
      <c r="M184" s="515">
        <v>45809.0</v>
      </c>
      <c r="N184" s="515">
        <v>45838.0</v>
      </c>
    </row>
    <row r="185">
      <c r="A185" s="452" t="s">
        <v>16</v>
      </c>
      <c r="B185" s="453">
        <v>4320.0</v>
      </c>
      <c r="C185" s="454"/>
      <c r="D185" s="453">
        <v>0.0</v>
      </c>
      <c r="E185" s="452" t="s">
        <v>153</v>
      </c>
      <c r="F185" s="452" t="s">
        <v>154</v>
      </c>
      <c r="G185" s="452" t="s">
        <v>155</v>
      </c>
      <c r="H185" s="455"/>
      <c r="I185" s="456">
        <v>31014.0</v>
      </c>
      <c r="J185" s="457">
        <v>44805.0</v>
      </c>
      <c r="K185" s="456">
        <v>45199.0</v>
      </c>
      <c r="L185" s="453">
        <v>0.0</v>
      </c>
      <c r="M185" s="515">
        <v>45809.0</v>
      </c>
      <c r="N185" s="515">
        <v>45838.0</v>
      </c>
    </row>
    <row r="186">
      <c r="A186" s="452" t="s">
        <v>16</v>
      </c>
      <c r="B186" s="453">
        <v>4320.0</v>
      </c>
      <c r="C186" s="454"/>
      <c r="D186" s="453">
        <v>0.0</v>
      </c>
      <c r="E186" s="452" t="s">
        <v>558</v>
      </c>
      <c r="F186" s="452" t="s">
        <v>559</v>
      </c>
      <c r="G186" s="452" t="s">
        <v>560</v>
      </c>
      <c r="H186" s="455"/>
      <c r="I186" s="457">
        <v>33811.0</v>
      </c>
      <c r="J186" s="457">
        <v>45663.0</v>
      </c>
      <c r="K186" s="456">
        <v>45667.0</v>
      </c>
      <c r="L186" s="453">
        <v>0.0</v>
      </c>
      <c r="M186" s="515">
        <v>45809.0</v>
      </c>
      <c r="N186" s="515">
        <v>45838.0</v>
      </c>
    </row>
    <row r="187">
      <c r="A187" s="452" t="s">
        <v>16</v>
      </c>
      <c r="B187" s="453">
        <v>4320.0</v>
      </c>
      <c r="C187" s="454"/>
      <c r="D187" s="453">
        <v>0.0</v>
      </c>
      <c r="E187" s="452" t="s">
        <v>664</v>
      </c>
      <c r="F187" s="452" t="s">
        <v>157</v>
      </c>
      <c r="G187" s="452" t="s">
        <v>158</v>
      </c>
      <c r="H187" s="455"/>
      <c r="I187" s="456">
        <v>35150.0</v>
      </c>
      <c r="J187" s="457">
        <v>45079.0</v>
      </c>
      <c r="K187" s="456">
        <v>45322.0</v>
      </c>
      <c r="L187" s="453">
        <v>0.0</v>
      </c>
      <c r="M187" s="515">
        <v>45809.0</v>
      </c>
      <c r="N187" s="515">
        <v>45838.0</v>
      </c>
    </row>
    <row r="188">
      <c r="A188" s="452" t="s">
        <v>16</v>
      </c>
      <c r="B188" s="453">
        <v>4320.0</v>
      </c>
      <c r="C188" s="454"/>
      <c r="D188" s="453">
        <v>0.0</v>
      </c>
      <c r="E188" s="452" t="s">
        <v>495</v>
      </c>
      <c r="F188" s="452" t="s">
        <v>538</v>
      </c>
      <c r="G188" s="452" t="s">
        <v>496</v>
      </c>
      <c r="H188" s="455"/>
      <c r="I188" s="457">
        <v>33452.0</v>
      </c>
      <c r="J188" s="457">
        <v>45628.0</v>
      </c>
      <c r="K188" s="456">
        <v>45728.0</v>
      </c>
      <c r="L188" s="453">
        <v>0.0</v>
      </c>
      <c r="M188" s="515">
        <v>45809.0</v>
      </c>
      <c r="N188" s="515">
        <v>45838.0</v>
      </c>
    </row>
    <row r="189">
      <c r="A189" s="452" t="s">
        <v>16</v>
      </c>
      <c r="B189" s="453">
        <v>4320.0</v>
      </c>
      <c r="C189" s="454"/>
      <c r="D189" s="453">
        <v>0.0</v>
      </c>
      <c r="E189" s="452" t="s">
        <v>665</v>
      </c>
      <c r="F189" s="452" t="s">
        <v>160</v>
      </c>
      <c r="G189" s="452" t="s">
        <v>161</v>
      </c>
      <c r="H189" s="455"/>
      <c r="I189" s="456">
        <v>35779.0</v>
      </c>
      <c r="J189" s="457">
        <v>45176.0</v>
      </c>
      <c r="K189" s="457">
        <v>45317.0</v>
      </c>
      <c r="L189" s="453">
        <v>0.0</v>
      </c>
      <c r="M189" s="515">
        <v>45809.0</v>
      </c>
      <c r="N189" s="515">
        <v>45838.0</v>
      </c>
    </row>
    <row r="190">
      <c r="A190" s="452" t="s">
        <v>16</v>
      </c>
      <c r="B190" s="453">
        <v>4320.0</v>
      </c>
      <c r="C190" s="454"/>
      <c r="D190" s="453">
        <v>0.0</v>
      </c>
      <c r="E190" s="452" t="s">
        <v>240</v>
      </c>
      <c r="F190" s="452" t="s">
        <v>241</v>
      </c>
      <c r="G190" s="452" t="s">
        <v>242</v>
      </c>
      <c r="H190" s="455"/>
      <c r="I190" s="457">
        <v>33762.0</v>
      </c>
      <c r="J190" s="456">
        <v>45222.0</v>
      </c>
      <c r="K190" s="457">
        <v>45046.0</v>
      </c>
      <c r="L190" s="453">
        <v>0.0</v>
      </c>
      <c r="M190" s="515">
        <v>45809.0</v>
      </c>
      <c r="N190" s="515">
        <v>45838.0</v>
      </c>
    </row>
    <row r="191">
      <c r="A191" s="452" t="s">
        <v>16</v>
      </c>
      <c r="B191" s="453">
        <v>4320.0</v>
      </c>
      <c r="C191" s="454"/>
      <c r="D191" s="453">
        <v>0.0</v>
      </c>
      <c r="E191" s="452" t="s">
        <v>168</v>
      </c>
      <c r="F191" s="452" t="s">
        <v>169</v>
      </c>
      <c r="G191" s="452" t="s">
        <v>170</v>
      </c>
      <c r="H191" s="455"/>
      <c r="I191" s="458">
        <v>35931.0</v>
      </c>
      <c r="J191" s="457">
        <v>44958.0</v>
      </c>
      <c r="K191" s="462">
        <v>45322.0</v>
      </c>
      <c r="L191" s="453">
        <v>0.0</v>
      </c>
      <c r="M191" s="515">
        <v>45809.0</v>
      </c>
      <c r="N191" s="515">
        <v>45838.0</v>
      </c>
    </row>
    <row r="192">
      <c r="A192" s="452" t="s">
        <v>16</v>
      </c>
      <c r="B192" s="453">
        <v>4320.0</v>
      </c>
      <c r="C192" s="454"/>
      <c r="D192" s="453">
        <v>0.0</v>
      </c>
      <c r="E192" s="452" t="s">
        <v>358</v>
      </c>
      <c r="F192" s="452" t="s">
        <v>359</v>
      </c>
      <c r="G192" s="452" t="s">
        <v>360</v>
      </c>
      <c r="H192" s="455"/>
      <c r="I192" s="458">
        <v>37397.0</v>
      </c>
      <c r="J192" s="456">
        <v>45377.0</v>
      </c>
      <c r="K192" s="456">
        <v>45454.0</v>
      </c>
      <c r="L192" s="453">
        <v>0.0</v>
      </c>
      <c r="M192" s="515">
        <v>45809.0</v>
      </c>
      <c r="N192" s="515">
        <v>45838.0</v>
      </c>
      <c r="O192" s="383"/>
      <c r="P192" s="383"/>
      <c r="Q192" s="383"/>
      <c r="R192" s="383"/>
      <c r="S192" s="383"/>
      <c r="T192" s="383"/>
      <c r="U192" s="383"/>
      <c r="V192" s="383"/>
      <c r="W192" s="383"/>
    </row>
    <row r="193">
      <c r="A193" s="452" t="s">
        <v>16</v>
      </c>
      <c r="B193" s="453">
        <v>4320.0</v>
      </c>
      <c r="C193" s="454"/>
      <c r="D193" s="453">
        <v>0.0</v>
      </c>
      <c r="E193" s="452" t="s">
        <v>276</v>
      </c>
      <c r="F193" s="452" t="s">
        <v>277</v>
      </c>
      <c r="G193" s="452" t="s">
        <v>278</v>
      </c>
      <c r="H193" s="455"/>
      <c r="I193" s="456">
        <v>37479.0</v>
      </c>
      <c r="J193" s="457">
        <v>45320.0</v>
      </c>
      <c r="K193" s="456">
        <v>45453.0</v>
      </c>
      <c r="L193" s="453">
        <v>0.0</v>
      </c>
      <c r="M193" s="515">
        <v>45809.0</v>
      </c>
      <c r="N193" s="515">
        <v>45838.0</v>
      </c>
      <c r="O193" s="383"/>
      <c r="P193" s="383"/>
      <c r="Q193" s="383"/>
      <c r="R193" s="383"/>
      <c r="S193" s="383"/>
      <c r="T193" s="383"/>
      <c r="U193" s="383"/>
      <c r="V193" s="383"/>
      <c r="W193" s="383"/>
    </row>
    <row r="194">
      <c r="A194" s="452" t="s">
        <v>16</v>
      </c>
      <c r="B194" s="453">
        <v>4320.0</v>
      </c>
      <c r="C194" s="454"/>
      <c r="D194" s="453">
        <v>0.0</v>
      </c>
      <c r="E194" s="452" t="s">
        <v>171</v>
      </c>
      <c r="F194" s="452" t="s">
        <v>172</v>
      </c>
      <c r="G194" s="452" t="s">
        <v>173</v>
      </c>
      <c r="H194" s="455"/>
      <c r="I194" s="457">
        <v>37005.0</v>
      </c>
      <c r="J194" s="456">
        <v>44802.0</v>
      </c>
      <c r="K194" s="457">
        <v>45303.0</v>
      </c>
      <c r="L194" s="453">
        <v>0.0</v>
      </c>
      <c r="M194" s="515">
        <v>45809.0</v>
      </c>
      <c r="N194" s="515">
        <v>45838.0</v>
      </c>
      <c r="O194" s="383"/>
      <c r="P194" s="383"/>
      <c r="Q194" s="383"/>
      <c r="R194" s="383"/>
      <c r="S194" s="383"/>
      <c r="T194" s="383"/>
      <c r="U194" s="383"/>
      <c r="V194" s="383"/>
      <c r="W194" s="383"/>
    </row>
    <row r="195">
      <c r="A195" s="452" t="s">
        <v>16</v>
      </c>
      <c r="B195" s="453">
        <v>4320.0</v>
      </c>
      <c r="C195" s="454"/>
      <c r="D195" s="453">
        <v>0.0</v>
      </c>
      <c r="E195" s="452" t="s">
        <v>243</v>
      </c>
      <c r="F195" s="452" t="s">
        <v>244</v>
      </c>
      <c r="G195" s="452" t="s">
        <v>245</v>
      </c>
      <c r="H195" s="455"/>
      <c r="I195" s="456">
        <v>36109.0</v>
      </c>
      <c r="J195" s="456">
        <v>45250.0</v>
      </c>
      <c r="K195" s="457">
        <v>45416.0</v>
      </c>
      <c r="L195" s="453">
        <v>0.0</v>
      </c>
      <c r="M195" s="515">
        <v>45809.0</v>
      </c>
      <c r="N195" s="515">
        <v>45838.0</v>
      </c>
      <c r="O195" s="383"/>
      <c r="P195" s="383"/>
      <c r="Q195" s="383"/>
      <c r="R195" s="383"/>
      <c r="S195" s="383"/>
      <c r="T195" s="383"/>
      <c r="U195" s="383"/>
      <c r="V195" s="383"/>
      <c r="W195" s="383"/>
    </row>
    <row r="196">
      <c r="A196" s="452" t="s">
        <v>16</v>
      </c>
      <c r="B196" s="453">
        <v>4320.0</v>
      </c>
      <c r="C196" s="454"/>
      <c r="D196" s="453">
        <v>0.0</v>
      </c>
      <c r="E196" s="452" t="s">
        <v>180</v>
      </c>
      <c r="F196" s="452" t="s">
        <v>181</v>
      </c>
      <c r="G196" s="452" t="s">
        <v>182</v>
      </c>
      <c r="H196" s="455"/>
      <c r="I196" s="458">
        <v>36297.0</v>
      </c>
      <c r="J196" s="456">
        <v>45001.0</v>
      </c>
      <c r="K196" s="456">
        <v>45359.0</v>
      </c>
      <c r="L196" s="453">
        <v>0.0</v>
      </c>
      <c r="M196" s="515">
        <v>45809.0</v>
      </c>
      <c r="N196" s="515">
        <v>45838.0</v>
      </c>
      <c r="O196" s="383"/>
      <c r="P196" s="383"/>
      <c r="Q196" s="383"/>
      <c r="R196" s="383"/>
      <c r="S196" s="383"/>
      <c r="T196" s="383"/>
      <c r="U196" s="383"/>
      <c r="V196" s="383"/>
      <c r="W196" s="383"/>
    </row>
    <row r="197">
      <c r="A197" s="452" t="s">
        <v>16</v>
      </c>
      <c r="B197" s="453">
        <v>4320.0</v>
      </c>
      <c r="C197" s="454"/>
      <c r="D197" s="453">
        <v>0.0</v>
      </c>
      <c r="E197" s="452" t="s">
        <v>258</v>
      </c>
      <c r="F197" s="452" t="s">
        <v>259</v>
      </c>
      <c r="G197" s="452" t="s">
        <v>260</v>
      </c>
      <c r="H197" s="455"/>
      <c r="I197" s="457">
        <v>35447.0</v>
      </c>
      <c r="J197" s="456">
        <v>45273.0</v>
      </c>
      <c r="K197" s="456">
        <v>45565.0</v>
      </c>
      <c r="L197" s="453">
        <v>0.0</v>
      </c>
      <c r="M197" s="515">
        <v>45809.0</v>
      </c>
      <c r="N197" s="515">
        <v>45838.0</v>
      </c>
      <c r="O197" s="383"/>
      <c r="P197" s="383"/>
      <c r="Q197" s="383"/>
      <c r="R197" s="383"/>
      <c r="S197" s="383"/>
      <c r="T197" s="383"/>
      <c r="U197" s="383"/>
      <c r="V197" s="383"/>
      <c r="W197" s="383"/>
    </row>
    <row r="198">
      <c r="A198" s="452" t="s">
        <v>16</v>
      </c>
      <c r="B198" s="453">
        <v>4320.0</v>
      </c>
      <c r="C198" s="454"/>
      <c r="D198" s="453">
        <v>0.0</v>
      </c>
      <c r="E198" s="452" t="s">
        <v>192</v>
      </c>
      <c r="F198" s="452" t="s">
        <v>193</v>
      </c>
      <c r="G198" s="452" t="s">
        <v>194</v>
      </c>
      <c r="H198" s="455"/>
      <c r="I198" s="457">
        <v>36075.0</v>
      </c>
      <c r="J198" s="456">
        <v>44977.0</v>
      </c>
      <c r="K198" s="456">
        <v>45351.0</v>
      </c>
      <c r="L198" s="453">
        <v>0.0</v>
      </c>
      <c r="M198" s="515">
        <v>45809.0</v>
      </c>
      <c r="N198" s="515">
        <v>45838.0</v>
      </c>
      <c r="O198" s="383"/>
      <c r="P198" s="383"/>
      <c r="Q198" s="383"/>
      <c r="R198" s="383"/>
      <c r="S198" s="383"/>
      <c r="T198" s="383"/>
      <c r="U198" s="383"/>
      <c r="V198" s="383"/>
      <c r="W198" s="383"/>
    </row>
    <row r="199">
      <c r="A199" s="452" t="s">
        <v>16</v>
      </c>
      <c r="B199" s="453">
        <v>4320.0</v>
      </c>
      <c r="C199" s="454"/>
      <c r="D199" s="453">
        <v>0.0</v>
      </c>
      <c r="E199" s="452" t="s">
        <v>201</v>
      </c>
      <c r="F199" s="452" t="s">
        <v>202</v>
      </c>
      <c r="G199" s="452" t="s">
        <v>203</v>
      </c>
      <c r="H199" s="455"/>
      <c r="I199" s="456">
        <v>36574.0</v>
      </c>
      <c r="J199" s="456">
        <v>45187.0</v>
      </c>
      <c r="K199" s="457">
        <v>45544.0</v>
      </c>
      <c r="L199" s="453">
        <v>0.0</v>
      </c>
      <c r="M199" s="515">
        <v>45809.0</v>
      </c>
      <c r="N199" s="515">
        <v>45838.0</v>
      </c>
      <c r="O199" s="466"/>
      <c r="P199" s="466"/>
      <c r="Q199" s="466"/>
      <c r="R199" s="466"/>
      <c r="S199" s="466"/>
      <c r="T199" s="466"/>
      <c r="U199" s="466"/>
      <c r="V199" s="466"/>
      <c r="W199" s="466"/>
    </row>
    <row r="200">
      <c r="A200" s="452" t="s">
        <v>16</v>
      </c>
      <c r="B200" s="453">
        <v>4320.0</v>
      </c>
      <c r="C200" s="454"/>
      <c r="D200" s="453">
        <v>0.0</v>
      </c>
      <c r="E200" s="452" t="s">
        <v>667</v>
      </c>
      <c r="F200" s="452" t="s">
        <v>668</v>
      </c>
      <c r="G200" s="452" t="s">
        <v>669</v>
      </c>
      <c r="H200" s="455"/>
      <c r="I200" s="456">
        <v>33961.0</v>
      </c>
      <c r="J200" s="456">
        <v>45229.0</v>
      </c>
      <c r="K200" s="456">
        <v>45408.0</v>
      </c>
      <c r="L200" s="453">
        <v>0.0</v>
      </c>
      <c r="M200" s="515">
        <v>45809.0</v>
      </c>
      <c r="N200" s="515">
        <v>45838.0</v>
      </c>
      <c r="O200" s="466"/>
      <c r="P200" s="466"/>
      <c r="Q200" s="466"/>
      <c r="R200" s="466"/>
      <c r="S200" s="466"/>
      <c r="T200" s="466"/>
      <c r="U200" s="466"/>
      <c r="V200" s="466"/>
      <c r="W200" s="466"/>
    </row>
    <row r="201">
      <c r="A201" s="452" t="s">
        <v>16</v>
      </c>
      <c r="B201" s="453">
        <v>4320.0</v>
      </c>
      <c r="C201" s="454"/>
      <c r="D201" s="453">
        <v>0.0</v>
      </c>
      <c r="E201" s="452" t="s">
        <v>670</v>
      </c>
      <c r="F201" s="452" t="s">
        <v>671</v>
      </c>
      <c r="G201" s="452" t="s">
        <v>672</v>
      </c>
      <c r="H201" s="455"/>
      <c r="I201" s="456">
        <v>36386.0</v>
      </c>
      <c r="J201" s="457">
        <v>45111.0</v>
      </c>
      <c r="K201" s="457">
        <v>45394.0</v>
      </c>
      <c r="L201" s="453">
        <v>0.0</v>
      </c>
      <c r="M201" s="515">
        <v>45809.0</v>
      </c>
      <c r="N201" s="515">
        <v>45838.0</v>
      </c>
      <c r="O201" s="466"/>
      <c r="P201" s="466"/>
      <c r="Q201" s="466"/>
      <c r="R201" s="466"/>
      <c r="S201" s="466"/>
      <c r="T201" s="466"/>
      <c r="U201" s="466"/>
      <c r="V201" s="466"/>
      <c r="W201" s="466"/>
    </row>
    <row r="202">
      <c r="A202" s="452" t="s">
        <v>16</v>
      </c>
      <c r="B202" s="453">
        <v>4320.0</v>
      </c>
      <c r="C202" s="454"/>
      <c r="D202" s="453">
        <v>0.0</v>
      </c>
      <c r="E202" s="452" t="s">
        <v>207</v>
      </c>
      <c r="F202" s="452" t="s">
        <v>208</v>
      </c>
      <c r="G202" s="452" t="s">
        <v>209</v>
      </c>
      <c r="H202" s="455"/>
      <c r="I202" s="456">
        <v>33156.0</v>
      </c>
      <c r="J202" s="457">
        <v>44562.0</v>
      </c>
      <c r="K202" s="456">
        <v>45473.0</v>
      </c>
      <c r="L202" s="453">
        <v>0.0</v>
      </c>
      <c r="M202" s="515">
        <v>45809.0</v>
      </c>
      <c r="N202" s="515">
        <v>45838.0</v>
      </c>
      <c r="O202" s="466"/>
      <c r="P202" s="466"/>
      <c r="Q202" s="466"/>
      <c r="R202" s="466"/>
      <c r="S202" s="466"/>
      <c r="T202" s="466"/>
      <c r="U202" s="466"/>
      <c r="V202" s="466"/>
      <c r="W202" s="466"/>
    </row>
    <row r="203">
      <c r="A203" s="452" t="s">
        <v>16</v>
      </c>
      <c r="B203" s="453">
        <v>4320.0</v>
      </c>
      <c r="C203" s="454"/>
      <c r="D203" s="453">
        <v>0.0</v>
      </c>
      <c r="E203" s="452" t="s">
        <v>304</v>
      </c>
      <c r="F203" s="452" t="s">
        <v>305</v>
      </c>
      <c r="G203" s="452" t="s">
        <v>306</v>
      </c>
      <c r="H203" s="455"/>
      <c r="I203" s="456">
        <v>35697.0</v>
      </c>
      <c r="J203" s="456">
        <v>45348.0</v>
      </c>
      <c r="K203" s="456">
        <v>45698.0</v>
      </c>
      <c r="L203" s="453">
        <v>0.0</v>
      </c>
      <c r="M203" s="515">
        <v>45809.0</v>
      </c>
      <c r="N203" s="515">
        <v>45838.0</v>
      </c>
      <c r="O203" s="466"/>
      <c r="P203" s="466"/>
      <c r="Q203" s="466"/>
      <c r="R203" s="466"/>
      <c r="S203" s="466"/>
      <c r="T203" s="466"/>
      <c r="U203" s="466"/>
      <c r="V203" s="466"/>
      <c r="W203" s="466"/>
    </row>
    <row r="204">
      <c r="A204" s="452" t="s">
        <v>16</v>
      </c>
      <c r="B204" s="453">
        <v>4320.0</v>
      </c>
      <c r="C204" s="454"/>
      <c r="D204" s="453">
        <v>0.0</v>
      </c>
      <c r="E204" s="452" t="s">
        <v>213</v>
      </c>
      <c r="F204" s="452" t="s">
        <v>214</v>
      </c>
      <c r="G204" s="452" t="s">
        <v>215</v>
      </c>
      <c r="H204" s="455"/>
      <c r="I204" s="456">
        <v>36797.0</v>
      </c>
      <c r="J204" s="456">
        <v>44886.0</v>
      </c>
      <c r="K204" s="456">
        <v>45747.0</v>
      </c>
      <c r="L204" s="453">
        <v>0.0</v>
      </c>
      <c r="M204" s="515">
        <v>45809.0</v>
      </c>
      <c r="N204" s="515">
        <v>45838.0</v>
      </c>
      <c r="O204" s="466"/>
      <c r="P204" s="466"/>
      <c r="Q204" s="466"/>
      <c r="R204" s="466"/>
      <c r="S204" s="466"/>
      <c r="T204" s="466"/>
      <c r="U204" s="466"/>
      <c r="V204" s="466"/>
      <c r="W204" s="466"/>
    </row>
    <row r="205">
      <c r="A205" s="452" t="s">
        <v>16</v>
      </c>
      <c r="B205" s="453">
        <v>4320.0</v>
      </c>
      <c r="C205" s="454"/>
      <c r="D205" s="453">
        <v>0.0</v>
      </c>
      <c r="E205" s="452" t="s">
        <v>673</v>
      </c>
      <c r="F205" s="452" t="s">
        <v>674</v>
      </c>
      <c r="G205" s="452" t="s">
        <v>675</v>
      </c>
      <c r="H205" s="455"/>
      <c r="I205" s="456">
        <v>36961.0</v>
      </c>
      <c r="J205" s="457">
        <v>44593.0</v>
      </c>
      <c r="K205" s="456">
        <v>45457.0</v>
      </c>
      <c r="L205" s="453">
        <v>0.0</v>
      </c>
      <c r="M205" s="515">
        <v>45809.0</v>
      </c>
      <c r="N205" s="515">
        <v>45838.0</v>
      </c>
      <c r="O205" s="466"/>
      <c r="P205" s="466"/>
      <c r="Q205" s="466"/>
      <c r="R205" s="466"/>
      <c r="S205" s="466"/>
      <c r="T205" s="466"/>
      <c r="U205" s="466"/>
      <c r="V205" s="466"/>
      <c r="W205" s="466"/>
    </row>
    <row r="206">
      <c r="A206" s="452" t="s">
        <v>16</v>
      </c>
      <c r="B206" s="453">
        <v>4320.0</v>
      </c>
      <c r="C206" s="454"/>
      <c r="D206" s="453">
        <v>0.0</v>
      </c>
      <c r="E206" s="452" t="s">
        <v>222</v>
      </c>
      <c r="F206" s="452" t="s">
        <v>223</v>
      </c>
      <c r="G206" s="452" t="s">
        <v>224</v>
      </c>
      <c r="H206" s="455"/>
      <c r="I206" s="457">
        <v>35818.0</v>
      </c>
      <c r="J206" s="457">
        <v>45089.0</v>
      </c>
      <c r="K206" s="456">
        <v>45747.0</v>
      </c>
      <c r="L206" s="453">
        <v>0.0</v>
      </c>
      <c r="M206" s="515">
        <v>45809.0</v>
      </c>
      <c r="N206" s="515">
        <v>45838.0</v>
      </c>
      <c r="O206" s="466"/>
      <c r="P206" s="466"/>
      <c r="Q206" s="466"/>
      <c r="R206" s="466"/>
      <c r="S206" s="466"/>
      <c r="T206" s="466"/>
      <c r="U206" s="466"/>
      <c r="V206" s="466"/>
      <c r="W206" s="466"/>
    </row>
    <row r="207">
      <c r="A207" s="452" t="s">
        <v>16</v>
      </c>
      <c r="B207" s="453">
        <v>4320.0</v>
      </c>
      <c r="C207" s="454"/>
      <c r="D207" s="453">
        <v>0.0</v>
      </c>
      <c r="E207" s="452" t="s">
        <v>679</v>
      </c>
      <c r="F207" s="452" t="s">
        <v>680</v>
      </c>
      <c r="G207" s="452" t="s">
        <v>681</v>
      </c>
      <c r="H207" s="455"/>
      <c r="I207" s="457">
        <v>34915.0</v>
      </c>
      <c r="J207" s="456">
        <v>45153.0</v>
      </c>
      <c r="K207" s="457">
        <v>45306.0</v>
      </c>
      <c r="L207" s="453">
        <v>0.0</v>
      </c>
      <c r="M207" s="515">
        <v>45809.0</v>
      </c>
      <c r="N207" s="515">
        <v>45838.0</v>
      </c>
      <c r="O207" s="466"/>
      <c r="P207" s="466"/>
      <c r="Q207" s="466"/>
      <c r="R207" s="466"/>
      <c r="S207" s="466"/>
      <c r="T207" s="466"/>
      <c r="U207" s="466"/>
      <c r="V207" s="466"/>
      <c r="W207" s="466"/>
    </row>
    <row r="208">
      <c r="A208" s="452" t="s">
        <v>16</v>
      </c>
      <c r="B208" s="453">
        <v>4320.0</v>
      </c>
      <c r="C208" s="454"/>
      <c r="D208" s="453">
        <v>0.0</v>
      </c>
      <c r="E208" s="452" t="s">
        <v>682</v>
      </c>
      <c r="F208" s="452" t="s">
        <v>683</v>
      </c>
      <c r="G208" s="452" t="s">
        <v>684</v>
      </c>
      <c r="H208" s="455"/>
      <c r="I208" s="457">
        <v>36545.0</v>
      </c>
      <c r="J208" s="457">
        <v>44562.0</v>
      </c>
      <c r="K208" s="457">
        <v>45476.0</v>
      </c>
      <c r="L208" s="453">
        <v>0.0</v>
      </c>
      <c r="M208" s="515">
        <v>45809.0</v>
      </c>
      <c r="N208" s="515">
        <v>45838.0</v>
      </c>
      <c r="O208" s="466"/>
      <c r="P208" s="466"/>
      <c r="Q208" s="466"/>
      <c r="R208" s="466"/>
      <c r="S208" s="466"/>
      <c r="T208" s="466"/>
      <c r="U208" s="466"/>
      <c r="V208" s="466"/>
      <c r="W208" s="466"/>
    </row>
    <row r="209">
      <c r="A209" s="452" t="s">
        <v>16</v>
      </c>
      <c r="B209" s="453">
        <v>4320.0</v>
      </c>
      <c r="C209" s="454"/>
      <c r="D209" s="453">
        <v>0.0</v>
      </c>
      <c r="E209" s="452" t="s">
        <v>307</v>
      </c>
      <c r="F209" s="452" t="s">
        <v>308</v>
      </c>
      <c r="G209" s="452" t="s">
        <v>309</v>
      </c>
      <c r="H209" s="455"/>
      <c r="I209" s="456">
        <v>36522.0</v>
      </c>
      <c r="J209" s="457">
        <v>45328.0</v>
      </c>
      <c r="K209" s="456">
        <v>45572.0</v>
      </c>
      <c r="L209" s="453">
        <v>0.0</v>
      </c>
      <c r="M209" s="515">
        <v>45809.0</v>
      </c>
      <c r="N209" s="515">
        <v>45838.0</v>
      </c>
      <c r="O209" s="466"/>
      <c r="P209" s="466"/>
      <c r="Q209" s="466"/>
      <c r="R209" s="466"/>
      <c r="S209" s="466"/>
      <c r="T209" s="466"/>
      <c r="U209" s="466"/>
      <c r="V209" s="466"/>
      <c r="W209" s="466"/>
    </row>
    <row r="210">
      <c r="A210" s="452" t="s">
        <v>16</v>
      </c>
      <c r="B210" s="453">
        <v>4320.0</v>
      </c>
      <c r="C210" s="454"/>
      <c r="D210" s="453">
        <v>0.0</v>
      </c>
      <c r="E210" s="517" t="s">
        <v>845</v>
      </c>
      <c r="F210" s="366" t="s">
        <v>846</v>
      </c>
      <c r="G210" s="366" t="s">
        <v>847</v>
      </c>
      <c r="H210" s="369"/>
      <c r="I210" s="518">
        <v>34794.0</v>
      </c>
      <c r="J210" s="370">
        <v>45809.0</v>
      </c>
      <c r="K210" s="371"/>
      <c r="L210" s="519">
        <v>30.0</v>
      </c>
      <c r="M210" s="515">
        <v>45809.0</v>
      </c>
      <c r="N210" s="515">
        <v>45838.0</v>
      </c>
      <c r="O210" s="466"/>
      <c r="P210" s="466"/>
      <c r="Q210" s="466"/>
      <c r="R210" s="466"/>
      <c r="S210" s="466"/>
      <c r="T210" s="466"/>
      <c r="U210" s="466"/>
      <c r="V210" s="466"/>
      <c r="W210" s="466"/>
    </row>
    <row r="211">
      <c r="A211" s="452" t="s">
        <v>16</v>
      </c>
      <c r="B211" s="453">
        <v>4320.0</v>
      </c>
      <c r="C211" s="454"/>
      <c r="D211" s="453">
        <v>0.0</v>
      </c>
      <c r="E211" s="517" t="s">
        <v>848</v>
      </c>
      <c r="F211" s="366" t="s">
        <v>849</v>
      </c>
      <c r="G211" s="366" t="s">
        <v>850</v>
      </c>
      <c r="H211" s="369"/>
      <c r="I211" s="518">
        <v>33637.0</v>
      </c>
      <c r="J211" s="371">
        <v>45809.0</v>
      </c>
      <c r="K211" s="371"/>
      <c r="L211" s="519">
        <v>30.0</v>
      </c>
      <c r="M211" s="515">
        <v>45809.0</v>
      </c>
      <c r="N211" s="515">
        <v>45838.0</v>
      </c>
      <c r="O211" s="466"/>
      <c r="P211" s="466"/>
      <c r="Q211" s="466"/>
      <c r="R211" s="466"/>
      <c r="S211" s="466"/>
      <c r="T211" s="466"/>
      <c r="U211" s="466"/>
      <c r="V211" s="466"/>
      <c r="W211" s="466"/>
    </row>
    <row r="212">
      <c r="A212" s="452" t="s">
        <v>16</v>
      </c>
      <c r="B212" s="453">
        <v>4320.0</v>
      </c>
      <c r="C212" s="454"/>
      <c r="D212" s="453">
        <v>0.0</v>
      </c>
      <c r="E212" s="517" t="s">
        <v>851</v>
      </c>
      <c r="F212" s="366" t="s">
        <v>852</v>
      </c>
      <c r="G212" s="366" t="s">
        <v>853</v>
      </c>
      <c r="H212" s="369"/>
      <c r="I212" s="371">
        <v>36113.0</v>
      </c>
      <c r="J212" s="371">
        <v>45810.0</v>
      </c>
      <c r="K212" s="371"/>
      <c r="L212" s="519">
        <v>29.0</v>
      </c>
      <c r="M212" s="515">
        <v>45809.0</v>
      </c>
      <c r="N212" s="515">
        <v>45838.0</v>
      </c>
      <c r="O212" s="466"/>
      <c r="P212" s="466"/>
      <c r="Q212" s="466"/>
      <c r="R212" s="466"/>
      <c r="S212" s="466"/>
      <c r="T212" s="466"/>
      <c r="U212" s="466"/>
      <c r="V212" s="466"/>
      <c r="W212" s="466"/>
    </row>
    <row r="213">
      <c r="A213" s="452" t="s">
        <v>16</v>
      </c>
      <c r="B213" s="453">
        <v>4320.0</v>
      </c>
      <c r="C213" s="454"/>
      <c r="D213" s="453">
        <v>0.0</v>
      </c>
      <c r="E213" s="517" t="s">
        <v>854</v>
      </c>
      <c r="F213" s="366" t="s">
        <v>855</v>
      </c>
      <c r="G213" s="366" t="s">
        <v>856</v>
      </c>
      <c r="H213" s="369"/>
      <c r="I213" s="371">
        <v>36059.0</v>
      </c>
      <c r="J213" s="371">
        <v>45810.0</v>
      </c>
      <c r="K213" s="371"/>
      <c r="L213" s="519">
        <v>29.0</v>
      </c>
      <c r="M213" s="515">
        <v>45809.0</v>
      </c>
      <c r="N213" s="515">
        <v>45838.0</v>
      </c>
      <c r="O213" s="466"/>
      <c r="P213" s="466"/>
      <c r="Q213" s="466"/>
      <c r="R213" s="466"/>
      <c r="S213" s="466"/>
      <c r="T213" s="466"/>
      <c r="U213" s="466"/>
      <c r="V213" s="466"/>
      <c r="W213" s="466"/>
    </row>
    <row r="214">
      <c r="A214" s="452" t="s">
        <v>16</v>
      </c>
      <c r="B214" s="453">
        <v>4320.0</v>
      </c>
      <c r="C214" s="454"/>
      <c r="D214" s="453">
        <v>0.0</v>
      </c>
      <c r="E214" s="517" t="s">
        <v>857</v>
      </c>
      <c r="F214" s="366" t="s">
        <v>858</v>
      </c>
      <c r="G214" s="366" t="s">
        <v>859</v>
      </c>
      <c r="H214" s="369"/>
      <c r="I214" s="371">
        <v>36087.0</v>
      </c>
      <c r="J214" s="371">
        <v>45810.0</v>
      </c>
      <c r="K214" s="371"/>
      <c r="L214" s="519">
        <v>29.0</v>
      </c>
      <c r="M214" s="515">
        <v>45809.0</v>
      </c>
      <c r="N214" s="515">
        <v>45838.0</v>
      </c>
      <c r="O214" s="466"/>
      <c r="P214" s="466"/>
      <c r="Q214" s="466"/>
      <c r="R214" s="466"/>
      <c r="S214" s="466"/>
      <c r="T214" s="466"/>
      <c r="U214" s="466"/>
      <c r="V214" s="466"/>
      <c r="W214" s="466"/>
    </row>
    <row r="215">
      <c r="A215" s="452" t="s">
        <v>16</v>
      </c>
      <c r="B215" s="453">
        <v>4320.0</v>
      </c>
      <c r="C215" s="454"/>
      <c r="D215" s="453">
        <v>0.0</v>
      </c>
      <c r="E215" s="311" t="s">
        <v>860</v>
      </c>
      <c r="F215" s="251" t="s">
        <v>861</v>
      </c>
      <c r="G215" s="251" t="s">
        <v>862</v>
      </c>
      <c r="I215" s="509">
        <v>36176.0</v>
      </c>
      <c r="J215" s="509">
        <v>45810.0</v>
      </c>
      <c r="L215" s="466">
        <v>29.0</v>
      </c>
      <c r="M215" s="515">
        <v>45809.0</v>
      </c>
      <c r="N215" s="515">
        <v>45838.0</v>
      </c>
      <c r="O215" s="466"/>
      <c r="P215" s="466"/>
      <c r="Q215" s="466"/>
      <c r="R215" s="466"/>
      <c r="S215" s="466"/>
      <c r="T215" s="466"/>
      <c r="U215" s="466"/>
      <c r="V215" s="466"/>
      <c r="W215" s="466"/>
    </row>
    <row r="216">
      <c r="A216" s="452" t="s">
        <v>16</v>
      </c>
      <c r="B216" s="453">
        <v>4320.0</v>
      </c>
      <c r="C216" s="454"/>
      <c r="D216" s="453">
        <v>0.0</v>
      </c>
      <c r="E216" s="311" t="s">
        <v>863</v>
      </c>
      <c r="F216" s="251" t="s">
        <v>864</v>
      </c>
      <c r="G216" s="251" t="s">
        <v>865</v>
      </c>
      <c r="I216" s="509">
        <v>36175.0</v>
      </c>
      <c r="J216" s="509">
        <v>45824.0</v>
      </c>
      <c r="L216" s="228">
        <v>15.0</v>
      </c>
      <c r="M216" s="515">
        <v>45809.0</v>
      </c>
      <c r="N216" s="515">
        <v>45838.0</v>
      </c>
    </row>
    <row r="217">
      <c r="A217" s="452" t="s">
        <v>16</v>
      </c>
      <c r="B217" s="453">
        <v>4320.0</v>
      </c>
      <c r="C217" s="454"/>
      <c r="D217" s="453">
        <v>0.0</v>
      </c>
      <c r="E217" s="311" t="s">
        <v>866</v>
      </c>
      <c r="F217" s="251" t="s">
        <v>867</v>
      </c>
      <c r="G217" s="251" t="s">
        <v>868</v>
      </c>
      <c r="I217" s="509">
        <v>36180.0</v>
      </c>
      <c r="J217" s="509">
        <v>45824.0</v>
      </c>
      <c r="L217" s="228">
        <v>15.0</v>
      </c>
      <c r="M217" s="515">
        <v>45809.0</v>
      </c>
      <c r="N217" s="515">
        <v>45838.0</v>
      </c>
    </row>
    <row r="218">
      <c r="A218" s="452" t="s">
        <v>16</v>
      </c>
      <c r="B218" s="453">
        <v>4320.0</v>
      </c>
      <c r="C218" s="454"/>
      <c r="D218" s="453">
        <v>0.0</v>
      </c>
      <c r="E218" s="311" t="s">
        <v>869</v>
      </c>
      <c r="F218" s="251" t="s">
        <v>870</v>
      </c>
      <c r="G218" s="251" t="s">
        <v>871</v>
      </c>
      <c r="I218" s="509">
        <v>36585.0</v>
      </c>
      <c r="J218" s="509">
        <v>45824.0</v>
      </c>
      <c r="L218" s="228">
        <v>15.0</v>
      </c>
      <c r="M218" s="515">
        <v>45809.0</v>
      </c>
      <c r="N218" s="515">
        <v>45838.0</v>
      </c>
    </row>
    <row r="219">
      <c r="A219" s="452" t="s">
        <v>16</v>
      </c>
      <c r="B219" s="453">
        <v>4320.0</v>
      </c>
      <c r="C219" s="454"/>
      <c r="D219" s="453">
        <v>0.0</v>
      </c>
      <c r="E219" s="311" t="s">
        <v>872</v>
      </c>
      <c r="F219" s="251" t="s">
        <v>873</v>
      </c>
      <c r="G219" s="251" t="s">
        <v>874</v>
      </c>
      <c r="I219" s="509">
        <v>35415.0</v>
      </c>
      <c r="J219" s="520">
        <v>45831.0</v>
      </c>
      <c r="L219" s="228">
        <v>8.0</v>
      </c>
      <c r="M219" s="515">
        <v>45809.0</v>
      </c>
      <c r="N219" s="515">
        <v>45838.0</v>
      </c>
    </row>
    <row r="220">
      <c r="A220" s="452" t="s">
        <v>16</v>
      </c>
      <c r="B220" s="453">
        <v>4320.0</v>
      </c>
      <c r="C220" s="454"/>
      <c r="D220" s="453">
        <v>0.0</v>
      </c>
      <c r="E220" s="311" t="s">
        <v>875</v>
      </c>
      <c r="F220" s="251" t="s">
        <v>876</v>
      </c>
      <c r="G220" s="452" t="s">
        <v>877</v>
      </c>
      <c r="I220" s="509">
        <v>37517.0</v>
      </c>
      <c r="J220" s="520">
        <v>45831.0</v>
      </c>
      <c r="L220" s="228">
        <v>8.0</v>
      </c>
      <c r="M220" s="515">
        <v>45809.0</v>
      </c>
      <c r="N220" s="515">
        <v>45838.0</v>
      </c>
    </row>
    <row r="221">
      <c r="A221" s="452" t="s">
        <v>16</v>
      </c>
      <c r="B221" s="453">
        <v>4320.0</v>
      </c>
      <c r="C221" s="454"/>
      <c r="D221" s="453">
        <v>0.0</v>
      </c>
      <c r="E221" s="311" t="s">
        <v>878</v>
      </c>
      <c r="F221" s="251" t="s">
        <v>879</v>
      </c>
      <c r="G221" s="251" t="s">
        <v>880</v>
      </c>
      <c r="I221" s="509">
        <v>34912.0</v>
      </c>
      <c r="J221" s="520">
        <v>45831.0</v>
      </c>
      <c r="L221" s="228">
        <v>8.0</v>
      </c>
      <c r="M221" s="515">
        <v>45809.0</v>
      </c>
      <c r="N221" s="515">
        <v>45838.0</v>
      </c>
    </row>
    <row r="222">
      <c r="A222" s="452" t="s">
        <v>16</v>
      </c>
      <c r="B222" s="453">
        <v>4320.0</v>
      </c>
      <c r="C222" s="454"/>
      <c r="D222" s="453">
        <v>0.0</v>
      </c>
      <c r="E222" s="311" t="s">
        <v>881</v>
      </c>
      <c r="F222" s="251" t="s">
        <v>882</v>
      </c>
      <c r="G222" s="251" t="s">
        <v>883</v>
      </c>
      <c r="I222" s="509">
        <v>35887.0</v>
      </c>
      <c r="J222" s="520">
        <v>45809.0</v>
      </c>
      <c r="L222" s="228">
        <v>30.0</v>
      </c>
      <c r="M222" s="515">
        <v>45809.0</v>
      </c>
      <c r="N222" s="515">
        <v>45838.0</v>
      </c>
    </row>
    <row r="223">
      <c r="D223" s="310"/>
      <c r="E223" s="311"/>
      <c r="L223" s="228">
        <f>SUM(L2:L222)</f>
        <v>3271</v>
      </c>
    </row>
    <row r="224">
      <c r="D224" s="310"/>
      <c r="E224" s="311"/>
    </row>
    <row r="225">
      <c r="D225" s="310"/>
      <c r="E225" s="311"/>
    </row>
    <row r="226">
      <c r="D226" s="310"/>
      <c r="E226" s="311"/>
    </row>
    <row r="227">
      <c r="D227" s="310"/>
      <c r="E227" s="311"/>
      <c r="L227" s="7"/>
    </row>
    <row r="228">
      <c r="D228" s="310"/>
      <c r="E228" s="311"/>
    </row>
    <row r="229">
      <c r="D229" s="310"/>
      <c r="E229" s="311"/>
    </row>
    <row r="230">
      <c r="D230" s="310"/>
      <c r="E230" s="311"/>
    </row>
    <row r="231">
      <c r="D231" s="310"/>
      <c r="E231" s="311"/>
    </row>
    <row r="232">
      <c r="D232" s="310"/>
      <c r="E232" s="311"/>
    </row>
    <row r="233">
      <c r="D233" s="310"/>
      <c r="E233" s="311"/>
    </row>
    <row r="234">
      <c r="D234" s="310"/>
      <c r="E234" s="311"/>
    </row>
    <row r="235">
      <c r="D235" s="310"/>
      <c r="E235" s="311"/>
    </row>
    <row r="236">
      <c r="D236" s="310"/>
      <c r="E236" s="311"/>
    </row>
    <row r="237">
      <c r="D237" s="310"/>
      <c r="E237" s="311"/>
    </row>
    <row r="238">
      <c r="D238" s="310"/>
      <c r="E238" s="311"/>
    </row>
    <row r="239">
      <c r="D239" s="310"/>
      <c r="E239" s="311"/>
    </row>
    <row r="240">
      <c r="D240" s="310"/>
      <c r="E240" s="311"/>
    </row>
    <row r="241">
      <c r="D241" s="310"/>
      <c r="E241" s="311"/>
    </row>
    <row r="242">
      <c r="D242" s="310"/>
      <c r="E242" s="311"/>
    </row>
    <row r="243">
      <c r="D243" s="310"/>
      <c r="E243" s="3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row r="734">
      <c r="D734" s="310"/>
      <c r="E734" s="311"/>
    </row>
    <row r="735">
      <c r="D735" s="310"/>
      <c r="E735" s="311"/>
    </row>
    <row r="736">
      <c r="D736" s="310"/>
      <c r="E736" s="311"/>
    </row>
    <row r="737">
      <c r="D737" s="310"/>
      <c r="E737" s="311"/>
    </row>
    <row r="738">
      <c r="D738" s="310"/>
      <c r="E738" s="311"/>
    </row>
    <row r="739">
      <c r="D739" s="310"/>
      <c r="E739" s="311"/>
    </row>
    <row r="740">
      <c r="D740" s="310"/>
      <c r="E740" s="311"/>
    </row>
    <row r="741">
      <c r="D741" s="310"/>
      <c r="E741" s="311"/>
    </row>
    <row r="742">
      <c r="D742" s="310"/>
      <c r="E742" s="311"/>
    </row>
    <row r="743">
      <c r="D743" s="310"/>
      <c r="E743" s="311"/>
    </row>
    <row r="744">
      <c r="D744" s="310"/>
      <c r="E744" s="311"/>
    </row>
    <row r="745">
      <c r="D745" s="310"/>
      <c r="E745" s="311"/>
    </row>
    <row r="746">
      <c r="D746" s="310"/>
      <c r="E746" s="311"/>
    </row>
    <row r="747">
      <c r="D747" s="310"/>
      <c r="E747" s="311"/>
    </row>
    <row r="748">
      <c r="D748" s="310"/>
      <c r="E748" s="311"/>
    </row>
    <row r="749">
      <c r="D749" s="310"/>
      <c r="E749" s="311"/>
    </row>
    <row r="750">
      <c r="D750" s="310"/>
      <c r="E750" s="311"/>
    </row>
    <row r="751">
      <c r="D751" s="310"/>
      <c r="E751" s="311"/>
    </row>
    <row r="752">
      <c r="D752" s="310"/>
      <c r="E752" s="311"/>
    </row>
    <row r="753">
      <c r="D753" s="310"/>
      <c r="E753" s="311"/>
    </row>
    <row r="754">
      <c r="D754" s="310"/>
      <c r="E754" s="311"/>
    </row>
    <row r="755">
      <c r="D755" s="310"/>
      <c r="E755" s="311"/>
    </row>
    <row r="756">
      <c r="D756" s="310"/>
      <c r="E756" s="311"/>
    </row>
    <row r="757">
      <c r="D757" s="310"/>
      <c r="E757" s="311"/>
    </row>
    <row r="758">
      <c r="D758" s="310"/>
      <c r="E758" s="311"/>
    </row>
    <row r="759">
      <c r="D759" s="310"/>
      <c r="E759" s="311"/>
    </row>
    <row r="760">
      <c r="D760" s="310"/>
      <c r="E760" s="311"/>
    </row>
    <row r="761">
      <c r="D761" s="310"/>
      <c r="E761" s="311"/>
    </row>
    <row r="762">
      <c r="D762" s="310"/>
      <c r="E762" s="311"/>
    </row>
    <row r="763">
      <c r="D763" s="310"/>
      <c r="E763" s="311"/>
    </row>
    <row r="764">
      <c r="D764" s="310"/>
      <c r="E764" s="311"/>
    </row>
    <row r="765">
      <c r="D765" s="310"/>
      <c r="E765" s="311"/>
    </row>
    <row r="766">
      <c r="D766" s="310"/>
      <c r="E766" s="311"/>
    </row>
    <row r="767">
      <c r="D767" s="310"/>
      <c r="E767" s="311"/>
    </row>
    <row r="768">
      <c r="D768" s="310"/>
      <c r="E768" s="311"/>
    </row>
    <row r="769">
      <c r="D769" s="310"/>
      <c r="E769" s="311"/>
    </row>
    <row r="770">
      <c r="D770" s="310"/>
      <c r="E770" s="311"/>
    </row>
    <row r="771">
      <c r="D771" s="310"/>
      <c r="E771" s="311"/>
    </row>
    <row r="772">
      <c r="D772" s="310"/>
      <c r="E772" s="311"/>
    </row>
    <row r="773">
      <c r="D773" s="310"/>
      <c r="E773" s="311"/>
    </row>
    <row r="774">
      <c r="D774" s="310"/>
      <c r="E774" s="311"/>
    </row>
    <row r="775">
      <c r="D775" s="310"/>
      <c r="E775" s="311"/>
    </row>
    <row r="776">
      <c r="D776" s="310"/>
      <c r="E776" s="311"/>
    </row>
    <row r="777">
      <c r="D777" s="310"/>
      <c r="E777" s="311"/>
    </row>
    <row r="778">
      <c r="D778" s="310"/>
      <c r="E778" s="311"/>
    </row>
    <row r="779">
      <c r="D779" s="310"/>
      <c r="E779" s="311"/>
    </row>
    <row r="780">
      <c r="D780" s="310"/>
      <c r="E780" s="311"/>
    </row>
    <row r="781">
      <c r="D781" s="310"/>
      <c r="E781" s="311"/>
    </row>
    <row r="782">
      <c r="D782" s="310"/>
      <c r="E782" s="311"/>
    </row>
    <row r="783">
      <c r="D783" s="310"/>
      <c r="E783" s="311"/>
    </row>
    <row r="784">
      <c r="D784" s="310"/>
      <c r="E784" s="311"/>
    </row>
    <row r="785">
      <c r="D785" s="310"/>
      <c r="E785" s="311"/>
    </row>
    <row r="786">
      <c r="D786" s="310"/>
      <c r="E786" s="311"/>
    </row>
    <row r="787">
      <c r="D787" s="310"/>
      <c r="E787" s="311"/>
    </row>
    <row r="788">
      <c r="D788" s="310"/>
      <c r="E788" s="311"/>
    </row>
    <row r="789">
      <c r="D789" s="310"/>
      <c r="E789" s="311"/>
    </row>
    <row r="790">
      <c r="D790" s="310"/>
      <c r="E790" s="311"/>
    </row>
    <row r="791">
      <c r="D791" s="310"/>
      <c r="E791" s="311"/>
    </row>
    <row r="792">
      <c r="D792" s="310"/>
      <c r="E792" s="311"/>
    </row>
    <row r="793">
      <c r="D793" s="310"/>
      <c r="E793" s="311"/>
    </row>
    <row r="794">
      <c r="D794" s="310"/>
      <c r="E794" s="311"/>
    </row>
    <row r="795">
      <c r="D795" s="310"/>
      <c r="E795" s="311"/>
    </row>
    <row r="796">
      <c r="D796" s="310"/>
      <c r="E796" s="311"/>
    </row>
    <row r="797">
      <c r="D797" s="310"/>
      <c r="E797" s="311"/>
    </row>
    <row r="798">
      <c r="D798" s="310"/>
      <c r="E798" s="311"/>
    </row>
    <row r="799">
      <c r="D799" s="310"/>
      <c r="E799" s="311"/>
    </row>
    <row r="800">
      <c r="D800" s="310"/>
      <c r="E800" s="311"/>
    </row>
    <row r="801">
      <c r="D801" s="310"/>
      <c r="E801" s="311"/>
    </row>
    <row r="802">
      <c r="D802" s="310"/>
      <c r="E802" s="311"/>
    </row>
    <row r="803">
      <c r="D803" s="310"/>
      <c r="E803" s="311"/>
    </row>
    <row r="804">
      <c r="D804" s="310"/>
      <c r="E804" s="311"/>
    </row>
    <row r="805">
      <c r="D805" s="310"/>
      <c r="E805" s="311"/>
    </row>
    <row r="806">
      <c r="D806" s="310"/>
      <c r="E806" s="311"/>
    </row>
    <row r="807">
      <c r="D807" s="310"/>
      <c r="E807" s="311"/>
    </row>
    <row r="808">
      <c r="D808" s="310"/>
      <c r="E808" s="311"/>
    </row>
    <row r="809">
      <c r="D809" s="310"/>
      <c r="E809" s="311"/>
    </row>
    <row r="810">
      <c r="D810" s="310"/>
      <c r="E810" s="311"/>
    </row>
    <row r="811">
      <c r="D811" s="310"/>
      <c r="E811" s="311"/>
    </row>
    <row r="812">
      <c r="D812" s="310"/>
      <c r="E812" s="311"/>
    </row>
    <row r="813">
      <c r="D813" s="310"/>
      <c r="E813" s="311"/>
    </row>
    <row r="814">
      <c r="D814" s="310"/>
      <c r="E814" s="311"/>
    </row>
    <row r="815">
      <c r="D815" s="310"/>
      <c r="E815" s="311"/>
    </row>
    <row r="816">
      <c r="D816" s="310"/>
      <c r="E816" s="311"/>
    </row>
    <row r="817">
      <c r="D817" s="310"/>
      <c r="E817" s="311"/>
    </row>
    <row r="818">
      <c r="D818" s="310"/>
      <c r="E818" s="311"/>
    </row>
    <row r="819">
      <c r="D819" s="310"/>
      <c r="E819" s="311"/>
    </row>
    <row r="820">
      <c r="D820" s="310"/>
      <c r="E820" s="311"/>
    </row>
    <row r="821">
      <c r="D821" s="310"/>
      <c r="E821" s="311"/>
    </row>
    <row r="822">
      <c r="D822" s="310"/>
      <c r="E822" s="311"/>
    </row>
    <row r="823">
      <c r="D823" s="310"/>
      <c r="E823" s="311"/>
    </row>
    <row r="824">
      <c r="D824" s="310"/>
      <c r="E824" s="311"/>
    </row>
    <row r="825">
      <c r="D825" s="310"/>
      <c r="E825" s="311"/>
    </row>
    <row r="826">
      <c r="D826" s="310"/>
      <c r="E826" s="311"/>
    </row>
    <row r="827">
      <c r="D827" s="310"/>
      <c r="E827" s="311"/>
    </row>
    <row r="828">
      <c r="D828" s="310"/>
      <c r="E828" s="311"/>
    </row>
    <row r="829">
      <c r="D829" s="310"/>
      <c r="E829" s="311"/>
    </row>
    <row r="830">
      <c r="D830" s="310"/>
      <c r="E830" s="311"/>
    </row>
    <row r="831">
      <c r="D831" s="310"/>
      <c r="E831" s="311"/>
    </row>
    <row r="832">
      <c r="D832" s="310"/>
      <c r="E832" s="311"/>
    </row>
    <row r="833">
      <c r="D833" s="310"/>
      <c r="E833" s="311"/>
    </row>
    <row r="834">
      <c r="D834" s="310"/>
      <c r="E834" s="311"/>
    </row>
    <row r="835">
      <c r="D835" s="310"/>
      <c r="E835" s="311"/>
    </row>
    <row r="836">
      <c r="D836" s="310"/>
      <c r="E836" s="311"/>
    </row>
    <row r="837">
      <c r="D837" s="310"/>
      <c r="E837" s="311"/>
    </row>
    <row r="838">
      <c r="D838" s="310"/>
      <c r="E838" s="311"/>
    </row>
    <row r="839">
      <c r="D839" s="310"/>
      <c r="E839" s="311"/>
    </row>
    <row r="840">
      <c r="D840" s="310"/>
      <c r="E840" s="311"/>
    </row>
    <row r="841">
      <c r="D841" s="310"/>
      <c r="E841" s="311"/>
    </row>
    <row r="842">
      <c r="D842" s="310"/>
      <c r="E842" s="311"/>
    </row>
    <row r="843">
      <c r="D843" s="310"/>
      <c r="E843" s="311"/>
    </row>
    <row r="844">
      <c r="D844" s="310"/>
      <c r="E844" s="311"/>
    </row>
    <row r="845">
      <c r="D845" s="310"/>
      <c r="E845" s="311"/>
    </row>
    <row r="846">
      <c r="D846" s="310"/>
      <c r="E846" s="311"/>
    </row>
    <row r="847">
      <c r="D847" s="310"/>
      <c r="E847" s="311"/>
    </row>
    <row r="848">
      <c r="D848" s="310"/>
      <c r="E848" s="311"/>
    </row>
    <row r="849">
      <c r="D849" s="310"/>
      <c r="E849" s="311"/>
    </row>
    <row r="850">
      <c r="D850" s="310"/>
      <c r="E850" s="311"/>
    </row>
    <row r="851">
      <c r="D851" s="310"/>
      <c r="E851" s="311"/>
    </row>
    <row r="852">
      <c r="D852" s="310"/>
      <c r="E852" s="311"/>
    </row>
    <row r="853">
      <c r="D853" s="310"/>
      <c r="E853" s="311"/>
    </row>
    <row r="854">
      <c r="D854" s="310"/>
      <c r="E854" s="311"/>
    </row>
    <row r="855">
      <c r="D855" s="310"/>
      <c r="E855" s="311"/>
    </row>
    <row r="856">
      <c r="D856" s="310"/>
      <c r="E856" s="311"/>
    </row>
    <row r="857">
      <c r="D857" s="310"/>
      <c r="E857" s="311"/>
    </row>
    <row r="858">
      <c r="D858" s="310"/>
      <c r="E858" s="311"/>
    </row>
    <row r="859">
      <c r="D859" s="310"/>
      <c r="E859" s="311"/>
    </row>
    <row r="860">
      <c r="D860" s="310"/>
      <c r="E860" s="311"/>
    </row>
    <row r="861">
      <c r="D861" s="310"/>
      <c r="E861" s="311"/>
    </row>
    <row r="862">
      <c r="D862" s="310"/>
      <c r="E862" s="311"/>
    </row>
    <row r="863">
      <c r="D863" s="310"/>
      <c r="E863" s="311"/>
    </row>
    <row r="864">
      <c r="D864" s="310"/>
      <c r="E864" s="311"/>
    </row>
    <row r="865">
      <c r="D865" s="310"/>
      <c r="E865" s="311"/>
    </row>
    <row r="866">
      <c r="D866" s="310"/>
      <c r="E866" s="311"/>
    </row>
    <row r="867">
      <c r="D867" s="310"/>
      <c r="E867" s="311"/>
    </row>
    <row r="868">
      <c r="D868" s="310"/>
      <c r="E868" s="311"/>
    </row>
    <row r="869">
      <c r="D869" s="310"/>
      <c r="E869" s="311"/>
    </row>
    <row r="870">
      <c r="D870" s="310"/>
      <c r="E870" s="311"/>
    </row>
    <row r="871">
      <c r="D871" s="310"/>
      <c r="E871" s="311"/>
    </row>
    <row r="872">
      <c r="D872" s="310"/>
      <c r="E872" s="311"/>
    </row>
    <row r="873">
      <c r="D873" s="310"/>
      <c r="E873" s="311"/>
    </row>
    <row r="874">
      <c r="D874" s="310"/>
      <c r="E874" s="311"/>
    </row>
    <row r="875">
      <c r="D875" s="310"/>
      <c r="E875" s="311"/>
    </row>
    <row r="876">
      <c r="D876" s="310"/>
      <c r="E876" s="311"/>
    </row>
    <row r="877">
      <c r="D877" s="310"/>
      <c r="E877" s="311"/>
    </row>
    <row r="878">
      <c r="D878" s="310"/>
      <c r="E878" s="311"/>
    </row>
    <row r="879">
      <c r="D879" s="310"/>
      <c r="E879" s="311"/>
    </row>
    <row r="880">
      <c r="D880" s="310"/>
      <c r="E880" s="311"/>
    </row>
    <row r="881">
      <c r="D881" s="310"/>
      <c r="E881" s="311"/>
    </row>
    <row r="882">
      <c r="D882" s="310"/>
      <c r="E882" s="311"/>
    </row>
    <row r="883">
      <c r="D883" s="310"/>
      <c r="E883" s="311"/>
    </row>
    <row r="884">
      <c r="D884" s="310"/>
      <c r="E884" s="311"/>
    </row>
    <row r="885">
      <c r="D885" s="310"/>
      <c r="E885" s="311"/>
    </row>
    <row r="886">
      <c r="D886" s="310"/>
      <c r="E886" s="311"/>
    </row>
    <row r="887">
      <c r="D887" s="310"/>
      <c r="E887" s="311"/>
    </row>
    <row r="888">
      <c r="D888" s="310"/>
      <c r="E888" s="311"/>
    </row>
    <row r="889">
      <c r="D889" s="310"/>
      <c r="E889" s="311"/>
    </row>
    <row r="890">
      <c r="D890" s="310"/>
      <c r="E890" s="311"/>
    </row>
    <row r="891">
      <c r="D891" s="310"/>
      <c r="E891" s="311"/>
    </row>
    <row r="892">
      <c r="D892" s="310"/>
      <c r="E892" s="311"/>
    </row>
    <row r="893">
      <c r="D893" s="310"/>
      <c r="E893" s="311"/>
    </row>
    <row r="894">
      <c r="D894" s="310"/>
      <c r="E894" s="311"/>
    </row>
    <row r="895">
      <c r="D895" s="310"/>
      <c r="E895" s="311"/>
    </row>
    <row r="896">
      <c r="D896" s="310"/>
      <c r="E896" s="311"/>
    </row>
    <row r="897">
      <c r="D897" s="310"/>
      <c r="E897" s="311"/>
    </row>
    <row r="898">
      <c r="D898" s="310"/>
      <c r="E898" s="311"/>
    </row>
    <row r="899">
      <c r="D899" s="310"/>
      <c r="E899" s="311"/>
    </row>
    <row r="900">
      <c r="D900" s="310"/>
      <c r="E900" s="311"/>
    </row>
    <row r="901">
      <c r="D901" s="310"/>
      <c r="E901" s="311"/>
    </row>
    <row r="902">
      <c r="D902" s="310"/>
      <c r="E902" s="311"/>
    </row>
    <row r="903">
      <c r="D903" s="310"/>
      <c r="E903" s="311"/>
    </row>
    <row r="904">
      <c r="D904" s="310"/>
      <c r="E904" s="311"/>
    </row>
    <row r="905">
      <c r="D905" s="310"/>
      <c r="E905" s="311"/>
    </row>
    <row r="906">
      <c r="D906" s="310"/>
      <c r="E906" s="311"/>
    </row>
    <row r="907">
      <c r="D907" s="310"/>
      <c r="E907" s="311"/>
    </row>
    <row r="908">
      <c r="D908" s="310"/>
      <c r="E908" s="311"/>
    </row>
    <row r="909">
      <c r="D909" s="310"/>
      <c r="E909" s="311"/>
    </row>
    <row r="910">
      <c r="D910" s="310"/>
      <c r="E910" s="311"/>
    </row>
    <row r="911">
      <c r="D911" s="310"/>
      <c r="E911" s="311"/>
    </row>
    <row r="912">
      <c r="D912" s="310"/>
      <c r="E912" s="311"/>
    </row>
    <row r="913">
      <c r="D913" s="310"/>
      <c r="E913" s="311"/>
    </row>
    <row r="914">
      <c r="D914" s="310"/>
      <c r="E914" s="311"/>
    </row>
    <row r="915">
      <c r="D915" s="310"/>
      <c r="E915" s="311"/>
    </row>
    <row r="916">
      <c r="D916" s="310"/>
      <c r="E916" s="311"/>
    </row>
    <row r="917">
      <c r="D917" s="310"/>
      <c r="E917" s="311"/>
    </row>
    <row r="918">
      <c r="D918" s="310"/>
      <c r="E918" s="311"/>
    </row>
    <row r="919">
      <c r="D919" s="310"/>
      <c r="E919" s="311"/>
    </row>
    <row r="920">
      <c r="D920" s="310"/>
      <c r="E920" s="311"/>
    </row>
    <row r="921">
      <c r="D921" s="310"/>
      <c r="E921" s="311"/>
    </row>
    <row r="922">
      <c r="D922" s="310"/>
      <c r="E922" s="311"/>
    </row>
    <row r="923">
      <c r="D923" s="310"/>
      <c r="E923" s="311"/>
    </row>
    <row r="924">
      <c r="D924" s="310"/>
      <c r="E924" s="311"/>
    </row>
    <row r="925">
      <c r="D925" s="310"/>
      <c r="E925" s="311"/>
    </row>
    <row r="926">
      <c r="D926" s="310"/>
      <c r="E926" s="311"/>
    </row>
    <row r="927">
      <c r="D927" s="310"/>
      <c r="E927" s="311"/>
    </row>
    <row r="928">
      <c r="D928" s="310"/>
      <c r="E928" s="311"/>
    </row>
    <row r="929">
      <c r="D929" s="310"/>
      <c r="E929" s="311"/>
    </row>
    <row r="930">
      <c r="D930" s="310"/>
      <c r="E930" s="311"/>
    </row>
    <row r="931">
      <c r="D931" s="310"/>
      <c r="E931" s="311"/>
    </row>
    <row r="932">
      <c r="D932" s="310"/>
      <c r="E932" s="311"/>
    </row>
    <row r="933">
      <c r="D933" s="310"/>
      <c r="E933" s="311"/>
    </row>
    <row r="934">
      <c r="D934" s="310"/>
      <c r="E934" s="311"/>
    </row>
    <row r="935">
      <c r="D935" s="310"/>
      <c r="E935" s="311"/>
    </row>
    <row r="936">
      <c r="D936" s="310"/>
      <c r="E936" s="311"/>
    </row>
    <row r="937">
      <c r="D937" s="310"/>
      <c r="E937" s="311"/>
    </row>
    <row r="938">
      <c r="D938" s="310"/>
      <c r="E938" s="311"/>
    </row>
    <row r="939">
      <c r="D939" s="310"/>
      <c r="E939" s="311"/>
    </row>
    <row r="940">
      <c r="D940" s="310"/>
      <c r="E940" s="311"/>
    </row>
    <row r="941">
      <c r="D941" s="310"/>
      <c r="E941" s="311"/>
    </row>
    <row r="942">
      <c r="D942" s="310"/>
      <c r="E942" s="311"/>
    </row>
    <row r="943">
      <c r="D943" s="310"/>
      <c r="E943" s="311"/>
    </row>
    <row r="944">
      <c r="D944" s="310"/>
      <c r="E944" s="311"/>
    </row>
    <row r="945">
      <c r="D945" s="310"/>
      <c r="E945" s="311"/>
    </row>
    <row r="946">
      <c r="D946" s="310"/>
      <c r="E946" s="311"/>
    </row>
    <row r="947">
      <c r="D947" s="310"/>
      <c r="E947" s="311"/>
    </row>
    <row r="948">
      <c r="D948" s="310"/>
      <c r="E948" s="311"/>
    </row>
    <row r="949">
      <c r="D949" s="310"/>
      <c r="E949" s="311"/>
    </row>
    <row r="950">
      <c r="D950" s="310"/>
      <c r="E950" s="311"/>
    </row>
    <row r="951">
      <c r="D951" s="310"/>
      <c r="E951" s="311"/>
    </row>
    <row r="952">
      <c r="D952" s="310"/>
      <c r="E952" s="311"/>
    </row>
    <row r="953">
      <c r="D953" s="310"/>
      <c r="E953" s="311"/>
    </row>
    <row r="954">
      <c r="D954" s="310"/>
      <c r="E954" s="311"/>
    </row>
    <row r="955">
      <c r="D955" s="310"/>
      <c r="E955" s="311"/>
    </row>
    <row r="956">
      <c r="D956" s="310"/>
      <c r="E956" s="311"/>
    </row>
    <row r="957">
      <c r="D957" s="310"/>
      <c r="E957" s="311"/>
    </row>
    <row r="958">
      <c r="D958" s="310"/>
      <c r="E958" s="311"/>
    </row>
    <row r="959">
      <c r="D959" s="310"/>
      <c r="E959" s="311"/>
    </row>
    <row r="960">
      <c r="D960" s="310"/>
      <c r="E960" s="311"/>
    </row>
    <row r="961">
      <c r="D961" s="310"/>
      <c r="E961" s="311"/>
    </row>
    <row r="962">
      <c r="D962" s="310"/>
      <c r="E962" s="311"/>
    </row>
    <row r="963">
      <c r="D963" s="310"/>
      <c r="E963" s="311"/>
    </row>
    <row r="964">
      <c r="D964" s="310"/>
      <c r="E964" s="311"/>
    </row>
    <row r="965">
      <c r="D965" s="310"/>
      <c r="E965" s="311"/>
    </row>
    <row r="966">
      <c r="D966" s="310"/>
      <c r="E966" s="311"/>
    </row>
  </sheetData>
  <autoFilter ref="$A$1:$M$215">
    <sortState ref="A1:M215">
      <sortCondition descending="1" ref="L1:L215"/>
    </sortState>
  </autoFilter>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7.25"/>
    <col customWidth="1" min="6" max="6" width="11.5"/>
    <col customWidth="1" min="7" max="7" width="14.25"/>
    <col customWidth="1" min="15" max="15" width="19.25"/>
  </cols>
  <sheetData>
    <row r="1">
      <c r="A1" s="347" t="s">
        <v>0</v>
      </c>
      <c r="B1" s="348" t="s">
        <v>1</v>
      </c>
      <c r="C1" s="281" t="s">
        <v>2</v>
      </c>
      <c r="D1" s="281" t="s">
        <v>603</v>
      </c>
      <c r="E1" s="281" t="s">
        <v>604</v>
      </c>
      <c r="F1" s="281" t="s">
        <v>4</v>
      </c>
      <c r="G1" s="281" t="s">
        <v>5</v>
      </c>
      <c r="H1" s="281" t="s">
        <v>6</v>
      </c>
      <c r="I1" s="281" t="s">
        <v>7</v>
      </c>
      <c r="J1" s="281" t="s">
        <v>8</v>
      </c>
      <c r="K1" s="281" t="s">
        <v>9</v>
      </c>
      <c r="L1" s="281" t="s">
        <v>10</v>
      </c>
      <c r="M1" s="281" t="s">
        <v>11</v>
      </c>
      <c r="N1" s="281" t="s">
        <v>12</v>
      </c>
      <c r="O1" s="281" t="s">
        <v>379</v>
      </c>
      <c r="P1" s="281" t="s">
        <v>14</v>
      </c>
      <c r="Q1" s="281" t="s">
        <v>15</v>
      </c>
      <c r="R1" s="66"/>
      <c r="S1" s="66"/>
      <c r="T1" s="66"/>
      <c r="U1" s="66"/>
      <c r="V1" s="66"/>
      <c r="W1" s="66"/>
      <c r="X1" s="66"/>
    </row>
    <row r="2">
      <c r="A2" s="349" t="s">
        <v>16</v>
      </c>
      <c r="B2" s="283">
        <v>4320.0</v>
      </c>
      <c r="C2" s="284"/>
      <c r="D2" s="285">
        <v>0.0</v>
      </c>
      <c r="E2" s="282" t="s">
        <v>436</v>
      </c>
      <c r="F2" s="282" t="s">
        <v>362</v>
      </c>
      <c r="G2" s="286" t="s">
        <v>363</v>
      </c>
      <c r="H2" s="287"/>
      <c r="I2" s="288">
        <v>37149.0</v>
      </c>
      <c r="J2" s="288">
        <v>45397.0</v>
      </c>
      <c r="K2" s="289"/>
      <c r="L2" s="302">
        <v>31.0</v>
      </c>
      <c r="M2" s="350">
        <v>45809.0</v>
      </c>
      <c r="N2" s="350">
        <v>45838.0</v>
      </c>
      <c r="O2" s="290">
        <f t="shared" ref="O2:O115" si="1">ROUNDUP(L2/31*370,0)</f>
        <v>370</v>
      </c>
      <c r="P2" s="290">
        <f t="shared" ref="P2:P115" si="2">O2*5</f>
        <v>1850</v>
      </c>
      <c r="Q2" s="290">
        <f t="shared" ref="Q2:Q115" si="3">O2+P2</f>
        <v>2220</v>
      </c>
    </row>
    <row r="3">
      <c r="A3" s="421" t="s">
        <v>16</v>
      </c>
      <c r="B3" s="422">
        <v>4320.0</v>
      </c>
      <c r="C3" s="427"/>
      <c r="D3" s="424">
        <v>0.0</v>
      </c>
      <c r="E3" s="521" t="s">
        <v>687</v>
      </c>
      <c r="F3" s="522" t="s">
        <v>884</v>
      </c>
      <c r="G3" s="425" t="s">
        <v>689</v>
      </c>
      <c r="H3" s="287"/>
      <c r="I3" s="523">
        <v>37214.0</v>
      </c>
      <c r="J3" s="426">
        <v>45691.0</v>
      </c>
      <c r="K3" s="427"/>
      <c r="L3" s="428">
        <v>10.0</v>
      </c>
      <c r="M3" s="429">
        <v>45809.0</v>
      </c>
      <c r="N3" s="429">
        <v>45838.0</v>
      </c>
      <c r="O3" s="430">
        <f t="shared" si="1"/>
        <v>120</v>
      </c>
      <c r="P3" s="430">
        <f t="shared" si="2"/>
        <v>600</v>
      </c>
      <c r="Q3" s="430">
        <f t="shared" si="3"/>
        <v>720</v>
      </c>
      <c r="R3" s="48"/>
      <c r="S3" s="48"/>
      <c r="T3" s="48"/>
      <c r="U3" s="48"/>
      <c r="V3" s="48"/>
      <c r="W3" s="48"/>
      <c r="X3" s="48"/>
    </row>
    <row r="4">
      <c r="A4" s="282" t="s">
        <v>16</v>
      </c>
      <c r="B4" s="283">
        <v>4320.0</v>
      </c>
      <c r="C4" s="284"/>
      <c r="D4" s="285">
        <v>0.0</v>
      </c>
      <c r="E4" s="282" t="s">
        <v>407</v>
      </c>
      <c r="F4" s="282" t="s">
        <v>97</v>
      </c>
      <c r="G4" s="286" t="s">
        <v>98</v>
      </c>
      <c r="H4" s="287"/>
      <c r="I4" s="294">
        <v>36690.0</v>
      </c>
      <c r="J4" s="288">
        <v>44938.0</v>
      </c>
      <c r="K4" s="289"/>
      <c r="L4" s="302">
        <v>31.0</v>
      </c>
      <c r="M4" s="350">
        <v>45809.0</v>
      </c>
      <c r="N4" s="350">
        <v>45838.0</v>
      </c>
      <c r="O4" s="290">
        <f t="shared" si="1"/>
        <v>370</v>
      </c>
      <c r="P4" s="290">
        <f t="shared" si="2"/>
        <v>1850</v>
      </c>
      <c r="Q4" s="290">
        <f t="shared" si="3"/>
        <v>2220</v>
      </c>
    </row>
    <row r="5">
      <c r="A5" s="282" t="s">
        <v>16</v>
      </c>
      <c r="B5" s="283">
        <v>4320.0</v>
      </c>
      <c r="C5" s="284"/>
      <c r="D5" s="477">
        <v>36524.0</v>
      </c>
      <c r="E5" s="351" t="s">
        <v>730</v>
      </c>
      <c r="F5" s="352" t="s">
        <v>731</v>
      </c>
      <c r="G5" s="352" t="s">
        <v>732</v>
      </c>
      <c r="H5" s="282"/>
      <c r="I5" s="350">
        <v>38263.0</v>
      </c>
      <c r="J5" s="350">
        <v>45355.0</v>
      </c>
      <c r="K5" s="289"/>
      <c r="L5" s="302">
        <v>31.0</v>
      </c>
      <c r="M5" s="350">
        <v>45809.0</v>
      </c>
      <c r="N5" s="350">
        <v>45838.0</v>
      </c>
      <c r="O5" s="290">
        <f t="shared" si="1"/>
        <v>370</v>
      </c>
      <c r="P5" s="290">
        <f t="shared" si="2"/>
        <v>1850</v>
      </c>
      <c r="Q5" s="290">
        <f t="shared" si="3"/>
        <v>2220</v>
      </c>
    </row>
    <row r="6">
      <c r="A6" s="282" t="s">
        <v>16</v>
      </c>
      <c r="B6" s="283">
        <v>4320.0</v>
      </c>
      <c r="C6" s="284"/>
      <c r="D6" s="285">
        <v>0.0</v>
      </c>
      <c r="E6" s="282" t="s">
        <v>246</v>
      </c>
      <c r="F6" s="282" t="s">
        <v>247</v>
      </c>
      <c r="G6" s="286" t="s">
        <v>248</v>
      </c>
      <c r="H6" s="287"/>
      <c r="I6" s="288">
        <v>36501.0</v>
      </c>
      <c r="J6" s="288">
        <v>45246.0</v>
      </c>
      <c r="K6" s="289"/>
      <c r="L6" s="302">
        <v>31.0</v>
      </c>
      <c r="M6" s="350">
        <v>45809.0</v>
      </c>
      <c r="N6" s="350">
        <v>45838.0</v>
      </c>
      <c r="O6" s="290">
        <f t="shared" si="1"/>
        <v>370</v>
      </c>
      <c r="P6" s="290">
        <f t="shared" si="2"/>
        <v>1850</v>
      </c>
      <c r="Q6" s="290">
        <f t="shared" si="3"/>
        <v>2220</v>
      </c>
    </row>
    <row r="7">
      <c r="A7" s="282" t="s">
        <v>16</v>
      </c>
      <c r="B7" s="283">
        <v>4320.0</v>
      </c>
      <c r="C7" s="284"/>
      <c r="D7" s="285">
        <v>0.0</v>
      </c>
      <c r="E7" s="282" t="s">
        <v>564</v>
      </c>
      <c r="F7" s="282" t="s">
        <v>565</v>
      </c>
      <c r="G7" s="286" t="s">
        <v>566</v>
      </c>
      <c r="H7" s="287"/>
      <c r="I7" s="288">
        <v>34799.0</v>
      </c>
      <c r="J7" s="288">
        <v>45670.0</v>
      </c>
      <c r="K7" s="289"/>
      <c r="L7" s="302">
        <v>31.0</v>
      </c>
      <c r="M7" s="350">
        <v>45809.0</v>
      </c>
      <c r="N7" s="350">
        <v>45838.0</v>
      </c>
      <c r="O7" s="290">
        <f t="shared" si="1"/>
        <v>370</v>
      </c>
      <c r="P7" s="290">
        <f t="shared" si="2"/>
        <v>1850</v>
      </c>
      <c r="Q7" s="290">
        <f t="shared" si="3"/>
        <v>2220</v>
      </c>
    </row>
    <row r="8">
      <c r="A8" s="282" t="s">
        <v>16</v>
      </c>
      <c r="B8" s="283">
        <v>4320.0</v>
      </c>
      <c r="C8" s="284"/>
      <c r="D8" s="285">
        <v>0.0</v>
      </c>
      <c r="E8" s="282" t="s">
        <v>264</v>
      </c>
      <c r="F8" s="282" t="s">
        <v>265</v>
      </c>
      <c r="G8" s="286" t="s">
        <v>266</v>
      </c>
      <c r="H8" s="287"/>
      <c r="I8" s="288">
        <v>37398.0</v>
      </c>
      <c r="J8" s="288">
        <v>45096.0</v>
      </c>
      <c r="K8" s="289"/>
      <c r="L8" s="302">
        <v>31.0</v>
      </c>
      <c r="M8" s="350">
        <v>45809.0</v>
      </c>
      <c r="N8" s="350">
        <v>45838.0</v>
      </c>
      <c r="O8" s="290">
        <f t="shared" si="1"/>
        <v>370</v>
      </c>
      <c r="P8" s="290">
        <f t="shared" si="2"/>
        <v>1850</v>
      </c>
      <c r="Q8" s="290">
        <f t="shared" si="3"/>
        <v>2220</v>
      </c>
    </row>
    <row r="9">
      <c r="A9" s="282" t="s">
        <v>16</v>
      </c>
      <c r="B9" s="283">
        <v>4320.0</v>
      </c>
      <c r="C9" s="284"/>
      <c r="D9" s="283">
        <v>0.0</v>
      </c>
      <c r="E9" s="282" t="s">
        <v>411</v>
      </c>
      <c r="F9" s="282" t="s">
        <v>412</v>
      </c>
      <c r="G9" s="286" t="s">
        <v>413</v>
      </c>
      <c r="H9" s="287"/>
      <c r="I9" s="288">
        <v>33230.0</v>
      </c>
      <c r="J9" s="288">
        <v>45453.0</v>
      </c>
      <c r="K9" s="289"/>
      <c r="L9" s="302">
        <v>31.0</v>
      </c>
      <c r="M9" s="350">
        <v>45809.0</v>
      </c>
      <c r="N9" s="350">
        <v>45838.0</v>
      </c>
      <c r="O9" s="290">
        <f t="shared" si="1"/>
        <v>370</v>
      </c>
      <c r="P9" s="290">
        <f t="shared" si="2"/>
        <v>1850</v>
      </c>
      <c r="Q9" s="290">
        <f t="shared" si="3"/>
        <v>2220</v>
      </c>
    </row>
    <row r="10">
      <c r="A10" s="282" t="s">
        <v>16</v>
      </c>
      <c r="B10" s="283">
        <v>4320.0</v>
      </c>
      <c r="C10" s="289"/>
      <c r="D10" s="285">
        <v>0.0</v>
      </c>
      <c r="E10" s="291" t="s">
        <v>690</v>
      </c>
      <c r="F10" s="295" t="s">
        <v>885</v>
      </c>
      <c r="G10" s="286" t="s">
        <v>692</v>
      </c>
      <c r="H10" s="287"/>
      <c r="I10" s="288">
        <v>37137.0</v>
      </c>
      <c r="J10" s="288">
        <v>45691.0</v>
      </c>
      <c r="K10" s="296"/>
      <c r="L10" s="302">
        <v>31.0</v>
      </c>
      <c r="M10" s="350">
        <v>45809.0</v>
      </c>
      <c r="N10" s="350">
        <v>45838.0</v>
      </c>
      <c r="O10" s="290">
        <f t="shared" si="1"/>
        <v>370</v>
      </c>
      <c r="P10" s="290">
        <f t="shared" si="2"/>
        <v>1850</v>
      </c>
      <c r="Q10" s="290">
        <f t="shared" si="3"/>
        <v>2220</v>
      </c>
    </row>
    <row r="11">
      <c r="A11" s="282" t="s">
        <v>16</v>
      </c>
      <c r="B11" s="283">
        <v>4320.0</v>
      </c>
      <c r="C11" s="289"/>
      <c r="D11" s="285">
        <v>0.0</v>
      </c>
      <c r="E11" s="291" t="s">
        <v>693</v>
      </c>
      <c r="F11" s="478" t="s">
        <v>828</v>
      </c>
      <c r="G11" s="479" t="s">
        <v>829</v>
      </c>
      <c r="H11" s="289"/>
      <c r="I11" s="293">
        <v>35599.0</v>
      </c>
      <c r="J11" s="288">
        <v>45712.0</v>
      </c>
      <c r="K11" s="289"/>
      <c r="L11" s="302">
        <v>31.0</v>
      </c>
      <c r="M11" s="350">
        <v>45809.0</v>
      </c>
      <c r="N11" s="350">
        <v>45838.0</v>
      </c>
      <c r="O11" s="290">
        <f t="shared" si="1"/>
        <v>370</v>
      </c>
      <c r="P11" s="290">
        <f t="shared" si="2"/>
        <v>1850</v>
      </c>
      <c r="Q11" s="290">
        <f t="shared" si="3"/>
        <v>2220</v>
      </c>
    </row>
    <row r="12">
      <c r="A12" s="282" t="s">
        <v>16</v>
      </c>
      <c r="B12" s="283">
        <v>4320.0</v>
      </c>
      <c r="C12" s="284"/>
      <c r="D12" s="285">
        <v>0.0</v>
      </c>
      <c r="E12" s="282" t="s">
        <v>282</v>
      </c>
      <c r="F12" s="282" t="s">
        <v>283</v>
      </c>
      <c r="G12" s="286" t="s">
        <v>284</v>
      </c>
      <c r="H12" s="287"/>
      <c r="I12" s="294">
        <v>35047.0</v>
      </c>
      <c r="J12" s="288">
        <v>45257.0</v>
      </c>
      <c r="K12" s="289"/>
      <c r="L12" s="302">
        <v>31.0</v>
      </c>
      <c r="M12" s="350">
        <v>45809.0</v>
      </c>
      <c r="N12" s="350">
        <v>45838.0</v>
      </c>
      <c r="O12" s="290">
        <f t="shared" si="1"/>
        <v>370</v>
      </c>
      <c r="P12" s="290">
        <f t="shared" si="2"/>
        <v>1850</v>
      </c>
      <c r="Q12" s="290">
        <f t="shared" si="3"/>
        <v>2220</v>
      </c>
    </row>
    <row r="13">
      <c r="A13" s="282" t="s">
        <v>16</v>
      </c>
      <c r="B13" s="283">
        <v>4320.0</v>
      </c>
      <c r="C13" s="284"/>
      <c r="D13" s="285">
        <v>0.0</v>
      </c>
      <c r="E13" s="282" t="s">
        <v>481</v>
      </c>
      <c r="F13" s="282" t="s">
        <v>531</v>
      </c>
      <c r="G13" s="286" t="s">
        <v>482</v>
      </c>
      <c r="H13" s="287"/>
      <c r="I13" s="288">
        <v>35096.0</v>
      </c>
      <c r="J13" s="288">
        <v>45602.0</v>
      </c>
      <c r="K13" s="289"/>
      <c r="L13" s="302">
        <v>31.0</v>
      </c>
      <c r="M13" s="350">
        <v>45809.0</v>
      </c>
      <c r="N13" s="350">
        <v>45838.0</v>
      </c>
      <c r="O13" s="290">
        <f t="shared" si="1"/>
        <v>370</v>
      </c>
      <c r="P13" s="290">
        <f t="shared" si="2"/>
        <v>1850</v>
      </c>
      <c r="Q13" s="290">
        <f t="shared" si="3"/>
        <v>2220</v>
      </c>
    </row>
    <row r="14">
      <c r="A14" s="282" t="s">
        <v>16</v>
      </c>
      <c r="B14" s="283">
        <v>4320.0</v>
      </c>
      <c r="C14" s="284"/>
      <c r="D14" s="285">
        <v>0.0</v>
      </c>
      <c r="E14" s="282" t="s">
        <v>45</v>
      </c>
      <c r="F14" s="282" t="s">
        <v>46</v>
      </c>
      <c r="G14" s="286" t="s">
        <v>47</v>
      </c>
      <c r="H14" s="287"/>
      <c r="I14" s="288">
        <v>37370.0</v>
      </c>
      <c r="J14" s="288">
        <v>44739.0</v>
      </c>
      <c r="K14" s="289"/>
      <c r="L14" s="302">
        <v>31.0</v>
      </c>
      <c r="M14" s="350">
        <v>45809.0</v>
      </c>
      <c r="N14" s="350">
        <v>45838.0</v>
      </c>
      <c r="O14" s="290">
        <f t="shared" si="1"/>
        <v>370</v>
      </c>
      <c r="P14" s="290">
        <f t="shared" si="2"/>
        <v>1850</v>
      </c>
      <c r="Q14" s="290">
        <f t="shared" si="3"/>
        <v>2220</v>
      </c>
    </row>
    <row r="15">
      <c r="A15" s="282" t="s">
        <v>16</v>
      </c>
      <c r="B15" s="283">
        <v>4320.0</v>
      </c>
      <c r="C15" s="284"/>
      <c r="D15" s="285">
        <v>0.0</v>
      </c>
      <c r="E15" s="282" t="s">
        <v>48</v>
      </c>
      <c r="F15" s="282" t="s">
        <v>49</v>
      </c>
      <c r="G15" s="286" t="s">
        <v>50</v>
      </c>
      <c r="H15" s="287"/>
      <c r="I15" s="288">
        <v>36399.0</v>
      </c>
      <c r="J15" s="294">
        <v>45229.0</v>
      </c>
      <c r="K15" s="289"/>
      <c r="L15" s="302">
        <v>31.0</v>
      </c>
      <c r="M15" s="350">
        <v>45809.0</v>
      </c>
      <c r="N15" s="350">
        <v>45838.0</v>
      </c>
      <c r="O15" s="290">
        <f t="shared" si="1"/>
        <v>370</v>
      </c>
      <c r="P15" s="290">
        <f t="shared" si="2"/>
        <v>1850</v>
      </c>
      <c r="Q15" s="290">
        <f t="shared" si="3"/>
        <v>2220</v>
      </c>
    </row>
    <row r="16">
      <c r="A16" s="282" t="s">
        <v>16</v>
      </c>
      <c r="B16" s="283">
        <v>4320.0</v>
      </c>
      <c r="C16" s="284"/>
      <c r="D16" s="285">
        <v>0.0</v>
      </c>
      <c r="E16" s="282" t="s">
        <v>444</v>
      </c>
      <c r="F16" s="282" t="s">
        <v>320</v>
      </c>
      <c r="G16" s="286" t="s">
        <v>321</v>
      </c>
      <c r="H16" s="287"/>
      <c r="I16" s="288">
        <v>36360.0</v>
      </c>
      <c r="J16" s="288">
        <v>45355.0</v>
      </c>
      <c r="K16" s="289"/>
      <c r="L16" s="302">
        <v>31.0</v>
      </c>
      <c r="M16" s="350">
        <v>45809.0</v>
      </c>
      <c r="N16" s="350">
        <v>45838.0</v>
      </c>
      <c r="O16" s="290">
        <f t="shared" si="1"/>
        <v>370</v>
      </c>
      <c r="P16" s="290">
        <f t="shared" si="2"/>
        <v>1850</v>
      </c>
      <c r="Q16" s="290">
        <f t="shared" si="3"/>
        <v>2220</v>
      </c>
    </row>
    <row r="17">
      <c r="A17" s="282" t="s">
        <v>16</v>
      </c>
      <c r="B17" s="283">
        <v>4320.0</v>
      </c>
      <c r="C17" s="284"/>
      <c r="D17" s="285">
        <v>0.0</v>
      </c>
      <c r="E17" s="282" t="s">
        <v>383</v>
      </c>
      <c r="F17" s="282" t="s">
        <v>384</v>
      </c>
      <c r="G17" s="286" t="s">
        <v>385</v>
      </c>
      <c r="H17" s="287"/>
      <c r="I17" s="294">
        <v>36183.0</v>
      </c>
      <c r="J17" s="288">
        <v>45418.0</v>
      </c>
      <c r="K17" s="289"/>
      <c r="L17" s="302">
        <v>31.0</v>
      </c>
      <c r="M17" s="350">
        <v>45809.0</v>
      </c>
      <c r="N17" s="350">
        <v>45838.0</v>
      </c>
      <c r="O17" s="290">
        <f t="shared" si="1"/>
        <v>370</v>
      </c>
      <c r="P17" s="290">
        <f t="shared" si="2"/>
        <v>1850</v>
      </c>
      <c r="Q17" s="290">
        <f t="shared" si="3"/>
        <v>2220</v>
      </c>
    </row>
    <row r="18">
      <c r="A18" s="421" t="s">
        <v>16</v>
      </c>
      <c r="B18" s="422">
        <v>4320.0</v>
      </c>
      <c r="C18" s="423"/>
      <c r="D18" s="424">
        <v>0.0</v>
      </c>
      <c r="E18" s="421" t="s">
        <v>288</v>
      </c>
      <c r="F18" s="421" t="s">
        <v>289</v>
      </c>
      <c r="G18" s="524" t="s">
        <v>830</v>
      </c>
      <c r="H18" s="287"/>
      <c r="I18" s="426">
        <v>37047.0</v>
      </c>
      <c r="J18" s="426">
        <v>45257.0</v>
      </c>
      <c r="K18" s="427"/>
      <c r="L18" s="428">
        <v>4.0</v>
      </c>
      <c r="M18" s="429">
        <v>45809.0</v>
      </c>
      <c r="N18" s="429">
        <v>45838.0</v>
      </c>
      <c r="O18" s="430">
        <f t="shared" si="1"/>
        <v>48</v>
      </c>
      <c r="P18" s="430">
        <f t="shared" si="2"/>
        <v>240</v>
      </c>
      <c r="Q18" s="430">
        <f t="shared" si="3"/>
        <v>288</v>
      </c>
      <c r="R18" s="48"/>
      <c r="S18" s="48"/>
      <c r="T18" s="48"/>
      <c r="U18" s="48"/>
      <c r="V18" s="48"/>
      <c r="W18" s="48"/>
      <c r="X18" s="48"/>
    </row>
    <row r="19">
      <c r="A19" s="282" t="s">
        <v>16</v>
      </c>
      <c r="B19" s="283">
        <v>4320.0</v>
      </c>
      <c r="C19" s="284"/>
      <c r="D19" s="285">
        <v>0.0</v>
      </c>
      <c r="E19" s="298" t="s">
        <v>445</v>
      </c>
      <c r="F19" s="282" t="s">
        <v>510</v>
      </c>
      <c r="G19" s="286" t="s">
        <v>447</v>
      </c>
      <c r="H19" s="287"/>
      <c r="I19" s="288">
        <v>37047.0</v>
      </c>
      <c r="J19" s="288">
        <v>45505.0</v>
      </c>
      <c r="K19" s="289"/>
      <c r="L19" s="302">
        <v>31.0</v>
      </c>
      <c r="M19" s="350">
        <v>45809.0</v>
      </c>
      <c r="N19" s="350">
        <v>45838.0</v>
      </c>
      <c r="O19" s="290">
        <f t="shared" si="1"/>
        <v>370</v>
      </c>
      <c r="P19" s="290">
        <f t="shared" si="2"/>
        <v>1850</v>
      </c>
      <c r="Q19" s="290">
        <f t="shared" si="3"/>
        <v>2220</v>
      </c>
    </row>
    <row r="20">
      <c r="A20" s="282" t="s">
        <v>16</v>
      </c>
      <c r="B20" s="283">
        <v>4320.0</v>
      </c>
      <c r="C20" s="284"/>
      <c r="D20" s="285">
        <v>0.0</v>
      </c>
      <c r="E20" s="282" t="s">
        <v>467</v>
      </c>
      <c r="F20" s="282" t="s">
        <v>511</v>
      </c>
      <c r="G20" s="286" t="s">
        <v>450</v>
      </c>
      <c r="H20" s="287"/>
      <c r="I20" s="288">
        <v>36682.0</v>
      </c>
      <c r="J20" s="288">
        <v>45505.0</v>
      </c>
      <c r="K20" s="289"/>
      <c r="L20" s="302">
        <v>31.0</v>
      </c>
      <c r="M20" s="350">
        <v>45809.0</v>
      </c>
      <c r="N20" s="350">
        <v>45838.0</v>
      </c>
      <c r="O20" s="290">
        <f t="shared" si="1"/>
        <v>370</v>
      </c>
      <c r="P20" s="290">
        <f t="shared" si="2"/>
        <v>1850</v>
      </c>
      <c r="Q20" s="290">
        <f t="shared" si="3"/>
        <v>2220</v>
      </c>
    </row>
    <row r="21">
      <c r="A21" s="282" t="s">
        <v>16</v>
      </c>
      <c r="B21" s="283">
        <v>4320.0</v>
      </c>
      <c r="C21" s="284"/>
      <c r="D21" s="285">
        <v>0.0</v>
      </c>
      <c r="E21" s="282" t="s">
        <v>503</v>
      </c>
      <c r="F21" s="282" t="s">
        <v>542</v>
      </c>
      <c r="G21" s="286" t="s">
        <v>504</v>
      </c>
      <c r="H21" s="287"/>
      <c r="I21" s="288">
        <v>37422.0</v>
      </c>
      <c r="J21" s="294">
        <v>45635.0</v>
      </c>
      <c r="K21" s="289"/>
      <c r="L21" s="302">
        <v>31.0</v>
      </c>
      <c r="M21" s="350">
        <v>45809.0</v>
      </c>
      <c r="N21" s="350">
        <v>45838.0</v>
      </c>
      <c r="O21" s="290">
        <f t="shared" si="1"/>
        <v>370</v>
      </c>
      <c r="P21" s="290">
        <f t="shared" si="2"/>
        <v>1850</v>
      </c>
      <c r="Q21" s="290">
        <f t="shared" si="3"/>
        <v>2220</v>
      </c>
    </row>
    <row r="22">
      <c r="A22" s="282" t="s">
        <v>16</v>
      </c>
      <c r="B22" s="283">
        <v>4320.0</v>
      </c>
      <c r="C22" s="284"/>
      <c r="D22" s="285">
        <v>0.0</v>
      </c>
      <c r="E22" s="282" t="s">
        <v>291</v>
      </c>
      <c r="F22" s="282" t="s">
        <v>292</v>
      </c>
      <c r="G22" s="286" t="s">
        <v>293</v>
      </c>
      <c r="H22" s="287"/>
      <c r="I22" s="288">
        <v>37219.0</v>
      </c>
      <c r="J22" s="288">
        <v>45257.0</v>
      </c>
      <c r="K22" s="289"/>
      <c r="L22" s="302">
        <v>31.0</v>
      </c>
      <c r="M22" s="350">
        <v>45809.0</v>
      </c>
      <c r="N22" s="350">
        <v>45838.0</v>
      </c>
      <c r="O22" s="290">
        <f t="shared" si="1"/>
        <v>370</v>
      </c>
      <c r="P22" s="290">
        <f t="shared" si="2"/>
        <v>1850</v>
      </c>
      <c r="Q22" s="290">
        <f t="shared" si="3"/>
        <v>2220</v>
      </c>
    </row>
    <row r="23">
      <c r="A23" s="282" t="s">
        <v>16</v>
      </c>
      <c r="B23" s="283">
        <v>4320.0</v>
      </c>
      <c r="C23" s="284"/>
      <c r="D23" s="285">
        <v>0.0</v>
      </c>
      <c r="E23" s="282" t="s">
        <v>594</v>
      </c>
      <c r="F23" s="282" t="s">
        <v>595</v>
      </c>
      <c r="G23" s="286" t="s">
        <v>596</v>
      </c>
      <c r="H23" s="287"/>
      <c r="I23" s="288">
        <v>37809.0</v>
      </c>
      <c r="J23" s="288">
        <v>45684.0</v>
      </c>
      <c r="K23" s="289"/>
      <c r="L23" s="302">
        <v>31.0</v>
      </c>
      <c r="M23" s="350">
        <v>45809.0</v>
      </c>
      <c r="N23" s="350">
        <v>45838.0</v>
      </c>
      <c r="O23" s="290">
        <f t="shared" si="1"/>
        <v>370</v>
      </c>
      <c r="P23" s="290">
        <f t="shared" si="2"/>
        <v>1850</v>
      </c>
      <c r="Q23" s="290">
        <f t="shared" si="3"/>
        <v>2220</v>
      </c>
    </row>
    <row r="24">
      <c r="A24" s="282" t="s">
        <v>16</v>
      </c>
      <c r="B24" s="283">
        <v>4320.0</v>
      </c>
      <c r="C24" s="284"/>
      <c r="D24" s="285">
        <v>0.0</v>
      </c>
      <c r="E24" s="282" t="s">
        <v>63</v>
      </c>
      <c r="F24" s="282" t="s">
        <v>64</v>
      </c>
      <c r="G24" s="286" t="s">
        <v>65</v>
      </c>
      <c r="H24" s="287"/>
      <c r="I24" s="288">
        <v>35606.0</v>
      </c>
      <c r="J24" s="288">
        <v>44896.0</v>
      </c>
      <c r="K24" s="289"/>
      <c r="L24" s="302">
        <v>31.0</v>
      </c>
      <c r="M24" s="350">
        <v>45809.0</v>
      </c>
      <c r="N24" s="350">
        <v>45838.0</v>
      </c>
      <c r="O24" s="290">
        <f t="shared" si="1"/>
        <v>370</v>
      </c>
      <c r="P24" s="290">
        <f t="shared" si="2"/>
        <v>1850</v>
      </c>
      <c r="Q24" s="290">
        <f t="shared" si="3"/>
        <v>2220</v>
      </c>
    </row>
    <row r="25">
      <c r="A25" s="282" t="s">
        <v>16</v>
      </c>
      <c r="B25" s="283">
        <v>4320.0</v>
      </c>
      <c r="C25" s="284"/>
      <c r="D25" s="285">
        <v>0.0</v>
      </c>
      <c r="E25" s="282" t="s">
        <v>63</v>
      </c>
      <c r="F25" s="282" t="s">
        <v>543</v>
      </c>
      <c r="G25" s="286" t="s">
        <v>505</v>
      </c>
      <c r="H25" s="287"/>
      <c r="I25" s="288">
        <v>36725.0</v>
      </c>
      <c r="J25" s="288">
        <v>45635.0</v>
      </c>
      <c r="K25" s="289"/>
      <c r="L25" s="302">
        <v>31.0</v>
      </c>
      <c r="M25" s="350">
        <v>45809.0</v>
      </c>
      <c r="N25" s="350">
        <v>45838.0</v>
      </c>
      <c r="O25" s="290">
        <f t="shared" si="1"/>
        <v>370</v>
      </c>
      <c r="P25" s="290">
        <f t="shared" si="2"/>
        <v>1850</v>
      </c>
      <c r="Q25" s="290">
        <f t="shared" si="3"/>
        <v>2220</v>
      </c>
    </row>
    <row r="26">
      <c r="A26" s="282" t="s">
        <v>16</v>
      </c>
      <c r="B26" s="283">
        <v>4320.0</v>
      </c>
      <c r="C26" s="284"/>
      <c r="D26" s="285">
        <v>0.0</v>
      </c>
      <c r="E26" s="298" t="s">
        <v>591</v>
      </c>
      <c r="F26" s="282" t="s">
        <v>592</v>
      </c>
      <c r="G26" s="286" t="s">
        <v>593</v>
      </c>
      <c r="H26" s="287"/>
      <c r="I26" s="288">
        <v>37041.0</v>
      </c>
      <c r="J26" s="288">
        <v>45684.0</v>
      </c>
      <c r="K26" s="289"/>
      <c r="L26" s="302">
        <v>31.0</v>
      </c>
      <c r="M26" s="350">
        <v>45809.0</v>
      </c>
      <c r="N26" s="350">
        <v>45838.0</v>
      </c>
      <c r="O26" s="290">
        <f t="shared" si="1"/>
        <v>370</v>
      </c>
      <c r="P26" s="290">
        <f t="shared" si="2"/>
        <v>1850</v>
      </c>
      <c r="Q26" s="290">
        <f t="shared" si="3"/>
        <v>2220</v>
      </c>
    </row>
    <row r="27">
      <c r="A27" s="421" t="s">
        <v>16</v>
      </c>
      <c r="B27" s="422">
        <v>4320.0</v>
      </c>
      <c r="C27" s="423"/>
      <c r="D27" s="424">
        <v>0.0</v>
      </c>
      <c r="E27" s="421" t="s">
        <v>597</v>
      </c>
      <c r="F27" s="421" t="s">
        <v>598</v>
      </c>
      <c r="G27" s="425" t="s">
        <v>599</v>
      </c>
      <c r="H27" s="287"/>
      <c r="I27" s="426">
        <v>37265.0</v>
      </c>
      <c r="J27" s="426">
        <v>45684.0</v>
      </c>
      <c r="K27" s="427"/>
      <c r="L27" s="428">
        <v>15.0</v>
      </c>
      <c r="M27" s="429">
        <v>45809.0</v>
      </c>
      <c r="N27" s="429">
        <v>45838.0</v>
      </c>
      <c r="O27" s="430">
        <f t="shared" si="1"/>
        <v>180</v>
      </c>
      <c r="P27" s="430">
        <f t="shared" si="2"/>
        <v>900</v>
      </c>
      <c r="Q27" s="430">
        <f t="shared" si="3"/>
        <v>1080</v>
      </c>
      <c r="R27" s="48"/>
      <c r="S27" s="48"/>
      <c r="T27" s="48"/>
      <c r="U27" s="48"/>
      <c r="V27" s="48"/>
      <c r="W27" s="48"/>
      <c r="X27" s="48"/>
    </row>
    <row r="28">
      <c r="A28" s="282" t="s">
        <v>16</v>
      </c>
      <c r="B28" s="283">
        <v>4320.0</v>
      </c>
      <c r="C28" s="284"/>
      <c r="D28" s="285">
        <v>0.0</v>
      </c>
      <c r="E28" s="282" t="s">
        <v>267</v>
      </c>
      <c r="F28" s="282" t="s">
        <v>268</v>
      </c>
      <c r="G28" s="286" t="s">
        <v>269</v>
      </c>
      <c r="H28" s="287"/>
      <c r="I28" s="288">
        <v>34590.0</v>
      </c>
      <c r="J28" s="288">
        <v>45313.0</v>
      </c>
      <c r="K28" s="289"/>
      <c r="L28" s="302">
        <v>31.0</v>
      </c>
      <c r="M28" s="350">
        <v>45809.0</v>
      </c>
      <c r="N28" s="350">
        <v>45838.0</v>
      </c>
      <c r="O28" s="290">
        <f t="shared" si="1"/>
        <v>370</v>
      </c>
      <c r="P28" s="290">
        <f t="shared" si="2"/>
        <v>1850</v>
      </c>
      <c r="Q28" s="290">
        <f t="shared" si="3"/>
        <v>2220</v>
      </c>
    </row>
    <row r="29">
      <c r="A29" s="282" t="s">
        <v>16</v>
      </c>
      <c r="B29" s="283">
        <v>4320.0</v>
      </c>
      <c r="C29" s="284"/>
      <c r="D29" s="285">
        <v>0.0</v>
      </c>
      <c r="E29" s="282" t="s">
        <v>468</v>
      </c>
      <c r="F29" s="282" t="s">
        <v>527</v>
      </c>
      <c r="G29" s="286" t="s">
        <v>469</v>
      </c>
      <c r="H29" s="287"/>
      <c r="I29" s="288">
        <v>35986.0</v>
      </c>
      <c r="J29" s="288">
        <v>45537.0</v>
      </c>
      <c r="K29" s="289"/>
      <c r="L29" s="302">
        <v>31.0</v>
      </c>
      <c r="M29" s="350">
        <v>45809.0</v>
      </c>
      <c r="N29" s="350">
        <v>45838.0</v>
      </c>
      <c r="O29" s="290">
        <f t="shared" si="1"/>
        <v>370</v>
      </c>
      <c r="P29" s="290">
        <f t="shared" si="2"/>
        <v>1850</v>
      </c>
      <c r="Q29" s="290">
        <f t="shared" si="3"/>
        <v>2220</v>
      </c>
    </row>
    <row r="30">
      <c r="A30" s="282" t="s">
        <v>16</v>
      </c>
      <c r="B30" s="283">
        <v>4320.0</v>
      </c>
      <c r="C30" s="284"/>
      <c r="D30" s="285">
        <v>0.0</v>
      </c>
      <c r="E30" s="282" t="s">
        <v>555</v>
      </c>
      <c r="F30" s="282" t="s">
        <v>556</v>
      </c>
      <c r="G30" s="286" t="s">
        <v>557</v>
      </c>
      <c r="H30" s="287"/>
      <c r="I30" s="294">
        <v>36135.0</v>
      </c>
      <c r="J30" s="288">
        <v>45663.0</v>
      </c>
      <c r="K30" s="289"/>
      <c r="L30" s="302">
        <v>31.0</v>
      </c>
      <c r="M30" s="350">
        <v>45809.0</v>
      </c>
      <c r="N30" s="350">
        <v>45838.0</v>
      </c>
      <c r="O30" s="290">
        <f t="shared" si="1"/>
        <v>370</v>
      </c>
      <c r="P30" s="290">
        <f t="shared" si="2"/>
        <v>1850</v>
      </c>
      <c r="Q30" s="290">
        <f t="shared" si="3"/>
        <v>2220</v>
      </c>
    </row>
    <row r="31">
      <c r="A31" s="299" t="s">
        <v>16</v>
      </c>
      <c r="B31" s="283">
        <v>4320.0</v>
      </c>
      <c r="C31" s="284"/>
      <c r="D31" s="301">
        <v>0.0</v>
      </c>
      <c r="E31" s="298" t="s">
        <v>331</v>
      </c>
      <c r="F31" s="282" t="s">
        <v>332</v>
      </c>
      <c r="G31" s="286" t="s">
        <v>333</v>
      </c>
      <c r="H31" s="287"/>
      <c r="I31" s="288">
        <v>37958.0</v>
      </c>
      <c r="J31" s="288">
        <v>45369.0</v>
      </c>
      <c r="K31" s="289"/>
      <c r="L31" s="302">
        <v>31.0</v>
      </c>
      <c r="M31" s="350">
        <v>45809.0</v>
      </c>
      <c r="N31" s="350">
        <v>45838.0</v>
      </c>
      <c r="O31" s="290">
        <f t="shared" si="1"/>
        <v>370</v>
      </c>
      <c r="P31" s="290">
        <f t="shared" si="2"/>
        <v>1850</v>
      </c>
      <c r="Q31" s="290">
        <f t="shared" si="3"/>
        <v>2220</v>
      </c>
    </row>
    <row r="32">
      <c r="A32" s="282" t="s">
        <v>16</v>
      </c>
      <c r="B32" s="283">
        <v>4320.0</v>
      </c>
      <c r="C32" s="284"/>
      <c r="D32" s="301">
        <v>0.0</v>
      </c>
      <c r="E32" s="282" t="s">
        <v>392</v>
      </c>
      <c r="F32" s="282" t="s">
        <v>393</v>
      </c>
      <c r="G32" s="286" t="s">
        <v>394</v>
      </c>
      <c r="H32" s="287"/>
      <c r="I32" s="288">
        <v>34922.0</v>
      </c>
      <c r="J32" s="294">
        <v>45418.0</v>
      </c>
      <c r="K32" s="289"/>
      <c r="L32" s="302">
        <v>31.0</v>
      </c>
      <c r="M32" s="350">
        <v>45809.0</v>
      </c>
      <c r="N32" s="350">
        <v>45838.0</v>
      </c>
      <c r="O32" s="290">
        <f t="shared" si="1"/>
        <v>370</v>
      </c>
      <c r="P32" s="290">
        <f t="shared" si="2"/>
        <v>1850</v>
      </c>
      <c r="Q32" s="290">
        <f t="shared" si="3"/>
        <v>2220</v>
      </c>
    </row>
    <row r="33">
      <c r="A33" s="282" t="s">
        <v>16</v>
      </c>
      <c r="B33" s="283">
        <v>4320.0</v>
      </c>
      <c r="C33" s="289"/>
      <c r="D33" s="285">
        <v>0.0</v>
      </c>
      <c r="E33" s="291" t="s">
        <v>696</v>
      </c>
      <c r="F33" s="292" t="s">
        <v>886</v>
      </c>
      <c r="G33" s="289" t="s">
        <v>698</v>
      </c>
      <c r="H33" s="289"/>
      <c r="I33" s="293">
        <v>36474.0</v>
      </c>
      <c r="J33" s="288">
        <v>45698.0</v>
      </c>
      <c r="K33" s="289"/>
      <c r="L33" s="302">
        <v>31.0</v>
      </c>
      <c r="M33" s="350">
        <v>45809.0</v>
      </c>
      <c r="N33" s="350">
        <v>45838.0</v>
      </c>
      <c r="O33" s="290">
        <f t="shared" si="1"/>
        <v>370</v>
      </c>
      <c r="P33" s="290">
        <f t="shared" si="2"/>
        <v>1850</v>
      </c>
      <c r="Q33" s="290">
        <f t="shared" si="3"/>
        <v>2220</v>
      </c>
    </row>
    <row r="34">
      <c r="A34" s="282" t="s">
        <v>16</v>
      </c>
      <c r="B34" s="283">
        <v>4320.0</v>
      </c>
      <c r="C34" s="289"/>
      <c r="D34" s="285">
        <v>0.0</v>
      </c>
      <c r="E34" s="303" t="s">
        <v>699</v>
      </c>
      <c r="F34" s="304" t="s">
        <v>887</v>
      </c>
      <c r="G34" s="289" t="s">
        <v>701</v>
      </c>
      <c r="H34" s="289"/>
      <c r="I34" s="293">
        <v>36474.0</v>
      </c>
      <c r="J34" s="288">
        <v>45698.0</v>
      </c>
      <c r="K34" s="289"/>
      <c r="L34" s="302">
        <v>31.0</v>
      </c>
      <c r="M34" s="350">
        <v>45809.0</v>
      </c>
      <c r="N34" s="350">
        <v>45838.0</v>
      </c>
      <c r="O34" s="290">
        <f t="shared" si="1"/>
        <v>370</v>
      </c>
      <c r="P34" s="290">
        <f t="shared" si="2"/>
        <v>1850</v>
      </c>
      <c r="Q34" s="290">
        <f t="shared" si="3"/>
        <v>2220</v>
      </c>
    </row>
    <row r="35">
      <c r="A35" s="282" t="s">
        <v>16</v>
      </c>
      <c r="B35" s="283">
        <v>4320.0</v>
      </c>
      <c r="C35" s="284"/>
      <c r="D35" s="301">
        <v>0.0</v>
      </c>
      <c r="E35" s="282" t="s">
        <v>576</v>
      </c>
      <c r="F35" s="282" t="s">
        <v>577</v>
      </c>
      <c r="G35" s="286" t="s">
        <v>578</v>
      </c>
      <c r="H35" s="287"/>
      <c r="I35" s="288">
        <v>37944.0</v>
      </c>
      <c r="J35" s="288">
        <v>45677.0</v>
      </c>
      <c r="K35" s="289"/>
      <c r="L35" s="302">
        <v>31.0</v>
      </c>
      <c r="M35" s="350">
        <v>45809.0</v>
      </c>
      <c r="N35" s="350">
        <v>45838.0</v>
      </c>
      <c r="O35" s="290">
        <f t="shared" si="1"/>
        <v>370</v>
      </c>
      <c r="P35" s="290">
        <f t="shared" si="2"/>
        <v>1850</v>
      </c>
      <c r="Q35" s="290">
        <f t="shared" si="3"/>
        <v>2220</v>
      </c>
    </row>
    <row r="36">
      <c r="A36" s="282" t="s">
        <v>16</v>
      </c>
      <c r="B36" s="283">
        <v>4320.0</v>
      </c>
      <c r="C36" s="284"/>
      <c r="D36" s="301">
        <v>0.0</v>
      </c>
      <c r="E36" s="282" t="s">
        <v>546</v>
      </c>
      <c r="F36" s="282" t="s">
        <v>547</v>
      </c>
      <c r="G36" s="286" t="s">
        <v>548</v>
      </c>
      <c r="H36" s="287"/>
      <c r="I36" s="288">
        <v>38255.0</v>
      </c>
      <c r="J36" s="288">
        <v>45658.0</v>
      </c>
      <c r="K36" s="289"/>
      <c r="L36" s="302">
        <v>31.0</v>
      </c>
      <c r="M36" s="350">
        <v>45809.0</v>
      </c>
      <c r="N36" s="350">
        <v>45838.0</v>
      </c>
      <c r="O36" s="290">
        <f t="shared" si="1"/>
        <v>370</v>
      </c>
      <c r="P36" s="290">
        <f t="shared" si="2"/>
        <v>1850</v>
      </c>
      <c r="Q36" s="290">
        <f t="shared" si="3"/>
        <v>2220</v>
      </c>
    </row>
    <row r="37">
      <c r="A37" s="299" t="s">
        <v>16</v>
      </c>
      <c r="B37" s="283">
        <v>4320.0</v>
      </c>
      <c r="C37" s="284"/>
      <c r="D37" s="305">
        <v>0.0</v>
      </c>
      <c r="E37" s="282" t="s">
        <v>501</v>
      </c>
      <c r="F37" s="282" t="s">
        <v>541</v>
      </c>
      <c r="G37" s="286" t="s">
        <v>502</v>
      </c>
      <c r="H37" s="287"/>
      <c r="I37" s="288">
        <v>36062.0</v>
      </c>
      <c r="J37" s="288">
        <v>45628.0</v>
      </c>
      <c r="K37" s="289"/>
      <c r="L37" s="302">
        <v>31.0</v>
      </c>
      <c r="M37" s="350">
        <v>45809.0</v>
      </c>
      <c r="N37" s="350">
        <v>45838.0</v>
      </c>
      <c r="O37" s="290">
        <f t="shared" si="1"/>
        <v>370</v>
      </c>
      <c r="P37" s="290">
        <f t="shared" si="2"/>
        <v>1850</v>
      </c>
      <c r="Q37" s="290">
        <f t="shared" si="3"/>
        <v>2220</v>
      </c>
    </row>
    <row r="38">
      <c r="A38" s="282" t="s">
        <v>16</v>
      </c>
      <c r="B38" s="283">
        <v>4320.0</v>
      </c>
      <c r="C38" s="284"/>
      <c r="D38" s="305">
        <v>0.0</v>
      </c>
      <c r="E38" s="282" t="s">
        <v>451</v>
      </c>
      <c r="F38" s="282" t="s">
        <v>512</v>
      </c>
      <c r="G38" s="286" t="s">
        <v>415</v>
      </c>
      <c r="H38" s="287"/>
      <c r="I38" s="288">
        <v>36443.0</v>
      </c>
      <c r="J38" s="288">
        <v>45446.0</v>
      </c>
      <c r="K38" s="289"/>
      <c r="L38" s="302">
        <v>31.0</v>
      </c>
      <c r="M38" s="350">
        <v>45809.0</v>
      </c>
      <c r="N38" s="350">
        <v>45838.0</v>
      </c>
      <c r="O38" s="290">
        <f t="shared" si="1"/>
        <v>370</v>
      </c>
      <c r="P38" s="290">
        <f t="shared" si="2"/>
        <v>1850</v>
      </c>
      <c r="Q38" s="290">
        <f t="shared" si="3"/>
        <v>2220</v>
      </c>
    </row>
    <row r="39">
      <c r="A39" s="282" t="s">
        <v>16</v>
      </c>
      <c r="B39" s="283">
        <v>4320.0</v>
      </c>
      <c r="C39" s="284"/>
      <c r="D39" s="301">
        <v>0.0</v>
      </c>
      <c r="E39" s="282" t="s">
        <v>579</v>
      </c>
      <c r="F39" s="282" t="s">
        <v>580</v>
      </c>
      <c r="G39" s="286" t="s">
        <v>581</v>
      </c>
      <c r="H39" s="287"/>
      <c r="I39" s="288">
        <v>37609.0</v>
      </c>
      <c r="J39" s="288">
        <v>45677.0</v>
      </c>
      <c r="K39" s="289"/>
      <c r="L39" s="302">
        <v>31.0</v>
      </c>
      <c r="M39" s="350">
        <v>45809.0</v>
      </c>
      <c r="N39" s="350">
        <v>45838.0</v>
      </c>
      <c r="O39" s="290">
        <f t="shared" si="1"/>
        <v>370</v>
      </c>
      <c r="P39" s="290">
        <f t="shared" si="2"/>
        <v>1850</v>
      </c>
      <c r="Q39" s="290">
        <f t="shared" si="3"/>
        <v>2220</v>
      </c>
    </row>
    <row r="40">
      <c r="A40" s="282" t="s">
        <v>16</v>
      </c>
      <c r="B40" s="283">
        <v>4320.0</v>
      </c>
      <c r="C40" s="284"/>
      <c r="D40" s="301">
        <v>0.0</v>
      </c>
      <c r="E40" s="282" t="s">
        <v>476</v>
      </c>
      <c r="F40" s="282" t="s">
        <v>529</v>
      </c>
      <c r="G40" s="286" t="s">
        <v>477</v>
      </c>
      <c r="H40" s="287"/>
      <c r="I40" s="288">
        <v>37220.0</v>
      </c>
      <c r="J40" s="288">
        <v>45572.0</v>
      </c>
      <c r="K40" s="289"/>
      <c r="L40" s="302">
        <v>31.0</v>
      </c>
      <c r="M40" s="350">
        <v>45809.0</v>
      </c>
      <c r="N40" s="350">
        <v>45838.0</v>
      </c>
      <c r="O40" s="290">
        <f t="shared" si="1"/>
        <v>370</v>
      </c>
      <c r="P40" s="290">
        <f t="shared" si="2"/>
        <v>1850</v>
      </c>
      <c r="Q40" s="290">
        <f t="shared" si="3"/>
        <v>2220</v>
      </c>
    </row>
    <row r="41">
      <c r="A41" s="282" t="s">
        <v>16</v>
      </c>
      <c r="B41" s="283">
        <v>4320.0</v>
      </c>
      <c r="C41" s="284"/>
      <c r="D41" s="301">
        <v>0.0</v>
      </c>
      <c r="E41" s="282" t="s">
        <v>102</v>
      </c>
      <c r="F41" s="282" t="s">
        <v>103</v>
      </c>
      <c r="G41" s="286" t="s">
        <v>104</v>
      </c>
      <c r="H41" s="287"/>
      <c r="I41" s="288">
        <v>33240.0</v>
      </c>
      <c r="J41" s="288">
        <v>44287.0</v>
      </c>
      <c r="K41" s="289"/>
      <c r="L41" s="302">
        <v>31.0</v>
      </c>
      <c r="M41" s="350">
        <v>45809.0</v>
      </c>
      <c r="N41" s="350">
        <v>45838.0</v>
      </c>
      <c r="O41" s="290">
        <f t="shared" si="1"/>
        <v>370</v>
      </c>
      <c r="P41" s="290">
        <f t="shared" si="2"/>
        <v>1850</v>
      </c>
      <c r="Q41" s="290">
        <f t="shared" si="3"/>
        <v>2220</v>
      </c>
    </row>
    <row r="42">
      <c r="A42" s="282" t="s">
        <v>16</v>
      </c>
      <c r="B42" s="283">
        <v>4320.0</v>
      </c>
      <c r="C42" s="284"/>
      <c r="D42" s="305">
        <v>0.0</v>
      </c>
      <c r="E42" s="282" t="s">
        <v>438</v>
      </c>
      <c r="F42" s="282" t="s">
        <v>341</v>
      </c>
      <c r="G42" s="480" t="s">
        <v>834</v>
      </c>
      <c r="H42" s="287"/>
      <c r="I42" s="288">
        <v>37964.0</v>
      </c>
      <c r="J42" s="288">
        <v>45355.0</v>
      </c>
      <c r="K42" s="289"/>
      <c r="L42" s="302">
        <v>31.0</v>
      </c>
      <c r="M42" s="350">
        <v>45809.0</v>
      </c>
      <c r="N42" s="350">
        <v>45838.0</v>
      </c>
      <c r="O42" s="290">
        <f t="shared" si="1"/>
        <v>370</v>
      </c>
      <c r="P42" s="290">
        <f t="shared" si="2"/>
        <v>1850</v>
      </c>
      <c r="Q42" s="290">
        <f t="shared" si="3"/>
        <v>2220</v>
      </c>
    </row>
    <row r="43">
      <c r="A43" s="282" t="s">
        <v>16</v>
      </c>
      <c r="B43" s="283">
        <v>4320.0</v>
      </c>
      <c r="C43" s="284"/>
      <c r="D43" s="305">
        <v>0.0</v>
      </c>
      <c r="E43" s="282" t="s">
        <v>508</v>
      </c>
      <c r="F43" s="282" t="s">
        <v>545</v>
      </c>
      <c r="G43" s="286" t="s">
        <v>509</v>
      </c>
      <c r="H43" s="287"/>
      <c r="I43" s="288">
        <v>36637.0</v>
      </c>
      <c r="J43" s="288">
        <v>45649.0</v>
      </c>
      <c r="K43" s="289"/>
      <c r="L43" s="302">
        <v>31.0</v>
      </c>
      <c r="M43" s="350">
        <v>45809.0</v>
      </c>
      <c r="N43" s="350">
        <v>45838.0</v>
      </c>
      <c r="O43" s="290">
        <f t="shared" si="1"/>
        <v>370</v>
      </c>
      <c r="P43" s="290">
        <f t="shared" si="2"/>
        <v>1850</v>
      </c>
      <c r="Q43" s="290">
        <f t="shared" si="3"/>
        <v>2220</v>
      </c>
    </row>
    <row r="44">
      <c r="A44" s="282" t="s">
        <v>16</v>
      </c>
      <c r="B44" s="283">
        <v>4320.0</v>
      </c>
      <c r="C44" s="284"/>
      <c r="D44" s="301">
        <v>0.0</v>
      </c>
      <c r="E44" s="282" t="s">
        <v>370</v>
      </c>
      <c r="F44" s="282" t="s">
        <v>371</v>
      </c>
      <c r="G44" s="286" t="s">
        <v>372</v>
      </c>
      <c r="H44" s="287"/>
      <c r="I44" s="288">
        <v>35551.0</v>
      </c>
      <c r="J44" s="288">
        <v>45383.0</v>
      </c>
      <c r="K44" s="289"/>
      <c r="L44" s="302">
        <v>31.0</v>
      </c>
      <c r="M44" s="350">
        <v>45809.0</v>
      </c>
      <c r="N44" s="350">
        <v>45838.0</v>
      </c>
      <c r="O44" s="290">
        <f t="shared" si="1"/>
        <v>370</v>
      </c>
      <c r="P44" s="290">
        <f t="shared" si="2"/>
        <v>1850</v>
      </c>
      <c r="Q44" s="290">
        <f t="shared" si="3"/>
        <v>2220</v>
      </c>
    </row>
    <row r="45">
      <c r="A45" s="282" t="s">
        <v>16</v>
      </c>
      <c r="B45" s="283">
        <v>4320.0</v>
      </c>
      <c r="C45" s="284"/>
      <c r="D45" s="305">
        <v>0.0</v>
      </c>
      <c r="E45" s="282" t="s">
        <v>114</v>
      </c>
      <c r="F45" s="282" t="s">
        <v>514</v>
      </c>
      <c r="G45" s="286" t="s">
        <v>456</v>
      </c>
      <c r="H45" s="287"/>
      <c r="I45" s="288">
        <v>35872.0</v>
      </c>
      <c r="J45" s="288">
        <v>45523.0</v>
      </c>
      <c r="K45" s="289"/>
      <c r="L45" s="302">
        <v>31.0</v>
      </c>
      <c r="M45" s="350">
        <v>45809.0</v>
      </c>
      <c r="N45" s="350">
        <v>45838.0</v>
      </c>
      <c r="O45" s="290">
        <f t="shared" si="1"/>
        <v>370</v>
      </c>
      <c r="P45" s="290">
        <f t="shared" si="2"/>
        <v>1850</v>
      </c>
      <c r="Q45" s="290">
        <f t="shared" si="3"/>
        <v>2220</v>
      </c>
    </row>
    <row r="46">
      <c r="A46" s="282" t="s">
        <v>16</v>
      </c>
      <c r="B46" s="283">
        <v>4320.0</v>
      </c>
      <c r="C46" s="284"/>
      <c r="D46" s="301">
        <v>0.0</v>
      </c>
      <c r="E46" s="282" t="s">
        <v>506</v>
      </c>
      <c r="F46" s="282" t="s">
        <v>544</v>
      </c>
      <c r="G46" s="286" t="s">
        <v>507</v>
      </c>
      <c r="H46" s="287"/>
      <c r="I46" s="350">
        <v>36980.0</v>
      </c>
      <c r="J46" s="288">
        <v>45642.0</v>
      </c>
      <c r="K46" s="289"/>
      <c r="L46" s="302">
        <v>31.0</v>
      </c>
      <c r="M46" s="350">
        <v>45809.0</v>
      </c>
      <c r="N46" s="350">
        <v>45838.0</v>
      </c>
      <c r="O46" s="290">
        <f t="shared" si="1"/>
        <v>370</v>
      </c>
      <c r="P46" s="290">
        <f t="shared" si="2"/>
        <v>1850</v>
      </c>
      <c r="Q46" s="290">
        <f t="shared" si="3"/>
        <v>2220</v>
      </c>
    </row>
    <row r="47">
      <c r="A47" s="282" t="s">
        <v>16</v>
      </c>
      <c r="B47" s="283">
        <v>4320.0</v>
      </c>
      <c r="C47" s="284"/>
      <c r="D47" s="301">
        <v>0.0</v>
      </c>
      <c r="E47" s="282" t="s">
        <v>487</v>
      </c>
      <c r="F47" s="282" t="s">
        <v>533</v>
      </c>
      <c r="G47" s="286" t="s">
        <v>488</v>
      </c>
      <c r="H47" s="287"/>
      <c r="I47" s="294">
        <v>35195.0</v>
      </c>
      <c r="J47" s="288">
        <v>45602.0</v>
      </c>
      <c r="K47" s="289"/>
      <c r="L47" s="302">
        <v>31.0</v>
      </c>
      <c r="M47" s="350">
        <v>45809.0</v>
      </c>
      <c r="N47" s="350">
        <v>45838.0</v>
      </c>
      <c r="O47" s="290">
        <f t="shared" si="1"/>
        <v>370</v>
      </c>
      <c r="P47" s="290">
        <f t="shared" si="2"/>
        <v>1850</v>
      </c>
      <c r="Q47" s="290">
        <f t="shared" si="3"/>
        <v>2220</v>
      </c>
    </row>
    <row r="48">
      <c r="A48" s="282" t="s">
        <v>16</v>
      </c>
      <c r="B48" s="283">
        <v>4320.0</v>
      </c>
      <c r="C48" s="289"/>
      <c r="D48" s="305">
        <v>0.0</v>
      </c>
      <c r="E48" s="282" t="s">
        <v>343</v>
      </c>
      <c r="F48" s="282" t="s">
        <v>344</v>
      </c>
      <c r="G48" s="480" t="s">
        <v>835</v>
      </c>
      <c r="H48" s="287"/>
      <c r="I48" s="288">
        <v>36821.0</v>
      </c>
      <c r="J48" s="288">
        <v>45362.0</v>
      </c>
      <c r="K48" s="289"/>
      <c r="L48" s="302">
        <v>31.0</v>
      </c>
      <c r="M48" s="350">
        <v>45809.0</v>
      </c>
      <c r="N48" s="350">
        <v>45838.0</v>
      </c>
      <c r="O48" s="290">
        <f t="shared" si="1"/>
        <v>370</v>
      </c>
      <c r="P48" s="290">
        <f t="shared" si="2"/>
        <v>1850</v>
      </c>
      <c r="Q48" s="290">
        <f t="shared" si="3"/>
        <v>2220</v>
      </c>
    </row>
    <row r="49">
      <c r="A49" s="282" t="s">
        <v>16</v>
      </c>
      <c r="B49" s="283">
        <v>4320.0</v>
      </c>
      <c r="C49" s="289"/>
      <c r="D49" s="285">
        <v>0.0</v>
      </c>
      <c r="E49" s="306" t="s">
        <v>429</v>
      </c>
      <c r="F49" s="282" t="s">
        <v>516</v>
      </c>
      <c r="G49" s="286" t="s">
        <v>430</v>
      </c>
      <c r="H49" s="287"/>
      <c r="I49" s="288">
        <v>37257.0</v>
      </c>
      <c r="J49" s="288">
        <v>45481.0</v>
      </c>
      <c r="K49" s="289"/>
      <c r="L49" s="302">
        <v>31.0</v>
      </c>
      <c r="M49" s="350">
        <v>45809.0</v>
      </c>
      <c r="N49" s="350">
        <v>45838.0</v>
      </c>
      <c r="O49" s="290">
        <f t="shared" si="1"/>
        <v>370</v>
      </c>
      <c r="P49" s="290">
        <f t="shared" si="2"/>
        <v>1850</v>
      </c>
      <c r="Q49" s="290">
        <f t="shared" si="3"/>
        <v>2220</v>
      </c>
    </row>
    <row r="50">
      <c r="A50" s="282" t="s">
        <v>16</v>
      </c>
      <c r="B50" s="283">
        <v>4320.0</v>
      </c>
      <c r="C50" s="289"/>
      <c r="D50" s="285">
        <v>0.0</v>
      </c>
      <c r="E50" s="306" t="s">
        <v>489</v>
      </c>
      <c r="F50" s="282" t="s">
        <v>536</v>
      </c>
      <c r="G50" s="286" t="s">
        <v>490</v>
      </c>
      <c r="H50" s="287"/>
      <c r="I50" s="288">
        <v>37105.0</v>
      </c>
      <c r="J50" s="288">
        <v>45602.0</v>
      </c>
      <c r="K50" s="289"/>
      <c r="L50" s="302">
        <v>31.0</v>
      </c>
      <c r="M50" s="350">
        <v>45809.0</v>
      </c>
      <c r="N50" s="350">
        <v>45838.0</v>
      </c>
      <c r="O50" s="290">
        <f t="shared" si="1"/>
        <v>370</v>
      </c>
      <c r="P50" s="290">
        <f t="shared" si="2"/>
        <v>1850</v>
      </c>
      <c r="Q50" s="290">
        <f t="shared" si="3"/>
        <v>2220</v>
      </c>
    </row>
    <row r="51">
      <c r="A51" s="282" t="s">
        <v>16</v>
      </c>
      <c r="B51" s="283">
        <v>4320.0</v>
      </c>
      <c r="C51" s="289"/>
      <c r="D51" s="285">
        <v>0.0</v>
      </c>
      <c r="E51" s="306" t="s">
        <v>416</v>
      </c>
      <c r="F51" s="282" t="s">
        <v>517</v>
      </c>
      <c r="G51" s="286" t="s">
        <v>417</v>
      </c>
      <c r="H51" s="287"/>
      <c r="I51" s="288">
        <v>36346.0</v>
      </c>
      <c r="J51" s="288">
        <v>45453.0</v>
      </c>
      <c r="K51" s="289"/>
      <c r="L51" s="302">
        <v>31.0</v>
      </c>
      <c r="M51" s="350">
        <v>45809.0</v>
      </c>
      <c r="N51" s="350">
        <v>45838.0</v>
      </c>
      <c r="O51" s="290">
        <f t="shared" si="1"/>
        <v>370</v>
      </c>
      <c r="P51" s="290">
        <f t="shared" si="2"/>
        <v>1850</v>
      </c>
      <c r="Q51" s="290">
        <f t="shared" si="3"/>
        <v>2220</v>
      </c>
    </row>
    <row r="52">
      <c r="A52" s="282" t="s">
        <v>16</v>
      </c>
      <c r="B52" s="283">
        <v>4320.0</v>
      </c>
      <c r="C52" s="289"/>
      <c r="D52" s="285">
        <v>0.0</v>
      </c>
      <c r="E52" s="306" t="s">
        <v>478</v>
      </c>
      <c r="F52" s="282" t="s">
        <v>518</v>
      </c>
      <c r="G52" s="286" t="s">
        <v>426</v>
      </c>
      <c r="H52" s="287"/>
      <c r="I52" s="288">
        <v>36530.0</v>
      </c>
      <c r="J52" s="288">
        <v>45446.0</v>
      </c>
      <c r="K52" s="289"/>
      <c r="L52" s="302">
        <v>31.0</v>
      </c>
      <c r="M52" s="350">
        <v>45809.0</v>
      </c>
      <c r="N52" s="350">
        <v>45838.0</v>
      </c>
      <c r="O52" s="290">
        <f t="shared" si="1"/>
        <v>370</v>
      </c>
      <c r="P52" s="290">
        <f t="shared" si="2"/>
        <v>1850</v>
      </c>
      <c r="Q52" s="290">
        <f t="shared" si="3"/>
        <v>2220</v>
      </c>
    </row>
    <row r="53">
      <c r="A53" s="421" t="s">
        <v>16</v>
      </c>
      <c r="B53" s="422">
        <v>4320.0</v>
      </c>
      <c r="C53" s="427"/>
      <c r="D53" s="424">
        <v>0.0</v>
      </c>
      <c r="E53" s="441" t="s">
        <v>570</v>
      </c>
      <c r="F53" s="421" t="s">
        <v>571</v>
      </c>
      <c r="G53" s="425" t="s">
        <v>572</v>
      </c>
      <c r="H53" s="287"/>
      <c r="I53" s="426">
        <v>37362.0</v>
      </c>
      <c r="J53" s="426">
        <v>45677.0</v>
      </c>
      <c r="K53" s="427"/>
      <c r="L53" s="428">
        <v>31.0</v>
      </c>
      <c r="M53" s="429">
        <v>45809.0</v>
      </c>
      <c r="N53" s="429">
        <v>45838.0</v>
      </c>
      <c r="O53" s="430">
        <f t="shared" si="1"/>
        <v>370</v>
      </c>
      <c r="P53" s="430">
        <f t="shared" si="2"/>
        <v>1850</v>
      </c>
      <c r="Q53" s="430">
        <f t="shared" si="3"/>
        <v>2220</v>
      </c>
      <c r="R53" s="48"/>
      <c r="S53" s="48"/>
      <c r="T53" s="48"/>
      <c r="U53" s="48"/>
      <c r="V53" s="48"/>
      <c r="W53" s="48"/>
      <c r="X53" s="48"/>
    </row>
    <row r="54">
      <c r="A54" s="282" t="s">
        <v>16</v>
      </c>
      <c r="B54" s="283">
        <v>4320.0</v>
      </c>
      <c r="C54" s="289"/>
      <c r="D54" s="285">
        <v>0.0</v>
      </c>
      <c r="E54" s="291" t="s">
        <v>702</v>
      </c>
      <c r="F54" s="292" t="s">
        <v>703</v>
      </c>
      <c r="G54" s="289" t="s">
        <v>704</v>
      </c>
      <c r="H54" s="289"/>
      <c r="I54" s="293">
        <v>35714.0</v>
      </c>
      <c r="J54" s="288">
        <v>45705.0</v>
      </c>
      <c r="K54" s="289"/>
      <c r="L54" s="302">
        <v>31.0</v>
      </c>
      <c r="M54" s="350">
        <v>45809.0</v>
      </c>
      <c r="N54" s="350">
        <v>45838.0</v>
      </c>
      <c r="O54" s="290">
        <f t="shared" si="1"/>
        <v>370</v>
      </c>
      <c r="P54" s="290">
        <f t="shared" si="2"/>
        <v>1850</v>
      </c>
      <c r="Q54" s="290">
        <f t="shared" si="3"/>
        <v>2220</v>
      </c>
    </row>
    <row r="55">
      <c r="A55" s="282" t="s">
        <v>16</v>
      </c>
      <c r="B55" s="283">
        <v>4320.0</v>
      </c>
      <c r="C55" s="289"/>
      <c r="D55" s="285">
        <v>0.0</v>
      </c>
      <c r="E55" s="306" t="s">
        <v>459</v>
      </c>
      <c r="F55" s="282" t="s">
        <v>374</v>
      </c>
      <c r="G55" s="286" t="s">
        <v>375</v>
      </c>
      <c r="H55" s="287"/>
      <c r="I55" s="288">
        <v>37085.0</v>
      </c>
      <c r="J55" s="288">
        <v>45400.0</v>
      </c>
      <c r="K55" s="289"/>
      <c r="L55" s="302">
        <v>31.0</v>
      </c>
      <c r="M55" s="350">
        <v>45809.0</v>
      </c>
      <c r="N55" s="350">
        <v>45838.0</v>
      </c>
      <c r="O55" s="290">
        <f t="shared" si="1"/>
        <v>370</v>
      </c>
      <c r="P55" s="290">
        <f t="shared" si="2"/>
        <v>1850</v>
      </c>
      <c r="Q55" s="290">
        <f t="shared" si="3"/>
        <v>2220</v>
      </c>
    </row>
    <row r="56">
      <c r="A56" s="282" t="s">
        <v>16</v>
      </c>
      <c r="B56" s="283">
        <v>4320.0</v>
      </c>
      <c r="C56" s="289"/>
      <c r="D56" s="285">
        <v>0.0</v>
      </c>
      <c r="E56" s="306" t="s">
        <v>349</v>
      </c>
      <c r="F56" s="282" t="s">
        <v>350</v>
      </c>
      <c r="G56" s="286" t="s">
        <v>351</v>
      </c>
      <c r="H56" s="287"/>
      <c r="I56" s="288">
        <v>37647.0</v>
      </c>
      <c r="J56" s="288">
        <v>45355.0</v>
      </c>
      <c r="K56" s="350"/>
      <c r="L56" s="302">
        <v>31.0</v>
      </c>
      <c r="M56" s="350">
        <v>45809.0</v>
      </c>
      <c r="N56" s="350">
        <v>45838.0</v>
      </c>
      <c r="O56" s="290">
        <f t="shared" si="1"/>
        <v>370</v>
      </c>
      <c r="P56" s="290">
        <f t="shared" si="2"/>
        <v>1850</v>
      </c>
      <c r="Q56" s="290">
        <f t="shared" si="3"/>
        <v>2220</v>
      </c>
    </row>
    <row r="57">
      <c r="A57" s="282" t="s">
        <v>16</v>
      </c>
      <c r="B57" s="283">
        <v>4320.0</v>
      </c>
      <c r="C57" s="289"/>
      <c r="D57" s="285">
        <v>0.0</v>
      </c>
      <c r="E57" s="306" t="s">
        <v>352</v>
      </c>
      <c r="F57" s="282" t="s">
        <v>353</v>
      </c>
      <c r="G57" s="286" t="s">
        <v>354</v>
      </c>
      <c r="H57" s="287"/>
      <c r="I57" s="288">
        <v>36412.0</v>
      </c>
      <c r="J57" s="288">
        <v>45355.0</v>
      </c>
      <c r="K57" s="289"/>
      <c r="L57" s="302">
        <v>31.0</v>
      </c>
      <c r="M57" s="350">
        <v>45809.0</v>
      </c>
      <c r="N57" s="350">
        <v>45838.0</v>
      </c>
      <c r="O57" s="290">
        <f t="shared" si="1"/>
        <v>370</v>
      </c>
      <c r="P57" s="290">
        <f t="shared" si="2"/>
        <v>1850</v>
      </c>
      <c r="Q57" s="290">
        <f t="shared" si="3"/>
        <v>2220</v>
      </c>
    </row>
    <row r="58">
      <c r="A58" s="282" t="s">
        <v>16</v>
      </c>
      <c r="B58" s="283">
        <v>4320.0</v>
      </c>
      <c r="C58" s="289"/>
      <c r="D58" s="285">
        <v>0.0</v>
      </c>
      <c r="E58" s="303" t="s">
        <v>705</v>
      </c>
      <c r="F58" s="295" t="s">
        <v>888</v>
      </c>
      <c r="G58" s="289" t="s">
        <v>707</v>
      </c>
      <c r="H58" s="289"/>
      <c r="I58" s="293">
        <v>36594.0</v>
      </c>
      <c r="J58" s="288">
        <v>45712.0</v>
      </c>
      <c r="K58" s="289"/>
      <c r="L58" s="302">
        <v>31.0</v>
      </c>
      <c r="M58" s="350">
        <v>45809.0</v>
      </c>
      <c r="N58" s="350">
        <v>45838.0</v>
      </c>
      <c r="O58" s="290">
        <f t="shared" si="1"/>
        <v>370</v>
      </c>
      <c r="P58" s="290">
        <f t="shared" si="2"/>
        <v>1850</v>
      </c>
      <c r="Q58" s="290">
        <f t="shared" si="3"/>
        <v>2220</v>
      </c>
    </row>
    <row r="59">
      <c r="A59" s="282" t="s">
        <v>16</v>
      </c>
      <c r="B59" s="283">
        <v>4320.0</v>
      </c>
      <c r="C59" s="289"/>
      <c r="D59" s="285">
        <v>0.0</v>
      </c>
      <c r="E59" s="306" t="s">
        <v>273</v>
      </c>
      <c r="F59" s="282" t="s">
        <v>274</v>
      </c>
      <c r="G59" s="286" t="s">
        <v>275</v>
      </c>
      <c r="H59" s="287"/>
      <c r="I59" s="288">
        <v>34522.0</v>
      </c>
      <c r="J59" s="288">
        <v>45292.0</v>
      </c>
      <c r="K59" s="289"/>
      <c r="L59" s="302">
        <v>31.0</v>
      </c>
      <c r="M59" s="350">
        <v>45809.0</v>
      </c>
      <c r="N59" s="350">
        <v>45838.0</v>
      </c>
      <c r="O59" s="290">
        <f t="shared" si="1"/>
        <v>370</v>
      </c>
      <c r="P59" s="290">
        <f t="shared" si="2"/>
        <v>1850</v>
      </c>
      <c r="Q59" s="290">
        <f t="shared" si="3"/>
        <v>2220</v>
      </c>
    </row>
    <row r="60">
      <c r="A60" s="282" t="s">
        <v>16</v>
      </c>
      <c r="B60" s="283">
        <v>4320.0</v>
      </c>
      <c r="C60" s="289"/>
      <c r="D60" s="285">
        <v>0.0</v>
      </c>
      <c r="E60" s="303" t="s">
        <v>708</v>
      </c>
      <c r="F60" s="295" t="s">
        <v>889</v>
      </c>
      <c r="G60" s="289" t="s">
        <v>710</v>
      </c>
      <c r="H60" s="289"/>
      <c r="I60" s="293">
        <v>37028.0</v>
      </c>
      <c r="J60" s="288">
        <v>45705.0</v>
      </c>
      <c r="K60" s="289"/>
      <c r="L60" s="302">
        <v>31.0</v>
      </c>
      <c r="M60" s="350">
        <v>45809.0</v>
      </c>
      <c r="N60" s="350">
        <v>45838.0</v>
      </c>
      <c r="O60" s="290">
        <f t="shared" si="1"/>
        <v>370</v>
      </c>
      <c r="P60" s="290">
        <f t="shared" si="2"/>
        <v>1850</v>
      </c>
      <c r="Q60" s="290">
        <f t="shared" si="3"/>
        <v>2220</v>
      </c>
    </row>
    <row r="61">
      <c r="A61" s="349" t="s">
        <v>16</v>
      </c>
      <c r="B61" s="400">
        <v>4320.0</v>
      </c>
      <c r="C61" s="401"/>
      <c r="D61" s="402">
        <v>0.0</v>
      </c>
      <c r="E61" s="403" t="s">
        <v>162</v>
      </c>
      <c r="F61" s="487" t="s">
        <v>838</v>
      </c>
      <c r="G61" s="404" t="s">
        <v>164</v>
      </c>
      <c r="H61" s="405"/>
      <c r="I61" s="406">
        <v>34732.0</v>
      </c>
      <c r="J61" s="406">
        <v>44986.0</v>
      </c>
      <c r="K61" s="401"/>
      <c r="L61" s="302">
        <v>31.0</v>
      </c>
      <c r="M61" s="350">
        <v>45809.0</v>
      </c>
      <c r="N61" s="350">
        <v>45838.0</v>
      </c>
      <c r="O61" s="290">
        <f t="shared" si="1"/>
        <v>370</v>
      </c>
      <c r="P61" s="409">
        <f t="shared" si="2"/>
        <v>1850</v>
      </c>
      <c r="Q61" s="409">
        <f t="shared" si="3"/>
        <v>2220</v>
      </c>
    </row>
    <row r="62">
      <c r="A62" s="282" t="s">
        <v>16</v>
      </c>
      <c r="B62" s="283">
        <v>4320.0</v>
      </c>
      <c r="C62" s="289"/>
      <c r="D62" s="285">
        <v>0.0</v>
      </c>
      <c r="E62" s="306" t="s">
        <v>549</v>
      </c>
      <c r="F62" s="282" t="s">
        <v>550</v>
      </c>
      <c r="G62" s="286" t="s">
        <v>551</v>
      </c>
      <c r="H62" s="287"/>
      <c r="I62" s="288">
        <v>37636.0</v>
      </c>
      <c r="J62" s="288">
        <v>45663.0</v>
      </c>
      <c r="K62" s="289"/>
      <c r="L62" s="302">
        <v>31.0</v>
      </c>
      <c r="M62" s="350">
        <v>45809.0</v>
      </c>
      <c r="N62" s="350">
        <v>45838.0</v>
      </c>
      <c r="O62" s="290">
        <f t="shared" si="1"/>
        <v>370</v>
      </c>
      <c r="P62" s="290">
        <f t="shared" si="2"/>
        <v>1850</v>
      </c>
      <c r="Q62" s="290">
        <f t="shared" si="3"/>
        <v>2220</v>
      </c>
    </row>
    <row r="63">
      <c r="A63" s="282" t="s">
        <v>16</v>
      </c>
      <c r="B63" s="283">
        <v>4320.0</v>
      </c>
      <c r="C63" s="289"/>
      <c r="D63" s="285">
        <v>0.0</v>
      </c>
      <c r="E63" s="291" t="s">
        <v>711</v>
      </c>
      <c r="F63" s="295" t="s">
        <v>890</v>
      </c>
      <c r="G63" s="289" t="s">
        <v>713</v>
      </c>
      <c r="H63" s="289"/>
      <c r="I63" s="293">
        <v>34694.0</v>
      </c>
      <c r="J63" s="288">
        <v>45712.0</v>
      </c>
      <c r="K63" s="289"/>
      <c r="L63" s="302">
        <v>31.0</v>
      </c>
      <c r="M63" s="350">
        <v>45809.0</v>
      </c>
      <c r="N63" s="350">
        <v>45838.0</v>
      </c>
      <c r="O63" s="290">
        <f t="shared" si="1"/>
        <v>370</v>
      </c>
      <c r="P63" s="290">
        <f t="shared" si="2"/>
        <v>1850</v>
      </c>
      <c r="Q63" s="290">
        <f t="shared" si="3"/>
        <v>2220</v>
      </c>
    </row>
    <row r="64">
      <c r="A64" s="282" t="s">
        <v>16</v>
      </c>
      <c r="B64" s="283">
        <v>4320.0</v>
      </c>
      <c r="C64" s="289"/>
      <c r="D64" s="285">
        <v>0.0</v>
      </c>
      <c r="E64" s="306" t="s">
        <v>355</v>
      </c>
      <c r="F64" s="282" t="s">
        <v>356</v>
      </c>
      <c r="G64" s="286" t="s">
        <v>357</v>
      </c>
      <c r="H64" s="287"/>
      <c r="I64" s="288">
        <v>35395.0</v>
      </c>
      <c r="J64" s="288">
        <v>45376.0</v>
      </c>
      <c r="K64" s="289"/>
      <c r="L64" s="302">
        <v>31.0</v>
      </c>
      <c r="M64" s="350">
        <v>45809.0</v>
      </c>
      <c r="N64" s="350">
        <v>45838.0</v>
      </c>
      <c r="O64" s="290">
        <f t="shared" si="1"/>
        <v>370</v>
      </c>
      <c r="P64" s="290">
        <f t="shared" si="2"/>
        <v>1850</v>
      </c>
      <c r="Q64" s="290">
        <f t="shared" si="3"/>
        <v>2220</v>
      </c>
    </row>
    <row r="65">
      <c r="A65" s="282" t="s">
        <v>16</v>
      </c>
      <c r="B65" s="283">
        <v>4320.0</v>
      </c>
      <c r="C65" s="289"/>
      <c r="D65" s="285">
        <v>0.0</v>
      </c>
      <c r="E65" s="291" t="s">
        <v>714</v>
      </c>
      <c r="F65" s="295" t="s">
        <v>891</v>
      </c>
      <c r="G65" s="289" t="s">
        <v>716</v>
      </c>
      <c r="H65" s="289"/>
      <c r="I65" s="293">
        <v>36514.0</v>
      </c>
      <c r="J65" s="288">
        <v>45698.0</v>
      </c>
      <c r="K65" s="289"/>
      <c r="L65" s="302">
        <v>31.0</v>
      </c>
      <c r="M65" s="350">
        <v>45809.0</v>
      </c>
      <c r="N65" s="350">
        <v>45838.0</v>
      </c>
      <c r="O65" s="290">
        <f t="shared" si="1"/>
        <v>370</v>
      </c>
      <c r="P65" s="290">
        <f t="shared" si="2"/>
        <v>1850</v>
      </c>
      <c r="Q65" s="290">
        <f t="shared" si="3"/>
        <v>2220</v>
      </c>
    </row>
    <row r="66">
      <c r="A66" s="282" t="s">
        <v>16</v>
      </c>
      <c r="B66" s="283">
        <v>4320.0</v>
      </c>
      <c r="C66" s="289"/>
      <c r="D66" s="285">
        <v>0.0</v>
      </c>
      <c r="E66" s="306" t="s">
        <v>183</v>
      </c>
      <c r="F66" s="282" t="s">
        <v>184</v>
      </c>
      <c r="G66" s="286" t="s">
        <v>185</v>
      </c>
      <c r="H66" s="287"/>
      <c r="I66" s="288">
        <v>36979.0</v>
      </c>
      <c r="J66" s="288">
        <v>44907.0</v>
      </c>
      <c r="K66" s="289"/>
      <c r="L66" s="302">
        <v>31.0</v>
      </c>
      <c r="M66" s="350">
        <v>45809.0</v>
      </c>
      <c r="N66" s="350">
        <v>45838.0</v>
      </c>
      <c r="O66" s="290">
        <f t="shared" si="1"/>
        <v>370</v>
      </c>
      <c r="P66" s="290">
        <f t="shared" si="2"/>
        <v>1850</v>
      </c>
      <c r="Q66" s="290">
        <f t="shared" si="3"/>
        <v>2220</v>
      </c>
    </row>
    <row r="67">
      <c r="A67" s="282" t="s">
        <v>16</v>
      </c>
      <c r="B67" s="283">
        <v>4320.0</v>
      </c>
      <c r="C67" s="289"/>
      <c r="D67" s="285">
        <v>0.0</v>
      </c>
      <c r="E67" s="306" t="s">
        <v>301</v>
      </c>
      <c r="F67" s="282" t="s">
        <v>302</v>
      </c>
      <c r="G67" s="286" t="s">
        <v>303</v>
      </c>
      <c r="H67" s="287"/>
      <c r="I67" s="288">
        <v>36991.0</v>
      </c>
      <c r="J67" s="288">
        <v>45205.0</v>
      </c>
      <c r="K67" s="289"/>
      <c r="L67" s="302">
        <v>31.0</v>
      </c>
      <c r="M67" s="350">
        <v>45809.0</v>
      </c>
      <c r="N67" s="350">
        <v>45838.0</v>
      </c>
      <c r="O67" s="290">
        <f t="shared" si="1"/>
        <v>370</v>
      </c>
      <c r="P67" s="290">
        <f t="shared" si="2"/>
        <v>1850</v>
      </c>
      <c r="Q67" s="290">
        <f t="shared" si="3"/>
        <v>2220</v>
      </c>
    </row>
    <row r="68">
      <c r="A68" s="282" t="s">
        <v>16</v>
      </c>
      <c r="B68" s="283">
        <v>4320.0</v>
      </c>
      <c r="C68" s="289"/>
      <c r="D68" s="285">
        <v>0.0</v>
      </c>
      <c r="E68" s="306" t="s">
        <v>432</v>
      </c>
      <c r="F68" s="282" t="s">
        <v>521</v>
      </c>
      <c r="G68" s="286" t="s">
        <v>433</v>
      </c>
      <c r="H68" s="287"/>
      <c r="I68" s="288">
        <v>34504.0</v>
      </c>
      <c r="J68" s="288">
        <v>45481.0</v>
      </c>
      <c r="K68" s="289"/>
      <c r="L68" s="302">
        <v>31.0</v>
      </c>
      <c r="M68" s="350">
        <v>45809.0</v>
      </c>
      <c r="N68" s="350">
        <v>45838.0</v>
      </c>
      <c r="O68" s="290">
        <f t="shared" si="1"/>
        <v>370</v>
      </c>
      <c r="P68" s="290">
        <f t="shared" si="2"/>
        <v>1850</v>
      </c>
      <c r="Q68" s="290">
        <f t="shared" si="3"/>
        <v>2220</v>
      </c>
    </row>
    <row r="69">
      <c r="A69" s="421" t="s">
        <v>16</v>
      </c>
      <c r="B69" s="422">
        <v>4320.0</v>
      </c>
      <c r="C69" s="427"/>
      <c r="D69" s="424">
        <v>0.0</v>
      </c>
      <c r="E69" s="441" t="s">
        <v>434</v>
      </c>
      <c r="F69" s="421" t="s">
        <v>522</v>
      </c>
      <c r="G69" s="425" t="s">
        <v>435</v>
      </c>
      <c r="H69" s="287"/>
      <c r="I69" s="426">
        <v>37446.0</v>
      </c>
      <c r="J69" s="426">
        <v>45495.0</v>
      </c>
      <c r="K69" s="427"/>
      <c r="L69" s="428">
        <v>2.0</v>
      </c>
      <c r="M69" s="429">
        <v>45809.0</v>
      </c>
      <c r="N69" s="429">
        <v>45838.0</v>
      </c>
      <c r="O69" s="430">
        <f t="shared" si="1"/>
        <v>24</v>
      </c>
      <c r="P69" s="430">
        <f t="shared" si="2"/>
        <v>120</v>
      </c>
      <c r="Q69" s="430">
        <f t="shared" si="3"/>
        <v>144</v>
      </c>
      <c r="R69" s="48"/>
      <c r="S69" s="48"/>
      <c r="T69" s="48"/>
      <c r="U69" s="48"/>
      <c r="V69" s="48"/>
      <c r="W69" s="48"/>
      <c r="X69" s="48"/>
    </row>
    <row r="70">
      <c r="A70" s="282" t="s">
        <v>16</v>
      </c>
      <c r="B70" s="283">
        <v>4320.0</v>
      </c>
      <c r="C70" s="289"/>
      <c r="D70" s="285">
        <v>0.0</v>
      </c>
      <c r="E70" s="306" t="s">
        <v>460</v>
      </c>
      <c r="F70" s="282" t="s">
        <v>523</v>
      </c>
      <c r="G70" s="286" t="s">
        <v>461</v>
      </c>
      <c r="H70" s="287"/>
      <c r="I70" s="288">
        <v>36856.0</v>
      </c>
      <c r="J70" s="288">
        <v>45505.0</v>
      </c>
      <c r="K70" s="296"/>
      <c r="L70" s="302">
        <v>31.0</v>
      </c>
      <c r="M70" s="350">
        <v>45809.0</v>
      </c>
      <c r="N70" s="350">
        <v>45838.0</v>
      </c>
      <c r="O70" s="290">
        <f t="shared" si="1"/>
        <v>370</v>
      </c>
      <c r="P70" s="290">
        <f t="shared" si="2"/>
        <v>1850</v>
      </c>
      <c r="Q70" s="290">
        <f t="shared" si="3"/>
        <v>2220</v>
      </c>
    </row>
    <row r="71">
      <c r="A71" s="282" t="s">
        <v>16</v>
      </c>
      <c r="B71" s="283">
        <v>4320.0</v>
      </c>
      <c r="C71" s="289"/>
      <c r="D71" s="285">
        <v>0.0</v>
      </c>
      <c r="E71" s="306" t="s">
        <v>462</v>
      </c>
      <c r="F71" s="282" t="s">
        <v>526</v>
      </c>
      <c r="G71" s="286" t="s">
        <v>463</v>
      </c>
      <c r="H71" s="287"/>
      <c r="I71" s="288">
        <v>34588.0</v>
      </c>
      <c r="J71" s="288">
        <v>45530.0</v>
      </c>
      <c r="K71" s="289"/>
      <c r="L71" s="302">
        <v>31.0</v>
      </c>
      <c r="M71" s="350">
        <v>45809.0</v>
      </c>
      <c r="N71" s="350">
        <v>45838.0</v>
      </c>
      <c r="O71" s="290">
        <f t="shared" si="1"/>
        <v>370</v>
      </c>
      <c r="P71" s="290">
        <f t="shared" si="2"/>
        <v>1850</v>
      </c>
      <c r="Q71" s="290">
        <f t="shared" si="3"/>
        <v>2220</v>
      </c>
    </row>
    <row r="72">
      <c r="A72" s="282" t="s">
        <v>16</v>
      </c>
      <c r="B72" s="283">
        <v>4320.0</v>
      </c>
      <c r="C72" s="289"/>
      <c r="D72" s="285">
        <v>0.0</v>
      </c>
      <c r="E72" s="306" t="s">
        <v>423</v>
      </c>
      <c r="F72" s="282" t="s">
        <v>524</v>
      </c>
      <c r="G72" s="286" t="s">
        <v>424</v>
      </c>
      <c r="H72" s="287"/>
      <c r="I72" s="288">
        <v>37818.0</v>
      </c>
      <c r="J72" s="288">
        <v>45467.0</v>
      </c>
      <c r="K72" s="289"/>
      <c r="L72" s="302">
        <v>31.0</v>
      </c>
      <c r="M72" s="350">
        <v>45809.0</v>
      </c>
      <c r="N72" s="350">
        <v>45838.0</v>
      </c>
      <c r="O72" s="290">
        <f t="shared" si="1"/>
        <v>370</v>
      </c>
      <c r="P72" s="290">
        <f t="shared" si="2"/>
        <v>1850</v>
      </c>
      <c r="Q72" s="290">
        <f t="shared" si="3"/>
        <v>2220</v>
      </c>
    </row>
    <row r="73">
      <c r="A73" s="282" t="s">
        <v>16</v>
      </c>
      <c r="B73" s="283">
        <v>4320.0</v>
      </c>
      <c r="C73" s="289"/>
      <c r="D73" s="285">
        <v>0.0</v>
      </c>
      <c r="E73" s="291" t="s">
        <v>717</v>
      </c>
      <c r="F73" s="292" t="s">
        <v>718</v>
      </c>
      <c r="G73" s="289" t="s">
        <v>719</v>
      </c>
      <c r="H73" s="289"/>
      <c r="I73" s="293">
        <v>36505.0</v>
      </c>
      <c r="J73" s="288">
        <v>45712.0</v>
      </c>
      <c r="K73" s="289"/>
      <c r="L73" s="302">
        <v>31.0</v>
      </c>
      <c r="M73" s="350">
        <v>45809.0</v>
      </c>
      <c r="N73" s="350">
        <v>45838.0</v>
      </c>
      <c r="O73" s="290">
        <f t="shared" si="1"/>
        <v>370</v>
      </c>
      <c r="P73" s="290">
        <f t="shared" si="2"/>
        <v>1850</v>
      </c>
      <c r="Q73" s="290">
        <f t="shared" si="3"/>
        <v>2220</v>
      </c>
    </row>
    <row r="74">
      <c r="A74" s="282" t="s">
        <v>16</v>
      </c>
      <c r="B74" s="283">
        <v>4320.0</v>
      </c>
      <c r="C74" s="289"/>
      <c r="D74" s="285">
        <v>0.0</v>
      </c>
      <c r="E74" s="306" t="s">
        <v>427</v>
      </c>
      <c r="F74" s="282" t="s">
        <v>525</v>
      </c>
      <c r="G74" s="286" t="s">
        <v>428</v>
      </c>
      <c r="H74" s="287"/>
      <c r="I74" s="288">
        <v>36451.0</v>
      </c>
      <c r="J74" s="288">
        <v>45453.0</v>
      </c>
      <c r="K74" s="289"/>
      <c r="L74" s="302">
        <v>31.0</v>
      </c>
      <c r="M74" s="350">
        <v>45809.0</v>
      </c>
      <c r="N74" s="350">
        <v>45838.0</v>
      </c>
      <c r="O74" s="290">
        <f t="shared" si="1"/>
        <v>370</v>
      </c>
      <c r="P74" s="290">
        <f t="shared" si="2"/>
        <v>1850</v>
      </c>
      <c r="Q74" s="290">
        <f t="shared" si="3"/>
        <v>2220</v>
      </c>
    </row>
    <row r="75">
      <c r="A75" s="282" t="s">
        <v>16</v>
      </c>
      <c r="B75" s="283">
        <v>4320.0</v>
      </c>
      <c r="C75" s="289"/>
      <c r="D75" s="285">
        <v>0.0</v>
      </c>
      <c r="E75" s="306" t="s">
        <v>493</v>
      </c>
      <c r="F75" s="282" t="s">
        <v>532</v>
      </c>
      <c r="G75" s="286" t="s">
        <v>494</v>
      </c>
      <c r="H75" s="287"/>
      <c r="I75" s="288">
        <v>36208.0</v>
      </c>
      <c r="J75" s="288">
        <v>45602.0</v>
      </c>
      <c r="K75" s="289"/>
      <c r="L75" s="302">
        <v>31.0</v>
      </c>
      <c r="M75" s="350">
        <v>45809.0</v>
      </c>
      <c r="N75" s="350">
        <v>45838.0</v>
      </c>
      <c r="O75" s="290">
        <f t="shared" si="1"/>
        <v>370</v>
      </c>
      <c r="P75" s="290">
        <f t="shared" si="2"/>
        <v>1850</v>
      </c>
      <c r="Q75" s="290">
        <f t="shared" si="3"/>
        <v>2220</v>
      </c>
    </row>
    <row r="76">
      <c r="A76" s="282" t="s">
        <v>16</v>
      </c>
      <c r="B76" s="283">
        <v>4320.0</v>
      </c>
      <c r="C76" s="289"/>
      <c r="D76" s="285">
        <v>0.0</v>
      </c>
      <c r="E76" s="306" t="s">
        <v>585</v>
      </c>
      <c r="F76" s="282" t="s">
        <v>586</v>
      </c>
      <c r="G76" s="480" t="s">
        <v>841</v>
      </c>
      <c r="H76" s="287"/>
      <c r="I76" s="288">
        <v>35827.0</v>
      </c>
      <c r="J76" s="288">
        <v>45684.0</v>
      </c>
      <c r="K76" s="289"/>
      <c r="L76" s="302">
        <v>31.0</v>
      </c>
      <c r="M76" s="350">
        <v>45809.0</v>
      </c>
      <c r="N76" s="350">
        <v>45838.0</v>
      </c>
      <c r="O76" s="290">
        <f t="shared" si="1"/>
        <v>370</v>
      </c>
      <c r="P76" s="290">
        <f t="shared" si="2"/>
        <v>1850</v>
      </c>
      <c r="Q76" s="290">
        <f t="shared" si="3"/>
        <v>2220</v>
      </c>
    </row>
    <row r="77">
      <c r="A77" s="410" t="s">
        <v>16</v>
      </c>
      <c r="B77" s="411">
        <v>4320.0</v>
      </c>
      <c r="C77" s="412"/>
      <c r="D77" s="285">
        <v>0.0</v>
      </c>
      <c r="E77" s="410" t="s">
        <v>744</v>
      </c>
      <c r="F77" s="413" t="s">
        <v>745</v>
      </c>
      <c r="G77" s="410" t="s">
        <v>746</v>
      </c>
      <c r="H77" s="412"/>
      <c r="I77" s="414">
        <v>37479.0</v>
      </c>
      <c r="J77" s="414">
        <v>45726.0</v>
      </c>
      <c r="K77" s="412"/>
      <c r="L77" s="302">
        <v>31.0</v>
      </c>
      <c r="M77" s="350">
        <v>45809.0</v>
      </c>
      <c r="N77" s="350">
        <v>45838.0</v>
      </c>
      <c r="O77" s="290">
        <f t="shared" si="1"/>
        <v>370</v>
      </c>
      <c r="P77" s="416">
        <f t="shared" si="2"/>
        <v>1850</v>
      </c>
      <c r="Q77" s="417">
        <f t="shared" si="3"/>
        <v>2220</v>
      </c>
    </row>
    <row r="78">
      <c r="A78" s="410" t="s">
        <v>16</v>
      </c>
      <c r="B78" s="411">
        <v>4320.0</v>
      </c>
      <c r="C78" s="412"/>
      <c r="D78" s="285">
        <v>0.0</v>
      </c>
      <c r="E78" s="410" t="s">
        <v>747</v>
      </c>
      <c r="F78" s="418" t="s">
        <v>748</v>
      </c>
      <c r="G78" s="410" t="s">
        <v>842</v>
      </c>
      <c r="H78" s="412"/>
      <c r="I78" s="414">
        <v>37314.0</v>
      </c>
      <c r="J78" s="414">
        <v>45733.0</v>
      </c>
      <c r="K78" s="412"/>
      <c r="L78" s="302">
        <v>31.0</v>
      </c>
      <c r="M78" s="350">
        <v>45809.0</v>
      </c>
      <c r="N78" s="350">
        <v>45838.0</v>
      </c>
      <c r="O78" s="290">
        <f t="shared" si="1"/>
        <v>370</v>
      </c>
      <c r="P78" s="416">
        <f t="shared" si="2"/>
        <v>1850</v>
      </c>
      <c r="Q78" s="417">
        <f t="shared" si="3"/>
        <v>2220</v>
      </c>
    </row>
    <row r="79">
      <c r="A79" s="410" t="s">
        <v>16</v>
      </c>
      <c r="B79" s="411">
        <v>4320.0</v>
      </c>
      <c r="C79" s="412"/>
      <c r="D79" s="285">
        <v>0.0</v>
      </c>
      <c r="E79" s="410" t="s">
        <v>750</v>
      </c>
      <c r="F79" s="418" t="s">
        <v>751</v>
      </c>
      <c r="G79" s="410" t="s">
        <v>752</v>
      </c>
      <c r="H79" s="412"/>
      <c r="I79" s="414">
        <v>36581.0</v>
      </c>
      <c r="J79" s="414">
        <v>45740.0</v>
      </c>
      <c r="K79" s="412"/>
      <c r="L79" s="302">
        <v>31.0</v>
      </c>
      <c r="M79" s="350">
        <v>45809.0</v>
      </c>
      <c r="N79" s="350">
        <v>45838.0</v>
      </c>
      <c r="O79" s="290">
        <f t="shared" si="1"/>
        <v>370</v>
      </c>
      <c r="P79" s="416">
        <f t="shared" si="2"/>
        <v>1850</v>
      </c>
      <c r="Q79" s="417">
        <f t="shared" si="3"/>
        <v>2220</v>
      </c>
    </row>
    <row r="80">
      <c r="A80" s="410" t="s">
        <v>16</v>
      </c>
      <c r="B80" s="411">
        <v>4320.0</v>
      </c>
      <c r="C80" s="412"/>
      <c r="D80" s="285">
        <v>0.0</v>
      </c>
      <c r="E80" s="410" t="s">
        <v>764</v>
      </c>
      <c r="F80" s="418" t="s">
        <v>765</v>
      </c>
      <c r="G80" s="410" t="s">
        <v>766</v>
      </c>
      <c r="H80" s="412"/>
      <c r="I80" s="414">
        <v>36087.0</v>
      </c>
      <c r="J80" s="414">
        <v>45761.0</v>
      </c>
      <c r="K80" s="412"/>
      <c r="L80" s="302">
        <v>31.0</v>
      </c>
      <c r="M80" s="350">
        <v>45809.0</v>
      </c>
      <c r="N80" s="350">
        <v>45838.0</v>
      </c>
      <c r="O80" s="290">
        <f t="shared" si="1"/>
        <v>370</v>
      </c>
      <c r="P80" s="416">
        <f t="shared" si="2"/>
        <v>1850</v>
      </c>
      <c r="Q80" s="416">
        <f t="shared" si="3"/>
        <v>2220</v>
      </c>
    </row>
    <row r="81">
      <c r="A81" s="410" t="s">
        <v>16</v>
      </c>
      <c r="B81" s="411">
        <v>4320.0</v>
      </c>
      <c r="C81" s="443"/>
      <c r="D81" s="285">
        <v>0.0</v>
      </c>
      <c r="E81" s="444" t="s">
        <v>785</v>
      </c>
      <c r="F81" s="445" t="s">
        <v>786</v>
      </c>
      <c r="G81" s="445" t="s">
        <v>787</v>
      </c>
      <c r="H81" s="443"/>
      <c r="I81" s="446">
        <v>38089.0</v>
      </c>
      <c r="J81" s="447">
        <v>45789.0</v>
      </c>
      <c r="K81" s="443"/>
      <c r="L81" s="302">
        <v>31.0</v>
      </c>
      <c r="M81" s="350">
        <v>45809.0</v>
      </c>
      <c r="N81" s="350">
        <v>45838.0</v>
      </c>
      <c r="O81" s="290">
        <f t="shared" si="1"/>
        <v>370</v>
      </c>
      <c r="P81" s="451">
        <f t="shared" si="2"/>
        <v>1850</v>
      </c>
      <c r="Q81" s="451">
        <f t="shared" si="3"/>
        <v>2220</v>
      </c>
    </row>
    <row r="82">
      <c r="A82" s="410" t="s">
        <v>16</v>
      </c>
      <c r="B82" s="411">
        <v>4320.0</v>
      </c>
      <c r="C82" s="443"/>
      <c r="D82" s="285">
        <v>0.0</v>
      </c>
      <c r="E82" s="444" t="s">
        <v>788</v>
      </c>
      <c r="F82" s="445" t="s">
        <v>789</v>
      </c>
      <c r="G82" s="445" t="s">
        <v>843</v>
      </c>
      <c r="H82" s="443"/>
      <c r="I82" s="446">
        <v>36459.0</v>
      </c>
      <c r="J82" s="447">
        <v>45789.0</v>
      </c>
      <c r="K82" s="443"/>
      <c r="L82" s="302">
        <v>31.0</v>
      </c>
      <c r="M82" s="350">
        <v>45809.0</v>
      </c>
      <c r="N82" s="350">
        <v>45838.0</v>
      </c>
      <c r="O82" s="290">
        <f t="shared" si="1"/>
        <v>370</v>
      </c>
      <c r="P82" s="451">
        <f t="shared" si="2"/>
        <v>1850</v>
      </c>
      <c r="Q82" s="451">
        <f t="shared" si="3"/>
        <v>2220</v>
      </c>
    </row>
    <row r="83">
      <c r="A83" s="410" t="s">
        <v>16</v>
      </c>
      <c r="B83" s="411">
        <v>4320.0</v>
      </c>
      <c r="C83" s="443"/>
      <c r="D83" s="285">
        <v>0.0</v>
      </c>
      <c r="E83" s="444" t="s">
        <v>791</v>
      </c>
      <c r="F83" s="445" t="s">
        <v>792</v>
      </c>
      <c r="G83" s="445" t="s">
        <v>793</v>
      </c>
      <c r="H83" s="443"/>
      <c r="I83" s="446">
        <v>36197.0</v>
      </c>
      <c r="J83" s="447">
        <v>45782.0</v>
      </c>
      <c r="K83" s="443"/>
      <c r="L83" s="302">
        <v>31.0</v>
      </c>
      <c r="M83" s="350">
        <v>45809.0</v>
      </c>
      <c r="N83" s="350">
        <v>45838.0</v>
      </c>
      <c r="O83" s="290">
        <f t="shared" si="1"/>
        <v>370</v>
      </c>
      <c r="P83" s="451">
        <f t="shared" si="2"/>
        <v>1850</v>
      </c>
      <c r="Q83" s="451">
        <f t="shared" si="3"/>
        <v>2220</v>
      </c>
    </row>
    <row r="84">
      <c r="A84" s="410" t="s">
        <v>16</v>
      </c>
      <c r="B84" s="411">
        <v>4320.0</v>
      </c>
      <c r="C84" s="443"/>
      <c r="D84" s="285">
        <v>0.0</v>
      </c>
      <c r="E84" s="444" t="s">
        <v>794</v>
      </c>
      <c r="F84" s="445" t="s">
        <v>795</v>
      </c>
      <c r="G84" s="445" t="s">
        <v>796</v>
      </c>
      <c r="H84" s="443"/>
      <c r="I84" s="446">
        <v>36857.0</v>
      </c>
      <c r="J84" s="446">
        <v>45775.0</v>
      </c>
      <c r="K84" s="443"/>
      <c r="L84" s="302">
        <v>31.0</v>
      </c>
      <c r="M84" s="350">
        <v>45809.0</v>
      </c>
      <c r="N84" s="350">
        <v>45838.0</v>
      </c>
      <c r="O84" s="290">
        <f t="shared" si="1"/>
        <v>370</v>
      </c>
      <c r="P84" s="451">
        <f t="shared" si="2"/>
        <v>1850</v>
      </c>
      <c r="Q84" s="451">
        <f t="shared" si="3"/>
        <v>2220</v>
      </c>
    </row>
    <row r="85">
      <c r="A85" s="410" t="s">
        <v>16</v>
      </c>
      <c r="B85" s="411">
        <v>4320.0</v>
      </c>
      <c r="C85" s="443"/>
      <c r="D85" s="285">
        <v>0.0</v>
      </c>
      <c r="E85" s="444" t="s">
        <v>797</v>
      </c>
      <c r="F85" s="445" t="s">
        <v>798</v>
      </c>
      <c r="G85" s="445" t="s">
        <v>799</v>
      </c>
      <c r="H85" s="443"/>
      <c r="I85" s="446">
        <v>37709.0</v>
      </c>
      <c r="J85" s="447">
        <v>45789.0</v>
      </c>
      <c r="K85" s="443"/>
      <c r="L85" s="302">
        <v>31.0</v>
      </c>
      <c r="M85" s="350">
        <v>45809.0</v>
      </c>
      <c r="N85" s="350">
        <v>45838.0</v>
      </c>
      <c r="O85" s="290">
        <f t="shared" si="1"/>
        <v>370</v>
      </c>
      <c r="P85" s="451">
        <f t="shared" si="2"/>
        <v>1850</v>
      </c>
      <c r="Q85" s="451">
        <f t="shared" si="3"/>
        <v>2220</v>
      </c>
    </row>
    <row r="86">
      <c r="A86" s="410" t="s">
        <v>16</v>
      </c>
      <c r="B86" s="411">
        <v>4320.0</v>
      </c>
      <c r="C86" s="443"/>
      <c r="D86" s="285">
        <v>0.0</v>
      </c>
      <c r="E86" s="444" t="s">
        <v>800</v>
      </c>
      <c r="F86" s="445" t="s">
        <v>801</v>
      </c>
      <c r="G86" s="445" t="s">
        <v>802</v>
      </c>
      <c r="H86" s="443"/>
      <c r="I86" s="446">
        <v>36939.0</v>
      </c>
      <c r="J86" s="447">
        <v>45789.0</v>
      </c>
      <c r="K86" s="443"/>
      <c r="L86" s="302">
        <v>31.0</v>
      </c>
      <c r="M86" s="350">
        <v>45809.0</v>
      </c>
      <c r="N86" s="350">
        <v>45838.0</v>
      </c>
      <c r="O86" s="290">
        <f t="shared" si="1"/>
        <v>370</v>
      </c>
      <c r="P86" s="451">
        <f t="shared" si="2"/>
        <v>1850</v>
      </c>
      <c r="Q86" s="451">
        <f t="shared" si="3"/>
        <v>2220</v>
      </c>
    </row>
    <row r="87">
      <c r="A87" s="525" t="s">
        <v>16</v>
      </c>
      <c r="B87" s="526">
        <v>4320.0</v>
      </c>
      <c r="C87" s="527"/>
      <c r="D87" s="528">
        <v>0.0</v>
      </c>
      <c r="E87" s="529" t="s">
        <v>803</v>
      </c>
      <c r="F87" s="530" t="s">
        <v>804</v>
      </c>
      <c r="G87" s="530" t="s">
        <v>844</v>
      </c>
      <c r="H87" s="527"/>
      <c r="I87" s="531">
        <v>37817.0</v>
      </c>
      <c r="J87" s="532">
        <v>45796.0</v>
      </c>
      <c r="K87" s="527"/>
      <c r="L87" s="533">
        <v>28.0</v>
      </c>
      <c r="M87" s="534">
        <v>45809.0</v>
      </c>
      <c r="N87" s="534">
        <v>45838.0</v>
      </c>
      <c r="O87" s="535">
        <f t="shared" si="1"/>
        <v>335</v>
      </c>
      <c r="P87" s="536">
        <f t="shared" si="2"/>
        <v>1675</v>
      </c>
      <c r="Q87" s="536">
        <f t="shared" si="3"/>
        <v>2010</v>
      </c>
      <c r="R87" s="537"/>
      <c r="S87" s="537"/>
      <c r="T87" s="537"/>
      <c r="U87" s="537"/>
      <c r="V87" s="537"/>
      <c r="W87" s="537"/>
      <c r="X87" s="537"/>
    </row>
    <row r="88">
      <c r="A88" s="410" t="s">
        <v>16</v>
      </c>
      <c r="B88" s="411">
        <v>4320.0</v>
      </c>
      <c r="C88" s="443"/>
      <c r="D88" s="285">
        <v>0.0</v>
      </c>
      <c r="E88" s="444" t="s">
        <v>806</v>
      </c>
      <c r="F88" s="445" t="s">
        <v>807</v>
      </c>
      <c r="G88" s="445" t="s">
        <v>808</v>
      </c>
      <c r="H88" s="443"/>
      <c r="I88" s="446">
        <v>36061.0</v>
      </c>
      <c r="J88" s="447">
        <v>45796.0</v>
      </c>
      <c r="K88" s="443"/>
      <c r="L88" s="302">
        <v>31.0</v>
      </c>
      <c r="M88" s="350">
        <v>45809.0</v>
      </c>
      <c r="N88" s="350">
        <v>45838.0</v>
      </c>
      <c r="O88" s="290">
        <f t="shared" si="1"/>
        <v>370</v>
      </c>
      <c r="P88" s="451">
        <f t="shared" si="2"/>
        <v>1850</v>
      </c>
      <c r="Q88" s="451">
        <f t="shared" si="3"/>
        <v>2220</v>
      </c>
    </row>
    <row r="89">
      <c r="A89" s="410" t="s">
        <v>16</v>
      </c>
      <c r="B89" s="411">
        <v>4320.0</v>
      </c>
      <c r="C89" s="443"/>
      <c r="D89" s="285">
        <v>0.0</v>
      </c>
      <c r="E89" s="444" t="s">
        <v>809</v>
      </c>
      <c r="F89" s="445" t="s">
        <v>810</v>
      </c>
      <c r="G89" s="445" t="s">
        <v>811</v>
      </c>
      <c r="H89" s="443"/>
      <c r="I89" s="446">
        <v>35148.0</v>
      </c>
      <c r="J89" s="446">
        <v>45775.0</v>
      </c>
      <c r="K89" s="443"/>
      <c r="L89" s="302">
        <v>31.0</v>
      </c>
      <c r="M89" s="350">
        <v>45809.0</v>
      </c>
      <c r="N89" s="350">
        <v>45838.0</v>
      </c>
      <c r="O89" s="290">
        <f t="shared" si="1"/>
        <v>370</v>
      </c>
      <c r="P89" s="451">
        <f t="shared" si="2"/>
        <v>1850</v>
      </c>
      <c r="Q89" s="451">
        <f t="shared" si="3"/>
        <v>2220</v>
      </c>
    </row>
    <row r="90">
      <c r="A90" s="410" t="s">
        <v>16</v>
      </c>
      <c r="B90" s="411">
        <v>4320.0</v>
      </c>
      <c r="C90" s="443"/>
      <c r="D90" s="285">
        <v>0.0</v>
      </c>
      <c r="E90" s="444" t="s">
        <v>812</v>
      </c>
      <c r="F90" s="445" t="s">
        <v>813</v>
      </c>
      <c r="G90" s="445" t="s">
        <v>814</v>
      </c>
      <c r="H90" s="443"/>
      <c r="I90" s="446">
        <v>37940.0</v>
      </c>
      <c r="J90" s="446">
        <v>45775.0</v>
      </c>
      <c r="K90" s="443"/>
      <c r="L90" s="302">
        <v>31.0</v>
      </c>
      <c r="M90" s="350">
        <v>45809.0</v>
      </c>
      <c r="N90" s="350">
        <v>45838.0</v>
      </c>
      <c r="O90" s="290">
        <f t="shared" si="1"/>
        <v>370</v>
      </c>
      <c r="P90" s="451">
        <f t="shared" si="2"/>
        <v>1850</v>
      </c>
      <c r="Q90" s="451">
        <f t="shared" si="3"/>
        <v>2220</v>
      </c>
    </row>
    <row r="91">
      <c r="A91" s="410" t="s">
        <v>16</v>
      </c>
      <c r="B91" s="411">
        <v>4320.0</v>
      </c>
      <c r="C91" s="443"/>
      <c r="D91" s="285">
        <v>0.0</v>
      </c>
      <c r="E91" s="444" t="s">
        <v>629</v>
      </c>
      <c r="F91" s="445" t="s">
        <v>815</v>
      </c>
      <c r="G91" s="445" t="s">
        <v>631</v>
      </c>
      <c r="H91" s="445" t="s">
        <v>763</v>
      </c>
      <c r="I91" s="446">
        <v>34807.0</v>
      </c>
      <c r="J91" s="447">
        <v>45778.0</v>
      </c>
      <c r="K91" s="443"/>
      <c r="L91" s="302">
        <v>31.0</v>
      </c>
      <c r="M91" s="350">
        <v>45809.0</v>
      </c>
      <c r="N91" s="350">
        <v>45838.0</v>
      </c>
      <c r="O91" s="290">
        <f t="shared" si="1"/>
        <v>370</v>
      </c>
      <c r="P91" s="451">
        <f t="shared" si="2"/>
        <v>1850</v>
      </c>
      <c r="Q91" s="451">
        <f t="shared" si="3"/>
        <v>2220</v>
      </c>
    </row>
    <row r="92">
      <c r="A92" s="410" t="s">
        <v>16</v>
      </c>
      <c r="B92" s="411">
        <v>4320.0</v>
      </c>
      <c r="C92" s="443"/>
      <c r="D92" s="285">
        <v>0.0</v>
      </c>
      <c r="E92" s="444" t="s">
        <v>816</v>
      </c>
      <c r="F92" s="445" t="s">
        <v>627</v>
      </c>
      <c r="G92" s="445" t="s">
        <v>628</v>
      </c>
      <c r="H92" s="443"/>
      <c r="I92" s="446">
        <v>35257.0</v>
      </c>
      <c r="J92" s="447">
        <v>45778.0</v>
      </c>
      <c r="K92" s="443"/>
      <c r="L92" s="302">
        <v>31.0</v>
      </c>
      <c r="M92" s="350">
        <v>45809.0</v>
      </c>
      <c r="N92" s="350">
        <v>45838.0</v>
      </c>
      <c r="O92" s="290">
        <f t="shared" si="1"/>
        <v>370</v>
      </c>
      <c r="P92" s="451">
        <f t="shared" si="2"/>
        <v>1850</v>
      </c>
      <c r="Q92" s="451">
        <f t="shared" si="3"/>
        <v>2220</v>
      </c>
    </row>
    <row r="93">
      <c r="A93" s="410" t="s">
        <v>16</v>
      </c>
      <c r="B93" s="411">
        <v>4320.0</v>
      </c>
      <c r="C93" s="443"/>
      <c r="D93" s="285">
        <v>0.0</v>
      </c>
      <c r="E93" s="444" t="s">
        <v>606</v>
      </c>
      <c r="F93" s="445" t="s">
        <v>607</v>
      </c>
      <c r="G93" s="445" t="s">
        <v>608</v>
      </c>
      <c r="H93" s="443"/>
      <c r="I93" s="446">
        <v>33844.0</v>
      </c>
      <c r="J93" s="447">
        <v>45778.0</v>
      </c>
      <c r="K93" s="443"/>
      <c r="L93" s="302">
        <v>31.0</v>
      </c>
      <c r="M93" s="350">
        <v>45809.0</v>
      </c>
      <c r="N93" s="350">
        <v>45838.0</v>
      </c>
      <c r="O93" s="290">
        <f t="shared" si="1"/>
        <v>370</v>
      </c>
      <c r="P93" s="451">
        <f t="shared" si="2"/>
        <v>1850</v>
      </c>
      <c r="Q93" s="451">
        <f t="shared" si="3"/>
        <v>2220</v>
      </c>
    </row>
    <row r="94">
      <c r="A94" s="410" t="s">
        <v>16</v>
      </c>
      <c r="B94" s="411">
        <v>4320.0</v>
      </c>
      <c r="C94" s="443"/>
      <c r="D94" s="285">
        <v>0.0</v>
      </c>
      <c r="E94" s="444" t="s">
        <v>817</v>
      </c>
      <c r="F94" s="445" t="s">
        <v>637</v>
      </c>
      <c r="G94" s="445" t="s">
        <v>638</v>
      </c>
      <c r="H94" s="443"/>
      <c r="I94" s="446">
        <v>36720.0</v>
      </c>
      <c r="J94" s="447">
        <v>45778.0</v>
      </c>
      <c r="K94" s="443"/>
      <c r="L94" s="302">
        <v>31.0</v>
      </c>
      <c r="M94" s="350">
        <v>45809.0</v>
      </c>
      <c r="N94" s="350">
        <v>45838.0</v>
      </c>
      <c r="O94" s="290">
        <f t="shared" si="1"/>
        <v>370</v>
      </c>
      <c r="P94" s="451">
        <f t="shared" si="2"/>
        <v>1850</v>
      </c>
      <c r="Q94" s="451">
        <f t="shared" si="3"/>
        <v>2220</v>
      </c>
    </row>
    <row r="95">
      <c r="A95" s="410" t="s">
        <v>16</v>
      </c>
      <c r="B95" s="411">
        <v>4320.0</v>
      </c>
      <c r="C95" s="443"/>
      <c r="D95" s="285">
        <v>0.0</v>
      </c>
      <c r="E95" s="444" t="s">
        <v>676</v>
      </c>
      <c r="F95" s="445" t="s">
        <v>677</v>
      </c>
      <c r="G95" s="445" t="s">
        <v>678</v>
      </c>
      <c r="H95" s="443"/>
      <c r="I95" s="446">
        <v>36107.0</v>
      </c>
      <c r="J95" s="447">
        <v>45778.0</v>
      </c>
      <c r="K95" s="443"/>
      <c r="L95" s="302">
        <v>31.0</v>
      </c>
      <c r="M95" s="350">
        <v>45809.0</v>
      </c>
      <c r="N95" s="350">
        <v>45838.0</v>
      </c>
      <c r="O95" s="290">
        <f t="shared" si="1"/>
        <v>370</v>
      </c>
      <c r="P95" s="451">
        <f t="shared" si="2"/>
        <v>1850</v>
      </c>
      <c r="Q95" s="451">
        <f t="shared" si="3"/>
        <v>2220</v>
      </c>
    </row>
    <row r="96">
      <c r="A96" s="410" t="s">
        <v>16</v>
      </c>
      <c r="B96" s="411">
        <v>4320.0</v>
      </c>
      <c r="C96" s="443"/>
      <c r="D96" s="285">
        <v>0.0</v>
      </c>
      <c r="E96" s="501" t="s">
        <v>845</v>
      </c>
      <c r="F96" s="502" t="s">
        <v>846</v>
      </c>
      <c r="G96" s="502" t="s">
        <v>847</v>
      </c>
      <c r="H96" s="307"/>
      <c r="I96" s="503">
        <v>34794.0</v>
      </c>
      <c r="J96" s="504">
        <v>45809.0</v>
      </c>
      <c r="K96" s="307"/>
      <c r="L96" s="302">
        <v>31.0</v>
      </c>
      <c r="M96" s="506">
        <v>45809.0</v>
      </c>
      <c r="N96" s="350">
        <v>45838.0</v>
      </c>
      <c r="O96" s="290">
        <f t="shared" si="1"/>
        <v>370</v>
      </c>
      <c r="P96" s="451">
        <f t="shared" si="2"/>
        <v>1850</v>
      </c>
      <c r="Q96" s="451">
        <f t="shared" si="3"/>
        <v>2220</v>
      </c>
    </row>
    <row r="97">
      <c r="A97" s="410" t="s">
        <v>16</v>
      </c>
      <c r="B97" s="411">
        <v>4320.0</v>
      </c>
      <c r="C97" s="443"/>
      <c r="D97" s="285">
        <v>0.0</v>
      </c>
      <c r="E97" s="501" t="s">
        <v>848</v>
      </c>
      <c r="F97" s="507" t="s">
        <v>849</v>
      </c>
      <c r="G97" s="507" t="s">
        <v>850</v>
      </c>
      <c r="I97" s="508">
        <v>33637.0</v>
      </c>
      <c r="J97" s="504">
        <v>45809.0</v>
      </c>
      <c r="L97" s="302">
        <v>31.0</v>
      </c>
      <c r="M97" s="506">
        <v>45809.0</v>
      </c>
      <c r="N97" s="350">
        <v>45838.0</v>
      </c>
      <c r="O97" s="290">
        <f t="shared" si="1"/>
        <v>370</v>
      </c>
      <c r="P97" s="451">
        <f t="shared" si="2"/>
        <v>1850</v>
      </c>
      <c r="Q97" s="451">
        <f t="shared" si="3"/>
        <v>2220</v>
      </c>
    </row>
    <row r="98">
      <c r="A98" s="410" t="s">
        <v>16</v>
      </c>
      <c r="B98" s="411">
        <v>4320.0</v>
      </c>
      <c r="C98" s="443"/>
      <c r="D98" s="285">
        <v>0.0</v>
      </c>
      <c r="E98" s="501" t="s">
        <v>851</v>
      </c>
      <c r="F98" s="507" t="s">
        <v>852</v>
      </c>
      <c r="G98" s="507" t="s">
        <v>853</v>
      </c>
      <c r="I98" s="509">
        <v>36113.0</v>
      </c>
      <c r="J98" s="509">
        <v>45810.0</v>
      </c>
      <c r="L98" s="302">
        <v>31.0</v>
      </c>
      <c r="M98" s="506">
        <v>45809.0</v>
      </c>
      <c r="N98" s="350">
        <v>45838.0</v>
      </c>
      <c r="O98" s="290">
        <f t="shared" si="1"/>
        <v>370</v>
      </c>
      <c r="P98" s="451">
        <f t="shared" si="2"/>
        <v>1850</v>
      </c>
      <c r="Q98" s="451">
        <f t="shared" si="3"/>
        <v>2220</v>
      </c>
    </row>
    <row r="99">
      <c r="A99" s="410" t="s">
        <v>16</v>
      </c>
      <c r="B99" s="411">
        <v>4320.0</v>
      </c>
      <c r="C99" s="443"/>
      <c r="D99" s="285">
        <v>0.0</v>
      </c>
      <c r="E99" s="501" t="s">
        <v>854</v>
      </c>
      <c r="F99" s="507" t="s">
        <v>855</v>
      </c>
      <c r="G99" s="507" t="s">
        <v>856</v>
      </c>
      <c r="I99" s="509">
        <v>36059.0</v>
      </c>
      <c r="J99" s="509">
        <v>45810.0</v>
      </c>
      <c r="L99" s="302">
        <v>31.0</v>
      </c>
      <c r="M99" s="506">
        <v>45809.0</v>
      </c>
      <c r="N99" s="350">
        <v>45838.0</v>
      </c>
      <c r="O99" s="290">
        <f t="shared" si="1"/>
        <v>370</v>
      </c>
      <c r="P99" s="451">
        <f t="shared" si="2"/>
        <v>1850</v>
      </c>
      <c r="Q99" s="451">
        <f t="shared" si="3"/>
        <v>2220</v>
      </c>
      <c r="R99" s="359"/>
      <c r="S99" s="360"/>
      <c r="T99" s="360"/>
      <c r="U99" s="360"/>
      <c r="V99" s="360"/>
      <c r="W99" s="360"/>
      <c r="X99" s="360"/>
    </row>
    <row r="100">
      <c r="A100" s="490" t="s">
        <v>16</v>
      </c>
      <c r="B100" s="491">
        <v>4320.0</v>
      </c>
      <c r="C100" s="538"/>
      <c r="D100" s="424">
        <v>0.0</v>
      </c>
      <c r="E100" s="539" t="s">
        <v>857</v>
      </c>
      <c r="F100" s="540" t="s">
        <v>858</v>
      </c>
      <c r="G100" s="540" t="s">
        <v>859</v>
      </c>
      <c r="H100" s="48"/>
      <c r="I100" s="541">
        <v>36087.0</v>
      </c>
      <c r="J100" s="541">
        <v>45810.0</v>
      </c>
      <c r="K100" s="48"/>
      <c r="L100" s="428">
        <v>15.0</v>
      </c>
      <c r="M100" s="506">
        <v>45809.0</v>
      </c>
      <c r="N100" s="350">
        <v>45838.0</v>
      </c>
      <c r="O100" s="430">
        <f t="shared" si="1"/>
        <v>180</v>
      </c>
      <c r="P100" s="542">
        <f t="shared" si="2"/>
        <v>900</v>
      </c>
      <c r="Q100" s="542">
        <f t="shared" si="3"/>
        <v>1080</v>
      </c>
      <c r="R100" s="543"/>
      <c r="S100" s="544"/>
      <c r="T100" s="544"/>
      <c r="U100" s="544"/>
      <c r="V100" s="544"/>
      <c r="W100" s="544"/>
      <c r="X100" s="544"/>
    </row>
    <row r="101">
      <c r="A101" s="410" t="s">
        <v>16</v>
      </c>
      <c r="B101" s="411">
        <v>4320.0</v>
      </c>
      <c r="C101" s="443"/>
      <c r="D101" s="285">
        <v>0.0</v>
      </c>
      <c r="E101" s="501" t="s">
        <v>860</v>
      </c>
      <c r="F101" s="507" t="s">
        <v>861</v>
      </c>
      <c r="G101" s="507" t="s">
        <v>862</v>
      </c>
      <c r="I101" s="509">
        <v>36176.0</v>
      </c>
      <c r="J101" s="509">
        <v>45810.0</v>
      </c>
      <c r="L101" s="302">
        <v>31.0</v>
      </c>
      <c r="M101" s="506">
        <v>45809.0</v>
      </c>
      <c r="N101" s="350">
        <v>45838.0</v>
      </c>
      <c r="O101" s="290">
        <f t="shared" si="1"/>
        <v>370</v>
      </c>
      <c r="P101" s="451">
        <f t="shared" si="2"/>
        <v>1850</v>
      </c>
      <c r="Q101" s="451">
        <f t="shared" si="3"/>
        <v>2220</v>
      </c>
      <c r="R101" s="359"/>
      <c r="S101" s="360"/>
      <c r="T101" s="360"/>
      <c r="U101" s="360"/>
      <c r="V101" s="360"/>
      <c r="W101" s="360"/>
      <c r="X101" s="360"/>
    </row>
    <row r="102">
      <c r="A102" s="410" t="s">
        <v>16</v>
      </c>
      <c r="B102" s="411">
        <v>4320.0</v>
      </c>
      <c r="C102" s="443"/>
      <c r="D102" s="285">
        <v>0.0</v>
      </c>
      <c r="E102" s="501" t="s">
        <v>863</v>
      </c>
      <c r="F102" s="507" t="s">
        <v>864</v>
      </c>
      <c r="G102" s="507" t="s">
        <v>865</v>
      </c>
      <c r="I102" s="509">
        <v>36175.0</v>
      </c>
      <c r="J102" s="509">
        <v>45824.0</v>
      </c>
      <c r="L102" s="302">
        <v>31.0</v>
      </c>
      <c r="M102" s="506">
        <v>45809.0</v>
      </c>
      <c r="N102" s="350">
        <v>45838.0</v>
      </c>
      <c r="O102" s="290">
        <f t="shared" si="1"/>
        <v>370</v>
      </c>
      <c r="P102" s="451">
        <f t="shared" si="2"/>
        <v>1850</v>
      </c>
      <c r="Q102" s="451">
        <f t="shared" si="3"/>
        <v>2220</v>
      </c>
      <c r="R102" s="359"/>
      <c r="S102" s="360"/>
      <c r="T102" s="360"/>
      <c r="U102" s="360"/>
      <c r="V102" s="360"/>
      <c r="W102" s="360"/>
      <c r="X102" s="360"/>
    </row>
    <row r="103">
      <c r="A103" s="410" t="s">
        <v>16</v>
      </c>
      <c r="B103" s="411">
        <v>4320.0</v>
      </c>
      <c r="C103" s="443"/>
      <c r="D103" s="285">
        <v>0.0</v>
      </c>
      <c r="E103" s="501" t="s">
        <v>866</v>
      </c>
      <c r="F103" s="507" t="s">
        <v>867</v>
      </c>
      <c r="G103" s="507" t="s">
        <v>868</v>
      </c>
      <c r="I103" s="509">
        <v>36180.0</v>
      </c>
      <c r="J103" s="509">
        <v>45824.0</v>
      </c>
      <c r="L103" s="302">
        <v>31.0</v>
      </c>
      <c r="M103" s="506">
        <v>45809.0</v>
      </c>
      <c r="N103" s="350">
        <v>45838.0</v>
      </c>
      <c r="O103" s="290">
        <f t="shared" si="1"/>
        <v>370</v>
      </c>
      <c r="P103" s="451">
        <f t="shared" si="2"/>
        <v>1850</v>
      </c>
      <c r="Q103" s="451">
        <f t="shared" si="3"/>
        <v>2220</v>
      </c>
      <c r="R103" s="360"/>
      <c r="S103" s="360"/>
      <c r="T103" s="360"/>
      <c r="U103" s="360"/>
      <c r="V103" s="360"/>
      <c r="W103" s="360"/>
      <c r="X103" s="360"/>
    </row>
    <row r="104">
      <c r="A104" s="410" t="s">
        <v>16</v>
      </c>
      <c r="B104" s="411">
        <v>4320.0</v>
      </c>
      <c r="C104" s="443"/>
      <c r="D104" s="285">
        <v>0.0</v>
      </c>
      <c r="E104" s="501" t="s">
        <v>869</v>
      </c>
      <c r="F104" s="507" t="s">
        <v>870</v>
      </c>
      <c r="G104" s="507" t="s">
        <v>871</v>
      </c>
      <c r="I104" s="509">
        <v>36585.0</v>
      </c>
      <c r="J104" s="509">
        <v>45824.0</v>
      </c>
      <c r="L104" s="302">
        <v>31.0</v>
      </c>
      <c r="M104" s="506">
        <v>45809.0</v>
      </c>
      <c r="N104" s="350">
        <v>45838.0</v>
      </c>
      <c r="O104" s="290">
        <f t="shared" si="1"/>
        <v>370</v>
      </c>
      <c r="P104" s="451">
        <f t="shared" si="2"/>
        <v>1850</v>
      </c>
      <c r="Q104" s="451">
        <f t="shared" si="3"/>
        <v>2220</v>
      </c>
      <c r="R104" s="360"/>
      <c r="S104" s="360"/>
      <c r="T104" s="360"/>
      <c r="U104" s="360"/>
      <c r="V104" s="360"/>
      <c r="W104" s="360"/>
      <c r="X104" s="360"/>
    </row>
    <row r="105">
      <c r="A105" s="410" t="s">
        <v>16</v>
      </c>
      <c r="B105" s="411">
        <v>4320.0</v>
      </c>
      <c r="C105" s="443"/>
      <c r="D105" s="285">
        <v>0.0</v>
      </c>
      <c r="E105" s="501" t="s">
        <v>872</v>
      </c>
      <c r="F105" s="507" t="s">
        <v>873</v>
      </c>
      <c r="G105" s="507" t="s">
        <v>874</v>
      </c>
      <c r="I105" s="509">
        <v>35415.0</v>
      </c>
      <c r="J105" s="509">
        <v>45831.0</v>
      </c>
      <c r="L105" s="302">
        <v>31.0</v>
      </c>
      <c r="M105" s="506">
        <v>45809.0</v>
      </c>
      <c r="N105" s="350">
        <v>45838.0</v>
      </c>
      <c r="O105" s="290">
        <f t="shared" si="1"/>
        <v>370</v>
      </c>
      <c r="P105" s="451">
        <f t="shared" si="2"/>
        <v>1850</v>
      </c>
      <c r="Q105" s="451">
        <f t="shared" si="3"/>
        <v>2220</v>
      </c>
    </row>
    <row r="106">
      <c r="A106" s="410" t="s">
        <v>16</v>
      </c>
      <c r="B106" s="411">
        <v>4320.0</v>
      </c>
      <c r="C106" s="443"/>
      <c r="D106" s="285">
        <v>0.0</v>
      </c>
      <c r="E106" s="501" t="s">
        <v>875</v>
      </c>
      <c r="F106" s="507" t="s">
        <v>876</v>
      </c>
      <c r="G106" s="507" t="s">
        <v>877</v>
      </c>
      <c r="H106" s="66"/>
      <c r="I106" s="504">
        <v>37517.0</v>
      </c>
      <c r="J106" s="504">
        <v>45831.0</v>
      </c>
      <c r="K106" s="66"/>
      <c r="L106" s="302">
        <v>31.0</v>
      </c>
      <c r="M106" s="506">
        <v>45809.0</v>
      </c>
      <c r="N106" s="350">
        <v>45838.0</v>
      </c>
      <c r="O106" s="290">
        <f t="shared" si="1"/>
        <v>370</v>
      </c>
      <c r="P106" s="451">
        <f t="shared" si="2"/>
        <v>1850</v>
      </c>
      <c r="Q106" s="451">
        <f t="shared" si="3"/>
        <v>2220</v>
      </c>
    </row>
    <row r="107">
      <c r="A107" s="410" t="s">
        <v>16</v>
      </c>
      <c r="B107" s="411">
        <v>4320.0</v>
      </c>
      <c r="C107" s="443"/>
      <c r="D107" s="285">
        <v>0.0</v>
      </c>
      <c r="E107" s="501" t="s">
        <v>878</v>
      </c>
      <c r="F107" s="507" t="s">
        <v>879</v>
      </c>
      <c r="G107" s="507" t="s">
        <v>880</v>
      </c>
      <c r="H107" s="66"/>
      <c r="I107" s="504">
        <v>34912.0</v>
      </c>
      <c r="J107" s="504">
        <v>45831.0</v>
      </c>
      <c r="K107" s="66"/>
      <c r="L107" s="302">
        <v>31.0</v>
      </c>
      <c r="M107" s="506">
        <v>45809.0</v>
      </c>
      <c r="N107" s="350">
        <v>45838.0</v>
      </c>
      <c r="O107" s="290">
        <f t="shared" si="1"/>
        <v>370</v>
      </c>
      <c r="P107" s="451">
        <f t="shared" si="2"/>
        <v>1850</v>
      </c>
      <c r="Q107" s="451">
        <f t="shared" si="3"/>
        <v>2220</v>
      </c>
    </row>
    <row r="108">
      <c r="A108" s="410" t="s">
        <v>16</v>
      </c>
      <c r="B108" s="411">
        <v>4320.0</v>
      </c>
      <c r="C108" s="443"/>
      <c r="D108" s="285">
        <v>0.0</v>
      </c>
      <c r="E108" s="510" t="s">
        <v>881</v>
      </c>
      <c r="F108" s="511" t="s">
        <v>882</v>
      </c>
      <c r="G108" s="511" t="s">
        <v>883</v>
      </c>
      <c r="H108" s="66"/>
      <c r="I108" s="504">
        <v>35887.0</v>
      </c>
      <c r="J108" s="504">
        <v>45809.0</v>
      </c>
      <c r="K108" s="66"/>
      <c r="L108" s="302">
        <v>31.0</v>
      </c>
      <c r="M108" s="506">
        <v>45809.0</v>
      </c>
      <c r="N108" s="350">
        <v>45838.0</v>
      </c>
      <c r="O108" s="290">
        <f t="shared" si="1"/>
        <v>370</v>
      </c>
      <c r="P108" s="451">
        <f t="shared" si="2"/>
        <v>1850</v>
      </c>
      <c r="Q108" s="451">
        <f t="shared" si="3"/>
        <v>2220</v>
      </c>
    </row>
    <row r="109">
      <c r="A109" s="410" t="s">
        <v>16</v>
      </c>
      <c r="B109" s="411">
        <v>4320.0</v>
      </c>
      <c r="C109" s="443"/>
      <c r="D109" s="285">
        <v>0.0</v>
      </c>
      <c r="E109" s="545" t="s">
        <v>892</v>
      </c>
      <c r="F109" s="511" t="s">
        <v>893</v>
      </c>
      <c r="G109" s="511" t="s">
        <v>894</v>
      </c>
      <c r="H109" s="66"/>
      <c r="I109" s="546">
        <v>35207.0</v>
      </c>
      <c r="J109" s="547">
        <v>45839.0</v>
      </c>
      <c r="K109" s="66"/>
      <c r="L109" s="548">
        <v>30.0</v>
      </c>
      <c r="M109" s="506">
        <v>45809.0</v>
      </c>
      <c r="N109" s="350">
        <v>45838.0</v>
      </c>
      <c r="O109" s="290">
        <f t="shared" si="1"/>
        <v>359</v>
      </c>
      <c r="P109" s="451">
        <f t="shared" si="2"/>
        <v>1795</v>
      </c>
      <c r="Q109" s="451">
        <f t="shared" si="3"/>
        <v>2154</v>
      </c>
    </row>
    <row r="110">
      <c r="A110" s="410" t="s">
        <v>16</v>
      </c>
      <c r="B110" s="411">
        <v>4320.0</v>
      </c>
      <c r="C110" s="443"/>
      <c r="D110" s="285">
        <v>0.0</v>
      </c>
      <c r="E110" s="501" t="s">
        <v>895</v>
      </c>
      <c r="F110" s="511" t="s">
        <v>896</v>
      </c>
      <c r="G110" s="511" t="s">
        <v>897</v>
      </c>
      <c r="H110" s="66"/>
      <c r="I110" s="504">
        <v>36431.0</v>
      </c>
      <c r="J110" s="547">
        <v>45839.0</v>
      </c>
      <c r="K110" s="66"/>
      <c r="L110" s="549">
        <v>31.0</v>
      </c>
      <c r="M110" s="506">
        <v>45809.0</v>
      </c>
      <c r="N110" s="350">
        <v>45838.0</v>
      </c>
      <c r="O110" s="290">
        <f t="shared" si="1"/>
        <v>370</v>
      </c>
      <c r="P110" s="451">
        <f t="shared" si="2"/>
        <v>1850</v>
      </c>
      <c r="Q110" s="451">
        <f t="shared" si="3"/>
        <v>2220</v>
      </c>
    </row>
    <row r="111">
      <c r="A111" s="410" t="s">
        <v>16</v>
      </c>
      <c r="B111" s="411">
        <v>4320.0</v>
      </c>
      <c r="C111" s="443"/>
      <c r="D111" s="285">
        <v>0.0</v>
      </c>
      <c r="E111" s="501" t="s">
        <v>898</v>
      </c>
      <c r="F111" s="511" t="s">
        <v>899</v>
      </c>
      <c r="G111" s="511" t="s">
        <v>900</v>
      </c>
      <c r="I111" s="509">
        <v>37642.0</v>
      </c>
      <c r="J111" s="550">
        <v>45842.0</v>
      </c>
      <c r="L111" s="549">
        <v>28.0</v>
      </c>
      <c r="M111" s="506">
        <v>45809.0</v>
      </c>
      <c r="N111" s="350">
        <v>45838.0</v>
      </c>
      <c r="O111" s="290">
        <f t="shared" si="1"/>
        <v>335</v>
      </c>
      <c r="P111" s="451">
        <f t="shared" si="2"/>
        <v>1675</v>
      </c>
      <c r="Q111" s="451">
        <f t="shared" si="3"/>
        <v>2010</v>
      </c>
    </row>
    <row r="112">
      <c r="A112" s="410" t="s">
        <v>16</v>
      </c>
      <c r="B112" s="411">
        <v>4320.0</v>
      </c>
      <c r="C112" s="443"/>
      <c r="D112" s="285">
        <v>0.0</v>
      </c>
      <c r="E112" s="501" t="s">
        <v>901</v>
      </c>
      <c r="F112" s="511" t="s">
        <v>902</v>
      </c>
      <c r="G112" s="511" t="s">
        <v>903</v>
      </c>
      <c r="I112" s="551">
        <v>34878.0</v>
      </c>
      <c r="J112" s="552">
        <v>45845.0</v>
      </c>
      <c r="L112" s="549">
        <v>25.0</v>
      </c>
      <c r="M112" s="506">
        <v>45809.0</v>
      </c>
      <c r="N112" s="350">
        <v>45838.0</v>
      </c>
      <c r="O112" s="290">
        <f t="shared" si="1"/>
        <v>299</v>
      </c>
      <c r="P112" s="451">
        <f t="shared" si="2"/>
        <v>1495</v>
      </c>
      <c r="Q112" s="451">
        <f t="shared" si="3"/>
        <v>1794</v>
      </c>
    </row>
    <row r="113">
      <c r="A113" s="410" t="s">
        <v>16</v>
      </c>
      <c r="B113" s="411">
        <v>4320.0</v>
      </c>
      <c r="C113" s="443"/>
      <c r="D113" s="285">
        <v>0.0</v>
      </c>
      <c r="E113" s="501" t="s">
        <v>904</v>
      </c>
      <c r="F113" s="511" t="s">
        <v>905</v>
      </c>
      <c r="G113" s="511" t="s">
        <v>906</v>
      </c>
      <c r="I113" s="553">
        <f>VLOOKUP(E113,'To be uploaded July 2025'!E:K,5,false)</f>
        <v>37326</v>
      </c>
      <c r="J113" s="554">
        <f>VLOOKUP(E113,'To be uploaded July 2025'!E:K,6,false)</f>
        <v>45845</v>
      </c>
      <c r="L113" s="549">
        <v>25.0</v>
      </c>
      <c r="M113" s="506">
        <v>45809.0</v>
      </c>
      <c r="N113" s="350">
        <v>45838.0</v>
      </c>
      <c r="O113" s="290">
        <f t="shared" si="1"/>
        <v>299</v>
      </c>
      <c r="P113" s="451">
        <f t="shared" si="2"/>
        <v>1495</v>
      </c>
      <c r="Q113" s="451">
        <f t="shared" si="3"/>
        <v>1794</v>
      </c>
    </row>
    <row r="114">
      <c r="A114" s="410" t="s">
        <v>16</v>
      </c>
      <c r="B114" s="411">
        <v>4320.0</v>
      </c>
      <c r="C114" s="443"/>
      <c r="D114" s="285">
        <v>0.0</v>
      </c>
      <c r="E114" s="501" t="s">
        <v>907</v>
      </c>
      <c r="F114" s="511" t="s">
        <v>908</v>
      </c>
      <c r="G114" s="511" t="s">
        <v>909</v>
      </c>
      <c r="I114" s="553">
        <f>VLOOKUP(E114,'To be uploaded July 2025'!E:K,5,false)</f>
        <v>37465</v>
      </c>
      <c r="J114" s="554">
        <f>VLOOKUP(E114,'To be uploaded July 2025'!E:K,6,false)</f>
        <v>45845</v>
      </c>
      <c r="L114" s="549">
        <v>25.0</v>
      </c>
      <c r="M114" s="506">
        <v>45809.0</v>
      </c>
      <c r="N114" s="350">
        <v>45838.0</v>
      </c>
      <c r="O114" s="290">
        <f t="shared" si="1"/>
        <v>299</v>
      </c>
      <c r="P114" s="451">
        <f t="shared" si="2"/>
        <v>1495</v>
      </c>
      <c r="Q114" s="451">
        <f t="shared" si="3"/>
        <v>1794</v>
      </c>
    </row>
    <row r="115">
      <c r="A115" s="410" t="s">
        <v>16</v>
      </c>
      <c r="B115" s="411">
        <v>4320.0</v>
      </c>
      <c r="C115" s="443"/>
      <c r="D115" s="285">
        <v>0.0</v>
      </c>
      <c r="E115" s="501" t="s">
        <v>910</v>
      </c>
      <c r="F115" s="511" t="s">
        <v>911</v>
      </c>
      <c r="G115" s="511" t="s">
        <v>912</v>
      </c>
      <c r="I115" s="553">
        <f>VLOOKUP(E115,'To be uploaded July 2025'!E:K,5,false)</f>
        <v>35010</v>
      </c>
      <c r="J115" s="554">
        <f>VLOOKUP(E115,'To be uploaded July 2025'!E:K,6,false)</f>
        <v>45860</v>
      </c>
      <c r="L115" s="549">
        <v>10.0</v>
      </c>
      <c r="M115" s="506">
        <v>45809.0</v>
      </c>
      <c r="N115" s="350">
        <v>45838.0</v>
      </c>
      <c r="O115" s="290">
        <f t="shared" si="1"/>
        <v>120</v>
      </c>
      <c r="P115" s="451">
        <f t="shared" si="2"/>
        <v>600</v>
      </c>
      <c r="Q115" s="451">
        <f t="shared" si="3"/>
        <v>720</v>
      </c>
    </row>
    <row r="116">
      <c r="D116" s="310"/>
      <c r="E116" s="311"/>
      <c r="L116" s="228">
        <f>SUM(L2:L115)</f>
        <v>3379</v>
      </c>
      <c r="O116" s="228">
        <f t="shared" ref="O116:Q116" si="4">SUM(O2:O115)</f>
        <v>40338</v>
      </c>
      <c r="P116" s="228">
        <f t="shared" si="4"/>
        <v>201690</v>
      </c>
      <c r="Q116" s="228">
        <f t="shared" si="4"/>
        <v>242028</v>
      </c>
    </row>
    <row r="117">
      <c r="D117" s="310"/>
      <c r="E117" s="311"/>
      <c r="K117" s="365">
        <v>3379.0</v>
      </c>
      <c r="M117" s="365">
        <f>L116-K117</f>
        <v>0</v>
      </c>
    </row>
    <row r="118">
      <c r="D118" s="310"/>
      <c r="E118" s="311"/>
      <c r="L118" s="251">
        <v>3596.0</v>
      </c>
      <c r="M118" s="228">
        <f>L118-L116</f>
        <v>217</v>
      </c>
      <c r="P118" s="251" t="s">
        <v>913</v>
      </c>
      <c r="Q118" s="555">
        <v>241978.0</v>
      </c>
    </row>
    <row r="119">
      <c r="D119" s="310"/>
      <c r="E119" s="311"/>
      <c r="P119" s="251" t="s">
        <v>914</v>
      </c>
      <c r="Q119" s="53">
        <f>Q116-Q118</f>
        <v>50</v>
      </c>
    </row>
    <row r="120">
      <c r="D120" s="310"/>
      <c r="E120" s="311"/>
    </row>
    <row r="121">
      <c r="D121" s="310"/>
      <c r="E121" s="311"/>
    </row>
    <row r="122">
      <c r="D122" s="310"/>
      <c r="E122" s="311"/>
    </row>
    <row r="123">
      <c r="D123" s="310"/>
      <c r="E123" s="311"/>
    </row>
    <row r="124">
      <c r="D124" s="310"/>
      <c r="E124" s="311"/>
    </row>
    <row r="125">
      <c r="D125" s="310"/>
      <c r="E125" s="311"/>
    </row>
    <row r="126">
      <c r="D126" s="310"/>
      <c r="E126" s="311"/>
    </row>
    <row r="127">
      <c r="D127" s="310"/>
      <c r="E127" s="311"/>
    </row>
    <row r="128">
      <c r="D128" s="310"/>
      <c r="E128" s="311"/>
    </row>
    <row r="129">
      <c r="D129" s="310"/>
      <c r="E129" s="311"/>
    </row>
    <row r="130">
      <c r="D130" s="310"/>
      <c r="E130" s="311"/>
    </row>
    <row r="131">
      <c r="D131" s="310"/>
      <c r="E131" s="311"/>
    </row>
    <row r="132">
      <c r="D132" s="310"/>
      <c r="E132" s="311"/>
    </row>
    <row r="133">
      <c r="D133" s="310"/>
      <c r="E133" s="311"/>
    </row>
    <row r="134">
      <c r="D134" s="310"/>
      <c r="E134" s="311"/>
    </row>
    <row r="135">
      <c r="D135" s="310"/>
      <c r="E135" s="311"/>
    </row>
    <row r="136">
      <c r="D136" s="310"/>
      <c r="E136" s="311"/>
    </row>
    <row r="137">
      <c r="D137" s="310"/>
      <c r="E137" s="311"/>
    </row>
    <row r="138">
      <c r="D138" s="310"/>
      <c r="E138" s="311"/>
    </row>
    <row r="139">
      <c r="D139" s="310"/>
      <c r="E139" s="311"/>
    </row>
    <row r="140">
      <c r="D140" s="310"/>
      <c r="E140" s="311"/>
    </row>
    <row r="141">
      <c r="D141" s="310"/>
      <c r="E141" s="311"/>
    </row>
    <row r="142">
      <c r="D142" s="310"/>
      <c r="E142" s="311"/>
    </row>
    <row r="143">
      <c r="D143" s="310"/>
      <c r="E143" s="311"/>
    </row>
    <row r="144">
      <c r="D144" s="310"/>
      <c r="E144" s="311"/>
    </row>
    <row r="145">
      <c r="D145" s="310"/>
      <c r="E145" s="311"/>
    </row>
    <row r="146">
      <c r="D146" s="310"/>
      <c r="E146" s="311"/>
    </row>
    <row r="147">
      <c r="D147" s="310"/>
      <c r="E147" s="311"/>
    </row>
    <row r="148">
      <c r="D148" s="310"/>
      <c r="E148" s="311"/>
    </row>
    <row r="149">
      <c r="D149" s="310"/>
      <c r="E149" s="311"/>
    </row>
    <row r="150">
      <c r="D150" s="310"/>
      <c r="E150" s="311"/>
    </row>
    <row r="151">
      <c r="D151" s="310"/>
      <c r="E151" s="311"/>
    </row>
    <row r="152">
      <c r="D152" s="310"/>
      <c r="E152" s="311"/>
    </row>
    <row r="153">
      <c r="D153" s="310"/>
      <c r="E153" s="311"/>
    </row>
    <row r="154">
      <c r="D154" s="310"/>
      <c r="E154" s="311"/>
    </row>
    <row r="155">
      <c r="D155" s="310"/>
      <c r="E155" s="311"/>
    </row>
    <row r="156">
      <c r="D156" s="310"/>
      <c r="E156" s="311"/>
    </row>
    <row r="157">
      <c r="D157" s="310"/>
      <c r="E157" s="311"/>
    </row>
    <row r="158">
      <c r="D158" s="310"/>
      <c r="E158" s="311"/>
    </row>
    <row r="159">
      <c r="D159" s="310"/>
      <c r="E159" s="311"/>
    </row>
    <row r="160">
      <c r="D160" s="310"/>
      <c r="E160" s="311"/>
    </row>
    <row r="161">
      <c r="D161" s="310"/>
      <c r="E161" s="311"/>
    </row>
    <row r="162">
      <c r="D162" s="310"/>
      <c r="E162" s="311"/>
    </row>
    <row r="163">
      <c r="D163" s="310"/>
      <c r="E163" s="311"/>
    </row>
    <row r="164">
      <c r="D164" s="310"/>
      <c r="E164" s="311"/>
    </row>
    <row r="165">
      <c r="D165" s="310"/>
      <c r="E165" s="311"/>
    </row>
    <row r="166">
      <c r="D166" s="310"/>
      <c r="E166" s="311"/>
    </row>
    <row r="167">
      <c r="D167" s="310"/>
      <c r="E167" s="311"/>
    </row>
    <row r="168">
      <c r="D168" s="310"/>
      <c r="E168" s="311"/>
    </row>
    <row r="169">
      <c r="D169" s="310"/>
      <c r="E169" s="311"/>
    </row>
    <row r="170">
      <c r="D170" s="310"/>
      <c r="E170" s="311"/>
    </row>
    <row r="171">
      <c r="D171" s="310"/>
      <c r="E171" s="311"/>
    </row>
    <row r="172">
      <c r="D172" s="310"/>
      <c r="E172" s="311"/>
    </row>
    <row r="173">
      <c r="D173" s="310"/>
      <c r="E173" s="311"/>
    </row>
    <row r="174">
      <c r="D174" s="310"/>
      <c r="E174" s="311"/>
    </row>
    <row r="175">
      <c r="D175" s="310"/>
      <c r="E175" s="311"/>
    </row>
    <row r="176">
      <c r="D176" s="310"/>
      <c r="E176" s="311"/>
    </row>
    <row r="177">
      <c r="D177" s="310"/>
      <c r="E177" s="311"/>
    </row>
    <row r="178">
      <c r="D178" s="310"/>
      <c r="E178" s="311"/>
    </row>
    <row r="179">
      <c r="D179" s="310"/>
      <c r="E179" s="311"/>
    </row>
    <row r="180">
      <c r="D180" s="310"/>
      <c r="E180" s="311"/>
    </row>
    <row r="181">
      <c r="D181" s="310"/>
      <c r="E181" s="311"/>
    </row>
    <row r="182">
      <c r="D182" s="310"/>
      <c r="E182" s="311"/>
    </row>
    <row r="183">
      <c r="D183" s="310"/>
      <c r="E183" s="311"/>
    </row>
    <row r="184">
      <c r="D184" s="310"/>
      <c r="E184" s="311"/>
    </row>
    <row r="185">
      <c r="D185" s="310"/>
      <c r="E185" s="311"/>
    </row>
    <row r="186">
      <c r="D186" s="310"/>
      <c r="E186" s="311"/>
    </row>
    <row r="187">
      <c r="D187" s="310"/>
      <c r="E187" s="311"/>
    </row>
    <row r="188">
      <c r="D188" s="310"/>
      <c r="E188" s="311"/>
    </row>
    <row r="189">
      <c r="D189" s="310"/>
      <c r="E189" s="311"/>
    </row>
    <row r="190">
      <c r="D190" s="310"/>
      <c r="E190" s="311"/>
    </row>
    <row r="191">
      <c r="D191" s="310"/>
      <c r="E191" s="311"/>
    </row>
    <row r="192">
      <c r="D192" s="310"/>
      <c r="E192" s="311"/>
    </row>
    <row r="193">
      <c r="D193" s="310"/>
      <c r="E193" s="311"/>
    </row>
    <row r="194">
      <c r="D194" s="310"/>
      <c r="E194" s="311"/>
    </row>
    <row r="195">
      <c r="D195" s="310"/>
      <c r="E195" s="311"/>
    </row>
    <row r="196">
      <c r="D196" s="310"/>
      <c r="E196" s="311"/>
    </row>
    <row r="197">
      <c r="D197" s="310"/>
      <c r="E197" s="311"/>
    </row>
    <row r="198">
      <c r="D198" s="310"/>
      <c r="E198" s="311"/>
    </row>
    <row r="199">
      <c r="D199" s="310"/>
      <c r="E199" s="311"/>
    </row>
    <row r="200">
      <c r="D200" s="310"/>
      <c r="E200" s="311"/>
    </row>
    <row r="201">
      <c r="D201" s="310"/>
      <c r="E201" s="311"/>
    </row>
    <row r="202">
      <c r="D202" s="310"/>
      <c r="E202" s="311"/>
    </row>
    <row r="203">
      <c r="D203" s="310"/>
      <c r="E203" s="311"/>
    </row>
    <row r="204">
      <c r="D204" s="310"/>
      <c r="E204" s="311"/>
    </row>
    <row r="205">
      <c r="D205" s="310"/>
      <c r="E205" s="311"/>
    </row>
    <row r="206">
      <c r="D206" s="310"/>
      <c r="E206" s="311"/>
    </row>
    <row r="207">
      <c r="D207" s="310"/>
      <c r="E207" s="311"/>
    </row>
    <row r="208">
      <c r="D208" s="310"/>
      <c r="E208" s="311"/>
    </row>
    <row r="209">
      <c r="D209" s="310"/>
      <c r="E209" s="311"/>
    </row>
    <row r="210">
      <c r="D210" s="310"/>
      <c r="E210" s="311"/>
    </row>
    <row r="211">
      <c r="D211" s="310"/>
      <c r="E211" s="311"/>
    </row>
    <row r="212">
      <c r="D212" s="310"/>
      <c r="E212" s="311"/>
    </row>
    <row r="213">
      <c r="D213" s="310"/>
      <c r="E213" s="311"/>
    </row>
    <row r="214">
      <c r="D214" s="310"/>
      <c r="E214" s="311"/>
    </row>
    <row r="215">
      <c r="D215" s="310"/>
      <c r="E215" s="311"/>
    </row>
    <row r="216">
      <c r="D216" s="310"/>
      <c r="E216" s="311"/>
    </row>
    <row r="217">
      <c r="D217" s="310"/>
      <c r="E217" s="311"/>
    </row>
    <row r="218">
      <c r="D218" s="310"/>
      <c r="E218" s="311"/>
    </row>
    <row r="219">
      <c r="D219" s="310"/>
      <c r="E219" s="311"/>
    </row>
    <row r="220">
      <c r="D220" s="310"/>
      <c r="E220" s="311"/>
    </row>
    <row r="221">
      <c r="D221" s="310"/>
      <c r="E221" s="311"/>
    </row>
    <row r="222">
      <c r="D222" s="310"/>
      <c r="E222" s="311"/>
    </row>
    <row r="223">
      <c r="D223" s="310"/>
      <c r="E223" s="311"/>
    </row>
    <row r="224">
      <c r="D224" s="310"/>
      <c r="E224" s="311"/>
    </row>
    <row r="225">
      <c r="D225" s="310"/>
      <c r="E225" s="311"/>
    </row>
    <row r="226">
      <c r="D226" s="310"/>
      <c r="E226" s="311"/>
    </row>
    <row r="227">
      <c r="D227" s="310"/>
      <c r="E227" s="311"/>
    </row>
    <row r="228">
      <c r="D228" s="310"/>
      <c r="E228" s="311"/>
    </row>
    <row r="229">
      <c r="D229" s="310"/>
      <c r="E229" s="311"/>
    </row>
    <row r="230">
      <c r="D230" s="310"/>
      <c r="E230" s="311"/>
    </row>
    <row r="231">
      <c r="D231" s="310"/>
      <c r="E231" s="311"/>
    </row>
    <row r="232">
      <c r="D232" s="310"/>
      <c r="E232" s="311"/>
    </row>
    <row r="233">
      <c r="D233" s="310"/>
      <c r="E233" s="311"/>
    </row>
    <row r="234">
      <c r="D234" s="310"/>
      <c r="E234" s="311"/>
    </row>
    <row r="235">
      <c r="D235" s="310"/>
      <c r="E235" s="311"/>
    </row>
    <row r="236">
      <c r="D236" s="310"/>
      <c r="E236" s="311"/>
    </row>
    <row r="237">
      <c r="D237" s="310"/>
      <c r="E237" s="311"/>
    </row>
    <row r="238">
      <c r="D238" s="310"/>
      <c r="E238" s="311"/>
    </row>
    <row r="239">
      <c r="D239" s="310"/>
      <c r="E239" s="311"/>
    </row>
    <row r="240">
      <c r="D240" s="310"/>
      <c r="E240" s="311"/>
    </row>
    <row r="241">
      <c r="D241" s="310"/>
      <c r="E241" s="311"/>
    </row>
    <row r="242">
      <c r="D242" s="310"/>
      <c r="E242" s="311"/>
    </row>
    <row r="243">
      <c r="D243" s="310"/>
      <c r="E243" s="3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row r="734">
      <c r="D734" s="310"/>
      <c r="E734" s="311"/>
    </row>
    <row r="735">
      <c r="D735" s="310"/>
      <c r="E735" s="311"/>
    </row>
    <row r="736">
      <c r="D736" s="310"/>
      <c r="E736" s="311"/>
    </row>
    <row r="737">
      <c r="D737" s="310"/>
      <c r="E737" s="311"/>
    </row>
    <row r="738">
      <c r="D738" s="310"/>
      <c r="E738" s="311"/>
    </row>
    <row r="739">
      <c r="D739" s="310"/>
      <c r="E739" s="311"/>
    </row>
    <row r="740">
      <c r="D740" s="310"/>
      <c r="E740" s="311"/>
    </row>
  </sheetData>
  <mergeCells count="65">
    <mergeCell ref="G56:H56"/>
    <mergeCell ref="G57:H57"/>
    <mergeCell ref="G59:H59"/>
    <mergeCell ref="G61:H61"/>
    <mergeCell ref="G62:H62"/>
    <mergeCell ref="G64:H64"/>
    <mergeCell ref="G66:H66"/>
    <mergeCell ref="G75:H75"/>
    <mergeCell ref="G76:H76"/>
    <mergeCell ref="G67:H67"/>
    <mergeCell ref="G68:H68"/>
    <mergeCell ref="G69:H69"/>
    <mergeCell ref="G70:H70"/>
    <mergeCell ref="G71:H71"/>
    <mergeCell ref="G72:H72"/>
    <mergeCell ref="G74:H74"/>
    <mergeCell ref="G2:H2"/>
    <mergeCell ref="G3:H3"/>
    <mergeCell ref="G4:H4"/>
    <mergeCell ref="G6:H6"/>
    <mergeCell ref="G7:H7"/>
    <mergeCell ref="G8:H8"/>
    <mergeCell ref="G9:H9"/>
    <mergeCell ref="G10:H10"/>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5:H55"/>
  </mergeCells>
  <conditionalFormatting sqref="K1:K800">
    <cfRule type="expression" dxfId="0" priority="1">
      <formula>K1&lt;45748.0</formula>
    </cfRule>
  </conditionalFormatting>
  <drawing r:id="rId2"/>
  <legacyDrawing r:id="rId3"/>
  <tableParts count="1">
    <tablePart r:id="rId5"/>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4" max="4" width="23.75"/>
    <col customWidth="1" min="5" max="5" width="38.25"/>
    <col customWidth="1" min="9" max="9" width="21.25"/>
    <col customWidth="1" min="12" max="12" width="18.38"/>
  </cols>
  <sheetData>
    <row r="1">
      <c r="A1" s="366" t="s">
        <v>0</v>
      </c>
      <c r="B1" s="366" t="s">
        <v>1</v>
      </c>
      <c r="C1" s="366" t="s">
        <v>2</v>
      </c>
      <c r="D1" s="366" t="s">
        <v>603</v>
      </c>
      <c r="E1" s="366" t="s">
        <v>604</v>
      </c>
      <c r="F1" s="366" t="s">
        <v>4</v>
      </c>
      <c r="G1" s="366" t="s">
        <v>5</v>
      </c>
      <c r="H1" s="366" t="s">
        <v>6</v>
      </c>
      <c r="I1" s="366" t="s">
        <v>7</v>
      </c>
      <c r="J1" s="366" t="s">
        <v>8</v>
      </c>
      <c r="K1" s="366" t="s">
        <v>9</v>
      </c>
      <c r="L1" s="366" t="s">
        <v>10</v>
      </c>
      <c r="M1" s="366" t="s">
        <v>11</v>
      </c>
      <c r="N1" s="366" t="s">
        <v>12</v>
      </c>
    </row>
    <row r="2">
      <c r="A2" s="452" t="s">
        <v>16</v>
      </c>
      <c r="B2" s="453">
        <v>4320.0</v>
      </c>
      <c r="C2" s="556" t="s">
        <v>763</v>
      </c>
      <c r="D2" s="453">
        <v>0.0</v>
      </c>
      <c r="E2" s="452" t="s">
        <v>785</v>
      </c>
      <c r="F2" s="452" t="s">
        <v>822</v>
      </c>
      <c r="G2" s="452" t="s">
        <v>787</v>
      </c>
      <c r="H2" s="455"/>
      <c r="I2" s="456">
        <v>38089.0</v>
      </c>
      <c r="J2" s="458">
        <v>45789.0</v>
      </c>
      <c r="K2" s="454"/>
      <c r="L2" s="514">
        <v>31.0</v>
      </c>
      <c r="M2" s="515">
        <v>45839.0</v>
      </c>
      <c r="N2" s="515">
        <v>45869.0</v>
      </c>
    </row>
    <row r="3">
      <c r="A3" s="452" t="s">
        <v>16</v>
      </c>
      <c r="B3" s="453">
        <v>4320.0</v>
      </c>
      <c r="C3" s="556" t="s">
        <v>763</v>
      </c>
      <c r="D3" s="453">
        <v>0.0</v>
      </c>
      <c r="E3" s="452" t="s">
        <v>261</v>
      </c>
      <c r="F3" s="452" t="s">
        <v>262</v>
      </c>
      <c r="G3" s="452" t="s">
        <v>263</v>
      </c>
      <c r="H3" s="455"/>
      <c r="I3" s="457">
        <v>36529.0</v>
      </c>
      <c r="J3" s="457">
        <v>45505.0</v>
      </c>
      <c r="K3" s="457">
        <v>45604.0</v>
      </c>
      <c r="L3" s="514">
        <v>0.0</v>
      </c>
      <c r="M3" s="515">
        <v>45839.0</v>
      </c>
      <c r="N3" s="515">
        <v>45869.0</v>
      </c>
    </row>
    <row r="4">
      <c r="A4" s="452" t="s">
        <v>16</v>
      </c>
      <c r="B4" s="453">
        <v>4320.0</v>
      </c>
      <c r="C4" s="556" t="s">
        <v>763</v>
      </c>
      <c r="D4" s="453">
        <v>0.0</v>
      </c>
      <c r="E4" s="452" t="s">
        <v>436</v>
      </c>
      <c r="F4" s="452" t="s">
        <v>362</v>
      </c>
      <c r="G4" s="452" t="s">
        <v>363</v>
      </c>
      <c r="H4" s="455"/>
      <c r="I4" s="456">
        <v>37149.0</v>
      </c>
      <c r="J4" s="457">
        <v>45397.0</v>
      </c>
      <c r="K4" s="454"/>
      <c r="L4" s="514">
        <v>31.0</v>
      </c>
      <c r="M4" s="515">
        <v>45839.0</v>
      </c>
      <c r="N4" s="515">
        <v>45869.0</v>
      </c>
    </row>
    <row r="5">
      <c r="A5" s="557" t="s">
        <v>16</v>
      </c>
      <c r="B5" s="558">
        <v>4320.0</v>
      </c>
      <c r="C5" s="556" t="s">
        <v>763</v>
      </c>
      <c r="D5" s="558">
        <v>0.0</v>
      </c>
      <c r="E5" s="557" t="s">
        <v>753</v>
      </c>
      <c r="F5" s="557" t="s">
        <v>754</v>
      </c>
      <c r="G5" s="557" t="s">
        <v>689</v>
      </c>
      <c r="H5" s="559"/>
      <c r="I5" s="560">
        <v>37214.0</v>
      </c>
      <c r="J5" s="561">
        <v>45691.0</v>
      </c>
      <c r="K5" s="515">
        <v>45848.0</v>
      </c>
      <c r="L5" s="562">
        <v>10.0</v>
      </c>
      <c r="M5" s="515">
        <v>45839.0</v>
      </c>
      <c r="N5" s="515">
        <v>45869.0</v>
      </c>
      <c r="O5" s="48"/>
      <c r="P5" s="48"/>
      <c r="Q5" s="48"/>
      <c r="R5" s="48"/>
      <c r="S5" s="48"/>
      <c r="T5" s="48"/>
      <c r="U5" s="48"/>
      <c r="V5" s="48"/>
      <c r="W5" s="48"/>
    </row>
    <row r="6">
      <c r="A6" s="452" t="s">
        <v>16</v>
      </c>
      <c r="B6" s="453">
        <v>4320.0</v>
      </c>
      <c r="C6" s="556" t="s">
        <v>763</v>
      </c>
      <c r="D6" s="453">
        <v>0.0</v>
      </c>
      <c r="E6" s="452" t="s">
        <v>310</v>
      </c>
      <c r="F6" s="452" t="s">
        <v>311</v>
      </c>
      <c r="G6" s="452" t="s">
        <v>312</v>
      </c>
      <c r="H6" s="455"/>
      <c r="I6" s="456">
        <v>36529.0</v>
      </c>
      <c r="J6" s="456">
        <v>45362.0</v>
      </c>
      <c r="K6" s="458">
        <v>45443.0</v>
      </c>
      <c r="L6" s="453">
        <v>0.0</v>
      </c>
      <c r="M6" s="515">
        <v>45839.0</v>
      </c>
      <c r="N6" s="515">
        <v>45869.0</v>
      </c>
      <c r="P6" s="48"/>
    </row>
    <row r="7">
      <c r="A7" s="452" t="s">
        <v>16</v>
      </c>
      <c r="B7" s="453">
        <v>4320.0</v>
      </c>
      <c r="C7" s="556" t="s">
        <v>763</v>
      </c>
      <c r="D7" s="453">
        <v>0.0</v>
      </c>
      <c r="E7" s="517" t="s">
        <v>851</v>
      </c>
      <c r="F7" s="366" t="s">
        <v>852</v>
      </c>
      <c r="G7" s="366" t="s">
        <v>853</v>
      </c>
      <c r="H7" s="369"/>
      <c r="I7" s="371">
        <v>36113.0</v>
      </c>
      <c r="J7" s="371">
        <v>45810.0</v>
      </c>
      <c r="K7" s="371"/>
      <c r="L7" s="514">
        <v>31.0</v>
      </c>
      <c r="M7" s="515">
        <v>45839.0</v>
      </c>
      <c r="N7" s="515">
        <v>45869.0</v>
      </c>
      <c r="P7" s="48"/>
    </row>
    <row r="8">
      <c r="A8" s="452" t="s">
        <v>16</v>
      </c>
      <c r="B8" s="453">
        <v>4320.0</v>
      </c>
      <c r="C8" s="556" t="s">
        <v>763</v>
      </c>
      <c r="D8" s="453">
        <v>0.0</v>
      </c>
      <c r="E8" s="452" t="s">
        <v>437</v>
      </c>
      <c r="F8" s="452" t="s">
        <v>22</v>
      </c>
      <c r="G8" s="452" t="s">
        <v>23</v>
      </c>
      <c r="H8" s="455"/>
      <c r="I8" s="457">
        <v>36358.0</v>
      </c>
      <c r="J8" s="462">
        <v>45027.0</v>
      </c>
      <c r="K8" s="456">
        <v>45603.0</v>
      </c>
      <c r="L8" s="453">
        <v>0.0</v>
      </c>
      <c r="M8" s="515">
        <v>45839.0</v>
      </c>
      <c r="N8" s="515">
        <v>45869.0</v>
      </c>
      <c r="P8" s="48"/>
    </row>
    <row r="9">
      <c r="A9" s="452" t="s">
        <v>16</v>
      </c>
      <c r="B9" s="453">
        <v>4320.0</v>
      </c>
      <c r="C9" s="556" t="s">
        <v>763</v>
      </c>
      <c r="D9" s="453">
        <v>0.0</v>
      </c>
      <c r="E9" s="452" t="s">
        <v>561</v>
      </c>
      <c r="F9" s="452" t="s">
        <v>562</v>
      </c>
      <c r="G9" s="452" t="s">
        <v>563</v>
      </c>
      <c r="H9" s="455"/>
      <c r="I9" s="456">
        <v>36879.0</v>
      </c>
      <c r="J9" s="457">
        <v>45670.0</v>
      </c>
      <c r="K9" s="457">
        <v>45762.0</v>
      </c>
      <c r="L9" s="453">
        <v>0.0</v>
      </c>
      <c r="M9" s="515">
        <v>45839.0</v>
      </c>
      <c r="N9" s="515">
        <v>45869.0</v>
      </c>
      <c r="P9" s="48"/>
    </row>
    <row r="10">
      <c r="A10" s="452" t="s">
        <v>16</v>
      </c>
      <c r="B10" s="453">
        <v>4320.0</v>
      </c>
      <c r="C10" s="556" t="s">
        <v>763</v>
      </c>
      <c r="D10" s="453">
        <v>0.0</v>
      </c>
      <c r="E10" s="452" t="s">
        <v>791</v>
      </c>
      <c r="F10" s="452" t="s">
        <v>821</v>
      </c>
      <c r="G10" s="452" t="s">
        <v>793</v>
      </c>
      <c r="H10" s="455"/>
      <c r="I10" s="456">
        <v>36197.0</v>
      </c>
      <c r="J10" s="458">
        <v>45782.0</v>
      </c>
      <c r="K10" s="454"/>
      <c r="L10" s="514">
        <v>31.0</v>
      </c>
      <c r="M10" s="515">
        <v>45839.0</v>
      </c>
      <c r="N10" s="515">
        <v>45869.0</v>
      </c>
      <c r="P10" s="48"/>
    </row>
    <row r="11">
      <c r="A11" s="452" t="s">
        <v>16</v>
      </c>
      <c r="B11" s="453">
        <v>4320.0</v>
      </c>
      <c r="C11" s="556" t="s">
        <v>763</v>
      </c>
      <c r="D11" s="453">
        <v>0.0</v>
      </c>
      <c r="E11" s="452" t="s">
        <v>605</v>
      </c>
      <c r="F11" s="452" t="s">
        <v>25</v>
      </c>
      <c r="G11" s="452" t="s">
        <v>26</v>
      </c>
      <c r="H11" s="455"/>
      <c r="I11" s="456">
        <v>36860.0</v>
      </c>
      <c r="J11" s="457">
        <v>45124.0</v>
      </c>
      <c r="K11" s="456">
        <v>45527.0</v>
      </c>
      <c r="L11" s="453">
        <v>0.0</v>
      </c>
      <c r="M11" s="515">
        <v>45839.0</v>
      </c>
      <c r="N11" s="515">
        <v>45869.0</v>
      </c>
      <c r="P11" s="48"/>
    </row>
    <row r="12">
      <c r="A12" s="452" t="s">
        <v>16</v>
      </c>
      <c r="B12" s="453">
        <v>4320.0</v>
      </c>
      <c r="C12" s="556" t="s">
        <v>763</v>
      </c>
      <c r="D12" s="453">
        <v>0.0</v>
      </c>
      <c r="E12" s="452" t="s">
        <v>407</v>
      </c>
      <c r="F12" s="452" t="s">
        <v>97</v>
      </c>
      <c r="G12" s="452" t="s">
        <v>98</v>
      </c>
      <c r="H12" s="455"/>
      <c r="I12" s="457">
        <v>36690.0</v>
      </c>
      <c r="J12" s="457">
        <v>44938.0</v>
      </c>
      <c r="K12" s="454"/>
      <c r="L12" s="514">
        <v>31.0</v>
      </c>
      <c r="M12" s="515">
        <v>45839.0</v>
      </c>
      <c r="N12" s="515">
        <v>45869.0</v>
      </c>
      <c r="P12" s="48"/>
    </row>
    <row r="13">
      <c r="A13" s="452" t="s">
        <v>16</v>
      </c>
      <c r="B13" s="453">
        <v>4320.0</v>
      </c>
      <c r="C13" s="556" t="s">
        <v>763</v>
      </c>
      <c r="D13" s="453">
        <v>0.0</v>
      </c>
      <c r="E13" s="452" t="s">
        <v>473</v>
      </c>
      <c r="F13" s="452" t="s">
        <v>530</v>
      </c>
      <c r="G13" s="452" t="s">
        <v>475</v>
      </c>
      <c r="H13" s="455"/>
      <c r="I13" s="457">
        <v>37459.0</v>
      </c>
      <c r="J13" s="456">
        <v>45586.0</v>
      </c>
      <c r="K13" s="457">
        <v>45777.0</v>
      </c>
      <c r="L13" s="453">
        <v>0.0</v>
      </c>
      <c r="M13" s="515">
        <v>45839.0</v>
      </c>
      <c r="N13" s="515">
        <v>45869.0</v>
      </c>
    </row>
    <row r="14">
      <c r="A14" s="452" t="s">
        <v>16</v>
      </c>
      <c r="B14" s="453">
        <v>4320.0</v>
      </c>
      <c r="C14" s="556" t="s">
        <v>763</v>
      </c>
      <c r="D14" s="453">
        <v>0.0</v>
      </c>
      <c r="E14" s="452" t="s">
        <v>313</v>
      </c>
      <c r="F14" s="452" t="s">
        <v>314</v>
      </c>
      <c r="G14" s="452" t="s">
        <v>315</v>
      </c>
      <c r="H14" s="455"/>
      <c r="I14" s="457">
        <v>35619.0</v>
      </c>
      <c r="J14" s="456">
        <v>45369.0</v>
      </c>
      <c r="K14" s="456">
        <v>45399.0</v>
      </c>
      <c r="L14" s="453">
        <v>0.0</v>
      </c>
      <c r="M14" s="515">
        <v>45839.0</v>
      </c>
      <c r="N14" s="515">
        <v>45869.0</v>
      </c>
    </row>
    <row r="15">
      <c r="A15" s="452" t="s">
        <v>16</v>
      </c>
      <c r="B15" s="453">
        <v>4320.0</v>
      </c>
      <c r="C15" s="556" t="s">
        <v>763</v>
      </c>
      <c r="D15" s="453">
        <v>0.0</v>
      </c>
      <c r="E15" s="452" t="s">
        <v>408</v>
      </c>
      <c r="F15" s="452" t="s">
        <v>409</v>
      </c>
      <c r="G15" s="452" t="s">
        <v>410</v>
      </c>
      <c r="H15" s="455"/>
      <c r="I15" s="456">
        <v>37978.0</v>
      </c>
      <c r="J15" s="457">
        <v>45453.0</v>
      </c>
      <c r="K15" s="513">
        <v>45821.0</v>
      </c>
      <c r="L15" s="514">
        <v>0.0</v>
      </c>
      <c r="M15" s="515">
        <v>45839.0</v>
      </c>
      <c r="N15" s="515">
        <v>45869.0</v>
      </c>
    </row>
    <row r="16">
      <c r="A16" s="452" t="s">
        <v>16</v>
      </c>
      <c r="B16" s="453">
        <v>4320.0</v>
      </c>
      <c r="C16" s="556" t="s">
        <v>763</v>
      </c>
      <c r="D16" s="453">
        <v>0.0</v>
      </c>
      <c r="E16" s="452" t="s">
        <v>730</v>
      </c>
      <c r="F16" s="452" t="s">
        <v>731</v>
      </c>
      <c r="G16" s="452" t="s">
        <v>732</v>
      </c>
      <c r="H16" s="455"/>
      <c r="I16" s="456">
        <v>38263.0</v>
      </c>
      <c r="J16" s="456">
        <v>45355.0</v>
      </c>
      <c r="K16" s="454"/>
      <c r="L16" s="514">
        <v>31.0</v>
      </c>
      <c r="M16" s="515">
        <v>45839.0</v>
      </c>
      <c r="N16" s="515">
        <v>45869.0</v>
      </c>
    </row>
    <row r="17">
      <c r="A17" s="452" t="s">
        <v>16</v>
      </c>
      <c r="B17" s="453">
        <v>4320.0</v>
      </c>
      <c r="C17" s="556" t="s">
        <v>763</v>
      </c>
      <c r="D17" s="453">
        <v>0.0</v>
      </c>
      <c r="E17" s="452" t="s">
        <v>606</v>
      </c>
      <c r="F17" s="452" t="s">
        <v>607</v>
      </c>
      <c r="G17" s="452" t="s">
        <v>608</v>
      </c>
      <c r="H17" s="455"/>
      <c r="I17" s="456">
        <v>33844.0</v>
      </c>
      <c r="J17" s="458">
        <v>45778.0</v>
      </c>
      <c r="K17" s="454"/>
      <c r="L17" s="514">
        <v>31.0</v>
      </c>
      <c r="M17" s="515">
        <v>45839.0</v>
      </c>
      <c r="N17" s="515">
        <v>45869.0</v>
      </c>
    </row>
    <row r="18">
      <c r="A18" s="452" t="s">
        <v>16</v>
      </c>
      <c r="B18" s="453">
        <v>4320.0</v>
      </c>
      <c r="C18" s="556" t="s">
        <v>763</v>
      </c>
      <c r="D18" s="453">
        <v>0.0</v>
      </c>
      <c r="E18" s="452" t="s">
        <v>609</v>
      </c>
      <c r="F18" s="452" t="s">
        <v>31</v>
      </c>
      <c r="G18" s="452" t="s">
        <v>32</v>
      </c>
      <c r="H18" s="455"/>
      <c r="I18" s="457">
        <v>35997.0</v>
      </c>
      <c r="J18" s="458">
        <v>45061.0</v>
      </c>
      <c r="K18" s="457">
        <v>45569.0</v>
      </c>
      <c r="L18" s="453">
        <v>0.0</v>
      </c>
      <c r="M18" s="515">
        <v>45839.0</v>
      </c>
      <c r="N18" s="515">
        <v>45869.0</v>
      </c>
    </row>
    <row r="19">
      <c r="A19" s="452" t="s">
        <v>16</v>
      </c>
      <c r="B19" s="453">
        <v>4320.0</v>
      </c>
      <c r="C19" s="556" t="s">
        <v>763</v>
      </c>
      <c r="D19" s="453">
        <v>0.0</v>
      </c>
      <c r="E19" s="452" t="s">
        <v>246</v>
      </c>
      <c r="F19" s="452" t="s">
        <v>247</v>
      </c>
      <c r="G19" s="452" t="s">
        <v>248</v>
      </c>
      <c r="H19" s="455"/>
      <c r="I19" s="457">
        <v>36501.0</v>
      </c>
      <c r="J19" s="456">
        <v>45246.0</v>
      </c>
      <c r="K19" s="461"/>
      <c r="L19" s="514">
        <v>31.0</v>
      </c>
      <c r="M19" s="515">
        <v>45839.0</v>
      </c>
      <c r="N19" s="515">
        <v>45869.0</v>
      </c>
    </row>
    <row r="20">
      <c r="A20" s="452" t="s">
        <v>16</v>
      </c>
      <c r="B20" s="453">
        <v>4320.0</v>
      </c>
      <c r="C20" s="556" t="s">
        <v>763</v>
      </c>
      <c r="D20" s="453">
        <v>0.0</v>
      </c>
      <c r="E20" s="452" t="s">
        <v>380</v>
      </c>
      <c r="F20" s="452" t="s">
        <v>381</v>
      </c>
      <c r="G20" s="452" t="s">
        <v>382</v>
      </c>
      <c r="H20" s="455"/>
      <c r="I20" s="456">
        <v>35669.0</v>
      </c>
      <c r="J20" s="457">
        <v>45418.0</v>
      </c>
      <c r="K20" s="456">
        <v>45481.0</v>
      </c>
      <c r="L20" s="453">
        <v>0.0</v>
      </c>
      <c r="M20" s="515">
        <v>45839.0</v>
      </c>
      <c r="N20" s="515">
        <v>45869.0</v>
      </c>
    </row>
    <row r="21">
      <c r="A21" s="452" t="s">
        <v>16</v>
      </c>
      <c r="B21" s="453">
        <v>4320.0</v>
      </c>
      <c r="C21" s="556" t="s">
        <v>763</v>
      </c>
      <c r="D21" s="453">
        <v>0.0</v>
      </c>
      <c r="E21" s="452" t="s">
        <v>610</v>
      </c>
      <c r="F21" s="452" t="s">
        <v>611</v>
      </c>
      <c r="G21" s="452" t="s">
        <v>612</v>
      </c>
      <c r="H21" s="455"/>
      <c r="I21" s="462">
        <v>35400.0</v>
      </c>
      <c r="J21" s="458">
        <v>45061.0</v>
      </c>
      <c r="K21" s="457">
        <v>45503.0</v>
      </c>
      <c r="L21" s="453">
        <v>0.0</v>
      </c>
      <c r="M21" s="515">
        <v>45839.0</v>
      </c>
      <c r="N21" s="515">
        <v>45869.0</v>
      </c>
    </row>
    <row r="22">
      <c r="A22" s="452" t="s">
        <v>16</v>
      </c>
      <c r="B22" s="453">
        <v>4320.0</v>
      </c>
      <c r="C22" s="556" t="s">
        <v>763</v>
      </c>
      <c r="D22" s="453">
        <v>0.0</v>
      </c>
      <c r="E22" s="452" t="s">
        <v>613</v>
      </c>
      <c r="F22" s="452" t="s">
        <v>34</v>
      </c>
      <c r="G22" s="452" t="s">
        <v>35</v>
      </c>
      <c r="H22" s="455"/>
      <c r="I22" s="456">
        <v>35053.0</v>
      </c>
      <c r="J22" s="457">
        <v>45173.0</v>
      </c>
      <c r="K22" s="457">
        <v>45322.0</v>
      </c>
      <c r="L22" s="453">
        <v>0.0</v>
      </c>
      <c r="M22" s="515">
        <v>45839.0</v>
      </c>
      <c r="N22" s="515">
        <v>45869.0</v>
      </c>
    </row>
    <row r="23">
      <c r="A23" s="452" t="s">
        <v>16</v>
      </c>
      <c r="B23" s="453">
        <v>4320.0</v>
      </c>
      <c r="C23" s="556" t="s">
        <v>763</v>
      </c>
      <c r="D23" s="453">
        <v>0.0</v>
      </c>
      <c r="E23" s="452" t="s">
        <v>564</v>
      </c>
      <c r="F23" s="452" t="s">
        <v>565</v>
      </c>
      <c r="G23" s="452" t="s">
        <v>566</v>
      </c>
      <c r="H23" s="455"/>
      <c r="I23" s="457">
        <v>34799.0</v>
      </c>
      <c r="J23" s="457">
        <v>45670.0</v>
      </c>
      <c r="K23" s="454"/>
      <c r="L23" s="514">
        <v>31.0</v>
      </c>
      <c r="M23" s="515">
        <v>45839.0</v>
      </c>
      <c r="N23" s="515">
        <v>45869.0</v>
      </c>
    </row>
    <row r="24">
      <c r="A24" s="452" t="s">
        <v>16</v>
      </c>
      <c r="B24" s="453">
        <v>4320.0</v>
      </c>
      <c r="C24" s="556" t="s">
        <v>763</v>
      </c>
      <c r="D24" s="453">
        <v>0.0</v>
      </c>
      <c r="E24" s="452" t="s">
        <v>552</v>
      </c>
      <c r="F24" s="452" t="s">
        <v>553</v>
      </c>
      <c r="G24" s="452" t="s">
        <v>554</v>
      </c>
      <c r="H24" s="455"/>
      <c r="I24" s="457">
        <v>36904.0</v>
      </c>
      <c r="J24" s="457">
        <v>45663.0</v>
      </c>
      <c r="K24" s="456">
        <v>45412.0</v>
      </c>
      <c r="L24" s="453">
        <v>0.0</v>
      </c>
      <c r="M24" s="515">
        <v>45839.0</v>
      </c>
      <c r="N24" s="515">
        <v>45869.0</v>
      </c>
    </row>
    <row r="25">
      <c r="A25" s="452" t="s">
        <v>16</v>
      </c>
      <c r="B25" s="453">
        <v>4320.0</v>
      </c>
      <c r="C25" s="556" t="s">
        <v>763</v>
      </c>
      <c r="D25" s="453">
        <v>0.0</v>
      </c>
      <c r="E25" s="452" t="s">
        <v>614</v>
      </c>
      <c r="F25" s="452" t="s">
        <v>232</v>
      </c>
      <c r="G25" s="452" t="s">
        <v>233</v>
      </c>
      <c r="H25" s="455"/>
      <c r="I25" s="457">
        <v>36634.0</v>
      </c>
      <c r="J25" s="456">
        <v>45250.0</v>
      </c>
      <c r="K25" s="458">
        <v>45428.0</v>
      </c>
      <c r="L25" s="453">
        <v>0.0</v>
      </c>
      <c r="M25" s="515">
        <v>45839.0</v>
      </c>
      <c r="N25" s="515">
        <v>45869.0</v>
      </c>
    </row>
    <row r="26">
      <c r="A26" s="452" t="s">
        <v>16</v>
      </c>
      <c r="B26" s="453">
        <v>4320.0</v>
      </c>
      <c r="C26" s="556" t="s">
        <v>763</v>
      </c>
      <c r="D26" s="453">
        <v>0.0</v>
      </c>
      <c r="E26" s="452" t="s">
        <v>36</v>
      </c>
      <c r="F26" s="452" t="s">
        <v>37</v>
      </c>
      <c r="G26" s="452" t="s">
        <v>38</v>
      </c>
      <c r="H26" s="455"/>
      <c r="I26" s="457">
        <v>33408.0</v>
      </c>
      <c r="J26" s="457">
        <v>45078.0</v>
      </c>
      <c r="K26" s="456">
        <v>45366.0</v>
      </c>
      <c r="L26" s="453">
        <v>0.0</v>
      </c>
      <c r="M26" s="515">
        <v>45839.0</v>
      </c>
      <c r="N26" s="515">
        <v>45869.0</v>
      </c>
    </row>
    <row r="27">
      <c r="A27" s="452" t="s">
        <v>16</v>
      </c>
      <c r="B27" s="453">
        <v>4320.0</v>
      </c>
      <c r="C27" s="556" t="s">
        <v>763</v>
      </c>
      <c r="D27" s="453">
        <v>0.0</v>
      </c>
      <c r="E27" s="452" t="s">
        <v>39</v>
      </c>
      <c r="F27" s="452" t="s">
        <v>40</v>
      </c>
      <c r="G27" s="452" t="s">
        <v>41</v>
      </c>
      <c r="H27" s="455"/>
      <c r="I27" s="457">
        <v>35983.0</v>
      </c>
      <c r="J27" s="457">
        <v>45082.0</v>
      </c>
      <c r="K27" s="456">
        <v>45362.0</v>
      </c>
      <c r="L27" s="453">
        <v>0.0</v>
      </c>
      <c r="M27" s="515">
        <v>45839.0</v>
      </c>
      <c r="N27" s="515">
        <v>45869.0</v>
      </c>
    </row>
    <row r="28">
      <c r="A28" s="452" t="s">
        <v>16</v>
      </c>
      <c r="B28" s="453">
        <v>4320.0</v>
      </c>
      <c r="C28" s="556" t="s">
        <v>763</v>
      </c>
      <c r="D28" s="453">
        <v>0.0</v>
      </c>
      <c r="E28" s="452" t="s">
        <v>615</v>
      </c>
      <c r="F28" s="452" t="s">
        <v>365</v>
      </c>
      <c r="G28" s="452" t="s">
        <v>366</v>
      </c>
      <c r="H28" s="455"/>
      <c r="I28" s="457">
        <v>36703.0</v>
      </c>
      <c r="J28" s="457">
        <v>45411.0</v>
      </c>
      <c r="K28" s="458">
        <v>45432.0</v>
      </c>
      <c r="L28" s="453">
        <v>0.0</v>
      </c>
      <c r="M28" s="515">
        <v>45839.0</v>
      </c>
      <c r="N28" s="515">
        <v>45869.0</v>
      </c>
    </row>
    <row r="29">
      <c r="A29" s="452" t="s">
        <v>16</v>
      </c>
      <c r="B29" s="453">
        <v>4320.0</v>
      </c>
      <c r="C29" s="556" t="s">
        <v>763</v>
      </c>
      <c r="D29" s="453">
        <v>0.0</v>
      </c>
      <c r="E29" s="452" t="s">
        <v>234</v>
      </c>
      <c r="F29" s="452" t="s">
        <v>235</v>
      </c>
      <c r="G29" s="452" t="s">
        <v>236</v>
      </c>
      <c r="H29" s="455"/>
      <c r="I29" s="457">
        <v>33048.0</v>
      </c>
      <c r="J29" s="456">
        <v>45243.0</v>
      </c>
      <c r="K29" s="457">
        <v>45329.0</v>
      </c>
      <c r="L29" s="453">
        <v>0.0</v>
      </c>
      <c r="M29" s="515">
        <v>45839.0</v>
      </c>
      <c r="N29" s="515">
        <v>45869.0</v>
      </c>
    </row>
    <row r="30">
      <c r="A30" s="452" t="s">
        <v>16</v>
      </c>
      <c r="B30" s="453">
        <v>4320.0</v>
      </c>
      <c r="C30" s="556" t="s">
        <v>763</v>
      </c>
      <c r="D30" s="453">
        <v>0.0</v>
      </c>
      <c r="E30" s="452" t="s">
        <v>616</v>
      </c>
      <c r="F30" s="452" t="s">
        <v>617</v>
      </c>
      <c r="G30" s="452" t="s">
        <v>618</v>
      </c>
      <c r="H30" s="455"/>
      <c r="I30" s="457">
        <v>35082.0</v>
      </c>
      <c r="J30" s="456">
        <v>45194.0</v>
      </c>
      <c r="K30" s="456">
        <v>45199.0</v>
      </c>
      <c r="L30" s="453">
        <v>0.0</v>
      </c>
      <c r="M30" s="515">
        <v>45839.0</v>
      </c>
      <c r="N30" s="515">
        <v>45869.0</v>
      </c>
    </row>
    <row r="31">
      <c r="A31" s="452" t="s">
        <v>16</v>
      </c>
      <c r="B31" s="453">
        <v>4320.0</v>
      </c>
      <c r="C31" s="556" t="s">
        <v>763</v>
      </c>
      <c r="D31" s="453">
        <v>0.0</v>
      </c>
      <c r="E31" s="452" t="s">
        <v>316</v>
      </c>
      <c r="F31" s="452" t="s">
        <v>317</v>
      </c>
      <c r="G31" s="452" t="s">
        <v>318</v>
      </c>
      <c r="H31" s="455"/>
      <c r="I31" s="457">
        <v>37274.0</v>
      </c>
      <c r="J31" s="456">
        <v>45362.0</v>
      </c>
      <c r="K31" s="457">
        <v>45688.0</v>
      </c>
      <c r="L31" s="453">
        <v>0.0</v>
      </c>
      <c r="M31" s="515">
        <v>45839.0</v>
      </c>
      <c r="N31" s="515">
        <v>45869.0</v>
      </c>
    </row>
    <row r="32">
      <c r="A32" s="452" t="s">
        <v>16</v>
      </c>
      <c r="B32" s="453">
        <v>4320.0</v>
      </c>
      <c r="C32" s="556" t="s">
        <v>763</v>
      </c>
      <c r="D32" s="453">
        <v>0.0</v>
      </c>
      <c r="E32" s="452" t="s">
        <v>264</v>
      </c>
      <c r="F32" s="452" t="s">
        <v>265</v>
      </c>
      <c r="G32" s="452" t="s">
        <v>266</v>
      </c>
      <c r="H32" s="455"/>
      <c r="I32" s="458">
        <v>37398.0</v>
      </c>
      <c r="J32" s="457">
        <v>45096.0</v>
      </c>
      <c r="K32" s="454"/>
      <c r="L32" s="514">
        <v>31.0</v>
      </c>
      <c r="M32" s="515">
        <v>45839.0</v>
      </c>
      <c r="N32" s="515">
        <v>45869.0</v>
      </c>
    </row>
    <row r="33">
      <c r="A33" s="452" t="s">
        <v>16</v>
      </c>
      <c r="B33" s="453">
        <v>4320.0</v>
      </c>
      <c r="C33" s="556" t="s">
        <v>763</v>
      </c>
      <c r="D33" s="453">
        <v>0.0</v>
      </c>
      <c r="E33" s="452" t="s">
        <v>411</v>
      </c>
      <c r="F33" s="452" t="s">
        <v>412</v>
      </c>
      <c r="G33" s="452" t="s">
        <v>413</v>
      </c>
      <c r="H33" s="455"/>
      <c r="I33" s="456">
        <v>33230.0</v>
      </c>
      <c r="J33" s="457">
        <v>45453.0</v>
      </c>
      <c r="K33" s="454"/>
      <c r="L33" s="514">
        <v>31.0</v>
      </c>
      <c r="M33" s="515">
        <v>45839.0</v>
      </c>
      <c r="N33" s="515">
        <v>45869.0</v>
      </c>
    </row>
    <row r="34">
      <c r="A34" s="452" t="s">
        <v>16</v>
      </c>
      <c r="B34" s="453">
        <v>4320.0</v>
      </c>
      <c r="C34" s="556" t="s">
        <v>763</v>
      </c>
      <c r="D34" s="453">
        <v>0.0</v>
      </c>
      <c r="E34" s="452" t="s">
        <v>800</v>
      </c>
      <c r="F34" s="452" t="s">
        <v>824</v>
      </c>
      <c r="G34" s="452" t="s">
        <v>802</v>
      </c>
      <c r="H34" s="455"/>
      <c r="I34" s="456">
        <v>36939.0</v>
      </c>
      <c r="J34" s="458">
        <v>45789.0</v>
      </c>
      <c r="K34" s="454"/>
      <c r="L34" s="514">
        <v>31.0</v>
      </c>
      <c r="M34" s="515">
        <v>45839.0</v>
      </c>
      <c r="N34" s="515">
        <v>45869.0</v>
      </c>
    </row>
    <row r="35">
      <c r="A35" s="452" t="s">
        <v>16</v>
      </c>
      <c r="B35" s="453">
        <v>4320.0</v>
      </c>
      <c r="C35" s="556" t="s">
        <v>763</v>
      </c>
      <c r="D35" s="453">
        <v>0.0</v>
      </c>
      <c r="E35" s="517" t="s">
        <v>845</v>
      </c>
      <c r="F35" s="366" t="s">
        <v>846</v>
      </c>
      <c r="G35" s="366" t="s">
        <v>847</v>
      </c>
      <c r="H35" s="369"/>
      <c r="I35" s="518">
        <v>34794.0</v>
      </c>
      <c r="J35" s="370">
        <v>45809.0</v>
      </c>
      <c r="K35" s="371"/>
      <c r="L35" s="514">
        <v>31.0</v>
      </c>
      <c r="M35" s="515">
        <v>45839.0</v>
      </c>
      <c r="N35" s="515">
        <v>45869.0</v>
      </c>
    </row>
    <row r="36">
      <c r="A36" s="452" t="s">
        <v>16</v>
      </c>
      <c r="B36" s="453">
        <v>4320.0</v>
      </c>
      <c r="C36" s="556" t="s">
        <v>763</v>
      </c>
      <c r="D36" s="453">
        <v>0.0</v>
      </c>
      <c r="E36" s="452" t="s">
        <v>690</v>
      </c>
      <c r="F36" s="452" t="s">
        <v>755</v>
      </c>
      <c r="G36" s="452" t="s">
        <v>692</v>
      </c>
      <c r="H36" s="455"/>
      <c r="I36" s="457">
        <v>37137.0</v>
      </c>
      <c r="J36" s="457">
        <v>45691.0</v>
      </c>
      <c r="K36" s="454"/>
      <c r="L36" s="514">
        <v>31.0</v>
      </c>
      <c r="M36" s="515">
        <v>45839.0</v>
      </c>
      <c r="N36" s="515">
        <v>45869.0</v>
      </c>
    </row>
    <row r="37">
      <c r="A37" s="452" t="s">
        <v>16</v>
      </c>
      <c r="B37" s="453">
        <v>4320.0</v>
      </c>
      <c r="C37" s="556" t="s">
        <v>763</v>
      </c>
      <c r="D37" s="453">
        <v>0.0</v>
      </c>
      <c r="E37" s="452" t="s">
        <v>693</v>
      </c>
      <c r="F37" s="452" t="s">
        <v>694</v>
      </c>
      <c r="G37" s="452" t="s">
        <v>695</v>
      </c>
      <c r="H37" s="455"/>
      <c r="I37" s="457">
        <v>35599.0</v>
      </c>
      <c r="J37" s="456">
        <v>45712.0</v>
      </c>
      <c r="K37" s="454"/>
      <c r="L37" s="514">
        <v>31.0</v>
      </c>
      <c r="M37" s="515">
        <v>45839.0</v>
      </c>
      <c r="N37" s="515">
        <v>45869.0</v>
      </c>
    </row>
    <row r="38">
      <c r="A38" s="452" t="s">
        <v>16</v>
      </c>
      <c r="B38" s="453">
        <v>4320.0</v>
      </c>
      <c r="C38" s="556" t="s">
        <v>763</v>
      </c>
      <c r="D38" s="453">
        <v>0.0</v>
      </c>
      <c r="E38" s="452" t="s">
        <v>282</v>
      </c>
      <c r="F38" s="452" t="s">
        <v>283</v>
      </c>
      <c r="G38" s="452" t="s">
        <v>284</v>
      </c>
      <c r="H38" s="455"/>
      <c r="I38" s="456">
        <v>35047.0</v>
      </c>
      <c r="J38" s="456">
        <v>45257.0</v>
      </c>
      <c r="K38" s="454"/>
      <c r="L38" s="514">
        <v>31.0</v>
      </c>
      <c r="M38" s="515">
        <v>45839.0</v>
      </c>
      <c r="N38" s="515">
        <v>45869.0</v>
      </c>
    </row>
    <row r="39">
      <c r="A39" s="452" t="s">
        <v>16</v>
      </c>
      <c r="B39" s="453">
        <v>4320.0</v>
      </c>
      <c r="C39" s="556" t="s">
        <v>763</v>
      </c>
      <c r="D39" s="453">
        <v>0.0</v>
      </c>
      <c r="E39" s="452" t="s">
        <v>481</v>
      </c>
      <c r="F39" s="452" t="s">
        <v>531</v>
      </c>
      <c r="G39" s="452" t="s">
        <v>482</v>
      </c>
      <c r="H39" s="455"/>
      <c r="I39" s="457">
        <v>35096.0</v>
      </c>
      <c r="J39" s="457">
        <v>45602.0</v>
      </c>
      <c r="K39" s="454"/>
      <c r="L39" s="514">
        <v>31.0</v>
      </c>
      <c r="M39" s="515">
        <v>45839.0</v>
      </c>
      <c r="N39" s="515">
        <v>45869.0</v>
      </c>
    </row>
    <row r="40">
      <c r="A40" s="452" t="s">
        <v>16</v>
      </c>
      <c r="B40" s="453">
        <v>4320.0</v>
      </c>
      <c r="C40" s="556" t="s">
        <v>763</v>
      </c>
      <c r="D40" s="453">
        <v>0.0</v>
      </c>
      <c r="E40" s="452" t="s">
        <v>45</v>
      </c>
      <c r="F40" s="452" t="s">
        <v>46</v>
      </c>
      <c r="G40" s="452" t="s">
        <v>47</v>
      </c>
      <c r="H40" s="455"/>
      <c r="I40" s="462">
        <v>37370.0</v>
      </c>
      <c r="J40" s="457">
        <v>44739.0</v>
      </c>
      <c r="K40" s="454"/>
      <c r="L40" s="514">
        <v>31.0</v>
      </c>
      <c r="M40" s="515">
        <v>45839.0</v>
      </c>
      <c r="N40" s="515">
        <v>45869.0</v>
      </c>
    </row>
    <row r="41">
      <c r="A41" s="452" t="s">
        <v>16</v>
      </c>
      <c r="B41" s="453">
        <v>4320.0</v>
      </c>
      <c r="C41" s="556" t="s">
        <v>763</v>
      </c>
      <c r="D41" s="453">
        <v>0.0</v>
      </c>
      <c r="E41" s="452" t="s">
        <v>48</v>
      </c>
      <c r="F41" s="452" t="s">
        <v>49</v>
      </c>
      <c r="G41" s="452" t="s">
        <v>50</v>
      </c>
      <c r="H41" s="455"/>
      <c r="I41" s="456">
        <v>36399.0</v>
      </c>
      <c r="J41" s="456">
        <v>45229.0</v>
      </c>
      <c r="K41" s="460"/>
      <c r="L41" s="514">
        <v>31.0</v>
      </c>
      <c r="M41" s="515">
        <v>45839.0</v>
      </c>
      <c r="N41" s="515">
        <v>45869.0</v>
      </c>
    </row>
    <row r="42">
      <c r="A42" s="452" t="s">
        <v>16</v>
      </c>
      <c r="B42" s="453">
        <v>4320.0</v>
      </c>
      <c r="C42" s="556" t="s">
        <v>763</v>
      </c>
      <c r="D42" s="453">
        <v>0.0</v>
      </c>
      <c r="E42" s="452" t="s">
        <v>444</v>
      </c>
      <c r="F42" s="452" t="s">
        <v>320</v>
      </c>
      <c r="G42" s="452" t="s">
        <v>321</v>
      </c>
      <c r="H42" s="455"/>
      <c r="I42" s="457">
        <v>36360.0</v>
      </c>
      <c r="J42" s="457">
        <v>45355.0</v>
      </c>
      <c r="K42" s="461"/>
      <c r="L42" s="514">
        <v>31.0</v>
      </c>
      <c r="M42" s="515">
        <v>45839.0</v>
      </c>
      <c r="N42" s="515">
        <v>45869.0</v>
      </c>
    </row>
    <row r="43">
      <c r="A43" s="452" t="s">
        <v>16</v>
      </c>
      <c r="B43" s="453">
        <v>4320.0</v>
      </c>
      <c r="C43" s="556" t="s">
        <v>763</v>
      </c>
      <c r="D43" s="453">
        <v>0.0</v>
      </c>
      <c r="E43" s="452" t="s">
        <v>383</v>
      </c>
      <c r="F43" s="452" t="s">
        <v>384</v>
      </c>
      <c r="G43" s="452" t="s">
        <v>385</v>
      </c>
      <c r="H43" s="455"/>
      <c r="I43" s="457">
        <v>36183.0</v>
      </c>
      <c r="J43" s="457">
        <v>45418.0</v>
      </c>
      <c r="K43" s="461"/>
      <c r="L43" s="514">
        <v>31.0</v>
      </c>
      <c r="M43" s="515">
        <v>45839.0</v>
      </c>
      <c r="N43" s="515">
        <v>45869.0</v>
      </c>
    </row>
    <row r="44">
      <c r="A44" s="452" t="s">
        <v>16</v>
      </c>
      <c r="B44" s="453">
        <v>4320.0</v>
      </c>
      <c r="C44" s="556" t="s">
        <v>763</v>
      </c>
      <c r="D44" s="453">
        <v>0.0</v>
      </c>
      <c r="E44" s="452" t="s">
        <v>386</v>
      </c>
      <c r="F44" s="452" t="s">
        <v>387</v>
      </c>
      <c r="G44" s="452" t="s">
        <v>388</v>
      </c>
      <c r="H44" s="455"/>
      <c r="I44" s="456">
        <v>37144.0</v>
      </c>
      <c r="J44" s="457">
        <v>45418.0</v>
      </c>
      <c r="K44" s="456">
        <v>45418.0</v>
      </c>
      <c r="L44" s="453">
        <v>0.0</v>
      </c>
      <c r="M44" s="515">
        <v>45839.0</v>
      </c>
      <c r="N44" s="515">
        <v>45869.0</v>
      </c>
    </row>
    <row r="45">
      <c r="A45" s="452" t="s">
        <v>16</v>
      </c>
      <c r="B45" s="453">
        <v>4320.0</v>
      </c>
      <c r="C45" s="556" t="s">
        <v>763</v>
      </c>
      <c r="D45" s="453">
        <v>0.0</v>
      </c>
      <c r="E45" s="452" t="s">
        <v>325</v>
      </c>
      <c r="F45" s="452" t="s">
        <v>326</v>
      </c>
      <c r="G45" s="452" t="s">
        <v>327</v>
      </c>
      <c r="H45" s="455"/>
      <c r="I45" s="456">
        <v>36962.0</v>
      </c>
      <c r="J45" s="456">
        <v>45376.0</v>
      </c>
      <c r="K45" s="456">
        <v>45565.0</v>
      </c>
      <c r="L45" s="453">
        <v>0.0</v>
      </c>
      <c r="M45" s="515">
        <v>45839.0</v>
      </c>
      <c r="N45" s="515">
        <v>45869.0</v>
      </c>
    </row>
    <row r="46">
      <c r="A46" s="452" t="s">
        <v>16</v>
      </c>
      <c r="B46" s="453">
        <v>4320.0</v>
      </c>
      <c r="C46" s="556" t="s">
        <v>763</v>
      </c>
      <c r="D46" s="453">
        <v>0.0</v>
      </c>
      <c r="E46" s="452" t="s">
        <v>285</v>
      </c>
      <c r="F46" s="452" t="s">
        <v>286</v>
      </c>
      <c r="G46" s="452" t="s">
        <v>287</v>
      </c>
      <c r="H46" s="455"/>
      <c r="I46" s="457">
        <v>37377.0</v>
      </c>
      <c r="J46" s="456">
        <v>45334.0</v>
      </c>
      <c r="K46" s="456">
        <v>45688.0</v>
      </c>
      <c r="L46" s="453">
        <v>0.0</v>
      </c>
      <c r="M46" s="515">
        <v>45839.0</v>
      </c>
      <c r="N46" s="515">
        <v>45869.0</v>
      </c>
    </row>
    <row r="47">
      <c r="A47" s="557" t="s">
        <v>16</v>
      </c>
      <c r="B47" s="558">
        <v>4320.0</v>
      </c>
      <c r="C47" s="556" t="s">
        <v>763</v>
      </c>
      <c r="D47" s="558">
        <v>0.0</v>
      </c>
      <c r="E47" s="557" t="s">
        <v>288</v>
      </c>
      <c r="F47" s="557" t="s">
        <v>289</v>
      </c>
      <c r="G47" s="557" t="s">
        <v>290</v>
      </c>
      <c r="H47" s="559"/>
      <c r="I47" s="561">
        <v>37047.0</v>
      </c>
      <c r="J47" s="560">
        <v>45257.0</v>
      </c>
      <c r="K47" s="560">
        <v>45842.0</v>
      </c>
      <c r="L47" s="562">
        <v>4.0</v>
      </c>
      <c r="M47" s="515">
        <v>45839.0</v>
      </c>
      <c r="N47" s="515">
        <v>45869.0</v>
      </c>
      <c r="O47" s="48"/>
      <c r="P47" s="48"/>
      <c r="Q47" s="48"/>
      <c r="R47" s="48"/>
      <c r="S47" s="48"/>
      <c r="T47" s="48"/>
      <c r="U47" s="48"/>
      <c r="V47" s="48"/>
      <c r="W47" s="48"/>
    </row>
    <row r="48">
      <c r="A48" s="452" t="s">
        <v>16</v>
      </c>
      <c r="B48" s="453">
        <v>4320.0</v>
      </c>
      <c r="C48" s="556" t="s">
        <v>763</v>
      </c>
      <c r="D48" s="453">
        <v>0.0</v>
      </c>
      <c r="E48" s="452" t="s">
        <v>567</v>
      </c>
      <c r="F48" s="452" t="s">
        <v>568</v>
      </c>
      <c r="G48" s="452" t="s">
        <v>569</v>
      </c>
      <c r="H48" s="455"/>
      <c r="I48" s="457">
        <v>37962.0</v>
      </c>
      <c r="J48" s="457">
        <v>45677.0</v>
      </c>
      <c r="K48" s="456">
        <v>45779.0</v>
      </c>
      <c r="L48" s="514">
        <v>0.0</v>
      </c>
      <c r="M48" s="515">
        <v>45839.0</v>
      </c>
      <c r="N48" s="515">
        <v>45869.0</v>
      </c>
    </row>
    <row r="49">
      <c r="A49" s="452" t="s">
        <v>16</v>
      </c>
      <c r="B49" s="453">
        <v>4320.0</v>
      </c>
      <c r="C49" s="556" t="s">
        <v>763</v>
      </c>
      <c r="D49" s="453">
        <v>0.0</v>
      </c>
      <c r="E49" s="452" t="s">
        <v>51</v>
      </c>
      <c r="F49" s="452" t="s">
        <v>52</v>
      </c>
      <c r="G49" s="452" t="s">
        <v>53</v>
      </c>
      <c r="H49" s="455"/>
      <c r="I49" s="456">
        <v>34601.0</v>
      </c>
      <c r="J49" s="457">
        <v>44986.0</v>
      </c>
      <c r="K49" s="456">
        <v>45777.0</v>
      </c>
      <c r="L49" s="453">
        <v>0.0</v>
      </c>
      <c r="M49" s="515">
        <v>45839.0</v>
      </c>
      <c r="N49" s="515">
        <v>45869.0</v>
      </c>
    </row>
    <row r="50">
      <c r="A50" s="452" t="s">
        <v>16</v>
      </c>
      <c r="B50" s="453">
        <v>4320.0</v>
      </c>
      <c r="C50" s="556" t="s">
        <v>763</v>
      </c>
      <c r="D50" s="453">
        <v>0.0</v>
      </c>
      <c r="E50" s="452" t="s">
        <v>445</v>
      </c>
      <c r="F50" s="452" t="s">
        <v>510</v>
      </c>
      <c r="G50" s="452" t="s">
        <v>447</v>
      </c>
      <c r="H50" s="455"/>
      <c r="I50" s="462">
        <v>37047.0</v>
      </c>
      <c r="J50" s="457">
        <v>45505.0</v>
      </c>
      <c r="K50" s="454"/>
      <c r="L50" s="514">
        <v>31.0</v>
      </c>
      <c r="M50" s="515">
        <v>45839.0</v>
      </c>
      <c r="N50" s="515">
        <v>45869.0</v>
      </c>
    </row>
    <row r="51">
      <c r="A51" s="452" t="s">
        <v>16</v>
      </c>
      <c r="B51" s="453">
        <v>4320.0</v>
      </c>
      <c r="C51" s="556" t="s">
        <v>763</v>
      </c>
      <c r="D51" s="453">
        <v>0.0</v>
      </c>
      <c r="E51" s="452" t="s">
        <v>467</v>
      </c>
      <c r="F51" s="452" t="s">
        <v>511</v>
      </c>
      <c r="G51" s="452" t="s">
        <v>450</v>
      </c>
      <c r="H51" s="455"/>
      <c r="I51" s="457">
        <v>36682.0</v>
      </c>
      <c r="J51" s="457">
        <v>45505.0</v>
      </c>
      <c r="K51" s="461"/>
      <c r="L51" s="514">
        <v>31.0</v>
      </c>
      <c r="M51" s="515">
        <v>45839.0</v>
      </c>
      <c r="N51" s="515">
        <v>45869.0</v>
      </c>
    </row>
    <row r="52">
      <c r="A52" s="452" t="s">
        <v>16</v>
      </c>
      <c r="B52" s="453">
        <v>4320.0</v>
      </c>
      <c r="C52" s="556" t="s">
        <v>763</v>
      </c>
      <c r="D52" s="453">
        <v>0.0</v>
      </c>
      <c r="E52" s="517" t="s">
        <v>848</v>
      </c>
      <c r="F52" s="366" t="s">
        <v>849</v>
      </c>
      <c r="G52" s="366" t="s">
        <v>850</v>
      </c>
      <c r="H52" s="369"/>
      <c r="I52" s="518">
        <v>33637.0</v>
      </c>
      <c r="J52" s="371">
        <v>45809.0</v>
      </c>
      <c r="K52" s="371"/>
      <c r="L52" s="514">
        <v>31.0</v>
      </c>
      <c r="M52" s="515">
        <v>45839.0</v>
      </c>
      <c r="N52" s="515">
        <v>45869.0</v>
      </c>
    </row>
    <row r="53">
      <c r="A53" s="452" t="s">
        <v>16</v>
      </c>
      <c r="B53" s="453">
        <v>4320.0</v>
      </c>
      <c r="C53" s="556" t="s">
        <v>763</v>
      </c>
      <c r="D53" s="453">
        <v>0.0</v>
      </c>
      <c r="E53" s="452" t="s">
        <v>503</v>
      </c>
      <c r="F53" s="452" t="s">
        <v>542</v>
      </c>
      <c r="G53" s="452" t="s">
        <v>504</v>
      </c>
      <c r="H53" s="455"/>
      <c r="I53" s="457">
        <v>37422.0</v>
      </c>
      <c r="J53" s="457">
        <v>45635.0</v>
      </c>
      <c r="K53" s="454"/>
      <c r="L53" s="514">
        <v>31.0</v>
      </c>
      <c r="M53" s="515">
        <v>45839.0</v>
      </c>
      <c r="N53" s="515">
        <v>45869.0</v>
      </c>
    </row>
    <row r="54">
      <c r="A54" s="452" t="s">
        <v>16</v>
      </c>
      <c r="B54" s="453">
        <v>4320.0</v>
      </c>
      <c r="C54" s="556" t="s">
        <v>763</v>
      </c>
      <c r="D54" s="453">
        <v>0.0</v>
      </c>
      <c r="E54" s="452" t="s">
        <v>497</v>
      </c>
      <c r="F54" s="452" t="s">
        <v>539</v>
      </c>
      <c r="G54" s="452" t="s">
        <v>498</v>
      </c>
      <c r="H54" s="455"/>
      <c r="I54" s="458">
        <v>37026.0</v>
      </c>
      <c r="J54" s="462">
        <v>45628.0</v>
      </c>
      <c r="K54" s="456">
        <v>45758.0</v>
      </c>
      <c r="L54" s="453">
        <v>0.0</v>
      </c>
      <c r="M54" s="515">
        <v>45839.0</v>
      </c>
      <c r="N54" s="515">
        <v>45869.0</v>
      </c>
    </row>
    <row r="55">
      <c r="A55" s="452" t="s">
        <v>16</v>
      </c>
      <c r="B55" s="453">
        <v>4320.0</v>
      </c>
      <c r="C55" s="556" t="s">
        <v>763</v>
      </c>
      <c r="D55" s="453">
        <v>0.0</v>
      </c>
      <c r="E55" s="452" t="s">
        <v>249</v>
      </c>
      <c r="F55" s="452" t="s">
        <v>250</v>
      </c>
      <c r="G55" s="452" t="s">
        <v>251</v>
      </c>
      <c r="H55" s="455"/>
      <c r="I55" s="457">
        <v>37322.0</v>
      </c>
      <c r="J55" s="457">
        <v>45096.0</v>
      </c>
      <c r="K55" s="456">
        <v>45523.0</v>
      </c>
      <c r="L55" s="453">
        <v>0.0</v>
      </c>
      <c r="M55" s="515">
        <v>45839.0</v>
      </c>
      <c r="N55" s="515">
        <v>45869.0</v>
      </c>
    </row>
    <row r="56">
      <c r="A56" s="452" t="s">
        <v>16</v>
      </c>
      <c r="B56" s="453">
        <v>4320.0</v>
      </c>
      <c r="C56" s="556" t="s">
        <v>763</v>
      </c>
      <c r="D56" s="453">
        <v>0.0</v>
      </c>
      <c r="E56" s="452" t="s">
        <v>291</v>
      </c>
      <c r="F56" s="452" t="s">
        <v>292</v>
      </c>
      <c r="G56" s="452" t="s">
        <v>293</v>
      </c>
      <c r="H56" s="455"/>
      <c r="I56" s="456">
        <v>37219.0</v>
      </c>
      <c r="J56" s="456">
        <v>45257.0</v>
      </c>
      <c r="K56" s="454"/>
      <c r="L56" s="514">
        <v>31.0</v>
      </c>
      <c r="M56" s="515">
        <v>45839.0</v>
      </c>
      <c r="N56" s="515">
        <v>45869.0</v>
      </c>
    </row>
    <row r="57">
      <c r="A57" s="452" t="s">
        <v>16</v>
      </c>
      <c r="B57" s="453">
        <v>4320.0</v>
      </c>
      <c r="C57" s="556" t="s">
        <v>763</v>
      </c>
      <c r="D57" s="453">
        <v>0.0</v>
      </c>
      <c r="E57" s="452" t="s">
        <v>806</v>
      </c>
      <c r="F57" s="452" t="s">
        <v>825</v>
      </c>
      <c r="G57" s="452" t="s">
        <v>808</v>
      </c>
      <c r="H57" s="455"/>
      <c r="I57" s="456">
        <v>36061.0</v>
      </c>
      <c r="J57" s="458">
        <v>45796.0</v>
      </c>
      <c r="K57" s="454"/>
      <c r="L57" s="514">
        <v>31.0</v>
      </c>
      <c r="M57" s="515">
        <v>45839.0</v>
      </c>
      <c r="N57" s="515">
        <v>45869.0</v>
      </c>
    </row>
    <row r="58">
      <c r="A58" s="452" t="s">
        <v>16</v>
      </c>
      <c r="B58" s="453">
        <v>4320.0</v>
      </c>
      <c r="C58" s="556" t="s">
        <v>763</v>
      </c>
      <c r="D58" s="453">
        <v>0.0</v>
      </c>
      <c r="E58" s="452" t="s">
        <v>619</v>
      </c>
      <c r="F58" s="452" t="s">
        <v>220</v>
      </c>
      <c r="G58" s="452" t="s">
        <v>221</v>
      </c>
      <c r="H58" s="455"/>
      <c r="I58" s="462">
        <v>36408.0</v>
      </c>
      <c r="J58" s="457">
        <v>45173.0</v>
      </c>
      <c r="K58" s="457">
        <v>45412.0</v>
      </c>
      <c r="L58" s="453">
        <v>0.0</v>
      </c>
      <c r="M58" s="515">
        <v>45839.0</v>
      </c>
      <c r="N58" s="515">
        <v>45869.0</v>
      </c>
    </row>
    <row r="59">
      <c r="A59" s="452" t="s">
        <v>16</v>
      </c>
      <c r="B59" s="453">
        <v>4320.0</v>
      </c>
      <c r="C59" s="556" t="s">
        <v>763</v>
      </c>
      <c r="D59" s="453">
        <v>0.0</v>
      </c>
      <c r="E59" s="517" t="s">
        <v>854</v>
      </c>
      <c r="F59" s="366" t="s">
        <v>855</v>
      </c>
      <c r="G59" s="366" t="s">
        <v>856</v>
      </c>
      <c r="H59" s="369"/>
      <c r="I59" s="371">
        <v>36059.0</v>
      </c>
      <c r="J59" s="371">
        <v>45810.0</v>
      </c>
      <c r="K59" s="371"/>
      <c r="L59" s="514">
        <v>31.0</v>
      </c>
      <c r="M59" s="515">
        <v>45839.0</v>
      </c>
      <c r="N59" s="515">
        <v>45869.0</v>
      </c>
    </row>
    <row r="60">
      <c r="A60" s="452" t="s">
        <v>16</v>
      </c>
      <c r="B60" s="453">
        <v>4320.0</v>
      </c>
      <c r="C60" s="556" t="s">
        <v>763</v>
      </c>
      <c r="D60" s="453">
        <v>0.0</v>
      </c>
      <c r="E60" s="452" t="s">
        <v>367</v>
      </c>
      <c r="F60" s="452" t="s">
        <v>368</v>
      </c>
      <c r="G60" s="452" t="s">
        <v>369</v>
      </c>
      <c r="H60" s="455"/>
      <c r="I60" s="457">
        <v>36718.0</v>
      </c>
      <c r="J60" s="457">
        <v>45397.0</v>
      </c>
      <c r="K60" s="456">
        <v>45485.0</v>
      </c>
      <c r="L60" s="453">
        <v>0.0</v>
      </c>
      <c r="M60" s="515">
        <v>45839.0</v>
      </c>
      <c r="N60" s="515">
        <v>45869.0</v>
      </c>
    </row>
    <row r="61">
      <c r="A61" s="452" t="s">
        <v>16</v>
      </c>
      <c r="B61" s="453">
        <v>4320.0</v>
      </c>
      <c r="C61" s="556" t="s">
        <v>763</v>
      </c>
      <c r="D61" s="453">
        <v>0.0</v>
      </c>
      <c r="E61" s="452" t="s">
        <v>594</v>
      </c>
      <c r="F61" s="452" t="s">
        <v>595</v>
      </c>
      <c r="G61" s="452" t="s">
        <v>596</v>
      </c>
      <c r="H61" s="455"/>
      <c r="I61" s="457">
        <v>37809.0</v>
      </c>
      <c r="J61" s="457">
        <v>45684.0</v>
      </c>
      <c r="K61" s="454"/>
      <c r="L61" s="514">
        <v>31.0</v>
      </c>
      <c r="M61" s="515">
        <v>45839.0</v>
      </c>
      <c r="N61" s="515">
        <v>45869.0</v>
      </c>
    </row>
    <row r="62">
      <c r="A62" s="452" t="s">
        <v>16</v>
      </c>
      <c r="B62" s="453">
        <v>4320.0</v>
      </c>
      <c r="C62" s="556" t="s">
        <v>763</v>
      </c>
      <c r="D62" s="453">
        <v>0.0</v>
      </c>
      <c r="E62" s="452" t="s">
        <v>60</v>
      </c>
      <c r="F62" s="452" t="s">
        <v>61</v>
      </c>
      <c r="G62" s="452" t="s">
        <v>62</v>
      </c>
      <c r="H62" s="455"/>
      <c r="I62" s="456">
        <v>36246.0</v>
      </c>
      <c r="J62" s="456">
        <v>44851.0</v>
      </c>
      <c r="K62" s="513">
        <v>45838.0</v>
      </c>
      <c r="L62" s="514">
        <v>0.0</v>
      </c>
      <c r="M62" s="515">
        <v>45839.0</v>
      </c>
      <c r="N62" s="515">
        <v>45869.0</v>
      </c>
    </row>
    <row r="63">
      <c r="A63" s="452" t="s">
        <v>16</v>
      </c>
      <c r="B63" s="453">
        <v>4320.0</v>
      </c>
      <c r="C63" s="556" t="s">
        <v>763</v>
      </c>
      <c r="D63" s="453">
        <v>0.0</v>
      </c>
      <c r="E63" s="452" t="s">
        <v>63</v>
      </c>
      <c r="F63" s="452" t="s">
        <v>64</v>
      </c>
      <c r="G63" s="452" t="s">
        <v>65</v>
      </c>
      <c r="H63" s="455"/>
      <c r="I63" s="457">
        <v>35606.0</v>
      </c>
      <c r="J63" s="457">
        <v>44896.0</v>
      </c>
      <c r="K63" s="454"/>
      <c r="L63" s="514">
        <v>31.0</v>
      </c>
      <c r="M63" s="515">
        <v>45839.0</v>
      </c>
      <c r="N63" s="515">
        <v>45869.0</v>
      </c>
    </row>
    <row r="64">
      <c r="A64" s="452" t="s">
        <v>16</v>
      </c>
      <c r="B64" s="453">
        <v>4320.0</v>
      </c>
      <c r="C64" s="556" t="s">
        <v>763</v>
      </c>
      <c r="D64" s="453">
        <v>0.0</v>
      </c>
      <c r="E64" s="452" t="s">
        <v>63</v>
      </c>
      <c r="F64" s="452" t="s">
        <v>543</v>
      </c>
      <c r="G64" s="452" t="s">
        <v>505</v>
      </c>
      <c r="H64" s="455"/>
      <c r="I64" s="457">
        <v>36725.0</v>
      </c>
      <c r="J64" s="457">
        <v>45635.0</v>
      </c>
      <c r="K64" s="454"/>
      <c r="L64" s="514">
        <v>31.0</v>
      </c>
      <c r="M64" s="515">
        <v>45839.0</v>
      </c>
      <c r="N64" s="515">
        <v>45869.0</v>
      </c>
    </row>
    <row r="65">
      <c r="A65" s="452" t="s">
        <v>16</v>
      </c>
      <c r="B65" s="453">
        <v>4320.0</v>
      </c>
      <c r="C65" s="556" t="s">
        <v>763</v>
      </c>
      <c r="D65" s="453">
        <v>0.0</v>
      </c>
      <c r="E65" s="452" t="s">
        <v>744</v>
      </c>
      <c r="F65" s="452" t="s">
        <v>745</v>
      </c>
      <c r="G65" s="452" t="s">
        <v>746</v>
      </c>
      <c r="H65" s="455"/>
      <c r="I65" s="456">
        <v>37479.0</v>
      </c>
      <c r="J65" s="456">
        <v>45726.0</v>
      </c>
      <c r="K65" s="461"/>
      <c r="L65" s="514">
        <v>31.0</v>
      </c>
      <c r="M65" s="515">
        <v>45839.0</v>
      </c>
      <c r="N65" s="515">
        <v>45869.0</v>
      </c>
    </row>
    <row r="66">
      <c r="A66" s="452" t="s">
        <v>16</v>
      </c>
      <c r="B66" s="453">
        <v>4320.0</v>
      </c>
      <c r="C66" s="556" t="s">
        <v>763</v>
      </c>
      <c r="D66" s="453">
        <v>0.0</v>
      </c>
      <c r="E66" s="452" t="s">
        <v>620</v>
      </c>
      <c r="F66" s="452" t="s">
        <v>621</v>
      </c>
      <c r="G66" s="452" t="s">
        <v>622</v>
      </c>
      <c r="H66" s="455"/>
      <c r="I66" s="457">
        <v>37067.0</v>
      </c>
      <c r="J66" s="456">
        <v>45216.0</v>
      </c>
      <c r="K66" s="456">
        <v>45453.0</v>
      </c>
      <c r="L66" s="453">
        <v>0.0</v>
      </c>
      <c r="M66" s="515">
        <v>45839.0</v>
      </c>
      <c r="N66" s="515">
        <v>45869.0</v>
      </c>
    </row>
    <row r="67">
      <c r="A67" s="452" t="s">
        <v>16</v>
      </c>
      <c r="B67" s="453">
        <v>4320.0</v>
      </c>
      <c r="C67" s="556" t="s">
        <v>763</v>
      </c>
      <c r="D67" s="453">
        <v>0.0</v>
      </c>
      <c r="E67" s="452" t="s">
        <v>764</v>
      </c>
      <c r="F67" s="452" t="s">
        <v>765</v>
      </c>
      <c r="G67" s="452" t="s">
        <v>766</v>
      </c>
      <c r="H67" s="455"/>
      <c r="I67" s="456">
        <v>36087.0</v>
      </c>
      <c r="J67" s="456">
        <v>45761.0</v>
      </c>
      <c r="K67" s="454"/>
      <c r="L67" s="514">
        <v>31.0</v>
      </c>
      <c r="M67" s="515">
        <v>45839.0</v>
      </c>
      <c r="N67" s="515">
        <v>45869.0</v>
      </c>
    </row>
    <row r="68">
      <c r="A68" s="452" t="s">
        <v>16</v>
      </c>
      <c r="B68" s="453">
        <v>4320.0</v>
      </c>
      <c r="C68" s="556" t="s">
        <v>763</v>
      </c>
      <c r="D68" s="453">
        <v>0.0</v>
      </c>
      <c r="E68" s="452" t="s">
        <v>591</v>
      </c>
      <c r="F68" s="452" t="s">
        <v>592</v>
      </c>
      <c r="G68" s="452" t="s">
        <v>593</v>
      </c>
      <c r="H68" s="455"/>
      <c r="I68" s="458">
        <v>37041.0</v>
      </c>
      <c r="J68" s="457">
        <v>45684.0</v>
      </c>
      <c r="K68" s="454"/>
      <c r="L68" s="514">
        <v>31.0</v>
      </c>
      <c r="M68" s="515">
        <v>45839.0</v>
      </c>
      <c r="N68" s="515">
        <v>45869.0</v>
      </c>
    </row>
    <row r="69">
      <c r="A69" s="557" t="s">
        <v>16</v>
      </c>
      <c r="B69" s="558">
        <v>4320.0</v>
      </c>
      <c r="C69" s="556" t="s">
        <v>763</v>
      </c>
      <c r="D69" s="558">
        <v>0.0</v>
      </c>
      <c r="E69" s="557" t="s">
        <v>597</v>
      </c>
      <c r="F69" s="557" t="s">
        <v>598</v>
      </c>
      <c r="G69" s="557" t="s">
        <v>599</v>
      </c>
      <c r="H69" s="559"/>
      <c r="I69" s="561">
        <v>37265.0</v>
      </c>
      <c r="J69" s="561">
        <v>45684.0</v>
      </c>
      <c r="K69" s="563">
        <v>45853.0</v>
      </c>
      <c r="L69" s="562">
        <v>15.0</v>
      </c>
      <c r="M69" s="515">
        <v>45839.0</v>
      </c>
      <c r="N69" s="515">
        <v>45869.0</v>
      </c>
      <c r="O69" s="48"/>
      <c r="P69" s="48"/>
      <c r="Q69" s="48"/>
      <c r="R69" s="48"/>
      <c r="S69" s="48"/>
      <c r="T69" s="48"/>
      <c r="U69" s="48"/>
      <c r="V69" s="48"/>
      <c r="W69" s="48"/>
    </row>
    <row r="70">
      <c r="A70" s="452" t="s">
        <v>16</v>
      </c>
      <c r="B70" s="453">
        <v>4320.0</v>
      </c>
      <c r="C70" s="556" t="s">
        <v>763</v>
      </c>
      <c r="D70" s="453">
        <v>0.0</v>
      </c>
      <c r="E70" s="452" t="s">
        <v>66</v>
      </c>
      <c r="F70" s="452" t="s">
        <v>67</v>
      </c>
      <c r="G70" s="452" t="s">
        <v>68</v>
      </c>
      <c r="H70" s="455"/>
      <c r="I70" s="457">
        <v>34973.0</v>
      </c>
      <c r="J70" s="457">
        <v>44986.0</v>
      </c>
      <c r="K70" s="456">
        <v>45562.0</v>
      </c>
      <c r="L70" s="453">
        <v>0.0</v>
      </c>
      <c r="M70" s="515">
        <v>45839.0</v>
      </c>
      <c r="N70" s="515">
        <v>45869.0</v>
      </c>
    </row>
    <row r="71">
      <c r="A71" s="452" t="s">
        <v>16</v>
      </c>
      <c r="B71" s="453">
        <v>4320.0</v>
      </c>
      <c r="C71" s="556" t="s">
        <v>763</v>
      </c>
      <c r="D71" s="453">
        <v>0.0</v>
      </c>
      <c r="E71" s="452" t="s">
        <v>267</v>
      </c>
      <c r="F71" s="452" t="s">
        <v>268</v>
      </c>
      <c r="G71" s="452" t="s">
        <v>269</v>
      </c>
      <c r="H71" s="455"/>
      <c r="I71" s="456">
        <v>34590.0</v>
      </c>
      <c r="J71" s="457">
        <v>45313.0</v>
      </c>
      <c r="K71" s="460"/>
      <c r="L71" s="514">
        <v>31.0</v>
      </c>
      <c r="M71" s="515">
        <v>45839.0</v>
      </c>
      <c r="N71" s="515">
        <v>45869.0</v>
      </c>
    </row>
    <row r="72">
      <c r="A72" s="557" t="s">
        <v>16</v>
      </c>
      <c r="B72" s="558">
        <v>4320.0</v>
      </c>
      <c r="C72" s="556" t="s">
        <v>763</v>
      </c>
      <c r="D72" s="558">
        <v>0.0</v>
      </c>
      <c r="E72" s="557" t="s">
        <v>69</v>
      </c>
      <c r="F72" s="557" t="s">
        <v>70</v>
      </c>
      <c r="G72" s="557" t="s">
        <v>71</v>
      </c>
      <c r="H72" s="559"/>
      <c r="I72" s="560">
        <v>36891.0</v>
      </c>
      <c r="J72" s="561">
        <v>44739.0</v>
      </c>
      <c r="K72" s="564">
        <v>45838.0</v>
      </c>
      <c r="L72" s="562">
        <v>0.0</v>
      </c>
      <c r="M72" s="515">
        <v>45839.0</v>
      </c>
      <c r="N72" s="515">
        <v>45869.0</v>
      </c>
      <c r="O72" s="48"/>
      <c r="P72" s="48"/>
      <c r="Q72" s="48"/>
      <c r="R72" s="48"/>
      <c r="S72" s="48"/>
      <c r="T72" s="48"/>
      <c r="U72" s="48"/>
      <c r="V72" s="48"/>
      <c r="W72" s="48"/>
    </row>
    <row r="73">
      <c r="A73" s="452" t="s">
        <v>16</v>
      </c>
      <c r="B73" s="453">
        <v>4320.0</v>
      </c>
      <c r="C73" s="556" t="s">
        <v>763</v>
      </c>
      <c r="D73" s="453">
        <v>0.0</v>
      </c>
      <c r="E73" s="452" t="s">
        <v>252</v>
      </c>
      <c r="F73" s="452" t="s">
        <v>253</v>
      </c>
      <c r="G73" s="452" t="s">
        <v>254</v>
      </c>
      <c r="H73" s="455"/>
      <c r="I73" s="456">
        <v>37516.0</v>
      </c>
      <c r="J73" s="456">
        <v>45159.0</v>
      </c>
      <c r="K73" s="456">
        <v>45450.0</v>
      </c>
      <c r="L73" s="453">
        <v>0.0</v>
      </c>
      <c r="M73" s="515">
        <v>45839.0</v>
      </c>
      <c r="N73" s="515">
        <v>45869.0</v>
      </c>
    </row>
    <row r="74">
      <c r="A74" s="452" t="s">
        <v>16</v>
      </c>
      <c r="B74" s="453">
        <v>4320.0</v>
      </c>
      <c r="C74" s="556" t="s">
        <v>763</v>
      </c>
      <c r="D74" s="453">
        <v>0.0</v>
      </c>
      <c r="E74" s="452" t="s">
        <v>468</v>
      </c>
      <c r="F74" s="452" t="s">
        <v>527</v>
      </c>
      <c r="G74" s="452" t="s">
        <v>469</v>
      </c>
      <c r="H74" s="455"/>
      <c r="I74" s="457">
        <v>35986.0</v>
      </c>
      <c r="J74" s="457">
        <v>45537.0</v>
      </c>
      <c r="K74" s="454"/>
      <c r="L74" s="514">
        <v>31.0</v>
      </c>
      <c r="M74" s="515">
        <v>45839.0</v>
      </c>
      <c r="N74" s="515">
        <v>45869.0</v>
      </c>
    </row>
    <row r="75">
      <c r="A75" s="452" t="s">
        <v>16</v>
      </c>
      <c r="B75" s="453">
        <v>4320.0</v>
      </c>
      <c r="C75" s="556" t="s">
        <v>763</v>
      </c>
      <c r="D75" s="453">
        <v>0.0</v>
      </c>
      <c r="E75" s="452" t="s">
        <v>72</v>
      </c>
      <c r="F75" s="452" t="s">
        <v>73</v>
      </c>
      <c r="G75" s="452" t="s">
        <v>74</v>
      </c>
      <c r="H75" s="455"/>
      <c r="I75" s="456">
        <v>37210.0</v>
      </c>
      <c r="J75" s="457">
        <v>44562.0</v>
      </c>
      <c r="K75" s="458">
        <v>45442.0</v>
      </c>
      <c r="L75" s="453">
        <v>0.0</v>
      </c>
      <c r="M75" s="515">
        <v>45839.0</v>
      </c>
      <c r="N75" s="515">
        <v>45869.0</v>
      </c>
    </row>
    <row r="76">
      <c r="A76" s="452" t="s">
        <v>16</v>
      </c>
      <c r="B76" s="453">
        <v>4320.0</v>
      </c>
      <c r="C76" s="556" t="s">
        <v>763</v>
      </c>
      <c r="D76" s="453">
        <v>0.0</v>
      </c>
      <c r="E76" s="452" t="s">
        <v>797</v>
      </c>
      <c r="F76" s="452" t="s">
        <v>798</v>
      </c>
      <c r="G76" s="452" t="s">
        <v>799</v>
      </c>
      <c r="H76" s="455"/>
      <c r="I76" s="456">
        <v>37709.0</v>
      </c>
      <c r="J76" s="458">
        <v>45789.0</v>
      </c>
      <c r="K76" s="454"/>
      <c r="L76" s="514">
        <v>31.0</v>
      </c>
      <c r="M76" s="515">
        <v>45839.0</v>
      </c>
      <c r="N76" s="515">
        <v>45869.0</v>
      </c>
    </row>
    <row r="77">
      <c r="A77" s="557" t="s">
        <v>16</v>
      </c>
      <c r="B77" s="558">
        <v>4320.0</v>
      </c>
      <c r="C77" s="556" t="s">
        <v>763</v>
      </c>
      <c r="D77" s="558">
        <v>0.0</v>
      </c>
      <c r="E77" s="557" t="s">
        <v>78</v>
      </c>
      <c r="F77" s="557" t="s">
        <v>79</v>
      </c>
      <c r="G77" s="557" t="s">
        <v>80</v>
      </c>
      <c r="H77" s="559"/>
      <c r="I77" s="560">
        <v>36401.0</v>
      </c>
      <c r="J77" s="561">
        <v>45096.0</v>
      </c>
      <c r="K77" s="564">
        <v>45838.0</v>
      </c>
      <c r="L77" s="562">
        <v>0.0</v>
      </c>
      <c r="M77" s="515">
        <v>45839.0</v>
      </c>
      <c r="N77" s="515">
        <v>45869.0</v>
      </c>
      <c r="O77" s="48"/>
      <c r="P77" s="48"/>
      <c r="Q77" s="48"/>
      <c r="R77" s="48"/>
      <c r="S77" s="48"/>
      <c r="T77" s="48"/>
      <c r="U77" s="48"/>
      <c r="V77" s="48"/>
      <c r="W77" s="48"/>
    </row>
    <row r="78">
      <c r="A78" s="452" t="s">
        <v>16</v>
      </c>
      <c r="B78" s="453">
        <v>4320.0</v>
      </c>
      <c r="C78" s="556" t="s">
        <v>763</v>
      </c>
      <c r="D78" s="453">
        <v>0.0</v>
      </c>
      <c r="E78" s="452" t="s">
        <v>555</v>
      </c>
      <c r="F78" s="452" t="s">
        <v>556</v>
      </c>
      <c r="G78" s="452" t="s">
        <v>557</v>
      </c>
      <c r="H78" s="455"/>
      <c r="I78" s="457">
        <v>36135.0</v>
      </c>
      <c r="J78" s="457">
        <v>45663.0</v>
      </c>
      <c r="K78" s="454"/>
      <c r="L78" s="514">
        <v>31.0</v>
      </c>
      <c r="M78" s="515">
        <v>45839.0</v>
      </c>
      <c r="N78" s="515">
        <v>45869.0</v>
      </c>
    </row>
    <row r="79">
      <c r="A79" s="452" t="s">
        <v>16</v>
      </c>
      <c r="B79" s="453">
        <v>4320.0</v>
      </c>
      <c r="C79" s="556" t="s">
        <v>763</v>
      </c>
      <c r="D79" s="453">
        <v>0.0</v>
      </c>
      <c r="E79" s="452" t="s">
        <v>483</v>
      </c>
      <c r="F79" s="452" t="s">
        <v>537</v>
      </c>
      <c r="G79" s="452" t="s">
        <v>484</v>
      </c>
      <c r="H79" s="455"/>
      <c r="I79" s="457">
        <v>36286.0</v>
      </c>
      <c r="J79" s="457">
        <v>45602.0</v>
      </c>
      <c r="K79" s="457">
        <v>45723.0</v>
      </c>
      <c r="L79" s="453">
        <v>0.0</v>
      </c>
      <c r="M79" s="515">
        <v>45839.0</v>
      </c>
      <c r="N79" s="515">
        <v>45869.0</v>
      </c>
    </row>
    <row r="80">
      <c r="A80" s="452" t="s">
        <v>16</v>
      </c>
      <c r="B80" s="453">
        <v>4320.0</v>
      </c>
      <c r="C80" s="556" t="s">
        <v>763</v>
      </c>
      <c r="D80" s="453">
        <v>0.0</v>
      </c>
      <c r="E80" s="452" t="s">
        <v>81</v>
      </c>
      <c r="F80" s="452" t="s">
        <v>82</v>
      </c>
      <c r="G80" s="452" t="s">
        <v>83</v>
      </c>
      <c r="H80" s="455"/>
      <c r="I80" s="456">
        <v>36113.0</v>
      </c>
      <c r="J80" s="462">
        <v>44866.0</v>
      </c>
      <c r="K80" s="456">
        <v>45299.0</v>
      </c>
      <c r="L80" s="453">
        <v>0.0</v>
      </c>
      <c r="M80" s="515">
        <v>45839.0</v>
      </c>
      <c r="N80" s="515">
        <v>45869.0</v>
      </c>
    </row>
    <row r="81">
      <c r="A81" s="452" t="s">
        <v>16</v>
      </c>
      <c r="B81" s="453">
        <v>4320.0</v>
      </c>
      <c r="C81" s="556" t="s">
        <v>763</v>
      </c>
      <c r="D81" s="453">
        <v>0.0</v>
      </c>
      <c r="E81" s="452" t="s">
        <v>485</v>
      </c>
      <c r="F81" s="452" t="s">
        <v>535</v>
      </c>
      <c r="G81" s="452" t="s">
        <v>486</v>
      </c>
      <c r="H81" s="455"/>
      <c r="I81" s="457">
        <v>36994.0</v>
      </c>
      <c r="J81" s="457">
        <v>45602.0</v>
      </c>
      <c r="K81" s="456">
        <v>45786.0</v>
      </c>
      <c r="L81" s="514">
        <v>0.0</v>
      </c>
      <c r="M81" s="515">
        <v>45839.0</v>
      </c>
      <c r="N81" s="515">
        <v>45869.0</v>
      </c>
    </row>
    <row r="82">
      <c r="A82" s="452" t="s">
        <v>16</v>
      </c>
      <c r="B82" s="453">
        <v>4320.0</v>
      </c>
      <c r="C82" s="556" t="s">
        <v>763</v>
      </c>
      <c r="D82" s="453">
        <v>0.0</v>
      </c>
      <c r="E82" s="452" t="s">
        <v>331</v>
      </c>
      <c r="F82" s="452" t="s">
        <v>332</v>
      </c>
      <c r="G82" s="452" t="s">
        <v>333</v>
      </c>
      <c r="H82" s="455"/>
      <c r="I82" s="457">
        <v>37958.0</v>
      </c>
      <c r="J82" s="456">
        <v>45369.0</v>
      </c>
      <c r="K82" s="461"/>
      <c r="L82" s="514">
        <v>31.0</v>
      </c>
      <c r="M82" s="515">
        <v>45839.0</v>
      </c>
      <c r="N82" s="515">
        <v>45869.0</v>
      </c>
    </row>
    <row r="83">
      <c r="A83" s="452" t="s">
        <v>16</v>
      </c>
      <c r="B83" s="453">
        <v>4320.0</v>
      </c>
      <c r="C83" s="556" t="s">
        <v>763</v>
      </c>
      <c r="D83" s="453">
        <v>0.0</v>
      </c>
      <c r="E83" s="452" t="s">
        <v>392</v>
      </c>
      <c r="F83" s="452" t="s">
        <v>393</v>
      </c>
      <c r="G83" s="452" t="s">
        <v>394</v>
      </c>
      <c r="H83" s="455"/>
      <c r="I83" s="456">
        <v>34922.0</v>
      </c>
      <c r="J83" s="457">
        <v>45418.0</v>
      </c>
      <c r="K83" s="461"/>
      <c r="L83" s="514">
        <v>31.0</v>
      </c>
      <c r="M83" s="515">
        <v>45839.0</v>
      </c>
      <c r="N83" s="515">
        <v>45869.0</v>
      </c>
    </row>
    <row r="84">
      <c r="A84" s="452" t="s">
        <v>16</v>
      </c>
      <c r="B84" s="453">
        <v>4320.0</v>
      </c>
      <c r="C84" s="556" t="s">
        <v>763</v>
      </c>
      <c r="D84" s="453">
        <v>0.0</v>
      </c>
      <c r="E84" s="452" t="s">
        <v>696</v>
      </c>
      <c r="F84" s="452" t="s">
        <v>756</v>
      </c>
      <c r="G84" s="452" t="s">
        <v>698</v>
      </c>
      <c r="H84" s="455"/>
      <c r="I84" s="456">
        <v>36474.0</v>
      </c>
      <c r="J84" s="456">
        <v>45698.0</v>
      </c>
      <c r="K84" s="461"/>
      <c r="L84" s="514">
        <v>31.0</v>
      </c>
      <c r="M84" s="515">
        <v>45839.0</v>
      </c>
      <c r="N84" s="515">
        <v>45869.0</v>
      </c>
    </row>
    <row r="85">
      <c r="A85" s="452" t="s">
        <v>16</v>
      </c>
      <c r="B85" s="453">
        <v>4320.0</v>
      </c>
      <c r="C85" s="556" t="s">
        <v>763</v>
      </c>
      <c r="D85" s="453">
        <v>0.0</v>
      </c>
      <c r="E85" s="452" t="s">
        <v>699</v>
      </c>
      <c r="F85" s="452" t="s">
        <v>757</v>
      </c>
      <c r="G85" s="452" t="s">
        <v>701</v>
      </c>
      <c r="H85" s="455"/>
      <c r="I85" s="456">
        <v>36474.0</v>
      </c>
      <c r="J85" s="456">
        <v>45698.0</v>
      </c>
      <c r="K85" s="461"/>
      <c r="L85" s="514">
        <v>31.0</v>
      </c>
      <c r="M85" s="515">
        <v>45839.0</v>
      </c>
      <c r="N85" s="515">
        <v>45869.0</v>
      </c>
    </row>
    <row r="86">
      <c r="A86" s="452" t="s">
        <v>16</v>
      </c>
      <c r="B86" s="453">
        <v>4320.0</v>
      </c>
      <c r="C86" s="556" t="s">
        <v>763</v>
      </c>
      <c r="D86" s="453">
        <v>0.0</v>
      </c>
      <c r="E86" s="452" t="s">
        <v>576</v>
      </c>
      <c r="F86" s="452" t="s">
        <v>577</v>
      </c>
      <c r="G86" s="452" t="s">
        <v>578</v>
      </c>
      <c r="H86" s="455"/>
      <c r="I86" s="456">
        <v>37944.0</v>
      </c>
      <c r="J86" s="457">
        <v>45677.0</v>
      </c>
      <c r="K86" s="454"/>
      <c r="L86" s="514">
        <v>31.0</v>
      </c>
      <c r="M86" s="515">
        <v>45839.0</v>
      </c>
      <c r="N86" s="515">
        <v>45869.0</v>
      </c>
    </row>
    <row r="87">
      <c r="A87" s="452" t="s">
        <v>16</v>
      </c>
      <c r="B87" s="453">
        <v>4320.0</v>
      </c>
      <c r="C87" s="556" t="s">
        <v>763</v>
      </c>
      <c r="D87" s="453">
        <v>0.0</v>
      </c>
      <c r="E87" s="452" t="s">
        <v>546</v>
      </c>
      <c r="F87" s="452" t="s">
        <v>547</v>
      </c>
      <c r="G87" s="452" t="s">
        <v>548</v>
      </c>
      <c r="H87" s="455"/>
      <c r="I87" s="456">
        <v>38255.0</v>
      </c>
      <c r="J87" s="457">
        <v>45658.0</v>
      </c>
      <c r="K87" s="460"/>
      <c r="L87" s="514">
        <v>31.0</v>
      </c>
      <c r="M87" s="515">
        <v>45839.0</v>
      </c>
      <c r="N87" s="515">
        <v>45869.0</v>
      </c>
    </row>
    <row r="88">
      <c r="A88" s="452" t="s">
        <v>16</v>
      </c>
      <c r="B88" s="453">
        <v>4320.0</v>
      </c>
      <c r="C88" s="556" t="s">
        <v>763</v>
      </c>
      <c r="D88" s="453">
        <v>0.0</v>
      </c>
      <c r="E88" s="452" t="s">
        <v>741</v>
      </c>
      <c r="F88" s="452" t="s">
        <v>742</v>
      </c>
      <c r="G88" s="452" t="s">
        <v>743</v>
      </c>
      <c r="H88" s="455"/>
      <c r="I88" s="456">
        <v>37329.0</v>
      </c>
      <c r="J88" s="457">
        <v>45719.0</v>
      </c>
      <c r="K88" s="458">
        <v>45786.0</v>
      </c>
      <c r="L88" s="514">
        <v>0.0</v>
      </c>
      <c r="M88" s="515">
        <v>45839.0</v>
      </c>
      <c r="N88" s="515">
        <v>45869.0</v>
      </c>
    </row>
    <row r="89">
      <c r="A89" s="452" t="s">
        <v>16</v>
      </c>
      <c r="B89" s="453">
        <v>4320.0</v>
      </c>
      <c r="C89" s="556" t="s">
        <v>763</v>
      </c>
      <c r="D89" s="453">
        <v>0.0</v>
      </c>
      <c r="E89" s="452" t="s">
        <v>294</v>
      </c>
      <c r="F89" s="452" t="s">
        <v>295</v>
      </c>
      <c r="G89" s="452" t="s">
        <v>296</v>
      </c>
      <c r="H89" s="455"/>
      <c r="I89" s="457">
        <v>36551.0</v>
      </c>
      <c r="J89" s="456">
        <v>45278.0</v>
      </c>
      <c r="K89" s="456">
        <v>45359.0</v>
      </c>
      <c r="L89" s="453">
        <v>0.0</v>
      </c>
      <c r="M89" s="515">
        <v>45839.0</v>
      </c>
      <c r="N89" s="515">
        <v>45869.0</v>
      </c>
    </row>
    <row r="90">
      <c r="A90" s="452" t="s">
        <v>16</v>
      </c>
      <c r="B90" s="453">
        <v>4320.0</v>
      </c>
      <c r="C90" s="556" t="s">
        <v>763</v>
      </c>
      <c r="D90" s="453">
        <v>0.0</v>
      </c>
      <c r="E90" s="452" t="s">
        <v>623</v>
      </c>
      <c r="F90" s="452" t="s">
        <v>624</v>
      </c>
      <c r="G90" s="452" t="s">
        <v>625</v>
      </c>
      <c r="H90" s="455"/>
      <c r="I90" s="456">
        <v>37489.0</v>
      </c>
      <c r="J90" s="457">
        <v>45397.0</v>
      </c>
      <c r="K90" s="456">
        <v>45488.0</v>
      </c>
      <c r="L90" s="453">
        <v>0.0</v>
      </c>
      <c r="M90" s="515">
        <v>45839.0</v>
      </c>
      <c r="N90" s="515">
        <v>45869.0</v>
      </c>
    </row>
    <row r="91">
      <c r="A91" s="452" t="s">
        <v>16</v>
      </c>
      <c r="B91" s="453">
        <v>4320.0</v>
      </c>
      <c r="C91" s="556" t="s">
        <v>763</v>
      </c>
      <c r="D91" s="453">
        <v>0.0</v>
      </c>
      <c r="E91" s="452" t="s">
        <v>816</v>
      </c>
      <c r="F91" s="452" t="s">
        <v>627</v>
      </c>
      <c r="G91" s="452" t="s">
        <v>628</v>
      </c>
      <c r="H91" s="455"/>
      <c r="I91" s="456">
        <v>35257.0</v>
      </c>
      <c r="J91" s="458">
        <v>45778.0</v>
      </c>
      <c r="K91" s="454"/>
      <c r="L91" s="514">
        <v>31.0</v>
      </c>
      <c r="M91" s="515">
        <v>45839.0</v>
      </c>
      <c r="N91" s="515">
        <v>45869.0</v>
      </c>
    </row>
    <row r="92">
      <c r="A92" s="452" t="s">
        <v>16</v>
      </c>
      <c r="B92" s="453">
        <v>4320.0</v>
      </c>
      <c r="C92" s="556" t="s">
        <v>763</v>
      </c>
      <c r="D92" s="453">
        <v>0.0</v>
      </c>
      <c r="E92" s="452" t="s">
        <v>629</v>
      </c>
      <c r="F92" s="452" t="s">
        <v>630</v>
      </c>
      <c r="G92" s="452" t="s">
        <v>631</v>
      </c>
      <c r="H92" s="455"/>
      <c r="I92" s="456">
        <v>34807.0</v>
      </c>
      <c r="J92" s="458">
        <v>45778.0</v>
      </c>
      <c r="K92" s="454"/>
      <c r="L92" s="514">
        <v>31.0</v>
      </c>
      <c r="M92" s="515">
        <v>45839.0</v>
      </c>
      <c r="N92" s="515">
        <v>45869.0</v>
      </c>
    </row>
    <row r="93">
      <c r="A93" s="452" t="s">
        <v>16</v>
      </c>
      <c r="B93" s="453">
        <v>4320.0</v>
      </c>
      <c r="C93" s="556" t="s">
        <v>763</v>
      </c>
      <c r="D93" s="453">
        <v>0.0</v>
      </c>
      <c r="E93" s="452" t="s">
        <v>501</v>
      </c>
      <c r="F93" s="452" t="s">
        <v>541</v>
      </c>
      <c r="G93" s="452" t="s">
        <v>502</v>
      </c>
      <c r="H93" s="455"/>
      <c r="I93" s="456">
        <v>36062.0</v>
      </c>
      <c r="J93" s="457">
        <v>45628.0</v>
      </c>
      <c r="K93" s="461"/>
      <c r="L93" s="514">
        <v>31.0</v>
      </c>
      <c r="M93" s="515">
        <v>45839.0</v>
      </c>
      <c r="N93" s="515">
        <v>45869.0</v>
      </c>
    </row>
    <row r="94">
      <c r="A94" s="452" t="s">
        <v>16</v>
      </c>
      <c r="B94" s="453">
        <v>4320.0</v>
      </c>
      <c r="C94" s="556" t="s">
        <v>763</v>
      </c>
      <c r="D94" s="453">
        <v>0.0</v>
      </c>
      <c r="E94" s="452" t="s">
        <v>270</v>
      </c>
      <c r="F94" s="452" t="s">
        <v>271</v>
      </c>
      <c r="G94" s="452" t="s">
        <v>272</v>
      </c>
      <c r="H94" s="455"/>
      <c r="I94" s="456">
        <v>36769.0</v>
      </c>
      <c r="J94" s="457">
        <v>45313.0</v>
      </c>
      <c r="K94" s="457">
        <v>45415.0</v>
      </c>
      <c r="L94" s="453">
        <v>0.0</v>
      </c>
      <c r="M94" s="515">
        <v>45839.0</v>
      </c>
      <c r="N94" s="515">
        <v>45869.0</v>
      </c>
    </row>
    <row r="95">
      <c r="A95" s="452" t="s">
        <v>16</v>
      </c>
      <c r="B95" s="453">
        <v>4320.0</v>
      </c>
      <c r="C95" s="556" t="s">
        <v>763</v>
      </c>
      <c r="D95" s="453">
        <v>0.0</v>
      </c>
      <c r="E95" s="452" t="s">
        <v>451</v>
      </c>
      <c r="F95" s="452" t="s">
        <v>512</v>
      </c>
      <c r="G95" s="452" t="s">
        <v>415</v>
      </c>
      <c r="H95" s="455"/>
      <c r="I95" s="456">
        <v>36443.0</v>
      </c>
      <c r="J95" s="457">
        <v>45446.0</v>
      </c>
      <c r="K95" s="461"/>
      <c r="L95" s="514">
        <v>31.0</v>
      </c>
      <c r="M95" s="515">
        <v>45839.0</v>
      </c>
      <c r="N95" s="515">
        <v>45869.0</v>
      </c>
    </row>
    <row r="96">
      <c r="A96" s="452" t="s">
        <v>16</v>
      </c>
      <c r="B96" s="453">
        <v>4320.0</v>
      </c>
      <c r="C96" s="556" t="s">
        <v>763</v>
      </c>
      <c r="D96" s="453">
        <v>0.0</v>
      </c>
      <c r="E96" s="452" t="s">
        <v>87</v>
      </c>
      <c r="F96" s="452" t="s">
        <v>88</v>
      </c>
      <c r="G96" s="452" t="s">
        <v>89</v>
      </c>
      <c r="H96" s="455"/>
      <c r="I96" s="458">
        <v>33737.0</v>
      </c>
      <c r="J96" s="457">
        <v>45139.0</v>
      </c>
      <c r="K96" s="456">
        <v>45734.0</v>
      </c>
      <c r="L96" s="453">
        <v>0.0</v>
      </c>
      <c r="M96" s="515">
        <v>45839.0</v>
      </c>
      <c r="N96" s="515">
        <v>45869.0</v>
      </c>
    </row>
    <row r="97">
      <c r="A97" s="452" t="s">
        <v>16</v>
      </c>
      <c r="B97" s="453">
        <v>4320.0</v>
      </c>
      <c r="C97" s="556" t="s">
        <v>763</v>
      </c>
      <c r="D97" s="453">
        <v>0.0</v>
      </c>
      <c r="E97" s="452" t="s">
        <v>632</v>
      </c>
      <c r="F97" s="452" t="s">
        <v>633</v>
      </c>
      <c r="G97" s="452" t="s">
        <v>634</v>
      </c>
      <c r="H97" s="455"/>
      <c r="I97" s="456">
        <v>35300.0</v>
      </c>
      <c r="J97" s="457">
        <v>45103.0</v>
      </c>
      <c r="K97" s="457">
        <v>45310.0</v>
      </c>
      <c r="L97" s="453">
        <v>0.0</v>
      </c>
      <c r="M97" s="515">
        <v>45839.0</v>
      </c>
      <c r="N97" s="515">
        <v>45869.0</v>
      </c>
    </row>
    <row r="98">
      <c r="A98" s="452" t="s">
        <v>16</v>
      </c>
      <c r="B98" s="453">
        <v>4320.0</v>
      </c>
      <c r="C98" s="556" t="s">
        <v>763</v>
      </c>
      <c r="D98" s="453">
        <v>0.0</v>
      </c>
      <c r="E98" s="452" t="s">
        <v>573</v>
      </c>
      <c r="F98" s="452" t="s">
        <v>574</v>
      </c>
      <c r="G98" s="452" t="s">
        <v>575</v>
      </c>
      <c r="H98" s="455"/>
      <c r="I98" s="456">
        <v>36061.0</v>
      </c>
      <c r="J98" s="457">
        <v>45677.0</v>
      </c>
      <c r="K98" s="457">
        <v>45777.0</v>
      </c>
      <c r="L98" s="453">
        <v>0.0</v>
      </c>
      <c r="M98" s="515">
        <v>45839.0</v>
      </c>
      <c r="N98" s="515">
        <v>45869.0</v>
      </c>
    </row>
    <row r="99">
      <c r="A99" s="452" t="s">
        <v>16</v>
      </c>
      <c r="B99" s="453">
        <v>4320.0</v>
      </c>
      <c r="C99" s="556" t="s">
        <v>763</v>
      </c>
      <c r="D99" s="453">
        <v>0.0</v>
      </c>
      <c r="E99" s="452" t="s">
        <v>90</v>
      </c>
      <c r="F99" s="452" t="s">
        <v>91</v>
      </c>
      <c r="G99" s="452" t="s">
        <v>92</v>
      </c>
      <c r="H99" s="455"/>
      <c r="I99" s="465">
        <v>33917.0</v>
      </c>
      <c r="J99" s="456">
        <v>45166.0</v>
      </c>
      <c r="K99" s="457">
        <v>45321.0</v>
      </c>
      <c r="L99" s="453">
        <v>0.0</v>
      </c>
      <c r="M99" s="515">
        <v>45839.0</v>
      </c>
      <c r="N99" s="515">
        <v>45869.0</v>
      </c>
    </row>
    <row r="100">
      <c r="A100" s="452" t="s">
        <v>16</v>
      </c>
      <c r="B100" s="453">
        <v>4320.0</v>
      </c>
      <c r="C100" s="556" t="s">
        <v>763</v>
      </c>
      <c r="D100" s="453">
        <v>0.0</v>
      </c>
      <c r="E100" s="452" t="s">
        <v>337</v>
      </c>
      <c r="F100" s="452" t="s">
        <v>338</v>
      </c>
      <c r="G100" s="452" t="s">
        <v>339</v>
      </c>
      <c r="H100" s="455"/>
      <c r="I100" s="456">
        <v>37539.0</v>
      </c>
      <c r="J100" s="456">
        <v>45362.0</v>
      </c>
      <c r="K100" s="456">
        <v>45657.0</v>
      </c>
      <c r="L100" s="453">
        <v>0.0</v>
      </c>
      <c r="M100" s="515">
        <v>45839.0</v>
      </c>
      <c r="N100" s="515">
        <v>45869.0</v>
      </c>
    </row>
    <row r="101">
      <c r="A101" s="452" t="s">
        <v>16</v>
      </c>
      <c r="B101" s="453">
        <v>4320.0</v>
      </c>
      <c r="C101" s="556" t="s">
        <v>763</v>
      </c>
      <c r="D101" s="453">
        <v>0.0</v>
      </c>
      <c r="E101" s="452" t="s">
        <v>297</v>
      </c>
      <c r="F101" s="452" t="s">
        <v>298</v>
      </c>
      <c r="G101" s="452" t="s">
        <v>299</v>
      </c>
      <c r="H101" s="455"/>
      <c r="I101" s="457">
        <v>36692.0</v>
      </c>
      <c r="J101" s="456">
        <v>45243.0</v>
      </c>
      <c r="K101" s="456">
        <v>45365.0</v>
      </c>
      <c r="L101" s="453">
        <v>0.0</v>
      </c>
      <c r="M101" s="515">
        <v>45839.0</v>
      </c>
      <c r="N101" s="515">
        <v>45869.0</v>
      </c>
    </row>
    <row r="102">
      <c r="A102" s="452" t="s">
        <v>16</v>
      </c>
      <c r="B102" s="453">
        <v>4320.0</v>
      </c>
      <c r="C102" s="556" t="s">
        <v>763</v>
      </c>
      <c r="D102" s="453">
        <v>0.0</v>
      </c>
      <c r="E102" s="452" t="s">
        <v>93</v>
      </c>
      <c r="F102" s="452" t="s">
        <v>94</v>
      </c>
      <c r="G102" s="452" t="s">
        <v>95</v>
      </c>
      <c r="H102" s="455"/>
      <c r="I102" s="457">
        <v>36137.0</v>
      </c>
      <c r="J102" s="457">
        <v>45098.0</v>
      </c>
      <c r="K102" s="456">
        <v>45246.0</v>
      </c>
      <c r="L102" s="453">
        <v>0.0</v>
      </c>
      <c r="M102" s="515">
        <v>45839.0</v>
      </c>
      <c r="N102" s="515">
        <v>45869.0</v>
      </c>
    </row>
    <row r="103">
      <c r="A103" s="452" t="s">
        <v>16</v>
      </c>
      <c r="B103" s="453">
        <v>4320.0</v>
      </c>
      <c r="C103" s="556" t="s">
        <v>763</v>
      </c>
      <c r="D103" s="453">
        <v>0.0</v>
      </c>
      <c r="E103" s="452" t="s">
        <v>579</v>
      </c>
      <c r="F103" s="452" t="s">
        <v>580</v>
      </c>
      <c r="G103" s="452" t="s">
        <v>581</v>
      </c>
      <c r="H103" s="455"/>
      <c r="I103" s="456">
        <v>37609.0</v>
      </c>
      <c r="J103" s="457">
        <v>45677.0</v>
      </c>
      <c r="K103" s="460"/>
      <c r="L103" s="514">
        <v>31.0</v>
      </c>
      <c r="M103" s="515">
        <v>45839.0</v>
      </c>
      <c r="N103" s="515">
        <v>45869.0</v>
      </c>
    </row>
    <row r="104">
      <c r="A104" s="452" t="s">
        <v>16</v>
      </c>
      <c r="B104" s="453">
        <v>4320.0</v>
      </c>
      <c r="C104" s="556" t="s">
        <v>763</v>
      </c>
      <c r="D104" s="453">
        <v>0.0</v>
      </c>
      <c r="E104" s="452" t="s">
        <v>817</v>
      </c>
      <c r="F104" s="452" t="s">
        <v>637</v>
      </c>
      <c r="G104" s="452" t="s">
        <v>638</v>
      </c>
      <c r="H104" s="455"/>
      <c r="I104" s="456">
        <v>36720.0</v>
      </c>
      <c r="J104" s="458">
        <v>45778.0</v>
      </c>
      <c r="K104" s="454"/>
      <c r="L104" s="514">
        <v>31.0</v>
      </c>
      <c r="M104" s="515">
        <v>45839.0</v>
      </c>
      <c r="N104" s="515">
        <v>45869.0</v>
      </c>
    </row>
    <row r="105">
      <c r="A105" s="452" t="s">
        <v>16</v>
      </c>
      <c r="B105" s="453">
        <v>4320.0</v>
      </c>
      <c r="C105" s="556" t="s">
        <v>763</v>
      </c>
      <c r="D105" s="453">
        <v>0.0</v>
      </c>
      <c r="E105" s="452" t="s">
        <v>452</v>
      </c>
      <c r="F105" s="452" t="s">
        <v>513</v>
      </c>
      <c r="G105" s="452" t="s">
        <v>454</v>
      </c>
      <c r="H105" s="455"/>
      <c r="I105" s="457">
        <v>37834.0</v>
      </c>
      <c r="J105" s="457">
        <v>45505.0</v>
      </c>
      <c r="K105" s="456">
        <v>45667.0</v>
      </c>
      <c r="L105" s="453">
        <v>0.0</v>
      </c>
      <c r="M105" s="515">
        <v>45839.0</v>
      </c>
      <c r="N105" s="515">
        <v>45869.0</v>
      </c>
    </row>
    <row r="106">
      <c r="A106" s="452" t="s">
        <v>16</v>
      </c>
      <c r="B106" s="453">
        <v>4320.0</v>
      </c>
      <c r="C106" s="556" t="s">
        <v>763</v>
      </c>
      <c r="D106" s="453">
        <v>0.0</v>
      </c>
      <c r="E106" s="452" t="s">
        <v>99</v>
      </c>
      <c r="F106" s="452" t="s">
        <v>100</v>
      </c>
      <c r="G106" s="452" t="s">
        <v>101</v>
      </c>
      <c r="H106" s="455"/>
      <c r="I106" s="456">
        <v>37240.0</v>
      </c>
      <c r="J106" s="457">
        <v>45176.0</v>
      </c>
      <c r="K106" s="456">
        <v>45535.0</v>
      </c>
      <c r="L106" s="453">
        <v>0.0</v>
      </c>
      <c r="M106" s="515">
        <v>45839.0</v>
      </c>
      <c r="N106" s="515">
        <v>45869.0</v>
      </c>
    </row>
    <row r="107">
      <c r="A107" s="452" t="s">
        <v>16</v>
      </c>
      <c r="B107" s="453">
        <v>4320.0</v>
      </c>
      <c r="C107" s="556" t="s">
        <v>763</v>
      </c>
      <c r="D107" s="453">
        <v>0.0</v>
      </c>
      <c r="E107" s="452" t="s">
        <v>476</v>
      </c>
      <c r="F107" s="452" t="s">
        <v>529</v>
      </c>
      <c r="G107" s="452" t="s">
        <v>477</v>
      </c>
      <c r="H107" s="455"/>
      <c r="I107" s="456">
        <v>37220.0</v>
      </c>
      <c r="J107" s="462">
        <v>45572.0</v>
      </c>
      <c r="K107" s="454"/>
      <c r="L107" s="514">
        <v>31.0</v>
      </c>
      <c r="M107" s="515">
        <v>45839.0</v>
      </c>
      <c r="N107" s="515">
        <v>45869.0</v>
      </c>
    </row>
    <row r="108">
      <c r="A108" s="452" t="s">
        <v>16</v>
      </c>
      <c r="B108" s="453">
        <v>4320.0</v>
      </c>
      <c r="C108" s="556" t="s">
        <v>763</v>
      </c>
      <c r="D108" s="453">
        <v>0.0</v>
      </c>
      <c r="E108" s="452" t="s">
        <v>102</v>
      </c>
      <c r="F108" s="452" t="s">
        <v>103</v>
      </c>
      <c r="G108" s="452" t="s">
        <v>104</v>
      </c>
      <c r="H108" s="455"/>
      <c r="I108" s="457">
        <v>33240.0</v>
      </c>
      <c r="J108" s="457">
        <v>44287.0</v>
      </c>
      <c r="K108" s="454"/>
      <c r="L108" s="514">
        <v>31.0</v>
      </c>
      <c r="M108" s="515">
        <v>45839.0</v>
      </c>
      <c r="N108" s="515">
        <v>45869.0</v>
      </c>
    </row>
    <row r="109">
      <c r="A109" s="452" t="s">
        <v>16</v>
      </c>
      <c r="B109" s="453">
        <v>4320.0</v>
      </c>
      <c r="C109" s="556" t="s">
        <v>763</v>
      </c>
      <c r="D109" s="453">
        <v>0.0</v>
      </c>
      <c r="E109" s="452" t="s">
        <v>255</v>
      </c>
      <c r="F109" s="452" t="s">
        <v>256</v>
      </c>
      <c r="G109" s="452" t="s">
        <v>257</v>
      </c>
      <c r="H109" s="455"/>
      <c r="I109" s="457">
        <v>35173.0</v>
      </c>
      <c r="J109" s="457">
        <v>45264.0</v>
      </c>
      <c r="K109" s="513">
        <v>45833.0</v>
      </c>
      <c r="L109" s="514">
        <v>0.0</v>
      </c>
      <c r="M109" s="515">
        <v>45839.0</v>
      </c>
      <c r="N109" s="515">
        <v>45869.0</v>
      </c>
    </row>
    <row r="110">
      <c r="A110" s="452" t="s">
        <v>16</v>
      </c>
      <c r="B110" s="453">
        <v>4320.0</v>
      </c>
      <c r="C110" s="556" t="s">
        <v>763</v>
      </c>
      <c r="D110" s="453">
        <v>0.0</v>
      </c>
      <c r="E110" s="452" t="s">
        <v>438</v>
      </c>
      <c r="F110" s="452" t="s">
        <v>341</v>
      </c>
      <c r="G110" s="452" t="s">
        <v>342</v>
      </c>
      <c r="H110" s="455"/>
      <c r="I110" s="457">
        <v>37964.0</v>
      </c>
      <c r="J110" s="457">
        <v>45355.0</v>
      </c>
      <c r="K110" s="461"/>
      <c r="L110" s="514">
        <v>31.0</v>
      </c>
      <c r="M110" s="515">
        <v>45839.0</v>
      </c>
      <c r="N110" s="515">
        <v>45869.0</v>
      </c>
    </row>
    <row r="111">
      <c r="A111" s="452" t="s">
        <v>16</v>
      </c>
      <c r="B111" s="453">
        <v>4320.0</v>
      </c>
      <c r="C111" s="556" t="s">
        <v>763</v>
      </c>
      <c r="D111" s="453">
        <v>0.0</v>
      </c>
      <c r="E111" s="452" t="s">
        <v>105</v>
      </c>
      <c r="F111" s="452" t="s">
        <v>106</v>
      </c>
      <c r="G111" s="452" t="s">
        <v>107</v>
      </c>
      <c r="H111" s="455"/>
      <c r="I111" s="457">
        <v>37136.0</v>
      </c>
      <c r="J111" s="456">
        <v>45181.0</v>
      </c>
      <c r="K111" s="456">
        <v>45054.0</v>
      </c>
      <c r="L111" s="453">
        <v>0.0</v>
      </c>
      <c r="M111" s="515">
        <v>45839.0</v>
      </c>
      <c r="N111" s="515">
        <v>45869.0</v>
      </c>
    </row>
    <row r="112">
      <c r="A112" s="452" t="s">
        <v>16</v>
      </c>
      <c r="B112" s="453">
        <v>4320.0</v>
      </c>
      <c r="C112" s="556" t="s">
        <v>763</v>
      </c>
      <c r="D112" s="453">
        <v>0.0</v>
      </c>
      <c r="E112" s="565" t="s">
        <v>639</v>
      </c>
      <c r="F112" s="452" t="s">
        <v>323</v>
      </c>
      <c r="G112" s="452" t="s">
        <v>324</v>
      </c>
      <c r="H112" s="455"/>
      <c r="I112" s="457">
        <v>37100.0</v>
      </c>
      <c r="J112" s="456">
        <v>45376.0</v>
      </c>
      <c r="K112" s="458">
        <v>45425.0</v>
      </c>
      <c r="L112" s="453">
        <v>0.0</v>
      </c>
      <c r="M112" s="515">
        <v>45839.0</v>
      </c>
      <c r="N112" s="515">
        <v>45869.0</v>
      </c>
    </row>
    <row r="113">
      <c r="A113" s="452" t="s">
        <v>16</v>
      </c>
      <c r="B113" s="453">
        <v>4320.0</v>
      </c>
      <c r="C113" s="556" t="s">
        <v>763</v>
      </c>
      <c r="D113" s="453">
        <v>0.0</v>
      </c>
      <c r="E113" s="566" t="s">
        <v>508</v>
      </c>
      <c r="F113" s="452" t="s">
        <v>545</v>
      </c>
      <c r="G113" s="452" t="s">
        <v>509</v>
      </c>
      <c r="H113" s="455"/>
      <c r="I113" s="457">
        <v>36637.0</v>
      </c>
      <c r="J113" s="456">
        <v>45649.0</v>
      </c>
      <c r="K113" s="454"/>
      <c r="L113" s="514">
        <v>31.0</v>
      </c>
      <c r="M113" s="515">
        <v>45839.0</v>
      </c>
      <c r="N113" s="515">
        <v>45869.0</v>
      </c>
    </row>
    <row r="114">
      <c r="A114" s="452" t="s">
        <v>16</v>
      </c>
      <c r="B114" s="453">
        <v>4320.0</v>
      </c>
      <c r="C114" s="556" t="s">
        <v>763</v>
      </c>
      <c r="D114" s="453">
        <v>0.0</v>
      </c>
      <c r="E114" s="565" t="s">
        <v>395</v>
      </c>
      <c r="F114" s="452" t="s">
        <v>396</v>
      </c>
      <c r="G114" s="452" t="s">
        <v>397</v>
      </c>
      <c r="H114" s="455"/>
      <c r="I114" s="457">
        <v>36557.0</v>
      </c>
      <c r="J114" s="458">
        <v>45432.0</v>
      </c>
      <c r="K114" s="458">
        <v>45807.0</v>
      </c>
      <c r="L114" s="514">
        <v>0.0</v>
      </c>
      <c r="M114" s="515">
        <v>45839.0</v>
      </c>
      <c r="N114" s="515">
        <v>45869.0</v>
      </c>
    </row>
    <row r="115">
      <c r="A115" s="452" t="s">
        <v>16</v>
      </c>
      <c r="B115" s="453">
        <v>4320.0</v>
      </c>
      <c r="C115" s="556" t="s">
        <v>763</v>
      </c>
      <c r="D115" s="453">
        <v>0.0</v>
      </c>
      <c r="E115" s="566" t="s">
        <v>370</v>
      </c>
      <c r="F115" s="452" t="s">
        <v>371</v>
      </c>
      <c r="G115" s="452" t="s">
        <v>372</v>
      </c>
      <c r="H115" s="455"/>
      <c r="I115" s="457">
        <v>35551.0</v>
      </c>
      <c r="J115" s="457">
        <v>45383.0</v>
      </c>
      <c r="K115" s="461"/>
      <c r="L115" s="514">
        <v>31.0</v>
      </c>
      <c r="M115" s="515">
        <v>45839.0</v>
      </c>
      <c r="N115" s="515">
        <v>45869.0</v>
      </c>
    </row>
    <row r="116">
      <c r="A116" s="452" t="s">
        <v>16</v>
      </c>
      <c r="B116" s="453">
        <v>4320.0</v>
      </c>
      <c r="C116" s="556" t="s">
        <v>763</v>
      </c>
      <c r="D116" s="453">
        <v>0.0</v>
      </c>
      <c r="E116" s="565" t="s">
        <v>640</v>
      </c>
      <c r="F116" s="452" t="s">
        <v>641</v>
      </c>
      <c r="G116" s="452" t="s">
        <v>642</v>
      </c>
      <c r="H116" s="455"/>
      <c r="I116" s="456">
        <v>35152.0</v>
      </c>
      <c r="J116" s="456">
        <v>45180.0</v>
      </c>
      <c r="K116" s="462">
        <v>45233.0</v>
      </c>
      <c r="L116" s="453">
        <v>0.0</v>
      </c>
      <c r="M116" s="515">
        <v>45839.0</v>
      </c>
      <c r="N116" s="515">
        <v>45869.0</v>
      </c>
    </row>
    <row r="117">
      <c r="A117" s="452" t="s">
        <v>16</v>
      </c>
      <c r="B117" s="453">
        <v>4320.0</v>
      </c>
      <c r="C117" s="556" t="s">
        <v>763</v>
      </c>
      <c r="D117" s="453">
        <v>0.0</v>
      </c>
      <c r="E117" s="566" t="s">
        <v>111</v>
      </c>
      <c r="F117" s="452" t="s">
        <v>112</v>
      </c>
      <c r="G117" s="452" t="s">
        <v>113</v>
      </c>
      <c r="H117" s="455"/>
      <c r="I117" s="457">
        <v>36898.0</v>
      </c>
      <c r="J117" s="457">
        <v>44988.0</v>
      </c>
      <c r="K117" s="456">
        <v>45412.0</v>
      </c>
      <c r="L117" s="453">
        <v>0.0</v>
      </c>
      <c r="M117" s="515">
        <v>45839.0</v>
      </c>
      <c r="N117" s="515">
        <v>45869.0</v>
      </c>
    </row>
    <row r="118">
      <c r="A118" s="452" t="s">
        <v>16</v>
      </c>
      <c r="B118" s="453">
        <v>4320.0</v>
      </c>
      <c r="C118" s="556" t="s">
        <v>763</v>
      </c>
      <c r="D118" s="453">
        <v>0.0</v>
      </c>
      <c r="E118" s="565" t="s">
        <v>114</v>
      </c>
      <c r="F118" s="452" t="s">
        <v>514</v>
      </c>
      <c r="G118" s="452" t="s">
        <v>456</v>
      </c>
      <c r="H118" s="455"/>
      <c r="I118" s="456">
        <v>35872.0</v>
      </c>
      <c r="J118" s="456">
        <v>45523.0</v>
      </c>
      <c r="K118" s="454"/>
      <c r="L118" s="514">
        <v>31.0</v>
      </c>
      <c r="M118" s="515">
        <v>45839.0</v>
      </c>
      <c r="N118" s="515">
        <v>45869.0</v>
      </c>
    </row>
    <row r="119">
      <c r="A119" s="452" t="s">
        <v>16</v>
      </c>
      <c r="B119" s="453">
        <v>4320.0</v>
      </c>
      <c r="C119" s="556" t="s">
        <v>763</v>
      </c>
      <c r="D119" s="453">
        <v>0.0</v>
      </c>
      <c r="E119" s="566" t="s">
        <v>114</v>
      </c>
      <c r="F119" s="452" t="s">
        <v>115</v>
      </c>
      <c r="G119" s="452" t="s">
        <v>116</v>
      </c>
      <c r="H119" s="455"/>
      <c r="I119" s="457">
        <v>35159.0</v>
      </c>
      <c r="J119" s="457">
        <v>45078.0</v>
      </c>
      <c r="K119" s="458">
        <v>45322.0</v>
      </c>
      <c r="L119" s="453">
        <v>0.0</v>
      </c>
      <c r="M119" s="515">
        <v>45839.0</v>
      </c>
      <c r="N119" s="515">
        <v>45869.0</v>
      </c>
    </row>
    <row r="120">
      <c r="A120" s="557" t="s">
        <v>16</v>
      </c>
      <c r="B120" s="558">
        <v>4320.0</v>
      </c>
      <c r="C120" s="556" t="s">
        <v>763</v>
      </c>
      <c r="D120" s="558">
        <v>0.0</v>
      </c>
      <c r="E120" s="567" t="s">
        <v>857</v>
      </c>
      <c r="F120" s="568" t="s">
        <v>858</v>
      </c>
      <c r="G120" s="568" t="s">
        <v>859</v>
      </c>
      <c r="H120" s="569"/>
      <c r="I120" s="570">
        <v>36087.0</v>
      </c>
      <c r="J120" s="570">
        <v>45810.0</v>
      </c>
      <c r="K120" s="570">
        <v>45853.0</v>
      </c>
      <c r="L120" s="562">
        <v>15.0</v>
      </c>
      <c r="M120" s="515">
        <v>45839.0</v>
      </c>
      <c r="N120" s="515">
        <v>45869.0</v>
      </c>
      <c r="O120" s="48"/>
      <c r="P120" s="48"/>
      <c r="Q120" s="48"/>
      <c r="R120" s="48"/>
      <c r="S120" s="48"/>
      <c r="T120" s="48"/>
      <c r="U120" s="48"/>
      <c r="V120" s="48"/>
      <c r="W120" s="48"/>
    </row>
    <row r="121">
      <c r="A121" s="452" t="s">
        <v>16</v>
      </c>
      <c r="B121" s="453">
        <v>4320.0</v>
      </c>
      <c r="C121" s="556" t="s">
        <v>763</v>
      </c>
      <c r="D121" s="453">
        <v>0.0</v>
      </c>
      <c r="E121" s="566" t="s">
        <v>457</v>
      </c>
      <c r="F121" s="452" t="s">
        <v>515</v>
      </c>
      <c r="G121" s="452" t="s">
        <v>458</v>
      </c>
      <c r="H121" s="455"/>
      <c r="I121" s="457">
        <v>37061.0</v>
      </c>
      <c r="J121" s="462">
        <v>45505.0</v>
      </c>
      <c r="K121" s="516">
        <v>45808.0</v>
      </c>
      <c r="L121" s="514">
        <v>0.0</v>
      </c>
      <c r="M121" s="515">
        <v>45839.0</v>
      </c>
      <c r="N121" s="515">
        <v>45869.0</v>
      </c>
    </row>
    <row r="122">
      <c r="A122" s="452" t="s">
        <v>16</v>
      </c>
      <c r="B122" s="453">
        <v>4320.0</v>
      </c>
      <c r="C122" s="556" t="s">
        <v>763</v>
      </c>
      <c r="D122" s="453">
        <v>0.0</v>
      </c>
      <c r="E122" s="565" t="s">
        <v>439</v>
      </c>
      <c r="F122" s="452" t="s">
        <v>121</v>
      </c>
      <c r="G122" s="452" t="s">
        <v>122</v>
      </c>
      <c r="H122" s="455"/>
      <c r="I122" s="456">
        <v>36794.0</v>
      </c>
      <c r="J122" s="456">
        <v>44915.0</v>
      </c>
      <c r="K122" s="456">
        <v>45709.0</v>
      </c>
      <c r="L122" s="453">
        <v>0.0</v>
      </c>
      <c r="M122" s="515">
        <v>45839.0</v>
      </c>
      <c r="N122" s="515">
        <v>45869.0</v>
      </c>
    </row>
    <row r="123">
      <c r="A123" s="452" t="s">
        <v>16</v>
      </c>
      <c r="B123" s="453">
        <v>4320.0</v>
      </c>
      <c r="C123" s="556" t="s">
        <v>763</v>
      </c>
      <c r="D123" s="453">
        <v>0.0</v>
      </c>
      <c r="E123" s="566" t="s">
        <v>643</v>
      </c>
      <c r="F123" s="452" t="s">
        <v>124</v>
      </c>
      <c r="G123" s="452" t="s">
        <v>125</v>
      </c>
      <c r="H123" s="455"/>
      <c r="I123" s="456">
        <v>37149.0</v>
      </c>
      <c r="J123" s="457">
        <v>45124.0</v>
      </c>
      <c r="K123" s="457">
        <v>45453.0</v>
      </c>
      <c r="L123" s="453">
        <v>0.0</v>
      </c>
      <c r="M123" s="515">
        <v>45839.0</v>
      </c>
      <c r="N123" s="515">
        <v>45869.0</v>
      </c>
    </row>
    <row r="124">
      <c r="A124" s="452" t="s">
        <v>16</v>
      </c>
      <c r="B124" s="453">
        <v>4320.0</v>
      </c>
      <c r="C124" s="556" t="s">
        <v>763</v>
      </c>
      <c r="D124" s="453">
        <v>0.0</v>
      </c>
      <c r="E124" s="565" t="s">
        <v>237</v>
      </c>
      <c r="F124" s="452" t="s">
        <v>238</v>
      </c>
      <c r="G124" s="452" t="s">
        <v>239</v>
      </c>
      <c r="H124" s="455"/>
      <c r="I124" s="457">
        <v>34503.0</v>
      </c>
      <c r="J124" s="456">
        <v>45251.0</v>
      </c>
      <c r="K124" s="456">
        <v>45338.0</v>
      </c>
      <c r="L124" s="453">
        <v>0.0</v>
      </c>
      <c r="M124" s="515">
        <v>45839.0</v>
      </c>
      <c r="N124" s="515">
        <v>45869.0</v>
      </c>
    </row>
    <row r="125">
      <c r="A125" s="452" t="s">
        <v>16</v>
      </c>
      <c r="B125" s="453">
        <v>4320.0</v>
      </c>
      <c r="C125" s="556" t="s">
        <v>763</v>
      </c>
      <c r="D125" s="453">
        <v>0.0</v>
      </c>
      <c r="E125" s="452" t="s">
        <v>506</v>
      </c>
      <c r="F125" s="452" t="s">
        <v>544</v>
      </c>
      <c r="G125" s="452" t="s">
        <v>507</v>
      </c>
      <c r="H125" s="455"/>
      <c r="I125" s="456">
        <v>36981.0</v>
      </c>
      <c r="J125" s="456">
        <v>45642.0</v>
      </c>
      <c r="K125" s="461"/>
      <c r="L125" s="514">
        <v>31.0</v>
      </c>
      <c r="M125" s="515">
        <v>45839.0</v>
      </c>
      <c r="N125" s="515">
        <v>45869.0</v>
      </c>
    </row>
    <row r="126">
      <c r="A126" s="452" t="s">
        <v>16</v>
      </c>
      <c r="B126" s="453">
        <v>4320.0</v>
      </c>
      <c r="C126" s="556" t="s">
        <v>763</v>
      </c>
      <c r="D126" s="453">
        <v>0.0</v>
      </c>
      <c r="E126" s="452" t="s">
        <v>788</v>
      </c>
      <c r="F126" s="452" t="s">
        <v>823</v>
      </c>
      <c r="G126" s="452" t="s">
        <v>790</v>
      </c>
      <c r="H126" s="455"/>
      <c r="I126" s="456">
        <v>36459.0</v>
      </c>
      <c r="J126" s="458">
        <v>45789.0</v>
      </c>
      <c r="K126" s="454"/>
      <c r="L126" s="514">
        <v>31.0</v>
      </c>
      <c r="M126" s="515">
        <v>45839.0</v>
      </c>
      <c r="N126" s="515">
        <v>45869.0</v>
      </c>
    </row>
    <row r="127">
      <c r="A127" s="452" t="s">
        <v>16</v>
      </c>
      <c r="B127" s="453">
        <v>4320.0</v>
      </c>
      <c r="C127" s="556" t="s">
        <v>763</v>
      </c>
      <c r="D127" s="453">
        <v>0.0</v>
      </c>
      <c r="E127" s="452" t="s">
        <v>487</v>
      </c>
      <c r="F127" s="452" t="s">
        <v>533</v>
      </c>
      <c r="G127" s="452" t="s">
        <v>488</v>
      </c>
      <c r="H127" s="455"/>
      <c r="I127" s="458">
        <v>35195.0</v>
      </c>
      <c r="J127" s="457">
        <v>45602.0</v>
      </c>
      <c r="K127" s="454"/>
      <c r="L127" s="514">
        <v>31.0</v>
      </c>
      <c r="M127" s="515">
        <v>45839.0</v>
      </c>
      <c r="N127" s="515">
        <v>45869.0</v>
      </c>
    </row>
    <row r="128">
      <c r="A128" s="452" t="s">
        <v>16</v>
      </c>
      <c r="B128" s="453">
        <v>4320.0</v>
      </c>
      <c r="C128" s="556" t="s">
        <v>763</v>
      </c>
      <c r="D128" s="453">
        <v>0.0</v>
      </c>
      <c r="E128" s="452" t="s">
        <v>343</v>
      </c>
      <c r="F128" s="452" t="s">
        <v>344</v>
      </c>
      <c r="G128" s="452" t="s">
        <v>345</v>
      </c>
      <c r="H128" s="455"/>
      <c r="I128" s="456">
        <v>36821.0</v>
      </c>
      <c r="J128" s="456">
        <v>45362.0</v>
      </c>
      <c r="K128" s="454"/>
      <c r="L128" s="514">
        <v>31.0</v>
      </c>
      <c r="M128" s="515">
        <v>45839.0</v>
      </c>
      <c r="N128" s="515">
        <v>45869.0</v>
      </c>
    </row>
    <row r="129">
      <c r="A129" s="452" t="s">
        <v>16</v>
      </c>
      <c r="B129" s="453">
        <v>4320.0</v>
      </c>
      <c r="C129" s="556" t="s">
        <v>763</v>
      </c>
      <c r="D129" s="453">
        <v>0.0</v>
      </c>
      <c r="E129" s="452" t="s">
        <v>750</v>
      </c>
      <c r="F129" s="452" t="s">
        <v>751</v>
      </c>
      <c r="G129" s="452" t="s">
        <v>752</v>
      </c>
      <c r="H129" s="455"/>
      <c r="I129" s="456">
        <v>36581.0</v>
      </c>
      <c r="J129" s="456">
        <v>45740.0</v>
      </c>
      <c r="K129" s="461"/>
      <c r="L129" s="514">
        <v>31.0</v>
      </c>
      <c r="M129" s="515">
        <v>45839.0</v>
      </c>
      <c r="N129" s="515">
        <v>45869.0</v>
      </c>
    </row>
    <row r="130">
      <c r="A130" s="452" t="s">
        <v>16</v>
      </c>
      <c r="B130" s="453">
        <v>4320.0</v>
      </c>
      <c r="C130" s="556" t="s">
        <v>763</v>
      </c>
      <c r="D130" s="453">
        <v>0.0</v>
      </c>
      <c r="E130" s="452" t="s">
        <v>129</v>
      </c>
      <c r="F130" s="452" t="s">
        <v>130</v>
      </c>
      <c r="G130" s="452" t="s">
        <v>131</v>
      </c>
      <c r="H130" s="455"/>
      <c r="I130" s="456">
        <v>36207.0</v>
      </c>
      <c r="J130" s="457">
        <v>45054.0</v>
      </c>
      <c r="K130" s="456">
        <v>44960.0</v>
      </c>
      <c r="L130" s="453">
        <v>0.0</v>
      </c>
      <c r="M130" s="515">
        <v>45839.0</v>
      </c>
      <c r="N130" s="515">
        <v>45869.0</v>
      </c>
    </row>
    <row r="131">
      <c r="A131" s="452" t="s">
        <v>16</v>
      </c>
      <c r="B131" s="453">
        <v>4320.0</v>
      </c>
      <c r="C131" s="556" t="s">
        <v>763</v>
      </c>
      <c r="D131" s="453">
        <v>0.0</v>
      </c>
      <c r="E131" s="452" t="s">
        <v>429</v>
      </c>
      <c r="F131" s="452" t="s">
        <v>516</v>
      </c>
      <c r="G131" s="452" t="s">
        <v>430</v>
      </c>
      <c r="H131" s="455"/>
      <c r="I131" s="457">
        <v>37257.0</v>
      </c>
      <c r="J131" s="457">
        <v>45481.0</v>
      </c>
      <c r="K131" s="454"/>
      <c r="L131" s="514">
        <v>31.0</v>
      </c>
      <c r="M131" s="515">
        <v>45839.0</v>
      </c>
      <c r="N131" s="515">
        <v>45869.0</v>
      </c>
    </row>
    <row r="132">
      <c r="A132" s="452" t="s">
        <v>16</v>
      </c>
      <c r="B132" s="453">
        <v>4320.0</v>
      </c>
      <c r="C132" s="556" t="s">
        <v>763</v>
      </c>
      <c r="D132" s="453">
        <v>0.0</v>
      </c>
      <c r="E132" s="452" t="s">
        <v>489</v>
      </c>
      <c r="F132" s="452" t="s">
        <v>536</v>
      </c>
      <c r="G132" s="452" t="s">
        <v>490</v>
      </c>
      <c r="H132" s="455"/>
      <c r="I132" s="457">
        <v>37105.0</v>
      </c>
      <c r="J132" s="457">
        <v>45602.0</v>
      </c>
      <c r="K132" s="461"/>
      <c r="L132" s="514">
        <v>31.0</v>
      </c>
      <c r="M132" s="515">
        <v>45839.0</v>
      </c>
      <c r="N132" s="515">
        <v>45869.0</v>
      </c>
    </row>
    <row r="133">
      <c r="A133" s="452" t="s">
        <v>16</v>
      </c>
      <c r="B133" s="453">
        <v>4320.0</v>
      </c>
      <c r="C133" s="556" t="s">
        <v>763</v>
      </c>
      <c r="D133" s="453">
        <v>0.0</v>
      </c>
      <c r="E133" s="452" t="s">
        <v>644</v>
      </c>
      <c r="F133" s="452" t="s">
        <v>190</v>
      </c>
      <c r="G133" s="452" t="s">
        <v>191</v>
      </c>
      <c r="H133" s="455"/>
      <c r="I133" s="456">
        <v>36421.0</v>
      </c>
      <c r="J133" s="456">
        <v>45166.0</v>
      </c>
      <c r="K133" s="456">
        <v>45535.0</v>
      </c>
      <c r="L133" s="453">
        <v>0.0</v>
      </c>
      <c r="M133" s="515">
        <v>45839.0</v>
      </c>
      <c r="N133" s="515">
        <v>45869.0</v>
      </c>
    </row>
    <row r="134">
      <c r="A134" s="452" t="s">
        <v>16</v>
      </c>
      <c r="B134" s="453">
        <v>4320.0</v>
      </c>
      <c r="C134" s="556" t="s">
        <v>763</v>
      </c>
      <c r="D134" s="453">
        <v>0.0</v>
      </c>
      <c r="E134" s="452" t="s">
        <v>645</v>
      </c>
      <c r="F134" s="452" t="s">
        <v>646</v>
      </c>
      <c r="G134" s="452" t="s">
        <v>647</v>
      </c>
      <c r="H134" s="455"/>
      <c r="I134" s="456">
        <v>37123.0</v>
      </c>
      <c r="J134" s="456">
        <v>44984.0</v>
      </c>
      <c r="K134" s="456">
        <v>45199.0</v>
      </c>
      <c r="L134" s="453">
        <v>0.0</v>
      </c>
      <c r="M134" s="515">
        <v>45839.0</v>
      </c>
      <c r="N134" s="515">
        <v>45869.0</v>
      </c>
    </row>
    <row r="135">
      <c r="A135" s="452" t="s">
        <v>16</v>
      </c>
      <c r="B135" s="453">
        <v>4320.0</v>
      </c>
      <c r="C135" s="556" t="s">
        <v>763</v>
      </c>
      <c r="D135" s="453">
        <v>0.0</v>
      </c>
      <c r="E135" s="452" t="s">
        <v>416</v>
      </c>
      <c r="F135" s="452" t="s">
        <v>517</v>
      </c>
      <c r="G135" s="452" t="s">
        <v>417</v>
      </c>
      <c r="H135" s="455"/>
      <c r="I135" s="457">
        <v>36346.0</v>
      </c>
      <c r="J135" s="457">
        <v>45453.0</v>
      </c>
      <c r="K135" s="461"/>
      <c r="L135" s="514">
        <v>31.0</v>
      </c>
      <c r="M135" s="515">
        <v>45839.0</v>
      </c>
      <c r="N135" s="515">
        <v>45869.0</v>
      </c>
    </row>
    <row r="136">
      <c r="A136" s="452" t="s">
        <v>16</v>
      </c>
      <c r="B136" s="453">
        <v>4320.0</v>
      </c>
      <c r="C136" s="556" t="s">
        <v>763</v>
      </c>
      <c r="D136" s="453">
        <v>0.0</v>
      </c>
      <c r="E136" s="452" t="s">
        <v>582</v>
      </c>
      <c r="F136" s="452" t="s">
        <v>583</v>
      </c>
      <c r="G136" s="452" t="s">
        <v>584</v>
      </c>
      <c r="H136" s="455"/>
      <c r="I136" s="456">
        <v>37880.0</v>
      </c>
      <c r="J136" s="457">
        <v>45677.0</v>
      </c>
      <c r="K136" s="458">
        <v>45800.0</v>
      </c>
      <c r="L136" s="514">
        <v>0.0</v>
      </c>
      <c r="M136" s="515">
        <v>45839.0</v>
      </c>
      <c r="N136" s="515">
        <v>45869.0</v>
      </c>
    </row>
    <row r="137">
      <c r="A137" s="452" t="s">
        <v>16</v>
      </c>
      <c r="B137" s="453">
        <v>4320.0</v>
      </c>
      <c r="C137" s="556" t="s">
        <v>763</v>
      </c>
      <c r="D137" s="453">
        <v>0.0</v>
      </c>
      <c r="E137" s="452" t="s">
        <v>648</v>
      </c>
      <c r="F137" s="452" t="s">
        <v>649</v>
      </c>
      <c r="G137" s="452" t="s">
        <v>650</v>
      </c>
      <c r="H137" s="455"/>
      <c r="I137" s="457">
        <v>35039.0</v>
      </c>
      <c r="J137" s="457">
        <v>44986.0</v>
      </c>
      <c r="K137" s="456">
        <v>45199.0</v>
      </c>
      <c r="L137" s="453">
        <v>0.0</v>
      </c>
      <c r="M137" s="515">
        <v>45839.0</v>
      </c>
      <c r="N137" s="515">
        <v>45869.0</v>
      </c>
    </row>
    <row r="138">
      <c r="A138" s="452" t="s">
        <v>16</v>
      </c>
      <c r="B138" s="453">
        <v>4320.0</v>
      </c>
      <c r="C138" s="556" t="s">
        <v>763</v>
      </c>
      <c r="D138" s="453">
        <v>0.0</v>
      </c>
      <c r="E138" s="452" t="s">
        <v>478</v>
      </c>
      <c r="F138" s="452" t="s">
        <v>518</v>
      </c>
      <c r="G138" s="452" t="s">
        <v>426</v>
      </c>
      <c r="H138" s="455"/>
      <c r="I138" s="457">
        <v>36530.0</v>
      </c>
      <c r="J138" s="457">
        <v>45446.0</v>
      </c>
      <c r="K138" s="454"/>
      <c r="L138" s="514">
        <v>31.0</v>
      </c>
      <c r="M138" s="515">
        <v>45839.0</v>
      </c>
      <c r="N138" s="515">
        <v>45869.0</v>
      </c>
    </row>
    <row r="139">
      <c r="A139" s="452" t="s">
        <v>16</v>
      </c>
      <c r="B139" s="453">
        <v>4320.0</v>
      </c>
      <c r="C139" s="556" t="s">
        <v>763</v>
      </c>
      <c r="D139" s="453">
        <v>0.0</v>
      </c>
      <c r="E139" s="452" t="s">
        <v>132</v>
      </c>
      <c r="F139" s="452" t="s">
        <v>519</v>
      </c>
      <c r="G139" s="452" t="s">
        <v>418</v>
      </c>
      <c r="H139" s="455"/>
      <c r="I139" s="456">
        <v>37494.0</v>
      </c>
      <c r="J139" s="457">
        <v>45467.0</v>
      </c>
      <c r="K139" s="456">
        <v>45723.0</v>
      </c>
      <c r="L139" s="453">
        <v>0.0</v>
      </c>
      <c r="M139" s="515">
        <v>45839.0</v>
      </c>
      <c r="N139" s="515">
        <v>45869.0</v>
      </c>
    </row>
    <row r="140">
      <c r="A140" s="452" t="s">
        <v>16</v>
      </c>
      <c r="B140" s="453">
        <v>4320.0</v>
      </c>
      <c r="C140" s="556" t="s">
        <v>763</v>
      </c>
      <c r="D140" s="453">
        <v>0.0</v>
      </c>
      <c r="E140" s="452" t="s">
        <v>132</v>
      </c>
      <c r="F140" s="452" t="s">
        <v>347</v>
      </c>
      <c r="G140" s="452" t="s">
        <v>348</v>
      </c>
      <c r="H140" s="455"/>
      <c r="I140" s="457">
        <v>36778.0</v>
      </c>
      <c r="J140" s="456">
        <v>45369.0</v>
      </c>
      <c r="K140" s="456">
        <v>45565.0</v>
      </c>
      <c r="L140" s="453">
        <v>0.0</v>
      </c>
      <c r="M140" s="515">
        <v>45839.0</v>
      </c>
      <c r="N140" s="515">
        <v>45869.0</v>
      </c>
    </row>
    <row r="141">
      <c r="A141" s="557" t="s">
        <v>16</v>
      </c>
      <c r="B141" s="558">
        <v>4320.0</v>
      </c>
      <c r="C141" s="556" t="s">
        <v>763</v>
      </c>
      <c r="D141" s="558">
        <v>0.0</v>
      </c>
      <c r="E141" s="557" t="s">
        <v>570</v>
      </c>
      <c r="F141" s="557" t="s">
        <v>571</v>
      </c>
      <c r="G141" s="557" t="s">
        <v>572</v>
      </c>
      <c r="H141" s="559"/>
      <c r="I141" s="561">
        <v>37362.0</v>
      </c>
      <c r="J141" s="561">
        <v>45677.0</v>
      </c>
      <c r="K141" s="571">
        <v>45869.0</v>
      </c>
      <c r="L141" s="562">
        <v>31.0</v>
      </c>
      <c r="M141" s="515">
        <v>45839.0</v>
      </c>
      <c r="N141" s="515">
        <v>45869.0</v>
      </c>
      <c r="O141" s="48"/>
      <c r="P141" s="48"/>
      <c r="Q141" s="48"/>
      <c r="R141" s="48"/>
      <c r="S141" s="48"/>
      <c r="T141" s="48"/>
      <c r="U141" s="48"/>
      <c r="V141" s="48"/>
      <c r="W141" s="48"/>
    </row>
    <row r="142">
      <c r="A142" s="452" t="s">
        <v>16</v>
      </c>
      <c r="B142" s="453">
        <v>4320.0</v>
      </c>
      <c r="C142" s="556" t="s">
        <v>763</v>
      </c>
      <c r="D142" s="453">
        <v>0.0</v>
      </c>
      <c r="E142" s="452" t="s">
        <v>702</v>
      </c>
      <c r="F142" s="452" t="s">
        <v>703</v>
      </c>
      <c r="G142" s="452" t="s">
        <v>704</v>
      </c>
      <c r="H142" s="455"/>
      <c r="I142" s="456">
        <v>35714.0</v>
      </c>
      <c r="J142" s="456">
        <v>45705.0</v>
      </c>
      <c r="K142" s="454"/>
      <c r="L142" s="514">
        <v>31.0</v>
      </c>
      <c r="M142" s="515">
        <v>45839.0</v>
      </c>
      <c r="N142" s="515">
        <v>45869.0</v>
      </c>
    </row>
    <row r="143">
      <c r="A143" s="452" t="s">
        <v>16</v>
      </c>
      <c r="B143" s="453">
        <v>4320.0</v>
      </c>
      <c r="C143" s="556" t="s">
        <v>763</v>
      </c>
      <c r="D143" s="453">
        <v>0.0</v>
      </c>
      <c r="E143" s="452" t="s">
        <v>491</v>
      </c>
      <c r="F143" s="452" t="s">
        <v>534</v>
      </c>
      <c r="G143" s="452" t="s">
        <v>492</v>
      </c>
      <c r="H143" s="455"/>
      <c r="I143" s="456">
        <v>36849.0</v>
      </c>
      <c r="J143" s="456">
        <v>45602.0</v>
      </c>
      <c r="K143" s="456">
        <v>45700.0</v>
      </c>
      <c r="L143" s="453">
        <v>0.0</v>
      </c>
      <c r="M143" s="515">
        <v>45839.0</v>
      </c>
      <c r="N143" s="515">
        <v>45869.0</v>
      </c>
    </row>
    <row r="144">
      <c r="A144" s="452" t="s">
        <v>16</v>
      </c>
      <c r="B144" s="453">
        <v>4320.0</v>
      </c>
      <c r="C144" s="556" t="s">
        <v>763</v>
      </c>
      <c r="D144" s="453">
        <v>0.0</v>
      </c>
      <c r="E144" s="452" t="s">
        <v>767</v>
      </c>
      <c r="F144" s="452" t="s">
        <v>818</v>
      </c>
      <c r="G144" s="452" t="s">
        <v>768</v>
      </c>
      <c r="H144" s="455"/>
      <c r="I144" s="456">
        <v>35792.0</v>
      </c>
      <c r="J144" s="456">
        <v>45754.0</v>
      </c>
      <c r="K144" s="513">
        <v>45819.0</v>
      </c>
      <c r="L144" s="514">
        <v>0.0</v>
      </c>
      <c r="M144" s="515">
        <v>45839.0</v>
      </c>
      <c r="N144" s="515">
        <v>45869.0</v>
      </c>
    </row>
    <row r="145">
      <c r="A145" s="452" t="s">
        <v>16</v>
      </c>
      <c r="B145" s="453">
        <v>4320.0</v>
      </c>
      <c r="C145" s="556" t="s">
        <v>763</v>
      </c>
      <c r="D145" s="453">
        <v>0.0</v>
      </c>
      <c r="E145" s="452" t="s">
        <v>651</v>
      </c>
      <c r="F145" s="452" t="s">
        <v>652</v>
      </c>
      <c r="G145" s="452" t="s">
        <v>653</v>
      </c>
      <c r="H145" s="455"/>
      <c r="I145" s="456">
        <v>34748.0</v>
      </c>
      <c r="J145" s="457">
        <v>45033.0</v>
      </c>
      <c r="K145" s="456">
        <v>45381.0</v>
      </c>
      <c r="L145" s="453">
        <v>0.0</v>
      </c>
      <c r="M145" s="515">
        <v>45839.0</v>
      </c>
      <c r="N145" s="515">
        <v>45869.0</v>
      </c>
    </row>
    <row r="146">
      <c r="A146" s="452" t="s">
        <v>16</v>
      </c>
      <c r="B146" s="453">
        <v>4320.0</v>
      </c>
      <c r="C146" s="556" t="s">
        <v>763</v>
      </c>
      <c r="D146" s="453">
        <v>0.0</v>
      </c>
      <c r="E146" s="452" t="s">
        <v>459</v>
      </c>
      <c r="F146" s="452" t="s">
        <v>374</v>
      </c>
      <c r="G146" s="452" t="s">
        <v>375</v>
      </c>
      <c r="H146" s="455"/>
      <c r="I146" s="462">
        <v>37085.0</v>
      </c>
      <c r="J146" s="462">
        <v>45400.0</v>
      </c>
      <c r="K146" s="461"/>
      <c r="L146" s="514">
        <v>31.0</v>
      </c>
      <c r="M146" s="515">
        <v>45839.0</v>
      </c>
      <c r="N146" s="515">
        <v>45869.0</v>
      </c>
    </row>
    <row r="147">
      <c r="A147" s="452" t="s">
        <v>16</v>
      </c>
      <c r="B147" s="453">
        <v>4320.0</v>
      </c>
      <c r="C147" s="556" t="s">
        <v>763</v>
      </c>
      <c r="D147" s="453">
        <v>0.0</v>
      </c>
      <c r="E147" s="452" t="s">
        <v>135</v>
      </c>
      <c r="F147" s="452" t="s">
        <v>136</v>
      </c>
      <c r="G147" s="452" t="s">
        <v>137</v>
      </c>
      <c r="H147" s="455"/>
      <c r="I147" s="456">
        <v>36768.0</v>
      </c>
      <c r="J147" s="456">
        <v>44888.0</v>
      </c>
      <c r="K147" s="456">
        <v>45260.0</v>
      </c>
      <c r="L147" s="453">
        <v>0.0</v>
      </c>
      <c r="M147" s="515">
        <v>45839.0</v>
      </c>
      <c r="N147" s="515">
        <v>45869.0</v>
      </c>
    </row>
    <row r="148">
      <c r="A148" s="452" t="s">
        <v>16</v>
      </c>
      <c r="B148" s="453">
        <v>4320.0</v>
      </c>
      <c r="C148" s="556" t="s">
        <v>763</v>
      </c>
      <c r="D148" s="453">
        <v>0.0</v>
      </c>
      <c r="E148" s="452" t="s">
        <v>349</v>
      </c>
      <c r="F148" s="452" t="s">
        <v>350</v>
      </c>
      <c r="G148" s="452" t="s">
        <v>351</v>
      </c>
      <c r="H148" s="455"/>
      <c r="I148" s="457">
        <v>37647.0</v>
      </c>
      <c r="J148" s="457">
        <v>45355.0</v>
      </c>
      <c r="K148" s="461"/>
      <c r="L148" s="514">
        <v>31.0</v>
      </c>
      <c r="M148" s="515">
        <v>45839.0</v>
      </c>
      <c r="N148" s="515">
        <v>45869.0</v>
      </c>
    </row>
    <row r="149">
      <c r="A149" s="452" t="s">
        <v>16</v>
      </c>
      <c r="B149" s="453">
        <v>4320.0</v>
      </c>
      <c r="C149" s="556" t="s">
        <v>763</v>
      </c>
      <c r="D149" s="453">
        <v>0.0</v>
      </c>
      <c r="E149" s="452" t="s">
        <v>654</v>
      </c>
      <c r="F149" s="452" t="s">
        <v>655</v>
      </c>
      <c r="G149" s="452" t="s">
        <v>656</v>
      </c>
      <c r="H149" s="455"/>
      <c r="I149" s="456">
        <v>34318.0</v>
      </c>
      <c r="J149" s="456">
        <v>45229.0</v>
      </c>
      <c r="K149" s="456">
        <v>45523.0</v>
      </c>
      <c r="L149" s="453">
        <v>0.0</v>
      </c>
      <c r="M149" s="515">
        <v>45839.0</v>
      </c>
      <c r="N149" s="515">
        <v>45869.0</v>
      </c>
    </row>
    <row r="150">
      <c r="A150" s="452" t="s">
        <v>16</v>
      </c>
      <c r="B150" s="453">
        <v>4320.0</v>
      </c>
      <c r="C150" s="556" t="s">
        <v>763</v>
      </c>
      <c r="D150" s="453">
        <v>0.0</v>
      </c>
      <c r="E150" s="452" t="s">
        <v>141</v>
      </c>
      <c r="F150" s="452" t="s">
        <v>142</v>
      </c>
      <c r="G150" s="452" t="s">
        <v>143</v>
      </c>
      <c r="H150" s="455"/>
      <c r="I150" s="456">
        <v>34300.0</v>
      </c>
      <c r="J150" s="456">
        <v>45183.0</v>
      </c>
      <c r="K150" s="456">
        <v>45565.0</v>
      </c>
      <c r="L150" s="453">
        <v>0.0</v>
      </c>
      <c r="M150" s="515">
        <v>45839.0</v>
      </c>
      <c r="N150" s="515">
        <v>45869.0</v>
      </c>
    </row>
    <row r="151">
      <c r="A151" s="452" t="s">
        <v>16</v>
      </c>
      <c r="B151" s="453">
        <v>4320.0</v>
      </c>
      <c r="C151" s="556" t="s">
        <v>763</v>
      </c>
      <c r="D151" s="453">
        <v>0.0</v>
      </c>
      <c r="E151" s="452" t="s">
        <v>657</v>
      </c>
      <c r="F151" s="452" t="s">
        <v>658</v>
      </c>
      <c r="G151" s="452" t="s">
        <v>659</v>
      </c>
      <c r="H151" s="455"/>
      <c r="I151" s="456">
        <v>35147.0</v>
      </c>
      <c r="J151" s="456">
        <v>44886.0</v>
      </c>
      <c r="K151" s="456">
        <v>45243.0</v>
      </c>
      <c r="L151" s="453">
        <v>0.0</v>
      </c>
      <c r="M151" s="515">
        <v>45839.0</v>
      </c>
      <c r="N151" s="515">
        <v>45869.0</v>
      </c>
    </row>
    <row r="152">
      <c r="A152" s="452" t="s">
        <v>16</v>
      </c>
      <c r="B152" s="453">
        <v>4320.0</v>
      </c>
      <c r="C152" s="556" t="s">
        <v>763</v>
      </c>
      <c r="D152" s="453">
        <v>0.0</v>
      </c>
      <c r="E152" s="452" t="s">
        <v>352</v>
      </c>
      <c r="F152" s="452" t="s">
        <v>353</v>
      </c>
      <c r="G152" s="452" t="s">
        <v>354</v>
      </c>
      <c r="H152" s="455"/>
      <c r="I152" s="457">
        <v>36412.0</v>
      </c>
      <c r="J152" s="457">
        <v>45355.0</v>
      </c>
      <c r="K152" s="454"/>
      <c r="L152" s="514">
        <v>31.0</v>
      </c>
      <c r="M152" s="515">
        <v>45839.0</v>
      </c>
      <c r="N152" s="515">
        <v>45869.0</v>
      </c>
    </row>
    <row r="153">
      <c r="A153" s="557" t="s">
        <v>16</v>
      </c>
      <c r="B153" s="558">
        <v>4320.0</v>
      </c>
      <c r="C153" s="556" t="s">
        <v>763</v>
      </c>
      <c r="D153" s="558">
        <v>0.0</v>
      </c>
      <c r="E153" s="557" t="s">
        <v>803</v>
      </c>
      <c r="F153" s="557" t="s">
        <v>804</v>
      </c>
      <c r="G153" s="557" t="s">
        <v>805</v>
      </c>
      <c r="H153" s="559"/>
      <c r="I153" s="560">
        <v>37817.0</v>
      </c>
      <c r="J153" s="572">
        <v>45796.0</v>
      </c>
      <c r="K153" s="573">
        <v>45866.0</v>
      </c>
      <c r="L153" s="562">
        <v>28.0</v>
      </c>
      <c r="M153" s="515">
        <v>45839.0</v>
      </c>
      <c r="N153" s="515">
        <v>45869.0</v>
      </c>
      <c r="O153" s="48"/>
      <c r="P153" s="48"/>
      <c r="Q153" s="48"/>
      <c r="R153" s="48"/>
      <c r="S153" s="48"/>
      <c r="T153" s="48"/>
      <c r="U153" s="48"/>
      <c r="V153" s="48"/>
      <c r="W153" s="48"/>
    </row>
    <row r="154">
      <c r="A154" s="452" t="s">
        <v>16</v>
      </c>
      <c r="B154" s="453">
        <v>4320.0</v>
      </c>
      <c r="C154" s="556" t="s">
        <v>763</v>
      </c>
      <c r="D154" s="453">
        <v>0.0</v>
      </c>
      <c r="E154" s="452" t="s">
        <v>419</v>
      </c>
      <c r="F154" s="452" t="s">
        <v>520</v>
      </c>
      <c r="G154" s="452" t="s">
        <v>420</v>
      </c>
      <c r="H154" s="455"/>
      <c r="I154" s="457">
        <v>36907.0</v>
      </c>
      <c r="J154" s="462">
        <v>45446.0</v>
      </c>
      <c r="K154" s="457">
        <v>45676.0</v>
      </c>
      <c r="L154" s="453">
        <v>0.0</v>
      </c>
      <c r="M154" s="515">
        <v>45839.0</v>
      </c>
      <c r="N154" s="515">
        <v>45869.0</v>
      </c>
    </row>
    <row r="155">
      <c r="A155" s="452" t="s">
        <v>16</v>
      </c>
      <c r="B155" s="453">
        <v>4320.0</v>
      </c>
      <c r="C155" s="556" t="s">
        <v>763</v>
      </c>
      <c r="D155" s="453">
        <v>0.0</v>
      </c>
      <c r="E155" s="452" t="s">
        <v>660</v>
      </c>
      <c r="F155" s="452" t="s">
        <v>127</v>
      </c>
      <c r="G155" s="452" t="s">
        <v>128</v>
      </c>
      <c r="H155" s="455"/>
      <c r="I155" s="457">
        <v>36132.0</v>
      </c>
      <c r="J155" s="457">
        <v>45117.0</v>
      </c>
      <c r="K155" s="456">
        <v>45260.0</v>
      </c>
      <c r="L155" s="453">
        <v>0.0</v>
      </c>
      <c r="M155" s="515">
        <v>45839.0</v>
      </c>
      <c r="N155" s="515">
        <v>45869.0</v>
      </c>
    </row>
    <row r="156">
      <c r="A156" s="452" t="s">
        <v>16</v>
      </c>
      <c r="B156" s="453">
        <v>4320.0</v>
      </c>
      <c r="C156" s="556" t="s">
        <v>763</v>
      </c>
      <c r="D156" s="453">
        <v>0.0</v>
      </c>
      <c r="E156" s="452" t="s">
        <v>705</v>
      </c>
      <c r="F156" s="452" t="s">
        <v>758</v>
      </c>
      <c r="G156" s="452" t="s">
        <v>707</v>
      </c>
      <c r="H156" s="455"/>
      <c r="I156" s="457">
        <v>36594.0</v>
      </c>
      <c r="J156" s="456">
        <v>45712.0</v>
      </c>
      <c r="K156" s="454"/>
      <c r="L156" s="514">
        <v>31.0</v>
      </c>
      <c r="M156" s="515">
        <v>45839.0</v>
      </c>
      <c r="N156" s="515">
        <v>45869.0</v>
      </c>
    </row>
    <row r="157">
      <c r="A157" s="452" t="s">
        <v>16</v>
      </c>
      <c r="B157" s="453">
        <v>4320.0</v>
      </c>
      <c r="C157" s="556" t="s">
        <v>763</v>
      </c>
      <c r="D157" s="453">
        <v>0.0</v>
      </c>
      <c r="E157" s="452" t="s">
        <v>398</v>
      </c>
      <c r="F157" s="452" t="s">
        <v>399</v>
      </c>
      <c r="G157" s="452" t="s">
        <v>400</v>
      </c>
      <c r="H157" s="455"/>
      <c r="I157" s="457">
        <v>36655.0</v>
      </c>
      <c r="J157" s="457">
        <v>45418.0</v>
      </c>
      <c r="K157" s="457">
        <v>45539.0</v>
      </c>
      <c r="L157" s="453">
        <v>0.0</v>
      </c>
      <c r="M157" s="515">
        <v>45839.0</v>
      </c>
      <c r="N157" s="515">
        <v>45869.0</v>
      </c>
    </row>
    <row r="158">
      <c r="A158" s="452" t="s">
        <v>16</v>
      </c>
      <c r="B158" s="453">
        <v>4320.0</v>
      </c>
      <c r="C158" s="556" t="s">
        <v>763</v>
      </c>
      <c r="D158" s="453">
        <v>0.0</v>
      </c>
      <c r="E158" s="452" t="s">
        <v>661</v>
      </c>
      <c r="F158" s="452" t="s">
        <v>662</v>
      </c>
      <c r="G158" s="452" t="s">
        <v>663</v>
      </c>
      <c r="H158" s="455"/>
      <c r="I158" s="457">
        <v>31262.0</v>
      </c>
      <c r="J158" s="457">
        <v>45048.0</v>
      </c>
      <c r="K158" s="456">
        <v>45199.0</v>
      </c>
      <c r="L158" s="453">
        <v>0.0</v>
      </c>
      <c r="M158" s="515">
        <v>45839.0</v>
      </c>
      <c r="N158" s="515">
        <v>45869.0</v>
      </c>
    </row>
    <row r="159">
      <c r="A159" s="452" t="s">
        <v>16</v>
      </c>
      <c r="B159" s="453">
        <v>4320.0</v>
      </c>
      <c r="C159" s="556" t="s">
        <v>763</v>
      </c>
      <c r="D159" s="453">
        <v>0.0</v>
      </c>
      <c r="E159" s="452" t="s">
        <v>147</v>
      </c>
      <c r="F159" s="452" t="s">
        <v>148</v>
      </c>
      <c r="G159" s="452" t="s">
        <v>149</v>
      </c>
      <c r="H159" s="455"/>
      <c r="I159" s="457">
        <v>36541.0</v>
      </c>
      <c r="J159" s="457">
        <v>44755.0</v>
      </c>
      <c r="K159" s="457">
        <v>45386.0</v>
      </c>
      <c r="L159" s="453">
        <v>0.0</v>
      </c>
      <c r="M159" s="515">
        <v>45839.0</v>
      </c>
      <c r="N159" s="515">
        <v>45869.0</v>
      </c>
    </row>
    <row r="160">
      <c r="A160" s="452" t="s">
        <v>16</v>
      </c>
      <c r="B160" s="453">
        <v>4320.0</v>
      </c>
      <c r="C160" s="556" t="s">
        <v>763</v>
      </c>
      <c r="D160" s="453">
        <v>0.0</v>
      </c>
      <c r="E160" s="452" t="s">
        <v>150</v>
      </c>
      <c r="F160" s="452" t="s">
        <v>151</v>
      </c>
      <c r="G160" s="452" t="s">
        <v>152</v>
      </c>
      <c r="H160" s="455"/>
      <c r="I160" s="457">
        <v>34335.0</v>
      </c>
      <c r="J160" s="457">
        <v>45078.0</v>
      </c>
      <c r="K160" s="457">
        <v>45400.0</v>
      </c>
      <c r="L160" s="453">
        <v>0.0</v>
      </c>
      <c r="M160" s="515">
        <v>45839.0</v>
      </c>
      <c r="N160" s="515">
        <v>45869.0</v>
      </c>
    </row>
    <row r="161">
      <c r="A161" s="452" t="s">
        <v>16</v>
      </c>
      <c r="B161" s="453">
        <v>4320.0</v>
      </c>
      <c r="C161" s="556" t="s">
        <v>763</v>
      </c>
      <c r="D161" s="453">
        <v>0.0</v>
      </c>
      <c r="E161" s="452" t="s">
        <v>153</v>
      </c>
      <c r="F161" s="452" t="s">
        <v>154</v>
      </c>
      <c r="G161" s="452" t="s">
        <v>155</v>
      </c>
      <c r="H161" s="455"/>
      <c r="I161" s="456">
        <v>31014.0</v>
      </c>
      <c r="J161" s="457">
        <v>44805.0</v>
      </c>
      <c r="K161" s="456">
        <v>45199.0</v>
      </c>
      <c r="L161" s="453">
        <v>0.0</v>
      </c>
      <c r="M161" s="515">
        <v>45839.0</v>
      </c>
      <c r="N161" s="515">
        <v>45869.0</v>
      </c>
    </row>
    <row r="162">
      <c r="A162" s="452" t="s">
        <v>16</v>
      </c>
      <c r="B162" s="453">
        <v>4320.0</v>
      </c>
      <c r="C162" s="556" t="s">
        <v>763</v>
      </c>
      <c r="D162" s="453">
        <v>0.0</v>
      </c>
      <c r="E162" s="452" t="s">
        <v>794</v>
      </c>
      <c r="F162" s="452" t="s">
        <v>819</v>
      </c>
      <c r="G162" s="452" t="s">
        <v>796</v>
      </c>
      <c r="H162" s="455"/>
      <c r="I162" s="456">
        <v>36857.0</v>
      </c>
      <c r="J162" s="456">
        <v>45775.0</v>
      </c>
      <c r="K162" s="454"/>
      <c r="L162" s="514">
        <v>31.0</v>
      </c>
      <c r="M162" s="515">
        <v>45839.0</v>
      </c>
      <c r="N162" s="515">
        <v>45869.0</v>
      </c>
    </row>
    <row r="163">
      <c r="A163" s="452" t="s">
        <v>16</v>
      </c>
      <c r="B163" s="453">
        <v>4320.0</v>
      </c>
      <c r="C163" s="556" t="s">
        <v>763</v>
      </c>
      <c r="D163" s="453">
        <v>0.0</v>
      </c>
      <c r="E163" s="452" t="s">
        <v>273</v>
      </c>
      <c r="F163" s="452" t="s">
        <v>274</v>
      </c>
      <c r="G163" s="452" t="s">
        <v>275</v>
      </c>
      <c r="H163" s="455"/>
      <c r="I163" s="457">
        <v>34522.0</v>
      </c>
      <c r="J163" s="457">
        <v>45292.0</v>
      </c>
      <c r="K163" s="454"/>
      <c r="L163" s="514">
        <v>31.0</v>
      </c>
      <c r="M163" s="515">
        <v>45839.0</v>
      </c>
      <c r="N163" s="515">
        <v>45869.0</v>
      </c>
    </row>
    <row r="164">
      <c r="A164" s="452" t="s">
        <v>16</v>
      </c>
      <c r="B164" s="453">
        <v>4320.0</v>
      </c>
      <c r="C164" s="556" t="s">
        <v>763</v>
      </c>
      <c r="D164" s="453">
        <v>0.0</v>
      </c>
      <c r="E164" s="452" t="s">
        <v>708</v>
      </c>
      <c r="F164" s="452" t="s">
        <v>759</v>
      </c>
      <c r="G164" s="452" t="s">
        <v>710</v>
      </c>
      <c r="H164" s="455"/>
      <c r="I164" s="458">
        <v>37028.0</v>
      </c>
      <c r="J164" s="456">
        <v>45705.0</v>
      </c>
      <c r="K164" s="461"/>
      <c r="L164" s="514">
        <v>31.0</v>
      </c>
      <c r="M164" s="515">
        <v>45839.0</v>
      </c>
      <c r="N164" s="515">
        <v>45869.0</v>
      </c>
    </row>
    <row r="165">
      <c r="A165" s="452" t="s">
        <v>16</v>
      </c>
      <c r="B165" s="453">
        <v>4320.0</v>
      </c>
      <c r="C165" s="556" t="s">
        <v>763</v>
      </c>
      <c r="D165" s="453">
        <v>0.0</v>
      </c>
      <c r="E165" s="452" t="s">
        <v>470</v>
      </c>
      <c r="F165" s="452" t="s">
        <v>528</v>
      </c>
      <c r="G165" s="452" t="s">
        <v>472</v>
      </c>
      <c r="H165" s="455"/>
      <c r="I165" s="457">
        <v>37278.0</v>
      </c>
      <c r="J165" s="457">
        <v>45544.0</v>
      </c>
      <c r="K165" s="456">
        <v>45777.0</v>
      </c>
      <c r="L165" s="453">
        <v>0.0</v>
      </c>
      <c r="M165" s="515">
        <v>45839.0</v>
      </c>
      <c r="N165" s="515">
        <v>45869.0</v>
      </c>
    </row>
    <row r="166">
      <c r="A166" s="452" t="s">
        <v>16</v>
      </c>
      <c r="B166" s="453">
        <v>4320.0</v>
      </c>
      <c r="C166" s="556" t="s">
        <v>763</v>
      </c>
      <c r="D166" s="453">
        <v>0.0</v>
      </c>
      <c r="E166" s="452" t="s">
        <v>558</v>
      </c>
      <c r="F166" s="452" t="s">
        <v>559</v>
      </c>
      <c r="G166" s="452" t="s">
        <v>560</v>
      </c>
      <c r="H166" s="455"/>
      <c r="I166" s="457">
        <v>33811.0</v>
      </c>
      <c r="J166" s="457">
        <v>45663.0</v>
      </c>
      <c r="K166" s="456">
        <v>45667.0</v>
      </c>
      <c r="L166" s="453">
        <v>0.0</v>
      </c>
      <c r="M166" s="515">
        <v>45839.0</v>
      </c>
      <c r="N166" s="515">
        <v>45869.0</v>
      </c>
    </row>
    <row r="167">
      <c r="A167" s="452" t="s">
        <v>16</v>
      </c>
      <c r="B167" s="453">
        <v>4320.0</v>
      </c>
      <c r="C167" s="556" t="s">
        <v>763</v>
      </c>
      <c r="D167" s="453">
        <v>0.0</v>
      </c>
      <c r="E167" s="311" t="s">
        <v>860</v>
      </c>
      <c r="F167" s="251" t="s">
        <v>861</v>
      </c>
      <c r="G167" s="251" t="s">
        <v>862</v>
      </c>
      <c r="I167" s="509">
        <v>36176.0</v>
      </c>
      <c r="J167" s="509">
        <v>45810.0</v>
      </c>
      <c r="L167" s="514">
        <v>31.0</v>
      </c>
      <c r="M167" s="515">
        <v>45839.0</v>
      </c>
      <c r="N167" s="515">
        <v>45869.0</v>
      </c>
    </row>
    <row r="168">
      <c r="A168" s="452" t="s">
        <v>16</v>
      </c>
      <c r="B168" s="453">
        <v>4320.0</v>
      </c>
      <c r="C168" s="556" t="s">
        <v>763</v>
      </c>
      <c r="D168" s="453">
        <v>0.0</v>
      </c>
      <c r="E168" s="452" t="s">
        <v>664</v>
      </c>
      <c r="F168" s="452" t="s">
        <v>157</v>
      </c>
      <c r="G168" s="452" t="s">
        <v>158</v>
      </c>
      <c r="H168" s="455"/>
      <c r="I168" s="456">
        <v>35150.0</v>
      </c>
      <c r="J168" s="457">
        <v>45079.0</v>
      </c>
      <c r="K168" s="456">
        <v>45322.0</v>
      </c>
      <c r="L168" s="453">
        <v>0.0</v>
      </c>
      <c r="M168" s="515">
        <v>45839.0</v>
      </c>
      <c r="N168" s="515">
        <v>45869.0</v>
      </c>
    </row>
    <row r="169">
      <c r="A169" s="452" t="s">
        <v>16</v>
      </c>
      <c r="B169" s="453">
        <v>4320.0</v>
      </c>
      <c r="C169" s="556" t="s">
        <v>763</v>
      </c>
      <c r="D169" s="453">
        <v>0.0</v>
      </c>
      <c r="E169" s="452" t="s">
        <v>495</v>
      </c>
      <c r="F169" s="452" t="s">
        <v>538</v>
      </c>
      <c r="G169" s="452" t="s">
        <v>496</v>
      </c>
      <c r="H169" s="455"/>
      <c r="I169" s="457">
        <v>33452.0</v>
      </c>
      <c r="J169" s="457">
        <v>45628.0</v>
      </c>
      <c r="K169" s="456">
        <v>45728.0</v>
      </c>
      <c r="L169" s="453">
        <v>0.0</v>
      </c>
      <c r="M169" s="515">
        <v>45839.0</v>
      </c>
      <c r="N169" s="515">
        <v>45869.0</v>
      </c>
    </row>
    <row r="170">
      <c r="A170" s="452" t="s">
        <v>16</v>
      </c>
      <c r="B170" s="453">
        <v>4320.0</v>
      </c>
      <c r="C170" s="556" t="s">
        <v>763</v>
      </c>
      <c r="D170" s="453">
        <v>0.0</v>
      </c>
      <c r="E170" s="452" t="s">
        <v>665</v>
      </c>
      <c r="F170" s="452" t="s">
        <v>160</v>
      </c>
      <c r="G170" s="452" t="s">
        <v>161</v>
      </c>
      <c r="H170" s="455"/>
      <c r="I170" s="456">
        <v>35779.0</v>
      </c>
      <c r="J170" s="457">
        <v>45176.0</v>
      </c>
      <c r="K170" s="457">
        <v>45317.0</v>
      </c>
      <c r="L170" s="453">
        <v>0.0</v>
      </c>
      <c r="M170" s="515">
        <v>45839.0</v>
      </c>
      <c r="N170" s="515">
        <v>45869.0</v>
      </c>
    </row>
    <row r="171">
      <c r="A171" s="452" t="s">
        <v>16</v>
      </c>
      <c r="B171" s="453">
        <v>4320.0</v>
      </c>
      <c r="C171" s="556" t="s">
        <v>763</v>
      </c>
      <c r="D171" s="453">
        <v>0.0</v>
      </c>
      <c r="E171" s="452" t="s">
        <v>162</v>
      </c>
      <c r="F171" s="452" t="s">
        <v>163</v>
      </c>
      <c r="G171" s="452" t="s">
        <v>164</v>
      </c>
      <c r="H171" s="455"/>
      <c r="I171" s="462">
        <v>34732.0</v>
      </c>
      <c r="J171" s="457">
        <v>44986.0</v>
      </c>
      <c r="K171" s="461"/>
      <c r="L171" s="514">
        <v>31.0</v>
      </c>
      <c r="M171" s="515">
        <v>45839.0</v>
      </c>
      <c r="N171" s="515">
        <v>45869.0</v>
      </c>
    </row>
    <row r="172">
      <c r="A172" s="452" t="s">
        <v>16</v>
      </c>
      <c r="B172" s="453">
        <v>4320.0</v>
      </c>
      <c r="C172" s="556" t="s">
        <v>763</v>
      </c>
      <c r="D172" s="453">
        <v>0.0</v>
      </c>
      <c r="E172" s="452" t="s">
        <v>809</v>
      </c>
      <c r="F172" s="452" t="s">
        <v>810</v>
      </c>
      <c r="G172" s="452" t="s">
        <v>811</v>
      </c>
      <c r="H172" s="455"/>
      <c r="I172" s="456">
        <v>35148.0</v>
      </c>
      <c r="J172" s="456">
        <v>45775.0</v>
      </c>
      <c r="K172" s="454"/>
      <c r="L172" s="514">
        <v>31.0</v>
      </c>
      <c r="M172" s="515">
        <v>45839.0</v>
      </c>
      <c r="N172" s="515">
        <v>45869.0</v>
      </c>
    </row>
    <row r="173">
      <c r="A173" s="452" t="s">
        <v>16</v>
      </c>
      <c r="B173" s="453">
        <v>4320.0</v>
      </c>
      <c r="C173" s="556" t="s">
        <v>763</v>
      </c>
      <c r="D173" s="453">
        <v>0.0</v>
      </c>
      <c r="E173" s="452" t="s">
        <v>549</v>
      </c>
      <c r="F173" s="452" t="s">
        <v>550</v>
      </c>
      <c r="G173" s="452" t="s">
        <v>551</v>
      </c>
      <c r="H173" s="455"/>
      <c r="I173" s="457">
        <v>37636.0</v>
      </c>
      <c r="J173" s="457">
        <v>45663.0</v>
      </c>
      <c r="K173" s="454"/>
      <c r="L173" s="514">
        <v>31.0</v>
      </c>
      <c r="M173" s="515">
        <v>45839.0</v>
      </c>
      <c r="N173" s="515">
        <v>45869.0</v>
      </c>
    </row>
    <row r="174">
      <c r="A174" s="452" t="s">
        <v>16</v>
      </c>
      <c r="B174" s="453">
        <v>4320.0</v>
      </c>
      <c r="C174" s="556" t="s">
        <v>763</v>
      </c>
      <c r="D174" s="453">
        <v>0.0</v>
      </c>
      <c r="E174" s="452" t="s">
        <v>240</v>
      </c>
      <c r="F174" s="452" t="s">
        <v>241</v>
      </c>
      <c r="G174" s="452" t="s">
        <v>242</v>
      </c>
      <c r="H174" s="455"/>
      <c r="I174" s="457">
        <v>33762.0</v>
      </c>
      <c r="J174" s="456">
        <v>45222.0</v>
      </c>
      <c r="K174" s="457">
        <v>45046.0</v>
      </c>
      <c r="L174" s="453">
        <v>0.0</v>
      </c>
      <c r="M174" s="515">
        <v>45839.0</v>
      </c>
      <c r="N174" s="515">
        <v>45869.0</v>
      </c>
    </row>
    <row r="175">
      <c r="A175" s="452" t="s">
        <v>16</v>
      </c>
      <c r="B175" s="453">
        <v>4320.0</v>
      </c>
      <c r="C175" s="556" t="s">
        <v>763</v>
      </c>
      <c r="D175" s="453">
        <v>0.0</v>
      </c>
      <c r="E175" s="452" t="s">
        <v>168</v>
      </c>
      <c r="F175" s="452" t="s">
        <v>169</v>
      </c>
      <c r="G175" s="452" t="s">
        <v>170</v>
      </c>
      <c r="H175" s="455"/>
      <c r="I175" s="458">
        <v>35931.0</v>
      </c>
      <c r="J175" s="457">
        <v>44958.0</v>
      </c>
      <c r="K175" s="462">
        <v>45322.0</v>
      </c>
      <c r="L175" s="453">
        <v>0.0</v>
      </c>
      <c r="M175" s="515">
        <v>45839.0</v>
      </c>
      <c r="N175" s="515">
        <v>45869.0</v>
      </c>
    </row>
    <row r="176">
      <c r="A176" s="452" t="s">
        <v>16</v>
      </c>
      <c r="B176" s="453">
        <v>4320.0</v>
      </c>
      <c r="C176" s="556" t="s">
        <v>763</v>
      </c>
      <c r="D176" s="453">
        <v>0.0</v>
      </c>
      <c r="E176" s="452" t="s">
        <v>711</v>
      </c>
      <c r="F176" s="452" t="s">
        <v>760</v>
      </c>
      <c r="G176" s="452" t="s">
        <v>713</v>
      </c>
      <c r="H176" s="455"/>
      <c r="I176" s="456">
        <v>34694.0</v>
      </c>
      <c r="J176" s="456">
        <v>45712.0</v>
      </c>
      <c r="K176" s="461"/>
      <c r="L176" s="514">
        <v>31.0</v>
      </c>
      <c r="M176" s="515">
        <v>45839.0</v>
      </c>
      <c r="N176" s="515">
        <v>45869.0</v>
      </c>
    </row>
    <row r="177">
      <c r="A177" s="452" t="s">
        <v>16</v>
      </c>
      <c r="B177" s="453">
        <v>4320.0</v>
      </c>
      <c r="C177" s="556" t="s">
        <v>763</v>
      </c>
      <c r="D177" s="453">
        <v>0.0</v>
      </c>
      <c r="E177" s="452" t="s">
        <v>355</v>
      </c>
      <c r="F177" s="452" t="s">
        <v>356</v>
      </c>
      <c r="G177" s="452" t="s">
        <v>357</v>
      </c>
      <c r="H177" s="455"/>
      <c r="I177" s="456">
        <v>35395.0</v>
      </c>
      <c r="J177" s="456">
        <v>45376.0</v>
      </c>
      <c r="K177" s="461"/>
      <c r="L177" s="514">
        <v>31.0</v>
      </c>
      <c r="M177" s="515">
        <v>45839.0</v>
      </c>
      <c r="N177" s="515">
        <v>45869.0</v>
      </c>
    </row>
    <row r="178">
      <c r="A178" s="452" t="s">
        <v>16</v>
      </c>
      <c r="B178" s="453">
        <v>4320.0</v>
      </c>
      <c r="C178" s="556" t="s">
        <v>763</v>
      </c>
      <c r="D178" s="453">
        <v>0.0</v>
      </c>
      <c r="E178" s="452" t="s">
        <v>358</v>
      </c>
      <c r="F178" s="452" t="s">
        <v>359</v>
      </c>
      <c r="G178" s="452" t="s">
        <v>360</v>
      </c>
      <c r="H178" s="455"/>
      <c r="I178" s="458">
        <v>37397.0</v>
      </c>
      <c r="J178" s="456">
        <v>45377.0</v>
      </c>
      <c r="K178" s="456">
        <v>45454.0</v>
      </c>
      <c r="L178" s="453">
        <v>0.0</v>
      </c>
      <c r="M178" s="515">
        <v>45839.0</v>
      </c>
      <c r="N178" s="515">
        <v>45869.0</v>
      </c>
    </row>
    <row r="179">
      <c r="A179" s="452" t="s">
        <v>16</v>
      </c>
      <c r="B179" s="453">
        <v>4320.0</v>
      </c>
      <c r="C179" s="556" t="s">
        <v>763</v>
      </c>
      <c r="D179" s="453">
        <v>0.0</v>
      </c>
      <c r="E179" s="452" t="s">
        <v>276</v>
      </c>
      <c r="F179" s="452" t="s">
        <v>277</v>
      </c>
      <c r="G179" s="452" t="s">
        <v>278</v>
      </c>
      <c r="H179" s="455"/>
      <c r="I179" s="456">
        <v>37479.0</v>
      </c>
      <c r="J179" s="457">
        <v>45320.0</v>
      </c>
      <c r="K179" s="456">
        <v>45453.0</v>
      </c>
      <c r="L179" s="453">
        <v>0.0</v>
      </c>
      <c r="M179" s="515">
        <v>45839.0</v>
      </c>
      <c r="N179" s="515">
        <v>45869.0</v>
      </c>
    </row>
    <row r="180">
      <c r="A180" s="452" t="s">
        <v>16</v>
      </c>
      <c r="B180" s="453">
        <v>4320.0</v>
      </c>
      <c r="C180" s="556" t="s">
        <v>763</v>
      </c>
      <c r="D180" s="453">
        <v>0.0</v>
      </c>
      <c r="E180" s="452" t="s">
        <v>714</v>
      </c>
      <c r="F180" s="452" t="s">
        <v>761</v>
      </c>
      <c r="G180" s="452" t="s">
        <v>716</v>
      </c>
      <c r="H180" s="455"/>
      <c r="I180" s="456">
        <v>36514.0</v>
      </c>
      <c r="J180" s="456">
        <v>45698.0</v>
      </c>
      <c r="K180" s="454"/>
      <c r="L180" s="514">
        <v>31.0</v>
      </c>
      <c r="M180" s="515">
        <v>45839.0</v>
      </c>
      <c r="N180" s="515">
        <v>45869.0</v>
      </c>
    </row>
    <row r="181">
      <c r="A181" s="452" t="s">
        <v>16</v>
      </c>
      <c r="B181" s="453">
        <v>4320.0</v>
      </c>
      <c r="C181" s="556" t="s">
        <v>763</v>
      </c>
      <c r="D181" s="453">
        <v>0.0</v>
      </c>
      <c r="E181" s="452" t="s">
        <v>171</v>
      </c>
      <c r="F181" s="452" t="s">
        <v>172</v>
      </c>
      <c r="G181" s="452" t="s">
        <v>173</v>
      </c>
      <c r="H181" s="455"/>
      <c r="I181" s="457">
        <v>37005.0</v>
      </c>
      <c r="J181" s="456">
        <v>44802.0</v>
      </c>
      <c r="K181" s="457">
        <v>45303.0</v>
      </c>
      <c r="L181" s="453">
        <v>0.0</v>
      </c>
      <c r="M181" s="515">
        <v>45839.0</v>
      </c>
      <c r="N181" s="515">
        <v>45869.0</v>
      </c>
    </row>
    <row r="182">
      <c r="A182" s="452" t="s">
        <v>16</v>
      </c>
      <c r="B182" s="453">
        <v>4320.0</v>
      </c>
      <c r="C182" s="556" t="s">
        <v>763</v>
      </c>
      <c r="D182" s="453">
        <v>0.0</v>
      </c>
      <c r="E182" s="452" t="s">
        <v>243</v>
      </c>
      <c r="F182" s="452" t="s">
        <v>244</v>
      </c>
      <c r="G182" s="452" t="s">
        <v>245</v>
      </c>
      <c r="H182" s="455"/>
      <c r="I182" s="456">
        <v>36109.0</v>
      </c>
      <c r="J182" s="456">
        <v>45250.0</v>
      </c>
      <c r="K182" s="457">
        <v>45416.0</v>
      </c>
      <c r="L182" s="453">
        <v>0.0</v>
      </c>
      <c r="M182" s="515">
        <v>45839.0</v>
      </c>
      <c r="N182" s="515">
        <v>45869.0</v>
      </c>
    </row>
    <row r="183">
      <c r="A183" s="452" t="s">
        <v>16</v>
      </c>
      <c r="B183" s="453">
        <v>4320.0</v>
      </c>
      <c r="C183" s="556" t="s">
        <v>763</v>
      </c>
      <c r="D183" s="453">
        <v>0.0</v>
      </c>
      <c r="E183" s="452" t="s">
        <v>600</v>
      </c>
      <c r="F183" s="452" t="s">
        <v>601</v>
      </c>
      <c r="G183" s="452" t="s">
        <v>602</v>
      </c>
      <c r="H183" s="455"/>
      <c r="I183" s="457">
        <v>29741.0</v>
      </c>
      <c r="J183" s="457">
        <v>45658.0</v>
      </c>
      <c r="K183" s="513">
        <v>45823.0</v>
      </c>
      <c r="L183" s="514">
        <v>0.0</v>
      </c>
      <c r="M183" s="515">
        <v>45839.0</v>
      </c>
      <c r="N183" s="515">
        <v>45869.0</v>
      </c>
    </row>
    <row r="184">
      <c r="A184" s="452" t="s">
        <v>16</v>
      </c>
      <c r="B184" s="453">
        <v>4320.0</v>
      </c>
      <c r="C184" s="556" t="s">
        <v>763</v>
      </c>
      <c r="D184" s="453">
        <v>0.0</v>
      </c>
      <c r="E184" s="452" t="s">
        <v>431</v>
      </c>
      <c r="F184" s="452" t="s">
        <v>377</v>
      </c>
      <c r="G184" s="452" t="s">
        <v>378</v>
      </c>
      <c r="H184" s="455"/>
      <c r="I184" s="457">
        <v>36289.0</v>
      </c>
      <c r="J184" s="457">
        <v>45476.0</v>
      </c>
      <c r="K184" s="458">
        <v>45808.0</v>
      </c>
      <c r="L184" s="514">
        <v>0.0</v>
      </c>
      <c r="M184" s="515">
        <v>45839.0</v>
      </c>
      <c r="N184" s="515">
        <v>45869.0</v>
      </c>
    </row>
    <row r="185">
      <c r="A185" s="452" t="s">
        <v>16</v>
      </c>
      <c r="B185" s="453">
        <v>4320.0</v>
      </c>
      <c r="C185" s="556" t="s">
        <v>763</v>
      </c>
      <c r="D185" s="453">
        <v>0.0</v>
      </c>
      <c r="E185" s="452" t="s">
        <v>180</v>
      </c>
      <c r="F185" s="452" t="s">
        <v>181</v>
      </c>
      <c r="G185" s="452" t="s">
        <v>182</v>
      </c>
      <c r="H185" s="455"/>
      <c r="I185" s="458">
        <v>36297.0</v>
      </c>
      <c r="J185" s="456">
        <v>45001.0</v>
      </c>
      <c r="K185" s="456">
        <v>45359.0</v>
      </c>
      <c r="L185" s="453">
        <v>0.0</v>
      </c>
      <c r="M185" s="515">
        <v>45839.0</v>
      </c>
      <c r="N185" s="515">
        <v>45869.0</v>
      </c>
    </row>
    <row r="186">
      <c r="A186" s="452" t="s">
        <v>16</v>
      </c>
      <c r="B186" s="453">
        <v>4320.0</v>
      </c>
      <c r="C186" s="556" t="s">
        <v>763</v>
      </c>
      <c r="D186" s="453">
        <v>0.0</v>
      </c>
      <c r="E186" s="452" t="s">
        <v>183</v>
      </c>
      <c r="F186" s="452" t="s">
        <v>184</v>
      </c>
      <c r="G186" s="452" t="s">
        <v>185</v>
      </c>
      <c r="H186" s="455"/>
      <c r="I186" s="456">
        <v>36979.0</v>
      </c>
      <c r="J186" s="456">
        <v>44907.0</v>
      </c>
      <c r="K186" s="461"/>
      <c r="L186" s="514">
        <v>31.0</v>
      </c>
      <c r="M186" s="515">
        <v>45839.0</v>
      </c>
      <c r="N186" s="515">
        <v>45869.0</v>
      </c>
    </row>
    <row r="187">
      <c r="A187" s="452" t="s">
        <v>16</v>
      </c>
      <c r="B187" s="453">
        <v>4320.0</v>
      </c>
      <c r="C187" s="556" t="s">
        <v>763</v>
      </c>
      <c r="D187" s="453">
        <v>0.0</v>
      </c>
      <c r="E187" s="452" t="s">
        <v>258</v>
      </c>
      <c r="F187" s="452" t="s">
        <v>259</v>
      </c>
      <c r="G187" s="452" t="s">
        <v>260</v>
      </c>
      <c r="H187" s="455"/>
      <c r="I187" s="457">
        <v>35447.0</v>
      </c>
      <c r="J187" s="456">
        <v>45273.0</v>
      </c>
      <c r="K187" s="456">
        <v>45565.0</v>
      </c>
      <c r="L187" s="453">
        <v>0.0</v>
      </c>
      <c r="M187" s="515">
        <v>45839.0</v>
      </c>
      <c r="N187" s="515">
        <v>45869.0</v>
      </c>
    </row>
    <row r="188">
      <c r="A188" s="452" t="s">
        <v>16</v>
      </c>
      <c r="B188" s="453">
        <v>4320.0</v>
      </c>
      <c r="C188" s="556" t="s">
        <v>763</v>
      </c>
      <c r="D188" s="453">
        <v>0.0</v>
      </c>
      <c r="E188" s="452" t="s">
        <v>192</v>
      </c>
      <c r="F188" s="452" t="s">
        <v>193</v>
      </c>
      <c r="G188" s="452" t="s">
        <v>194</v>
      </c>
      <c r="H188" s="455"/>
      <c r="I188" s="457">
        <v>36075.0</v>
      </c>
      <c r="J188" s="456">
        <v>44977.0</v>
      </c>
      <c r="K188" s="456">
        <v>45351.0</v>
      </c>
      <c r="L188" s="453">
        <v>0.0</v>
      </c>
      <c r="M188" s="515">
        <v>45839.0</v>
      </c>
      <c r="N188" s="515">
        <v>45869.0</v>
      </c>
    </row>
    <row r="189">
      <c r="A189" s="452" t="s">
        <v>16</v>
      </c>
      <c r="B189" s="453">
        <v>4320.0</v>
      </c>
      <c r="C189" s="556" t="s">
        <v>763</v>
      </c>
      <c r="D189" s="453">
        <v>0.0</v>
      </c>
      <c r="E189" s="452" t="s">
        <v>201</v>
      </c>
      <c r="F189" s="452" t="s">
        <v>202</v>
      </c>
      <c r="G189" s="452" t="s">
        <v>203</v>
      </c>
      <c r="H189" s="455"/>
      <c r="I189" s="456">
        <v>36574.0</v>
      </c>
      <c r="J189" s="456">
        <v>45187.0</v>
      </c>
      <c r="K189" s="457">
        <v>45544.0</v>
      </c>
      <c r="L189" s="453">
        <v>0.0</v>
      </c>
      <c r="M189" s="515">
        <v>45839.0</v>
      </c>
      <c r="N189" s="515">
        <v>45869.0</v>
      </c>
    </row>
    <row r="190">
      <c r="A190" s="452" t="s">
        <v>16</v>
      </c>
      <c r="B190" s="453">
        <v>4320.0</v>
      </c>
      <c r="C190" s="556" t="s">
        <v>763</v>
      </c>
      <c r="D190" s="453">
        <v>0.0</v>
      </c>
      <c r="E190" s="452" t="s">
        <v>499</v>
      </c>
      <c r="F190" s="452" t="s">
        <v>540</v>
      </c>
      <c r="G190" s="452" t="s">
        <v>500</v>
      </c>
      <c r="H190" s="455"/>
      <c r="I190" s="456">
        <v>36144.0</v>
      </c>
      <c r="J190" s="457">
        <v>45628.0</v>
      </c>
      <c r="K190" s="456">
        <v>45777.0</v>
      </c>
      <c r="L190" s="453">
        <v>0.0</v>
      </c>
      <c r="M190" s="515">
        <v>45839.0</v>
      </c>
      <c r="N190" s="515">
        <v>45869.0</v>
      </c>
    </row>
    <row r="191">
      <c r="A191" s="452" t="s">
        <v>16</v>
      </c>
      <c r="B191" s="453">
        <v>4320.0</v>
      </c>
      <c r="C191" s="556" t="s">
        <v>763</v>
      </c>
      <c r="D191" s="453">
        <v>0.0</v>
      </c>
      <c r="E191" s="452" t="s">
        <v>301</v>
      </c>
      <c r="F191" s="452" t="s">
        <v>302</v>
      </c>
      <c r="G191" s="452" t="s">
        <v>303</v>
      </c>
      <c r="H191" s="455"/>
      <c r="I191" s="457">
        <v>36991.0</v>
      </c>
      <c r="J191" s="457">
        <v>45205.0</v>
      </c>
      <c r="K191" s="454"/>
      <c r="L191" s="514">
        <v>31.0</v>
      </c>
      <c r="M191" s="515">
        <v>45839.0</v>
      </c>
      <c r="N191" s="515">
        <v>45869.0</v>
      </c>
    </row>
    <row r="192">
      <c r="A192" s="452" t="s">
        <v>16</v>
      </c>
      <c r="B192" s="453">
        <v>4320.0</v>
      </c>
      <c r="C192" s="556" t="s">
        <v>763</v>
      </c>
      <c r="D192" s="453">
        <v>0.0</v>
      </c>
      <c r="E192" s="452" t="s">
        <v>432</v>
      </c>
      <c r="F192" s="452" t="s">
        <v>521</v>
      </c>
      <c r="G192" s="452" t="s">
        <v>433</v>
      </c>
      <c r="H192" s="455"/>
      <c r="I192" s="457">
        <v>34504.0</v>
      </c>
      <c r="J192" s="457">
        <v>45481.0</v>
      </c>
      <c r="K192" s="454"/>
      <c r="L192" s="514">
        <v>31.0</v>
      </c>
      <c r="M192" s="515">
        <v>45839.0</v>
      </c>
      <c r="N192" s="515">
        <v>45869.0</v>
      </c>
      <c r="O192" s="383"/>
      <c r="P192" s="383"/>
      <c r="Q192" s="383"/>
      <c r="R192" s="383"/>
      <c r="S192" s="383"/>
      <c r="T192" s="383"/>
      <c r="U192" s="383"/>
      <c r="V192" s="383"/>
      <c r="W192" s="383"/>
    </row>
    <row r="193">
      <c r="A193" s="557" t="s">
        <v>16</v>
      </c>
      <c r="B193" s="558">
        <v>4320.0</v>
      </c>
      <c r="C193" s="556" t="s">
        <v>763</v>
      </c>
      <c r="D193" s="558">
        <v>0.0</v>
      </c>
      <c r="E193" s="557" t="s">
        <v>434</v>
      </c>
      <c r="F193" s="557" t="s">
        <v>522</v>
      </c>
      <c r="G193" s="557" t="s">
        <v>435</v>
      </c>
      <c r="H193" s="559"/>
      <c r="I193" s="561">
        <v>37446.0</v>
      </c>
      <c r="J193" s="561">
        <v>45495.0</v>
      </c>
      <c r="K193" s="564">
        <v>45840.0</v>
      </c>
      <c r="L193" s="562">
        <v>2.0</v>
      </c>
      <c r="M193" s="515">
        <v>45839.0</v>
      </c>
      <c r="N193" s="515">
        <v>45869.0</v>
      </c>
      <c r="O193" s="544"/>
      <c r="P193" s="544"/>
      <c r="Q193" s="544"/>
      <c r="R193" s="544"/>
      <c r="S193" s="544"/>
      <c r="T193" s="544"/>
      <c r="U193" s="544"/>
      <c r="V193" s="544"/>
      <c r="W193" s="544"/>
    </row>
    <row r="194">
      <c r="A194" s="452" t="s">
        <v>16</v>
      </c>
      <c r="B194" s="453">
        <v>4320.0</v>
      </c>
      <c r="C194" s="556" t="s">
        <v>763</v>
      </c>
      <c r="D194" s="453">
        <v>0.0</v>
      </c>
      <c r="E194" s="452" t="s">
        <v>667</v>
      </c>
      <c r="F194" s="452" t="s">
        <v>668</v>
      </c>
      <c r="G194" s="452" t="s">
        <v>669</v>
      </c>
      <c r="H194" s="455"/>
      <c r="I194" s="456">
        <v>33961.0</v>
      </c>
      <c r="J194" s="456">
        <v>45229.0</v>
      </c>
      <c r="K194" s="456">
        <v>45408.0</v>
      </c>
      <c r="L194" s="453">
        <v>0.0</v>
      </c>
      <c r="M194" s="515">
        <v>45839.0</v>
      </c>
      <c r="N194" s="515">
        <v>45869.0</v>
      </c>
      <c r="O194" s="383"/>
      <c r="P194" s="383"/>
      <c r="Q194" s="383"/>
      <c r="R194" s="383"/>
      <c r="S194" s="383"/>
      <c r="T194" s="383"/>
      <c r="U194" s="383"/>
      <c r="V194" s="383"/>
      <c r="W194" s="383"/>
    </row>
    <row r="195">
      <c r="A195" s="452" t="s">
        <v>16</v>
      </c>
      <c r="B195" s="453">
        <v>4320.0</v>
      </c>
      <c r="C195" s="556" t="s">
        <v>763</v>
      </c>
      <c r="D195" s="453">
        <v>0.0</v>
      </c>
      <c r="E195" s="452" t="s">
        <v>670</v>
      </c>
      <c r="F195" s="452" t="s">
        <v>671</v>
      </c>
      <c r="G195" s="452" t="s">
        <v>672</v>
      </c>
      <c r="H195" s="455"/>
      <c r="I195" s="456">
        <v>36386.0</v>
      </c>
      <c r="J195" s="457">
        <v>45111.0</v>
      </c>
      <c r="K195" s="457">
        <v>45394.0</v>
      </c>
      <c r="L195" s="453">
        <v>0.0</v>
      </c>
      <c r="M195" s="515">
        <v>45839.0</v>
      </c>
      <c r="N195" s="515">
        <v>45869.0</v>
      </c>
      <c r="O195" s="383"/>
      <c r="P195" s="383"/>
      <c r="Q195" s="383"/>
      <c r="R195" s="383"/>
      <c r="S195" s="383"/>
      <c r="T195" s="383"/>
      <c r="U195" s="383"/>
      <c r="V195" s="383"/>
      <c r="W195" s="383"/>
    </row>
    <row r="196">
      <c r="A196" s="452" t="s">
        <v>16</v>
      </c>
      <c r="B196" s="453">
        <v>4320.0</v>
      </c>
      <c r="C196" s="556" t="s">
        <v>763</v>
      </c>
      <c r="D196" s="453">
        <v>0.0</v>
      </c>
      <c r="E196" s="452" t="s">
        <v>460</v>
      </c>
      <c r="F196" s="452" t="s">
        <v>523</v>
      </c>
      <c r="G196" s="452" t="s">
        <v>461</v>
      </c>
      <c r="H196" s="455"/>
      <c r="I196" s="456">
        <v>36856.0</v>
      </c>
      <c r="J196" s="457">
        <v>45505.0</v>
      </c>
      <c r="K196" s="461"/>
      <c r="L196" s="514">
        <v>31.0</v>
      </c>
      <c r="M196" s="515">
        <v>45839.0</v>
      </c>
      <c r="N196" s="515">
        <v>45869.0</v>
      </c>
      <c r="O196" s="383"/>
      <c r="P196" s="383"/>
      <c r="Q196" s="383"/>
      <c r="R196" s="383"/>
      <c r="S196" s="383"/>
      <c r="T196" s="383"/>
      <c r="U196" s="383"/>
      <c r="V196" s="383"/>
      <c r="W196" s="383"/>
    </row>
    <row r="197">
      <c r="A197" s="452" t="s">
        <v>16</v>
      </c>
      <c r="B197" s="453">
        <v>4320.0</v>
      </c>
      <c r="C197" s="556" t="s">
        <v>763</v>
      </c>
      <c r="D197" s="453">
        <v>0.0</v>
      </c>
      <c r="E197" s="452" t="s">
        <v>462</v>
      </c>
      <c r="F197" s="452" t="s">
        <v>526</v>
      </c>
      <c r="G197" s="452" t="s">
        <v>463</v>
      </c>
      <c r="H197" s="455"/>
      <c r="I197" s="456">
        <v>34588.0</v>
      </c>
      <c r="J197" s="456">
        <v>45530.0</v>
      </c>
      <c r="K197" s="461"/>
      <c r="L197" s="514">
        <v>31.0</v>
      </c>
      <c r="M197" s="515">
        <v>45839.0</v>
      </c>
      <c r="N197" s="515">
        <v>45869.0</v>
      </c>
      <c r="O197" s="383"/>
      <c r="P197" s="383"/>
      <c r="Q197" s="383"/>
      <c r="R197" s="383"/>
      <c r="S197" s="383"/>
      <c r="T197" s="383"/>
      <c r="U197" s="383"/>
      <c r="V197" s="383"/>
      <c r="W197" s="383"/>
    </row>
    <row r="198">
      <c r="A198" s="452" t="s">
        <v>16</v>
      </c>
      <c r="B198" s="453">
        <v>4320.0</v>
      </c>
      <c r="C198" s="556" t="s">
        <v>763</v>
      </c>
      <c r="D198" s="453">
        <v>0.0</v>
      </c>
      <c r="E198" s="452" t="s">
        <v>423</v>
      </c>
      <c r="F198" s="452" t="s">
        <v>524</v>
      </c>
      <c r="G198" s="452" t="s">
        <v>424</v>
      </c>
      <c r="H198" s="455"/>
      <c r="I198" s="457">
        <v>37818.0</v>
      </c>
      <c r="J198" s="457">
        <v>45467.0</v>
      </c>
      <c r="K198" s="461"/>
      <c r="L198" s="514">
        <v>31.0</v>
      </c>
      <c r="M198" s="515">
        <v>45839.0</v>
      </c>
      <c r="N198" s="515">
        <v>45869.0</v>
      </c>
      <c r="O198" s="383"/>
      <c r="P198" s="383"/>
      <c r="Q198" s="383"/>
      <c r="R198" s="383"/>
      <c r="S198" s="383"/>
      <c r="T198" s="383"/>
      <c r="U198" s="383"/>
      <c r="V198" s="383"/>
      <c r="W198" s="383"/>
    </row>
    <row r="199">
      <c r="A199" s="452" t="s">
        <v>16</v>
      </c>
      <c r="B199" s="453">
        <v>4320.0</v>
      </c>
      <c r="C199" s="556" t="s">
        <v>763</v>
      </c>
      <c r="D199" s="453">
        <v>0.0</v>
      </c>
      <c r="E199" s="452" t="s">
        <v>207</v>
      </c>
      <c r="F199" s="452" t="s">
        <v>208</v>
      </c>
      <c r="G199" s="452" t="s">
        <v>209</v>
      </c>
      <c r="H199" s="455"/>
      <c r="I199" s="456">
        <v>33156.0</v>
      </c>
      <c r="J199" s="457">
        <v>44562.0</v>
      </c>
      <c r="K199" s="456">
        <v>45473.0</v>
      </c>
      <c r="L199" s="453">
        <v>0.0</v>
      </c>
      <c r="M199" s="515">
        <v>45839.0</v>
      </c>
      <c r="N199" s="515">
        <v>45869.0</v>
      </c>
      <c r="O199" s="466"/>
      <c r="P199" s="466"/>
      <c r="Q199" s="466"/>
      <c r="R199" s="466"/>
      <c r="S199" s="466"/>
      <c r="T199" s="466"/>
      <c r="U199" s="466"/>
      <c r="V199" s="466"/>
      <c r="W199" s="466"/>
    </row>
    <row r="200">
      <c r="A200" s="452" t="s">
        <v>16</v>
      </c>
      <c r="B200" s="453">
        <v>4320.0</v>
      </c>
      <c r="C200" s="556" t="s">
        <v>763</v>
      </c>
      <c r="D200" s="453">
        <v>0.0</v>
      </c>
      <c r="E200" s="452" t="s">
        <v>304</v>
      </c>
      <c r="F200" s="452" t="s">
        <v>305</v>
      </c>
      <c r="G200" s="452" t="s">
        <v>306</v>
      </c>
      <c r="H200" s="455"/>
      <c r="I200" s="456">
        <v>35697.0</v>
      </c>
      <c r="J200" s="456">
        <v>45348.0</v>
      </c>
      <c r="K200" s="456">
        <v>45698.0</v>
      </c>
      <c r="L200" s="453">
        <v>0.0</v>
      </c>
      <c r="M200" s="515">
        <v>45839.0</v>
      </c>
      <c r="N200" s="515">
        <v>45869.0</v>
      </c>
      <c r="O200" s="466"/>
      <c r="P200" s="466"/>
      <c r="Q200" s="466"/>
      <c r="R200" s="466"/>
      <c r="S200" s="466"/>
      <c r="T200" s="466"/>
      <c r="U200" s="466"/>
      <c r="V200" s="466"/>
      <c r="W200" s="466"/>
    </row>
    <row r="201">
      <c r="A201" s="452" t="s">
        <v>16</v>
      </c>
      <c r="B201" s="453">
        <v>4320.0</v>
      </c>
      <c r="C201" s="556" t="s">
        <v>763</v>
      </c>
      <c r="D201" s="453">
        <v>0.0</v>
      </c>
      <c r="E201" s="452" t="s">
        <v>213</v>
      </c>
      <c r="F201" s="452" t="s">
        <v>214</v>
      </c>
      <c r="G201" s="452" t="s">
        <v>215</v>
      </c>
      <c r="H201" s="455"/>
      <c r="I201" s="456">
        <v>36797.0</v>
      </c>
      <c r="J201" s="456">
        <v>44886.0</v>
      </c>
      <c r="K201" s="456">
        <v>45747.0</v>
      </c>
      <c r="L201" s="453">
        <v>0.0</v>
      </c>
      <c r="M201" s="515">
        <v>45839.0</v>
      </c>
      <c r="N201" s="515">
        <v>45869.0</v>
      </c>
      <c r="O201" s="466"/>
      <c r="P201" s="466"/>
      <c r="Q201" s="466"/>
      <c r="R201" s="466"/>
      <c r="S201" s="466"/>
      <c r="T201" s="466"/>
      <c r="U201" s="466"/>
      <c r="V201" s="466"/>
      <c r="W201" s="466"/>
    </row>
    <row r="202">
      <c r="A202" s="452" t="s">
        <v>16</v>
      </c>
      <c r="B202" s="453">
        <v>4320.0</v>
      </c>
      <c r="C202" s="556" t="s">
        <v>763</v>
      </c>
      <c r="D202" s="453">
        <v>0.0</v>
      </c>
      <c r="E202" s="452" t="s">
        <v>673</v>
      </c>
      <c r="F202" s="452" t="s">
        <v>674</v>
      </c>
      <c r="G202" s="452" t="s">
        <v>675</v>
      </c>
      <c r="H202" s="455"/>
      <c r="I202" s="456">
        <v>36961.0</v>
      </c>
      <c r="J202" s="457">
        <v>44593.0</v>
      </c>
      <c r="K202" s="456">
        <v>45457.0</v>
      </c>
      <c r="L202" s="453">
        <v>0.0</v>
      </c>
      <c r="M202" s="515">
        <v>45839.0</v>
      </c>
      <c r="N202" s="515">
        <v>45869.0</v>
      </c>
      <c r="O202" s="466"/>
      <c r="P202" s="466"/>
      <c r="Q202" s="466"/>
      <c r="R202" s="466"/>
      <c r="S202" s="466"/>
      <c r="T202" s="466"/>
      <c r="U202" s="466"/>
      <c r="V202" s="466"/>
      <c r="W202" s="466"/>
    </row>
    <row r="203">
      <c r="A203" s="452" t="s">
        <v>16</v>
      </c>
      <c r="B203" s="453">
        <v>4320.0</v>
      </c>
      <c r="C203" s="556" t="s">
        <v>763</v>
      </c>
      <c r="D203" s="453">
        <v>0.0</v>
      </c>
      <c r="E203" s="452" t="s">
        <v>717</v>
      </c>
      <c r="F203" s="452" t="s">
        <v>718</v>
      </c>
      <c r="G203" s="452" t="s">
        <v>719</v>
      </c>
      <c r="H203" s="455"/>
      <c r="I203" s="456">
        <v>36505.0</v>
      </c>
      <c r="J203" s="456">
        <v>45712.0</v>
      </c>
      <c r="K203" s="454"/>
      <c r="L203" s="514">
        <v>31.0</v>
      </c>
      <c r="M203" s="515">
        <v>45839.0</v>
      </c>
      <c r="N203" s="515">
        <v>45869.0</v>
      </c>
      <c r="O203" s="466"/>
      <c r="P203" s="466"/>
      <c r="Q203" s="466"/>
      <c r="R203" s="466"/>
      <c r="S203" s="466"/>
      <c r="T203" s="466"/>
      <c r="U203" s="466"/>
      <c r="V203" s="466"/>
      <c r="W203" s="466"/>
    </row>
    <row r="204">
      <c r="A204" s="452" t="s">
        <v>16</v>
      </c>
      <c r="B204" s="453">
        <v>4320.0</v>
      </c>
      <c r="C204" s="556" t="s">
        <v>763</v>
      </c>
      <c r="D204" s="453">
        <v>0.0</v>
      </c>
      <c r="E204" s="452" t="s">
        <v>588</v>
      </c>
      <c r="F204" s="463" t="s">
        <v>589</v>
      </c>
      <c r="G204" s="452" t="s">
        <v>590</v>
      </c>
      <c r="H204" s="455"/>
      <c r="I204" s="457">
        <v>34190.0</v>
      </c>
      <c r="J204" s="457">
        <v>45684.0</v>
      </c>
      <c r="K204" s="513">
        <v>45812.0</v>
      </c>
      <c r="L204" s="514">
        <v>0.0</v>
      </c>
      <c r="M204" s="515">
        <v>45839.0</v>
      </c>
      <c r="N204" s="515">
        <v>45869.0</v>
      </c>
      <c r="O204" s="466"/>
      <c r="P204" s="466"/>
      <c r="Q204" s="466"/>
      <c r="R204" s="466"/>
      <c r="S204" s="466"/>
      <c r="T204" s="466"/>
      <c r="U204" s="466"/>
      <c r="V204" s="466"/>
      <c r="W204" s="466"/>
    </row>
    <row r="205">
      <c r="A205" s="452" t="s">
        <v>16</v>
      </c>
      <c r="B205" s="453">
        <v>4320.0</v>
      </c>
      <c r="C205" s="556" t="s">
        <v>763</v>
      </c>
      <c r="D205" s="453">
        <v>0.0</v>
      </c>
      <c r="E205" s="452" t="s">
        <v>427</v>
      </c>
      <c r="F205" s="452" t="s">
        <v>525</v>
      </c>
      <c r="G205" s="452" t="s">
        <v>428</v>
      </c>
      <c r="H205" s="455"/>
      <c r="I205" s="456">
        <v>36451.0</v>
      </c>
      <c r="J205" s="457">
        <v>45453.0</v>
      </c>
      <c r="K205" s="454"/>
      <c r="L205" s="514">
        <v>31.0</v>
      </c>
      <c r="M205" s="515">
        <v>45839.0</v>
      </c>
      <c r="N205" s="515">
        <v>45869.0</v>
      </c>
      <c r="O205" s="466"/>
      <c r="P205" s="466"/>
      <c r="Q205" s="466"/>
      <c r="R205" s="466"/>
      <c r="S205" s="466"/>
      <c r="T205" s="466"/>
      <c r="U205" s="466"/>
      <c r="V205" s="466"/>
      <c r="W205" s="466"/>
    </row>
    <row r="206">
      <c r="A206" s="452" t="s">
        <v>16</v>
      </c>
      <c r="B206" s="453">
        <v>4320.0</v>
      </c>
      <c r="C206" s="556" t="s">
        <v>763</v>
      </c>
      <c r="D206" s="453">
        <v>0.0</v>
      </c>
      <c r="E206" s="452" t="s">
        <v>493</v>
      </c>
      <c r="F206" s="452" t="s">
        <v>532</v>
      </c>
      <c r="G206" s="452" t="s">
        <v>494</v>
      </c>
      <c r="H206" s="455"/>
      <c r="I206" s="456">
        <v>36208.0</v>
      </c>
      <c r="J206" s="457">
        <v>45602.0</v>
      </c>
      <c r="K206" s="454"/>
      <c r="L206" s="514">
        <v>31.0</v>
      </c>
      <c r="M206" s="515">
        <v>45839.0</v>
      </c>
      <c r="N206" s="515">
        <v>45869.0</v>
      </c>
      <c r="O206" s="466"/>
      <c r="P206" s="466"/>
      <c r="Q206" s="466"/>
      <c r="R206" s="466"/>
      <c r="S206" s="466"/>
      <c r="T206" s="466"/>
      <c r="U206" s="466"/>
      <c r="V206" s="466"/>
      <c r="W206" s="466"/>
    </row>
    <row r="207">
      <c r="A207" s="452" t="s">
        <v>16</v>
      </c>
      <c r="B207" s="453">
        <v>4320.0</v>
      </c>
      <c r="C207" s="556" t="s">
        <v>763</v>
      </c>
      <c r="D207" s="453">
        <v>0.0</v>
      </c>
      <c r="E207" s="452" t="s">
        <v>222</v>
      </c>
      <c r="F207" s="452" t="s">
        <v>223</v>
      </c>
      <c r="G207" s="452" t="s">
        <v>224</v>
      </c>
      <c r="H207" s="455"/>
      <c r="I207" s="457">
        <v>35818.0</v>
      </c>
      <c r="J207" s="457">
        <v>45089.0</v>
      </c>
      <c r="K207" s="456">
        <v>45747.0</v>
      </c>
      <c r="L207" s="453">
        <v>0.0</v>
      </c>
      <c r="M207" s="515">
        <v>45839.0</v>
      </c>
      <c r="N207" s="515">
        <v>45869.0</v>
      </c>
      <c r="O207" s="466"/>
      <c r="P207" s="466"/>
      <c r="Q207" s="466"/>
      <c r="R207" s="466"/>
      <c r="S207" s="466"/>
      <c r="T207" s="466"/>
      <c r="U207" s="466"/>
      <c r="V207" s="466"/>
      <c r="W207" s="466"/>
    </row>
    <row r="208">
      <c r="A208" s="452" t="s">
        <v>16</v>
      </c>
      <c r="B208" s="453">
        <v>4320.0</v>
      </c>
      <c r="C208" s="556" t="s">
        <v>763</v>
      </c>
      <c r="D208" s="453">
        <v>0.0</v>
      </c>
      <c r="E208" s="452" t="s">
        <v>747</v>
      </c>
      <c r="F208" s="452" t="s">
        <v>748</v>
      </c>
      <c r="G208" s="452" t="s">
        <v>749</v>
      </c>
      <c r="H208" s="455"/>
      <c r="I208" s="456">
        <v>37314.0</v>
      </c>
      <c r="J208" s="456">
        <v>45733.0</v>
      </c>
      <c r="K208" s="454"/>
      <c r="L208" s="514">
        <v>31.0</v>
      </c>
      <c r="M208" s="515">
        <v>45839.0</v>
      </c>
      <c r="N208" s="515">
        <v>45869.0</v>
      </c>
      <c r="O208" s="466"/>
      <c r="P208" s="466"/>
      <c r="Q208" s="466"/>
      <c r="R208" s="466"/>
      <c r="S208" s="466"/>
      <c r="T208" s="466"/>
      <c r="U208" s="466"/>
      <c r="V208" s="466"/>
      <c r="W208" s="466"/>
    </row>
    <row r="209">
      <c r="A209" s="452" t="s">
        <v>16</v>
      </c>
      <c r="B209" s="453">
        <v>4320.0</v>
      </c>
      <c r="C209" s="556" t="s">
        <v>763</v>
      </c>
      <c r="D209" s="453">
        <v>0.0</v>
      </c>
      <c r="E209" s="452" t="s">
        <v>585</v>
      </c>
      <c r="F209" s="463" t="s">
        <v>586</v>
      </c>
      <c r="G209" s="452" t="s">
        <v>587</v>
      </c>
      <c r="H209" s="455"/>
      <c r="I209" s="457">
        <v>35827.0</v>
      </c>
      <c r="J209" s="457">
        <v>45684.0</v>
      </c>
      <c r="K209" s="454"/>
      <c r="L209" s="514">
        <v>31.0</v>
      </c>
      <c r="M209" s="515">
        <v>45839.0</v>
      </c>
      <c r="N209" s="515">
        <v>45869.0</v>
      </c>
      <c r="O209" s="466"/>
      <c r="P209" s="466"/>
      <c r="Q209" s="466"/>
      <c r="R209" s="466"/>
      <c r="S209" s="466"/>
      <c r="T209" s="466"/>
      <c r="U209" s="466"/>
      <c r="V209" s="466"/>
      <c r="W209" s="466"/>
    </row>
    <row r="210">
      <c r="A210" s="452" t="s">
        <v>16</v>
      </c>
      <c r="B210" s="453">
        <v>4320.0</v>
      </c>
      <c r="C210" s="556" t="s">
        <v>763</v>
      </c>
      <c r="D210" s="453">
        <v>0.0</v>
      </c>
      <c r="E210" s="452" t="s">
        <v>225</v>
      </c>
      <c r="F210" s="452" t="s">
        <v>226</v>
      </c>
      <c r="G210" s="452" t="s">
        <v>227</v>
      </c>
      <c r="H210" s="455"/>
      <c r="I210" s="457">
        <v>36177.0</v>
      </c>
      <c r="J210" s="457">
        <v>45320.0</v>
      </c>
      <c r="K210" s="513">
        <v>45826.0</v>
      </c>
      <c r="L210" s="514">
        <v>0.0</v>
      </c>
      <c r="M210" s="515">
        <v>45839.0</v>
      </c>
      <c r="N210" s="515">
        <v>45869.0</v>
      </c>
      <c r="O210" s="466"/>
      <c r="P210" s="466"/>
      <c r="Q210" s="466"/>
      <c r="R210" s="466"/>
      <c r="S210" s="466"/>
      <c r="T210" s="466"/>
      <c r="U210" s="466"/>
      <c r="V210" s="466"/>
      <c r="W210" s="466"/>
    </row>
    <row r="211">
      <c r="A211" s="452" t="s">
        <v>16</v>
      </c>
      <c r="B211" s="453">
        <v>4320.0</v>
      </c>
      <c r="C211" s="556" t="s">
        <v>763</v>
      </c>
      <c r="D211" s="453">
        <v>0.0</v>
      </c>
      <c r="E211" s="452" t="s">
        <v>676</v>
      </c>
      <c r="F211" s="452" t="s">
        <v>677</v>
      </c>
      <c r="G211" s="452" t="s">
        <v>678</v>
      </c>
      <c r="H211" s="455"/>
      <c r="I211" s="456">
        <v>36107.0</v>
      </c>
      <c r="J211" s="458">
        <v>45778.0</v>
      </c>
      <c r="K211" s="454"/>
      <c r="L211" s="514">
        <v>31.0</v>
      </c>
      <c r="M211" s="515">
        <v>45839.0</v>
      </c>
      <c r="N211" s="515">
        <v>45869.0</v>
      </c>
      <c r="O211" s="466"/>
      <c r="P211" s="466"/>
      <c r="Q211" s="466"/>
      <c r="R211" s="466"/>
      <c r="S211" s="466"/>
      <c r="T211" s="466"/>
      <c r="U211" s="466"/>
      <c r="V211" s="466"/>
      <c r="W211" s="466"/>
    </row>
    <row r="212">
      <c r="A212" s="452" t="s">
        <v>16</v>
      </c>
      <c r="B212" s="453">
        <v>4320.0</v>
      </c>
      <c r="C212" s="556" t="s">
        <v>763</v>
      </c>
      <c r="D212" s="453">
        <v>0.0</v>
      </c>
      <c r="E212" s="452" t="s">
        <v>812</v>
      </c>
      <c r="F212" s="452" t="s">
        <v>820</v>
      </c>
      <c r="G212" s="452" t="s">
        <v>814</v>
      </c>
      <c r="H212" s="455"/>
      <c r="I212" s="456">
        <v>37940.0</v>
      </c>
      <c r="J212" s="456">
        <v>45775.0</v>
      </c>
      <c r="K212" s="454"/>
      <c r="L212" s="514">
        <v>31.0</v>
      </c>
      <c r="M212" s="515">
        <v>45839.0</v>
      </c>
      <c r="N212" s="515">
        <v>45869.0</v>
      </c>
      <c r="O212" s="466"/>
      <c r="P212" s="466"/>
      <c r="Q212" s="466"/>
      <c r="R212" s="466"/>
      <c r="S212" s="466"/>
      <c r="T212" s="466"/>
      <c r="U212" s="466"/>
      <c r="V212" s="466"/>
      <c r="W212" s="466"/>
    </row>
    <row r="213">
      <c r="A213" s="452" t="s">
        <v>16</v>
      </c>
      <c r="B213" s="453">
        <v>4320.0</v>
      </c>
      <c r="C213" s="556" t="s">
        <v>763</v>
      </c>
      <c r="D213" s="453">
        <v>0.0</v>
      </c>
      <c r="E213" s="452" t="s">
        <v>679</v>
      </c>
      <c r="F213" s="452" t="s">
        <v>680</v>
      </c>
      <c r="G213" s="452" t="s">
        <v>681</v>
      </c>
      <c r="H213" s="455"/>
      <c r="I213" s="457">
        <v>34915.0</v>
      </c>
      <c r="J213" s="456">
        <v>45153.0</v>
      </c>
      <c r="K213" s="457">
        <v>45306.0</v>
      </c>
      <c r="L213" s="453">
        <v>0.0</v>
      </c>
      <c r="M213" s="515">
        <v>45839.0</v>
      </c>
      <c r="N213" s="515">
        <v>45869.0</v>
      </c>
      <c r="O213" s="466"/>
      <c r="P213" s="466"/>
      <c r="Q213" s="466"/>
      <c r="R213" s="466"/>
      <c r="S213" s="466"/>
      <c r="T213" s="466"/>
      <c r="U213" s="466"/>
      <c r="V213" s="466"/>
      <c r="W213" s="466"/>
    </row>
    <row r="214">
      <c r="A214" s="452" t="s">
        <v>16</v>
      </c>
      <c r="B214" s="453">
        <v>4320.0</v>
      </c>
      <c r="C214" s="556" t="s">
        <v>763</v>
      </c>
      <c r="D214" s="453">
        <v>0.0</v>
      </c>
      <c r="E214" s="452" t="s">
        <v>682</v>
      </c>
      <c r="F214" s="452" t="s">
        <v>683</v>
      </c>
      <c r="G214" s="452" t="s">
        <v>684</v>
      </c>
      <c r="H214" s="455"/>
      <c r="I214" s="457">
        <v>36545.0</v>
      </c>
      <c r="J214" s="457">
        <v>44562.0</v>
      </c>
      <c r="K214" s="457">
        <v>45476.0</v>
      </c>
      <c r="L214" s="453">
        <v>0.0</v>
      </c>
      <c r="M214" s="515">
        <v>45839.0</v>
      </c>
      <c r="N214" s="515">
        <v>45869.0</v>
      </c>
      <c r="O214" s="466"/>
      <c r="P214" s="466"/>
      <c r="Q214" s="466"/>
      <c r="R214" s="466"/>
      <c r="S214" s="466"/>
      <c r="T214" s="466"/>
      <c r="U214" s="466"/>
      <c r="V214" s="466"/>
      <c r="W214" s="466"/>
    </row>
    <row r="215">
      <c r="A215" s="452" t="s">
        <v>16</v>
      </c>
      <c r="B215" s="453">
        <v>4320.0</v>
      </c>
      <c r="C215" s="556" t="s">
        <v>763</v>
      </c>
      <c r="D215" s="453">
        <v>0.0</v>
      </c>
      <c r="E215" s="452" t="s">
        <v>307</v>
      </c>
      <c r="F215" s="452" t="s">
        <v>308</v>
      </c>
      <c r="G215" s="452" t="s">
        <v>309</v>
      </c>
      <c r="H215" s="455"/>
      <c r="I215" s="456">
        <v>36522.0</v>
      </c>
      <c r="J215" s="457">
        <v>45328.0</v>
      </c>
      <c r="K215" s="456">
        <v>45572.0</v>
      </c>
      <c r="L215" s="453">
        <v>0.0</v>
      </c>
      <c r="M215" s="515">
        <v>45839.0</v>
      </c>
      <c r="N215" s="515">
        <v>45869.0</v>
      </c>
      <c r="O215" s="466"/>
      <c r="P215" s="466"/>
      <c r="Q215" s="466"/>
      <c r="R215" s="466"/>
      <c r="S215" s="466"/>
      <c r="T215" s="466"/>
      <c r="U215" s="466"/>
      <c r="V215" s="466"/>
      <c r="W215" s="466"/>
    </row>
    <row r="216">
      <c r="A216" s="452" t="s">
        <v>16</v>
      </c>
      <c r="B216" s="453">
        <v>4320.0</v>
      </c>
      <c r="C216" s="556" t="s">
        <v>763</v>
      </c>
      <c r="D216" s="453">
        <v>0.0</v>
      </c>
      <c r="E216" s="311" t="s">
        <v>863</v>
      </c>
      <c r="F216" s="251" t="s">
        <v>864</v>
      </c>
      <c r="G216" s="251" t="s">
        <v>865</v>
      </c>
      <c r="I216" s="509">
        <v>36175.0</v>
      </c>
      <c r="J216" s="509">
        <v>45824.0</v>
      </c>
      <c r="L216" s="514">
        <v>31.0</v>
      </c>
      <c r="M216" s="515">
        <v>45839.0</v>
      </c>
      <c r="N216" s="515">
        <v>45869.0</v>
      </c>
    </row>
    <row r="217">
      <c r="A217" s="452" t="s">
        <v>16</v>
      </c>
      <c r="B217" s="453">
        <v>4320.0</v>
      </c>
      <c r="C217" s="556" t="s">
        <v>763</v>
      </c>
      <c r="D217" s="453">
        <v>0.0</v>
      </c>
      <c r="E217" s="311" t="s">
        <v>866</v>
      </c>
      <c r="F217" s="251" t="s">
        <v>867</v>
      </c>
      <c r="G217" s="251" t="s">
        <v>868</v>
      </c>
      <c r="I217" s="509">
        <v>36180.0</v>
      </c>
      <c r="J217" s="509">
        <v>45824.0</v>
      </c>
      <c r="L217" s="514">
        <v>31.0</v>
      </c>
      <c r="M217" s="515">
        <v>45839.0</v>
      </c>
      <c r="N217" s="515">
        <v>45869.0</v>
      </c>
    </row>
    <row r="218">
      <c r="A218" s="452" t="s">
        <v>16</v>
      </c>
      <c r="B218" s="453">
        <v>4320.0</v>
      </c>
      <c r="C218" s="556" t="s">
        <v>763</v>
      </c>
      <c r="D218" s="453">
        <v>0.0</v>
      </c>
      <c r="E218" s="311" t="s">
        <v>869</v>
      </c>
      <c r="F218" s="251" t="s">
        <v>870</v>
      </c>
      <c r="G218" s="251" t="s">
        <v>871</v>
      </c>
      <c r="I218" s="509">
        <v>36585.0</v>
      </c>
      <c r="J218" s="509">
        <v>45824.0</v>
      </c>
      <c r="L218" s="514">
        <v>31.0</v>
      </c>
      <c r="M218" s="515">
        <v>45839.0</v>
      </c>
      <c r="N218" s="515">
        <v>45869.0</v>
      </c>
    </row>
    <row r="219">
      <c r="A219" s="452" t="s">
        <v>16</v>
      </c>
      <c r="B219" s="453">
        <v>4320.0</v>
      </c>
      <c r="C219" s="556" t="s">
        <v>763</v>
      </c>
      <c r="D219" s="453">
        <v>0.0</v>
      </c>
      <c r="E219" s="311" t="s">
        <v>872</v>
      </c>
      <c r="F219" s="251" t="s">
        <v>873</v>
      </c>
      <c r="G219" s="251" t="s">
        <v>874</v>
      </c>
      <c r="I219" s="509">
        <v>35415.0</v>
      </c>
      <c r="J219" s="520">
        <v>45831.0</v>
      </c>
      <c r="L219" s="514">
        <v>31.0</v>
      </c>
      <c r="M219" s="515">
        <v>45839.0</v>
      </c>
      <c r="N219" s="515">
        <v>45869.0</v>
      </c>
    </row>
    <row r="220">
      <c r="A220" s="452" t="s">
        <v>16</v>
      </c>
      <c r="B220" s="453">
        <v>4320.0</v>
      </c>
      <c r="C220" s="556" t="s">
        <v>763</v>
      </c>
      <c r="D220" s="453">
        <v>0.0</v>
      </c>
      <c r="E220" s="311" t="s">
        <v>875</v>
      </c>
      <c r="F220" s="251" t="s">
        <v>876</v>
      </c>
      <c r="G220" s="452" t="s">
        <v>877</v>
      </c>
      <c r="I220" s="509">
        <v>37517.0</v>
      </c>
      <c r="J220" s="520">
        <v>45831.0</v>
      </c>
      <c r="L220" s="514">
        <v>31.0</v>
      </c>
      <c r="M220" s="515">
        <v>45839.0</v>
      </c>
      <c r="N220" s="515">
        <v>45869.0</v>
      </c>
    </row>
    <row r="221">
      <c r="A221" s="452" t="s">
        <v>16</v>
      </c>
      <c r="B221" s="453">
        <v>4320.0</v>
      </c>
      <c r="C221" s="556" t="s">
        <v>763</v>
      </c>
      <c r="D221" s="453">
        <v>0.0</v>
      </c>
      <c r="E221" s="311" t="s">
        <v>878</v>
      </c>
      <c r="F221" s="251" t="s">
        <v>879</v>
      </c>
      <c r="G221" s="251" t="s">
        <v>880</v>
      </c>
      <c r="I221" s="509">
        <v>34912.0</v>
      </c>
      <c r="J221" s="520">
        <v>45831.0</v>
      </c>
      <c r="L221" s="514">
        <v>31.0</v>
      </c>
      <c r="M221" s="515">
        <v>45839.0</v>
      </c>
      <c r="N221" s="515">
        <v>45869.0</v>
      </c>
    </row>
    <row r="222">
      <c r="A222" s="452" t="s">
        <v>16</v>
      </c>
      <c r="B222" s="453">
        <v>4320.0</v>
      </c>
      <c r="C222" s="556" t="s">
        <v>763</v>
      </c>
      <c r="D222" s="453">
        <v>0.0</v>
      </c>
      <c r="E222" s="311" t="s">
        <v>881</v>
      </c>
      <c r="F222" s="511" t="s">
        <v>882</v>
      </c>
      <c r="G222" s="251" t="s">
        <v>883</v>
      </c>
      <c r="I222" s="509">
        <v>35887.0</v>
      </c>
      <c r="J222" s="520">
        <v>45809.0</v>
      </c>
      <c r="L222" s="514">
        <v>31.0</v>
      </c>
      <c r="M222" s="515">
        <v>45839.0</v>
      </c>
      <c r="N222" s="515">
        <v>45869.0</v>
      </c>
    </row>
    <row r="223">
      <c r="A223" s="452" t="s">
        <v>16</v>
      </c>
      <c r="B223" s="453">
        <v>4320.0</v>
      </c>
      <c r="C223" s="556" t="s">
        <v>763</v>
      </c>
      <c r="D223" s="453">
        <v>0.0</v>
      </c>
      <c r="E223" s="574" t="s">
        <v>915</v>
      </c>
      <c r="F223" s="575" t="s">
        <v>893</v>
      </c>
      <c r="G223" s="228" t="str">
        <f>VLOOKUP(E223,Emp_Directory!B:AQ,16,false)</f>
        <v>13302-9437802-3</v>
      </c>
      <c r="I223" s="509">
        <f>VLOOKUP(E223,Emp_Directory!B:AQ,24,false)</f>
        <v>35207</v>
      </c>
      <c r="J223" s="576">
        <v>45839.0</v>
      </c>
      <c r="K223" s="577">
        <v>45868.0</v>
      </c>
      <c r="L223" s="578">
        <v>30.0</v>
      </c>
      <c r="M223" s="579">
        <v>45839.0</v>
      </c>
      <c r="N223" s="579">
        <v>45869.0</v>
      </c>
    </row>
    <row r="224">
      <c r="A224" s="452" t="s">
        <v>16</v>
      </c>
      <c r="B224" s="453">
        <v>4320.0</v>
      </c>
      <c r="C224" s="556" t="s">
        <v>763</v>
      </c>
      <c r="D224" s="453">
        <v>0.0</v>
      </c>
      <c r="E224" s="580" t="s">
        <v>895</v>
      </c>
      <c r="F224" s="581" t="s">
        <v>896</v>
      </c>
      <c r="G224" s="228" t="str">
        <f>VLOOKUP(E224,Emp_Directory!B:AQ,16,false)</f>
        <v>33100-1143058-5</v>
      </c>
      <c r="I224" s="509">
        <f>VLOOKUP(E224,Emp_Directory!B:AQ,24,false)</f>
        <v>36431</v>
      </c>
      <c r="J224" s="582">
        <v>45839.0</v>
      </c>
      <c r="K224" s="583"/>
      <c r="L224" s="584">
        <v>31.0</v>
      </c>
      <c r="M224" s="585">
        <v>45839.0</v>
      </c>
      <c r="N224" s="585">
        <v>45869.0</v>
      </c>
    </row>
    <row r="225">
      <c r="A225" s="452" t="s">
        <v>16</v>
      </c>
      <c r="B225" s="453">
        <v>4320.0</v>
      </c>
      <c r="C225" s="556" t="s">
        <v>763</v>
      </c>
      <c r="D225" s="453">
        <v>0.0</v>
      </c>
      <c r="E225" s="118" t="s">
        <v>898</v>
      </c>
      <c r="F225" s="575" t="s">
        <v>899</v>
      </c>
      <c r="G225" s="228" t="str">
        <f>VLOOKUP(E225,Emp_Directory!B:AQ,16,false)</f>
        <v>38404-8888249-3</v>
      </c>
      <c r="I225" s="509">
        <f>VLOOKUP(E225,Emp_Directory!B:AQ,24,false)</f>
        <v>37642</v>
      </c>
      <c r="J225" s="576">
        <v>45842.0</v>
      </c>
      <c r="K225" s="586"/>
      <c r="L225" s="584">
        <v>28.0</v>
      </c>
      <c r="M225" s="579">
        <v>45839.0</v>
      </c>
      <c r="N225" s="579">
        <v>45869.0</v>
      </c>
    </row>
    <row r="226">
      <c r="A226" s="452" t="s">
        <v>16</v>
      </c>
      <c r="B226" s="453">
        <v>4320.0</v>
      </c>
      <c r="C226" s="556" t="s">
        <v>763</v>
      </c>
      <c r="D226" s="453">
        <v>0.0</v>
      </c>
      <c r="E226" s="587" t="s">
        <v>901</v>
      </c>
      <c r="F226" s="581" t="s">
        <v>902</v>
      </c>
      <c r="G226" s="228" t="str">
        <f>VLOOKUP(E226,Emp_Directory!B:AQ,16,false)</f>
        <v>61101-1316783-5</v>
      </c>
      <c r="I226" s="509">
        <f>VLOOKUP(E226,Emp_Directory!B:AQ,24,false)</f>
        <v>34878</v>
      </c>
      <c r="J226" s="582">
        <v>45845.0</v>
      </c>
      <c r="K226" s="583"/>
      <c r="L226" s="584">
        <v>25.0</v>
      </c>
      <c r="M226" s="585">
        <v>45839.0</v>
      </c>
      <c r="N226" s="585">
        <v>45869.0</v>
      </c>
    </row>
    <row r="227">
      <c r="A227" s="452" t="s">
        <v>16</v>
      </c>
      <c r="B227" s="453">
        <v>4320.0</v>
      </c>
      <c r="C227" s="556" t="s">
        <v>763</v>
      </c>
      <c r="D227" s="453">
        <v>0.0</v>
      </c>
      <c r="E227" s="118" t="s">
        <v>904</v>
      </c>
      <c r="F227" s="575" t="s">
        <v>905</v>
      </c>
      <c r="G227" s="228" t="str">
        <f>VLOOKUP(E227,Emp_Directory!B:AQ,16,false)</f>
        <v>15602-1856910-3</v>
      </c>
      <c r="I227" s="509">
        <f>VLOOKUP(E227,Emp_Directory!B:AQ,24,false)</f>
        <v>37326</v>
      </c>
      <c r="J227" s="576">
        <v>45845.0</v>
      </c>
      <c r="K227" s="586"/>
      <c r="L227" s="584">
        <v>25.0</v>
      </c>
      <c r="M227" s="579">
        <v>45839.0</v>
      </c>
      <c r="N227" s="579">
        <v>45869.0</v>
      </c>
    </row>
    <row r="228">
      <c r="A228" s="452" t="s">
        <v>16</v>
      </c>
      <c r="B228" s="453">
        <v>4320.0</v>
      </c>
      <c r="C228" s="556" t="s">
        <v>763</v>
      </c>
      <c r="D228" s="453">
        <v>0.0</v>
      </c>
      <c r="E228" s="587" t="s">
        <v>907</v>
      </c>
      <c r="F228" s="581" t="s">
        <v>908</v>
      </c>
      <c r="G228" s="228" t="str">
        <f>VLOOKUP(E228,Emp_Directory!B:AQ,16,false)</f>
        <v>37405-5543241-0</v>
      </c>
      <c r="I228" s="509">
        <f>VLOOKUP(E228,Emp_Directory!B:AQ,24,false)</f>
        <v>37465</v>
      </c>
      <c r="J228" s="582">
        <v>45845.0</v>
      </c>
      <c r="K228" s="583"/>
      <c r="L228" s="584">
        <v>25.0</v>
      </c>
      <c r="M228" s="585">
        <v>45839.0</v>
      </c>
      <c r="N228" s="585">
        <v>45869.0</v>
      </c>
    </row>
    <row r="229">
      <c r="A229" s="452" t="s">
        <v>16</v>
      </c>
      <c r="B229" s="453">
        <v>4320.0</v>
      </c>
      <c r="C229" s="556" t="s">
        <v>763</v>
      </c>
      <c r="D229" s="514">
        <v>0.0</v>
      </c>
      <c r="E229" s="118" t="s">
        <v>910</v>
      </c>
      <c r="F229" s="575" t="s">
        <v>911</v>
      </c>
      <c r="G229" s="228" t="str">
        <f>VLOOKUP(E229,Emp_Directory!B:AQ,16,false)</f>
        <v>37405-8046887-1</v>
      </c>
      <c r="I229" s="509">
        <f>VLOOKUP(E229,Emp_Directory!B:AQ,24,false)</f>
        <v>35010</v>
      </c>
      <c r="J229" s="576">
        <v>45860.0</v>
      </c>
      <c r="K229" s="586"/>
      <c r="L229" s="584">
        <v>10.0</v>
      </c>
      <c r="M229" s="579">
        <v>45839.0</v>
      </c>
      <c r="N229" s="579">
        <v>45869.0</v>
      </c>
    </row>
    <row r="230">
      <c r="D230" s="310"/>
      <c r="E230" s="311"/>
      <c r="L230" s="588">
        <f>SUM(L2:L229)</f>
        <v>3379</v>
      </c>
      <c r="M230" s="589"/>
      <c r="N230" s="589"/>
    </row>
    <row r="231">
      <c r="D231" s="310"/>
      <c r="E231" s="311"/>
    </row>
    <row r="232">
      <c r="D232" s="310"/>
      <c r="E232" s="311"/>
    </row>
    <row r="233">
      <c r="D233" s="310"/>
      <c r="E233" s="311"/>
    </row>
    <row r="234">
      <c r="D234" s="310"/>
      <c r="E234" s="311"/>
      <c r="L234" s="228">
        <f>L230-'July 2025 Reference AI'!L116</f>
        <v>0</v>
      </c>
    </row>
    <row r="235">
      <c r="D235" s="310"/>
      <c r="E235" s="311"/>
    </row>
    <row r="236">
      <c r="D236" s="310"/>
      <c r="E236" s="510"/>
      <c r="F236" s="511"/>
    </row>
    <row r="237">
      <c r="D237" s="310"/>
      <c r="E237" s="545"/>
      <c r="F237" s="511"/>
    </row>
    <row r="238">
      <c r="D238" s="310"/>
      <c r="E238" s="501"/>
      <c r="F238" s="511"/>
    </row>
    <row r="239">
      <c r="D239" s="310"/>
      <c r="E239" s="501"/>
      <c r="F239" s="511"/>
    </row>
    <row r="240">
      <c r="D240" s="310"/>
      <c r="E240" s="501"/>
      <c r="F240" s="511"/>
    </row>
    <row r="241">
      <c r="D241" s="310"/>
      <c r="E241" s="501"/>
      <c r="F241" s="511"/>
    </row>
    <row r="242">
      <c r="D242" s="310"/>
      <c r="E242" s="501"/>
      <c r="F242" s="511"/>
    </row>
    <row r="243">
      <c r="D243" s="310"/>
      <c r="E243" s="501"/>
      <c r="F243" s="5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row r="734">
      <c r="D734" s="310"/>
      <c r="E734" s="311"/>
    </row>
    <row r="735">
      <c r="D735" s="310"/>
      <c r="E735" s="311"/>
    </row>
    <row r="736">
      <c r="D736" s="310"/>
      <c r="E736" s="311"/>
    </row>
    <row r="737">
      <c r="D737" s="310"/>
      <c r="E737" s="311"/>
    </row>
    <row r="738">
      <c r="D738" s="310"/>
      <c r="E738" s="311"/>
    </row>
    <row r="739">
      <c r="D739" s="310"/>
      <c r="E739" s="311"/>
    </row>
    <row r="740">
      <c r="D740" s="310"/>
      <c r="E740" s="311"/>
    </row>
    <row r="741">
      <c r="D741" s="310"/>
      <c r="E741" s="311"/>
    </row>
    <row r="742">
      <c r="D742" s="310"/>
      <c r="E742" s="311"/>
    </row>
    <row r="743">
      <c r="D743" s="310"/>
      <c r="E743" s="311"/>
    </row>
    <row r="744">
      <c r="D744" s="310"/>
      <c r="E744" s="311"/>
    </row>
    <row r="745">
      <c r="D745" s="310"/>
      <c r="E745" s="311"/>
    </row>
    <row r="746">
      <c r="D746" s="310"/>
      <c r="E746" s="311"/>
    </row>
    <row r="747">
      <c r="D747" s="310"/>
      <c r="E747" s="311"/>
    </row>
    <row r="748">
      <c r="D748" s="310"/>
      <c r="E748" s="311"/>
    </row>
    <row r="749">
      <c r="D749" s="310"/>
      <c r="E749" s="311"/>
    </row>
    <row r="750">
      <c r="D750" s="310"/>
      <c r="E750" s="311"/>
    </row>
    <row r="751">
      <c r="D751" s="310"/>
      <c r="E751" s="311"/>
    </row>
    <row r="752">
      <c r="D752" s="310"/>
      <c r="E752" s="311"/>
    </row>
    <row r="753">
      <c r="D753" s="310"/>
      <c r="E753" s="311"/>
    </row>
    <row r="754">
      <c r="D754" s="310"/>
      <c r="E754" s="311"/>
    </row>
    <row r="755">
      <c r="D755" s="310"/>
      <c r="E755" s="311"/>
    </row>
    <row r="756">
      <c r="D756" s="310"/>
      <c r="E756" s="311"/>
    </row>
    <row r="757">
      <c r="D757" s="310"/>
      <c r="E757" s="311"/>
    </row>
    <row r="758">
      <c r="D758" s="310"/>
      <c r="E758" s="311"/>
    </row>
    <row r="759">
      <c r="D759" s="310"/>
      <c r="E759" s="311"/>
    </row>
    <row r="760">
      <c r="D760" s="310"/>
      <c r="E760" s="311"/>
    </row>
    <row r="761">
      <c r="D761" s="310"/>
      <c r="E761" s="311"/>
    </row>
    <row r="762">
      <c r="D762" s="310"/>
      <c r="E762" s="311"/>
    </row>
    <row r="763">
      <c r="D763" s="310"/>
      <c r="E763" s="311"/>
    </row>
    <row r="764">
      <c r="D764" s="310"/>
      <c r="E764" s="311"/>
    </row>
    <row r="765">
      <c r="D765" s="310"/>
      <c r="E765" s="311"/>
    </row>
    <row r="766">
      <c r="D766" s="310"/>
      <c r="E766" s="311"/>
    </row>
    <row r="767">
      <c r="D767" s="310"/>
      <c r="E767" s="311"/>
    </row>
    <row r="768">
      <c r="D768" s="310"/>
      <c r="E768" s="311"/>
    </row>
    <row r="769">
      <c r="D769" s="310"/>
      <c r="E769" s="311"/>
    </row>
    <row r="770">
      <c r="D770" s="310"/>
      <c r="E770" s="311"/>
    </row>
    <row r="771">
      <c r="D771" s="310"/>
      <c r="E771" s="311"/>
    </row>
    <row r="772">
      <c r="D772" s="310"/>
      <c r="E772" s="311"/>
    </row>
    <row r="773">
      <c r="D773" s="310"/>
      <c r="E773" s="311"/>
    </row>
    <row r="774">
      <c r="D774" s="310"/>
      <c r="E774" s="311"/>
    </row>
    <row r="775">
      <c r="D775" s="310"/>
      <c r="E775" s="311"/>
    </row>
    <row r="776">
      <c r="D776" s="310"/>
      <c r="E776" s="311"/>
    </row>
    <row r="777">
      <c r="D777" s="310"/>
      <c r="E777" s="311"/>
    </row>
    <row r="778">
      <c r="D778" s="310"/>
      <c r="E778" s="311"/>
    </row>
    <row r="779">
      <c r="D779" s="310"/>
      <c r="E779" s="311"/>
    </row>
    <row r="780">
      <c r="D780" s="310"/>
      <c r="E780" s="311"/>
    </row>
    <row r="781">
      <c r="D781" s="310"/>
      <c r="E781" s="311"/>
    </row>
    <row r="782">
      <c r="D782" s="310"/>
      <c r="E782" s="311"/>
    </row>
    <row r="783">
      <c r="D783" s="310"/>
      <c r="E783" s="311"/>
    </row>
    <row r="784">
      <c r="D784" s="310"/>
      <c r="E784" s="311"/>
    </row>
    <row r="785">
      <c r="D785" s="310"/>
      <c r="E785" s="311"/>
    </row>
    <row r="786">
      <c r="D786" s="310"/>
      <c r="E786" s="311"/>
    </row>
    <row r="787">
      <c r="D787" s="310"/>
      <c r="E787" s="311"/>
    </row>
    <row r="788">
      <c r="D788" s="310"/>
      <c r="E788" s="311"/>
    </row>
    <row r="789">
      <c r="D789" s="310"/>
      <c r="E789" s="311"/>
    </row>
    <row r="790">
      <c r="D790" s="310"/>
      <c r="E790" s="311"/>
    </row>
    <row r="791">
      <c r="D791" s="310"/>
      <c r="E791" s="311"/>
    </row>
    <row r="792">
      <c r="D792" s="310"/>
      <c r="E792" s="311"/>
    </row>
    <row r="793">
      <c r="D793" s="310"/>
      <c r="E793" s="311"/>
    </row>
    <row r="794">
      <c r="D794" s="310"/>
      <c r="E794" s="311"/>
    </row>
    <row r="795">
      <c r="D795" s="310"/>
      <c r="E795" s="311"/>
    </row>
    <row r="796">
      <c r="D796" s="310"/>
      <c r="E796" s="311"/>
    </row>
    <row r="797">
      <c r="D797" s="310"/>
      <c r="E797" s="311"/>
    </row>
    <row r="798">
      <c r="D798" s="310"/>
      <c r="E798" s="311"/>
    </row>
    <row r="799">
      <c r="D799" s="310"/>
      <c r="E799" s="311"/>
    </row>
    <row r="800">
      <c r="D800" s="310"/>
      <c r="E800" s="311"/>
    </row>
    <row r="801">
      <c r="D801" s="310"/>
      <c r="E801" s="311"/>
    </row>
    <row r="802">
      <c r="D802" s="310"/>
      <c r="E802" s="311"/>
    </row>
    <row r="803">
      <c r="D803" s="310"/>
      <c r="E803" s="311"/>
    </row>
    <row r="804">
      <c r="D804" s="310"/>
      <c r="E804" s="311"/>
    </row>
    <row r="805">
      <c r="D805" s="310"/>
      <c r="E805" s="311"/>
    </row>
    <row r="806">
      <c r="D806" s="310"/>
      <c r="E806" s="311"/>
    </row>
    <row r="807">
      <c r="D807" s="310"/>
      <c r="E807" s="311"/>
    </row>
    <row r="808">
      <c r="D808" s="310"/>
      <c r="E808" s="311"/>
    </row>
    <row r="809">
      <c r="D809" s="310"/>
      <c r="E809" s="311"/>
    </row>
    <row r="810">
      <c r="D810" s="310"/>
      <c r="E810" s="311"/>
    </row>
    <row r="811">
      <c r="D811" s="310"/>
      <c r="E811" s="311"/>
    </row>
    <row r="812">
      <c r="D812" s="310"/>
      <c r="E812" s="311"/>
    </row>
    <row r="813">
      <c r="D813" s="310"/>
      <c r="E813" s="311"/>
    </row>
    <row r="814">
      <c r="D814" s="310"/>
      <c r="E814" s="311"/>
    </row>
    <row r="815">
      <c r="D815" s="310"/>
      <c r="E815" s="311"/>
    </row>
    <row r="816">
      <c r="D816" s="310"/>
      <c r="E816" s="311"/>
    </row>
    <row r="817">
      <c r="D817" s="310"/>
      <c r="E817" s="311"/>
    </row>
    <row r="818">
      <c r="D818" s="310"/>
      <c r="E818" s="311"/>
    </row>
    <row r="819">
      <c r="D819" s="310"/>
      <c r="E819" s="311"/>
    </row>
    <row r="820">
      <c r="D820" s="310"/>
      <c r="E820" s="311"/>
    </row>
    <row r="821">
      <c r="D821" s="310"/>
      <c r="E821" s="311"/>
    </row>
    <row r="822">
      <c r="D822" s="310"/>
      <c r="E822" s="311"/>
    </row>
    <row r="823">
      <c r="D823" s="310"/>
      <c r="E823" s="311"/>
    </row>
    <row r="824">
      <c r="D824" s="310"/>
      <c r="E824" s="311"/>
    </row>
    <row r="825">
      <c r="D825" s="310"/>
      <c r="E825" s="311"/>
    </row>
    <row r="826">
      <c r="D826" s="310"/>
      <c r="E826" s="311"/>
    </row>
    <row r="827">
      <c r="D827" s="310"/>
      <c r="E827" s="311"/>
    </row>
    <row r="828">
      <c r="D828" s="310"/>
      <c r="E828" s="311"/>
    </row>
    <row r="829">
      <c r="D829" s="310"/>
      <c r="E829" s="311"/>
    </row>
    <row r="830">
      <c r="D830" s="310"/>
      <c r="E830" s="311"/>
    </row>
    <row r="831">
      <c r="D831" s="310"/>
      <c r="E831" s="311"/>
    </row>
    <row r="832">
      <c r="D832" s="310"/>
      <c r="E832" s="311"/>
    </row>
    <row r="833">
      <c r="D833" s="310"/>
      <c r="E833" s="311"/>
    </row>
    <row r="834">
      <c r="D834" s="310"/>
      <c r="E834" s="311"/>
    </row>
    <row r="835">
      <c r="D835" s="310"/>
      <c r="E835" s="311"/>
    </row>
    <row r="836">
      <c r="D836" s="310"/>
      <c r="E836" s="311"/>
    </row>
    <row r="837">
      <c r="D837" s="310"/>
      <c r="E837" s="311"/>
    </row>
    <row r="838">
      <c r="D838" s="310"/>
      <c r="E838" s="311"/>
    </row>
    <row r="839">
      <c r="D839" s="310"/>
      <c r="E839" s="311"/>
    </row>
    <row r="840">
      <c r="D840" s="310"/>
      <c r="E840" s="311"/>
    </row>
    <row r="841">
      <c r="D841" s="310"/>
      <c r="E841" s="311"/>
    </row>
    <row r="842">
      <c r="D842" s="310"/>
      <c r="E842" s="311"/>
    </row>
    <row r="843">
      <c r="D843" s="310"/>
      <c r="E843" s="311"/>
    </row>
    <row r="844">
      <c r="D844" s="310"/>
      <c r="E844" s="311"/>
    </row>
    <row r="845">
      <c r="D845" s="310"/>
      <c r="E845" s="311"/>
    </row>
    <row r="846">
      <c r="D846" s="310"/>
      <c r="E846" s="311"/>
    </row>
    <row r="847">
      <c r="D847" s="310"/>
      <c r="E847" s="311"/>
    </row>
    <row r="848">
      <c r="D848" s="310"/>
      <c r="E848" s="311"/>
    </row>
    <row r="849">
      <c r="D849" s="310"/>
      <c r="E849" s="311"/>
    </row>
    <row r="850">
      <c r="D850" s="310"/>
      <c r="E850" s="311"/>
    </row>
    <row r="851">
      <c r="D851" s="310"/>
      <c r="E851" s="311"/>
    </row>
    <row r="852">
      <c r="D852" s="310"/>
      <c r="E852" s="311"/>
    </row>
    <row r="853">
      <c r="D853" s="310"/>
      <c r="E853" s="311"/>
    </row>
    <row r="854">
      <c r="D854" s="310"/>
      <c r="E854" s="311"/>
    </row>
    <row r="855">
      <c r="D855" s="310"/>
      <c r="E855" s="311"/>
    </row>
    <row r="856">
      <c r="D856" s="310"/>
      <c r="E856" s="311"/>
    </row>
    <row r="857">
      <c r="D857" s="310"/>
      <c r="E857" s="311"/>
    </row>
    <row r="858">
      <c r="D858" s="310"/>
      <c r="E858" s="311"/>
    </row>
    <row r="859">
      <c r="D859" s="310"/>
      <c r="E859" s="311"/>
    </row>
    <row r="860">
      <c r="D860" s="310"/>
      <c r="E860" s="311"/>
    </row>
    <row r="861">
      <c r="D861" s="310"/>
      <c r="E861" s="311"/>
    </row>
    <row r="862">
      <c r="D862" s="310"/>
      <c r="E862" s="311"/>
    </row>
    <row r="863">
      <c r="D863" s="310"/>
      <c r="E863" s="311"/>
    </row>
    <row r="864">
      <c r="D864" s="310"/>
      <c r="E864" s="311"/>
    </row>
    <row r="865">
      <c r="D865" s="310"/>
      <c r="E865" s="311"/>
    </row>
    <row r="866">
      <c r="D866" s="310"/>
      <c r="E866" s="311"/>
    </row>
    <row r="867">
      <c r="D867" s="310"/>
      <c r="E867" s="311"/>
    </row>
    <row r="868">
      <c r="D868" s="310"/>
      <c r="E868" s="311"/>
    </row>
    <row r="869">
      <c r="D869" s="310"/>
      <c r="E869" s="311"/>
    </row>
    <row r="870">
      <c r="D870" s="310"/>
      <c r="E870" s="311"/>
    </row>
    <row r="871">
      <c r="D871" s="310"/>
      <c r="E871" s="311"/>
    </row>
    <row r="872">
      <c r="D872" s="310"/>
      <c r="E872" s="311"/>
    </row>
    <row r="873">
      <c r="D873" s="310"/>
      <c r="E873" s="311"/>
    </row>
    <row r="874">
      <c r="D874" s="310"/>
      <c r="E874" s="311"/>
    </row>
    <row r="875">
      <c r="D875" s="310"/>
      <c r="E875" s="311"/>
    </row>
    <row r="876">
      <c r="D876" s="310"/>
      <c r="E876" s="311"/>
    </row>
    <row r="877">
      <c r="D877" s="310"/>
      <c r="E877" s="311"/>
    </row>
    <row r="878">
      <c r="D878" s="310"/>
      <c r="E878" s="311"/>
    </row>
    <row r="879">
      <c r="D879" s="310"/>
      <c r="E879" s="311"/>
    </row>
    <row r="880">
      <c r="D880" s="310"/>
      <c r="E880" s="311"/>
    </row>
    <row r="881">
      <c r="D881" s="310"/>
      <c r="E881" s="311"/>
    </row>
    <row r="882">
      <c r="D882" s="310"/>
      <c r="E882" s="311"/>
    </row>
    <row r="883">
      <c r="D883" s="310"/>
      <c r="E883" s="311"/>
    </row>
    <row r="884">
      <c r="D884" s="310"/>
      <c r="E884" s="311"/>
    </row>
    <row r="885">
      <c r="D885" s="310"/>
      <c r="E885" s="311"/>
    </row>
    <row r="886">
      <c r="D886" s="310"/>
      <c r="E886" s="311"/>
    </row>
    <row r="887">
      <c r="D887" s="310"/>
      <c r="E887" s="311"/>
    </row>
    <row r="888">
      <c r="D888" s="310"/>
      <c r="E888" s="311"/>
    </row>
    <row r="889">
      <c r="D889" s="310"/>
      <c r="E889" s="311"/>
    </row>
    <row r="890">
      <c r="D890" s="310"/>
      <c r="E890" s="311"/>
    </row>
    <row r="891">
      <c r="D891" s="310"/>
      <c r="E891" s="311"/>
    </row>
    <row r="892">
      <c r="D892" s="310"/>
      <c r="E892" s="311"/>
    </row>
    <row r="893">
      <c r="D893" s="310"/>
      <c r="E893" s="311"/>
    </row>
    <row r="894">
      <c r="D894" s="310"/>
      <c r="E894" s="311"/>
    </row>
    <row r="895">
      <c r="D895" s="310"/>
      <c r="E895" s="311"/>
    </row>
    <row r="896">
      <c r="D896" s="310"/>
      <c r="E896" s="311"/>
    </row>
    <row r="897">
      <c r="D897" s="310"/>
      <c r="E897" s="311"/>
    </row>
    <row r="898">
      <c r="D898" s="310"/>
      <c r="E898" s="311"/>
    </row>
    <row r="899">
      <c r="D899" s="310"/>
      <c r="E899" s="311"/>
    </row>
    <row r="900">
      <c r="D900" s="310"/>
      <c r="E900" s="311"/>
    </row>
    <row r="901">
      <c r="D901" s="310"/>
      <c r="E901" s="311"/>
    </row>
    <row r="902">
      <c r="D902" s="310"/>
      <c r="E902" s="311"/>
    </row>
    <row r="903">
      <c r="D903" s="310"/>
      <c r="E903" s="311"/>
    </row>
    <row r="904">
      <c r="D904" s="310"/>
      <c r="E904" s="311"/>
    </row>
    <row r="905">
      <c r="D905" s="310"/>
      <c r="E905" s="311"/>
    </row>
    <row r="906">
      <c r="D906" s="310"/>
      <c r="E906" s="311"/>
    </row>
    <row r="907">
      <c r="D907" s="310"/>
      <c r="E907" s="311"/>
    </row>
    <row r="908">
      <c r="D908" s="310"/>
      <c r="E908" s="311"/>
    </row>
    <row r="909">
      <c r="D909" s="310"/>
      <c r="E909" s="311"/>
    </row>
    <row r="910">
      <c r="D910" s="310"/>
      <c r="E910" s="311"/>
    </row>
    <row r="911">
      <c r="D911" s="310"/>
      <c r="E911" s="311"/>
    </row>
    <row r="912">
      <c r="D912" s="310"/>
      <c r="E912" s="311"/>
    </row>
    <row r="913">
      <c r="D913" s="310"/>
      <c r="E913" s="311"/>
    </row>
    <row r="914">
      <c r="D914" s="310"/>
      <c r="E914" s="311"/>
    </row>
    <row r="915">
      <c r="D915" s="310"/>
      <c r="E915" s="311"/>
    </row>
    <row r="916">
      <c r="D916" s="310"/>
      <c r="E916" s="311"/>
    </row>
    <row r="917">
      <c r="D917" s="310"/>
      <c r="E917" s="311"/>
    </row>
    <row r="918">
      <c r="D918" s="310"/>
      <c r="E918" s="311"/>
    </row>
    <row r="919">
      <c r="D919" s="310"/>
      <c r="E919" s="311"/>
    </row>
    <row r="920">
      <c r="D920" s="310"/>
      <c r="E920" s="311"/>
    </row>
    <row r="921">
      <c r="D921" s="310"/>
      <c r="E921" s="311"/>
    </row>
    <row r="922">
      <c r="D922" s="310"/>
      <c r="E922" s="311"/>
    </row>
    <row r="923">
      <c r="D923" s="310"/>
      <c r="E923" s="311"/>
    </row>
    <row r="924">
      <c r="D924" s="310"/>
      <c r="E924" s="311"/>
    </row>
    <row r="925">
      <c r="D925" s="310"/>
      <c r="E925" s="311"/>
    </row>
    <row r="926">
      <c r="D926" s="310"/>
      <c r="E926" s="311"/>
    </row>
    <row r="927">
      <c r="D927" s="310"/>
      <c r="E927" s="311"/>
    </row>
    <row r="928">
      <c r="D928" s="310"/>
      <c r="E928" s="311"/>
    </row>
    <row r="929">
      <c r="D929" s="310"/>
      <c r="E929" s="311"/>
    </row>
    <row r="930">
      <c r="D930" s="310"/>
      <c r="E930" s="311"/>
    </row>
    <row r="931">
      <c r="D931" s="310"/>
      <c r="E931" s="311"/>
    </row>
    <row r="932">
      <c r="D932" s="310"/>
      <c r="E932" s="311"/>
    </row>
    <row r="933">
      <c r="D933" s="310"/>
      <c r="E933" s="311"/>
    </row>
    <row r="934">
      <c r="D934" s="310"/>
      <c r="E934" s="311"/>
    </row>
    <row r="935">
      <c r="D935" s="310"/>
      <c r="E935" s="311"/>
    </row>
    <row r="936">
      <c r="D936" s="310"/>
      <c r="E936" s="311"/>
    </row>
    <row r="937">
      <c r="D937" s="310"/>
      <c r="E937" s="311"/>
    </row>
    <row r="938">
      <c r="D938" s="310"/>
      <c r="E938" s="311"/>
    </row>
    <row r="939">
      <c r="D939" s="310"/>
      <c r="E939" s="311"/>
    </row>
    <row r="940">
      <c r="D940" s="310"/>
      <c r="E940" s="311"/>
    </row>
    <row r="941">
      <c r="D941" s="310"/>
      <c r="E941" s="311"/>
    </row>
    <row r="942">
      <c r="D942" s="310"/>
      <c r="E942" s="311"/>
    </row>
    <row r="943">
      <c r="D943" s="310"/>
      <c r="E943" s="311"/>
    </row>
    <row r="944">
      <c r="D944" s="310"/>
      <c r="E944" s="311"/>
    </row>
    <row r="945">
      <c r="D945" s="310"/>
      <c r="E945" s="311"/>
    </row>
    <row r="946">
      <c r="D946" s="310"/>
      <c r="E946" s="311"/>
    </row>
    <row r="947">
      <c r="D947" s="310"/>
      <c r="E947" s="311"/>
    </row>
    <row r="948">
      <c r="D948" s="310"/>
      <c r="E948" s="311"/>
    </row>
    <row r="949">
      <c r="D949" s="310"/>
      <c r="E949" s="311"/>
    </row>
    <row r="950">
      <c r="D950" s="310"/>
      <c r="E950" s="311"/>
    </row>
    <row r="951">
      <c r="D951" s="310"/>
      <c r="E951" s="311"/>
    </row>
    <row r="952">
      <c r="D952" s="310"/>
      <c r="E952" s="311"/>
    </row>
    <row r="953">
      <c r="D953" s="310"/>
      <c r="E953" s="311"/>
    </row>
    <row r="954">
      <c r="D954" s="310"/>
      <c r="E954" s="311"/>
    </row>
    <row r="955">
      <c r="D955" s="310"/>
      <c r="E955" s="311"/>
    </row>
    <row r="956">
      <c r="D956" s="310"/>
      <c r="E956" s="311"/>
    </row>
    <row r="957">
      <c r="D957" s="310"/>
      <c r="E957" s="311"/>
    </row>
    <row r="958">
      <c r="D958" s="310"/>
      <c r="E958" s="311"/>
    </row>
    <row r="959">
      <c r="D959" s="310"/>
      <c r="E959" s="311"/>
    </row>
    <row r="960">
      <c r="D960" s="310"/>
      <c r="E960" s="311"/>
    </row>
    <row r="961">
      <c r="D961" s="310"/>
      <c r="E961" s="311"/>
    </row>
    <row r="962">
      <c r="D962" s="310"/>
      <c r="E962" s="311"/>
    </row>
    <row r="963">
      <c r="D963" s="310"/>
      <c r="E963" s="311"/>
    </row>
    <row r="964">
      <c r="D964" s="310"/>
      <c r="E964" s="311"/>
    </row>
    <row r="965">
      <c r="D965" s="310"/>
      <c r="E965" s="311"/>
    </row>
  </sheetData>
  <autoFilter ref="$A$1:$N$230"/>
  <drawing r:id="rId2"/>
  <legacyDrawing r:id="rId3"/>
  <tableParts count="1">
    <tablePart r:id="rId5"/>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7.25"/>
    <col customWidth="1" min="6" max="6" width="11.5"/>
    <col customWidth="1" min="7" max="7" width="14.25"/>
    <col customWidth="1" min="15" max="15" width="19.25"/>
  </cols>
  <sheetData>
    <row r="1">
      <c r="A1" s="347" t="s">
        <v>0</v>
      </c>
      <c r="B1" s="348" t="s">
        <v>1</v>
      </c>
      <c r="C1" s="281" t="s">
        <v>2</v>
      </c>
      <c r="D1" s="281" t="s">
        <v>603</v>
      </c>
      <c r="E1" s="281" t="s">
        <v>604</v>
      </c>
      <c r="F1" s="281" t="s">
        <v>4</v>
      </c>
      <c r="G1" s="281" t="s">
        <v>5</v>
      </c>
      <c r="H1" s="281" t="s">
        <v>6</v>
      </c>
      <c r="I1" s="281" t="s">
        <v>7</v>
      </c>
      <c r="J1" s="281" t="s">
        <v>8</v>
      </c>
      <c r="K1" s="281" t="s">
        <v>9</v>
      </c>
      <c r="L1" s="281" t="s">
        <v>10</v>
      </c>
      <c r="M1" s="281" t="s">
        <v>11</v>
      </c>
      <c r="N1" s="281" t="s">
        <v>12</v>
      </c>
      <c r="O1" s="281" t="s">
        <v>379</v>
      </c>
      <c r="P1" s="281" t="s">
        <v>14</v>
      </c>
      <c r="Q1" s="281" t="s">
        <v>15</v>
      </c>
      <c r="R1" s="66"/>
      <c r="S1" s="66"/>
      <c r="T1" s="66"/>
      <c r="U1" s="66"/>
      <c r="V1" s="66"/>
      <c r="W1" s="66"/>
      <c r="X1" s="66"/>
    </row>
    <row r="2">
      <c r="A2" s="349" t="s">
        <v>16</v>
      </c>
      <c r="B2" s="283">
        <v>4320.0</v>
      </c>
      <c r="C2" s="284"/>
      <c r="D2" s="285">
        <v>0.0</v>
      </c>
      <c r="E2" s="282" t="s">
        <v>436</v>
      </c>
      <c r="F2" s="282" t="s">
        <v>362</v>
      </c>
      <c r="G2" s="286" t="s">
        <v>363</v>
      </c>
      <c r="H2" s="287"/>
      <c r="I2" s="288">
        <v>37149.0</v>
      </c>
      <c r="J2" s="288">
        <v>45397.0</v>
      </c>
      <c r="K2" s="350" t="str">
        <f>IFERROR(__xludf.DUMMYFUNCTION("VLOOKUP(TRIM(E2), ARRAYFORMULA(TRIM(IMPORTRANGE(""1J6TM1lO8a31d96YF89fby9ySWcPcCBlFT37fwLDeDG0"", ""PKR-August 2025!C:Z""))), 5, FALSE)"),"")</f>
        <v/>
      </c>
      <c r="L2" s="302">
        <v>31.0</v>
      </c>
      <c r="M2" s="350">
        <v>45870.0</v>
      </c>
      <c r="N2" s="350">
        <v>45900.0</v>
      </c>
      <c r="O2" s="290">
        <f t="shared" ref="O2:O108" si="1">ROUNDUP(L2/31*370,0)</f>
        <v>370</v>
      </c>
      <c r="P2" s="290">
        <f t="shared" ref="P2:P108" si="2">O2*5</f>
        <v>1850</v>
      </c>
      <c r="Q2" s="290">
        <f t="shared" ref="Q2:Q108" si="3">O2+P2</f>
        <v>2220</v>
      </c>
      <c r="S2" s="228" t="str">
        <f>IFERROR(__xludf.DUMMYFUNCTION("trim(IMPORTRANGE(""1J6TM1lO8a31d96YF89fby9ySWcPcCBlFT37fwLDeDG0"",""PKR-August 2025!C:Z""))"),"Employee Name")</f>
        <v>Employee Name</v>
      </c>
    </row>
    <row r="3">
      <c r="A3" s="282" t="s">
        <v>16</v>
      </c>
      <c r="B3" s="283">
        <v>4320.0</v>
      </c>
      <c r="C3" s="284"/>
      <c r="D3" s="285">
        <v>0.0</v>
      </c>
      <c r="E3" s="282" t="s">
        <v>407</v>
      </c>
      <c r="F3" s="282" t="s">
        <v>97</v>
      </c>
      <c r="G3" s="286" t="s">
        <v>98</v>
      </c>
      <c r="H3" s="287"/>
      <c r="I3" s="294">
        <v>36690.0</v>
      </c>
      <c r="J3" s="288">
        <v>44938.0</v>
      </c>
      <c r="K3" s="350" t="str">
        <f>IFERROR(__xludf.DUMMYFUNCTION("VLOOKUP(TRIM(E3), ARRAYFORMULA(TRIM(IMPORTRANGE(""1J6TM1lO8a31d96YF89fby9ySWcPcCBlFT37fwLDeDG0"", ""PKR-August 2025!C:Z""))), 5, FALSE)"),"")</f>
        <v/>
      </c>
      <c r="L3" s="302">
        <v>31.0</v>
      </c>
      <c r="M3" s="350">
        <v>45870.0</v>
      </c>
      <c r="N3" s="350">
        <v>45900.0</v>
      </c>
      <c r="O3" s="290">
        <f t="shared" si="1"/>
        <v>370</v>
      </c>
      <c r="P3" s="290">
        <f t="shared" si="2"/>
        <v>1850</v>
      </c>
      <c r="Q3" s="290">
        <f t="shared" si="3"/>
        <v>2220</v>
      </c>
    </row>
    <row r="4">
      <c r="A4" s="282" t="s">
        <v>16</v>
      </c>
      <c r="B4" s="283">
        <v>4320.0</v>
      </c>
      <c r="C4" s="284"/>
      <c r="D4" s="477">
        <v>36524.0</v>
      </c>
      <c r="E4" s="351" t="s">
        <v>730</v>
      </c>
      <c r="F4" s="352" t="s">
        <v>731</v>
      </c>
      <c r="G4" s="352" t="s">
        <v>732</v>
      </c>
      <c r="H4" s="282"/>
      <c r="I4" s="350">
        <v>38263.0</v>
      </c>
      <c r="J4" s="350">
        <v>45355.0</v>
      </c>
      <c r="K4" s="350" t="str">
        <f>IFERROR(__xludf.DUMMYFUNCTION("VLOOKUP(TRIM(E4), ARRAYFORMULA(TRIM(IMPORTRANGE(""1J6TM1lO8a31d96YF89fby9ySWcPcCBlFT37fwLDeDG0"", ""PKR-August 2025!C:Z""))), 5, FALSE)"),"#N/A")</f>
        <v>#N/A</v>
      </c>
      <c r="L4" s="302">
        <v>31.0</v>
      </c>
      <c r="M4" s="350">
        <v>45870.0</v>
      </c>
      <c r="N4" s="350">
        <v>45900.0</v>
      </c>
      <c r="O4" s="290">
        <f t="shared" si="1"/>
        <v>370</v>
      </c>
      <c r="P4" s="290">
        <f t="shared" si="2"/>
        <v>1850</v>
      </c>
      <c r="Q4" s="290">
        <f t="shared" si="3"/>
        <v>2220</v>
      </c>
    </row>
    <row r="5">
      <c r="A5" s="282" t="s">
        <v>16</v>
      </c>
      <c r="B5" s="283">
        <v>4320.0</v>
      </c>
      <c r="C5" s="284"/>
      <c r="D5" s="285">
        <v>0.0</v>
      </c>
      <c r="E5" s="282" t="s">
        <v>246</v>
      </c>
      <c r="F5" s="282" t="s">
        <v>247</v>
      </c>
      <c r="G5" s="286" t="s">
        <v>248</v>
      </c>
      <c r="H5" s="287"/>
      <c r="I5" s="288">
        <v>36501.0</v>
      </c>
      <c r="J5" s="288">
        <v>45246.0</v>
      </c>
      <c r="K5" s="350" t="str">
        <f>IFERROR(__xludf.DUMMYFUNCTION("VLOOKUP(TRIM(E5), ARRAYFORMULA(TRIM(IMPORTRANGE(""1J6TM1lO8a31d96YF89fby9ySWcPcCBlFT37fwLDeDG0"", ""PKR-August 2025!C:Z""))), 5, FALSE)"),"")</f>
        <v/>
      </c>
      <c r="L5" s="302">
        <v>31.0</v>
      </c>
      <c r="M5" s="350">
        <v>45870.0</v>
      </c>
      <c r="N5" s="350">
        <v>45900.0</v>
      </c>
      <c r="O5" s="290">
        <f t="shared" si="1"/>
        <v>370</v>
      </c>
      <c r="P5" s="290">
        <f t="shared" si="2"/>
        <v>1850</v>
      </c>
      <c r="Q5" s="290">
        <f t="shared" si="3"/>
        <v>2220</v>
      </c>
    </row>
    <row r="6">
      <c r="A6" s="282" t="s">
        <v>16</v>
      </c>
      <c r="B6" s="283">
        <v>4320.0</v>
      </c>
      <c r="C6" s="284"/>
      <c r="D6" s="285">
        <v>0.0</v>
      </c>
      <c r="E6" s="282" t="s">
        <v>564</v>
      </c>
      <c r="F6" s="282" t="s">
        <v>565</v>
      </c>
      <c r="G6" s="286" t="s">
        <v>566</v>
      </c>
      <c r="H6" s="287"/>
      <c r="I6" s="288">
        <v>34799.0</v>
      </c>
      <c r="J6" s="288">
        <v>45670.0</v>
      </c>
      <c r="K6" s="350" t="str">
        <f>IFERROR(__xludf.DUMMYFUNCTION("VLOOKUP(TRIM(E6), ARRAYFORMULA(TRIM(IMPORTRANGE(""1J6TM1lO8a31d96YF89fby9ySWcPcCBlFT37fwLDeDG0"", ""PKR-August 2025!C:Z""))), 5, FALSE)"),"")</f>
        <v/>
      </c>
      <c r="L6" s="302">
        <v>31.0</v>
      </c>
      <c r="M6" s="350">
        <v>45870.0</v>
      </c>
      <c r="N6" s="350">
        <v>45900.0</v>
      </c>
      <c r="O6" s="290">
        <f t="shared" si="1"/>
        <v>370</v>
      </c>
      <c r="P6" s="290">
        <f t="shared" si="2"/>
        <v>1850</v>
      </c>
      <c r="Q6" s="290">
        <f t="shared" si="3"/>
        <v>2220</v>
      </c>
    </row>
    <row r="7">
      <c r="A7" s="282" t="s">
        <v>16</v>
      </c>
      <c r="B7" s="283">
        <v>4320.0</v>
      </c>
      <c r="C7" s="284"/>
      <c r="D7" s="285">
        <v>0.0</v>
      </c>
      <c r="E7" s="282" t="s">
        <v>264</v>
      </c>
      <c r="F7" s="282" t="s">
        <v>265</v>
      </c>
      <c r="G7" s="286" t="s">
        <v>266</v>
      </c>
      <c r="H7" s="287"/>
      <c r="I7" s="288">
        <v>37398.0</v>
      </c>
      <c r="J7" s="288">
        <v>45096.0</v>
      </c>
      <c r="K7" s="350" t="str">
        <f>IFERROR(__xludf.DUMMYFUNCTION("VLOOKUP(TRIM(E7), ARRAYFORMULA(TRIM(IMPORTRANGE(""1J6TM1lO8a31d96YF89fby9ySWcPcCBlFT37fwLDeDG0"", ""PKR-August 2025!C:Z""))), 5, FALSE)"),"")</f>
        <v/>
      </c>
      <c r="L7" s="302">
        <v>31.0</v>
      </c>
      <c r="M7" s="350">
        <v>45870.0</v>
      </c>
      <c r="N7" s="350">
        <v>45900.0</v>
      </c>
      <c r="O7" s="290">
        <f t="shared" si="1"/>
        <v>370</v>
      </c>
      <c r="P7" s="290">
        <f t="shared" si="2"/>
        <v>1850</v>
      </c>
      <c r="Q7" s="290">
        <f t="shared" si="3"/>
        <v>2220</v>
      </c>
    </row>
    <row r="8">
      <c r="A8" s="282" t="s">
        <v>16</v>
      </c>
      <c r="B8" s="283">
        <v>4320.0</v>
      </c>
      <c r="C8" s="284"/>
      <c r="D8" s="285">
        <v>0.0</v>
      </c>
      <c r="E8" s="282" t="s">
        <v>411</v>
      </c>
      <c r="F8" s="282" t="s">
        <v>412</v>
      </c>
      <c r="G8" s="286" t="s">
        <v>413</v>
      </c>
      <c r="H8" s="287"/>
      <c r="I8" s="288">
        <v>33230.0</v>
      </c>
      <c r="J8" s="288">
        <v>45453.0</v>
      </c>
      <c r="K8" s="350" t="str">
        <f>IFERROR(__xludf.DUMMYFUNCTION("VLOOKUP(TRIM(E8), ARRAYFORMULA(TRIM(IMPORTRANGE(""1J6TM1lO8a31d96YF89fby9ySWcPcCBlFT37fwLDeDG0"", ""PKR-August 2025!C:Z""))), 5, FALSE)"),"")</f>
        <v/>
      </c>
      <c r="L8" s="302">
        <v>31.0</v>
      </c>
      <c r="M8" s="350">
        <v>45870.0</v>
      </c>
      <c r="N8" s="350">
        <v>45900.0</v>
      </c>
      <c r="O8" s="290">
        <f t="shared" si="1"/>
        <v>370</v>
      </c>
      <c r="P8" s="290">
        <f t="shared" si="2"/>
        <v>1850</v>
      </c>
      <c r="Q8" s="290">
        <f t="shared" si="3"/>
        <v>2220</v>
      </c>
    </row>
    <row r="9">
      <c r="A9" s="282" t="s">
        <v>16</v>
      </c>
      <c r="B9" s="283">
        <v>4320.0</v>
      </c>
      <c r="C9" s="289"/>
      <c r="D9" s="285">
        <v>0.0</v>
      </c>
      <c r="E9" s="291" t="s">
        <v>690</v>
      </c>
      <c r="F9" s="295" t="s">
        <v>916</v>
      </c>
      <c r="G9" s="286" t="s">
        <v>692</v>
      </c>
      <c r="H9" s="287"/>
      <c r="I9" s="288">
        <v>37137.0</v>
      </c>
      <c r="J9" s="288">
        <v>45691.0</v>
      </c>
      <c r="K9" s="350" t="str">
        <f>IFERROR(__xludf.DUMMYFUNCTION("VLOOKUP(TRIM(E9), ARRAYFORMULA(TRIM(IMPORTRANGE(""1J6TM1lO8a31d96YF89fby9ySWcPcCBlFT37fwLDeDG0"", ""PKR-August 2025!C:Z""))), 5, FALSE)"),"")</f>
        <v/>
      </c>
      <c r="L9" s="302">
        <v>31.0</v>
      </c>
      <c r="M9" s="350">
        <v>45870.0</v>
      </c>
      <c r="N9" s="350">
        <v>45900.0</v>
      </c>
      <c r="O9" s="290">
        <f t="shared" si="1"/>
        <v>370</v>
      </c>
      <c r="P9" s="290">
        <f t="shared" si="2"/>
        <v>1850</v>
      </c>
      <c r="Q9" s="290">
        <f t="shared" si="3"/>
        <v>2220</v>
      </c>
    </row>
    <row r="10">
      <c r="A10" s="282" t="s">
        <v>16</v>
      </c>
      <c r="B10" s="283">
        <v>4320.0</v>
      </c>
      <c r="C10" s="289"/>
      <c r="D10" s="285">
        <v>0.0</v>
      </c>
      <c r="E10" s="444" t="s">
        <v>917</v>
      </c>
      <c r="F10" s="478" t="s">
        <v>828</v>
      </c>
      <c r="G10" s="479" t="s">
        <v>829</v>
      </c>
      <c r="H10" s="289"/>
      <c r="I10" s="293">
        <v>35599.0</v>
      </c>
      <c r="J10" s="288">
        <v>45712.0</v>
      </c>
      <c r="K10" s="350" t="str">
        <f>IFERROR(__xludf.DUMMYFUNCTION("VLOOKUP(TRIM(E10), ARRAYFORMULA(TRIM(IMPORTRANGE(""1J6TM1lO8a31d96YF89fby9ySWcPcCBlFT37fwLDeDG0"", ""PKR-August 2025!C:Z""))), 5, FALSE)"),"")</f>
        <v/>
      </c>
      <c r="L10" s="302">
        <v>31.0</v>
      </c>
      <c r="M10" s="350">
        <v>45870.0</v>
      </c>
      <c r="N10" s="350">
        <v>45900.0</v>
      </c>
      <c r="O10" s="290">
        <f t="shared" si="1"/>
        <v>370</v>
      </c>
      <c r="P10" s="290">
        <f t="shared" si="2"/>
        <v>1850</v>
      </c>
      <c r="Q10" s="290">
        <f t="shared" si="3"/>
        <v>2220</v>
      </c>
    </row>
    <row r="11">
      <c r="A11" s="282" t="s">
        <v>16</v>
      </c>
      <c r="B11" s="283">
        <v>4320.0</v>
      </c>
      <c r="C11" s="284"/>
      <c r="D11" s="285">
        <v>0.0</v>
      </c>
      <c r="E11" s="282" t="s">
        <v>282</v>
      </c>
      <c r="F11" s="282" t="s">
        <v>283</v>
      </c>
      <c r="G11" s="286" t="s">
        <v>284</v>
      </c>
      <c r="H11" s="287"/>
      <c r="I11" s="294">
        <v>35047.0</v>
      </c>
      <c r="J11" s="288">
        <v>45257.0</v>
      </c>
      <c r="K11" s="350" t="str">
        <f>IFERROR(__xludf.DUMMYFUNCTION("VLOOKUP(TRIM(E11), ARRAYFORMULA(TRIM(IMPORTRANGE(""1J6TM1lO8a31d96YF89fby9ySWcPcCBlFT37fwLDeDG0"", ""PKR-August 2025!C:Z""))), 5, FALSE)"),"")</f>
        <v/>
      </c>
      <c r="L11" s="302">
        <v>31.0</v>
      </c>
      <c r="M11" s="350">
        <v>45870.0</v>
      </c>
      <c r="N11" s="350">
        <v>45900.0</v>
      </c>
      <c r="O11" s="290">
        <f t="shared" si="1"/>
        <v>370</v>
      </c>
      <c r="P11" s="290">
        <f t="shared" si="2"/>
        <v>1850</v>
      </c>
      <c r="Q11" s="290">
        <f t="shared" si="3"/>
        <v>2220</v>
      </c>
    </row>
    <row r="12">
      <c r="A12" s="282" t="s">
        <v>16</v>
      </c>
      <c r="B12" s="283">
        <v>4320.0</v>
      </c>
      <c r="C12" s="284"/>
      <c r="D12" s="285">
        <v>0.0</v>
      </c>
      <c r="E12" s="282" t="s">
        <v>481</v>
      </c>
      <c r="F12" s="282" t="s">
        <v>531</v>
      </c>
      <c r="G12" s="286" t="s">
        <v>482</v>
      </c>
      <c r="H12" s="287"/>
      <c r="I12" s="288">
        <v>35096.0</v>
      </c>
      <c r="J12" s="288">
        <v>45602.0</v>
      </c>
      <c r="K12" s="350" t="str">
        <f>IFERROR(__xludf.DUMMYFUNCTION("VLOOKUP(TRIM(E12), ARRAYFORMULA(TRIM(IMPORTRANGE(""1J6TM1lO8a31d96YF89fby9ySWcPcCBlFT37fwLDeDG0"", ""PKR-August 2025!C:Z""))), 5, FALSE)"),"")</f>
        <v/>
      </c>
      <c r="L12" s="302">
        <v>31.0</v>
      </c>
      <c r="M12" s="350">
        <v>45870.0</v>
      </c>
      <c r="N12" s="350">
        <v>45900.0</v>
      </c>
      <c r="O12" s="290">
        <f t="shared" si="1"/>
        <v>370</v>
      </c>
      <c r="P12" s="290">
        <f t="shared" si="2"/>
        <v>1850</v>
      </c>
      <c r="Q12" s="290">
        <f t="shared" si="3"/>
        <v>2220</v>
      </c>
    </row>
    <row r="13">
      <c r="A13" s="282" t="s">
        <v>16</v>
      </c>
      <c r="B13" s="283">
        <v>4320.0</v>
      </c>
      <c r="C13" s="284"/>
      <c r="D13" s="285">
        <v>0.0</v>
      </c>
      <c r="E13" s="282" t="s">
        <v>45</v>
      </c>
      <c r="F13" s="282" t="s">
        <v>46</v>
      </c>
      <c r="G13" s="286" t="s">
        <v>47</v>
      </c>
      <c r="H13" s="287"/>
      <c r="I13" s="288">
        <v>37370.0</v>
      </c>
      <c r="J13" s="288">
        <v>44739.0</v>
      </c>
      <c r="K13" s="350" t="str">
        <f>IFERROR(__xludf.DUMMYFUNCTION("VLOOKUP(TRIM(E13), ARRAYFORMULA(TRIM(IMPORTRANGE(""1J6TM1lO8a31d96YF89fby9ySWcPcCBlFT37fwLDeDG0"", ""PKR-August 2025!C:Z""))), 5, FALSE)"),"")</f>
        <v/>
      </c>
      <c r="L13" s="302">
        <v>31.0</v>
      </c>
      <c r="M13" s="350">
        <v>45870.0</v>
      </c>
      <c r="N13" s="350">
        <v>45900.0</v>
      </c>
      <c r="O13" s="290">
        <f t="shared" si="1"/>
        <v>370</v>
      </c>
      <c r="P13" s="290">
        <f t="shared" si="2"/>
        <v>1850</v>
      </c>
      <c r="Q13" s="290">
        <f t="shared" si="3"/>
        <v>2220</v>
      </c>
    </row>
    <row r="14">
      <c r="A14" s="282" t="s">
        <v>16</v>
      </c>
      <c r="B14" s="283">
        <v>4320.0</v>
      </c>
      <c r="C14" s="284"/>
      <c r="D14" s="285">
        <v>0.0</v>
      </c>
      <c r="E14" s="282" t="s">
        <v>48</v>
      </c>
      <c r="F14" s="282" t="s">
        <v>49</v>
      </c>
      <c r="G14" s="286" t="s">
        <v>50</v>
      </c>
      <c r="H14" s="287"/>
      <c r="I14" s="288">
        <v>36399.0</v>
      </c>
      <c r="J14" s="294">
        <v>45229.0</v>
      </c>
      <c r="K14" s="350" t="str">
        <f>IFERROR(__xludf.DUMMYFUNCTION("VLOOKUP(TRIM(E14), ARRAYFORMULA(TRIM(IMPORTRANGE(""1J6TM1lO8a31d96YF89fby9ySWcPcCBlFT37fwLDeDG0"", ""PKR-August 2025!C:Z""))), 5, FALSE)"),"")</f>
        <v/>
      </c>
      <c r="L14" s="302">
        <v>31.0</v>
      </c>
      <c r="M14" s="350">
        <v>45870.0</v>
      </c>
      <c r="N14" s="350">
        <v>45900.0</v>
      </c>
      <c r="O14" s="290">
        <f t="shared" si="1"/>
        <v>370</v>
      </c>
      <c r="P14" s="290">
        <f t="shared" si="2"/>
        <v>1850</v>
      </c>
      <c r="Q14" s="290">
        <f t="shared" si="3"/>
        <v>2220</v>
      </c>
    </row>
    <row r="15">
      <c r="A15" s="282" t="s">
        <v>16</v>
      </c>
      <c r="B15" s="283">
        <v>4320.0</v>
      </c>
      <c r="C15" s="284"/>
      <c r="D15" s="285">
        <v>0.0</v>
      </c>
      <c r="E15" s="282" t="s">
        <v>444</v>
      </c>
      <c r="F15" s="282" t="s">
        <v>320</v>
      </c>
      <c r="G15" s="286" t="s">
        <v>321</v>
      </c>
      <c r="H15" s="287"/>
      <c r="I15" s="288">
        <v>36360.0</v>
      </c>
      <c r="J15" s="288">
        <v>45355.0</v>
      </c>
      <c r="K15" s="350" t="str">
        <f>IFERROR(__xludf.DUMMYFUNCTION("VLOOKUP(TRIM(E15), ARRAYFORMULA(TRIM(IMPORTRANGE(""1J6TM1lO8a31d96YF89fby9ySWcPcCBlFT37fwLDeDG0"", ""PKR-August 2025!C:Z""))), 5, FALSE)"),"")</f>
        <v/>
      </c>
      <c r="L15" s="302">
        <v>31.0</v>
      </c>
      <c r="M15" s="350">
        <v>45870.0</v>
      </c>
      <c r="N15" s="350">
        <v>45900.0</v>
      </c>
      <c r="O15" s="290">
        <f t="shared" si="1"/>
        <v>370</v>
      </c>
      <c r="P15" s="290">
        <f t="shared" si="2"/>
        <v>1850</v>
      </c>
      <c r="Q15" s="290">
        <f t="shared" si="3"/>
        <v>2220</v>
      </c>
    </row>
    <row r="16">
      <c r="A16" s="282" t="s">
        <v>16</v>
      </c>
      <c r="B16" s="283">
        <v>4320.0</v>
      </c>
      <c r="C16" s="284"/>
      <c r="D16" s="285">
        <v>0.0</v>
      </c>
      <c r="E16" s="282" t="s">
        <v>383</v>
      </c>
      <c r="F16" s="282" t="s">
        <v>384</v>
      </c>
      <c r="G16" s="286" t="s">
        <v>385</v>
      </c>
      <c r="H16" s="287"/>
      <c r="I16" s="294">
        <v>36183.0</v>
      </c>
      <c r="J16" s="288">
        <v>45418.0</v>
      </c>
      <c r="K16" s="350" t="str">
        <f>IFERROR(__xludf.DUMMYFUNCTION("VLOOKUP(TRIM(E16), ARRAYFORMULA(TRIM(IMPORTRANGE(""1J6TM1lO8a31d96YF89fby9ySWcPcCBlFT37fwLDeDG0"", ""PKR-August 2025!C:Z""))), 5, FALSE)"),"")</f>
        <v/>
      </c>
      <c r="L16" s="302">
        <v>31.0</v>
      </c>
      <c r="M16" s="350">
        <v>45870.0</v>
      </c>
      <c r="N16" s="350">
        <v>45900.0</v>
      </c>
      <c r="O16" s="290">
        <f t="shared" si="1"/>
        <v>370</v>
      </c>
      <c r="P16" s="290">
        <f t="shared" si="2"/>
        <v>1850</v>
      </c>
      <c r="Q16" s="290">
        <f t="shared" si="3"/>
        <v>2220</v>
      </c>
    </row>
    <row r="17">
      <c r="A17" s="421" t="s">
        <v>16</v>
      </c>
      <c r="B17" s="422">
        <v>4320.0</v>
      </c>
      <c r="C17" s="423"/>
      <c r="D17" s="424">
        <v>0.0</v>
      </c>
      <c r="E17" s="590" t="s">
        <v>445</v>
      </c>
      <c r="F17" s="421" t="s">
        <v>510</v>
      </c>
      <c r="G17" s="425" t="s">
        <v>447</v>
      </c>
      <c r="H17" s="287"/>
      <c r="I17" s="426">
        <v>37047.0</v>
      </c>
      <c r="J17" s="426">
        <v>45505.0</v>
      </c>
      <c r="K17" s="350" t="str">
        <f>IFERROR(__xludf.DUMMYFUNCTION("VLOOKUP(TRIM(E17), ARRAYFORMULA(TRIM(IMPORTRANGE(""1J6TM1lO8a31d96YF89fby9ySWcPcCBlFT37fwLDeDG0"", ""PKR-August 2025!C:Z""))), 5, FALSE)"),"8-Aug-2025")</f>
        <v>8-Aug-2025</v>
      </c>
      <c r="L17" s="428">
        <v>8.0</v>
      </c>
      <c r="M17" s="429">
        <v>45870.0</v>
      </c>
      <c r="N17" s="429">
        <v>45900.0</v>
      </c>
      <c r="O17" s="290">
        <f t="shared" si="1"/>
        <v>96</v>
      </c>
      <c r="P17" s="290">
        <f t="shared" si="2"/>
        <v>480</v>
      </c>
      <c r="Q17" s="290">
        <f t="shared" si="3"/>
        <v>576</v>
      </c>
      <c r="R17" s="48"/>
      <c r="S17" s="48"/>
      <c r="T17" s="48"/>
      <c r="U17" s="48"/>
      <c r="V17" s="48"/>
      <c r="W17" s="48"/>
      <c r="X17" s="48"/>
    </row>
    <row r="18">
      <c r="A18" s="282" t="s">
        <v>16</v>
      </c>
      <c r="B18" s="283">
        <v>4320.0</v>
      </c>
      <c r="C18" s="284"/>
      <c r="D18" s="285">
        <v>0.0</v>
      </c>
      <c r="E18" s="282" t="s">
        <v>467</v>
      </c>
      <c r="F18" s="282" t="s">
        <v>511</v>
      </c>
      <c r="G18" s="286" t="s">
        <v>450</v>
      </c>
      <c r="H18" s="287"/>
      <c r="I18" s="288">
        <v>36682.0</v>
      </c>
      <c r="J18" s="288">
        <v>45505.0</v>
      </c>
      <c r="K18" s="350" t="str">
        <f>IFERROR(__xludf.DUMMYFUNCTION("VLOOKUP(TRIM(E18), ARRAYFORMULA(TRIM(IMPORTRANGE(""1J6TM1lO8a31d96YF89fby9ySWcPcCBlFT37fwLDeDG0"", ""PKR-August 2025!C:Z""))), 5, FALSE)"),"")</f>
        <v/>
      </c>
      <c r="L18" s="302">
        <v>31.0</v>
      </c>
      <c r="M18" s="350">
        <v>45870.0</v>
      </c>
      <c r="N18" s="350">
        <v>45900.0</v>
      </c>
      <c r="O18" s="290">
        <f t="shared" si="1"/>
        <v>370</v>
      </c>
      <c r="P18" s="290">
        <f t="shared" si="2"/>
        <v>1850</v>
      </c>
      <c r="Q18" s="290">
        <f t="shared" si="3"/>
        <v>2220</v>
      </c>
    </row>
    <row r="19">
      <c r="A19" s="282" t="s">
        <v>16</v>
      </c>
      <c r="B19" s="283">
        <v>4320.0</v>
      </c>
      <c r="C19" s="284"/>
      <c r="D19" s="285">
        <v>0.0</v>
      </c>
      <c r="E19" s="282" t="s">
        <v>503</v>
      </c>
      <c r="F19" s="282" t="s">
        <v>542</v>
      </c>
      <c r="G19" s="286" t="s">
        <v>504</v>
      </c>
      <c r="H19" s="287"/>
      <c r="I19" s="288">
        <v>37422.0</v>
      </c>
      <c r="J19" s="294">
        <v>45635.0</v>
      </c>
      <c r="K19" s="350" t="str">
        <f>IFERROR(__xludf.DUMMYFUNCTION("VLOOKUP(TRIM(E19), ARRAYFORMULA(TRIM(IMPORTRANGE(""1J6TM1lO8a31d96YF89fby9ySWcPcCBlFT37fwLDeDG0"", ""PKR-August 2025!C:Z""))), 5, FALSE)"),"")</f>
        <v/>
      </c>
      <c r="L19" s="302">
        <v>31.0</v>
      </c>
      <c r="M19" s="350">
        <v>45870.0</v>
      </c>
      <c r="N19" s="350">
        <v>45900.0</v>
      </c>
      <c r="O19" s="290">
        <f t="shared" si="1"/>
        <v>370</v>
      </c>
      <c r="P19" s="290">
        <f t="shared" si="2"/>
        <v>1850</v>
      </c>
      <c r="Q19" s="290">
        <f t="shared" si="3"/>
        <v>2220</v>
      </c>
    </row>
    <row r="20">
      <c r="A20" s="421" t="s">
        <v>16</v>
      </c>
      <c r="B20" s="422">
        <v>4320.0</v>
      </c>
      <c r="C20" s="423"/>
      <c r="D20" s="424">
        <v>0.0</v>
      </c>
      <c r="E20" s="421" t="s">
        <v>291</v>
      </c>
      <c r="F20" s="421" t="s">
        <v>292</v>
      </c>
      <c r="G20" s="425" t="s">
        <v>293</v>
      </c>
      <c r="H20" s="287"/>
      <c r="I20" s="426">
        <v>37219.0</v>
      </c>
      <c r="J20" s="426">
        <v>45257.0</v>
      </c>
      <c r="K20" s="350" t="str">
        <f>IFERROR(__xludf.DUMMYFUNCTION("VLOOKUP(TRIM(E20), ARRAYFORMULA(TRIM(IMPORTRANGE(""1J6TM1lO8a31d96YF89fby9ySWcPcCBlFT37fwLDeDG0"", ""PKR-August 2025!C:Z""))), 5, FALSE)"),"14-Aug-2025")</f>
        <v>14-Aug-2025</v>
      </c>
      <c r="L20" s="428">
        <v>14.0</v>
      </c>
      <c r="M20" s="429">
        <v>45870.0</v>
      </c>
      <c r="N20" s="429">
        <v>45900.0</v>
      </c>
      <c r="O20" s="290">
        <f t="shared" si="1"/>
        <v>168</v>
      </c>
      <c r="P20" s="290">
        <f t="shared" si="2"/>
        <v>840</v>
      </c>
      <c r="Q20" s="290">
        <f t="shared" si="3"/>
        <v>1008</v>
      </c>
      <c r="R20" s="48"/>
      <c r="S20" s="48"/>
      <c r="T20" s="48"/>
      <c r="U20" s="48"/>
      <c r="V20" s="48"/>
      <c r="W20" s="48"/>
      <c r="X20" s="48"/>
    </row>
    <row r="21">
      <c r="A21" s="282" t="s">
        <v>16</v>
      </c>
      <c r="B21" s="283">
        <v>4320.0</v>
      </c>
      <c r="C21" s="284"/>
      <c r="D21" s="285">
        <v>0.0</v>
      </c>
      <c r="E21" s="282" t="s">
        <v>594</v>
      </c>
      <c r="F21" s="282" t="s">
        <v>595</v>
      </c>
      <c r="G21" s="286" t="s">
        <v>596</v>
      </c>
      <c r="H21" s="287"/>
      <c r="I21" s="288">
        <v>37809.0</v>
      </c>
      <c r="J21" s="288">
        <v>45684.0</v>
      </c>
      <c r="K21" s="350" t="str">
        <f>IFERROR(__xludf.DUMMYFUNCTION("VLOOKUP(TRIM(E21), ARRAYFORMULA(TRIM(IMPORTRANGE(""1J6TM1lO8a31d96YF89fby9ySWcPcCBlFT37fwLDeDG0"", ""PKR-August 2025!C:Z""))), 5, FALSE)"),"")</f>
        <v/>
      </c>
      <c r="L21" s="302">
        <v>31.0</v>
      </c>
      <c r="M21" s="350">
        <v>45870.0</v>
      </c>
      <c r="N21" s="350">
        <v>45900.0</v>
      </c>
      <c r="O21" s="290">
        <f t="shared" si="1"/>
        <v>370</v>
      </c>
      <c r="P21" s="290">
        <f t="shared" si="2"/>
        <v>1850</v>
      </c>
      <c r="Q21" s="290">
        <f t="shared" si="3"/>
        <v>2220</v>
      </c>
    </row>
    <row r="22">
      <c r="A22" s="282" t="s">
        <v>16</v>
      </c>
      <c r="B22" s="283">
        <v>4320.0</v>
      </c>
      <c r="C22" s="284"/>
      <c r="D22" s="285">
        <v>0.0</v>
      </c>
      <c r="E22" s="282" t="s">
        <v>63</v>
      </c>
      <c r="F22" s="282" t="s">
        <v>64</v>
      </c>
      <c r="G22" s="286" t="s">
        <v>65</v>
      </c>
      <c r="H22" s="287"/>
      <c r="I22" s="288">
        <v>35606.0</v>
      </c>
      <c r="J22" s="288">
        <v>44896.0</v>
      </c>
      <c r="K22" s="350" t="str">
        <f>IFERROR(__xludf.DUMMYFUNCTION("VLOOKUP(TRIM(E22), ARRAYFORMULA(TRIM(IMPORTRANGE(""1J6TM1lO8a31d96YF89fby9ySWcPcCBlFT37fwLDeDG0"", ""PKR-August 2025!C:Z""))), 5, FALSE)"),"")</f>
        <v/>
      </c>
      <c r="L22" s="302">
        <v>31.0</v>
      </c>
      <c r="M22" s="350">
        <v>45870.0</v>
      </c>
      <c r="N22" s="350">
        <v>45900.0</v>
      </c>
      <c r="O22" s="290">
        <f t="shared" si="1"/>
        <v>370</v>
      </c>
      <c r="P22" s="290">
        <f t="shared" si="2"/>
        <v>1850</v>
      </c>
      <c r="Q22" s="290">
        <f t="shared" si="3"/>
        <v>2220</v>
      </c>
    </row>
    <row r="23">
      <c r="A23" s="282" t="s">
        <v>16</v>
      </c>
      <c r="B23" s="283">
        <v>4320.0</v>
      </c>
      <c r="C23" s="284"/>
      <c r="D23" s="285">
        <v>0.0</v>
      </c>
      <c r="E23" s="282" t="s">
        <v>63</v>
      </c>
      <c r="F23" s="282" t="s">
        <v>543</v>
      </c>
      <c r="G23" s="286" t="s">
        <v>505</v>
      </c>
      <c r="H23" s="287"/>
      <c r="I23" s="288">
        <v>36725.0</v>
      </c>
      <c r="J23" s="288">
        <v>45635.0</v>
      </c>
      <c r="K23" s="350" t="str">
        <f>IFERROR(__xludf.DUMMYFUNCTION("VLOOKUP(TRIM(E23), ARRAYFORMULA(TRIM(IMPORTRANGE(""1J6TM1lO8a31d96YF89fby9ySWcPcCBlFT37fwLDeDG0"", ""PKR-August 2025!C:Z""))), 5, FALSE)"),"")</f>
        <v/>
      </c>
      <c r="L23" s="302">
        <v>31.0</v>
      </c>
      <c r="M23" s="350">
        <v>45870.0</v>
      </c>
      <c r="N23" s="350">
        <v>45900.0</v>
      </c>
      <c r="O23" s="290">
        <f t="shared" si="1"/>
        <v>370</v>
      </c>
      <c r="P23" s="290">
        <f t="shared" si="2"/>
        <v>1850</v>
      </c>
      <c r="Q23" s="290">
        <f t="shared" si="3"/>
        <v>2220</v>
      </c>
    </row>
    <row r="24">
      <c r="A24" s="282" t="s">
        <v>16</v>
      </c>
      <c r="B24" s="283">
        <v>4320.0</v>
      </c>
      <c r="C24" s="284"/>
      <c r="D24" s="285">
        <v>0.0</v>
      </c>
      <c r="E24" s="298" t="s">
        <v>591</v>
      </c>
      <c r="F24" s="282" t="s">
        <v>592</v>
      </c>
      <c r="G24" s="286" t="s">
        <v>593</v>
      </c>
      <c r="H24" s="287"/>
      <c r="I24" s="288">
        <v>37041.0</v>
      </c>
      <c r="J24" s="288">
        <v>45684.0</v>
      </c>
      <c r="K24" s="350" t="str">
        <f>IFERROR(__xludf.DUMMYFUNCTION("VLOOKUP(TRIM(E24), ARRAYFORMULA(TRIM(IMPORTRANGE(""1J6TM1lO8a31d96YF89fby9ySWcPcCBlFT37fwLDeDG0"", ""PKR-August 2025!C:Z""))), 5, FALSE)"),"")</f>
        <v/>
      </c>
      <c r="L24" s="302">
        <v>31.0</v>
      </c>
      <c r="M24" s="350">
        <v>45870.0</v>
      </c>
      <c r="N24" s="350">
        <v>45900.0</v>
      </c>
      <c r="O24" s="290">
        <f t="shared" si="1"/>
        <v>370</v>
      </c>
      <c r="P24" s="290">
        <f t="shared" si="2"/>
        <v>1850</v>
      </c>
      <c r="Q24" s="290">
        <f t="shared" si="3"/>
        <v>2220</v>
      </c>
    </row>
    <row r="25">
      <c r="A25" s="421" t="s">
        <v>16</v>
      </c>
      <c r="B25" s="422">
        <v>4320.0</v>
      </c>
      <c r="C25" s="423"/>
      <c r="D25" s="424">
        <v>0.0</v>
      </c>
      <c r="E25" s="421" t="s">
        <v>267</v>
      </c>
      <c r="F25" s="421" t="s">
        <v>268</v>
      </c>
      <c r="G25" s="425" t="s">
        <v>269</v>
      </c>
      <c r="H25" s="287"/>
      <c r="I25" s="426">
        <v>34590.0</v>
      </c>
      <c r="J25" s="426">
        <v>45313.0</v>
      </c>
      <c r="K25" s="350" t="str">
        <f>IFERROR(__xludf.DUMMYFUNCTION("VLOOKUP(TRIM(E25), ARRAYFORMULA(TRIM(IMPORTRANGE(""1J6TM1lO8a31d96YF89fby9ySWcPcCBlFT37fwLDeDG0"", ""PKR-August 2025!C:Z""))), 5, FALSE)"),"13-Aug-2025")</f>
        <v>13-Aug-2025</v>
      </c>
      <c r="L25" s="428">
        <v>13.0</v>
      </c>
      <c r="M25" s="429">
        <v>45870.0</v>
      </c>
      <c r="N25" s="429">
        <v>45900.0</v>
      </c>
      <c r="O25" s="290">
        <f t="shared" si="1"/>
        <v>156</v>
      </c>
      <c r="P25" s="290">
        <f t="shared" si="2"/>
        <v>780</v>
      </c>
      <c r="Q25" s="290">
        <f t="shared" si="3"/>
        <v>936</v>
      </c>
      <c r="R25" s="48"/>
      <c r="S25" s="48"/>
      <c r="T25" s="48"/>
      <c r="U25" s="48"/>
      <c r="V25" s="48"/>
      <c r="W25" s="48"/>
      <c r="X25" s="48"/>
    </row>
    <row r="26">
      <c r="A26" s="282" t="s">
        <v>16</v>
      </c>
      <c r="B26" s="283">
        <v>4320.0</v>
      </c>
      <c r="C26" s="284"/>
      <c r="D26" s="285">
        <v>0.0</v>
      </c>
      <c r="E26" s="282" t="s">
        <v>468</v>
      </c>
      <c r="F26" s="282" t="s">
        <v>527</v>
      </c>
      <c r="G26" s="286" t="s">
        <v>469</v>
      </c>
      <c r="H26" s="287"/>
      <c r="I26" s="288">
        <v>35986.0</v>
      </c>
      <c r="J26" s="288">
        <v>45537.0</v>
      </c>
      <c r="K26" s="350" t="str">
        <f>IFERROR(__xludf.DUMMYFUNCTION("VLOOKUP(TRIM(E26), ARRAYFORMULA(TRIM(IMPORTRANGE(""1J6TM1lO8a31d96YF89fby9ySWcPcCBlFT37fwLDeDG0"", ""PKR-August 2025!C:Z""))), 5, FALSE)"),"")</f>
        <v/>
      </c>
      <c r="L26" s="302">
        <v>31.0</v>
      </c>
      <c r="M26" s="350">
        <v>45870.0</v>
      </c>
      <c r="N26" s="350">
        <v>45900.0</v>
      </c>
      <c r="O26" s="290">
        <f t="shared" si="1"/>
        <v>370</v>
      </c>
      <c r="P26" s="290">
        <f t="shared" si="2"/>
        <v>1850</v>
      </c>
      <c r="Q26" s="290">
        <f t="shared" si="3"/>
        <v>2220</v>
      </c>
    </row>
    <row r="27">
      <c r="A27" s="282" t="s">
        <v>16</v>
      </c>
      <c r="B27" s="283">
        <v>4320.0</v>
      </c>
      <c r="C27" s="284"/>
      <c r="D27" s="285">
        <v>0.0</v>
      </c>
      <c r="E27" s="282" t="s">
        <v>555</v>
      </c>
      <c r="F27" s="282" t="s">
        <v>556</v>
      </c>
      <c r="G27" s="286" t="s">
        <v>557</v>
      </c>
      <c r="H27" s="287"/>
      <c r="I27" s="294">
        <v>36135.0</v>
      </c>
      <c r="J27" s="288">
        <v>45663.0</v>
      </c>
      <c r="K27" s="350" t="str">
        <f>IFERROR(__xludf.DUMMYFUNCTION("VLOOKUP(TRIM(E27), ARRAYFORMULA(TRIM(IMPORTRANGE(""1J6TM1lO8a31d96YF89fby9ySWcPcCBlFT37fwLDeDG0"", ""PKR-August 2025!C:Z""))), 5, FALSE)"),"")</f>
        <v/>
      </c>
      <c r="L27" s="302">
        <v>31.0</v>
      </c>
      <c r="M27" s="350">
        <v>45870.0</v>
      </c>
      <c r="N27" s="350">
        <v>45900.0</v>
      </c>
      <c r="O27" s="290">
        <f t="shared" si="1"/>
        <v>370</v>
      </c>
      <c r="P27" s="290">
        <f t="shared" si="2"/>
        <v>1850</v>
      </c>
      <c r="Q27" s="290">
        <f t="shared" si="3"/>
        <v>2220</v>
      </c>
    </row>
    <row r="28">
      <c r="A28" s="482" t="s">
        <v>16</v>
      </c>
      <c r="B28" s="422">
        <v>4320.0</v>
      </c>
      <c r="C28" s="423"/>
      <c r="D28" s="484">
        <v>0.0</v>
      </c>
      <c r="E28" s="590" t="s">
        <v>331</v>
      </c>
      <c r="F28" s="421" t="s">
        <v>332</v>
      </c>
      <c r="G28" s="425" t="s">
        <v>333</v>
      </c>
      <c r="H28" s="287"/>
      <c r="I28" s="426">
        <v>37958.0</v>
      </c>
      <c r="J28" s="426">
        <v>45369.0</v>
      </c>
      <c r="K28" s="350" t="str">
        <f>IFERROR(__xludf.DUMMYFUNCTION("VLOOKUP(TRIM(E28), ARRAYFORMULA(TRIM(IMPORTRANGE(""1J6TM1lO8a31d96YF89fby9ySWcPcCBlFT37fwLDeDG0"", ""PKR-August 2025!C:Z""))), 5, FALSE)"),"15-Aug-2025")</f>
        <v>15-Aug-2025</v>
      </c>
      <c r="L28" s="428">
        <v>15.0</v>
      </c>
      <c r="M28" s="429">
        <v>45870.0</v>
      </c>
      <c r="N28" s="429">
        <v>45900.0</v>
      </c>
      <c r="O28" s="290">
        <f t="shared" si="1"/>
        <v>180</v>
      </c>
      <c r="P28" s="290">
        <f t="shared" si="2"/>
        <v>900</v>
      </c>
      <c r="Q28" s="290">
        <f t="shared" si="3"/>
        <v>1080</v>
      </c>
      <c r="R28" s="48"/>
      <c r="S28" s="48"/>
      <c r="T28" s="48"/>
      <c r="U28" s="48"/>
      <c r="V28" s="48"/>
      <c r="W28" s="48"/>
      <c r="X28" s="48"/>
    </row>
    <row r="29">
      <c r="A29" s="282" t="s">
        <v>16</v>
      </c>
      <c r="B29" s="283">
        <v>4320.0</v>
      </c>
      <c r="C29" s="284"/>
      <c r="D29" s="301">
        <v>0.0</v>
      </c>
      <c r="E29" s="282" t="s">
        <v>392</v>
      </c>
      <c r="F29" s="282" t="s">
        <v>393</v>
      </c>
      <c r="G29" s="286" t="s">
        <v>394</v>
      </c>
      <c r="H29" s="287"/>
      <c r="I29" s="288">
        <v>34922.0</v>
      </c>
      <c r="J29" s="294">
        <v>45418.0</v>
      </c>
      <c r="K29" s="350" t="str">
        <f>IFERROR(__xludf.DUMMYFUNCTION("VLOOKUP(TRIM(E29), ARRAYFORMULA(TRIM(IMPORTRANGE(""1J6TM1lO8a31d96YF89fby9ySWcPcCBlFT37fwLDeDG0"", ""PKR-August 2025!C:Z""))), 5, FALSE)"),"")</f>
        <v/>
      </c>
      <c r="L29" s="302">
        <v>31.0</v>
      </c>
      <c r="M29" s="350">
        <v>45870.0</v>
      </c>
      <c r="N29" s="350">
        <v>45900.0</v>
      </c>
      <c r="O29" s="290">
        <f t="shared" si="1"/>
        <v>370</v>
      </c>
      <c r="P29" s="290">
        <f t="shared" si="2"/>
        <v>1850</v>
      </c>
      <c r="Q29" s="290">
        <f t="shared" si="3"/>
        <v>2220</v>
      </c>
    </row>
    <row r="30">
      <c r="A30" s="282" t="s">
        <v>16</v>
      </c>
      <c r="B30" s="283">
        <v>4320.0</v>
      </c>
      <c r="C30" s="289"/>
      <c r="D30" s="285">
        <v>0.0</v>
      </c>
      <c r="E30" s="291" t="s">
        <v>696</v>
      </c>
      <c r="F30" s="292" t="s">
        <v>918</v>
      </c>
      <c r="G30" s="289" t="s">
        <v>698</v>
      </c>
      <c r="H30" s="289"/>
      <c r="I30" s="293">
        <v>36474.0</v>
      </c>
      <c r="J30" s="288">
        <v>45698.0</v>
      </c>
      <c r="K30" s="350" t="str">
        <f>IFERROR(__xludf.DUMMYFUNCTION("VLOOKUP(TRIM(E30), ARRAYFORMULA(TRIM(IMPORTRANGE(""1J6TM1lO8a31d96YF89fby9ySWcPcCBlFT37fwLDeDG0"", ""PKR-August 2025!C:Z""))), 5, FALSE)"),"")</f>
        <v/>
      </c>
      <c r="L30" s="302">
        <v>31.0</v>
      </c>
      <c r="M30" s="350">
        <v>45870.0</v>
      </c>
      <c r="N30" s="350">
        <v>45900.0</v>
      </c>
      <c r="O30" s="290">
        <f t="shared" si="1"/>
        <v>370</v>
      </c>
      <c r="P30" s="290">
        <f t="shared" si="2"/>
        <v>1850</v>
      </c>
      <c r="Q30" s="290">
        <f t="shared" si="3"/>
        <v>2220</v>
      </c>
    </row>
    <row r="31">
      <c r="A31" s="282" t="s">
        <v>16</v>
      </c>
      <c r="B31" s="283">
        <v>4320.0</v>
      </c>
      <c r="C31" s="289"/>
      <c r="D31" s="285">
        <v>0.0</v>
      </c>
      <c r="E31" s="303" t="s">
        <v>699</v>
      </c>
      <c r="F31" s="304" t="s">
        <v>919</v>
      </c>
      <c r="G31" s="289" t="s">
        <v>701</v>
      </c>
      <c r="H31" s="289"/>
      <c r="I31" s="293">
        <v>36474.0</v>
      </c>
      <c r="J31" s="288">
        <v>45698.0</v>
      </c>
      <c r="K31" s="350" t="str">
        <f>IFERROR(__xludf.DUMMYFUNCTION("VLOOKUP(TRIM(E31), ARRAYFORMULA(TRIM(IMPORTRANGE(""1J6TM1lO8a31d96YF89fby9ySWcPcCBlFT37fwLDeDG0"", ""PKR-August 2025!C:Z""))), 5, FALSE)"),"")</f>
        <v/>
      </c>
      <c r="L31" s="302">
        <v>31.0</v>
      </c>
      <c r="M31" s="350">
        <v>45870.0</v>
      </c>
      <c r="N31" s="350">
        <v>45900.0</v>
      </c>
      <c r="O31" s="290">
        <f t="shared" si="1"/>
        <v>370</v>
      </c>
      <c r="P31" s="290">
        <f t="shared" si="2"/>
        <v>1850</v>
      </c>
      <c r="Q31" s="290">
        <f t="shared" si="3"/>
        <v>2220</v>
      </c>
    </row>
    <row r="32">
      <c r="A32" s="282" t="s">
        <v>16</v>
      </c>
      <c r="B32" s="283">
        <v>4320.0</v>
      </c>
      <c r="C32" s="284"/>
      <c r="D32" s="301">
        <v>0.0</v>
      </c>
      <c r="E32" s="282" t="s">
        <v>576</v>
      </c>
      <c r="F32" s="282" t="s">
        <v>577</v>
      </c>
      <c r="G32" s="286" t="s">
        <v>578</v>
      </c>
      <c r="H32" s="287"/>
      <c r="I32" s="288">
        <v>37944.0</v>
      </c>
      <c r="J32" s="288">
        <v>45677.0</v>
      </c>
      <c r="K32" s="350" t="str">
        <f>IFERROR(__xludf.DUMMYFUNCTION("VLOOKUP(TRIM(E32), ARRAYFORMULA(TRIM(IMPORTRANGE(""1J6TM1lO8a31d96YF89fby9ySWcPcCBlFT37fwLDeDG0"", ""PKR-August 2025!C:Z""))), 5, FALSE)"),"")</f>
        <v/>
      </c>
      <c r="L32" s="302">
        <v>31.0</v>
      </c>
      <c r="M32" s="350">
        <v>45870.0</v>
      </c>
      <c r="N32" s="350">
        <v>45900.0</v>
      </c>
      <c r="O32" s="290">
        <f t="shared" si="1"/>
        <v>370</v>
      </c>
      <c r="P32" s="290">
        <f t="shared" si="2"/>
        <v>1850</v>
      </c>
      <c r="Q32" s="290">
        <f t="shared" si="3"/>
        <v>2220</v>
      </c>
    </row>
    <row r="33">
      <c r="A33" s="282" t="s">
        <v>16</v>
      </c>
      <c r="B33" s="283">
        <v>4320.0</v>
      </c>
      <c r="C33" s="284"/>
      <c r="D33" s="301">
        <v>0.0</v>
      </c>
      <c r="E33" s="282" t="s">
        <v>546</v>
      </c>
      <c r="F33" s="282" t="s">
        <v>547</v>
      </c>
      <c r="G33" s="286" t="s">
        <v>548</v>
      </c>
      <c r="H33" s="287"/>
      <c r="I33" s="288">
        <v>38255.0</v>
      </c>
      <c r="J33" s="288">
        <v>45658.0</v>
      </c>
      <c r="K33" s="350" t="str">
        <f>IFERROR(__xludf.DUMMYFUNCTION("VLOOKUP(TRIM(E33), ARRAYFORMULA(TRIM(IMPORTRANGE(""1J6TM1lO8a31d96YF89fby9ySWcPcCBlFT37fwLDeDG0"", ""PKR-August 2025!C:Z""))), 5, FALSE)"),"")</f>
        <v/>
      </c>
      <c r="L33" s="302">
        <v>31.0</v>
      </c>
      <c r="M33" s="350">
        <v>45870.0</v>
      </c>
      <c r="N33" s="350">
        <v>45900.0</v>
      </c>
      <c r="O33" s="290">
        <f t="shared" si="1"/>
        <v>370</v>
      </c>
      <c r="P33" s="290">
        <f t="shared" si="2"/>
        <v>1850</v>
      </c>
      <c r="Q33" s="290">
        <f t="shared" si="3"/>
        <v>2220</v>
      </c>
    </row>
    <row r="34">
      <c r="A34" s="482" t="s">
        <v>16</v>
      </c>
      <c r="B34" s="422">
        <v>4320.0</v>
      </c>
      <c r="C34" s="423"/>
      <c r="D34" s="431">
        <v>0.0</v>
      </c>
      <c r="E34" s="421" t="s">
        <v>501</v>
      </c>
      <c r="F34" s="421" t="s">
        <v>541</v>
      </c>
      <c r="G34" s="425" t="s">
        <v>502</v>
      </c>
      <c r="H34" s="287"/>
      <c r="I34" s="426">
        <v>36062.0</v>
      </c>
      <c r="J34" s="426">
        <v>45628.0</v>
      </c>
      <c r="K34" s="350" t="str">
        <f>IFERROR(__xludf.DUMMYFUNCTION("VLOOKUP(TRIM(E34), ARRAYFORMULA(TRIM(IMPORTRANGE(""1J6TM1lO8a31d96YF89fby9ySWcPcCBlFT37fwLDeDG0"", ""PKR-August 2025!C:Z""))), 5, FALSE)"),"26-Aug-2025")</f>
        <v>26-Aug-2025</v>
      </c>
      <c r="L34" s="428">
        <v>26.0</v>
      </c>
      <c r="M34" s="429">
        <v>45870.0</v>
      </c>
      <c r="N34" s="429">
        <v>45900.0</v>
      </c>
      <c r="O34" s="290">
        <f t="shared" si="1"/>
        <v>311</v>
      </c>
      <c r="P34" s="290">
        <f t="shared" si="2"/>
        <v>1555</v>
      </c>
      <c r="Q34" s="290">
        <f t="shared" si="3"/>
        <v>1866</v>
      </c>
      <c r="R34" s="48"/>
      <c r="S34" s="48"/>
      <c r="T34" s="48"/>
      <c r="U34" s="48"/>
      <c r="V34" s="48"/>
      <c r="W34" s="48"/>
      <c r="X34" s="48"/>
    </row>
    <row r="35">
      <c r="A35" s="282" t="s">
        <v>16</v>
      </c>
      <c r="B35" s="283">
        <v>4320.0</v>
      </c>
      <c r="C35" s="284"/>
      <c r="D35" s="305">
        <v>0.0</v>
      </c>
      <c r="E35" s="282" t="s">
        <v>451</v>
      </c>
      <c r="F35" s="282" t="s">
        <v>512</v>
      </c>
      <c r="G35" s="286" t="s">
        <v>415</v>
      </c>
      <c r="H35" s="287"/>
      <c r="I35" s="288">
        <v>36443.0</v>
      </c>
      <c r="J35" s="288">
        <v>45446.0</v>
      </c>
      <c r="K35" s="350" t="str">
        <f>IFERROR(__xludf.DUMMYFUNCTION("VLOOKUP(TRIM(E35), ARRAYFORMULA(TRIM(IMPORTRANGE(""1J6TM1lO8a31d96YF89fby9ySWcPcCBlFT37fwLDeDG0"", ""PKR-August 2025!C:Z""))), 5, FALSE)"),"")</f>
        <v/>
      </c>
      <c r="L35" s="302">
        <v>31.0</v>
      </c>
      <c r="M35" s="350">
        <v>45870.0</v>
      </c>
      <c r="N35" s="350">
        <v>45900.0</v>
      </c>
      <c r="O35" s="290">
        <f t="shared" si="1"/>
        <v>370</v>
      </c>
      <c r="P35" s="290">
        <f t="shared" si="2"/>
        <v>1850</v>
      </c>
      <c r="Q35" s="290">
        <f t="shared" si="3"/>
        <v>2220</v>
      </c>
    </row>
    <row r="36">
      <c r="A36" s="282" t="s">
        <v>16</v>
      </c>
      <c r="B36" s="283">
        <v>4320.0</v>
      </c>
      <c r="C36" s="284"/>
      <c r="D36" s="301">
        <v>0.0</v>
      </c>
      <c r="E36" s="282" t="s">
        <v>579</v>
      </c>
      <c r="F36" s="282" t="s">
        <v>580</v>
      </c>
      <c r="G36" s="286" t="s">
        <v>581</v>
      </c>
      <c r="H36" s="287"/>
      <c r="I36" s="288">
        <v>37609.0</v>
      </c>
      <c r="J36" s="288">
        <v>45677.0</v>
      </c>
      <c r="K36" s="350" t="str">
        <f>IFERROR(__xludf.DUMMYFUNCTION("VLOOKUP(TRIM(E36), ARRAYFORMULA(TRIM(IMPORTRANGE(""1J6TM1lO8a31d96YF89fby9ySWcPcCBlFT37fwLDeDG0"", ""PKR-August 2025!C:Z""))), 5, FALSE)"),"")</f>
        <v/>
      </c>
      <c r="L36" s="302">
        <v>31.0</v>
      </c>
      <c r="M36" s="350">
        <v>45870.0</v>
      </c>
      <c r="N36" s="350">
        <v>45900.0</v>
      </c>
      <c r="O36" s="290">
        <f t="shared" si="1"/>
        <v>370</v>
      </c>
      <c r="P36" s="290">
        <f t="shared" si="2"/>
        <v>1850</v>
      </c>
      <c r="Q36" s="290">
        <f t="shared" si="3"/>
        <v>2220</v>
      </c>
    </row>
    <row r="37">
      <c r="A37" s="282" t="s">
        <v>16</v>
      </c>
      <c r="B37" s="283">
        <v>4320.0</v>
      </c>
      <c r="C37" s="284"/>
      <c r="D37" s="301">
        <v>0.0</v>
      </c>
      <c r="E37" s="282" t="s">
        <v>476</v>
      </c>
      <c r="F37" s="282" t="s">
        <v>529</v>
      </c>
      <c r="G37" s="286" t="s">
        <v>477</v>
      </c>
      <c r="H37" s="287"/>
      <c r="I37" s="288">
        <v>37220.0</v>
      </c>
      <c r="J37" s="288">
        <v>45572.0</v>
      </c>
      <c r="K37" s="350" t="str">
        <f>IFERROR(__xludf.DUMMYFUNCTION("VLOOKUP(TRIM(E37), ARRAYFORMULA(TRIM(IMPORTRANGE(""1J6TM1lO8a31d96YF89fby9ySWcPcCBlFT37fwLDeDG0"", ""PKR-August 2025!C:Z""))), 5, FALSE)"),"")</f>
        <v/>
      </c>
      <c r="L37" s="302">
        <v>31.0</v>
      </c>
      <c r="M37" s="350">
        <v>45870.0</v>
      </c>
      <c r="N37" s="350">
        <v>45900.0</v>
      </c>
      <c r="O37" s="290">
        <f t="shared" si="1"/>
        <v>370</v>
      </c>
      <c r="P37" s="290">
        <f t="shared" si="2"/>
        <v>1850</v>
      </c>
      <c r="Q37" s="290">
        <f t="shared" si="3"/>
        <v>2220</v>
      </c>
    </row>
    <row r="38">
      <c r="A38" s="282" t="s">
        <v>16</v>
      </c>
      <c r="B38" s="283">
        <v>4320.0</v>
      </c>
      <c r="C38" s="284"/>
      <c r="D38" s="301">
        <v>0.0</v>
      </c>
      <c r="E38" s="282" t="s">
        <v>102</v>
      </c>
      <c r="F38" s="282" t="s">
        <v>103</v>
      </c>
      <c r="G38" s="286" t="s">
        <v>104</v>
      </c>
      <c r="H38" s="287"/>
      <c r="I38" s="288">
        <v>33240.0</v>
      </c>
      <c r="J38" s="288">
        <v>44287.0</v>
      </c>
      <c r="K38" s="350" t="str">
        <f>IFERROR(__xludf.DUMMYFUNCTION("VLOOKUP(TRIM(E38), ARRAYFORMULA(TRIM(IMPORTRANGE(""1J6TM1lO8a31d96YF89fby9ySWcPcCBlFT37fwLDeDG0"", ""PKR-August 2025!C:Z""))), 5, FALSE)"),"")</f>
        <v/>
      </c>
      <c r="L38" s="302">
        <v>31.0</v>
      </c>
      <c r="M38" s="350">
        <v>45870.0</v>
      </c>
      <c r="N38" s="350">
        <v>45900.0</v>
      </c>
      <c r="O38" s="290">
        <f t="shared" si="1"/>
        <v>370</v>
      </c>
      <c r="P38" s="290">
        <f t="shared" si="2"/>
        <v>1850</v>
      </c>
      <c r="Q38" s="290">
        <f t="shared" si="3"/>
        <v>2220</v>
      </c>
    </row>
    <row r="39">
      <c r="A39" s="282" t="s">
        <v>16</v>
      </c>
      <c r="B39" s="283">
        <v>4320.0</v>
      </c>
      <c r="C39" s="284"/>
      <c r="D39" s="305">
        <v>0.0</v>
      </c>
      <c r="E39" s="282" t="s">
        <v>438</v>
      </c>
      <c r="F39" s="282" t="s">
        <v>341</v>
      </c>
      <c r="G39" s="480" t="s">
        <v>834</v>
      </c>
      <c r="H39" s="287"/>
      <c r="I39" s="288">
        <v>37964.0</v>
      </c>
      <c r="J39" s="288">
        <v>45355.0</v>
      </c>
      <c r="K39" s="350" t="str">
        <f>IFERROR(__xludf.DUMMYFUNCTION("VLOOKUP(TRIM(E39), ARRAYFORMULA(TRIM(IMPORTRANGE(""1J6TM1lO8a31d96YF89fby9ySWcPcCBlFT37fwLDeDG0"", ""PKR-August 2025!C:Z""))), 5, FALSE)"),"")</f>
        <v/>
      </c>
      <c r="L39" s="302">
        <v>31.0</v>
      </c>
      <c r="M39" s="350">
        <v>45870.0</v>
      </c>
      <c r="N39" s="350">
        <v>45900.0</v>
      </c>
      <c r="O39" s="290">
        <f t="shared" si="1"/>
        <v>370</v>
      </c>
      <c r="P39" s="290">
        <f t="shared" si="2"/>
        <v>1850</v>
      </c>
      <c r="Q39" s="290">
        <f t="shared" si="3"/>
        <v>2220</v>
      </c>
    </row>
    <row r="40">
      <c r="A40" s="282" t="s">
        <v>16</v>
      </c>
      <c r="B40" s="283">
        <v>4320.0</v>
      </c>
      <c r="C40" s="284"/>
      <c r="D40" s="305">
        <v>0.0</v>
      </c>
      <c r="E40" s="282" t="s">
        <v>508</v>
      </c>
      <c r="F40" s="282" t="s">
        <v>545</v>
      </c>
      <c r="G40" s="286" t="s">
        <v>509</v>
      </c>
      <c r="H40" s="287"/>
      <c r="I40" s="288">
        <v>36637.0</v>
      </c>
      <c r="J40" s="288">
        <v>45649.0</v>
      </c>
      <c r="K40" s="350" t="str">
        <f>IFERROR(__xludf.DUMMYFUNCTION("VLOOKUP(TRIM(E40), ARRAYFORMULA(TRIM(IMPORTRANGE(""1J6TM1lO8a31d96YF89fby9ySWcPcCBlFT37fwLDeDG0"", ""PKR-August 2025!C:Z""))), 5, FALSE)"),"")</f>
        <v/>
      </c>
      <c r="L40" s="302">
        <v>31.0</v>
      </c>
      <c r="M40" s="350">
        <v>45870.0</v>
      </c>
      <c r="N40" s="350">
        <v>45900.0</v>
      </c>
      <c r="O40" s="290">
        <f t="shared" si="1"/>
        <v>370</v>
      </c>
      <c r="P40" s="290">
        <f t="shared" si="2"/>
        <v>1850</v>
      </c>
      <c r="Q40" s="290">
        <f t="shared" si="3"/>
        <v>2220</v>
      </c>
    </row>
    <row r="41">
      <c r="A41" s="282" t="s">
        <v>16</v>
      </c>
      <c r="B41" s="283">
        <v>4320.0</v>
      </c>
      <c r="C41" s="284"/>
      <c r="D41" s="301">
        <v>0.0</v>
      </c>
      <c r="E41" s="282" t="s">
        <v>370</v>
      </c>
      <c r="F41" s="282" t="s">
        <v>371</v>
      </c>
      <c r="G41" s="286" t="s">
        <v>372</v>
      </c>
      <c r="H41" s="287"/>
      <c r="I41" s="288">
        <v>35551.0</v>
      </c>
      <c r="J41" s="288">
        <v>45383.0</v>
      </c>
      <c r="K41" s="350" t="str">
        <f>IFERROR(__xludf.DUMMYFUNCTION("VLOOKUP(TRIM(E41), ARRAYFORMULA(TRIM(IMPORTRANGE(""1J6TM1lO8a31d96YF89fby9ySWcPcCBlFT37fwLDeDG0"", ""PKR-August 2025!C:Z""))), 5, FALSE)"),"")</f>
        <v/>
      </c>
      <c r="L41" s="302">
        <v>31.0</v>
      </c>
      <c r="M41" s="350">
        <v>45870.0</v>
      </c>
      <c r="N41" s="350">
        <v>45900.0</v>
      </c>
      <c r="O41" s="290">
        <f t="shared" si="1"/>
        <v>370</v>
      </c>
      <c r="P41" s="290">
        <f t="shared" si="2"/>
        <v>1850</v>
      </c>
      <c r="Q41" s="290">
        <f t="shared" si="3"/>
        <v>2220</v>
      </c>
    </row>
    <row r="42">
      <c r="A42" s="282" t="s">
        <v>16</v>
      </c>
      <c r="B42" s="283">
        <v>4320.0</v>
      </c>
      <c r="C42" s="284"/>
      <c r="D42" s="305">
        <v>0.0</v>
      </c>
      <c r="E42" s="282" t="s">
        <v>114</v>
      </c>
      <c r="F42" s="282" t="s">
        <v>514</v>
      </c>
      <c r="G42" s="286" t="s">
        <v>456</v>
      </c>
      <c r="H42" s="287"/>
      <c r="I42" s="288">
        <v>35872.0</v>
      </c>
      <c r="J42" s="288">
        <v>45523.0</v>
      </c>
      <c r="K42" s="350" t="str">
        <f>IFERROR(__xludf.DUMMYFUNCTION("VLOOKUP(TRIM(E42), ARRAYFORMULA(TRIM(IMPORTRANGE(""1J6TM1lO8a31d96YF89fby9ySWcPcCBlFT37fwLDeDG0"", ""PKR-August 2025!C:Z""))), 5, FALSE)"),"")</f>
        <v/>
      </c>
      <c r="L42" s="302">
        <v>31.0</v>
      </c>
      <c r="M42" s="350">
        <v>45870.0</v>
      </c>
      <c r="N42" s="350">
        <v>45900.0</v>
      </c>
      <c r="O42" s="290">
        <f t="shared" si="1"/>
        <v>370</v>
      </c>
      <c r="P42" s="290">
        <f t="shared" si="2"/>
        <v>1850</v>
      </c>
      <c r="Q42" s="290">
        <f t="shared" si="3"/>
        <v>2220</v>
      </c>
    </row>
    <row r="43">
      <c r="A43" s="282" t="s">
        <v>16</v>
      </c>
      <c r="B43" s="283">
        <v>4320.0</v>
      </c>
      <c r="C43" s="284"/>
      <c r="D43" s="301">
        <v>0.0</v>
      </c>
      <c r="E43" s="282" t="s">
        <v>506</v>
      </c>
      <c r="F43" s="282" t="s">
        <v>544</v>
      </c>
      <c r="G43" s="286" t="s">
        <v>507</v>
      </c>
      <c r="H43" s="287"/>
      <c r="I43" s="350">
        <v>36980.0</v>
      </c>
      <c r="J43" s="288">
        <v>45642.0</v>
      </c>
      <c r="K43" s="350" t="str">
        <f>IFERROR(__xludf.DUMMYFUNCTION("VLOOKUP(TRIM(E43), ARRAYFORMULA(TRIM(IMPORTRANGE(""1J6TM1lO8a31d96YF89fby9ySWcPcCBlFT37fwLDeDG0"", ""PKR-August 2025!C:Z""))), 5, FALSE)"),"")</f>
        <v/>
      </c>
      <c r="L43" s="302">
        <v>31.0</v>
      </c>
      <c r="M43" s="350">
        <v>45870.0</v>
      </c>
      <c r="N43" s="350">
        <v>45900.0</v>
      </c>
      <c r="O43" s="290">
        <f t="shared" si="1"/>
        <v>370</v>
      </c>
      <c r="P43" s="290">
        <f t="shared" si="2"/>
        <v>1850</v>
      </c>
      <c r="Q43" s="290">
        <f t="shared" si="3"/>
        <v>2220</v>
      </c>
    </row>
    <row r="44">
      <c r="A44" s="282" t="s">
        <v>16</v>
      </c>
      <c r="B44" s="283">
        <v>4320.0</v>
      </c>
      <c r="C44" s="284"/>
      <c r="D44" s="301">
        <v>0.0</v>
      </c>
      <c r="E44" s="282" t="s">
        <v>487</v>
      </c>
      <c r="F44" s="282" t="s">
        <v>533</v>
      </c>
      <c r="G44" s="286" t="s">
        <v>488</v>
      </c>
      <c r="H44" s="287"/>
      <c r="I44" s="294">
        <v>35195.0</v>
      </c>
      <c r="J44" s="288">
        <v>45602.0</v>
      </c>
      <c r="K44" s="350" t="str">
        <f>IFERROR(__xludf.DUMMYFUNCTION("VLOOKUP(TRIM(E44), ARRAYFORMULA(TRIM(IMPORTRANGE(""1J6TM1lO8a31d96YF89fby9ySWcPcCBlFT37fwLDeDG0"", ""PKR-August 2025!C:Z""))), 5, FALSE)"),"")</f>
        <v/>
      </c>
      <c r="L44" s="302">
        <v>31.0</v>
      </c>
      <c r="M44" s="350">
        <v>45870.0</v>
      </c>
      <c r="N44" s="350">
        <v>45900.0</v>
      </c>
      <c r="O44" s="290">
        <f t="shared" si="1"/>
        <v>370</v>
      </c>
      <c r="P44" s="290">
        <f t="shared" si="2"/>
        <v>1850</v>
      </c>
      <c r="Q44" s="290">
        <f t="shared" si="3"/>
        <v>2220</v>
      </c>
    </row>
    <row r="45">
      <c r="A45" s="282" t="s">
        <v>16</v>
      </c>
      <c r="B45" s="283">
        <v>4320.0</v>
      </c>
      <c r="C45" s="289"/>
      <c r="D45" s="305">
        <v>0.0</v>
      </c>
      <c r="E45" s="282" t="s">
        <v>343</v>
      </c>
      <c r="F45" s="282" t="s">
        <v>344</v>
      </c>
      <c r="G45" s="480" t="s">
        <v>835</v>
      </c>
      <c r="H45" s="287"/>
      <c r="I45" s="288">
        <v>36821.0</v>
      </c>
      <c r="J45" s="288">
        <v>45362.0</v>
      </c>
      <c r="K45" s="350" t="str">
        <f>IFERROR(__xludf.DUMMYFUNCTION("VLOOKUP(TRIM(E45), ARRAYFORMULA(TRIM(IMPORTRANGE(""1J6TM1lO8a31d96YF89fby9ySWcPcCBlFT37fwLDeDG0"", ""PKR-August 2025!C:Z""))), 5, FALSE)"),"")</f>
        <v/>
      </c>
      <c r="L45" s="302">
        <v>31.0</v>
      </c>
      <c r="M45" s="350">
        <v>45870.0</v>
      </c>
      <c r="N45" s="350">
        <v>45900.0</v>
      </c>
      <c r="O45" s="290">
        <f t="shared" si="1"/>
        <v>370</v>
      </c>
      <c r="P45" s="290">
        <f t="shared" si="2"/>
        <v>1850</v>
      </c>
      <c r="Q45" s="290">
        <f t="shared" si="3"/>
        <v>2220</v>
      </c>
    </row>
    <row r="46">
      <c r="A46" s="421" t="s">
        <v>16</v>
      </c>
      <c r="B46" s="422">
        <v>4320.0</v>
      </c>
      <c r="C46" s="427"/>
      <c r="D46" s="424">
        <v>0.0</v>
      </c>
      <c r="E46" s="441" t="s">
        <v>429</v>
      </c>
      <c r="F46" s="421" t="s">
        <v>516</v>
      </c>
      <c r="G46" s="425" t="s">
        <v>430</v>
      </c>
      <c r="H46" s="287"/>
      <c r="I46" s="426">
        <v>37257.0</v>
      </c>
      <c r="J46" s="426">
        <v>45481.0</v>
      </c>
      <c r="K46" s="350" t="str">
        <f>IFERROR(__xludf.DUMMYFUNCTION("VLOOKUP(TRIM(E46), ARRAYFORMULA(TRIM(IMPORTRANGE(""1J6TM1lO8a31d96YF89fby9ySWcPcCBlFT37fwLDeDG0"", ""PKR-August 2025!C:Z""))), 5, FALSE)"),"31-Aug-2025")</f>
        <v>31-Aug-2025</v>
      </c>
      <c r="L46" s="428">
        <v>31.0</v>
      </c>
      <c r="M46" s="429">
        <v>45870.0</v>
      </c>
      <c r="N46" s="429">
        <v>45900.0</v>
      </c>
      <c r="O46" s="290">
        <f t="shared" si="1"/>
        <v>370</v>
      </c>
      <c r="P46" s="290">
        <f t="shared" si="2"/>
        <v>1850</v>
      </c>
      <c r="Q46" s="290">
        <f t="shared" si="3"/>
        <v>2220</v>
      </c>
      <c r="R46" s="48"/>
      <c r="S46" s="48"/>
      <c r="T46" s="48"/>
      <c r="U46" s="48"/>
      <c r="V46" s="48"/>
      <c r="W46" s="48"/>
      <c r="X46" s="48"/>
    </row>
    <row r="47">
      <c r="A47" s="421" t="s">
        <v>16</v>
      </c>
      <c r="B47" s="422">
        <v>4320.0</v>
      </c>
      <c r="C47" s="427"/>
      <c r="D47" s="424">
        <v>0.0</v>
      </c>
      <c r="E47" s="441" t="s">
        <v>489</v>
      </c>
      <c r="F47" s="421" t="s">
        <v>536</v>
      </c>
      <c r="G47" s="425" t="s">
        <v>490</v>
      </c>
      <c r="H47" s="287"/>
      <c r="I47" s="426">
        <v>37105.0</v>
      </c>
      <c r="J47" s="426">
        <v>45602.0</v>
      </c>
      <c r="K47" s="350" t="str">
        <f>IFERROR(__xludf.DUMMYFUNCTION("VLOOKUP(TRIM(E47), ARRAYFORMULA(TRIM(IMPORTRANGE(""1J6TM1lO8a31d96YF89fby9ySWcPcCBlFT37fwLDeDG0"", ""PKR-August 2025!C:Z""))), 5, FALSE)"),"12-Aug-2025")</f>
        <v>12-Aug-2025</v>
      </c>
      <c r="L47" s="428">
        <v>12.0</v>
      </c>
      <c r="M47" s="429">
        <v>45870.0</v>
      </c>
      <c r="N47" s="429">
        <v>45900.0</v>
      </c>
      <c r="O47" s="290">
        <f t="shared" si="1"/>
        <v>144</v>
      </c>
      <c r="P47" s="290">
        <f t="shared" si="2"/>
        <v>720</v>
      </c>
      <c r="Q47" s="290">
        <f t="shared" si="3"/>
        <v>864</v>
      </c>
      <c r="R47" s="48"/>
      <c r="S47" s="48"/>
      <c r="T47" s="48"/>
      <c r="U47" s="48"/>
      <c r="V47" s="48"/>
      <c r="W47" s="48"/>
      <c r="X47" s="48"/>
    </row>
    <row r="48">
      <c r="A48" s="282" t="s">
        <v>16</v>
      </c>
      <c r="B48" s="283">
        <v>4320.0</v>
      </c>
      <c r="C48" s="289"/>
      <c r="D48" s="285">
        <v>0.0</v>
      </c>
      <c r="E48" s="306" t="s">
        <v>416</v>
      </c>
      <c r="F48" s="282" t="s">
        <v>517</v>
      </c>
      <c r="G48" s="286" t="s">
        <v>417</v>
      </c>
      <c r="H48" s="287"/>
      <c r="I48" s="288">
        <v>36346.0</v>
      </c>
      <c r="J48" s="288">
        <v>45453.0</v>
      </c>
      <c r="K48" s="350" t="str">
        <f>IFERROR(__xludf.DUMMYFUNCTION("VLOOKUP(TRIM(E48), ARRAYFORMULA(TRIM(IMPORTRANGE(""1J6TM1lO8a31d96YF89fby9ySWcPcCBlFT37fwLDeDG0"", ""PKR-August 2025!C:Z""))), 5, FALSE)"),"")</f>
        <v/>
      </c>
      <c r="L48" s="302">
        <v>31.0</v>
      </c>
      <c r="M48" s="350">
        <v>45870.0</v>
      </c>
      <c r="N48" s="350">
        <v>45900.0</v>
      </c>
      <c r="O48" s="290">
        <f t="shared" si="1"/>
        <v>370</v>
      </c>
      <c r="P48" s="290">
        <f t="shared" si="2"/>
        <v>1850</v>
      </c>
      <c r="Q48" s="290">
        <f t="shared" si="3"/>
        <v>2220</v>
      </c>
    </row>
    <row r="49">
      <c r="A49" s="282" t="s">
        <v>16</v>
      </c>
      <c r="B49" s="283">
        <v>4320.0</v>
      </c>
      <c r="C49" s="289"/>
      <c r="D49" s="285">
        <v>0.0</v>
      </c>
      <c r="E49" s="306" t="s">
        <v>478</v>
      </c>
      <c r="F49" s="282" t="s">
        <v>518</v>
      </c>
      <c r="G49" s="286" t="s">
        <v>426</v>
      </c>
      <c r="H49" s="287"/>
      <c r="I49" s="288">
        <v>36530.0</v>
      </c>
      <c r="J49" s="288">
        <v>45446.0</v>
      </c>
      <c r="K49" s="350" t="str">
        <f>IFERROR(__xludf.DUMMYFUNCTION("VLOOKUP(TRIM(E49), ARRAYFORMULA(TRIM(IMPORTRANGE(""1J6TM1lO8a31d96YF89fby9ySWcPcCBlFT37fwLDeDG0"", ""PKR-August 2025!C:Z""))), 5, FALSE)"),"")</f>
        <v/>
      </c>
      <c r="L49" s="302">
        <v>31.0</v>
      </c>
      <c r="M49" s="350">
        <v>45870.0</v>
      </c>
      <c r="N49" s="350">
        <v>45900.0</v>
      </c>
      <c r="O49" s="290">
        <f t="shared" si="1"/>
        <v>370</v>
      </c>
      <c r="P49" s="290">
        <f t="shared" si="2"/>
        <v>1850</v>
      </c>
      <c r="Q49" s="290">
        <f t="shared" si="3"/>
        <v>2220</v>
      </c>
    </row>
    <row r="50">
      <c r="A50" s="282" t="s">
        <v>16</v>
      </c>
      <c r="B50" s="283">
        <v>4320.0</v>
      </c>
      <c r="C50" s="289"/>
      <c r="D50" s="285">
        <v>0.0</v>
      </c>
      <c r="E50" s="291" t="s">
        <v>702</v>
      </c>
      <c r="F50" s="292" t="s">
        <v>703</v>
      </c>
      <c r="G50" s="289" t="s">
        <v>704</v>
      </c>
      <c r="H50" s="289"/>
      <c r="I50" s="293">
        <v>35714.0</v>
      </c>
      <c r="J50" s="288">
        <v>45705.0</v>
      </c>
      <c r="K50" s="350" t="str">
        <f>IFERROR(__xludf.DUMMYFUNCTION("VLOOKUP(TRIM(E50), ARRAYFORMULA(TRIM(IMPORTRANGE(""1J6TM1lO8a31d96YF89fby9ySWcPcCBlFT37fwLDeDG0"", ""PKR-August 2025!C:Z""))), 5, FALSE)"),"")</f>
        <v/>
      </c>
      <c r="L50" s="302">
        <v>31.0</v>
      </c>
      <c r="M50" s="350">
        <v>45870.0</v>
      </c>
      <c r="N50" s="350">
        <v>45900.0</v>
      </c>
      <c r="O50" s="290">
        <f t="shared" si="1"/>
        <v>370</v>
      </c>
      <c r="P50" s="290">
        <f t="shared" si="2"/>
        <v>1850</v>
      </c>
      <c r="Q50" s="290">
        <f t="shared" si="3"/>
        <v>2220</v>
      </c>
    </row>
    <row r="51">
      <c r="A51" s="282" t="s">
        <v>16</v>
      </c>
      <c r="B51" s="283">
        <v>4320.0</v>
      </c>
      <c r="C51" s="289"/>
      <c r="D51" s="285">
        <v>0.0</v>
      </c>
      <c r="E51" s="306" t="s">
        <v>459</v>
      </c>
      <c r="F51" s="282" t="s">
        <v>374</v>
      </c>
      <c r="G51" s="286" t="s">
        <v>375</v>
      </c>
      <c r="H51" s="287"/>
      <c r="I51" s="288">
        <v>37085.0</v>
      </c>
      <c r="J51" s="288">
        <v>45400.0</v>
      </c>
      <c r="K51" s="350" t="str">
        <f>IFERROR(__xludf.DUMMYFUNCTION("VLOOKUP(TRIM(E51), ARRAYFORMULA(TRIM(IMPORTRANGE(""1J6TM1lO8a31d96YF89fby9ySWcPcCBlFT37fwLDeDG0"", ""PKR-August 2025!C:Z""))), 5, FALSE)"),"")</f>
        <v/>
      </c>
      <c r="L51" s="302">
        <v>31.0</v>
      </c>
      <c r="M51" s="350">
        <v>45870.0</v>
      </c>
      <c r="N51" s="350">
        <v>45900.0</v>
      </c>
      <c r="O51" s="290">
        <f t="shared" si="1"/>
        <v>370</v>
      </c>
      <c r="P51" s="290">
        <f t="shared" si="2"/>
        <v>1850</v>
      </c>
      <c r="Q51" s="290">
        <f t="shared" si="3"/>
        <v>2220</v>
      </c>
    </row>
    <row r="52">
      <c r="A52" s="282" t="s">
        <v>16</v>
      </c>
      <c r="B52" s="283">
        <v>4320.0</v>
      </c>
      <c r="C52" s="289"/>
      <c r="D52" s="285">
        <v>0.0</v>
      </c>
      <c r="E52" s="306" t="s">
        <v>349</v>
      </c>
      <c r="F52" s="282" t="s">
        <v>350</v>
      </c>
      <c r="G52" s="286" t="s">
        <v>351</v>
      </c>
      <c r="H52" s="287"/>
      <c r="I52" s="288">
        <v>37647.0</v>
      </c>
      <c r="J52" s="288">
        <v>45355.0</v>
      </c>
      <c r="K52" s="350" t="str">
        <f>IFERROR(__xludf.DUMMYFUNCTION("VLOOKUP(TRIM(E52), ARRAYFORMULA(TRIM(IMPORTRANGE(""1J6TM1lO8a31d96YF89fby9ySWcPcCBlFT37fwLDeDG0"", ""PKR-August 2025!C:Z""))), 5, FALSE)"),"")</f>
        <v/>
      </c>
      <c r="L52" s="302">
        <v>31.0</v>
      </c>
      <c r="M52" s="350">
        <v>45870.0</v>
      </c>
      <c r="N52" s="350">
        <v>45900.0</v>
      </c>
      <c r="O52" s="290">
        <f t="shared" si="1"/>
        <v>370</v>
      </c>
      <c r="P52" s="290">
        <f t="shared" si="2"/>
        <v>1850</v>
      </c>
      <c r="Q52" s="290">
        <f t="shared" si="3"/>
        <v>2220</v>
      </c>
    </row>
    <row r="53">
      <c r="A53" s="282" t="s">
        <v>16</v>
      </c>
      <c r="B53" s="283">
        <v>4320.0</v>
      </c>
      <c r="C53" s="289"/>
      <c r="D53" s="285">
        <v>0.0</v>
      </c>
      <c r="E53" s="306" t="s">
        <v>352</v>
      </c>
      <c r="F53" s="282" t="s">
        <v>353</v>
      </c>
      <c r="G53" s="286" t="s">
        <v>354</v>
      </c>
      <c r="H53" s="287"/>
      <c r="I53" s="288">
        <v>36412.0</v>
      </c>
      <c r="J53" s="288">
        <v>45355.0</v>
      </c>
      <c r="K53" s="350" t="str">
        <f>IFERROR(__xludf.DUMMYFUNCTION("VLOOKUP(TRIM(E53), ARRAYFORMULA(TRIM(IMPORTRANGE(""1J6TM1lO8a31d96YF89fby9ySWcPcCBlFT37fwLDeDG0"", ""PKR-August 2025!C:Z""))), 5, FALSE)"),"")</f>
        <v/>
      </c>
      <c r="L53" s="302">
        <v>31.0</v>
      </c>
      <c r="M53" s="350">
        <v>45870.0</v>
      </c>
      <c r="N53" s="350">
        <v>45900.0</v>
      </c>
      <c r="O53" s="290">
        <f t="shared" si="1"/>
        <v>370</v>
      </c>
      <c r="P53" s="290">
        <f t="shared" si="2"/>
        <v>1850</v>
      </c>
      <c r="Q53" s="290">
        <f t="shared" si="3"/>
        <v>2220</v>
      </c>
    </row>
    <row r="54">
      <c r="A54" s="282" t="s">
        <v>16</v>
      </c>
      <c r="B54" s="283">
        <v>4320.0</v>
      </c>
      <c r="C54" s="289"/>
      <c r="D54" s="285">
        <v>0.0</v>
      </c>
      <c r="E54" s="303" t="s">
        <v>705</v>
      </c>
      <c r="F54" s="295" t="s">
        <v>920</v>
      </c>
      <c r="G54" s="289" t="s">
        <v>707</v>
      </c>
      <c r="H54" s="289"/>
      <c r="I54" s="293">
        <v>36594.0</v>
      </c>
      <c r="J54" s="288">
        <v>45712.0</v>
      </c>
      <c r="K54" s="350" t="str">
        <f>IFERROR(__xludf.DUMMYFUNCTION("VLOOKUP(TRIM(E54), ARRAYFORMULA(TRIM(IMPORTRANGE(""1J6TM1lO8a31d96YF89fby9ySWcPcCBlFT37fwLDeDG0"", ""PKR-August 2025!C:Z""))), 5, FALSE)"),"")</f>
        <v/>
      </c>
      <c r="L54" s="302">
        <v>31.0</v>
      </c>
      <c r="M54" s="350">
        <v>45870.0</v>
      </c>
      <c r="N54" s="350">
        <v>45900.0</v>
      </c>
      <c r="O54" s="290">
        <f t="shared" si="1"/>
        <v>370</v>
      </c>
      <c r="P54" s="290">
        <f t="shared" si="2"/>
        <v>1850</v>
      </c>
      <c r="Q54" s="290">
        <f t="shared" si="3"/>
        <v>2220</v>
      </c>
    </row>
    <row r="55">
      <c r="A55" s="282" t="s">
        <v>16</v>
      </c>
      <c r="B55" s="283">
        <v>4320.0</v>
      </c>
      <c r="C55" s="289"/>
      <c r="D55" s="285">
        <v>0.0</v>
      </c>
      <c r="E55" s="306" t="s">
        <v>273</v>
      </c>
      <c r="F55" s="282" t="s">
        <v>274</v>
      </c>
      <c r="G55" s="286" t="s">
        <v>275</v>
      </c>
      <c r="H55" s="287"/>
      <c r="I55" s="288">
        <v>34522.0</v>
      </c>
      <c r="J55" s="288">
        <v>45292.0</v>
      </c>
      <c r="K55" s="350" t="str">
        <f>IFERROR(__xludf.DUMMYFUNCTION("VLOOKUP(TRIM(E55), ARRAYFORMULA(TRIM(IMPORTRANGE(""1J6TM1lO8a31d96YF89fby9ySWcPcCBlFT37fwLDeDG0"", ""PKR-August 2025!C:Z""))), 5, FALSE)"),"")</f>
        <v/>
      </c>
      <c r="L55" s="302">
        <v>31.0</v>
      </c>
      <c r="M55" s="350">
        <v>45870.0</v>
      </c>
      <c r="N55" s="350">
        <v>45900.0</v>
      </c>
      <c r="O55" s="290">
        <f t="shared" si="1"/>
        <v>370</v>
      </c>
      <c r="P55" s="290">
        <f t="shared" si="2"/>
        <v>1850</v>
      </c>
      <c r="Q55" s="290">
        <f t="shared" si="3"/>
        <v>2220</v>
      </c>
    </row>
    <row r="56">
      <c r="A56" s="282" t="s">
        <v>16</v>
      </c>
      <c r="B56" s="283">
        <v>4320.0</v>
      </c>
      <c r="C56" s="289"/>
      <c r="D56" s="285">
        <v>0.0</v>
      </c>
      <c r="E56" s="303" t="s">
        <v>708</v>
      </c>
      <c r="F56" s="295" t="s">
        <v>921</v>
      </c>
      <c r="G56" s="289" t="s">
        <v>710</v>
      </c>
      <c r="H56" s="289"/>
      <c r="I56" s="293">
        <v>37028.0</v>
      </c>
      <c r="J56" s="288">
        <v>45705.0</v>
      </c>
      <c r="K56" s="350" t="str">
        <f>IFERROR(__xludf.DUMMYFUNCTION("VLOOKUP(TRIM(E56), ARRAYFORMULA(TRIM(IMPORTRANGE(""1J6TM1lO8a31d96YF89fby9ySWcPcCBlFT37fwLDeDG0"", ""PKR-August 2025!C:Z""))), 5, FALSE)"),"")</f>
        <v/>
      </c>
      <c r="L56" s="302">
        <v>31.0</v>
      </c>
      <c r="M56" s="350">
        <v>45870.0</v>
      </c>
      <c r="N56" s="350">
        <v>45900.0</v>
      </c>
      <c r="O56" s="290">
        <f t="shared" si="1"/>
        <v>370</v>
      </c>
      <c r="P56" s="290">
        <f t="shared" si="2"/>
        <v>1850</v>
      </c>
      <c r="Q56" s="290">
        <f t="shared" si="3"/>
        <v>2220</v>
      </c>
    </row>
    <row r="57">
      <c r="A57" s="349" t="s">
        <v>16</v>
      </c>
      <c r="B57" s="400">
        <v>4320.0</v>
      </c>
      <c r="C57" s="401"/>
      <c r="D57" s="402">
        <v>0.0</v>
      </c>
      <c r="E57" s="403" t="s">
        <v>162</v>
      </c>
      <c r="F57" s="487" t="s">
        <v>838</v>
      </c>
      <c r="G57" s="404" t="s">
        <v>164</v>
      </c>
      <c r="H57" s="405"/>
      <c r="I57" s="406">
        <v>34732.0</v>
      </c>
      <c r="J57" s="406">
        <v>44986.0</v>
      </c>
      <c r="K57" s="350" t="str">
        <f>IFERROR(__xludf.DUMMYFUNCTION("VLOOKUP(TRIM(E57), ARRAYFORMULA(TRIM(IMPORTRANGE(""1J6TM1lO8a31d96YF89fby9ySWcPcCBlFT37fwLDeDG0"", ""PKR-August 2025!C:Z""))), 5, FALSE)"),"")</f>
        <v/>
      </c>
      <c r="L57" s="302">
        <v>31.0</v>
      </c>
      <c r="M57" s="350">
        <v>45870.0</v>
      </c>
      <c r="N57" s="350">
        <v>45900.0</v>
      </c>
      <c r="O57" s="290">
        <f t="shared" si="1"/>
        <v>370</v>
      </c>
      <c r="P57" s="290">
        <f t="shared" si="2"/>
        <v>1850</v>
      </c>
      <c r="Q57" s="290">
        <f t="shared" si="3"/>
        <v>2220</v>
      </c>
    </row>
    <row r="58">
      <c r="A58" s="421" t="s">
        <v>16</v>
      </c>
      <c r="B58" s="422">
        <v>4320.0</v>
      </c>
      <c r="C58" s="427"/>
      <c r="D58" s="424">
        <v>0.0</v>
      </c>
      <c r="E58" s="441" t="s">
        <v>549</v>
      </c>
      <c r="F58" s="421" t="s">
        <v>550</v>
      </c>
      <c r="G58" s="425" t="s">
        <v>551</v>
      </c>
      <c r="H58" s="287"/>
      <c r="I58" s="426">
        <v>37636.0</v>
      </c>
      <c r="J58" s="426">
        <v>45663.0</v>
      </c>
      <c r="K58" s="350">
        <v>45869.0</v>
      </c>
      <c r="L58" s="428">
        <v>31.0</v>
      </c>
      <c r="M58" s="429">
        <v>45870.0</v>
      </c>
      <c r="N58" s="429">
        <v>45900.0</v>
      </c>
      <c r="O58" s="290">
        <f t="shared" si="1"/>
        <v>370</v>
      </c>
      <c r="P58" s="290">
        <f t="shared" si="2"/>
        <v>1850</v>
      </c>
      <c r="Q58" s="290">
        <f t="shared" si="3"/>
        <v>2220</v>
      </c>
      <c r="R58" s="48"/>
      <c r="S58" s="48"/>
      <c r="T58" s="48"/>
      <c r="U58" s="48"/>
      <c r="V58" s="48"/>
      <c r="W58" s="48"/>
      <c r="X58" s="48"/>
    </row>
    <row r="59">
      <c r="A59" s="282" t="s">
        <v>16</v>
      </c>
      <c r="B59" s="283">
        <v>4320.0</v>
      </c>
      <c r="C59" s="289"/>
      <c r="D59" s="285">
        <v>0.0</v>
      </c>
      <c r="E59" s="291" t="s">
        <v>711</v>
      </c>
      <c r="F59" s="295" t="s">
        <v>922</v>
      </c>
      <c r="G59" s="289" t="s">
        <v>713</v>
      </c>
      <c r="H59" s="289"/>
      <c r="I59" s="293">
        <v>34694.0</v>
      </c>
      <c r="J59" s="288">
        <v>45712.0</v>
      </c>
      <c r="K59" s="350" t="str">
        <f>IFERROR(__xludf.DUMMYFUNCTION("VLOOKUP(TRIM(E59), ARRAYFORMULA(TRIM(IMPORTRANGE(""1J6TM1lO8a31d96YF89fby9ySWcPcCBlFT37fwLDeDG0"", ""PKR-August 2025!C:Z""))), 5, FALSE)"),"")</f>
        <v/>
      </c>
      <c r="L59" s="302">
        <v>31.0</v>
      </c>
      <c r="M59" s="350">
        <v>45870.0</v>
      </c>
      <c r="N59" s="350">
        <v>45900.0</v>
      </c>
      <c r="O59" s="290">
        <f t="shared" si="1"/>
        <v>370</v>
      </c>
      <c r="P59" s="290">
        <f t="shared" si="2"/>
        <v>1850</v>
      </c>
      <c r="Q59" s="290">
        <f t="shared" si="3"/>
        <v>2220</v>
      </c>
    </row>
    <row r="60">
      <c r="A60" s="282" t="s">
        <v>16</v>
      </c>
      <c r="B60" s="283">
        <v>4320.0</v>
      </c>
      <c r="C60" s="289"/>
      <c r="D60" s="285">
        <v>0.0</v>
      </c>
      <c r="E60" s="306" t="s">
        <v>355</v>
      </c>
      <c r="F60" s="282" t="s">
        <v>356</v>
      </c>
      <c r="G60" s="286" t="s">
        <v>357</v>
      </c>
      <c r="H60" s="287"/>
      <c r="I60" s="288">
        <v>35395.0</v>
      </c>
      <c r="J60" s="288">
        <v>45376.0</v>
      </c>
      <c r="K60" s="350" t="str">
        <f>IFERROR(__xludf.DUMMYFUNCTION("VLOOKUP(TRIM(E60), ARRAYFORMULA(TRIM(IMPORTRANGE(""1J6TM1lO8a31d96YF89fby9ySWcPcCBlFT37fwLDeDG0"", ""PKR-August 2025!C:Z""))), 5, FALSE)"),"05-Sep-2025")</f>
        <v>05-Sep-2025</v>
      </c>
      <c r="L60" s="302">
        <v>31.0</v>
      </c>
      <c r="M60" s="350">
        <v>45870.0</v>
      </c>
      <c r="N60" s="350">
        <v>45900.0</v>
      </c>
      <c r="O60" s="290">
        <f t="shared" si="1"/>
        <v>370</v>
      </c>
      <c r="P60" s="290">
        <f t="shared" si="2"/>
        <v>1850</v>
      </c>
      <c r="Q60" s="290">
        <f t="shared" si="3"/>
        <v>2220</v>
      </c>
    </row>
    <row r="61">
      <c r="A61" s="282" t="s">
        <v>16</v>
      </c>
      <c r="B61" s="283">
        <v>4320.0</v>
      </c>
      <c r="C61" s="289"/>
      <c r="D61" s="285">
        <v>0.0</v>
      </c>
      <c r="E61" s="291" t="s">
        <v>714</v>
      </c>
      <c r="F61" s="295" t="s">
        <v>923</v>
      </c>
      <c r="G61" s="289" t="s">
        <v>716</v>
      </c>
      <c r="H61" s="289"/>
      <c r="I61" s="293">
        <v>36514.0</v>
      </c>
      <c r="J61" s="288">
        <v>45698.0</v>
      </c>
      <c r="K61" s="350" t="str">
        <f>IFERROR(__xludf.DUMMYFUNCTION("VLOOKUP(TRIM(E61), ARRAYFORMULA(TRIM(IMPORTRANGE(""1J6TM1lO8a31d96YF89fby9ySWcPcCBlFT37fwLDeDG0"", ""PKR-August 2025!C:Z""))), 5, FALSE)"),"")</f>
        <v/>
      </c>
      <c r="L61" s="302">
        <v>31.0</v>
      </c>
      <c r="M61" s="350">
        <v>45870.0</v>
      </c>
      <c r="N61" s="350">
        <v>45900.0</v>
      </c>
      <c r="O61" s="290">
        <f t="shared" si="1"/>
        <v>370</v>
      </c>
      <c r="P61" s="290">
        <f t="shared" si="2"/>
        <v>1850</v>
      </c>
      <c r="Q61" s="290">
        <f t="shared" si="3"/>
        <v>2220</v>
      </c>
    </row>
    <row r="62">
      <c r="A62" s="282" t="s">
        <v>16</v>
      </c>
      <c r="B62" s="283">
        <v>4320.0</v>
      </c>
      <c r="C62" s="289"/>
      <c r="D62" s="285">
        <v>0.0</v>
      </c>
      <c r="E62" s="306" t="s">
        <v>183</v>
      </c>
      <c r="F62" s="282" t="s">
        <v>184</v>
      </c>
      <c r="G62" s="286" t="s">
        <v>185</v>
      </c>
      <c r="H62" s="287"/>
      <c r="I62" s="288">
        <v>36979.0</v>
      </c>
      <c r="J62" s="288">
        <v>44907.0</v>
      </c>
      <c r="K62" s="350" t="str">
        <f>IFERROR(__xludf.DUMMYFUNCTION("VLOOKUP(TRIM(E62), ARRAYFORMULA(TRIM(IMPORTRANGE(""1J6TM1lO8a31d96YF89fby9ySWcPcCBlFT37fwLDeDG0"", ""PKR-August 2025!C:Z""))), 5, FALSE)"),"")</f>
        <v/>
      </c>
      <c r="L62" s="302">
        <v>31.0</v>
      </c>
      <c r="M62" s="350">
        <v>45870.0</v>
      </c>
      <c r="N62" s="350">
        <v>45900.0</v>
      </c>
      <c r="O62" s="290">
        <f t="shared" si="1"/>
        <v>370</v>
      </c>
      <c r="P62" s="290">
        <f t="shared" si="2"/>
        <v>1850</v>
      </c>
      <c r="Q62" s="290">
        <f t="shared" si="3"/>
        <v>2220</v>
      </c>
    </row>
    <row r="63">
      <c r="A63" s="421" t="s">
        <v>16</v>
      </c>
      <c r="B63" s="422">
        <v>4320.0</v>
      </c>
      <c r="C63" s="427"/>
      <c r="D63" s="424">
        <v>0.0</v>
      </c>
      <c r="E63" s="441" t="s">
        <v>301</v>
      </c>
      <c r="F63" s="421" t="s">
        <v>302</v>
      </c>
      <c r="G63" s="425" t="s">
        <v>303</v>
      </c>
      <c r="H63" s="287"/>
      <c r="I63" s="426">
        <v>36991.0</v>
      </c>
      <c r="J63" s="426">
        <v>45205.0</v>
      </c>
      <c r="K63" s="350" t="str">
        <f>IFERROR(__xludf.DUMMYFUNCTION("VLOOKUP(TRIM(E63), ARRAYFORMULA(TRIM(IMPORTRANGE(""1J6TM1lO8a31d96YF89fby9ySWcPcCBlFT37fwLDeDG0"", ""PKR-August 2025!C:Z""))), 5, FALSE)"),"20-Aug-2025")</f>
        <v>20-Aug-2025</v>
      </c>
      <c r="L63" s="428">
        <v>20.0</v>
      </c>
      <c r="M63" s="429">
        <v>45870.0</v>
      </c>
      <c r="N63" s="429">
        <v>45900.0</v>
      </c>
      <c r="O63" s="290">
        <f t="shared" si="1"/>
        <v>239</v>
      </c>
      <c r="P63" s="290">
        <f t="shared" si="2"/>
        <v>1195</v>
      </c>
      <c r="Q63" s="290">
        <f t="shared" si="3"/>
        <v>1434</v>
      </c>
      <c r="R63" s="48"/>
      <c r="S63" s="48"/>
      <c r="T63" s="48"/>
      <c r="U63" s="48"/>
      <c r="V63" s="48"/>
      <c r="W63" s="48"/>
      <c r="X63" s="48"/>
    </row>
    <row r="64">
      <c r="A64" s="282" t="s">
        <v>16</v>
      </c>
      <c r="B64" s="283">
        <v>4320.0</v>
      </c>
      <c r="C64" s="289"/>
      <c r="D64" s="285">
        <v>0.0</v>
      </c>
      <c r="E64" s="306" t="s">
        <v>432</v>
      </c>
      <c r="F64" s="282" t="s">
        <v>521</v>
      </c>
      <c r="G64" s="286" t="s">
        <v>433</v>
      </c>
      <c r="H64" s="287"/>
      <c r="I64" s="288">
        <v>34504.0</v>
      </c>
      <c r="J64" s="288">
        <v>45481.0</v>
      </c>
      <c r="K64" s="350" t="str">
        <f>IFERROR(__xludf.DUMMYFUNCTION("VLOOKUP(TRIM(E64), ARRAYFORMULA(TRIM(IMPORTRANGE(""1J6TM1lO8a31d96YF89fby9ySWcPcCBlFT37fwLDeDG0"", ""PKR-August 2025!C:Z""))), 5, FALSE)"),"")</f>
        <v/>
      </c>
      <c r="L64" s="302">
        <v>31.0</v>
      </c>
      <c r="M64" s="350">
        <v>45870.0</v>
      </c>
      <c r="N64" s="350">
        <v>45900.0</v>
      </c>
      <c r="O64" s="290">
        <f t="shared" si="1"/>
        <v>370</v>
      </c>
      <c r="P64" s="290">
        <f t="shared" si="2"/>
        <v>1850</v>
      </c>
      <c r="Q64" s="290">
        <f t="shared" si="3"/>
        <v>2220</v>
      </c>
    </row>
    <row r="65">
      <c r="A65" s="282" t="s">
        <v>16</v>
      </c>
      <c r="B65" s="283">
        <v>4320.0</v>
      </c>
      <c r="C65" s="289"/>
      <c r="D65" s="285">
        <v>0.0</v>
      </c>
      <c r="E65" s="306" t="s">
        <v>460</v>
      </c>
      <c r="F65" s="282" t="s">
        <v>523</v>
      </c>
      <c r="G65" s="286" t="s">
        <v>461</v>
      </c>
      <c r="H65" s="287"/>
      <c r="I65" s="288">
        <v>36856.0</v>
      </c>
      <c r="J65" s="288">
        <v>45505.0</v>
      </c>
      <c r="K65" s="350" t="str">
        <f>IFERROR(__xludf.DUMMYFUNCTION("VLOOKUP(TRIM(E65), ARRAYFORMULA(TRIM(IMPORTRANGE(""1J6TM1lO8a31d96YF89fby9ySWcPcCBlFT37fwLDeDG0"", ""PKR-August 2025!C:Z""))), 5, FALSE)"),"")</f>
        <v/>
      </c>
      <c r="L65" s="302">
        <v>31.0</v>
      </c>
      <c r="M65" s="350">
        <v>45870.0</v>
      </c>
      <c r="N65" s="350">
        <v>45900.0</v>
      </c>
      <c r="O65" s="290">
        <f t="shared" si="1"/>
        <v>370</v>
      </c>
      <c r="P65" s="290">
        <f t="shared" si="2"/>
        <v>1850</v>
      </c>
      <c r="Q65" s="290">
        <f t="shared" si="3"/>
        <v>2220</v>
      </c>
    </row>
    <row r="66">
      <c r="A66" s="282" t="s">
        <v>16</v>
      </c>
      <c r="B66" s="283">
        <v>4320.0</v>
      </c>
      <c r="C66" s="289"/>
      <c r="D66" s="285">
        <v>0.0</v>
      </c>
      <c r="E66" s="306" t="s">
        <v>462</v>
      </c>
      <c r="F66" s="282" t="s">
        <v>526</v>
      </c>
      <c r="G66" s="286" t="s">
        <v>463</v>
      </c>
      <c r="H66" s="287"/>
      <c r="I66" s="288">
        <v>34588.0</v>
      </c>
      <c r="J66" s="288">
        <v>45530.0</v>
      </c>
      <c r="K66" s="350" t="str">
        <f>IFERROR(__xludf.DUMMYFUNCTION("VLOOKUP(TRIM(E66), ARRAYFORMULA(TRIM(IMPORTRANGE(""1J6TM1lO8a31d96YF89fby9ySWcPcCBlFT37fwLDeDG0"", ""PKR-August 2025!C:Z""))), 5, FALSE)"),"")</f>
        <v/>
      </c>
      <c r="L66" s="302">
        <v>31.0</v>
      </c>
      <c r="M66" s="350">
        <v>45870.0</v>
      </c>
      <c r="N66" s="350">
        <v>45900.0</v>
      </c>
      <c r="O66" s="290">
        <f t="shared" si="1"/>
        <v>370</v>
      </c>
      <c r="P66" s="290">
        <f t="shared" si="2"/>
        <v>1850</v>
      </c>
      <c r="Q66" s="290">
        <f t="shared" si="3"/>
        <v>2220</v>
      </c>
    </row>
    <row r="67">
      <c r="A67" s="282" t="s">
        <v>16</v>
      </c>
      <c r="B67" s="283">
        <v>4320.0</v>
      </c>
      <c r="C67" s="289"/>
      <c r="D67" s="285">
        <v>0.0</v>
      </c>
      <c r="E67" s="306" t="s">
        <v>423</v>
      </c>
      <c r="F67" s="282" t="s">
        <v>524</v>
      </c>
      <c r="G67" s="286" t="s">
        <v>424</v>
      </c>
      <c r="H67" s="287"/>
      <c r="I67" s="288">
        <v>37818.0</v>
      </c>
      <c r="J67" s="288">
        <v>45467.0</v>
      </c>
      <c r="K67" s="350" t="str">
        <f>IFERROR(__xludf.DUMMYFUNCTION("VLOOKUP(TRIM(E67), ARRAYFORMULA(TRIM(IMPORTRANGE(""1J6TM1lO8a31d96YF89fby9ySWcPcCBlFT37fwLDeDG0"", ""PKR-August 2025!C:Z""))), 5, FALSE)"),"")</f>
        <v/>
      </c>
      <c r="L67" s="302">
        <v>31.0</v>
      </c>
      <c r="M67" s="350">
        <v>45870.0</v>
      </c>
      <c r="N67" s="350">
        <v>45900.0</v>
      </c>
      <c r="O67" s="290">
        <f t="shared" si="1"/>
        <v>370</v>
      </c>
      <c r="P67" s="290">
        <f t="shared" si="2"/>
        <v>1850</v>
      </c>
      <c r="Q67" s="290">
        <f t="shared" si="3"/>
        <v>2220</v>
      </c>
    </row>
    <row r="68">
      <c r="A68" s="282" t="s">
        <v>16</v>
      </c>
      <c r="B68" s="283">
        <v>4320.0</v>
      </c>
      <c r="C68" s="289"/>
      <c r="D68" s="285">
        <v>0.0</v>
      </c>
      <c r="E68" s="291" t="s">
        <v>717</v>
      </c>
      <c r="F68" s="292" t="s">
        <v>718</v>
      </c>
      <c r="G68" s="289" t="s">
        <v>719</v>
      </c>
      <c r="H68" s="289"/>
      <c r="I68" s="293">
        <v>36505.0</v>
      </c>
      <c r="J68" s="288">
        <v>45712.0</v>
      </c>
      <c r="K68" s="350" t="str">
        <f>IFERROR(__xludf.DUMMYFUNCTION("VLOOKUP(TRIM(E68), ARRAYFORMULA(TRIM(IMPORTRANGE(""1J6TM1lO8a31d96YF89fby9ySWcPcCBlFT37fwLDeDG0"", ""PKR-August 2025!C:Z""))), 5, FALSE)"),"")</f>
        <v/>
      </c>
      <c r="L68" s="302">
        <v>31.0</v>
      </c>
      <c r="M68" s="350">
        <v>45870.0</v>
      </c>
      <c r="N68" s="350">
        <v>45900.0</v>
      </c>
      <c r="O68" s="290">
        <f t="shared" si="1"/>
        <v>370</v>
      </c>
      <c r="P68" s="290">
        <f t="shared" si="2"/>
        <v>1850</v>
      </c>
      <c r="Q68" s="290">
        <f t="shared" si="3"/>
        <v>2220</v>
      </c>
    </row>
    <row r="69">
      <c r="A69" s="282" t="s">
        <v>16</v>
      </c>
      <c r="B69" s="283">
        <v>4320.0</v>
      </c>
      <c r="C69" s="289"/>
      <c r="D69" s="285">
        <v>0.0</v>
      </c>
      <c r="E69" s="306" t="s">
        <v>427</v>
      </c>
      <c r="F69" s="282" t="s">
        <v>525</v>
      </c>
      <c r="G69" s="286" t="s">
        <v>428</v>
      </c>
      <c r="H69" s="287"/>
      <c r="I69" s="288">
        <v>36451.0</v>
      </c>
      <c r="J69" s="288">
        <v>45453.0</v>
      </c>
      <c r="K69" s="350" t="str">
        <f>IFERROR(__xludf.DUMMYFUNCTION("VLOOKUP(TRIM(E69), ARRAYFORMULA(TRIM(IMPORTRANGE(""1J6TM1lO8a31d96YF89fby9ySWcPcCBlFT37fwLDeDG0"", ""PKR-August 2025!C:Z""))), 5, FALSE)"),"")</f>
        <v/>
      </c>
      <c r="L69" s="302">
        <v>31.0</v>
      </c>
      <c r="M69" s="350">
        <v>45870.0</v>
      </c>
      <c r="N69" s="350">
        <v>45900.0</v>
      </c>
      <c r="O69" s="290">
        <f t="shared" si="1"/>
        <v>370</v>
      </c>
      <c r="P69" s="290">
        <f t="shared" si="2"/>
        <v>1850</v>
      </c>
      <c r="Q69" s="290">
        <f t="shared" si="3"/>
        <v>2220</v>
      </c>
    </row>
    <row r="70">
      <c r="A70" s="282" t="s">
        <v>16</v>
      </c>
      <c r="B70" s="283">
        <v>4320.0</v>
      </c>
      <c r="C70" s="289"/>
      <c r="D70" s="285">
        <v>0.0</v>
      </c>
      <c r="E70" s="306" t="s">
        <v>493</v>
      </c>
      <c r="F70" s="282" t="s">
        <v>532</v>
      </c>
      <c r="G70" s="286" t="s">
        <v>494</v>
      </c>
      <c r="H70" s="287"/>
      <c r="I70" s="288">
        <v>36208.0</v>
      </c>
      <c r="J70" s="288">
        <v>45602.0</v>
      </c>
      <c r="K70" s="350" t="str">
        <f>IFERROR(__xludf.DUMMYFUNCTION("VLOOKUP(TRIM(E70), ARRAYFORMULA(TRIM(IMPORTRANGE(""1J6TM1lO8a31d96YF89fby9ySWcPcCBlFT37fwLDeDG0"", ""PKR-August 2025!C:Z""))), 5, FALSE)"),"")</f>
        <v/>
      </c>
      <c r="L70" s="302">
        <v>31.0</v>
      </c>
      <c r="M70" s="350">
        <v>45870.0</v>
      </c>
      <c r="N70" s="350">
        <v>45900.0</v>
      </c>
      <c r="O70" s="290">
        <f t="shared" si="1"/>
        <v>370</v>
      </c>
      <c r="P70" s="290">
        <f t="shared" si="2"/>
        <v>1850</v>
      </c>
      <c r="Q70" s="290">
        <f t="shared" si="3"/>
        <v>2220</v>
      </c>
    </row>
    <row r="71">
      <c r="A71" s="282" t="s">
        <v>16</v>
      </c>
      <c r="B71" s="283">
        <v>4320.0</v>
      </c>
      <c r="C71" s="289"/>
      <c r="D71" s="285">
        <v>0.0</v>
      </c>
      <c r="E71" s="306" t="s">
        <v>585</v>
      </c>
      <c r="F71" s="282" t="s">
        <v>586</v>
      </c>
      <c r="G71" s="480" t="s">
        <v>841</v>
      </c>
      <c r="H71" s="287"/>
      <c r="I71" s="288">
        <v>35827.0</v>
      </c>
      <c r="J71" s="288">
        <v>45684.0</v>
      </c>
      <c r="K71" s="350" t="str">
        <f>IFERROR(__xludf.DUMMYFUNCTION("VLOOKUP(TRIM(E71), ARRAYFORMULA(TRIM(IMPORTRANGE(""1J6TM1lO8a31d96YF89fby9ySWcPcCBlFT37fwLDeDG0"", ""PKR-August 2025!C:Z""))), 5, FALSE)"),"")</f>
        <v/>
      </c>
      <c r="L71" s="302">
        <v>31.0</v>
      </c>
      <c r="M71" s="350">
        <v>45870.0</v>
      </c>
      <c r="N71" s="350">
        <v>45900.0</v>
      </c>
      <c r="O71" s="290">
        <f t="shared" si="1"/>
        <v>370</v>
      </c>
      <c r="P71" s="290">
        <f t="shared" si="2"/>
        <v>1850</v>
      </c>
      <c r="Q71" s="290">
        <f t="shared" si="3"/>
        <v>2220</v>
      </c>
    </row>
    <row r="72">
      <c r="A72" s="410" t="s">
        <v>16</v>
      </c>
      <c r="B72" s="411">
        <v>4320.0</v>
      </c>
      <c r="C72" s="412"/>
      <c r="D72" s="285">
        <v>0.0</v>
      </c>
      <c r="E72" s="410" t="s">
        <v>744</v>
      </c>
      <c r="F72" s="413" t="s">
        <v>745</v>
      </c>
      <c r="G72" s="410" t="s">
        <v>746</v>
      </c>
      <c r="H72" s="412"/>
      <c r="I72" s="414">
        <v>37479.0</v>
      </c>
      <c r="J72" s="414">
        <v>45726.0</v>
      </c>
      <c r="K72" s="350" t="str">
        <f>IFERROR(__xludf.DUMMYFUNCTION("VLOOKUP(TRIM(E72), ARRAYFORMULA(TRIM(IMPORTRANGE(""1J6TM1lO8a31d96YF89fby9ySWcPcCBlFT37fwLDeDG0"", ""PKR-August 2025!C:Z""))), 5, FALSE)"),"")</f>
        <v/>
      </c>
      <c r="L72" s="302">
        <v>31.0</v>
      </c>
      <c r="M72" s="350">
        <v>45870.0</v>
      </c>
      <c r="N72" s="350">
        <v>45900.0</v>
      </c>
      <c r="O72" s="290">
        <f t="shared" si="1"/>
        <v>370</v>
      </c>
      <c r="P72" s="290">
        <f t="shared" si="2"/>
        <v>1850</v>
      </c>
      <c r="Q72" s="290">
        <f t="shared" si="3"/>
        <v>2220</v>
      </c>
    </row>
    <row r="73">
      <c r="A73" s="410" t="s">
        <v>16</v>
      </c>
      <c r="B73" s="411">
        <v>4320.0</v>
      </c>
      <c r="C73" s="412"/>
      <c r="D73" s="285">
        <v>0.0</v>
      </c>
      <c r="E73" s="410" t="s">
        <v>747</v>
      </c>
      <c r="F73" s="418" t="s">
        <v>748</v>
      </c>
      <c r="G73" s="410" t="s">
        <v>842</v>
      </c>
      <c r="H73" s="412"/>
      <c r="I73" s="414">
        <v>37314.0</v>
      </c>
      <c r="J73" s="414">
        <v>45733.0</v>
      </c>
      <c r="K73" s="350" t="str">
        <f>IFERROR(__xludf.DUMMYFUNCTION("VLOOKUP(TRIM(E73), ARRAYFORMULA(TRIM(IMPORTRANGE(""1J6TM1lO8a31d96YF89fby9ySWcPcCBlFT37fwLDeDG0"", ""PKR-August 2025!C:Z""))), 5, FALSE)"),"")</f>
        <v/>
      </c>
      <c r="L73" s="302">
        <v>31.0</v>
      </c>
      <c r="M73" s="350">
        <v>45870.0</v>
      </c>
      <c r="N73" s="350">
        <v>45900.0</v>
      </c>
      <c r="O73" s="290">
        <f t="shared" si="1"/>
        <v>370</v>
      </c>
      <c r="P73" s="290">
        <f t="shared" si="2"/>
        <v>1850</v>
      </c>
      <c r="Q73" s="290">
        <f t="shared" si="3"/>
        <v>2220</v>
      </c>
    </row>
    <row r="74">
      <c r="A74" s="410" t="s">
        <v>16</v>
      </c>
      <c r="B74" s="411">
        <v>4320.0</v>
      </c>
      <c r="C74" s="412"/>
      <c r="D74" s="285">
        <v>0.0</v>
      </c>
      <c r="E74" s="410" t="s">
        <v>750</v>
      </c>
      <c r="F74" s="418" t="s">
        <v>751</v>
      </c>
      <c r="G74" s="410" t="s">
        <v>752</v>
      </c>
      <c r="H74" s="412"/>
      <c r="I74" s="414">
        <v>36581.0</v>
      </c>
      <c r="J74" s="414">
        <v>45740.0</v>
      </c>
      <c r="K74" s="350" t="str">
        <f>IFERROR(__xludf.DUMMYFUNCTION("VLOOKUP(TRIM(E74), ARRAYFORMULA(TRIM(IMPORTRANGE(""1J6TM1lO8a31d96YF89fby9ySWcPcCBlFT37fwLDeDG0"", ""PKR-August 2025!C:Z""))), 5, FALSE)"),"")</f>
        <v/>
      </c>
      <c r="L74" s="302">
        <v>31.0</v>
      </c>
      <c r="M74" s="350">
        <v>45870.0</v>
      </c>
      <c r="N74" s="350">
        <v>45900.0</v>
      </c>
      <c r="O74" s="290">
        <f t="shared" si="1"/>
        <v>370</v>
      </c>
      <c r="P74" s="290">
        <f t="shared" si="2"/>
        <v>1850</v>
      </c>
      <c r="Q74" s="290">
        <f t="shared" si="3"/>
        <v>2220</v>
      </c>
    </row>
    <row r="75">
      <c r="A75" s="410" t="s">
        <v>16</v>
      </c>
      <c r="B75" s="411">
        <v>4320.0</v>
      </c>
      <c r="C75" s="412"/>
      <c r="D75" s="285">
        <v>0.0</v>
      </c>
      <c r="E75" s="410" t="s">
        <v>764</v>
      </c>
      <c r="F75" s="418" t="s">
        <v>765</v>
      </c>
      <c r="G75" s="410" t="s">
        <v>766</v>
      </c>
      <c r="H75" s="412"/>
      <c r="I75" s="414">
        <v>36087.0</v>
      </c>
      <c r="J75" s="414">
        <v>45761.0</v>
      </c>
      <c r="K75" s="350" t="str">
        <f>IFERROR(__xludf.DUMMYFUNCTION("VLOOKUP(TRIM(E75), ARRAYFORMULA(TRIM(IMPORTRANGE(""1J6TM1lO8a31d96YF89fby9ySWcPcCBlFT37fwLDeDG0"", ""PKR-August 2025!C:Z""))), 5, FALSE)"),"")</f>
        <v/>
      </c>
      <c r="L75" s="302">
        <v>31.0</v>
      </c>
      <c r="M75" s="350">
        <v>45870.0</v>
      </c>
      <c r="N75" s="350">
        <v>45900.0</v>
      </c>
      <c r="O75" s="290">
        <f t="shared" si="1"/>
        <v>370</v>
      </c>
      <c r="P75" s="290">
        <f t="shared" si="2"/>
        <v>1850</v>
      </c>
      <c r="Q75" s="290">
        <f t="shared" si="3"/>
        <v>2220</v>
      </c>
    </row>
    <row r="76">
      <c r="A76" s="410" t="s">
        <v>16</v>
      </c>
      <c r="B76" s="411">
        <v>4320.0</v>
      </c>
      <c r="C76" s="443"/>
      <c r="D76" s="285">
        <v>0.0</v>
      </c>
      <c r="E76" s="444" t="s">
        <v>785</v>
      </c>
      <c r="F76" s="445" t="s">
        <v>786</v>
      </c>
      <c r="G76" s="445" t="s">
        <v>787</v>
      </c>
      <c r="H76" s="443"/>
      <c r="I76" s="446">
        <v>38089.0</v>
      </c>
      <c r="J76" s="447">
        <v>45789.0</v>
      </c>
      <c r="K76" s="350" t="str">
        <f>IFERROR(__xludf.DUMMYFUNCTION("VLOOKUP(TRIM(E76), ARRAYFORMULA(TRIM(IMPORTRANGE(""1J6TM1lO8a31d96YF89fby9ySWcPcCBlFT37fwLDeDG0"", ""PKR-August 2025!C:Z""))), 5, FALSE)"),"")</f>
        <v/>
      </c>
      <c r="L76" s="302">
        <v>31.0</v>
      </c>
      <c r="M76" s="350">
        <v>45870.0</v>
      </c>
      <c r="N76" s="350">
        <v>45900.0</v>
      </c>
      <c r="O76" s="290">
        <f t="shared" si="1"/>
        <v>370</v>
      </c>
      <c r="P76" s="290">
        <f t="shared" si="2"/>
        <v>1850</v>
      </c>
      <c r="Q76" s="290">
        <f t="shared" si="3"/>
        <v>2220</v>
      </c>
    </row>
    <row r="77">
      <c r="A77" s="490" t="s">
        <v>16</v>
      </c>
      <c r="B77" s="491">
        <v>4320.0</v>
      </c>
      <c r="C77" s="538"/>
      <c r="D77" s="424">
        <v>0.0</v>
      </c>
      <c r="E77" s="591" t="s">
        <v>788</v>
      </c>
      <c r="F77" s="592" t="s">
        <v>789</v>
      </c>
      <c r="G77" s="592" t="s">
        <v>843</v>
      </c>
      <c r="H77" s="538"/>
      <c r="I77" s="593">
        <v>36459.0</v>
      </c>
      <c r="J77" s="594">
        <v>45789.0</v>
      </c>
      <c r="K77" s="350" t="str">
        <f>IFERROR(__xludf.DUMMYFUNCTION("VLOOKUP(TRIM(E77), ARRAYFORMULA(TRIM(IMPORTRANGE(""1J6TM1lO8a31d96YF89fby9ySWcPcCBlFT37fwLDeDG0"", ""PKR-August 2025!C:Z""))), 5, FALSE)"),"4-Aug-2025")</f>
        <v>4-Aug-2025</v>
      </c>
      <c r="L77" s="428">
        <v>4.0</v>
      </c>
      <c r="M77" s="429">
        <v>45870.0</v>
      </c>
      <c r="N77" s="429">
        <v>45900.0</v>
      </c>
      <c r="O77" s="290">
        <f t="shared" si="1"/>
        <v>48</v>
      </c>
      <c r="P77" s="290">
        <f t="shared" si="2"/>
        <v>240</v>
      </c>
      <c r="Q77" s="290">
        <f t="shared" si="3"/>
        <v>288</v>
      </c>
      <c r="R77" s="48"/>
      <c r="S77" s="48"/>
      <c r="T77" s="48"/>
      <c r="U77" s="48"/>
      <c r="V77" s="48"/>
      <c r="W77" s="48"/>
      <c r="X77" s="48"/>
    </row>
    <row r="78">
      <c r="A78" s="410" t="s">
        <v>16</v>
      </c>
      <c r="B78" s="411">
        <v>4320.0</v>
      </c>
      <c r="C78" s="443"/>
      <c r="D78" s="285">
        <v>0.0</v>
      </c>
      <c r="E78" s="444" t="s">
        <v>791</v>
      </c>
      <c r="F78" s="445" t="s">
        <v>792</v>
      </c>
      <c r="G78" s="445" t="s">
        <v>793</v>
      </c>
      <c r="H78" s="443"/>
      <c r="I78" s="446">
        <v>36197.0</v>
      </c>
      <c r="J78" s="447">
        <v>45782.0</v>
      </c>
      <c r="K78" s="350" t="str">
        <f>IFERROR(__xludf.DUMMYFUNCTION("VLOOKUP(TRIM(E78), ARRAYFORMULA(TRIM(IMPORTRANGE(""1J6TM1lO8a31d96YF89fby9ySWcPcCBlFT37fwLDeDG0"", ""PKR-August 2025!C:Z""))), 5, FALSE)"),"")</f>
        <v/>
      </c>
      <c r="L78" s="302">
        <v>31.0</v>
      </c>
      <c r="M78" s="350">
        <v>45870.0</v>
      </c>
      <c r="N78" s="350">
        <v>45900.0</v>
      </c>
      <c r="O78" s="290">
        <f t="shared" si="1"/>
        <v>370</v>
      </c>
      <c r="P78" s="290">
        <f t="shared" si="2"/>
        <v>1850</v>
      </c>
      <c r="Q78" s="290">
        <f t="shared" si="3"/>
        <v>2220</v>
      </c>
    </row>
    <row r="79">
      <c r="A79" s="410" t="s">
        <v>16</v>
      </c>
      <c r="B79" s="411">
        <v>4320.0</v>
      </c>
      <c r="C79" s="443"/>
      <c r="D79" s="285">
        <v>0.0</v>
      </c>
      <c r="E79" s="444" t="s">
        <v>794</v>
      </c>
      <c r="F79" s="445" t="s">
        <v>795</v>
      </c>
      <c r="G79" s="445" t="s">
        <v>796</v>
      </c>
      <c r="H79" s="443"/>
      <c r="I79" s="446">
        <v>36857.0</v>
      </c>
      <c r="J79" s="446">
        <v>45775.0</v>
      </c>
      <c r="K79" s="350" t="str">
        <f>IFERROR(__xludf.DUMMYFUNCTION("VLOOKUP(TRIM(E79), ARRAYFORMULA(TRIM(IMPORTRANGE(""1J6TM1lO8a31d96YF89fby9ySWcPcCBlFT37fwLDeDG0"", ""PKR-August 2025!C:Z""))), 5, FALSE)"),"")</f>
        <v/>
      </c>
      <c r="L79" s="302">
        <v>31.0</v>
      </c>
      <c r="M79" s="350">
        <v>45870.0</v>
      </c>
      <c r="N79" s="350">
        <v>45900.0</v>
      </c>
      <c r="O79" s="290">
        <f t="shared" si="1"/>
        <v>370</v>
      </c>
      <c r="P79" s="290">
        <f t="shared" si="2"/>
        <v>1850</v>
      </c>
      <c r="Q79" s="290">
        <f t="shared" si="3"/>
        <v>2220</v>
      </c>
    </row>
    <row r="80">
      <c r="A80" s="410" t="s">
        <v>16</v>
      </c>
      <c r="B80" s="411">
        <v>4320.0</v>
      </c>
      <c r="C80" s="443"/>
      <c r="D80" s="285">
        <v>0.0</v>
      </c>
      <c r="E80" s="444" t="s">
        <v>797</v>
      </c>
      <c r="F80" s="445" t="s">
        <v>798</v>
      </c>
      <c r="G80" s="445" t="s">
        <v>799</v>
      </c>
      <c r="H80" s="443"/>
      <c r="I80" s="446">
        <v>37709.0</v>
      </c>
      <c r="J80" s="447">
        <v>45789.0</v>
      </c>
      <c r="K80" s="350" t="str">
        <f>IFERROR(__xludf.DUMMYFUNCTION("VLOOKUP(TRIM(E80), ARRAYFORMULA(TRIM(IMPORTRANGE(""1J6TM1lO8a31d96YF89fby9ySWcPcCBlFT37fwLDeDG0"", ""PKR-August 2025!C:Z""))), 5, FALSE)"),"")</f>
        <v/>
      </c>
      <c r="L80" s="302">
        <v>31.0</v>
      </c>
      <c r="M80" s="350">
        <v>45870.0</v>
      </c>
      <c r="N80" s="350">
        <v>45900.0</v>
      </c>
      <c r="O80" s="290">
        <f t="shared" si="1"/>
        <v>370</v>
      </c>
      <c r="P80" s="290">
        <f t="shared" si="2"/>
        <v>1850</v>
      </c>
      <c r="Q80" s="290">
        <f t="shared" si="3"/>
        <v>2220</v>
      </c>
    </row>
    <row r="81">
      <c r="A81" s="410" t="s">
        <v>16</v>
      </c>
      <c r="B81" s="411">
        <v>4320.0</v>
      </c>
      <c r="C81" s="443"/>
      <c r="D81" s="285">
        <v>0.0</v>
      </c>
      <c r="E81" s="444" t="s">
        <v>800</v>
      </c>
      <c r="F81" s="445" t="s">
        <v>801</v>
      </c>
      <c r="G81" s="445" t="s">
        <v>802</v>
      </c>
      <c r="H81" s="443"/>
      <c r="I81" s="446">
        <v>36939.0</v>
      </c>
      <c r="J81" s="447">
        <v>45789.0</v>
      </c>
      <c r="K81" s="350" t="str">
        <f>IFERROR(__xludf.DUMMYFUNCTION("VLOOKUP(TRIM(E81), ARRAYFORMULA(TRIM(IMPORTRANGE(""1J6TM1lO8a31d96YF89fby9ySWcPcCBlFT37fwLDeDG0"", ""PKR-August 2025!C:Z""))), 5, FALSE)"),"")</f>
        <v/>
      </c>
      <c r="L81" s="302">
        <v>31.0</v>
      </c>
      <c r="M81" s="350">
        <v>45870.0</v>
      </c>
      <c r="N81" s="350">
        <v>45900.0</v>
      </c>
      <c r="O81" s="290">
        <f t="shared" si="1"/>
        <v>370</v>
      </c>
      <c r="P81" s="290">
        <f t="shared" si="2"/>
        <v>1850</v>
      </c>
      <c r="Q81" s="290">
        <f t="shared" si="3"/>
        <v>2220</v>
      </c>
    </row>
    <row r="82">
      <c r="A82" s="410" t="s">
        <v>16</v>
      </c>
      <c r="B82" s="411">
        <v>4320.0</v>
      </c>
      <c r="C82" s="443"/>
      <c r="D82" s="285">
        <v>0.0</v>
      </c>
      <c r="E82" s="444" t="s">
        <v>806</v>
      </c>
      <c r="F82" s="445" t="s">
        <v>807</v>
      </c>
      <c r="G82" s="445" t="s">
        <v>808</v>
      </c>
      <c r="H82" s="443"/>
      <c r="I82" s="446">
        <v>36061.0</v>
      </c>
      <c r="J82" s="447">
        <v>45796.0</v>
      </c>
      <c r="K82" s="350" t="str">
        <f>IFERROR(__xludf.DUMMYFUNCTION("VLOOKUP(TRIM(E82), ARRAYFORMULA(TRIM(IMPORTRANGE(""1J6TM1lO8a31d96YF89fby9ySWcPcCBlFT37fwLDeDG0"", ""PKR-August 2025!C:Z""))), 5, FALSE)"),"")</f>
        <v/>
      </c>
      <c r="L82" s="302">
        <v>31.0</v>
      </c>
      <c r="M82" s="350">
        <v>45870.0</v>
      </c>
      <c r="N82" s="350">
        <v>45900.0</v>
      </c>
      <c r="O82" s="290">
        <f t="shared" si="1"/>
        <v>370</v>
      </c>
      <c r="P82" s="290">
        <f t="shared" si="2"/>
        <v>1850</v>
      </c>
      <c r="Q82" s="290">
        <f t="shared" si="3"/>
        <v>2220</v>
      </c>
    </row>
    <row r="83">
      <c r="A83" s="410" t="s">
        <v>16</v>
      </c>
      <c r="B83" s="411">
        <v>4320.0</v>
      </c>
      <c r="C83" s="443"/>
      <c r="D83" s="285">
        <v>0.0</v>
      </c>
      <c r="E83" s="444" t="s">
        <v>809</v>
      </c>
      <c r="F83" s="445" t="s">
        <v>810</v>
      </c>
      <c r="G83" s="445" t="s">
        <v>811</v>
      </c>
      <c r="H83" s="443"/>
      <c r="I83" s="446">
        <v>35148.0</v>
      </c>
      <c r="J83" s="446">
        <v>45775.0</v>
      </c>
      <c r="K83" s="350" t="str">
        <f>IFERROR(__xludf.DUMMYFUNCTION("VLOOKUP(TRIM(E83), ARRAYFORMULA(TRIM(IMPORTRANGE(""1J6TM1lO8a31d96YF89fby9ySWcPcCBlFT37fwLDeDG0"", ""PKR-August 2025!C:Z""))), 5, FALSE)"),"")</f>
        <v/>
      </c>
      <c r="L83" s="302">
        <v>31.0</v>
      </c>
      <c r="M83" s="350">
        <v>45870.0</v>
      </c>
      <c r="N83" s="350">
        <v>45900.0</v>
      </c>
      <c r="O83" s="290">
        <f t="shared" si="1"/>
        <v>370</v>
      </c>
      <c r="P83" s="290">
        <f t="shared" si="2"/>
        <v>1850</v>
      </c>
      <c r="Q83" s="290">
        <f t="shared" si="3"/>
        <v>2220</v>
      </c>
    </row>
    <row r="84">
      <c r="A84" s="410" t="s">
        <v>16</v>
      </c>
      <c r="B84" s="411">
        <v>4320.0</v>
      </c>
      <c r="C84" s="443"/>
      <c r="D84" s="285">
        <v>0.0</v>
      </c>
      <c r="E84" s="444" t="s">
        <v>812</v>
      </c>
      <c r="F84" s="445" t="s">
        <v>813</v>
      </c>
      <c r="G84" s="445" t="s">
        <v>814</v>
      </c>
      <c r="H84" s="443"/>
      <c r="I84" s="446">
        <v>37940.0</v>
      </c>
      <c r="J84" s="446">
        <v>45775.0</v>
      </c>
      <c r="K84" s="350" t="str">
        <f>IFERROR(__xludf.DUMMYFUNCTION("VLOOKUP(TRIM(E84), ARRAYFORMULA(TRIM(IMPORTRANGE(""1J6TM1lO8a31d96YF89fby9ySWcPcCBlFT37fwLDeDG0"", ""PKR-August 2025!C:Z""))), 5, FALSE)"),"")</f>
        <v/>
      </c>
      <c r="L84" s="302">
        <v>31.0</v>
      </c>
      <c r="M84" s="350">
        <v>45870.0</v>
      </c>
      <c r="N84" s="350">
        <v>45900.0</v>
      </c>
      <c r="O84" s="290">
        <f t="shared" si="1"/>
        <v>370</v>
      </c>
      <c r="P84" s="290">
        <f t="shared" si="2"/>
        <v>1850</v>
      </c>
      <c r="Q84" s="290">
        <f t="shared" si="3"/>
        <v>2220</v>
      </c>
    </row>
    <row r="85">
      <c r="A85" s="410" t="s">
        <v>16</v>
      </c>
      <c r="B85" s="411">
        <v>4320.0</v>
      </c>
      <c r="C85" s="443"/>
      <c r="D85" s="285">
        <v>0.0</v>
      </c>
      <c r="E85" s="444" t="s">
        <v>629</v>
      </c>
      <c r="F85" s="445" t="s">
        <v>815</v>
      </c>
      <c r="G85" s="445" t="s">
        <v>631</v>
      </c>
      <c r="H85" s="445" t="s">
        <v>763</v>
      </c>
      <c r="I85" s="446">
        <v>34807.0</v>
      </c>
      <c r="J85" s="447">
        <v>45778.0</v>
      </c>
      <c r="K85" s="350" t="str">
        <f>IFERROR(__xludf.DUMMYFUNCTION("VLOOKUP(TRIM(E85), ARRAYFORMULA(TRIM(IMPORTRANGE(""1J6TM1lO8a31d96YF89fby9ySWcPcCBlFT37fwLDeDG0"", ""PKR-August 2025!C:Z""))), 5, FALSE)"),"")</f>
        <v/>
      </c>
      <c r="L85" s="302">
        <v>31.0</v>
      </c>
      <c r="M85" s="350">
        <v>45870.0</v>
      </c>
      <c r="N85" s="350">
        <v>45900.0</v>
      </c>
      <c r="O85" s="290">
        <f t="shared" si="1"/>
        <v>370</v>
      </c>
      <c r="P85" s="290">
        <f t="shared" si="2"/>
        <v>1850</v>
      </c>
      <c r="Q85" s="290">
        <f t="shared" si="3"/>
        <v>2220</v>
      </c>
    </row>
    <row r="86">
      <c r="A86" s="410" t="s">
        <v>16</v>
      </c>
      <c r="B86" s="411">
        <v>4320.0</v>
      </c>
      <c r="C86" s="443"/>
      <c r="D86" s="285">
        <v>0.0</v>
      </c>
      <c r="E86" s="444" t="s">
        <v>924</v>
      </c>
      <c r="F86" s="445" t="s">
        <v>627</v>
      </c>
      <c r="G86" s="445" t="s">
        <v>628</v>
      </c>
      <c r="H86" s="443"/>
      <c r="I86" s="446">
        <v>35257.0</v>
      </c>
      <c r="J86" s="447">
        <v>45778.0</v>
      </c>
      <c r="K86" s="350" t="str">
        <f>IFERROR(__xludf.DUMMYFUNCTION("VLOOKUP(TRIM(E86), ARRAYFORMULA(TRIM(IMPORTRANGE(""1J6TM1lO8a31d96YF89fby9ySWcPcCBlFT37fwLDeDG0"", ""PKR-August 2025!C:Z""))), 5, FALSE)"),"")</f>
        <v/>
      </c>
      <c r="L86" s="302">
        <v>31.0</v>
      </c>
      <c r="M86" s="350">
        <v>45870.0</v>
      </c>
      <c r="N86" s="350">
        <v>45900.0</v>
      </c>
      <c r="O86" s="290">
        <f t="shared" si="1"/>
        <v>370</v>
      </c>
      <c r="P86" s="290">
        <f t="shared" si="2"/>
        <v>1850</v>
      </c>
      <c r="Q86" s="290">
        <f t="shared" si="3"/>
        <v>2220</v>
      </c>
    </row>
    <row r="87">
      <c r="A87" s="410" t="s">
        <v>16</v>
      </c>
      <c r="B87" s="411">
        <v>4320.0</v>
      </c>
      <c r="C87" s="443"/>
      <c r="D87" s="285">
        <v>0.0</v>
      </c>
      <c r="E87" s="444" t="s">
        <v>606</v>
      </c>
      <c r="F87" s="445" t="s">
        <v>607</v>
      </c>
      <c r="G87" s="445" t="s">
        <v>608</v>
      </c>
      <c r="H87" s="443"/>
      <c r="I87" s="446">
        <v>33844.0</v>
      </c>
      <c r="J87" s="447">
        <v>45778.0</v>
      </c>
      <c r="K87" s="350" t="str">
        <f>IFERROR(__xludf.DUMMYFUNCTION("VLOOKUP(TRIM(E87), ARRAYFORMULA(TRIM(IMPORTRANGE(""1J6TM1lO8a31d96YF89fby9ySWcPcCBlFT37fwLDeDG0"", ""PKR-August 2025!C:Z""))), 5, FALSE)"),"")</f>
        <v/>
      </c>
      <c r="L87" s="302">
        <v>31.0</v>
      </c>
      <c r="M87" s="350">
        <v>45870.0</v>
      </c>
      <c r="N87" s="350">
        <v>45900.0</v>
      </c>
      <c r="O87" s="290">
        <f t="shared" si="1"/>
        <v>370</v>
      </c>
      <c r="P87" s="290">
        <f t="shared" si="2"/>
        <v>1850</v>
      </c>
      <c r="Q87" s="290">
        <f t="shared" si="3"/>
        <v>2220</v>
      </c>
    </row>
    <row r="88">
      <c r="A88" s="410" t="s">
        <v>16</v>
      </c>
      <c r="B88" s="411">
        <v>4320.0</v>
      </c>
      <c r="C88" s="443"/>
      <c r="D88" s="285">
        <v>0.0</v>
      </c>
      <c r="E88" s="444" t="s">
        <v>817</v>
      </c>
      <c r="F88" s="445" t="s">
        <v>637</v>
      </c>
      <c r="G88" s="445" t="s">
        <v>638</v>
      </c>
      <c r="H88" s="443"/>
      <c r="I88" s="446">
        <v>36720.0</v>
      </c>
      <c r="J88" s="447">
        <v>45778.0</v>
      </c>
      <c r="K88" s="350" t="str">
        <f>IFERROR(__xludf.DUMMYFUNCTION("VLOOKUP(TRIM(E88), ARRAYFORMULA(TRIM(IMPORTRANGE(""1J6TM1lO8a31d96YF89fby9ySWcPcCBlFT37fwLDeDG0"", ""PKR-August 2025!C:Z""))), 5, FALSE)"),"")</f>
        <v/>
      </c>
      <c r="L88" s="302">
        <v>31.0</v>
      </c>
      <c r="M88" s="350">
        <v>45870.0</v>
      </c>
      <c r="N88" s="350">
        <v>45900.0</v>
      </c>
      <c r="O88" s="290">
        <f t="shared" si="1"/>
        <v>370</v>
      </c>
      <c r="P88" s="290">
        <f t="shared" si="2"/>
        <v>1850</v>
      </c>
      <c r="Q88" s="290">
        <f t="shared" si="3"/>
        <v>2220</v>
      </c>
    </row>
    <row r="89">
      <c r="A89" s="410" t="s">
        <v>16</v>
      </c>
      <c r="B89" s="411">
        <v>4320.0</v>
      </c>
      <c r="C89" s="443"/>
      <c r="D89" s="285">
        <v>0.0</v>
      </c>
      <c r="E89" s="444" t="s">
        <v>676</v>
      </c>
      <c r="F89" s="445" t="s">
        <v>677</v>
      </c>
      <c r="G89" s="445" t="s">
        <v>678</v>
      </c>
      <c r="H89" s="443"/>
      <c r="I89" s="446">
        <v>36107.0</v>
      </c>
      <c r="J89" s="447">
        <v>45778.0</v>
      </c>
      <c r="K89" s="350" t="str">
        <f>IFERROR(__xludf.DUMMYFUNCTION("VLOOKUP(TRIM(E89), ARRAYFORMULA(TRIM(IMPORTRANGE(""1J6TM1lO8a31d96YF89fby9ySWcPcCBlFT37fwLDeDG0"", ""PKR-August 2025!C:Z""))), 5, FALSE)"),"")</f>
        <v/>
      </c>
      <c r="L89" s="302">
        <v>31.0</v>
      </c>
      <c r="M89" s="350">
        <v>45870.0</v>
      </c>
      <c r="N89" s="350">
        <v>45900.0</v>
      </c>
      <c r="O89" s="290">
        <f t="shared" si="1"/>
        <v>370</v>
      </c>
      <c r="P89" s="290">
        <f t="shared" si="2"/>
        <v>1850</v>
      </c>
      <c r="Q89" s="290">
        <f t="shared" si="3"/>
        <v>2220</v>
      </c>
    </row>
    <row r="90">
      <c r="A90" s="490" t="s">
        <v>16</v>
      </c>
      <c r="B90" s="491">
        <v>4320.0</v>
      </c>
      <c r="C90" s="538"/>
      <c r="D90" s="424">
        <v>0.0</v>
      </c>
      <c r="E90" s="539" t="s">
        <v>845</v>
      </c>
      <c r="F90" s="595" t="s">
        <v>846</v>
      </c>
      <c r="G90" s="595" t="s">
        <v>847</v>
      </c>
      <c r="H90" s="596"/>
      <c r="I90" s="597">
        <v>34794.0</v>
      </c>
      <c r="J90" s="598">
        <v>45809.0</v>
      </c>
      <c r="K90" s="350" t="str">
        <f>IFERROR(__xludf.DUMMYFUNCTION("VLOOKUP(TRIM(E90), ARRAYFORMULA(TRIM(IMPORTRANGE(""1J6TM1lO8a31d96YF89fby9ySWcPcCBlFT37fwLDeDG0"", ""PKR-August 2025!C:Z""))), 5, FALSE)"),"27-Aug-2025")</f>
        <v>27-Aug-2025</v>
      </c>
      <c r="L90" s="428">
        <v>27.0</v>
      </c>
      <c r="M90" s="599">
        <v>45870.0</v>
      </c>
      <c r="N90" s="429">
        <v>45900.0</v>
      </c>
      <c r="O90" s="290">
        <f t="shared" si="1"/>
        <v>323</v>
      </c>
      <c r="P90" s="290">
        <f t="shared" si="2"/>
        <v>1615</v>
      </c>
      <c r="Q90" s="290">
        <f t="shared" si="3"/>
        <v>1938</v>
      </c>
      <c r="R90" s="48"/>
      <c r="S90" s="48"/>
      <c r="T90" s="48"/>
      <c r="U90" s="48"/>
      <c r="V90" s="48"/>
      <c r="W90" s="48"/>
      <c r="X90" s="48"/>
    </row>
    <row r="91">
      <c r="A91" s="410" t="s">
        <v>16</v>
      </c>
      <c r="B91" s="411">
        <v>4320.0</v>
      </c>
      <c r="C91" s="443"/>
      <c r="D91" s="285">
        <v>0.0</v>
      </c>
      <c r="E91" s="600" t="s">
        <v>848</v>
      </c>
      <c r="F91" s="574" t="s">
        <v>849</v>
      </c>
      <c r="G91" s="574" t="s">
        <v>850</v>
      </c>
      <c r="I91" s="508">
        <v>33637.0</v>
      </c>
      <c r="J91" s="504">
        <v>45809.0</v>
      </c>
      <c r="K91" s="350" t="str">
        <f>IFERROR(__xludf.DUMMYFUNCTION("VLOOKUP(TRIM(E91), ARRAYFORMULA(TRIM(IMPORTRANGE(""1J6TM1lO8a31d96YF89fby9ySWcPcCBlFT37fwLDeDG0"", ""PKR-August 2025!C:Z""))), 5, FALSE)"),"")</f>
        <v/>
      </c>
      <c r="L91" s="302">
        <v>31.0</v>
      </c>
      <c r="M91" s="601">
        <v>45870.0</v>
      </c>
      <c r="N91" s="350">
        <v>45900.0</v>
      </c>
      <c r="O91" s="290">
        <f t="shared" si="1"/>
        <v>370</v>
      </c>
      <c r="P91" s="290">
        <f t="shared" si="2"/>
        <v>1850</v>
      </c>
      <c r="Q91" s="290">
        <f t="shared" si="3"/>
        <v>2220</v>
      </c>
    </row>
    <row r="92">
      <c r="A92" s="410" t="s">
        <v>16</v>
      </c>
      <c r="B92" s="411">
        <v>4320.0</v>
      </c>
      <c r="C92" s="443"/>
      <c r="D92" s="285">
        <v>0.0</v>
      </c>
      <c r="E92" s="602" t="s">
        <v>851</v>
      </c>
      <c r="F92" s="580" t="s">
        <v>852</v>
      </c>
      <c r="G92" s="580" t="s">
        <v>853</v>
      </c>
      <c r="I92" s="509">
        <v>36113.0</v>
      </c>
      <c r="J92" s="509">
        <v>45810.0</v>
      </c>
      <c r="K92" s="350" t="str">
        <f>IFERROR(__xludf.DUMMYFUNCTION("VLOOKUP(TRIM(E92), ARRAYFORMULA(TRIM(IMPORTRANGE(""1J6TM1lO8a31d96YF89fby9ySWcPcCBlFT37fwLDeDG0"", ""PKR-August 2025!C:Z""))), 5, FALSE)"),"")</f>
        <v/>
      </c>
      <c r="L92" s="302">
        <v>31.0</v>
      </c>
      <c r="M92" s="601">
        <v>45870.0</v>
      </c>
      <c r="N92" s="350">
        <v>45900.0</v>
      </c>
      <c r="O92" s="290">
        <f t="shared" si="1"/>
        <v>370</v>
      </c>
      <c r="P92" s="290">
        <f t="shared" si="2"/>
        <v>1850</v>
      </c>
      <c r="Q92" s="290">
        <f t="shared" si="3"/>
        <v>2220</v>
      </c>
    </row>
    <row r="93">
      <c r="A93" s="410" t="s">
        <v>16</v>
      </c>
      <c r="B93" s="411">
        <v>4320.0</v>
      </c>
      <c r="C93" s="443"/>
      <c r="D93" s="285">
        <v>0.0</v>
      </c>
      <c r="E93" s="600" t="s">
        <v>854</v>
      </c>
      <c r="F93" s="574" t="s">
        <v>855</v>
      </c>
      <c r="G93" s="574" t="s">
        <v>856</v>
      </c>
      <c r="I93" s="509">
        <v>36059.0</v>
      </c>
      <c r="J93" s="509">
        <v>45810.0</v>
      </c>
      <c r="K93" s="350" t="str">
        <f>IFERROR(__xludf.DUMMYFUNCTION("VLOOKUP(TRIM(E93), ARRAYFORMULA(TRIM(IMPORTRANGE(""1J6TM1lO8a31d96YF89fby9ySWcPcCBlFT37fwLDeDG0"", ""PKR-August 2025!C:Z""))), 5, FALSE)"),"")</f>
        <v/>
      </c>
      <c r="L93" s="302">
        <v>31.0</v>
      </c>
      <c r="M93" s="601">
        <v>45870.0</v>
      </c>
      <c r="N93" s="350">
        <v>45900.0</v>
      </c>
      <c r="O93" s="290">
        <f t="shared" si="1"/>
        <v>370</v>
      </c>
      <c r="P93" s="290">
        <f t="shared" si="2"/>
        <v>1850</v>
      </c>
      <c r="Q93" s="290">
        <f t="shared" si="3"/>
        <v>2220</v>
      </c>
      <c r="R93" s="359"/>
      <c r="S93" s="360"/>
      <c r="T93" s="360"/>
      <c r="U93" s="360"/>
      <c r="V93" s="360"/>
      <c r="W93" s="360"/>
      <c r="X93" s="360"/>
    </row>
    <row r="94">
      <c r="A94" s="410" t="s">
        <v>16</v>
      </c>
      <c r="B94" s="411">
        <v>4320.0</v>
      </c>
      <c r="C94" s="443"/>
      <c r="D94" s="285">
        <v>0.0</v>
      </c>
      <c r="E94" s="602" t="s">
        <v>860</v>
      </c>
      <c r="F94" s="580" t="s">
        <v>861</v>
      </c>
      <c r="G94" s="580" t="s">
        <v>862</v>
      </c>
      <c r="I94" s="509">
        <v>36176.0</v>
      </c>
      <c r="J94" s="509">
        <v>45810.0</v>
      </c>
      <c r="K94" s="350" t="str">
        <f>IFERROR(__xludf.DUMMYFUNCTION("VLOOKUP(TRIM(E94), ARRAYFORMULA(TRIM(IMPORTRANGE(""1J6TM1lO8a31d96YF89fby9ySWcPcCBlFT37fwLDeDG0"", ""PKR-August 2025!C:Z""))), 5, FALSE)"),"")</f>
        <v/>
      </c>
      <c r="L94" s="302">
        <v>31.0</v>
      </c>
      <c r="M94" s="601">
        <v>45870.0</v>
      </c>
      <c r="N94" s="350">
        <v>45900.0</v>
      </c>
      <c r="O94" s="290">
        <f t="shared" si="1"/>
        <v>370</v>
      </c>
      <c r="P94" s="290">
        <f t="shared" si="2"/>
        <v>1850</v>
      </c>
      <c r="Q94" s="290">
        <f t="shared" si="3"/>
        <v>2220</v>
      </c>
      <c r="R94" s="359"/>
      <c r="S94" s="360"/>
      <c r="T94" s="360"/>
      <c r="U94" s="360"/>
      <c r="V94" s="360"/>
      <c r="W94" s="360"/>
      <c r="X94" s="360"/>
    </row>
    <row r="95">
      <c r="A95" s="410" t="s">
        <v>16</v>
      </c>
      <c r="B95" s="411">
        <v>4320.0</v>
      </c>
      <c r="C95" s="443"/>
      <c r="D95" s="285">
        <v>0.0</v>
      </c>
      <c r="E95" s="600" t="s">
        <v>863</v>
      </c>
      <c r="F95" s="574" t="s">
        <v>864</v>
      </c>
      <c r="G95" s="574" t="s">
        <v>865</v>
      </c>
      <c r="I95" s="509">
        <v>36175.0</v>
      </c>
      <c r="J95" s="509">
        <v>45824.0</v>
      </c>
      <c r="K95" s="350" t="str">
        <f>IFERROR(__xludf.DUMMYFUNCTION("VLOOKUP(TRIM(E95), ARRAYFORMULA(TRIM(IMPORTRANGE(""1J6TM1lO8a31d96YF89fby9ySWcPcCBlFT37fwLDeDG0"", ""PKR-August 2025!C:Z""))), 5, FALSE)"),"")</f>
        <v/>
      </c>
      <c r="L95" s="302">
        <v>31.0</v>
      </c>
      <c r="M95" s="601">
        <v>45870.0</v>
      </c>
      <c r="N95" s="350">
        <v>45900.0</v>
      </c>
      <c r="O95" s="290">
        <f t="shared" si="1"/>
        <v>370</v>
      </c>
      <c r="P95" s="290">
        <f t="shared" si="2"/>
        <v>1850</v>
      </c>
      <c r="Q95" s="290">
        <f t="shared" si="3"/>
        <v>2220</v>
      </c>
      <c r="R95" s="359"/>
      <c r="S95" s="360"/>
      <c r="T95" s="360"/>
      <c r="U95" s="360"/>
      <c r="V95" s="360"/>
      <c r="W95" s="360"/>
      <c r="X95" s="360"/>
    </row>
    <row r="96">
      <c r="A96" s="410" t="s">
        <v>16</v>
      </c>
      <c r="B96" s="411">
        <v>4320.0</v>
      </c>
      <c r="C96" s="443"/>
      <c r="D96" s="285">
        <v>0.0</v>
      </c>
      <c r="E96" s="602" t="s">
        <v>866</v>
      </c>
      <c r="F96" s="580" t="s">
        <v>867</v>
      </c>
      <c r="G96" s="580" t="s">
        <v>868</v>
      </c>
      <c r="I96" s="509">
        <v>36180.0</v>
      </c>
      <c r="J96" s="509">
        <v>45824.0</v>
      </c>
      <c r="K96" s="350" t="str">
        <f>IFERROR(__xludf.DUMMYFUNCTION("VLOOKUP(TRIM(E96), ARRAYFORMULA(TRIM(IMPORTRANGE(""1J6TM1lO8a31d96YF89fby9ySWcPcCBlFT37fwLDeDG0"", ""PKR-August 2025!C:Z""))), 5, FALSE)"),"")</f>
        <v/>
      </c>
      <c r="L96" s="302">
        <v>31.0</v>
      </c>
      <c r="M96" s="601">
        <v>45870.0</v>
      </c>
      <c r="N96" s="350">
        <v>45900.0</v>
      </c>
      <c r="O96" s="290">
        <f t="shared" si="1"/>
        <v>370</v>
      </c>
      <c r="P96" s="290">
        <f t="shared" si="2"/>
        <v>1850</v>
      </c>
      <c r="Q96" s="290">
        <f t="shared" si="3"/>
        <v>2220</v>
      </c>
      <c r="R96" s="360"/>
      <c r="S96" s="360"/>
      <c r="T96" s="360"/>
      <c r="U96" s="360"/>
      <c r="V96" s="360"/>
      <c r="W96" s="360"/>
      <c r="X96" s="360"/>
    </row>
    <row r="97">
      <c r="A97" s="410" t="s">
        <v>16</v>
      </c>
      <c r="B97" s="411">
        <v>4320.0</v>
      </c>
      <c r="C97" s="443"/>
      <c r="D97" s="285">
        <v>0.0</v>
      </c>
      <c r="E97" s="600" t="s">
        <v>869</v>
      </c>
      <c r="F97" s="574" t="s">
        <v>870</v>
      </c>
      <c r="G97" s="574" t="s">
        <v>871</v>
      </c>
      <c r="I97" s="509">
        <v>36585.0</v>
      </c>
      <c r="J97" s="509">
        <v>45824.0</v>
      </c>
      <c r="K97" s="350" t="str">
        <f>IFERROR(__xludf.DUMMYFUNCTION("VLOOKUP(TRIM(E97), ARRAYFORMULA(TRIM(IMPORTRANGE(""1J6TM1lO8a31d96YF89fby9ySWcPcCBlFT37fwLDeDG0"", ""PKR-August 2025!C:Z""))), 5, FALSE)"),"")</f>
        <v/>
      </c>
      <c r="L97" s="302">
        <v>31.0</v>
      </c>
      <c r="M97" s="601">
        <v>45870.0</v>
      </c>
      <c r="N97" s="350">
        <v>45900.0</v>
      </c>
      <c r="O97" s="290">
        <f t="shared" si="1"/>
        <v>370</v>
      </c>
      <c r="P97" s="290">
        <f t="shared" si="2"/>
        <v>1850</v>
      </c>
      <c r="Q97" s="290">
        <f t="shared" si="3"/>
        <v>2220</v>
      </c>
      <c r="R97" s="360"/>
      <c r="S97" s="360"/>
      <c r="T97" s="360"/>
      <c r="U97" s="360"/>
      <c r="V97" s="360"/>
      <c r="W97" s="360"/>
      <c r="X97" s="360"/>
    </row>
    <row r="98">
      <c r="A98" s="410" t="s">
        <v>16</v>
      </c>
      <c r="B98" s="411">
        <v>4320.0</v>
      </c>
      <c r="C98" s="443"/>
      <c r="D98" s="285">
        <v>0.0</v>
      </c>
      <c r="E98" s="602" t="s">
        <v>872</v>
      </c>
      <c r="F98" s="580" t="s">
        <v>873</v>
      </c>
      <c r="G98" s="580" t="s">
        <v>874</v>
      </c>
      <c r="I98" s="509">
        <v>35415.0</v>
      </c>
      <c r="J98" s="509">
        <v>45831.0</v>
      </c>
      <c r="K98" s="350" t="str">
        <f>IFERROR(__xludf.DUMMYFUNCTION("VLOOKUP(TRIM(E98), ARRAYFORMULA(TRIM(IMPORTRANGE(""1J6TM1lO8a31d96YF89fby9ySWcPcCBlFT37fwLDeDG0"", ""PKR-August 2025!C:Z""))), 5, FALSE)"),"")</f>
        <v/>
      </c>
      <c r="L98" s="302">
        <v>31.0</v>
      </c>
      <c r="M98" s="601">
        <v>45870.0</v>
      </c>
      <c r="N98" s="350">
        <v>45900.0</v>
      </c>
      <c r="O98" s="290">
        <f t="shared" si="1"/>
        <v>370</v>
      </c>
      <c r="P98" s="290">
        <f t="shared" si="2"/>
        <v>1850</v>
      </c>
      <c r="Q98" s="290">
        <f t="shared" si="3"/>
        <v>2220</v>
      </c>
    </row>
    <row r="99">
      <c r="A99" s="490" t="s">
        <v>16</v>
      </c>
      <c r="B99" s="491">
        <v>4320.0</v>
      </c>
      <c r="C99" s="538"/>
      <c r="D99" s="424">
        <v>0.0</v>
      </c>
      <c r="E99" s="539" t="s">
        <v>875</v>
      </c>
      <c r="F99" s="540" t="s">
        <v>876</v>
      </c>
      <c r="G99" s="540" t="s">
        <v>877</v>
      </c>
      <c r="H99" s="603"/>
      <c r="I99" s="598">
        <v>37517.0</v>
      </c>
      <c r="J99" s="598">
        <v>45831.0</v>
      </c>
      <c r="K99" s="429">
        <v>45869.0</v>
      </c>
      <c r="L99" s="428">
        <v>31.0</v>
      </c>
      <c r="M99" s="599">
        <v>45870.0</v>
      </c>
      <c r="N99" s="429">
        <v>45900.0</v>
      </c>
      <c r="O99" s="290">
        <f t="shared" si="1"/>
        <v>370</v>
      </c>
      <c r="P99" s="290">
        <f t="shared" si="2"/>
        <v>1850</v>
      </c>
      <c r="Q99" s="290">
        <f t="shared" si="3"/>
        <v>2220</v>
      </c>
      <c r="R99" s="48"/>
      <c r="S99" s="48"/>
      <c r="T99" s="48"/>
      <c r="U99" s="48"/>
      <c r="V99" s="48"/>
      <c r="W99" s="48"/>
      <c r="X99" s="48"/>
    </row>
    <row r="100">
      <c r="A100" s="410" t="s">
        <v>16</v>
      </c>
      <c r="B100" s="411">
        <v>4320.0</v>
      </c>
      <c r="C100" s="443"/>
      <c r="D100" s="285">
        <v>0.0</v>
      </c>
      <c r="E100" s="602" t="s">
        <v>878</v>
      </c>
      <c r="F100" s="580" t="s">
        <v>879</v>
      </c>
      <c r="G100" s="580" t="s">
        <v>880</v>
      </c>
      <c r="H100" s="66"/>
      <c r="I100" s="504">
        <v>34912.0</v>
      </c>
      <c r="J100" s="504">
        <v>45831.0</v>
      </c>
      <c r="K100" s="350" t="str">
        <f>IFERROR(__xludf.DUMMYFUNCTION("VLOOKUP(TRIM(E100), ARRAYFORMULA(TRIM(IMPORTRANGE(""1J6TM1lO8a31d96YF89fby9ySWcPcCBlFT37fwLDeDG0"", ""PKR-August 2025!C:Z""))), 5, FALSE)"),"")</f>
        <v/>
      </c>
      <c r="L100" s="302">
        <v>31.0</v>
      </c>
      <c r="M100" s="601">
        <v>45870.0</v>
      </c>
      <c r="N100" s="350">
        <v>45900.0</v>
      </c>
      <c r="O100" s="290">
        <f t="shared" si="1"/>
        <v>370</v>
      </c>
      <c r="P100" s="290">
        <f t="shared" si="2"/>
        <v>1850</v>
      </c>
      <c r="Q100" s="290">
        <f t="shared" si="3"/>
        <v>2220</v>
      </c>
    </row>
    <row r="101">
      <c r="A101" s="410" t="s">
        <v>16</v>
      </c>
      <c r="B101" s="411">
        <v>4320.0</v>
      </c>
      <c r="C101" s="443"/>
      <c r="D101" s="285">
        <v>0.0</v>
      </c>
      <c r="E101" s="600" t="s">
        <v>895</v>
      </c>
      <c r="F101" s="575" t="s">
        <v>896</v>
      </c>
      <c r="G101" s="575" t="s">
        <v>897</v>
      </c>
      <c r="H101" s="66"/>
      <c r="I101" s="504">
        <v>36431.0</v>
      </c>
      <c r="J101" s="547">
        <v>45839.0</v>
      </c>
      <c r="K101" s="350" t="str">
        <f>IFERROR(__xludf.DUMMYFUNCTION("VLOOKUP(TRIM(E101), ARRAYFORMULA(TRIM(IMPORTRANGE(""1J6TM1lO8a31d96YF89fby9ySWcPcCBlFT37fwLDeDG0"", ""PKR-August 2025!C:Z""))), 5, FALSE)"),"")</f>
        <v/>
      </c>
      <c r="L101" s="302">
        <v>31.0</v>
      </c>
      <c r="M101" s="601">
        <v>45870.0</v>
      </c>
      <c r="N101" s="350">
        <v>45900.0</v>
      </c>
      <c r="O101" s="290">
        <f t="shared" si="1"/>
        <v>370</v>
      </c>
      <c r="P101" s="290">
        <f t="shared" si="2"/>
        <v>1850</v>
      </c>
      <c r="Q101" s="290">
        <f t="shared" si="3"/>
        <v>2220</v>
      </c>
    </row>
    <row r="102">
      <c r="A102" s="410" t="s">
        <v>16</v>
      </c>
      <c r="B102" s="411">
        <v>4320.0</v>
      </c>
      <c r="C102" s="443"/>
      <c r="D102" s="285">
        <v>0.0</v>
      </c>
      <c r="E102" s="602" t="s">
        <v>898</v>
      </c>
      <c r="F102" s="581" t="s">
        <v>899</v>
      </c>
      <c r="G102" s="581" t="s">
        <v>900</v>
      </c>
      <c r="I102" s="509">
        <v>37642.0</v>
      </c>
      <c r="J102" s="550">
        <v>45842.0</v>
      </c>
      <c r="K102" s="350" t="str">
        <f>IFERROR(__xludf.DUMMYFUNCTION("VLOOKUP(TRIM(E102), ARRAYFORMULA(TRIM(IMPORTRANGE(""1J6TM1lO8a31d96YF89fby9ySWcPcCBlFT37fwLDeDG0"", ""PKR-August 2025!C:Z""))), 5, FALSE)"),"")</f>
        <v/>
      </c>
      <c r="L102" s="302">
        <v>31.0</v>
      </c>
      <c r="M102" s="601">
        <v>45870.0</v>
      </c>
      <c r="N102" s="350">
        <v>45900.0</v>
      </c>
      <c r="O102" s="290">
        <f t="shared" si="1"/>
        <v>370</v>
      </c>
      <c r="P102" s="290">
        <f t="shared" si="2"/>
        <v>1850</v>
      </c>
      <c r="Q102" s="290">
        <f t="shared" si="3"/>
        <v>2220</v>
      </c>
    </row>
    <row r="103">
      <c r="A103" s="410" t="s">
        <v>16</v>
      </c>
      <c r="B103" s="411">
        <v>4320.0</v>
      </c>
      <c r="C103" s="443"/>
      <c r="D103" s="285">
        <v>0.0</v>
      </c>
      <c r="E103" s="600" t="s">
        <v>901</v>
      </c>
      <c r="F103" s="575" t="s">
        <v>902</v>
      </c>
      <c r="G103" s="575" t="s">
        <v>903</v>
      </c>
      <c r="I103" s="551">
        <v>34878.0</v>
      </c>
      <c r="J103" s="552">
        <v>45845.0</v>
      </c>
      <c r="K103" s="350" t="str">
        <f>IFERROR(__xludf.DUMMYFUNCTION("VLOOKUP(TRIM(E103), ARRAYFORMULA(TRIM(IMPORTRANGE(""1J6TM1lO8a31d96YF89fby9ySWcPcCBlFT37fwLDeDG0"", ""PKR-August 2025!C:Z""))), 5, FALSE)"),"")</f>
        <v/>
      </c>
      <c r="L103" s="302">
        <v>31.0</v>
      </c>
      <c r="M103" s="601">
        <v>45870.0</v>
      </c>
      <c r="N103" s="350">
        <v>45900.0</v>
      </c>
      <c r="O103" s="290">
        <f t="shared" si="1"/>
        <v>370</v>
      </c>
      <c r="P103" s="290">
        <f t="shared" si="2"/>
        <v>1850</v>
      </c>
      <c r="Q103" s="290">
        <f t="shared" si="3"/>
        <v>2220</v>
      </c>
    </row>
    <row r="104">
      <c r="A104" s="410" t="s">
        <v>16</v>
      </c>
      <c r="B104" s="411">
        <v>4320.0</v>
      </c>
      <c r="C104" s="443"/>
      <c r="D104" s="285">
        <v>0.0</v>
      </c>
      <c r="E104" s="602" t="s">
        <v>904</v>
      </c>
      <c r="F104" s="581" t="s">
        <v>905</v>
      </c>
      <c r="G104" s="581" t="s">
        <v>906</v>
      </c>
      <c r="I104" s="553">
        <f>VLOOKUP(E104,'To be uploaded July 2025'!E:K,5,false)</f>
        <v>37326</v>
      </c>
      <c r="J104" s="554">
        <f>VLOOKUP(E104,'To be uploaded July 2025'!E:K,6,false)</f>
        <v>45845</v>
      </c>
      <c r="K104" s="350" t="str">
        <f>IFERROR(__xludf.DUMMYFUNCTION("VLOOKUP(TRIM(E104), ARRAYFORMULA(TRIM(IMPORTRANGE(""1J6TM1lO8a31d96YF89fby9ySWcPcCBlFT37fwLDeDG0"", ""PKR-August 2025!C:Z""))), 5, FALSE)"),"")</f>
        <v/>
      </c>
      <c r="L104" s="302">
        <v>31.0</v>
      </c>
      <c r="M104" s="601">
        <v>45870.0</v>
      </c>
      <c r="N104" s="350">
        <v>45900.0</v>
      </c>
      <c r="O104" s="290">
        <f t="shared" si="1"/>
        <v>370</v>
      </c>
      <c r="P104" s="290">
        <f t="shared" si="2"/>
        <v>1850</v>
      </c>
      <c r="Q104" s="290">
        <f t="shared" si="3"/>
        <v>2220</v>
      </c>
    </row>
    <row r="105">
      <c r="A105" s="410" t="s">
        <v>16</v>
      </c>
      <c r="B105" s="411">
        <v>4320.0</v>
      </c>
      <c r="C105" s="443"/>
      <c r="D105" s="285">
        <v>0.0</v>
      </c>
      <c r="E105" s="600" t="s">
        <v>907</v>
      </c>
      <c r="F105" s="575" t="s">
        <v>908</v>
      </c>
      <c r="G105" s="575" t="s">
        <v>909</v>
      </c>
      <c r="I105" s="553">
        <f>VLOOKUP(E105,'To be uploaded July 2025'!E:K,5,false)</f>
        <v>37465</v>
      </c>
      <c r="J105" s="554">
        <f>VLOOKUP(E105,'To be uploaded July 2025'!E:K,6,false)</f>
        <v>45845</v>
      </c>
      <c r="K105" s="350" t="str">
        <f>IFERROR(__xludf.DUMMYFUNCTION("VLOOKUP(TRIM(E105), ARRAYFORMULA(TRIM(IMPORTRANGE(""1J6TM1lO8a31d96YF89fby9ySWcPcCBlFT37fwLDeDG0"", ""PKR-August 2025!C:Z""))), 5, FALSE)"),"")</f>
        <v/>
      </c>
      <c r="L105" s="302">
        <v>31.0</v>
      </c>
      <c r="M105" s="601">
        <v>45870.0</v>
      </c>
      <c r="N105" s="350">
        <v>45900.0</v>
      </c>
      <c r="O105" s="290">
        <f t="shared" si="1"/>
        <v>370</v>
      </c>
      <c r="P105" s="290">
        <f t="shared" si="2"/>
        <v>1850</v>
      </c>
      <c r="Q105" s="290">
        <f t="shared" si="3"/>
        <v>2220</v>
      </c>
    </row>
    <row r="106">
      <c r="A106" s="410" t="s">
        <v>16</v>
      </c>
      <c r="B106" s="411">
        <v>4320.0</v>
      </c>
      <c r="C106" s="443"/>
      <c r="D106" s="285">
        <v>0.0</v>
      </c>
      <c r="E106" s="602" t="s">
        <v>910</v>
      </c>
      <c r="F106" s="581" t="s">
        <v>911</v>
      </c>
      <c r="G106" s="581" t="s">
        <v>912</v>
      </c>
      <c r="I106" s="553">
        <f>VLOOKUP(E106,'To be uploaded July 2025'!E:K,5,false)</f>
        <v>35010</v>
      </c>
      <c r="J106" s="554">
        <f>VLOOKUP(E106,'To be uploaded July 2025'!E:K,6,false)</f>
        <v>45860</v>
      </c>
      <c r="K106" s="350" t="str">
        <f>IFERROR(__xludf.DUMMYFUNCTION("VLOOKUP(TRIM(E106), ARRAYFORMULA(TRIM(IMPORTRANGE(""1J6TM1lO8a31d96YF89fby9ySWcPcCBlFT37fwLDeDG0"", ""PKR-August 2025!C:Z""))), 5, FALSE)"),"")</f>
        <v/>
      </c>
      <c r="L106" s="302">
        <v>31.0</v>
      </c>
      <c r="M106" s="601">
        <v>45870.0</v>
      </c>
      <c r="N106" s="350">
        <v>45900.0</v>
      </c>
      <c r="O106" s="290">
        <f t="shared" si="1"/>
        <v>370</v>
      </c>
      <c r="P106" s="290">
        <f t="shared" si="2"/>
        <v>1850</v>
      </c>
      <c r="Q106" s="290">
        <f t="shared" si="3"/>
        <v>2220</v>
      </c>
    </row>
    <row r="107">
      <c r="A107" s="410" t="s">
        <v>16</v>
      </c>
      <c r="B107" s="411">
        <v>4320.0</v>
      </c>
      <c r="C107" s="443"/>
      <c r="D107" s="285">
        <v>0.0</v>
      </c>
      <c r="E107" s="604" t="s">
        <v>925</v>
      </c>
      <c r="F107" s="575" t="s">
        <v>926</v>
      </c>
      <c r="G107" s="575" t="s">
        <v>927</v>
      </c>
      <c r="I107" s="553">
        <f>VLOOKUP(E107,'To be uploaded August 2025'!E:K,5,false)</f>
        <v>35350</v>
      </c>
      <c r="J107" s="553">
        <f>VLOOKUP(E107,'To be uploaded August 2025'!E:K,6,false)</f>
        <v>45894</v>
      </c>
      <c r="K107" s="350" t="str">
        <f>IFERROR(__xludf.DUMMYFUNCTION("VLOOKUP(TRIM(E107), ARRAYFORMULA(TRIM(IMPORTRANGE(""1J6TM1lO8a31d96YF89fby9ySWcPcCBlFT37fwLDeDG0"", ""PKR-August 2025!C:Z""))), 5, FALSE)"),"")</f>
        <v/>
      </c>
      <c r="L107" s="605">
        <v>7.0</v>
      </c>
      <c r="M107" s="601">
        <v>45870.0</v>
      </c>
      <c r="N107" s="350">
        <v>45900.0</v>
      </c>
      <c r="O107" s="290">
        <f t="shared" si="1"/>
        <v>84</v>
      </c>
      <c r="P107" s="290">
        <f t="shared" si="2"/>
        <v>420</v>
      </c>
      <c r="Q107" s="290">
        <f t="shared" si="3"/>
        <v>504</v>
      </c>
    </row>
    <row r="108">
      <c r="A108" s="490" t="s">
        <v>16</v>
      </c>
      <c r="B108" s="491">
        <v>4320.0</v>
      </c>
      <c r="C108" s="538"/>
      <c r="D108" s="424">
        <v>0.0</v>
      </c>
      <c r="E108" s="606" t="s">
        <v>881</v>
      </c>
      <c r="F108" s="607" t="s">
        <v>882</v>
      </c>
      <c r="G108" s="607" t="s">
        <v>883</v>
      </c>
      <c r="H108" s="603"/>
      <c r="I108" s="598">
        <v>35887.0</v>
      </c>
      <c r="J108" s="598">
        <v>45809.0</v>
      </c>
      <c r="K108" s="429">
        <v>45869.0</v>
      </c>
      <c r="L108" s="428">
        <v>0.0</v>
      </c>
      <c r="M108" s="608">
        <v>45809.0</v>
      </c>
      <c r="N108" s="429">
        <v>45838.0</v>
      </c>
      <c r="O108" s="290">
        <f t="shared" si="1"/>
        <v>0</v>
      </c>
      <c r="P108" s="290">
        <f t="shared" si="2"/>
        <v>0</v>
      </c>
      <c r="Q108" s="290">
        <f t="shared" si="3"/>
        <v>0</v>
      </c>
      <c r="R108" s="48"/>
      <c r="S108" s="48"/>
      <c r="T108" s="48"/>
      <c r="U108" s="48"/>
      <c r="V108" s="48"/>
      <c r="W108" s="48"/>
      <c r="X108" s="48"/>
    </row>
    <row r="109">
      <c r="D109" s="310"/>
      <c r="E109" s="311"/>
      <c r="L109" s="228">
        <f>SUM(L2:L108)</f>
        <v>3122</v>
      </c>
      <c r="O109" s="228">
        <f t="shared" ref="O109:Q109" si="4">SUM(O2:O108)</f>
        <v>37269</v>
      </c>
      <c r="P109" s="228">
        <f t="shared" si="4"/>
        <v>186345</v>
      </c>
      <c r="Q109" s="228">
        <f t="shared" si="4"/>
        <v>223614</v>
      </c>
    </row>
    <row r="110">
      <c r="D110" s="310"/>
      <c r="E110" s="311"/>
      <c r="K110" s="365">
        <v>3379.0</v>
      </c>
      <c r="L110" s="228">
        <f>COUNT(L2:L107)</f>
        <v>106</v>
      </c>
      <c r="M110" s="365">
        <f>L109-K110</f>
        <v>-257</v>
      </c>
    </row>
    <row r="111">
      <c r="D111" s="310"/>
      <c r="E111" s="311"/>
      <c r="L111" s="251">
        <v>3596.0</v>
      </c>
      <c r="M111" s="228">
        <f>L111-L109</f>
        <v>474</v>
      </c>
      <c r="P111" s="251" t="s">
        <v>913</v>
      </c>
      <c r="Q111" s="555">
        <v>223575.0</v>
      </c>
    </row>
    <row r="112">
      <c r="D112" s="310"/>
      <c r="E112" s="311"/>
      <c r="P112" s="251" t="s">
        <v>914</v>
      </c>
      <c r="Q112" s="53">
        <f>Q109-Q111</f>
        <v>39</v>
      </c>
    </row>
    <row r="113">
      <c r="D113" s="310"/>
      <c r="E113" s="311"/>
    </row>
    <row r="114">
      <c r="D114" s="310"/>
      <c r="E114" s="311"/>
    </row>
    <row r="115">
      <c r="D115" s="310"/>
      <c r="E115" s="311"/>
    </row>
    <row r="116">
      <c r="D116" s="310"/>
      <c r="E116" s="311"/>
    </row>
    <row r="117">
      <c r="D117" s="310"/>
      <c r="E117" s="311"/>
    </row>
    <row r="118">
      <c r="D118" s="310"/>
      <c r="E118" s="311"/>
    </row>
    <row r="119">
      <c r="D119" s="310"/>
      <c r="E119" s="311"/>
    </row>
    <row r="120">
      <c r="D120" s="310"/>
      <c r="E120" s="311"/>
    </row>
    <row r="121">
      <c r="D121" s="310"/>
      <c r="E121" s="311"/>
    </row>
    <row r="122">
      <c r="D122" s="310"/>
      <c r="E122" s="311"/>
    </row>
    <row r="123">
      <c r="D123" s="310"/>
      <c r="E123" s="311"/>
    </row>
    <row r="124">
      <c r="D124" s="310"/>
      <c r="E124" s="311"/>
    </row>
    <row r="125">
      <c r="D125" s="310"/>
      <c r="E125" s="311"/>
    </row>
    <row r="126">
      <c r="D126" s="310"/>
      <c r="E126" s="311"/>
    </row>
    <row r="127">
      <c r="D127" s="310"/>
      <c r="E127" s="311"/>
    </row>
    <row r="128">
      <c r="D128" s="310"/>
      <c r="E128" s="311"/>
    </row>
    <row r="129">
      <c r="D129" s="310"/>
      <c r="E129" s="311"/>
    </row>
    <row r="130">
      <c r="D130" s="310"/>
      <c r="E130" s="311"/>
    </row>
    <row r="131">
      <c r="D131" s="310"/>
      <c r="E131" s="311"/>
    </row>
    <row r="132">
      <c r="D132" s="310"/>
      <c r="E132" s="311"/>
    </row>
    <row r="133">
      <c r="D133" s="310"/>
      <c r="E133" s="311"/>
    </row>
    <row r="134">
      <c r="D134" s="310"/>
      <c r="E134" s="311"/>
    </row>
    <row r="135">
      <c r="D135" s="310"/>
      <c r="E135" s="311"/>
    </row>
    <row r="136">
      <c r="D136" s="310"/>
      <c r="E136" s="311"/>
    </row>
    <row r="137">
      <c r="D137" s="310"/>
      <c r="E137" s="311"/>
    </row>
    <row r="138">
      <c r="D138" s="310"/>
      <c r="E138" s="311"/>
    </row>
    <row r="139">
      <c r="D139" s="310"/>
      <c r="E139" s="311"/>
    </row>
    <row r="140">
      <c r="D140" s="310"/>
      <c r="E140" s="311"/>
    </row>
    <row r="141">
      <c r="D141" s="310"/>
      <c r="E141" s="311"/>
    </row>
    <row r="142">
      <c r="D142" s="310"/>
      <c r="E142" s="311"/>
    </row>
    <row r="143">
      <c r="D143" s="310"/>
      <c r="E143" s="311"/>
    </row>
    <row r="144">
      <c r="D144" s="310"/>
      <c r="E144" s="311"/>
    </row>
    <row r="145">
      <c r="D145" s="310"/>
      <c r="E145" s="311"/>
    </row>
    <row r="146">
      <c r="D146" s="310"/>
      <c r="E146" s="311"/>
    </row>
    <row r="147">
      <c r="D147" s="310"/>
      <c r="E147" s="311"/>
    </row>
    <row r="148">
      <c r="D148" s="310"/>
      <c r="E148" s="311"/>
    </row>
    <row r="149">
      <c r="D149" s="310"/>
      <c r="E149" s="311"/>
    </row>
    <row r="150">
      <c r="D150" s="310"/>
      <c r="E150" s="311"/>
    </row>
    <row r="151">
      <c r="D151" s="310"/>
      <c r="E151" s="311"/>
    </row>
    <row r="152">
      <c r="D152" s="310"/>
      <c r="E152" s="311"/>
    </row>
    <row r="153">
      <c r="D153" s="310"/>
      <c r="E153" s="311"/>
    </row>
    <row r="154">
      <c r="D154" s="310"/>
      <c r="E154" s="311"/>
    </row>
    <row r="155">
      <c r="D155" s="310"/>
      <c r="E155" s="311"/>
    </row>
    <row r="156">
      <c r="D156" s="310"/>
      <c r="E156" s="311"/>
    </row>
    <row r="157">
      <c r="D157" s="310"/>
      <c r="E157" s="311"/>
    </row>
    <row r="158">
      <c r="D158" s="310"/>
      <c r="E158" s="311"/>
    </row>
    <row r="159">
      <c r="D159" s="310"/>
      <c r="E159" s="311"/>
    </row>
    <row r="160">
      <c r="D160" s="310"/>
      <c r="E160" s="311"/>
    </row>
    <row r="161">
      <c r="D161" s="310"/>
      <c r="E161" s="311"/>
    </row>
    <row r="162">
      <c r="D162" s="310"/>
      <c r="E162" s="311"/>
    </row>
    <row r="163">
      <c r="D163" s="310"/>
      <c r="E163" s="311"/>
    </row>
    <row r="164">
      <c r="D164" s="310"/>
      <c r="E164" s="311"/>
    </row>
    <row r="165">
      <c r="D165" s="310"/>
      <c r="E165" s="311"/>
    </row>
    <row r="166">
      <c r="D166" s="310"/>
      <c r="E166" s="311"/>
    </row>
    <row r="167">
      <c r="D167" s="310"/>
      <c r="E167" s="311"/>
    </row>
    <row r="168">
      <c r="D168" s="310"/>
      <c r="E168" s="311"/>
    </row>
    <row r="169">
      <c r="D169" s="310"/>
      <c r="E169" s="311"/>
    </row>
    <row r="170">
      <c r="D170" s="310"/>
      <c r="E170" s="311"/>
    </row>
    <row r="171">
      <c r="D171" s="310"/>
      <c r="E171" s="311"/>
    </row>
    <row r="172">
      <c r="D172" s="310"/>
      <c r="E172" s="311"/>
    </row>
    <row r="173">
      <c r="D173" s="310"/>
      <c r="E173" s="311"/>
    </row>
    <row r="174">
      <c r="D174" s="310"/>
      <c r="E174" s="311"/>
    </row>
    <row r="175">
      <c r="D175" s="310"/>
      <c r="E175" s="311"/>
    </row>
    <row r="176">
      <c r="D176" s="310"/>
      <c r="E176" s="311"/>
    </row>
    <row r="177">
      <c r="D177" s="310"/>
      <c r="E177" s="311"/>
    </row>
    <row r="178">
      <c r="D178" s="310"/>
      <c r="E178" s="311"/>
    </row>
    <row r="179">
      <c r="D179" s="310"/>
      <c r="E179" s="311"/>
    </row>
    <row r="180">
      <c r="D180" s="310"/>
      <c r="E180" s="311"/>
    </row>
    <row r="181">
      <c r="D181" s="310"/>
      <c r="E181" s="311"/>
    </row>
    <row r="182">
      <c r="D182" s="310"/>
      <c r="E182" s="311"/>
    </row>
    <row r="183">
      <c r="D183" s="310"/>
      <c r="E183" s="311"/>
    </row>
    <row r="184">
      <c r="D184" s="310"/>
      <c r="E184" s="311"/>
    </row>
    <row r="185">
      <c r="D185" s="310"/>
      <c r="E185" s="311"/>
    </row>
    <row r="186">
      <c r="D186" s="310"/>
      <c r="E186" s="311"/>
    </row>
    <row r="187">
      <c r="D187" s="310"/>
      <c r="E187" s="311"/>
    </row>
    <row r="188">
      <c r="D188" s="310"/>
      <c r="E188" s="311"/>
    </row>
    <row r="189">
      <c r="D189" s="310"/>
      <c r="E189" s="311"/>
    </row>
    <row r="190">
      <c r="D190" s="310"/>
      <c r="E190" s="311"/>
    </row>
    <row r="191">
      <c r="D191" s="310"/>
      <c r="E191" s="311"/>
    </row>
    <row r="192">
      <c r="D192" s="310"/>
      <c r="E192" s="311"/>
    </row>
    <row r="193">
      <c r="D193" s="310"/>
      <c r="E193" s="311"/>
    </row>
    <row r="194">
      <c r="D194" s="310"/>
      <c r="E194" s="311"/>
    </row>
    <row r="195">
      <c r="D195" s="310"/>
      <c r="E195" s="311"/>
    </row>
    <row r="196">
      <c r="D196" s="310"/>
      <c r="E196" s="311"/>
    </row>
    <row r="197">
      <c r="D197" s="310"/>
      <c r="E197" s="311"/>
    </row>
    <row r="198">
      <c r="D198" s="310"/>
      <c r="E198" s="311"/>
    </row>
    <row r="199">
      <c r="D199" s="310"/>
      <c r="E199" s="311"/>
    </row>
    <row r="200">
      <c r="D200" s="310"/>
      <c r="E200" s="311"/>
    </row>
    <row r="201">
      <c r="D201" s="310"/>
      <c r="E201" s="311"/>
    </row>
    <row r="202">
      <c r="D202" s="310"/>
      <c r="E202" s="311"/>
    </row>
    <row r="203">
      <c r="D203" s="310"/>
      <c r="E203" s="311"/>
    </row>
    <row r="204">
      <c r="D204" s="310"/>
      <c r="E204" s="311"/>
    </row>
    <row r="205">
      <c r="D205" s="310"/>
      <c r="E205" s="311"/>
    </row>
    <row r="206">
      <c r="D206" s="310"/>
      <c r="E206" s="311"/>
    </row>
    <row r="207">
      <c r="D207" s="310"/>
      <c r="E207" s="311"/>
    </row>
    <row r="208">
      <c r="D208" s="310"/>
      <c r="E208" s="311"/>
    </row>
    <row r="209">
      <c r="D209" s="310"/>
      <c r="E209" s="311"/>
    </row>
    <row r="210">
      <c r="D210" s="310"/>
      <c r="E210" s="311"/>
    </row>
    <row r="211">
      <c r="D211" s="310"/>
      <c r="E211" s="311"/>
    </row>
    <row r="212">
      <c r="D212" s="310"/>
      <c r="E212" s="311"/>
    </row>
    <row r="213">
      <c r="D213" s="310"/>
      <c r="E213" s="311"/>
    </row>
    <row r="214">
      <c r="D214" s="310"/>
      <c r="E214" s="311"/>
    </row>
    <row r="215">
      <c r="D215" s="310"/>
      <c r="E215" s="311"/>
    </row>
    <row r="216">
      <c r="D216" s="310"/>
      <c r="E216" s="311"/>
    </row>
    <row r="217">
      <c r="D217" s="310"/>
      <c r="E217" s="311"/>
    </row>
    <row r="218">
      <c r="D218" s="310"/>
      <c r="E218" s="311"/>
    </row>
    <row r="219">
      <c r="D219" s="310"/>
      <c r="E219" s="311"/>
    </row>
    <row r="220">
      <c r="D220" s="310"/>
      <c r="E220" s="311"/>
    </row>
    <row r="221">
      <c r="D221" s="310"/>
      <c r="E221" s="311"/>
    </row>
    <row r="222">
      <c r="D222" s="310"/>
      <c r="E222" s="311"/>
    </row>
    <row r="223">
      <c r="D223" s="310"/>
      <c r="E223" s="311"/>
    </row>
    <row r="224">
      <c r="D224" s="310"/>
      <c r="E224" s="311"/>
    </row>
    <row r="225">
      <c r="D225" s="310"/>
      <c r="E225" s="311"/>
    </row>
    <row r="226">
      <c r="D226" s="310"/>
      <c r="E226" s="311"/>
    </row>
    <row r="227">
      <c r="D227" s="310"/>
      <c r="E227" s="311"/>
    </row>
    <row r="228">
      <c r="D228" s="310"/>
      <c r="E228" s="311"/>
    </row>
    <row r="229">
      <c r="D229" s="310"/>
      <c r="E229" s="311"/>
    </row>
    <row r="230">
      <c r="D230" s="310"/>
      <c r="E230" s="311"/>
    </row>
    <row r="231">
      <c r="D231" s="310"/>
      <c r="E231" s="311"/>
    </row>
    <row r="232">
      <c r="D232" s="310"/>
      <c r="E232" s="311"/>
    </row>
    <row r="233">
      <c r="D233" s="310"/>
      <c r="E233" s="311"/>
    </row>
    <row r="234">
      <c r="D234" s="310"/>
      <c r="E234" s="311"/>
    </row>
    <row r="235">
      <c r="D235" s="310"/>
      <c r="E235" s="311"/>
    </row>
    <row r="236">
      <c r="D236" s="310"/>
      <c r="E236" s="311"/>
    </row>
    <row r="237">
      <c r="D237" s="310"/>
      <c r="E237" s="311"/>
    </row>
    <row r="238">
      <c r="D238" s="310"/>
      <c r="E238" s="311"/>
    </row>
    <row r="239">
      <c r="D239" s="310"/>
      <c r="E239" s="311"/>
    </row>
    <row r="240">
      <c r="D240" s="310"/>
      <c r="E240" s="311"/>
    </row>
    <row r="241">
      <c r="D241" s="310"/>
      <c r="E241" s="311"/>
    </row>
    <row r="242">
      <c r="D242" s="310"/>
      <c r="E242" s="311"/>
    </row>
    <row r="243">
      <c r="D243" s="310"/>
      <c r="E243" s="311"/>
    </row>
    <row r="244">
      <c r="D244" s="310"/>
      <c r="E244" s="311"/>
    </row>
    <row r="245">
      <c r="D245" s="310"/>
      <c r="E245" s="311"/>
    </row>
    <row r="246">
      <c r="D246" s="310"/>
      <c r="E246" s="311"/>
    </row>
    <row r="247">
      <c r="D247" s="310"/>
      <c r="E247" s="311"/>
    </row>
    <row r="248">
      <c r="D248" s="310"/>
      <c r="E248" s="311"/>
    </row>
    <row r="249">
      <c r="D249" s="310"/>
      <c r="E249" s="311"/>
    </row>
    <row r="250">
      <c r="D250" s="310"/>
      <c r="E250" s="311"/>
    </row>
    <row r="251">
      <c r="D251" s="310"/>
      <c r="E251" s="311"/>
    </row>
    <row r="252">
      <c r="D252" s="310"/>
      <c r="E252" s="311"/>
    </row>
    <row r="253">
      <c r="D253" s="310"/>
      <c r="E253" s="311"/>
    </row>
    <row r="254">
      <c r="D254" s="310"/>
      <c r="E254" s="311"/>
    </row>
    <row r="255">
      <c r="D255" s="310"/>
      <c r="E255" s="311"/>
    </row>
    <row r="256">
      <c r="D256" s="310"/>
      <c r="E256" s="311"/>
    </row>
    <row r="257">
      <c r="D257" s="310"/>
      <c r="E257" s="311"/>
    </row>
    <row r="258">
      <c r="D258" s="310"/>
      <c r="E258" s="311"/>
    </row>
    <row r="259">
      <c r="D259" s="310"/>
      <c r="E259" s="311"/>
    </row>
    <row r="260">
      <c r="D260" s="310"/>
      <c r="E260" s="311"/>
    </row>
    <row r="261">
      <c r="D261" s="310"/>
      <c r="E261" s="311"/>
    </row>
    <row r="262">
      <c r="D262" s="310"/>
      <c r="E262" s="311"/>
    </row>
    <row r="263">
      <c r="D263" s="310"/>
      <c r="E263" s="311"/>
    </row>
    <row r="264">
      <c r="D264" s="310"/>
      <c r="E264" s="311"/>
    </row>
    <row r="265">
      <c r="D265" s="310"/>
      <c r="E265" s="311"/>
    </row>
    <row r="266">
      <c r="D266" s="310"/>
      <c r="E266" s="311"/>
    </row>
    <row r="267">
      <c r="D267" s="310"/>
      <c r="E267" s="311"/>
    </row>
    <row r="268">
      <c r="D268" s="310"/>
      <c r="E268" s="311"/>
    </row>
    <row r="269">
      <c r="D269" s="310"/>
      <c r="E269" s="311"/>
    </row>
    <row r="270">
      <c r="D270" s="310"/>
      <c r="E270" s="311"/>
    </row>
    <row r="271">
      <c r="D271" s="310"/>
      <c r="E271" s="311"/>
    </row>
    <row r="272">
      <c r="D272" s="310"/>
      <c r="E272" s="311"/>
    </row>
    <row r="273">
      <c r="D273" s="310"/>
      <c r="E273" s="311"/>
    </row>
    <row r="274">
      <c r="D274" s="310"/>
      <c r="E274" s="311"/>
    </row>
    <row r="275">
      <c r="D275" s="310"/>
      <c r="E275" s="311"/>
    </row>
    <row r="276">
      <c r="D276" s="310"/>
      <c r="E276" s="311"/>
    </row>
    <row r="277">
      <c r="D277" s="310"/>
      <c r="E277" s="311"/>
    </row>
    <row r="278">
      <c r="D278" s="310"/>
      <c r="E278" s="311"/>
    </row>
    <row r="279">
      <c r="D279" s="310"/>
      <c r="E279" s="311"/>
    </row>
    <row r="280">
      <c r="D280" s="310"/>
      <c r="E280" s="311"/>
    </row>
    <row r="281">
      <c r="D281" s="310"/>
      <c r="E281" s="311"/>
    </row>
    <row r="282">
      <c r="D282" s="310"/>
      <c r="E282" s="311"/>
    </row>
    <row r="283">
      <c r="D283" s="310"/>
      <c r="E283" s="311"/>
    </row>
    <row r="284">
      <c r="D284" s="310"/>
      <c r="E284" s="311"/>
    </row>
    <row r="285">
      <c r="D285" s="310"/>
      <c r="E285" s="311"/>
    </row>
    <row r="286">
      <c r="D286" s="310"/>
      <c r="E286" s="311"/>
    </row>
    <row r="287">
      <c r="D287" s="310"/>
      <c r="E287" s="311"/>
    </row>
    <row r="288">
      <c r="D288" s="310"/>
      <c r="E288" s="311"/>
    </row>
    <row r="289">
      <c r="D289" s="310"/>
      <c r="E289" s="311"/>
    </row>
    <row r="290">
      <c r="D290" s="310"/>
      <c r="E290" s="311"/>
    </row>
    <row r="291">
      <c r="D291" s="310"/>
      <c r="E291" s="311"/>
    </row>
    <row r="292">
      <c r="D292" s="310"/>
      <c r="E292" s="311"/>
    </row>
    <row r="293">
      <c r="D293" s="310"/>
      <c r="E293" s="311"/>
    </row>
    <row r="294">
      <c r="D294" s="310"/>
      <c r="E294" s="311"/>
    </row>
    <row r="295">
      <c r="D295" s="310"/>
      <c r="E295" s="311"/>
    </row>
    <row r="296">
      <c r="D296" s="310"/>
      <c r="E296" s="311"/>
    </row>
    <row r="297">
      <c r="D297" s="310"/>
      <c r="E297" s="311"/>
    </row>
    <row r="298">
      <c r="D298" s="310"/>
      <c r="E298" s="311"/>
    </row>
    <row r="299">
      <c r="D299" s="310"/>
      <c r="E299" s="311"/>
    </row>
    <row r="300">
      <c r="D300" s="310"/>
      <c r="E300" s="311"/>
    </row>
    <row r="301">
      <c r="D301" s="310"/>
      <c r="E301" s="311"/>
    </row>
    <row r="302">
      <c r="D302" s="310"/>
      <c r="E302" s="311"/>
    </row>
    <row r="303">
      <c r="D303" s="310"/>
      <c r="E303" s="311"/>
    </row>
    <row r="304">
      <c r="D304" s="310"/>
      <c r="E304" s="311"/>
    </row>
    <row r="305">
      <c r="D305" s="310"/>
      <c r="E305" s="311"/>
    </row>
    <row r="306">
      <c r="D306" s="310"/>
      <c r="E306" s="311"/>
    </row>
    <row r="307">
      <c r="D307" s="310"/>
      <c r="E307" s="311"/>
    </row>
    <row r="308">
      <c r="D308" s="310"/>
      <c r="E308" s="311"/>
    </row>
    <row r="309">
      <c r="D309" s="310"/>
      <c r="E309" s="311"/>
    </row>
    <row r="310">
      <c r="D310" s="310"/>
      <c r="E310" s="311"/>
    </row>
    <row r="311">
      <c r="D311" s="310"/>
      <c r="E311" s="311"/>
    </row>
    <row r="312">
      <c r="D312" s="310"/>
      <c r="E312" s="311"/>
    </row>
    <row r="313">
      <c r="D313" s="310"/>
      <c r="E313" s="311"/>
    </row>
    <row r="314">
      <c r="D314" s="310"/>
      <c r="E314" s="311"/>
    </row>
    <row r="315">
      <c r="D315" s="310"/>
      <c r="E315" s="311"/>
    </row>
    <row r="316">
      <c r="D316" s="310"/>
      <c r="E316" s="311"/>
    </row>
    <row r="317">
      <c r="D317" s="310"/>
      <c r="E317" s="311"/>
    </row>
    <row r="318">
      <c r="D318" s="310"/>
      <c r="E318" s="311"/>
    </row>
    <row r="319">
      <c r="D319" s="310"/>
      <c r="E319" s="311"/>
    </row>
    <row r="320">
      <c r="D320" s="310"/>
      <c r="E320" s="311"/>
    </row>
    <row r="321">
      <c r="D321" s="310"/>
      <c r="E321" s="311"/>
    </row>
    <row r="322">
      <c r="D322" s="310"/>
      <c r="E322" s="311"/>
    </row>
    <row r="323">
      <c r="D323" s="310"/>
      <c r="E323" s="311"/>
    </row>
    <row r="324">
      <c r="D324" s="310"/>
      <c r="E324" s="311"/>
    </row>
    <row r="325">
      <c r="D325" s="310"/>
      <c r="E325" s="311"/>
    </row>
    <row r="326">
      <c r="D326" s="310"/>
      <c r="E326" s="311"/>
    </row>
    <row r="327">
      <c r="D327" s="310"/>
      <c r="E327" s="311"/>
    </row>
    <row r="328">
      <c r="D328" s="310"/>
      <c r="E328" s="311"/>
    </row>
    <row r="329">
      <c r="D329" s="310"/>
      <c r="E329" s="311"/>
    </row>
    <row r="330">
      <c r="D330" s="310"/>
      <c r="E330" s="311"/>
    </row>
    <row r="331">
      <c r="D331" s="310"/>
      <c r="E331" s="311"/>
    </row>
    <row r="332">
      <c r="D332" s="310"/>
      <c r="E332" s="311"/>
    </row>
    <row r="333">
      <c r="D333" s="310"/>
      <c r="E333" s="311"/>
    </row>
    <row r="334">
      <c r="D334" s="310"/>
      <c r="E334" s="311"/>
    </row>
    <row r="335">
      <c r="D335" s="310"/>
      <c r="E335" s="311"/>
    </row>
    <row r="336">
      <c r="D336" s="310"/>
      <c r="E336" s="311"/>
    </row>
    <row r="337">
      <c r="D337" s="310"/>
      <c r="E337" s="311"/>
    </row>
    <row r="338">
      <c r="D338" s="310"/>
      <c r="E338" s="311"/>
    </row>
    <row r="339">
      <c r="D339" s="310"/>
      <c r="E339" s="311"/>
    </row>
    <row r="340">
      <c r="D340" s="310"/>
      <c r="E340" s="311"/>
    </row>
    <row r="341">
      <c r="D341" s="310"/>
      <c r="E341" s="311"/>
    </row>
    <row r="342">
      <c r="D342" s="310"/>
      <c r="E342" s="311"/>
    </row>
    <row r="343">
      <c r="D343" s="310"/>
      <c r="E343" s="311"/>
    </row>
    <row r="344">
      <c r="D344" s="310"/>
      <c r="E344" s="311"/>
    </row>
    <row r="345">
      <c r="D345" s="310"/>
      <c r="E345" s="311"/>
    </row>
    <row r="346">
      <c r="D346" s="310"/>
      <c r="E346" s="311"/>
    </row>
    <row r="347">
      <c r="D347" s="310"/>
      <c r="E347" s="311"/>
    </row>
    <row r="348">
      <c r="D348" s="310"/>
      <c r="E348" s="311"/>
    </row>
    <row r="349">
      <c r="D349" s="310"/>
      <c r="E349" s="311"/>
    </row>
    <row r="350">
      <c r="D350" s="310"/>
      <c r="E350" s="311"/>
    </row>
    <row r="351">
      <c r="D351" s="310"/>
      <c r="E351" s="311"/>
    </row>
    <row r="352">
      <c r="D352" s="310"/>
      <c r="E352" s="311"/>
    </row>
    <row r="353">
      <c r="D353" s="310"/>
      <c r="E353" s="311"/>
    </row>
    <row r="354">
      <c r="D354" s="310"/>
      <c r="E354" s="311"/>
    </row>
    <row r="355">
      <c r="D355" s="310"/>
      <c r="E355" s="311"/>
    </row>
    <row r="356">
      <c r="D356" s="310"/>
      <c r="E356" s="311"/>
    </row>
    <row r="357">
      <c r="D357" s="310"/>
      <c r="E357" s="311"/>
    </row>
    <row r="358">
      <c r="D358" s="310"/>
      <c r="E358" s="311"/>
    </row>
    <row r="359">
      <c r="D359" s="310"/>
      <c r="E359" s="311"/>
    </row>
    <row r="360">
      <c r="D360" s="310"/>
      <c r="E360" s="311"/>
    </row>
    <row r="361">
      <c r="D361" s="310"/>
      <c r="E361" s="311"/>
    </row>
    <row r="362">
      <c r="D362" s="310"/>
      <c r="E362" s="311"/>
    </row>
    <row r="363">
      <c r="D363" s="310"/>
      <c r="E363" s="311"/>
    </row>
    <row r="364">
      <c r="D364" s="310"/>
      <c r="E364" s="311"/>
    </row>
    <row r="365">
      <c r="D365" s="310"/>
      <c r="E365" s="311"/>
    </row>
    <row r="366">
      <c r="D366" s="310"/>
      <c r="E366" s="311"/>
    </row>
    <row r="367">
      <c r="D367" s="310"/>
      <c r="E367" s="311"/>
    </row>
    <row r="368">
      <c r="D368" s="310"/>
      <c r="E368" s="311"/>
    </row>
    <row r="369">
      <c r="D369" s="310"/>
      <c r="E369" s="311"/>
    </row>
    <row r="370">
      <c r="D370" s="310"/>
      <c r="E370" s="311"/>
    </row>
    <row r="371">
      <c r="D371" s="310"/>
      <c r="E371" s="311"/>
    </row>
    <row r="372">
      <c r="D372" s="310"/>
      <c r="E372" s="311"/>
    </row>
    <row r="373">
      <c r="D373" s="310"/>
      <c r="E373" s="311"/>
    </row>
    <row r="374">
      <c r="D374" s="310"/>
      <c r="E374" s="311"/>
    </row>
    <row r="375">
      <c r="D375" s="310"/>
      <c r="E375" s="311"/>
    </row>
    <row r="376">
      <c r="D376" s="310"/>
      <c r="E376" s="311"/>
    </row>
    <row r="377">
      <c r="D377" s="310"/>
      <c r="E377" s="311"/>
    </row>
    <row r="378">
      <c r="D378" s="310"/>
      <c r="E378" s="311"/>
    </row>
    <row r="379">
      <c r="D379" s="310"/>
      <c r="E379" s="311"/>
    </row>
    <row r="380">
      <c r="D380" s="310"/>
      <c r="E380" s="311"/>
    </row>
    <row r="381">
      <c r="D381" s="310"/>
      <c r="E381" s="311"/>
    </row>
    <row r="382">
      <c r="D382" s="310"/>
      <c r="E382" s="311"/>
    </row>
    <row r="383">
      <c r="D383" s="310"/>
      <c r="E383" s="311"/>
    </row>
    <row r="384">
      <c r="D384" s="310"/>
      <c r="E384" s="311"/>
    </row>
    <row r="385">
      <c r="D385" s="310"/>
      <c r="E385" s="311"/>
    </row>
    <row r="386">
      <c r="D386" s="310"/>
      <c r="E386" s="311"/>
    </row>
    <row r="387">
      <c r="D387" s="310"/>
      <c r="E387" s="311"/>
    </row>
    <row r="388">
      <c r="D388" s="310"/>
      <c r="E388" s="311"/>
    </row>
    <row r="389">
      <c r="D389" s="310"/>
      <c r="E389" s="311"/>
    </row>
    <row r="390">
      <c r="D390" s="310"/>
      <c r="E390" s="311"/>
    </row>
    <row r="391">
      <c r="D391" s="310"/>
      <c r="E391" s="311"/>
    </row>
    <row r="392">
      <c r="D392" s="310"/>
      <c r="E392" s="311"/>
    </row>
    <row r="393">
      <c r="D393" s="310"/>
      <c r="E393" s="311"/>
    </row>
    <row r="394">
      <c r="D394" s="310"/>
      <c r="E394" s="311"/>
    </row>
    <row r="395">
      <c r="D395" s="310"/>
      <c r="E395" s="311"/>
    </row>
    <row r="396">
      <c r="D396" s="310"/>
      <c r="E396" s="311"/>
    </row>
    <row r="397">
      <c r="D397" s="310"/>
      <c r="E397" s="311"/>
    </row>
    <row r="398">
      <c r="D398" s="310"/>
      <c r="E398" s="311"/>
    </row>
    <row r="399">
      <c r="D399" s="310"/>
      <c r="E399" s="311"/>
    </row>
    <row r="400">
      <c r="D400" s="310"/>
      <c r="E400" s="311"/>
    </row>
    <row r="401">
      <c r="D401" s="310"/>
      <c r="E401" s="311"/>
    </row>
    <row r="402">
      <c r="D402" s="310"/>
      <c r="E402" s="311"/>
    </row>
    <row r="403">
      <c r="D403" s="310"/>
      <c r="E403" s="311"/>
    </row>
    <row r="404">
      <c r="D404" s="310"/>
      <c r="E404" s="311"/>
    </row>
    <row r="405">
      <c r="D405" s="310"/>
      <c r="E405" s="311"/>
    </row>
    <row r="406">
      <c r="D406" s="310"/>
      <c r="E406" s="311"/>
    </row>
    <row r="407">
      <c r="D407" s="310"/>
      <c r="E407" s="311"/>
    </row>
    <row r="408">
      <c r="D408" s="310"/>
      <c r="E408" s="311"/>
    </row>
    <row r="409">
      <c r="D409" s="310"/>
      <c r="E409" s="311"/>
    </row>
    <row r="410">
      <c r="D410" s="310"/>
      <c r="E410" s="311"/>
    </row>
    <row r="411">
      <c r="D411" s="310"/>
      <c r="E411" s="311"/>
    </row>
    <row r="412">
      <c r="D412" s="310"/>
      <c r="E412" s="311"/>
    </row>
    <row r="413">
      <c r="D413" s="310"/>
      <c r="E413" s="311"/>
    </row>
    <row r="414">
      <c r="D414" s="310"/>
      <c r="E414" s="311"/>
    </row>
    <row r="415">
      <c r="D415" s="310"/>
      <c r="E415" s="311"/>
    </row>
    <row r="416">
      <c r="D416" s="310"/>
      <c r="E416" s="311"/>
    </row>
    <row r="417">
      <c r="D417" s="310"/>
      <c r="E417" s="311"/>
    </row>
    <row r="418">
      <c r="D418" s="310"/>
      <c r="E418" s="311"/>
    </row>
    <row r="419">
      <c r="D419" s="310"/>
      <c r="E419" s="311"/>
    </row>
    <row r="420">
      <c r="D420" s="310"/>
      <c r="E420" s="311"/>
    </row>
    <row r="421">
      <c r="D421" s="310"/>
      <c r="E421" s="311"/>
    </row>
    <row r="422">
      <c r="D422" s="310"/>
      <c r="E422" s="311"/>
    </row>
    <row r="423">
      <c r="D423" s="310"/>
      <c r="E423" s="311"/>
    </row>
    <row r="424">
      <c r="D424" s="310"/>
      <c r="E424" s="311"/>
    </row>
    <row r="425">
      <c r="D425" s="310"/>
      <c r="E425" s="311"/>
    </row>
    <row r="426">
      <c r="D426" s="310"/>
      <c r="E426" s="311"/>
    </row>
    <row r="427">
      <c r="D427" s="310"/>
      <c r="E427" s="311"/>
    </row>
    <row r="428">
      <c r="D428" s="310"/>
      <c r="E428" s="311"/>
    </row>
    <row r="429">
      <c r="D429" s="310"/>
      <c r="E429" s="311"/>
    </row>
    <row r="430">
      <c r="D430" s="310"/>
      <c r="E430" s="311"/>
    </row>
    <row r="431">
      <c r="D431" s="310"/>
      <c r="E431" s="311"/>
    </row>
    <row r="432">
      <c r="D432" s="310"/>
      <c r="E432" s="311"/>
    </row>
    <row r="433">
      <c r="D433" s="310"/>
      <c r="E433" s="311"/>
    </row>
    <row r="434">
      <c r="D434" s="310"/>
      <c r="E434" s="311"/>
    </row>
    <row r="435">
      <c r="D435" s="310"/>
      <c r="E435" s="311"/>
    </row>
    <row r="436">
      <c r="D436" s="310"/>
      <c r="E436" s="311"/>
    </row>
    <row r="437">
      <c r="D437" s="310"/>
      <c r="E437" s="311"/>
    </row>
    <row r="438">
      <c r="D438" s="310"/>
      <c r="E438" s="311"/>
    </row>
    <row r="439">
      <c r="D439" s="310"/>
      <c r="E439" s="311"/>
    </row>
    <row r="440">
      <c r="D440" s="310"/>
      <c r="E440" s="311"/>
    </row>
    <row r="441">
      <c r="D441" s="310"/>
      <c r="E441" s="311"/>
    </row>
    <row r="442">
      <c r="D442" s="310"/>
      <c r="E442" s="311"/>
    </row>
    <row r="443">
      <c r="D443" s="310"/>
      <c r="E443" s="311"/>
    </row>
    <row r="444">
      <c r="D444" s="310"/>
      <c r="E444" s="311"/>
    </row>
    <row r="445">
      <c r="D445" s="310"/>
      <c r="E445" s="311"/>
    </row>
    <row r="446">
      <c r="D446" s="310"/>
      <c r="E446" s="311"/>
    </row>
    <row r="447">
      <c r="D447" s="310"/>
      <c r="E447" s="311"/>
    </row>
    <row r="448">
      <c r="D448" s="310"/>
      <c r="E448" s="311"/>
    </row>
    <row r="449">
      <c r="D449" s="310"/>
      <c r="E449" s="311"/>
    </row>
    <row r="450">
      <c r="D450" s="310"/>
      <c r="E450" s="311"/>
    </row>
    <row r="451">
      <c r="D451" s="310"/>
      <c r="E451" s="311"/>
    </row>
    <row r="452">
      <c r="D452" s="310"/>
      <c r="E452" s="311"/>
    </row>
    <row r="453">
      <c r="D453" s="310"/>
      <c r="E453" s="311"/>
    </row>
    <row r="454">
      <c r="D454" s="310"/>
      <c r="E454" s="311"/>
    </row>
    <row r="455">
      <c r="D455" s="310"/>
      <c r="E455" s="311"/>
    </row>
    <row r="456">
      <c r="D456" s="310"/>
      <c r="E456" s="311"/>
    </row>
    <row r="457">
      <c r="D457" s="310"/>
      <c r="E457" s="311"/>
    </row>
    <row r="458">
      <c r="D458" s="310"/>
      <c r="E458" s="311"/>
    </row>
    <row r="459">
      <c r="D459" s="310"/>
      <c r="E459" s="311"/>
    </row>
    <row r="460">
      <c r="D460" s="310"/>
      <c r="E460" s="311"/>
    </row>
    <row r="461">
      <c r="D461" s="310"/>
      <c r="E461" s="311"/>
    </row>
    <row r="462">
      <c r="D462" s="310"/>
      <c r="E462" s="311"/>
    </row>
    <row r="463">
      <c r="D463" s="310"/>
      <c r="E463" s="311"/>
    </row>
    <row r="464">
      <c r="D464" s="310"/>
      <c r="E464" s="311"/>
    </row>
    <row r="465">
      <c r="D465" s="310"/>
      <c r="E465" s="311"/>
    </row>
    <row r="466">
      <c r="D466" s="310"/>
      <c r="E466" s="311"/>
    </row>
    <row r="467">
      <c r="D467" s="310"/>
      <c r="E467" s="311"/>
    </row>
    <row r="468">
      <c r="D468" s="310"/>
      <c r="E468" s="311"/>
    </row>
    <row r="469">
      <c r="D469" s="310"/>
      <c r="E469" s="311"/>
    </row>
    <row r="470">
      <c r="D470" s="310"/>
      <c r="E470" s="311"/>
    </row>
    <row r="471">
      <c r="D471" s="310"/>
      <c r="E471" s="311"/>
    </row>
    <row r="472">
      <c r="D472" s="310"/>
      <c r="E472" s="311"/>
    </row>
    <row r="473">
      <c r="D473" s="310"/>
      <c r="E473" s="311"/>
    </row>
    <row r="474">
      <c r="D474" s="310"/>
      <c r="E474" s="311"/>
    </row>
    <row r="475">
      <c r="D475" s="310"/>
      <c r="E475" s="311"/>
    </row>
    <row r="476">
      <c r="D476" s="310"/>
      <c r="E476" s="311"/>
    </row>
    <row r="477">
      <c r="D477" s="310"/>
      <c r="E477" s="311"/>
    </row>
    <row r="478">
      <c r="D478" s="310"/>
      <c r="E478" s="311"/>
    </row>
    <row r="479">
      <c r="D479" s="310"/>
      <c r="E479" s="311"/>
    </row>
    <row r="480">
      <c r="D480" s="310"/>
      <c r="E480" s="311"/>
    </row>
    <row r="481">
      <c r="D481" s="310"/>
      <c r="E481" s="311"/>
    </row>
    <row r="482">
      <c r="D482" s="310"/>
      <c r="E482" s="311"/>
    </row>
    <row r="483">
      <c r="D483" s="310"/>
      <c r="E483" s="311"/>
    </row>
    <row r="484">
      <c r="D484" s="310"/>
      <c r="E484" s="311"/>
    </row>
    <row r="485">
      <c r="D485" s="310"/>
      <c r="E485" s="311"/>
    </row>
    <row r="486">
      <c r="D486" s="310"/>
      <c r="E486" s="311"/>
    </row>
    <row r="487">
      <c r="D487" s="310"/>
      <c r="E487" s="311"/>
    </row>
    <row r="488">
      <c r="D488" s="310"/>
      <c r="E488" s="311"/>
    </row>
    <row r="489">
      <c r="D489" s="310"/>
      <c r="E489" s="311"/>
    </row>
    <row r="490">
      <c r="D490" s="310"/>
      <c r="E490" s="311"/>
    </row>
    <row r="491">
      <c r="D491" s="310"/>
      <c r="E491" s="311"/>
    </row>
    <row r="492">
      <c r="D492" s="310"/>
      <c r="E492" s="311"/>
    </row>
    <row r="493">
      <c r="D493" s="310"/>
      <c r="E493" s="311"/>
    </row>
    <row r="494">
      <c r="D494" s="310"/>
      <c r="E494" s="311"/>
    </row>
    <row r="495">
      <c r="D495" s="310"/>
      <c r="E495" s="311"/>
    </row>
    <row r="496">
      <c r="D496" s="310"/>
      <c r="E496" s="311"/>
    </row>
    <row r="497">
      <c r="D497" s="310"/>
      <c r="E497" s="311"/>
    </row>
    <row r="498">
      <c r="D498" s="310"/>
      <c r="E498" s="311"/>
    </row>
    <row r="499">
      <c r="D499" s="310"/>
      <c r="E499" s="311"/>
    </row>
    <row r="500">
      <c r="D500" s="310"/>
      <c r="E500" s="311"/>
    </row>
    <row r="501">
      <c r="D501" s="310"/>
      <c r="E501" s="311"/>
    </row>
    <row r="502">
      <c r="D502" s="310"/>
      <c r="E502" s="311"/>
    </row>
    <row r="503">
      <c r="D503" s="310"/>
      <c r="E503" s="311"/>
    </row>
    <row r="504">
      <c r="D504" s="310"/>
      <c r="E504" s="311"/>
    </row>
    <row r="505">
      <c r="D505" s="310"/>
      <c r="E505" s="311"/>
    </row>
    <row r="506">
      <c r="D506" s="310"/>
      <c r="E506" s="311"/>
    </row>
    <row r="507">
      <c r="D507" s="310"/>
      <c r="E507" s="311"/>
    </row>
    <row r="508">
      <c r="D508" s="310"/>
      <c r="E508" s="311"/>
    </row>
    <row r="509">
      <c r="D509" s="310"/>
      <c r="E509" s="311"/>
    </row>
    <row r="510">
      <c r="D510" s="310"/>
      <c r="E510" s="311"/>
    </row>
    <row r="511">
      <c r="D511" s="310"/>
      <c r="E511" s="311"/>
    </row>
    <row r="512">
      <c r="D512" s="310"/>
      <c r="E512" s="311"/>
    </row>
    <row r="513">
      <c r="D513" s="310"/>
      <c r="E513" s="311"/>
    </row>
    <row r="514">
      <c r="D514" s="310"/>
      <c r="E514" s="311"/>
    </row>
    <row r="515">
      <c r="D515" s="310"/>
      <c r="E515" s="311"/>
    </row>
    <row r="516">
      <c r="D516" s="310"/>
      <c r="E516" s="311"/>
    </row>
    <row r="517">
      <c r="D517" s="310"/>
      <c r="E517" s="311"/>
    </row>
    <row r="518">
      <c r="D518" s="310"/>
      <c r="E518" s="311"/>
    </row>
    <row r="519">
      <c r="D519" s="310"/>
      <c r="E519" s="311"/>
    </row>
    <row r="520">
      <c r="D520" s="310"/>
      <c r="E520" s="311"/>
    </row>
    <row r="521">
      <c r="D521" s="310"/>
      <c r="E521" s="311"/>
    </row>
    <row r="522">
      <c r="D522" s="310"/>
      <c r="E522" s="311"/>
    </row>
    <row r="523">
      <c r="D523" s="310"/>
      <c r="E523" s="311"/>
    </row>
    <row r="524">
      <c r="D524" s="310"/>
      <c r="E524" s="311"/>
    </row>
    <row r="525">
      <c r="D525" s="310"/>
      <c r="E525" s="311"/>
    </row>
    <row r="526">
      <c r="D526" s="310"/>
      <c r="E526" s="311"/>
    </row>
    <row r="527">
      <c r="D527" s="310"/>
      <c r="E527" s="311"/>
    </row>
    <row r="528">
      <c r="D528" s="310"/>
      <c r="E528" s="311"/>
    </row>
    <row r="529">
      <c r="D529" s="310"/>
      <c r="E529" s="311"/>
    </row>
    <row r="530">
      <c r="D530" s="310"/>
      <c r="E530" s="311"/>
    </row>
    <row r="531">
      <c r="D531" s="310"/>
      <c r="E531" s="311"/>
    </row>
    <row r="532">
      <c r="D532" s="310"/>
      <c r="E532" s="311"/>
    </row>
    <row r="533">
      <c r="D533" s="310"/>
      <c r="E533" s="311"/>
    </row>
    <row r="534">
      <c r="D534" s="310"/>
      <c r="E534" s="311"/>
    </row>
    <row r="535">
      <c r="D535" s="310"/>
      <c r="E535" s="311"/>
    </row>
    <row r="536">
      <c r="D536" s="310"/>
      <c r="E536" s="311"/>
    </row>
    <row r="537">
      <c r="D537" s="310"/>
      <c r="E537" s="311"/>
    </row>
    <row r="538">
      <c r="D538" s="310"/>
      <c r="E538" s="311"/>
    </row>
    <row r="539">
      <c r="D539" s="310"/>
      <c r="E539" s="311"/>
    </row>
    <row r="540">
      <c r="D540" s="310"/>
      <c r="E540" s="311"/>
    </row>
    <row r="541">
      <c r="D541" s="310"/>
      <c r="E541" s="311"/>
    </row>
    <row r="542">
      <c r="D542" s="310"/>
      <c r="E542" s="311"/>
    </row>
    <row r="543">
      <c r="D543" s="310"/>
      <c r="E543" s="311"/>
    </row>
    <row r="544">
      <c r="D544" s="310"/>
      <c r="E544" s="311"/>
    </row>
    <row r="545">
      <c r="D545" s="310"/>
      <c r="E545" s="311"/>
    </row>
    <row r="546">
      <c r="D546" s="310"/>
      <c r="E546" s="311"/>
    </row>
    <row r="547">
      <c r="D547" s="310"/>
      <c r="E547" s="311"/>
    </row>
    <row r="548">
      <c r="D548" s="310"/>
      <c r="E548" s="311"/>
    </row>
    <row r="549">
      <c r="D549" s="310"/>
      <c r="E549" s="311"/>
    </row>
    <row r="550">
      <c r="D550" s="310"/>
      <c r="E550" s="311"/>
    </row>
    <row r="551">
      <c r="D551" s="310"/>
      <c r="E551" s="311"/>
    </row>
    <row r="552">
      <c r="D552" s="310"/>
      <c r="E552" s="311"/>
    </row>
    <row r="553">
      <c r="D553" s="310"/>
      <c r="E553" s="311"/>
    </row>
    <row r="554">
      <c r="D554" s="310"/>
      <c r="E554" s="311"/>
    </row>
    <row r="555">
      <c r="D555" s="310"/>
      <c r="E555" s="311"/>
    </row>
    <row r="556">
      <c r="D556" s="310"/>
      <c r="E556" s="311"/>
    </row>
    <row r="557">
      <c r="D557" s="310"/>
      <c r="E557" s="311"/>
    </row>
    <row r="558">
      <c r="D558" s="310"/>
      <c r="E558" s="311"/>
    </row>
    <row r="559">
      <c r="D559" s="310"/>
      <c r="E559" s="311"/>
    </row>
    <row r="560">
      <c r="D560" s="310"/>
      <c r="E560" s="311"/>
    </row>
    <row r="561">
      <c r="D561" s="310"/>
      <c r="E561" s="311"/>
    </row>
    <row r="562">
      <c r="D562" s="310"/>
      <c r="E562" s="311"/>
    </row>
    <row r="563">
      <c r="D563" s="310"/>
      <c r="E563" s="311"/>
    </row>
    <row r="564">
      <c r="D564" s="310"/>
      <c r="E564" s="311"/>
    </row>
    <row r="565">
      <c r="D565" s="310"/>
      <c r="E565" s="311"/>
    </row>
    <row r="566">
      <c r="D566" s="310"/>
      <c r="E566" s="311"/>
    </row>
    <row r="567">
      <c r="D567" s="310"/>
      <c r="E567" s="311"/>
    </row>
    <row r="568">
      <c r="D568" s="310"/>
      <c r="E568" s="311"/>
    </row>
    <row r="569">
      <c r="D569" s="310"/>
      <c r="E569" s="311"/>
    </row>
    <row r="570">
      <c r="D570" s="310"/>
      <c r="E570" s="311"/>
    </row>
    <row r="571">
      <c r="D571" s="310"/>
      <c r="E571" s="311"/>
    </row>
    <row r="572">
      <c r="D572" s="310"/>
      <c r="E572" s="311"/>
    </row>
    <row r="573">
      <c r="D573" s="310"/>
      <c r="E573" s="311"/>
    </row>
    <row r="574">
      <c r="D574" s="310"/>
      <c r="E574" s="311"/>
    </row>
    <row r="575">
      <c r="D575" s="310"/>
      <c r="E575" s="311"/>
    </row>
    <row r="576">
      <c r="D576" s="310"/>
      <c r="E576" s="311"/>
    </row>
    <row r="577">
      <c r="D577" s="310"/>
      <c r="E577" s="311"/>
    </row>
    <row r="578">
      <c r="D578" s="310"/>
      <c r="E578" s="311"/>
    </row>
    <row r="579">
      <c r="D579" s="310"/>
      <c r="E579" s="311"/>
    </row>
    <row r="580">
      <c r="D580" s="310"/>
      <c r="E580" s="311"/>
    </row>
    <row r="581">
      <c r="D581" s="310"/>
      <c r="E581" s="311"/>
    </row>
    <row r="582">
      <c r="D582" s="310"/>
      <c r="E582" s="311"/>
    </row>
    <row r="583">
      <c r="D583" s="310"/>
      <c r="E583" s="311"/>
    </row>
    <row r="584">
      <c r="D584" s="310"/>
      <c r="E584" s="311"/>
    </row>
    <row r="585">
      <c r="D585" s="310"/>
      <c r="E585" s="311"/>
    </row>
    <row r="586">
      <c r="D586" s="310"/>
      <c r="E586" s="311"/>
    </row>
    <row r="587">
      <c r="D587" s="310"/>
      <c r="E587" s="311"/>
    </row>
    <row r="588">
      <c r="D588" s="310"/>
      <c r="E588" s="311"/>
    </row>
    <row r="589">
      <c r="D589" s="310"/>
      <c r="E589" s="311"/>
    </row>
    <row r="590">
      <c r="D590" s="310"/>
      <c r="E590" s="311"/>
    </row>
    <row r="591">
      <c r="D591" s="310"/>
      <c r="E591" s="311"/>
    </row>
    <row r="592">
      <c r="D592" s="310"/>
      <c r="E592" s="311"/>
    </row>
    <row r="593">
      <c r="D593" s="310"/>
      <c r="E593" s="311"/>
    </row>
    <row r="594">
      <c r="D594" s="310"/>
      <c r="E594" s="311"/>
    </row>
    <row r="595">
      <c r="D595" s="310"/>
      <c r="E595" s="311"/>
    </row>
    <row r="596">
      <c r="D596" s="310"/>
      <c r="E596" s="311"/>
    </row>
    <row r="597">
      <c r="D597" s="310"/>
      <c r="E597" s="311"/>
    </row>
    <row r="598">
      <c r="D598" s="310"/>
      <c r="E598" s="311"/>
    </row>
    <row r="599">
      <c r="D599" s="310"/>
      <c r="E599" s="311"/>
    </row>
    <row r="600">
      <c r="D600" s="310"/>
      <c r="E600" s="311"/>
    </row>
    <row r="601">
      <c r="D601" s="310"/>
      <c r="E601" s="311"/>
    </row>
    <row r="602">
      <c r="D602" s="310"/>
      <c r="E602" s="311"/>
    </row>
    <row r="603">
      <c r="D603" s="310"/>
      <c r="E603" s="311"/>
    </row>
    <row r="604">
      <c r="D604" s="310"/>
      <c r="E604" s="311"/>
    </row>
    <row r="605">
      <c r="D605" s="310"/>
      <c r="E605" s="311"/>
    </row>
    <row r="606">
      <c r="D606" s="310"/>
      <c r="E606" s="311"/>
    </row>
    <row r="607">
      <c r="D607" s="310"/>
      <c r="E607" s="311"/>
    </row>
    <row r="608">
      <c r="D608" s="310"/>
      <c r="E608" s="311"/>
    </row>
    <row r="609">
      <c r="D609" s="310"/>
      <c r="E609" s="311"/>
    </row>
    <row r="610">
      <c r="D610" s="310"/>
      <c r="E610" s="311"/>
    </row>
    <row r="611">
      <c r="D611" s="310"/>
      <c r="E611" s="311"/>
    </row>
    <row r="612">
      <c r="D612" s="310"/>
      <c r="E612" s="311"/>
    </row>
    <row r="613">
      <c r="D613" s="310"/>
      <c r="E613" s="311"/>
    </row>
    <row r="614">
      <c r="D614" s="310"/>
      <c r="E614" s="311"/>
    </row>
    <row r="615">
      <c r="D615" s="310"/>
      <c r="E615" s="311"/>
    </row>
    <row r="616">
      <c r="D616" s="310"/>
      <c r="E616" s="311"/>
    </row>
    <row r="617">
      <c r="D617" s="310"/>
      <c r="E617" s="311"/>
    </row>
    <row r="618">
      <c r="D618" s="310"/>
      <c r="E618" s="311"/>
    </row>
    <row r="619">
      <c r="D619" s="310"/>
      <c r="E619" s="311"/>
    </row>
    <row r="620">
      <c r="D620" s="310"/>
      <c r="E620" s="311"/>
    </row>
    <row r="621">
      <c r="D621" s="310"/>
      <c r="E621" s="311"/>
    </row>
    <row r="622">
      <c r="D622" s="310"/>
      <c r="E622" s="311"/>
    </row>
    <row r="623">
      <c r="D623" s="310"/>
      <c r="E623" s="311"/>
    </row>
    <row r="624">
      <c r="D624" s="310"/>
      <c r="E624" s="311"/>
    </row>
    <row r="625">
      <c r="D625" s="310"/>
      <c r="E625" s="311"/>
    </row>
    <row r="626">
      <c r="D626" s="310"/>
      <c r="E626" s="311"/>
    </row>
    <row r="627">
      <c r="D627" s="310"/>
      <c r="E627" s="311"/>
    </row>
    <row r="628">
      <c r="D628" s="310"/>
      <c r="E628" s="311"/>
    </row>
    <row r="629">
      <c r="D629" s="310"/>
      <c r="E629" s="311"/>
    </row>
    <row r="630">
      <c r="D630" s="310"/>
      <c r="E630" s="311"/>
    </row>
    <row r="631">
      <c r="D631" s="310"/>
      <c r="E631" s="311"/>
    </row>
    <row r="632">
      <c r="D632" s="310"/>
      <c r="E632" s="311"/>
    </row>
    <row r="633">
      <c r="D633" s="310"/>
      <c r="E633" s="311"/>
    </row>
    <row r="634">
      <c r="D634" s="310"/>
      <c r="E634" s="311"/>
    </row>
    <row r="635">
      <c r="D635" s="310"/>
      <c r="E635" s="311"/>
    </row>
    <row r="636">
      <c r="D636" s="310"/>
      <c r="E636" s="311"/>
    </row>
    <row r="637">
      <c r="D637" s="310"/>
      <c r="E637" s="311"/>
    </row>
    <row r="638">
      <c r="D638" s="310"/>
      <c r="E638" s="311"/>
    </row>
    <row r="639">
      <c r="D639" s="310"/>
      <c r="E639" s="311"/>
    </row>
    <row r="640">
      <c r="D640" s="310"/>
      <c r="E640" s="311"/>
    </row>
    <row r="641">
      <c r="D641" s="310"/>
      <c r="E641" s="311"/>
    </row>
    <row r="642">
      <c r="D642" s="310"/>
      <c r="E642" s="311"/>
    </row>
    <row r="643">
      <c r="D643" s="310"/>
      <c r="E643" s="311"/>
    </row>
    <row r="644">
      <c r="D644" s="310"/>
      <c r="E644" s="311"/>
    </row>
    <row r="645">
      <c r="D645" s="310"/>
      <c r="E645" s="311"/>
    </row>
    <row r="646">
      <c r="D646" s="310"/>
      <c r="E646" s="311"/>
    </row>
    <row r="647">
      <c r="D647" s="310"/>
      <c r="E647" s="311"/>
    </row>
    <row r="648">
      <c r="D648" s="310"/>
      <c r="E648" s="311"/>
    </row>
    <row r="649">
      <c r="D649" s="310"/>
      <c r="E649" s="311"/>
    </row>
    <row r="650">
      <c r="D650" s="310"/>
      <c r="E650" s="311"/>
    </row>
    <row r="651">
      <c r="D651" s="310"/>
      <c r="E651" s="311"/>
    </row>
    <row r="652">
      <c r="D652" s="310"/>
      <c r="E652" s="311"/>
    </row>
    <row r="653">
      <c r="D653" s="310"/>
      <c r="E653" s="311"/>
    </row>
    <row r="654">
      <c r="D654" s="310"/>
      <c r="E654" s="311"/>
    </row>
    <row r="655">
      <c r="D655" s="310"/>
      <c r="E655" s="311"/>
    </row>
    <row r="656">
      <c r="D656" s="310"/>
      <c r="E656" s="311"/>
    </row>
    <row r="657">
      <c r="D657" s="310"/>
      <c r="E657" s="311"/>
    </row>
    <row r="658">
      <c r="D658" s="310"/>
      <c r="E658" s="311"/>
    </row>
    <row r="659">
      <c r="D659" s="310"/>
      <c r="E659" s="311"/>
    </row>
    <row r="660">
      <c r="D660" s="310"/>
      <c r="E660" s="311"/>
    </row>
    <row r="661">
      <c r="D661" s="310"/>
      <c r="E661" s="311"/>
    </row>
    <row r="662">
      <c r="D662" s="310"/>
      <c r="E662" s="311"/>
    </row>
    <row r="663">
      <c r="D663" s="310"/>
      <c r="E663" s="311"/>
    </row>
    <row r="664">
      <c r="D664" s="310"/>
      <c r="E664" s="311"/>
    </row>
    <row r="665">
      <c r="D665" s="310"/>
      <c r="E665" s="311"/>
    </row>
    <row r="666">
      <c r="D666" s="310"/>
      <c r="E666" s="311"/>
    </row>
    <row r="667">
      <c r="D667" s="310"/>
      <c r="E667" s="311"/>
    </row>
    <row r="668">
      <c r="D668" s="310"/>
      <c r="E668" s="311"/>
    </row>
    <row r="669">
      <c r="D669" s="310"/>
      <c r="E669" s="311"/>
    </row>
    <row r="670">
      <c r="D670" s="310"/>
      <c r="E670" s="311"/>
    </row>
    <row r="671">
      <c r="D671" s="310"/>
      <c r="E671" s="311"/>
    </row>
    <row r="672">
      <c r="D672" s="310"/>
      <c r="E672" s="311"/>
    </row>
    <row r="673">
      <c r="D673" s="310"/>
      <c r="E673" s="311"/>
    </row>
    <row r="674">
      <c r="D674" s="310"/>
      <c r="E674" s="311"/>
    </row>
    <row r="675">
      <c r="D675" s="310"/>
      <c r="E675" s="311"/>
    </row>
    <row r="676">
      <c r="D676" s="310"/>
      <c r="E676" s="311"/>
    </row>
    <row r="677">
      <c r="D677" s="310"/>
      <c r="E677" s="311"/>
    </row>
    <row r="678">
      <c r="D678" s="310"/>
      <c r="E678" s="311"/>
    </row>
    <row r="679">
      <c r="D679" s="310"/>
      <c r="E679" s="311"/>
    </row>
    <row r="680">
      <c r="D680" s="310"/>
      <c r="E680" s="311"/>
    </row>
    <row r="681">
      <c r="D681" s="310"/>
      <c r="E681" s="311"/>
    </row>
    <row r="682">
      <c r="D682" s="310"/>
      <c r="E682" s="311"/>
    </row>
    <row r="683">
      <c r="D683" s="310"/>
      <c r="E683" s="311"/>
    </row>
    <row r="684">
      <c r="D684" s="310"/>
      <c r="E684" s="311"/>
    </row>
    <row r="685">
      <c r="D685" s="310"/>
      <c r="E685" s="311"/>
    </row>
    <row r="686">
      <c r="D686" s="310"/>
      <c r="E686" s="311"/>
    </row>
    <row r="687">
      <c r="D687" s="310"/>
      <c r="E687" s="311"/>
    </row>
    <row r="688">
      <c r="D688" s="310"/>
      <c r="E688" s="311"/>
    </row>
    <row r="689">
      <c r="D689" s="310"/>
      <c r="E689" s="311"/>
    </row>
    <row r="690">
      <c r="D690" s="310"/>
      <c r="E690" s="311"/>
    </row>
    <row r="691">
      <c r="D691" s="310"/>
      <c r="E691" s="311"/>
    </row>
    <row r="692">
      <c r="D692" s="310"/>
      <c r="E692" s="311"/>
    </row>
    <row r="693">
      <c r="D693" s="310"/>
      <c r="E693" s="311"/>
    </row>
    <row r="694">
      <c r="D694" s="310"/>
      <c r="E694" s="311"/>
    </row>
    <row r="695">
      <c r="D695" s="310"/>
      <c r="E695" s="311"/>
    </row>
    <row r="696">
      <c r="D696" s="310"/>
      <c r="E696" s="311"/>
    </row>
    <row r="697">
      <c r="D697" s="310"/>
      <c r="E697" s="311"/>
    </row>
    <row r="698">
      <c r="D698" s="310"/>
      <c r="E698" s="311"/>
    </row>
    <row r="699">
      <c r="D699" s="310"/>
      <c r="E699" s="311"/>
    </row>
    <row r="700">
      <c r="D700" s="310"/>
      <c r="E700" s="311"/>
    </row>
    <row r="701">
      <c r="D701" s="310"/>
      <c r="E701" s="311"/>
    </row>
    <row r="702">
      <c r="D702" s="310"/>
      <c r="E702" s="311"/>
    </row>
    <row r="703">
      <c r="D703" s="310"/>
      <c r="E703" s="311"/>
    </row>
    <row r="704">
      <c r="D704" s="310"/>
      <c r="E704" s="311"/>
    </row>
    <row r="705">
      <c r="D705" s="310"/>
      <c r="E705" s="311"/>
    </row>
    <row r="706">
      <c r="D706" s="310"/>
      <c r="E706" s="311"/>
    </row>
    <row r="707">
      <c r="D707" s="310"/>
      <c r="E707" s="311"/>
    </row>
    <row r="708">
      <c r="D708" s="310"/>
      <c r="E708" s="311"/>
    </row>
    <row r="709">
      <c r="D709" s="310"/>
      <c r="E709" s="311"/>
    </row>
    <row r="710">
      <c r="D710" s="310"/>
      <c r="E710" s="311"/>
    </row>
    <row r="711">
      <c r="D711" s="310"/>
      <c r="E711" s="311"/>
    </row>
    <row r="712">
      <c r="D712" s="310"/>
      <c r="E712" s="311"/>
    </row>
    <row r="713">
      <c r="D713" s="310"/>
      <c r="E713" s="311"/>
    </row>
    <row r="714">
      <c r="D714" s="310"/>
      <c r="E714" s="311"/>
    </row>
    <row r="715">
      <c r="D715" s="310"/>
      <c r="E715" s="311"/>
    </row>
    <row r="716">
      <c r="D716" s="310"/>
      <c r="E716" s="311"/>
    </row>
    <row r="717">
      <c r="D717" s="310"/>
      <c r="E717" s="311"/>
    </row>
    <row r="718">
      <c r="D718" s="310"/>
      <c r="E718" s="311"/>
    </row>
    <row r="719">
      <c r="D719" s="310"/>
      <c r="E719" s="311"/>
    </row>
    <row r="720">
      <c r="D720" s="310"/>
      <c r="E720" s="311"/>
    </row>
    <row r="721">
      <c r="D721" s="310"/>
      <c r="E721" s="311"/>
    </row>
    <row r="722">
      <c r="D722" s="310"/>
      <c r="E722" s="311"/>
    </row>
    <row r="723">
      <c r="D723" s="310"/>
      <c r="E723" s="311"/>
    </row>
    <row r="724">
      <c r="D724" s="310"/>
      <c r="E724" s="311"/>
    </row>
    <row r="725">
      <c r="D725" s="310"/>
      <c r="E725" s="311"/>
    </row>
    <row r="726">
      <c r="D726" s="310"/>
      <c r="E726" s="311"/>
    </row>
    <row r="727">
      <c r="D727" s="310"/>
      <c r="E727" s="311"/>
    </row>
    <row r="728">
      <c r="D728" s="310"/>
      <c r="E728" s="311"/>
    </row>
    <row r="729">
      <c r="D729" s="310"/>
      <c r="E729" s="311"/>
    </row>
    <row r="730">
      <c r="D730" s="310"/>
      <c r="E730" s="311"/>
    </row>
    <row r="731">
      <c r="D731" s="310"/>
      <c r="E731" s="311"/>
    </row>
    <row r="732">
      <c r="D732" s="310"/>
      <c r="E732" s="311"/>
    </row>
    <row r="733">
      <c r="D733" s="310"/>
      <c r="E733" s="311"/>
    </row>
  </sheetData>
  <autoFilter ref="$A$1:$Q$112"/>
  <mergeCells count="60">
    <mergeCell ref="G67:H67"/>
    <mergeCell ref="G69:H69"/>
    <mergeCell ref="G70:H70"/>
    <mergeCell ref="G71:H71"/>
    <mergeCell ref="G58:H58"/>
    <mergeCell ref="G60:H60"/>
    <mergeCell ref="G62:H62"/>
    <mergeCell ref="G63:H63"/>
    <mergeCell ref="G64:H64"/>
    <mergeCell ref="G65:H65"/>
    <mergeCell ref="G66:H66"/>
    <mergeCell ref="G2:H2"/>
    <mergeCell ref="G3:H3"/>
    <mergeCell ref="G5:H5"/>
    <mergeCell ref="G6:H6"/>
    <mergeCell ref="G7:H7"/>
    <mergeCell ref="G8:H8"/>
    <mergeCell ref="G9:H9"/>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1:H51"/>
    <mergeCell ref="G52:H52"/>
    <mergeCell ref="G53:H53"/>
    <mergeCell ref="G55:H55"/>
    <mergeCell ref="G57:H57"/>
  </mergeCells>
  <conditionalFormatting sqref="K1 K109:K793">
    <cfRule type="expression" dxfId="0" priority="1">
      <formula>K1&lt;45748.0</formula>
    </cfRule>
  </conditionalFormatting>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4" max="4" width="23.75"/>
    <col customWidth="1" min="5" max="5" width="38.25"/>
    <col customWidth="1" min="9" max="9" width="21.25"/>
    <col customWidth="1" min="11" max="11" width="14.0"/>
    <col customWidth="1" min="12" max="12" width="18.38"/>
  </cols>
  <sheetData>
    <row r="1">
      <c r="A1" s="366" t="s">
        <v>0</v>
      </c>
      <c r="B1" s="366" t="s">
        <v>1</v>
      </c>
      <c r="C1" s="366" t="s">
        <v>2</v>
      </c>
      <c r="D1" s="366" t="s">
        <v>603</v>
      </c>
      <c r="E1" s="366" t="s">
        <v>604</v>
      </c>
      <c r="F1" s="366" t="s">
        <v>4</v>
      </c>
      <c r="G1" s="366" t="s">
        <v>5</v>
      </c>
      <c r="H1" s="366" t="s">
        <v>6</v>
      </c>
      <c r="I1" s="366" t="s">
        <v>7</v>
      </c>
      <c r="J1" s="366" t="s">
        <v>8</v>
      </c>
      <c r="K1" s="609" t="s">
        <v>9</v>
      </c>
      <c r="L1" s="366" t="s">
        <v>10</v>
      </c>
      <c r="M1" s="366" t="s">
        <v>11</v>
      </c>
      <c r="N1" s="366" t="s">
        <v>12</v>
      </c>
    </row>
    <row r="2">
      <c r="A2" s="452" t="s">
        <v>16</v>
      </c>
      <c r="B2" s="453">
        <v>4320.0</v>
      </c>
      <c r="C2" s="556" t="s">
        <v>763</v>
      </c>
      <c r="D2" s="453">
        <v>0.0</v>
      </c>
      <c r="E2" s="452" t="s">
        <v>785</v>
      </c>
      <c r="F2" s="452" t="s">
        <v>822</v>
      </c>
      <c r="G2" s="452" t="s">
        <v>787</v>
      </c>
      <c r="H2" s="455"/>
      <c r="I2" s="456">
        <v>38089.0</v>
      </c>
      <c r="J2" s="458">
        <v>45789.0</v>
      </c>
      <c r="K2" s="610" t="str">
        <f>iferror(VLOOKUP(E2,'August 2025 Reference AI'!E:R,7,false),0)</f>
        <v/>
      </c>
      <c r="L2" s="611">
        <f>iferror(VLOOKUP(E2,'August 2025 Reference AI'!E:R,8,false),0)</f>
        <v>31</v>
      </c>
      <c r="M2" s="515">
        <v>45870.0</v>
      </c>
      <c r="N2" s="515">
        <v>45900.0</v>
      </c>
    </row>
    <row r="3" hidden="1">
      <c r="A3" s="452" t="s">
        <v>16</v>
      </c>
      <c r="B3" s="453">
        <v>4320.0</v>
      </c>
      <c r="C3" s="556" t="s">
        <v>763</v>
      </c>
      <c r="D3" s="453">
        <v>0.0</v>
      </c>
      <c r="E3" s="452" t="s">
        <v>261</v>
      </c>
      <c r="F3" s="452" t="s">
        <v>262</v>
      </c>
      <c r="G3" s="452" t="s">
        <v>263</v>
      </c>
      <c r="H3" s="455"/>
      <c r="I3" s="457">
        <v>36529.0</v>
      </c>
      <c r="J3" s="457">
        <v>45505.0</v>
      </c>
      <c r="K3" s="612">
        <v>45604.0</v>
      </c>
      <c r="L3" s="611">
        <f>iferror(VLOOKUP(E3,'August 2025 Reference AI'!E:R,8,false),0)</f>
        <v>0</v>
      </c>
      <c r="M3" s="515">
        <v>45870.0</v>
      </c>
      <c r="N3" s="515">
        <v>45900.0</v>
      </c>
    </row>
    <row r="4">
      <c r="A4" s="452" t="s">
        <v>16</v>
      </c>
      <c r="B4" s="453">
        <v>4320.0</v>
      </c>
      <c r="C4" s="556" t="s">
        <v>763</v>
      </c>
      <c r="D4" s="453">
        <v>0.0</v>
      </c>
      <c r="E4" s="452" t="s">
        <v>436</v>
      </c>
      <c r="F4" s="452" t="s">
        <v>362</v>
      </c>
      <c r="G4" s="452" t="s">
        <v>363</v>
      </c>
      <c r="H4" s="455"/>
      <c r="I4" s="456">
        <v>37149.0</v>
      </c>
      <c r="J4" s="457">
        <v>45397.0</v>
      </c>
      <c r="K4" s="610" t="str">
        <f>iferror(VLOOKUP(E4,'August 2025 Reference AI'!E:R,7,false),0)</f>
        <v/>
      </c>
      <c r="L4" s="611">
        <f>iferror(VLOOKUP(E4,'August 2025 Reference AI'!E:R,8,false),0)</f>
        <v>31</v>
      </c>
      <c r="M4" s="515">
        <v>45870.0</v>
      </c>
      <c r="N4" s="515">
        <v>45900.0</v>
      </c>
    </row>
    <row r="5" hidden="1">
      <c r="A5" s="557" t="s">
        <v>16</v>
      </c>
      <c r="B5" s="558">
        <v>4320.0</v>
      </c>
      <c r="C5" s="556" t="s">
        <v>763</v>
      </c>
      <c r="D5" s="558">
        <v>0.0</v>
      </c>
      <c r="E5" s="557" t="s">
        <v>753</v>
      </c>
      <c r="F5" s="557" t="s">
        <v>754</v>
      </c>
      <c r="G5" s="557" t="s">
        <v>689</v>
      </c>
      <c r="H5" s="559"/>
      <c r="I5" s="560">
        <v>37214.0</v>
      </c>
      <c r="J5" s="561">
        <v>45691.0</v>
      </c>
      <c r="K5" s="613">
        <v>45848.0</v>
      </c>
      <c r="L5" s="611">
        <f>iferror(VLOOKUP(E5,'August 2025 Reference AI'!E:R,8,false),0)</f>
        <v>0</v>
      </c>
      <c r="M5" s="515">
        <v>45870.0</v>
      </c>
      <c r="N5" s="515">
        <v>45900.0</v>
      </c>
    </row>
    <row r="6" hidden="1">
      <c r="A6" s="452" t="s">
        <v>16</v>
      </c>
      <c r="B6" s="453">
        <v>4320.0</v>
      </c>
      <c r="C6" s="556" t="s">
        <v>763</v>
      </c>
      <c r="D6" s="453">
        <v>0.0</v>
      </c>
      <c r="E6" s="452" t="s">
        <v>310</v>
      </c>
      <c r="F6" s="452" t="s">
        <v>311</v>
      </c>
      <c r="G6" s="452" t="s">
        <v>312</v>
      </c>
      <c r="H6" s="455"/>
      <c r="I6" s="456">
        <v>36529.0</v>
      </c>
      <c r="J6" s="456">
        <v>45362.0</v>
      </c>
      <c r="K6" s="614">
        <v>45443.0</v>
      </c>
      <c r="L6" s="611">
        <f>iferror(VLOOKUP(E6,'August 2025 Reference AI'!E:R,8,false),0)</f>
        <v>0</v>
      </c>
      <c r="M6" s="515">
        <v>45870.0</v>
      </c>
      <c r="N6" s="515">
        <v>45900.0</v>
      </c>
    </row>
    <row r="7">
      <c r="A7" s="452" t="s">
        <v>16</v>
      </c>
      <c r="B7" s="453">
        <v>4320.0</v>
      </c>
      <c r="C7" s="556" t="s">
        <v>763</v>
      </c>
      <c r="D7" s="453">
        <v>0.0</v>
      </c>
      <c r="E7" s="517" t="s">
        <v>851</v>
      </c>
      <c r="F7" s="366" t="s">
        <v>852</v>
      </c>
      <c r="G7" s="366" t="s">
        <v>853</v>
      </c>
      <c r="H7" s="369"/>
      <c r="I7" s="371">
        <v>36113.0</v>
      </c>
      <c r="J7" s="371">
        <v>45810.0</v>
      </c>
      <c r="K7" s="610" t="str">
        <f>iferror(VLOOKUP(E7,'August 2025 Reference AI'!E:R,7,false),0)</f>
        <v/>
      </c>
      <c r="L7" s="611">
        <f>iferror(VLOOKUP(E7,'August 2025 Reference AI'!E:R,8,false),0)</f>
        <v>31</v>
      </c>
      <c r="M7" s="515">
        <v>45870.0</v>
      </c>
      <c r="N7" s="515">
        <v>45900.0</v>
      </c>
    </row>
    <row r="8" hidden="1">
      <c r="A8" s="452" t="s">
        <v>16</v>
      </c>
      <c r="B8" s="453">
        <v>4320.0</v>
      </c>
      <c r="C8" s="556" t="s">
        <v>763</v>
      </c>
      <c r="D8" s="453">
        <v>0.0</v>
      </c>
      <c r="E8" s="452" t="s">
        <v>437</v>
      </c>
      <c r="F8" s="452" t="s">
        <v>22</v>
      </c>
      <c r="G8" s="452" t="s">
        <v>23</v>
      </c>
      <c r="H8" s="455"/>
      <c r="I8" s="457">
        <v>36358.0</v>
      </c>
      <c r="J8" s="462">
        <v>45027.0</v>
      </c>
      <c r="K8" s="615">
        <v>45603.0</v>
      </c>
      <c r="L8" s="611">
        <f>iferror(VLOOKUP(E8,'August 2025 Reference AI'!E:R,8,false),0)</f>
        <v>0</v>
      </c>
      <c r="M8" s="515">
        <v>45870.0</v>
      </c>
      <c r="N8" s="515">
        <v>45900.0</v>
      </c>
    </row>
    <row r="9" hidden="1">
      <c r="A9" s="452" t="s">
        <v>16</v>
      </c>
      <c r="B9" s="453">
        <v>4320.0</v>
      </c>
      <c r="C9" s="556" t="s">
        <v>763</v>
      </c>
      <c r="D9" s="453">
        <v>0.0</v>
      </c>
      <c r="E9" s="452" t="s">
        <v>561</v>
      </c>
      <c r="F9" s="452" t="s">
        <v>562</v>
      </c>
      <c r="G9" s="452" t="s">
        <v>563</v>
      </c>
      <c r="H9" s="455"/>
      <c r="I9" s="456">
        <v>36879.0</v>
      </c>
      <c r="J9" s="457">
        <v>45670.0</v>
      </c>
      <c r="K9" s="612">
        <v>45762.0</v>
      </c>
      <c r="L9" s="611">
        <f>iferror(VLOOKUP(E9,'August 2025 Reference AI'!E:R,8,false),0)</f>
        <v>0</v>
      </c>
      <c r="M9" s="515">
        <v>45870.0</v>
      </c>
      <c r="N9" s="515">
        <v>45900.0</v>
      </c>
    </row>
    <row r="10">
      <c r="A10" s="452" t="s">
        <v>16</v>
      </c>
      <c r="B10" s="453">
        <v>4320.0</v>
      </c>
      <c r="C10" s="556" t="s">
        <v>763</v>
      </c>
      <c r="D10" s="453">
        <v>0.0</v>
      </c>
      <c r="E10" s="452" t="s">
        <v>791</v>
      </c>
      <c r="F10" s="452" t="s">
        <v>821</v>
      </c>
      <c r="G10" s="452" t="s">
        <v>793</v>
      </c>
      <c r="H10" s="455"/>
      <c r="I10" s="456">
        <v>36197.0</v>
      </c>
      <c r="J10" s="458">
        <v>45782.0</v>
      </c>
      <c r="K10" s="610" t="str">
        <f>iferror(VLOOKUP(E10,'August 2025 Reference AI'!E:R,7,false),0)</f>
        <v/>
      </c>
      <c r="L10" s="611">
        <f>iferror(VLOOKUP(E10,'August 2025 Reference AI'!E:R,8,false),0)</f>
        <v>31</v>
      </c>
      <c r="M10" s="515">
        <v>45870.0</v>
      </c>
      <c r="N10" s="515">
        <v>45900.0</v>
      </c>
    </row>
    <row r="11" hidden="1">
      <c r="A11" s="452" t="s">
        <v>16</v>
      </c>
      <c r="B11" s="453">
        <v>4320.0</v>
      </c>
      <c r="C11" s="556" t="s">
        <v>763</v>
      </c>
      <c r="D11" s="453">
        <v>0.0</v>
      </c>
      <c r="E11" s="452" t="s">
        <v>605</v>
      </c>
      <c r="F11" s="452" t="s">
        <v>25</v>
      </c>
      <c r="G11" s="452" t="s">
        <v>26</v>
      </c>
      <c r="H11" s="455"/>
      <c r="I11" s="616">
        <v>36860.0</v>
      </c>
      <c r="J11" s="457">
        <v>45124.0</v>
      </c>
      <c r="K11" s="615">
        <v>45527.0</v>
      </c>
      <c r="L11" s="611">
        <f>iferror(VLOOKUP(E11,'August 2025 Reference AI'!E:R,8,false),0)</f>
        <v>0</v>
      </c>
      <c r="M11" s="515">
        <v>45870.0</v>
      </c>
      <c r="N11" s="515">
        <v>45900.0</v>
      </c>
    </row>
    <row r="12">
      <c r="A12" s="452" t="s">
        <v>16</v>
      </c>
      <c r="B12" s="453">
        <v>4320.0</v>
      </c>
      <c r="C12" s="556" t="s">
        <v>763</v>
      </c>
      <c r="D12" s="453">
        <v>0.0</v>
      </c>
      <c r="E12" s="452" t="s">
        <v>407</v>
      </c>
      <c r="F12" s="452" t="s">
        <v>97</v>
      </c>
      <c r="G12" s="452" t="s">
        <v>98</v>
      </c>
      <c r="H12" s="455"/>
      <c r="I12" s="457">
        <v>36690.0</v>
      </c>
      <c r="J12" s="457">
        <v>44938.0</v>
      </c>
      <c r="K12" s="610" t="str">
        <f>iferror(VLOOKUP(E12,'August 2025 Reference AI'!E:R,7,false),0)</f>
        <v/>
      </c>
      <c r="L12" s="611">
        <f>iferror(VLOOKUP(E12,'August 2025 Reference AI'!E:R,8,false),0)</f>
        <v>31</v>
      </c>
      <c r="M12" s="515">
        <v>45870.0</v>
      </c>
      <c r="N12" s="515">
        <v>45900.0</v>
      </c>
    </row>
    <row r="13" hidden="1">
      <c r="A13" s="452" t="s">
        <v>16</v>
      </c>
      <c r="B13" s="453">
        <v>4320.0</v>
      </c>
      <c r="C13" s="556" t="s">
        <v>763</v>
      </c>
      <c r="D13" s="453">
        <v>0.0</v>
      </c>
      <c r="E13" s="452" t="s">
        <v>473</v>
      </c>
      <c r="F13" s="452" t="s">
        <v>530</v>
      </c>
      <c r="G13" s="452" t="s">
        <v>475</v>
      </c>
      <c r="H13" s="455"/>
      <c r="I13" s="457">
        <v>37459.0</v>
      </c>
      <c r="J13" s="456">
        <v>45586.0</v>
      </c>
      <c r="K13" s="612">
        <v>45777.0</v>
      </c>
      <c r="L13" s="611">
        <f>iferror(VLOOKUP(E13,'August 2025 Reference AI'!E:R,8,false),0)</f>
        <v>0</v>
      </c>
      <c r="M13" s="515">
        <v>45870.0</v>
      </c>
      <c r="N13" s="515">
        <v>45900.0</v>
      </c>
    </row>
    <row r="14" hidden="1">
      <c r="A14" s="452" t="s">
        <v>16</v>
      </c>
      <c r="B14" s="453">
        <v>4320.0</v>
      </c>
      <c r="C14" s="556" t="s">
        <v>763</v>
      </c>
      <c r="D14" s="453">
        <v>0.0</v>
      </c>
      <c r="E14" s="452" t="s">
        <v>313</v>
      </c>
      <c r="F14" s="452" t="s">
        <v>314</v>
      </c>
      <c r="G14" s="452" t="s">
        <v>315</v>
      </c>
      <c r="H14" s="455"/>
      <c r="I14" s="457">
        <v>35619.0</v>
      </c>
      <c r="J14" s="456">
        <v>45369.0</v>
      </c>
      <c r="K14" s="615">
        <v>45399.0</v>
      </c>
      <c r="L14" s="611">
        <f>iferror(VLOOKUP(E14,'August 2025 Reference AI'!E:R,8,false),0)</f>
        <v>0</v>
      </c>
      <c r="M14" s="515">
        <v>45870.0</v>
      </c>
      <c r="N14" s="515">
        <v>45900.0</v>
      </c>
    </row>
    <row r="15" hidden="1">
      <c r="A15" s="452" t="s">
        <v>16</v>
      </c>
      <c r="B15" s="453">
        <v>4320.0</v>
      </c>
      <c r="C15" s="556" t="s">
        <v>763</v>
      </c>
      <c r="D15" s="453">
        <v>0.0</v>
      </c>
      <c r="E15" s="452" t="s">
        <v>408</v>
      </c>
      <c r="F15" s="452" t="s">
        <v>409</v>
      </c>
      <c r="G15" s="452" t="s">
        <v>410</v>
      </c>
      <c r="H15" s="455"/>
      <c r="I15" s="456">
        <v>37978.0</v>
      </c>
      <c r="J15" s="457">
        <v>45453.0</v>
      </c>
      <c r="K15" s="617">
        <v>45821.0</v>
      </c>
      <c r="L15" s="611">
        <f>iferror(VLOOKUP(E15,'August 2025 Reference AI'!E:R,8,false),0)</f>
        <v>0</v>
      </c>
      <c r="M15" s="515">
        <v>45870.0</v>
      </c>
      <c r="N15" s="515">
        <v>45900.0</v>
      </c>
    </row>
    <row r="16">
      <c r="A16" s="452" t="s">
        <v>16</v>
      </c>
      <c r="B16" s="453">
        <v>4320.0</v>
      </c>
      <c r="C16" s="556" t="s">
        <v>763</v>
      </c>
      <c r="D16" s="453">
        <v>0.0</v>
      </c>
      <c r="E16" s="452" t="s">
        <v>730</v>
      </c>
      <c r="F16" s="452" t="s">
        <v>731</v>
      </c>
      <c r="G16" s="452" t="s">
        <v>732</v>
      </c>
      <c r="H16" s="455"/>
      <c r="I16" s="456">
        <v>38263.0</v>
      </c>
      <c r="J16" s="456">
        <v>45355.0</v>
      </c>
      <c r="K16" s="610">
        <f>iferror(VLOOKUP(E16,'August 2025 Reference AI'!E:R,7,false),0)</f>
        <v>0</v>
      </c>
      <c r="L16" s="611">
        <f>iferror(VLOOKUP(E16,'August 2025 Reference AI'!E:R,8,false),0)</f>
        <v>31</v>
      </c>
      <c r="M16" s="515">
        <v>45870.0</v>
      </c>
      <c r="N16" s="515">
        <v>45900.0</v>
      </c>
    </row>
    <row r="17">
      <c r="A17" s="452" t="s">
        <v>16</v>
      </c>
      <c r="B17" s="453">
        <v>4320.0</v>
      </c>
      <c r="C17" s="556" t="s">
        <v>763</v>
      </c>
      <c r="D17" s="453">
        <v>0.0</v>
      </c>
      <c r="E17" s="452" t="s">
        <v>606</v>
      </c>
      <c r="F17" s="452" t="s">
        <v>607</v>
      </c>
      <c r="G17" s="452" t="s">
        <v>608</v>
      </c>
      <c r="H17" s="455"/>
      <c r="I17" s="456">
        <v>33844.0</v>
      </c>
      <c r="J17" s="458">
        <v>45778.0</v>
      </c>
      <c r="K17" s="610" t="str">
        <f>iferror(VLOOKUP(E17,'August 2025 Reference AI'!E:R,7,false),0)</f>
        <v/>
      </c>
      <c r="L17" s="611">
        <f>iferror(VLOOKUP(E17,'August 2025 Reference AI'!E:R,8,false),0)</f>
        <v>31</v>
      </c>
      <c r="M17" s="515">
        <v>45870.0</v>
      </c>
      <c r="N17" s="515">
        <v>45900.0</v>
      </c>
    </row>
    <row r="18" hidden="1">
      <c r="A18" s="452" t="s">
        <v>16</v>
      </c>
      <c r="B18" s="453">
        <v>4320.0</v>
      </c>
      <c r="C18" s="556" t="s">
        <v>763</v>
      </c>
      <c r="D18" s="453">
        <v>0.0</v>
      </c>
      <c r="E18" s="452" t="s">
        <v>609</v>
      </c>
      <c r="F18" s="452" t="s">
        <v>31</v>
      </c>
      <c r="G18" s="452" t="s">
        <v>32</v>
      </c>
      <c r="H18" s="455"/>
      <c r="I18" s="457">
        <v>35997.0</v>
      </c>
      <c r="J18" s="458">
        <v>45061.0</v>
      </c>
      <c r="K18" s="612">
        <v>45569.0</v>
      </c>
      <c r="L18" s="611">
        <f>iferror(VLOOKUP(E18,'August 2025 Reference AI'!E:R,8,false),0)</f>
        <v>0</v>
      </c>
      <c r="M18" s="515">
        <v>45870.0</v>
      </c>
      <c r="N18" s="515">
        <v>45900.0</v>
      </c>
    </row>
    <row r="19">
      <c r="A19" s="452" t="s">
        <v>16</v>
      </c>
      <c r="B19" s="453">
        <v>4320.0</v>
      </c>
      <c r="C19" s="556" t="s">
        <v>763</v>
      </c>
      <c r="D19" s="453">
        <v>0.0</v>
      </c>
      <c r="E19" s="452" t="s">
        <v>246</v>
      </c>
      <c r="F19" s="452" t="s">
        <v>247</v>
      </c>
      <c r="G19" s="452" t="s">
        <v>248</v>
      </c>
      <c r="H19" s="455"/>
      <c r="I19" s="457">
        <v>36501.0</v>
      </c>
      <c r="J19" s="456">
        <v>45246.0</v>
      </c>
      <c r="K19" s="610" t="str">
        <f>iferror(VLOOKUP(E19,'August 2025 Reference AI'!E:R,7,false),0)</f>
        <v/>
      </c>
      <c r="L19" s="611">
        <f>iferror(VLOOKUP(E19,'August 2025 Reference AI'!E:R,8,false),0)</f>
        <v>31</v>
      </c>
      <c r="M19" s="515">
        <v>45870.0</v>
      </c>
      <c r="N19" s="515">
        <v>45900.0</v>
      </c>
    </row>
    <row r="20" hidden="1">
      <c r="A20" s="452" t="s">
        <v>16</v>
      </c>
      <c r="B20" s="453">
        <v>4320.0</v>
      </c>
      <c r="C20" s="556" t="s">
        <v>763</v>
      </c>
      <c r="D20" s="453">
        <v>0.0</v>
      </c>
      <c r="E20" s="452" t="s">
        <v>380</v>
      </c>
      <c r="F20" s="452" t="s">
        <v>381</v>
      </c>
      <c r="G20" s="452" t="s">
        <v>382</v>
      </c>
      <c r="H20" s="455"/>
      <c r="I20" s="456">
        <v>35669.0</v>
      </c>
      <c r="J20" s="457">
        <v>45418.0</v>
      </c>
      <c r="K20" s="615">
        <v>45481.0</v>
      </c>
      <c r="L20" s="611">
        <f>iferror(VLOOKUP(E20,'August 2025 Reference AI'!E:R,8,false),0)</f>
        <v>0</v>
      </c>
      <c r="M20" s="515">
        <v>45870.0</v>
      </c>
      <c r="N20" s="515">
        <v>45900.0</v>
      </c>
    </row>
    <row r="21" hidden="1">
      <c r="A21" s="452" t="s">
        <v>16</v>
      </c>
      <c r="B21" s="453">
        <v>4320.0</v>
      </c>
      <c r="C21" s="556" t="s">
        <v>763</v>
      </c>
      <c r="D21" s="453">
        <v>0.0</v>
      </c>
      <c r="E21" s="452" t="s">
        <v>610</v>
      </c>
      <c r="F21" s="452" t="s">
        <v>611</v>
      </c>
      <c r="G21" s="452" t="s">
        <v>612</v>
      </c>
      <c r="H21" s="455"/>
      <c r="I21" s="456">
        <v>35400.0</v>
      </c>
      <c r="J21" s="458">
        <v>45061.0</v>
      </c>
      <c r="K21" s="612">
        <v>45503.0</v>
      </c>
      <c r="L21" s="611">
        <f>iferror(VLOOKUP(E21,'August 2025 Reference AI'!E:R,8,false),0)</f>
        <v>0</v>
      </c>
      <c r="M21" s="515">
        <v>45870.0</v>
      </c>
      <c r="N21" s="515">
        <v>45900.0</v>
      </c>
    </row>
    <row r="22" hidden="1">
      <c r="A22" s="452" t="s">
        <v>16</v>
      </c>
      <c r="B22" s="453">
        <v>4320.0</v>
      </c>
      <c r="C22" s="556" t="s">
        <v>763</v>
      </c>
      <c r="D22" s="453">
        <v>0.0</v>
      </c>
      <c r="E22" s="452" t="s">
        <v>613</v>
      </c>
      <c r="F22" s="452" t="s">
        <v>34</v>
      </c>
      <c r="G22" s="452" t="s">
        <v>35</v>
      </c>
      <c r="H22" s="455"/>
      <c r="I22" s="456">
        <v>35053.0</v>
      </c>
      <c r="J22" s="457">
        <v>45173.0</v>
      </c>
      <c r="K22" s="612">
        <v>45322.0</v>
      </c>
      <c r="L22" s="611">
        <f>iferror(VLOOKUP(E22,'August 2025 Reference AI'!E:R,8,false),0)</f>
        <v>0</v>
      </c>
      <c r="M22" s="515">
        <v>45870.0</v>
      </c>
      <c r="N22" s="515">
        <v>45900.0</v>
      </c>
    </row>
    <row r="23">
      <c r="A23" s="452" t="s">
        <v>16</v>
      </c>
      <c r="B23" s="453">
        <v>4320.0</v>
      </c>
      <c r="C23" s="556" t="s">
        <v>763</v>
      </c>
      <c r="D23" s="453">
        <v>0.0</v>
      </c>
      <c r="E23" s="452" t="s">
        <v>564</v>
      </c>
      <c r="F23" s="452" t="s">
        <v>565</v>
      </c>
      <c r="G23" s="452" t="s">
        <v>566</v>
      </c>
      <c r="H23" s="455"/>
      <c r="I23" s="457">
        <v>34799.0</v>
      </c>
      <c r="J23" s="457">
        <v>45670.0</v>
      </c>
      <c r="K23" s="610" t="str">
        <f>iferror(VLOOKUP(E23,'August 2025 Reference AI'!E:R,7,false),0)</f>
        <v/>
      </c>
      <c r="L23" s="611">
        <f>iferror(VLOOKUP(E23,'August 2025 Reference AI'!E:R,8,false),0)</f>
        <v>31</v>
      </c>
      <c r="M23" s="515">
        <v>45870.0</v>
      </c>
      <c r="N23" s="515">
        <v>45900.0</v>
      </c>
    </row>
    <row r="24" hidden="1">
      <c r="A24" s="452" t="s">
        <v>16</v>
      </c>
      <c r="B24" s="453">
        <v>4320.0</v>
      </c>
      <c r="C24" s="556" t="s">
        <v>763</v>
      </c>
      <c r="D24" s="453">
        <v>0.0</v>
      </c>
      <c r="E24" s="452" t="s">
        <v>552</v>
      </c>
      <c r="F24" s="452" t="s">
        <v>553</v>
      </c>
      <c r="G24" s="452" t="s">
        <v>554</v>
      </c>
      <c r="H24" s="455"/>
      <c r="I24" s="457">
        <v>36904.0</v>
      </c>
      <c r="J24" s="457">
        <v>45663.0</v>
      </c>
      <c r="K24" s="615">
        <v>45412.0</v>
      </c>
      <c r="L24" s="611">
        <f>iferror(VLOOKUP(E24,'August 2025 Reference AI'!E:R,8,false),0)</f>
        <v>0</v>
      </c>
      <c r="M24" s="515">
        <v>45870.0</v>
      </c>
      <c r="N24" s="515">
        <v>45900.0</v>
      </c>
    </row>
    <row r="25" hidden="1">
      <c r="A25" s="452" t="s">
        <v>16</v>
      </c>
      <c r="B25" s="453">
        <v>4320.0</v>
      </c>
      <c r="C25" s="556" t="s">
        <v>763</v>
      </c>
      <c r="D25" s="453">
        <v>0.0</v>
      </c>
      <c r="E25" s="452" t="s">
        <v>614</v>
      </c>
      <c r="F25" s="452" t="s">
        <v>232</v>
      </c>
      <c r="G25" s="452" t="s">
        <v>233</v>
      </c>
      <c r="H25" s="455"/>
      <c r="I25" s="457">
        <v>36634.0</v>
      </c>
      <c r="J25" s="456">
        <v>45250.0</v>
      </c>
      <c r="K25" s="614">
        <v>45428.0</v>
      </c>
      <c r="L25" s="611">
        <f>iferror(VLOOKUP(E25,'August 2025 Reference AI'!E:R,8,false),0)</f>
        <v>0</v>
      </c>
      <c r="M25" s="515">
        <v>45870.0</v>
      </c>
      <c r="N25" s="515">
        <v>45900.0</v>
      </c>
    </row>
    <row r="26" hidden="1">
      <c r="A26" s="452" t="s">
        <v>16</v>
      </c>
      <c r="B26" s="453">
        <v>4320.0</v>
      </c>
      <c r="C26" s="556" t="s">
        <v>763</v>
      </c>
      <c r="D26" s="453">
        <v>0.0</v>
      </c>
      <c r="E26" s="452" t="s">
        <v>36</v>
      </c>
      <c r="F26" s="452" t="s">
        <v>37</v>
      </c>
      <c r="G26" s="452" t="s">
        <v>38</v>
      </c>
      <c r="H26" s="455"/>
      <c r="I26" s="457">
        <v>33408.0</v>
      </c>
      <c r="J26" s="457">
        <v>45078.0</v>
      </c>
      <c r="K26" s="615">
        <v>45366.0</v>
      </c>
      <c r="L26" s="611">
        <f>iferror(VLOOKUP(E26,'August 2025 Reference AI'!E:R,8,false),0)</f>
        <v>0</v>
      </c>
      <c r="M26" s="515">
        <v>45870.0</v>
      </c>
      <c r="N26" s="515">
        <v>45900.0</v>
      </c>
    </row>
    <row r="27" hidden="1">
      <c r="A27" s="452" t="s">
        <v>16</v>
      </c>
      <c r="B27" s="453">
        <v>4320.0</v>
      </c>
      <c r="C27" s="556" t="s">
        <v>763</v>
      </c>
      <c r="D27" s="453">
        <v>0.0</v>
      </c>
      <c r="E27" s="452" t="s">
        <v>39</v>
      </c>
      <c r="F27" s="452" t="s">
        <v>40</v>
      </c>
      <c r="G27" s="452" t="s">
        <v>41</v>
      </c>
      <c r="H27" s="455"/>
      <c r="I27" s="457">
        <v>35983.0</v>
      </c>
      <c r="J27" s="457">
        <v>45082.0</v>
      </c>
      <c r="K27" s="615">
        <v>45362.0</v>
      </c>
      <c r="L27" s="611">
        <f>iferror(VLOOKUP(E27,'August 2025 Reference AI'!E:R,8,false),0)</f>
        <v>0</v>
      </c>
      <c r="M27" s="515">
        <v>45870.0</v>
      </c>
      <c r="N27" s="515">
        <v>45900.0</v>
      </c>
    </row>
    <row r="28" hidden="1">
      <c r="A28" s="452" t="s">
        <v>16</v>
      </c>
      <c r="B28" s="453">
        <v>4320.0</v>
      </c>
      <c r="C28" s="556" t="s">
        <v>763</v>
      </c>
      <c r="D28" s="453">
        <v>0.0</v>
      </c>
      <c r="E28" s="452" t="s">
        <v>615</v>
      </c>
      <c r="F28" s="452" t="s">
        <v>365</v>
      </c>
      <c r="G28" s="452" t="s">
        <v>366</v>
      </c>
      <c r="H28" s="455"/>
      <c r="I28" s="457">
        <v>36703.0</v>
      </c>
      <c r="J28" s="457">
        <v>45411.0</v>
      </c>
      <c r="K28" s="614">
        <v>45432.0</v>
      </c>
      <c r="L28" s="611">
        <f>iferror(VLOOKUP(E28,'August 2025 Reference AI'!E:R,8,false),0)</f>
        <v>0</v>
      </c>
      <c r="M28" s="515">
        <v>45870.0</v>
      </c>
      <c r="N28" s="515">
        <v>45900.0</v>
      </c>
    </row>
    <row r="29" hidden="1">
      <c r="A29" s="452" t="s">
        <v>16</v>
      </c>
      <c r="B29" s="453">
        <v>4320.0</v>
      </c>
      <c r="C29" s="556" t="s">
        <v>763</v>
      </c>
      <c r="D29" s="453">
        <v>0.0</v>
      </c>
      <c r="E29" s="452" t="s">
        <v>234</v>
      </c>
      <c r="F29" s="452" t="s">
        <v>235</v>
      </c>
      <c r="G29" s="452" t="s">
        <v>236</v>
      </c>
      <c r="H29" s="455"/>
      <c r="I29" s="457">
        <v>33048.0</v>
      </c>
      <c r="J29" s="456">
        <v>45243.0</v>
      </c>
      <c r="K29" s="612">
        <v>45329.0</v>
      </c>
      <c r="L29" s="611">
        <f>iferror(VLOOKUP(E29,'August 2025 Reference AI'!E:R,8,false),0)</f>
        <v>0</v>
      </c>
      <c r="M29" s="515">
        <v>45870.0</v>
      </c>
      <c r="N29" s="515">
        <v>45900.0</v>
      </c>
    </row>
    <row r="30" hidden="1">
      <c r="A30" s="452" t="s">
        <v>16</v>
      </c>
      <c r="B30" s="453">
        <v>4320.0</v>
      </c>
      <c r="C30" s="556" t="s">
        <v>763</v>
      </c>
      <c r="D30" s="453">
        <v>0.0</v>
      </c>
      <c r="E30" s="452" t="s">
        <v>616</v>
      </c>
      <c r="F30" s="452" t="s">
        <v>617</v>
      </c>
      <c r="G30" s="452" t="s">
        <v>618</v>
      </c>
      <c r="H30" s="455"/>
      <c r="I30" s="457">
        <v>35082.0</v>
      </c>
      <c r="J30" s="456">
        <v>45194.0</v>
      </c>
      <c r="K30" s="615">
        <v>45199.0</v>
      </c>
      <c r="L30" s="611">
        <f>iferror(VLOOKUP(E30,'August 2025 Reference AI'!E:R,8,false),0)</f>
        <v>0</v>
      </c>
      <c r="M30" s="515">
        <v>45870.0</v>
      </c>
      <c r="N30" s="515">
        <v>45900.0</v>
      </c>
    </row>
    <row r="31" hidden="1">
      <c r="A31" s="452" t="s">
        <v>16</v>
      </c>
      <c r="B31" s="453">
        <v>4320.0</v>
      </c>
      <c r="C31" s="556" t="s">
        <v>763</v>
      </c>
      <c r="D31" s="453">
        <v>0.0</v>
      </c>
      <c r="E31" s="452" t="s">
        <v>316</v>
      </c>
      <c r="F31" s="452" t="s">
        <v>317</v>
      </c>
      <c r="G31" s="452" t="s">
        <v>318</v>
      </c>
      <c r="H31" s="455"/>
      <c r="I31" s="457">
        <v>37274.0</v>
      </c>
      <c r="J31" s="456">
        <v>45362.0</v>
      </c>
      <c r="K31" s="612">
        <v>45688.0</v>
      </c>
      <c r="L31" s="611">
        <f>iferror(VLOOKUP(E31,'August 2025 Reference AI'!E:R,8,false),0)</f>
        <v>0</v>
      </c>
      <c r="M31" s="515">
        <v>45870.0</v>
      </c>
      <c r="N31" s="515">
        <v>45900.0</v>
      </c>
    </row>
    <row r="32">
      <c r="A32" s="452" t="s">
        <v>16</v>
      </c>
      <c r="B32" s="453">
        <v>4320.0</v>
      </c>
      <c r="C32" s="556" t="s">
        <v>763</v>
      </c>
      <c r="D32" s="453">
        <v>0.0</v>
      </c>
      <c r="E32" s="452" t="s">
        <v>264</v>
      </c>
      <c r="F32" s="452" t="s">
        <v>265</v>
      </c>
      <c r="G32" s="452" t="s">
        <v>266</v>
      </c>
      <c r="H32" s="455"/>
      <c r="I32" s="458">
        <v>37398.0</v>
      </c>
      <c r="J32" s="457">
        <v>45096.0</v>
      </c>
      <c r="K32" s="610" t="str">
        <f>iferror(VLOOKUP(E32,'August 2025 Reference AI'!E:R,7,false),0)</f>
        <v/>
      </c>
      <c r="L32" s="611">
        <f>iferror(VLOOKUP(E32,'August 2025 Reference AI'!E:R,8,false),0)</f>
        <v>31</v>
      </c>
      <c r="M32" s="515">
        <v>45870.0</v>
      </c>
      <c r="N32" s="515">
        <v>45900.0</v>
      </c>
    </row>
    <row r="33">
      <c r="A33" s="452" t="s">
        <v>16</v>
      </c>
      <c r="B33" s="453">
        <v>4320.0</v>
      </c>
      <c r="C33" s="556" t="s">
        <v>763</v>
      </c>
      <c r="D33" s="453">
        <v>0.0</v>
      </c>
      <c r="E33" s="452" t="s">
        <v>411</v>
      </c>
      <c r="F33" s="452" t="s">
        <v>412</v>
      </c>
      <c r="G33" s="452" t="s">
        <v>413</v>
      </c>
      <c r="H33" s="455"/>
      <c r="I33" s="456">
        <v>33230.0</v>
      </c>
      <c r="J33" s="457">
        <v>45453.0</v>
      </c>
      <c r="K33" s="610" t="str">
        <f>iferror(VLOOKUP(E33,'August 2025 Reference AI'!E:R,7,false),0)</f>
        <v/>
      </c>
      <c r="L33" s="611">
        <f>iferror(VLOOKUP(E33,'August 2025 Reference AI'!E:R,8,false),0)</f>
        <v>31</v>
      </c>
      <c r="M33" s="515">
        <v>45870.0</v>
      </c>
      <c r="N33" s="515">
        <v>45900.0</v>
      </c>
    </row>
    <row r="34">
      <c r="A34" s="452" t="s">
        <v>16</v>
      </c>
      <c r="B34" s="453">
        <v>4320.0</v>
      </c>
      <c r="C34" s="556" t="s">
        <v>763</v>
      </c>
      <c r="D34" s="453">
        <v>0.0</v>
      </c>
      <c r="E34" s="452" t="s">
        <v>800</v>
      </c>
      <c r="F34" s="452" t="s">
        <v>824</v>
      </c>
      <c r="G34" s="452" t="s">
        <v>802</v>
      </c>
      <c r="H34" s="455"/>
      <c r="I34" s="456">
        <v>36939.0</v>
      </c>
      <c r="J34" s="458">
        <v>45789.0</v>
      </c>
      <c r="K34" s="610" t="str">
        <f>iferror(VLOOKUP(E34,'August 2025 Reference AI'!E:R,7,false),0)</f>
        <v/>
      </c>
      <c r="L34" s="611">
        <f>iferror(VLOOKUP(E34,'August 2025 Reference AI'!E:R,8,false),0)</f>
        <v>31</v>
      </c>
      <c r="M34" s="515">
        <v>45870.0</v>
      </c>
      <c r="N34" s="515">
        <v>45900.0</v>
      </c>
    </row>
    <row r="35">
      <c r="A35" s="557" t="s">
        <v>16</v>
      </c>
      <c r="B35" s="558">
        <v>4320.0</v>
      </c>
      <c r="C35" s="556" t="s">
        <v>763</v>
      </c>
      <c r="D35" s="558">
        <v>0.0</v>
      </c>
      <c r="E35" s="567" t="s">
        <v>845</v>
      </c>
      <c r="F35" s="568" t="s">
        <v>846</v>
      </c>
      <c r="G35" s="568" t="s">
        <v>847</v>
      </c>
      <c r="H35" s="569"/>
      <c r="I35" s="618">
        <v>34794.0</v>
      </c>
      <c r="J35" s="619">
        <v>45809.0</v>
      </c>
      <c r="K35" s="610" t="str">
        <f>iferror(VLOOKUP(E35,'August 2025 Reference AI'!E:R,7,false),0)</f>
        <v>27-Aug-2025</v>
      </c>
      <c r="L35" s="620">
        <f>iferror(VLOOKUP(E35,'August 2025 Reference AI'!E:R,8,false),0)</f>
        <v>27</v>
      </c>
      <c r="M35" s="621">
        <v>45870.0</v>
      </c>
      <c r="N35" s="621">
        <v>45900.0</v>
      </c>
    </row>
    <row r="36">
      <c r="A36" s="452" t="s">
        <v>16</v>
      </c>
      <c r="B36" s="453">
        <v>4320.0</v>
      </c>
      <c r="C36" s="556" t="s">
        <v>763</v>
      </c>
      <c r="D36" s="453">
        <v>0.0</v>
      </c>
      <c r="E36" s="452" t="s">
        <v>690</v>
      </c>
      <c r="F36" s="452" t="s">
        <v>755</v>
      </c>
      <c r="G36" s="452" t="s">
        <v>692</v>
      </c>
      <c r="H36" s="455"/>
      <c r="I36" s="457">
        <v>37137.0</v>
      </c>
      <c r="J36" s="457">
        <v>45691.0</v>
      </c>
      <c r="K36" s="610" t="str">
        <f>iferror(VLOOKUP(E36,'August 2025 Reference AI'!E:R,7,false),0)</f>
        <v/>
      </c>
      <c r="L36" s="611">
        <f>iferror(VLOOKUP(E36,'August 2025 Reference AI'!E:R,8,false),0)</f>
        <v>31</v>
      </c>
      <c r="M36" s="515">
        <v>45870.0</v>
      </c>
      <c r="N36" s="515">
        <v>45900.0</v>
      </c>
    </row>
    <row r="37">
      <c r="A37" s="452" t="s">
        <v>16</v>
      </c>
      <c r="B37" s="453">
        <v>4320.0</v>
      </c>
      <c r="C37" s="556" t="s">
        <v>763</v>
      </c>
      <c r="D37" s="453">
        <v>0.0</v>
      </c>
      <c r="E37" s="452" t="s">
        <v>917</v>
      </c>
      <c r="F37" s="452" t="s">
        <v>694</v>
      </c>
      <c r="G37" s="452" t="s">
        <v>695</v>
      </c>
      <c r="H37" s="455"/>
      <c r="I37" s="457">
        <v>35599.0</v>
      </c>
      <c r="J37" s="456">
        <v>45712.0</v>
      </c>
      <c r="K37" s="610" t="str">
        <f>iferror(VLOOKUP(E37,'August 2025 Reference AI'!E:R,7,false),0)</f>
        <v/>
      </c>
      <c r="L37" s="611">
        <f>iferror(VLOOKUP(E37,'August 2025 Reference AI'!E:R,8,false),0)</f>
        <v>31</v>
      </c>
      <c r="M37" s="515">
        <v>45870.0</v>
      </c>
      <c r="N37" s="515">
        <v>45900.0</v>
      </c>
    </row>
    <row r="38">
      <c r="A38" s="452" t="s">
        <v>16</v>
      </c>
      <c r="B38" s="453">
        <v>4320.0</v>
      </c>
      <c r="C38" s="556" t="s">
        <v>763</v>
      </c>
      <c r="D38" s="453">
        <v>0.0</v>
      </c>
      <c r="E38" s="452" t="s">
        <v>282</v>
      </c>
      <c r="F38" s="452" t="s">
        <v>283</v>
      </c>
      <c r="G38" s="452" t="s">
        <v>284</v>
      </c>
      <c r="H38" s="455"/>
      <c r="I38" s="456">
        <v>35047.0</v>
      </c>
      <c r="J38" s="456">
        <v>45257.0</v>
      </c>
      <c r="K38" s="610" t="str">
        <f>iferror(VLOOKUP(E38,'August 2025 Reference AI'!E:R,7,false),0)</f>
        <v/>
      </c>
      <c r="L38" s="611">
        <f>iferror(VLOOKUP(E38,'August 2025 Reference AI'!E:R,8,false),0)</f>
        <v>31</v>
      </c>
      <c r="M38" s="515">
        <v>45870.0</v>
      </c>
      <c r="N38" s="515">
        <v>45900.0</v>
      </c>
    </row>
    <row r="39">
      <c r="A39" s="452" t="s">
        <v>16</v>
      </c>
      <c r="B39" s="453">
        <v>4320.0</v>
      </c>
      <c r="C39" s="556" t="s">
        <v>763</v>
      </c>
      <c r="D39" s="453">
        <v>0.0</v>
      </c>
      <c r="E39" s="452" t="s">
        <v>481</v>
      </c>
      <c r="F39" s="452" t="s">
        <v>531</v>
      </c>
      <c r="G39" s="452" t="s">
        <v>482</v>
      </c>
      <c r="H39" s="455"/>
      <c r="I39" s="457">
        <v>35096.0</v>
      </c>
      <c r="J39" s="457">
        <v>45602.0</v>
      </c>
      <c r="K39" s="610" t="str">
        <f>iferror(VLOOKUP(E39,'August 2025 Reference AI'!E:R,7,false),0)</f>
        <v/>
      </c>
      <c r="L39" s="611">
        <f>iferror(VLOOKUP(E39,'August 2025 Reference AI'!E:R,8,false),0)</f>
        <v>31</v>
      </c>
      <c r="M39" s="515">
        <v>45870.0</v>
      </c>
      <c r="N39" s="515">
        <v>45900.0</v>
      </c>
    </row>
    <row r="40">
      <c r="A40" s="452" t="s">
        <v>16</v>
      </c>
      <c r="B40" s="453">
        <v>4320.0</v>
      </c>
      <c r="C40" s="556" t="s">
        <v>763</v>
      </c>
      <c r="D40" s="453">
        <v>0.0</v>
      </c>
      <c r="E40" s="452" t="s">
        <v>45</v>
      </c>
      <c r="F40" s="452" t="s">
        <v>46</v>
      </c>
      <c r="G40" s="452" t="s">
        <v>47</v>
      </c>
      <c r="H40" s="455"/>
      <c r="I40" s="462">
        <v>37370.0</v>
      </c>
      <c r="J40" s="457">
        <v>44739.0</v>
      </c>
      <c r="K40" s="610" t="str">
        <f>iferror(VLOOKUP(E40,'August 2025 Reference AI'!E:R,7,false),0)</f>
        <v/>
      </c>
      <c r="L40" s="611">
        <f>iferror(VLOOKUP(E40,'August 2025 Reference AI'!E:R,8,false),0)</f>
        <v>31</v>
      </c>
      <c r="M40" s="515">
        <v>45870.0</v>
      </c>
      <c r="N40" s="515">
        <v>45900.0</v>
      </c>
    </row>
    <row r="41">
      <c r="A41" s="452" t="s">
        <v>16</v>
      </c>
      <c r="B41" s="453">
        <v>4320.0</v>
      </c>
      <c r="C41" s="556" t="s">
        <v>763</v>
      </c>
      <c r="D41" s="453">
        <v>0.0</v>
      </c>
      <c r="E41" s="452" t="s">
        <v>48</v>
      </c>
      <c r="F41" s="452" t="s">
        <v>49</v>
      </c>
      <c r="G41" s="452" t="s">
        <v>50</v>
      </c>
      <c r="H41" s="455"/>
      <c r="I41" s="456">
        <v>36399.0</v>
      </c>
      <c r="J41" s="456">
        <v>45229.0</v>
      </c>
      <c r="K41" s="610" t="str">
        <f>iferror(VLOOKUP(E41,'August 2025 Reference AI'!E:R,7,false),0)</f>
        <v/>
      </c>
      <c r="L41" s="611">
        <f>iferror(VLOOKUP(E41,'August 2025 Reference AI'!E:R,8,false),0)</f>
        <v>31</v>
      </c>
      <c r="M41" s="515">
        <v>45870.0</v>
      </c>
      <c r="N41" s="515">
        <v>45900.0</v>
      </c>
    </row>
    <row r="42">
      <c r="A42" s="452" t="s">
        <v>16</v>
      </c>
      <c r="B42" s="453">
        <v>4320.0</v>
      </c>
      <c r="C42" s="556" t="s">
        <v>763</v>
      </c>
      <c r="D42" s="453">
        <v>0.0</v>
      </c>
      <c r="E42" s="452" t="s">
        <v>444</v>
      </c>
      <c r="F42" s="452" t="s">
        <v>320</v>
      </c>
      <c r="G42" s="452" t="s">
        <v>321</v>
      </c>
      <c r="H42" s="455"/>
      <c r="I42" s="457">
        <v>36360.0</v>
      </c>
      <c r="J42" s="457">
        <v>45355.0</v>
      </c>
      <c r="K42" s="610" t="str">
        <f>iferror(VLOOKUP(E42,'August 2025 Reference AI'!E:R,7,false),0)</f>
        <v/>
      </c>
      <c r="L42" s="611">
        <f>iferror(VLOOKUP(E42,'August 2025 Reference AI'!E:R,8,false),0)</f>
        <v>31</v>
      </c>
      <c r="M42" s="515">
        <v>45870.0</v>
      </c>
      <c r="N42" s="515">
        <v>45900.0</v>
      </c>
    </row>
    <row r="43">
      <c r="A43" s="452" t="s">
        <v>16</v>
      </c>
      <c r="B43" s="453">
        <v>4320.0</v>
      </c>
      <c r="C43" s="556" t="s">
        <v>763</v>
      </c>
      <c r="D43" s="453">
        <v>0.0</v>
      </c>
      <c r="E43" s="452" t="s">
        <v>383</v>
      </c>
      <c r="F43" s="452" t="s">
        <v>384</v>
      </c>
      <c r="G43" s="452" t="s">
        <v>385</v>
      </c>
      <c r="H43" s="455"/>
      <c r="I43" s="457">
        <v>36183.0</v>
      </c>
      <c r="J43" s="457">
        <v>45418.0</v>
      </c>
      <c r="K43" s="610" t="str">
        <f>iferror(VLOOKUP(E43,'August 2025 Reference AI'!E:R,7,false),0)</f>
        <v/>
      </c>
      <c r="L43" s="611">
        <f>iferror(VLOOKUP(E43,'August 2025 Reference AI'!E:R,8,false),0)</f>
        <v>31</v>
      </c>
      <c r="M43" s="515">
        <v>45870.0</v>
      </c>
      <c r="N43" s="515">
        <v>45900.0</v>
      </c>
    </row>
    <row r="44" hidden="1">
      <c r="A44" s="452" t="s">
        <v>16</v>
      </c>
      <c r="B44" s="453">
        <v>4320.0</v>
      </c>
      <c r="C44" s="556" t="s">
        <v>763</v>
      </c>
      <c r="D44" s="453">
        <v>0.0</v>
      </c>
      <c r="E44" s="452" t="s">
        <v>386</v>
      </c>
      <c r="F44" s="452" t="s">
        <v>387</v>
      </c>
      <c r="G44" s="452" t="s">
        <v>388</v>
      </c>
      <c r="H44" s="455"/>
      <c r="I44" s="456">
        <v>37144.0</v>
      </c>
      <c r="J44" s="457">
        <v>45418.0</v>
      </c>
      <c r="K44" s="615">
        <v>45418.0</v>
      </c>
      <c r="L44" s="611">
        <f>iferror(VLOOKUP(E44,'August 2025 Reference AI'!E:R,8,false),0)</f>
        <v>0</v>
      </c>
      <c r="M44" s="515">
        <v>45870.0</v>
      </c>
      <c r="N44" s="515">
        <v>45900.0</v>
      </c>
    </row>
    <row r="45" hidden="1">
      <c r="A45" s="452" t="s">
        <v>16</v>
      </c>
      <c r="B45" s="453">
        <v>4320.0</v>
      </c>
      <c r="C45" s="556" t="s">
        <v>763</v>
      </c>
      <c r="D45" s="453">
        <v>0.0</v>
      </c>
      <c r="E45" s="452" t="s">
        <v>325</v>
      </c>
      <c r="F45" s="452" t="s">
        <v>326</v>
      </c>
      <c r="G45" s="452" t="s">
        <v>327</v>
      </c>
      <c r="H45" s="455"/>
      <c r="I45" s="456">
        <v>36962.0</v>
      </c>
      <c r="J45" s="456">
        <v>45376.0</v>
      </c>
      <c r="K45" s="615">
        <v>45565.0</v>
      </c>
      <c r="L45" s="611">
        <f>iferror(VLOOKUP(E45,'August 2025 Reference AI'!E:R,8,false),0)</f>
        <v>0</v>
      </c>
      <c r="M45" s="515">
        <v>45870.0</v>
      </c>
      <c r="N45" s="515">
        <v>45900.0</v>
      </c>
    </row>
    <row r="46" hidden="1">
      <c r="A46" s="452" t="s">
        <v>16</v>
      </c>
      <c r="B46" s="453">
        <v>4320.0</v>
      </c>
      <c r="C46" s="556" t="s">
        <v>763</v>
      </c>
      <c r="D46" s="453">
        <v>0.0</v>
      </c>
      <c r="E46" s="452" t="s">
        <v>285</v>
      </c>
      <c r="F46" s="452" t="s">
        <v>286</v>
      </c>
      <c r="G46" s="452" t="s">
        <v>287</v>
      </c>
      <c r="H46" s="455"/>
      <c r="I46" s="457">
        <v>37377.0</v>
      </c>
      <c r="J46" s="456">
        <v>45334.0</v>
      </c>
      <c r="K46" s="615">
        <v>45688.0</v>
      </c>
      <c r="L46" s="611">
        <f>iferror(VLOOKUP(E46,'August 2025 Reference AI'!E:R,8,false),0)</f>
        <v>0</v>
      </c>
      <c r="M46" s="515">
        <v>45870.0</v>
      </c>
      <c r="N46" s="515">
        <v>45900.0</v>
      </c>
    </row>
    <row r="47" hidden="1">
      <c r="A47" s="557" t="s">
        <v>16</v>
      </c>
      <c r="B47" s="558">
        <v>4320.0</v>
      </c>
      <c r="C47" s="556" t="s">
        <v>763</v>
      </c>
      <c r="D47" s="558">
        <v>0.0</v>
      </c>
      <c r="E47" s="557" t="s">
        <v>288</v>
      </c>
      <c r="F47" s="557" t="s">
        <v>289</v>
      </c>
      <c r="G47" s="557" t="s">
        <v>290</v>
      </c>
      <c r="H47" s="559"/>
      <c r="I47" s="561">
        <v>37047.0</v>
      </c>
      <c r="J47" s="560">
        <v>45257.0</v>
      </c>
      <c r="K47" s="615">
        <v>45842.0</v>
      </c>
      <c r="L47" s="611">
        <f>iferror(VLOOKUP(E47,'August 2025 Reference AI'!E:R,8,false),0)</f>
        <v>0</v>
      </c>
      <c r="M47" s="515">
        <v>45870.0</v>
      </c>
      <c r="N47" s="515">
        <v>45900.0</v>
      </c>
    </row>
    <row r="48" hidden="1">
      <c r="A48" s="452" t="s">
        <v>16</v>
      </c>
      <c r="B48" s="453">
        <v>4320.0</v>
      </c>
      <c r="C48" s="556" t="s">
        <v>763</v>
      </c>
      <c r="D48" s="453">
        <v>0.0</v>
      </c>
      <c r="E48" s="452" t="s">
        <v>567</v>
      </c>
      <c r="F48" s="452" t="s">
        <v>568</v>
      </c>
      <c r="G48" s="452" t="s">
        <v>569</v>
      </c>
      <c r="H48" s="455"/>
      <c r="I48" s="457">
        <v>37962.0</v>
      </c>
      <c r="J48" s="457">
        <v>45677.0</v>
      </c>
      <c r="K48" s="615">
        <v>45779.0</v>
      </c>
      <c r="L48" s="611">
        <f>iferror(VLOOKUP(E48,'August 2025 Reference AI'!E:R,8,false),0)</f>
        <v>0</v>
      </c>
      <c r="M48" s="515">
        <v>45870.0</v>
      </c>
      <c r="N48" s="515">
        <v>45900.0</v>
      </c>
    </row>
    <row r="49" hidden="1">
      <c r="A49" s="452" t="s">
        <v>16</v>
      </c>
      <c r="B49" s="453">
        <v>4320.0</v>
      </c>
      <c r="C49" s="556" t="s">
        <v>763</v>
      </c>
      <c r="D49" s="453">
        <v>0.0</v>
      </c>
      <c r="E49" s="452" t="s">
        <v>51</v>
      </c>
      <c r="F49" s="452" t="s">
        <v>52</v>
      </c>
      <c r="G49" s="452" t="s">
        <v>53</v>
      </c>
      <c r="H49" s="455"/>
      <c r="I49" s="456">
        <v>34601.0</v>
      </c>
      <c r="J49" s="457">
        <v>44986.0</v>
      </c>
      <c r="K49" s="615">
        <v>45777.0</v>
      </c>
      <c r="L49" s="611">
        <f>iferror(VLOOKUP(E49,'August 2025 Reference AI'!E:R,8,false),0)</f>
        <v>0</v>
      </c>
      <c r="M49" s="515">
        <v>45870.0</v>
      </c>
      <c r="N49" s="515">
        <v>45900.0</v>
      </c>
    </row>
    <row r="50">
      <c r="A50" s="557" t="s">
        <v>16</v>
      </c>
      <c r="B50" s="558">
        <v>4320.0</v>
      </c>
      <c r="C50" s="556" t="s">
        <v>763</v>
      </c>
      <c r="D50" s="558">
        <v>0.0</v>
      </c>
      <c r="E50" s="557" t="s">
        <v>445</v>
      </c>
      <c r="F50" s="557" t="s">
        <v>510</v>
      </c>
      <c r="G50" s="557" t="s">
        <v>447</v>
      </c>
      <c r="H50" s="559"/>
      <c r="I50" s="622">
        <v>37047.0</v>
      </c>
      <c r="J50" s="561">
        <v>45505.0</v>
      </c>
      <c r="K50" s="623" t="str">
        <f>iferror(VLOOKUP(E50,'August 2025 Reference AI'!E:R,7,false),0)</f>
        <v>8-Aug-2025</v>
      </c>
      <c r="L50" s="620">
        <f>iferror(VLOOKUP(E50,'August 2025 Reference AI'!E:R,8,false),0)</f>
        <v>8</v>
      </c>
      <c r="M50" s="621">
        <v>45870.0</v>
      </c>
      <c r="N50" s="621">
        <v>45900.0</v>
      </c>
    </row>
    <row r="51">
      <c r="A51" s="452" t="s">
        <v>16</v>
      </c>
      <c r="B51" s="453">
        <v>4320.0</v>
      </c>
      <c r="C51" s="556" t="s">
        <v>763</v>
      </c>
      <c r="D51" s="453">
        <v>0.0</v>
      </c>
      <c r="E51" s="452" t="s">
        <v>467</v>
      </c>
      <c r="F51" s="452" t="s">
        <v>511</v>
      </c>
      <c r="G51" s="452" t="s">
        <v>450</v>
      </c>
      <c r="H51" s="455"/>
      <c r="I51" s="457">
        <v>36682.0</v>
      </c>
      <c r="J51" s="457">
        <v>45505.0</v>
      </c>
      <c r="K51" s="610" t="str">
        <f>iferror(VLOOKUP(E51,'August 2025 Reference AI'!E:R,7,false),0)</f>
        <v/>
      </c>
      <c r="L51" s="611">
        <f>iferror(VLOOKUP(E51,'August 2025 Reference AI'!E:R,8,false),0)</f>
        <v>31</v>
      </c>
      <c r="M51" s="515">
        <v>45870.0</v>
      </c>
      <c r="N51" s="515">
        <v>45900.0</v>
      </c>
    </row>
    <row r="52">
      <c r="A52" s="452" t="s">
        <v>16</v>
      </c>
      <c r="B52" s="453">
        <v>4320.0</v>
      </c>
      <c r="C52" s="556" t="s">
        <v>763</v>
      </c>
      <c r="D52" s="453">
        <v>0.0</v>
      </c>
      <c r="E52" s="517" t="s">
        <v>848</v>
      </c>
      <c r="F52" s="366" t="s">
        <v>849</v>
      </c>
      <c r="G52" s="366" t="s">
        <v>850</v>
      </c>
      <c r="H52" s="369"/>
      <c r="I52" s="518">
        <v>33637.0</v>
      </c>
      <c r="J52" s="371">
        <v>45809.0</v>
      </c>
      <c r="K52" s="610" t="str">
        <f>iferror(VLOOKUP(E52,'August 2025 Reference AI'!E:R,7,false),0)</f>
        <v/>
      </c>
      <c r="L52" s="611">
        <f>iferror(VLOOKUP(E52,'August 2025 Reference AI'!E:R,8,false),0)</f>
        <v>31</v>
      </c>
      <c r="M52" s="515">
        <v>45870.0</v>
      </c>
      <c r="N52" s="515">
        <v>45900.0</v>
      </c>
    </row>
    <row r="53">
      <c r="A53" s="452" t="s">
        <v>16</v>
      </c>
      <c r="B53" s="453">
        <v>4320.0</v>
      </c>
      <c r="C53" s="556" t="s">
        <v>763</v>
      </c>
      <c r="D53" s="453">
        <v>0.0</v>
      </c>
      <c r="E53" s="452" t="s">
        <v>503</v>
      </c>
      <c r="F53" s="452" t="s">
        <v>542</v>
      </c>
      <c r="G53" s="452" t="s">
        <v>504</v>
      </c>
      <c r="H53" s="455"/>
      <c r="I53" s="457">
        <v>37422.0</v>
      </c>
      <c r="J53" s="457">
        <v>45635.0</v>
      </c>
      <c r="K53" s="610" t="str">
        <f>iferror(VLOOKUP(E53,'August 2025 Reference AI'!E:R,7,false),0)</f>
        <v/>
      </c>
      <c r="L53" s="611">
        <f>iferror(VLOOKUP(E53,'August 2025 Reference AI'!E:R,8,false),0)</f>
        <v>31</v>
      </c>
      <c r="M53" s="515">
        <v>45870.0</v>
      </c>
      <c r="N53" s="515">
        <v>45900.0</v>
      </c>
    </row>
    <row r="54" hidden="1">
      <c r="A54" s="452" t="s">
        <v>16</v>
      </c>
      <c r="B54" s="453">
        <v>4320.0</v>
      </c>
      <c r="C54" s="556" t="s">
        <v>763</v>
      </c>
      <c r="D54" s="453">
        <v>0.0</v>
      </c>
      <c r="E54" s="452" t="s">
        <v>497</v>
      </c>
      <c r="F54" s="452" t="s">
        <v>539</v>
      </c>
      <c r="G54" s="452" t="s">
        <v>498</v>
      </c>
      <c r="H54" s="455"/>
      <c r="I54" s="458">
        <v>37026.0</v>
      </c>
      <c r="J54" s="457">
        <v>45628.0</v>
      </c>
      <c r="K54" s="615">
        <v>45758.0</v>
      </c>
      <c r="L54" s="611">
        <f>iferror(VLOOKUP(E54,'August 2025 Reference AI'!E:R,8,false),0)</f>
        <v>0</v>
      </c>
      <c r="M54" s="515">
        <v>45870.0</v>
      </c>
      <c r="N54" s="515">
        <v>45900.0</v>
      </c>
    </row>
    <row r="55" hidden="1">
      <c r="A55" s="452" t="s">
        <v>16</v>
      </c>
      <c r="B55" s="453">
        <v>4320.0</v>
      </c>
      <c r="C55" s="556" t="s">
        <v>763</v>
      </c>
      <c r="D55" s="453">
        <v>0.0</v>
      </c>
      <c r="E55" s="452" t="s">
        <v>249</v>
      </c>
      <c r="F55" s="452" t="s">
        <v>250</v>
      </c>
      <c r="G55" s="452" t="s">
        <v>251</v>
      </c>
      <c r="H55" s="455"/>
      <c r="I55" s="457">
        <v>37322.0</v>
      </c>
      <c r="J55" s="457">
        <v>45096.0</v>
      </c>
      <c r="K55" s="615">
        <v>45523.0</v>
      </c>
      <c r="L55" s="611">
        <f>iferror(VLOOKUP(E55,'August 2025 Reference AI'!E:R,8,false),0)</f>
        <v>0</v>
      </c>
      <c r="M55" s="515">
        <v>45870.0</v>
      </c>
      <c r="N55" s="515">
        <v>45900.0</v>
      </c>
    </row>
    <row r="56">
      <c r="A56" s="452" t="s">
        <v>16</v>
      </c>
      <c r="B56" s="453">
        <v>4320.0</v>
      </c>
      <c r="C56" s="556" t="s">
        <v>763</v>
      </c>
      <c r="D56" s="453">
        <v>0.0</v>
      </c>
      <c r="E56" s="452" t="s">
        <v>291</v>
      </c>
      <c r="F56" s="452" t="s">
        <v>292</v>
      </c>
      <c r="G56" s="452" t="s">
        <v>293</v>
      </c>
      <c r="H56" s="455"/>
      <c r="I56" s="456">
        <v>37219.0</v>
      </c>
      <c r="J56" s="456">
        <v>45257.0</v>
      </c>
      <c r="K56" s="610" t="str">
        <f>iferror(VLOOKUP(E56,'August 2025 Reference AI'!E:R,7,false),0)</f>
        <v>14-Aug-2025</v>
      </c>
      <c r="L56" s="611">
        <f>iferror(VLOOKUP(E56,'August 2025 Reference AI'!E:R,8,false),0)</f>
        <v>14</v>
      </c>
      <c r="M56" s="515">
        <v>45870.0</v>
      </c>
      <c r="N56" s="515">
        <v>45900.0</v>
      </c>
    </row>
    <row r="57">
      <c r="A57" s="452" t="s">
        <v>16</v>
      </c>
      <c r="B57" s="453">
        <v>4320.0</v>
      </c>
      <c r="C57" s="556" t="s">
        <v>763</v>
      </c>
      <c r="D57" s="453">
        <v>0.0</v>
      </c>
      <c r="E57" s="452" t="s">
        <v>806</v>
      </c>
      <c r="F57" s="452" t="s">
        <v>825</v>
      </c>
      <c r="G57" s="452" t="s">
        <v>808</v>
      </c>
      <c r="H57" s="455"/>
      <c r="I57" s="456">
        <v>36061.0</v>
      </c>
      <c r="J57" s="458">
        <v>45796.0</v>
      </c>
      <c r="K57" s="610" t="str">
        <f>iferror(VLOOKUP(E57,'August 2025 Reference AI'!E:R,7,false),0)</f>
        <v/>
      </c>
      <c r="L57" s="611">
        <f>iferror(VLOOKUP(E57,'August 2025 Reference AI'!E:R,8,false),0)</f>
        <v>31</v>
      </c>
      <c r="M57" s="515">
        <v>45870.0</v>
      </c>
      <c r="N57" s="515">
        <v>45900.0</v>
      </c>
    </row>
    <row r="58" hidden="1">
      <c r="A58" s="452" t="s">
        <v>16</v>
      </c>
      <c r="B58" s="453">
        <v>4320.0</v>
      </c>
      <c r="C58" s="556" t="s">
        <v>763</v>
      </c>
      <c r="D58" s="453">
        <v>0.0</v>
      </c>
      <c r="E58" s="452" t="s">
        <v>619</v>
      </c>
      <c r="F58" s="452" t="s">
        <v>220</v>
      </c>
      <c r="G58" s="452" t="s">
        <v>221</v>
      </c>
      <c r="H58" s="455"/>
      <c r="I58" s="456">
        <v>36408.0</v>
      </c>
      <c r="J58" s="457">
        <v>45173.0</v>
      </c>
      <c r="K58" s="612">
        <v>45412.0</v>
      </c>
      <c r="L58" s="611">
        <f>iferror(VLOOKUP(E58,'August 2025 Reference AI'!E:R,8,false),0)</f>
        <v>0</v>
      </c>
      <c r="M58" s="515">
        <v>45870.0</v>
      </c>
      <c r="N58" s="515">
        <v>45900.0</v>
      </c>
    </row>
    <row r="59">
      <c r="A59" s="452" t="s">
        <v>16</v>
      </c>
      <c r="B59" s="453">
        <v>4320.0</v>
      </c>
      <c r="C59" s="556" t="s">
        <v>763</v>
      </c>
      <c r="D59" s="453">
        <v>0.0</v>
      </c>
      <c r="E59" s="517" t="s">
        <v>854</v>
      </c>
      <c r="F59" s="366" t="s">
        <v>855</v>
      </c>
      <c r="G59" s="366" t="s">
        <v>856</v>
      </c>
      <c r="H59" s="369"/>
      <c r="I59" s="371">
        <v>36059.0</v>
      </c>
      <c r="J59" s="371">
        <v>45810.0</v>
      </c>
      <c r="K59" s="610" t="str">
        <f>iferror(VLOOKUP(E59,'August 2025 Reference AI'!E:R,7,false),0)</f>
        <v/>
      </c>
      <c r="L59" s="611">
        <f>iferror(VLOOKUP(E59,'August 2025 Reference AI'!E:R,8,false),0)</f>
        <v>31</v>
      </c>
      <c r="M59" s="515">
        <v>45870.0</v>
      </c>
      <c r="N59" s="515">
        <v>45900.0</v>
      </c>
    </row>
    <row r="60" hidden="1">
      <c r="A60" s="452" t="s">
        <v>16</v>
      </c>
      <c r="B60" s="453">
        <v>4320.0</v>
      </c>
      <c r="C60" s="556" t="s">
        <v>763</v>
      </c>
      <c r="D60" s="453">
        <v>0.0</v>
      </c>
      <c r="E60" s="452" t="s">
        <v>367</v>
      </c>
      <c r="F60" s="452" t="s">
        <v>368</v>
      </c>
      <c r="G60" s="452" t="s">
        <v>369</v>
      </c>
      <c r="H60" s="455"/>
      <c r="I60" s="457">
        <v>36718.0</v>
      </c>
      <c r="J60" s="457">
        <v>45397.0</v>
      </c>
      <c r="K60" s="615">
        <v>45485.0</v>
      </c>
      <c r="L60" s="611">
        <f>iferror(VLOOKUP(E60,'August 2025 Reference AI'!E:R,8,false),0)</f>
        <v>0</v>
      </c>
      <c r="M60" s="515">
        <v>45870.0</v>
      </c>
      <c r="N60" s="515">
        <v>45900.0</v>
      </c>
    </row>
    <row r="61">
      <c r="A61" s="452" t="s">
        <v>16</v>
      </c>
      <c r="B61" s="453">
        <v>4320.0</v>
      </c>
      <c r="C61" s="556" t="s">
        <v>763</v>
      </c>
      <c r="D61" s="453">
        <v>0.0</v>
      </c>
      <c r="E61" s="452" t="s">
        <v>594</v>
      </c>
      <c r="F61" s="452" t="s">
        <v>595</v>
      </c>
      <c r="G61" s="452" t="s">
        <v>596</v>
      </c>
      <c r="H61" s="455"/>
      <c r="I61" s="457">
        <v>37809.0</v>
      </c>
      <c r="J61" s="457">
        <v>45684.0</v>
      </c>
      <c r="K61" s="610" t="str">
        <f>iferror(VLOOKUP(E61,'August 2025 Reference AI'!E:R,7,false),0)</f>
        <v/>
      </c>
      <c r="L61" s="611">
        <f>iferror(VLOOKUP(E61,'August 2025 Reference AI'!E:R,8,false),0)</f>
        <v>31</v>
      </c>
      <c r="M61" s="515">
        <v>45870.0</v>
      </c>
      <c r="N61" s="515">
        <v>45900.0</v>
      </c>
    </row>
    <row r="62" hidden="1">
      <c r="A62" s="452" t="s">
        <v>16</v>
      </c>
      <c r="B62" s="453">
        <v>4320.0</v>
      </c>
      <c r="C62" s="556" t="s">
        <v>763</v>
      </c>
      <c r="D62" s="453">
        <v>0.0</v>
      </c>
      <c r="E62" s="452" t="s">
        <v>60</v>
      </c>
      <c r="F62" s="452" t="s">
        <v>61</v>
      </c>
      <c r="G62" s="452" t="s">
        <v>62</v>
      </c>
      <c r="H62" s="455"/>
      <c r="I62" s="456">
        <v>36246.0</v>
      </c>
      <c r="J62" s="456">
        <v>44851.0</v>
      </c>
      <c r="K62" s="617">
        <v>45838.0</v>
      </c>
      <c r="L62" s="611">
        <f>iferror(VLOOKUP(E62,'August 2025 Reference AI'!E:R,8,false),0)</f>
        <v>0</v>
      </c>
      <c r="M62" s="515">
        <v>45870.0</v>
      </c>
      <c r="N62" s="515">
        <v>45900.0</v>
      </c>
    </row>
    <row r="63">
      <c r="A63" s="452" t="s">
        <v>16</v>
      </c>
      <c r="B63" s="453">
        <v>4320.0</v>
      </c>
      <c r="C63" s="556" t="s">
        <v>763</v>
      </c>
      <c r="D63" s="453">
        <v>0.0</v>
      </c>
      <c r="E63" s="452" t="s">
        <v>63</v>
      </c>
      <c r="F63" s="452" t="s">
        <v>64</v>
      </c>
      <c r="G63" s="452" t="s">
        <v>65</v>
      </c>
      <c r="H63" s="455"/>
      <c r="I63" s="457">
        <v>35606.0</v>
      </c>
      <c r="J63" s="457">
        <v>44896.0</v>
      </c>
      <c r="K63" s="610" t="str">
        <f>iferror(VLOOKUP(E63,'August 2025 Reference AI'!E:R,7,false),0)</f>
        <v/>
      </c>
      <c r="L63" s="611">
        <f>iferror(VLOOKUP(E63,'August 2025 Reference AI'!E:R,8,false),0)</f>
        <v>31</v>
      </c>
      <c r="M63" s="515">
        <v>45870.0</v>
      </c>
      <c r="N63" s="515">
        <v>45900.0</v>
      </c>
    </row>
    <row r="64">
      <c r="A64" s="452" t="s">
        <v>16</v>
      </c>
      <c r="B64" s="453">
        <v>4320.0</v>
      </c>
      <c r="C64" s="556" t="s">
        <v>763</v>
      </c>
      <c r="D64" s="453">
        <v>0.0</v>
      </c>
      <c r="E64" s="452" t="s">
        <v>63</v>
      </c>
      <c r="F64" s="452" t="s">
        <v>543</v>
      </c>
      <c r="G64" s="452" t="s">
        <v>505</v>
      </c>
      <c r="H64" s="455"/>
      <c r="I64" s="457">
        <v>36725.0</v>
      </c>
      <c r="J64" s="457">
        <v>45635.0</v>
      </c>
      <c r="K64" s="610" t="str">
        <f>iferror(VLOOKUP(E64,'August 2025 Reference AI'!E:R,7,false),0)</f>
        <v/>
      </c>
      <c r="L64" s="611">
        <f>iferror(VLOOKUP(E64,'August 2025 Reference AI'!E:R,8,false),0)</f>
        <v>31</v>
      </c>
      <c r="M64" s="515">
        <v>45870.0</v>
      </c>
      <c r="N64" s="515">
        <v>45900.0</v>
      </c>
    </row>
    <row r="65">
      <c r="A65" s="452" t="s">
        <v>16</v>
      </c>
      <c r="B65" s="453">
        <v>4320.0</v>
      </c>
      <c r="C65" s="556" t="s">
        <v>763</v>
      </c>
      <c r="D65" s="453">
        <v>0.0</v>
      </c>
      <c r="E65" s="452" t="s">
        <v>744</v>
      </c>
      <c r="F65" s="452" t="s">
        <v>745</v>
      </c>
      <c r="G65" s="452" t="s">
        <v>746</v>
      </c>
      <c r="H65" s="455"/>
      <c r="I65" s="456">
        <v>37479.0</v>
      </c>
      <c r="J65" s="456">
        <v>45726.0</v>
      </c>
      <c r="K65" s="610" t="str">
        <f>iferror(VLOOKUP(E65,'August 2025 Reference AI'!E:R,7,false),0)</f>
        <v/>
      </c>
      <c r="L65" s="611">
        <f>iferror(VLOOKUP(E65,'August 2025 Reference AI'!E:R,8,false),0)</f>
        <v>31</v>
      </c>
      <c r="M65" s="515">
        <v>45870.0</v>
      </c>
      <c r="N65" s="515">
        <v>45900.0</v>
      </c>
    </row>
    <row r="66" hidden="1">
      <c r="A66" s="452" t="s">
        <v>16</v>
      </c>
      <c r="B66" s="453">
        <v>4320.0</v>
      </c>
      <c r="C66" s="556" t="s">
        <v>763</v>
      </c>
      <c r="D66" s="453">
        <v>0.0</v>
      </c>
      <c r="E66" s="452" t="s">
        <v>620</v>
      </c>
      <c r="F66" s="452" t="s">
        <v>621</v>
      </c>
      <c r="G66" s="452" t="s">
        <v>622</v>
      </c>
      <c r="H66" s="455"/>
      <c r="I66" s="457">
        <v>37067.0</v>
      </c>
      <c r="J66" s="456">
        <v>45216.0</v>
      </c>
      <c r="K66" s="615">
        <v>45453.0</v>
      </c>
      <c r="L66" s="611">
        <f>iferror(VLOOKUP(E66,'August 2025 Reference AI'!E:R,8,false),0)</f>
        <v>0</v>
      </c>
      <c r="M66" s="515">
        <v>45870.0</v>
      </c>
      <c r="N66" s="515">
        <v>45900.0</v>
      </c>
    </row>
    <row r="67">
      <c r="A67" s="452" t="s">
        <v>16</v>
      </c>
      <c r="B67" s="453">
        <v>4320.0</v>
      </c>
      <c r="C67" s="556" t="s">
        <v>763</v>
      </c>
      <c r="D67" s="453">
        <v>0.0</v>
      </c>
      <c r="E67" s="452" t="s">
        <v>764</v>
      </c>
      <c r="F67" s="452" t="s">
        <v>765</v>
      </c>
      <c r="G67" s="452" t="s">
        <v>766</v>
      </c>
      <c r="H67" s="455"/>
      <c r="I67" s="456">
        <v>36087.0</v>
      </c>
      <c r="J67" s="456">
        <v>45761.0</v>
      </c>
      <c r="K67" s="610" t="str">
        <f>iferror(VLOOKUP(E67,'August 2025 Reference AI'!E:R,7,false),0)</f>
        <v/>
      </c>
      <c r="L67" s="611">
        <f>iferror(VLOOKUP(E67,'August 2025 Reference AI'!E:R,8,false),0)</f>
        <v>31</v>
      </c>
      <c r="M67" s="515">
        <v>45870.0</v>
      </c>
      <c r="N67" s="515">
        <v>45900.0</v>
      </c>
    </row>
    <row r="68">
      <c r="A68" s="452" t="s">
        <v>16</v>
      </c>
      <c r="B68" s="453">
        <v>4320.0</v>
      </c>
      <c r="C68" s="556" t="s">
        <v>763</v>
      </c>
      <c r="D68" s="453">
        <v>0.0</v>
      </c>
      <c r="E68" s="452" t="s">
        <v>591</v>
      </c>
      <c r="F68" s="452" t="s">
        <v>592</v>
      </c>
      <c r="G68" s="452" t="s">
        <v>593</v>
      </c>
      <c r="H68" s="455"/>
      <c r="I68" s="458">
        <v>37041.0</v>
      </c>
      <c r="J68" s="457">
        <v>45684.0</v>
      </c>
      <c r="K68" s="610" t="str">
        <f>iferror(VLOOKUP(E68,'August 2025 Reference AI'!E:R,7,false),0)</f>
        <v/>
      </c>
      <c r="L68" s="611">
        <f>iferror(VLOOKUP(E68,'August 2025 Reference AI'!E:R,8,false),0)</f>
        <v>31</v>
      </c>
      <c r="M68" s="515">
        <v>45870.0</v>
      </c>
      <c r="N68" s="515">
        <v>45900.0</v>
      </c>
    </row>
    <row r="69" hidden="1">
      <c r="A69" s="557" t="s">
        <v>16</v>
      </c>
      <c r="B69" s="558">
        <v>4320.0</v>
      </c>
      <c r="C69" s="556" t="s">
        <v>763</v>
      </c>
      <c r="D69" s="558">
        <v>0.0</v>
      </c>
      <c r="E69" s="557" t="s">
        <v>597</v>
      </c>
      <c r="F69" s="557" t="s">
        <v>598</v>
      </c>
      <c r="G69" s="557" t="s">
        <v>599</v>
      </c>
      <c r="H69" s="559"/>
      <c r="I69" s="561">
        <v>37265.0</v>
      </c>
      <c r="J69" s="561">
        <v>45684.0</v>
      </c>
      <c r="K69" s="617">
        <v>45853.0</v>
      </c>
      <c r="L69" s="611">
        <f>iferror(VLOOKUP(E69,'August 2025 Reference AI'!E:R,8,false),0)</f>
        <v>0</v>
      </c>
      <c r="M69" s="515">
        <v>45870.0</v>
      </c>
      <c r="N69" s="515">
        <v>45900.0</v>
      </c>
    </row>
    <row r="70" hidden="1">
      <c r="A70" s="452" t="s">
        <v>16</v>
      </c>
      <c r="B70" s="453">
        <v>4320.0</v>
      </c>
      <c r="C70" s="556" t="s">
        <v>763</v>
      </c>
      <c r="D70" s="453">
        <v>0.0</v>
      </c>
      <c r="E70" s="452" t="s">
        <v>66</v>
      </c>
      <c r="F70" s="452" t="s">
        <v>67</v>
      </c>
      <c r="G70" s="452" t="s">
        <v>68</v>
      </c>
      <c r="H70" s="455"/>
      <c r="I70" s="457">
        <v>34973.0</v>
      </c>
      <c r="J70" s="457">
        <v>44986.0</v>
      </c>
      <c r="K70" s="615">
        <v>45562.0</v>
      </c>
      <c r="L70" s="611">
        <f>iferror(VLOOKUP(E70,'August 2025 Reference AI'!E:R,8,false),0)</f>
        <v>0</v>
      </c>
      <c r="M70" s="515">
        <v>45870.0</v>
      </c>
      <c r="N70" s="515">
        <v>45900.0</v>
      </c>
    </row>
    <row r="71">
      <c r="A71" s="452" t="s">
        <v>16</v>
      </c>
      <c r="B71" s="453">
        <v>4320.0</v>
      </c>
      <c r="C71" s="556" t="s">
        <v>763</v>
      </c>
      <c r="D71" s="453">
        <v>0.0</v>
      </c>
      <c r="E71" s="452" t="s">
        <v>267</v>
      </c>
      <c r="F71" s="452" t="s">
        <v>268</v>
      </c>
      <c r="G71" s="452" t="s">
        <v>269</v>
      </c>
      <c r="H71" s="455"/>
      <c r="I71" s="456">
        <v>34590.0</v>
      </c>
      <c r="J71" s="457">
        <v>45313.0</v>
      </c>
      <c r="K71" s="610" t="str">
        <f>iferror(VLOOKUP(E71,'August 2025 Reference AI'!E:R,7,false),0)</f>
        <v>13-Aug-2025</v>
      </c>
      <c r="L71" s="611">
        <f>iferror(VLOOKUP(E71,'August 2025 Reference AI'!E:R,8,false),0)</f>
        <v>13</v>
      </c>
      <c r="M71" s="515">
        <v>45870.0</v>
      </c>
      <c r="N71" s="515">
        <v>45900.0</v>
      </c>
    </row>
    <row r="72" hidden="1">
      <c r="A72" s="557" t="s">
        <v>16</v>
      </c>
      <c r="B72" s="558">
        <v>4320.0</v>
      </c>
      <c r="C72" s="556" t="s">
        <v>763</v>
      </c>
      <c r="D72" s="558">
        <v>0.0</v>
      </c>
      <c r="E72" s="557" t="s">
        <v>69</v>
      </c>
      <c r="F72" s="557" t="s">
        <v>70</v>
      </c>
      <c r="G72" s="557" t="s">
        <v>71</v>
      </c>
      <c r="H72" s="559"/>
      <c r="I72" s="560">
        <v>36891.0</v>
      </c>
      <c r="J72" s="561">
        <v>44739.0</v>
      </c>
      <c r="K72" s="624">
        <v>45838.0</v>
      </c>
      <c r="L72" s="611">
        <f>iferror(VLOOKUP(E72,'August 2025 Reference AI'!E:R,8,false),0)</f>
        <v>0</v>
      </c>
      <c r="M72" s="515">
        <v>45870.0</v>
      </c>
      <c r="N72" s="515">
        <v>45900.0</v>
      </c>
    </row>
    <row r="73" hidden="1">
      <c r="A73" s="452" t="s">
        <v>16</v>
      </c>
      <c r="B73" s="453">
        <v>4320.0</v>
      </c>
      <c r="C73" s="556" t="s">
        <v>763</v>
      </c>
      <c r="D73" s="453">
        <v>0.0</v>
      </c>
      <c r="E73" s="452" t="s">
        <v>252</v>
      </c>
      <c r="F73" s="452" t="s">
        <v>253</v>
      </c>
      <c r="G73" s="452" t="s">
        <v>254</v>
      </c>
      <c r="H73" s="455"/>
      <c r="I73" s="456">
        <v>37516.0</v>
      </c>
      <c r="J73" s="456">
        <v>45159.0</v>
      </c>
      <c r="K73" s="615">
        <v>45450.0</v>
      </c>
      <c r="L73" s="611">
        <f>iferror(VLOOKUP(E73,'August 2025 Reference AI'!E:R,8,false),0)</f>
        <v>0</v>
      </c>
      <c r="M73" s="515">
        <v>45870.0</v>
      </c>
      <c r="N73" s="515">
        <v>45900.0</v>
      </c>
    </row>
    <row r="74">
      <c r="A74" s="452" t="s">
        <v>16</v>
      </c>
      <c r="B74" s="453">
        <v>4320.0</v>
      </c>
      <c r="C74" s="556" t="s">
        <v>763</v>
      </c>
      <c r="D74" s="453">
        <v>0.0</v>
      </c>
      <c r="E74" s="452" t="s">
        <v>468</v>
      </c>
      <c r="F74" s="452" t="s">
        <v>527</v>
      </c>
      <c r="G74" s="452" t="s">
        <v>469</v>
      </c>
      <c r="H74" s="455"/>
      <c r="I74" s="457">
        <v>35986.0</v>
      </c>
      <c r="J74" s="457">
        <v>45537.0</v>
      </c>
      <c r="K74" s="610" t="str">
        <f>iferror(VLOOKUP(E74,'August 2025 Reference AI'!E:R,7,false),0)</f>
        <v/>
      </c>
      <c r="L74" s="611">
        <f>iferror(VLOOKUP(E74,'August 2025 Reference AI'!E:R,8,false),0)</f>
        <v>31</v>
      </c>
      <c r="M74" s="515">
        <v>45870.0</v>
      </c>
      <c r="N74" s="515">
        <v>45900.0</v>
      </c>
    </row>
    <row r="75" hidden="1">
      <c r="A75" s="452" t="s">
        <v>16</v>
      </c>
      <c r="B75" s="453">
        <v>4320.0</v>
      </c>
      <c r="C75" s="556" t="s">
        <v>763</v>
      </c>
      <c r="D75" s="453">
        <v>0.0</v>
      </c>
      <c r="E75" s="452" t="s">
        <v>72</v>
      </c>
      <c r="F75" s="452" t="s">
        <v>73</v>
      </c>
      <c r="G75" s="452" t="s">
        <v>74</v>
      </c>
      <c r="H75" s="455"/>
      <c r="I75" s="456">
        <v>37210.0</v>
      </c>
      <c r="J75" s="457">
        <v>44562.0</v>
      </c>
      <c r="K75" s="614">
        <v>45442.0</v>
      </c>
      <c r="L75" s="611">
        <f>iferror(VLOOKUP(E75,'August 2025 Reference AI'!E:R,8,false),0)</f>
        <v>0</v>
      </c>
      <c r="M75" s="515">
        <v>45870.0</v>
      </c>
      <c r="N75" s="515">
        <v>45900.0</v>
      </c>
    </row>
    <row r="76">
      <c r="A76" s="452" t="s">
        <v>16</v>
      </c>
      <c r="B76" s="453">
        <v>4320.0</v>
      </c>
      <c r="C76" s="556" t="s">
        <v>763</v>
      </c>
      <c r="D76" s="453">
        <v>0.0</v>
      </c>
      <c r="E76" s="452" t="s">
        <v>797</v>
      </c>
      <c r="F76" s="452" t="s">
        <v>798</v>
      </c>
      <c r="G76" s="452" t="s">
        <v>799</v>
      </c>
      <c r="H76" s="455"/>
      <c r="I76" s="456">
        <v>37709.0</v>
      </c>
      <c r="J76" s="458">
        <v>45789.0</v>
      </c>
      <c r="K76" s="610" t="str">
        <f>iferror(VLOOKUP(E76,'August 2025 Reference AI'!E:R,7,false),0)</f>
        <v/>
      </c>
      <c r="L76" s="611">
        <f>iferror(VLOOKUP(E76,'August 2025 Reference AI'!E:R,8,false),0)</f>
        <v>31</v>
      </c>
      <c r="M76" s="515">
        <v>45870.0</v>
      </c>
      <c r="N76" s="515">
        <v>45900.0</v>
      </c>
    </row>
    <row r="77" hidden="1">
      <c r="A77" s="557" t="s">
        <v>16</v>
      </c>
      <c r="B77" s="558">
        <v>4320.0</v>
      </c>
      <c r="C77" s="556" t="s">
        <v>763</v>
      </c>
      <c r="D77" s="558">
        <v>0.0</v>
      </c>
      <c r="E77" s="557" t="s">
        <v>78</v>
      </c>
      <c r="F77" s="557" t="s">
        <v>79</v>
      </c>
      <c r="G77" s="557" t="s">
        <v>80</v>
      </c>
      <c r="H77" s="559"/>
      <c r="I77" s="560">
        <v>36401.0</v>
      </c>
      <c r="J77" s="561">
        <v>45096.0</v>
      </c>
      <c r="K77" s="624">
        <v>45838.0</v>
      </c>
      <c r="L77" s="611">
        <f>iferror(VLOOKUP(E77,'August 2025 Reference AI'!E:R,8,false),0)</f>
        <v>0</v>
      </c>
      <c r="M77" s="515">
        <v>45870.0</v>
      </c>
      <c r="N77" s="515">
        <v>45900.0</v>
      </c>
    </row>
    <row r="78">
      <c r="A78" s="452" t="s">
        <v>16</v>
      </c>
      <c r="B78" s="453">
        <v>4320.0</v>
      </c>
      <c r="C78" s="556" t="s">
        <v>763</v>
      </c>
      <c r="D78" s="453">
        <v>0.0</v>
      </c>
      <c r="E78" s="452" t="s">
        <v>555</v>
      </c>
      <c r="F78" s="452" t="s">
        <v>556</v>
      </c>
      <c r="G78" s="452" t="s">
        <v>557</v>
      </c>
      <c r="H78" s="455"/>
      <c r="I78" s="457">
        <v>36135.0</v>
      </c>
      <c r="J78" s="457">
        <v>45663.0</v>
      </c>
      <c r="K78" s="610" t="str">
        <f>iferror(VLOOKUP(E78,'August 2025 Reference AI'!E:R,7,false),0)</f>
        <v/>
      </c>
      <c r="L78" s="611">
        <f>iferror(VLOOKUP(E78,'August 2025 Reference AI'!E:R,8,false),0)</f>
        <v>31</v>
      </c>
      <c r="M78" s="515">
        <v>45870.0</v>
      </c>
      <c r="N78" s="515">
        <v>45900.0</v>
      </c>
    </row>
    <row r="79" hidden="1">
      <c r="A79" s="452" t="s">
        <v>16</v>
      </c>
      <c r="B79" s="453">
        <v>4320.0</v>
      </c>
      <c r="C79" s="556" t="s">
        <v>763</v>
      </c>
      <c r="D79" s="453">
        <v>0.0</v>
      </c>
      <c r="E79" s="452" t="s">
        <v>483</v>
      </c>
      <c r="F79" s="452" t="s">
        <v>537</v>
      </c>
      <c r="G79" s="452" t="s">
        <v>484</v>
      </c>
      <c r="H79" s="455"/>
      <c r="I79" s="457">
        <v>36286.0</v>
      </c>
      <c r="J79" s="457">
        <v>45602.0</v>
      </c>
      <c r="K79" s="612">
        <v>45723.0</v>
      </c>
      <c r="L79" s="611">
        <f>iferror(VLOOKUP(E79,'August 2025 Reference AI'!E:R,8,false),0)</f>
        <v>0</v>
      </c>
      <c r="M79" s="515">
        <v>45870.0</v>
      </c>
      <c r="N79" s="515">
        <v>45900.0</v>
      </c>
    </row>
    <row r="80" hidden="1">
      <c r="A80" s="452" t="s">
        <v>16</v>
      </c>
      <c r="B80" s="453">
        <v>4320.0</v>
      </c>
      <c r="C80" s="556" t="s">
        <v>763</v>
      </c>
      <c r="D80" s="453">
        <v>0.0</v>
      </c>
      <c r="E80" s="452" t="s">
        <v>81</v>
      </c>
      <c r="F80" s="452" t="s">
        <v>82</v>
      </c>
      <c r="G80" s="452" t="s">
        <v>83</v>
      </c>
      <c r="H80" s="455"/>
      <c r="I80" s="456">
        <v>36113.0</v>
      </c>
      <c r="J80" s="457">
        <v>44866.0</v>
      </c>
      <c r="K80" s="615">
        <v>45299.0</v>
      </c>
      <c r="L80" s="611">
        <f>iferror(VLOOKUP(E80,'August 2025 Reference AI'!E:R,8,false),0)</f>
        <v>0</v>
      </c>
      <c r="M80" s="515">
        <v>45870.0</v>
      </c>
      <c r="N80" s="515">
        <v>45900.0</v>
      </c>
    </row>
    <row r="81" hidden="1">
      <c r="A81" s="452" t="s">
        <v>16</v>
      </c>
      <c r="B81" s="453">
        <v>4320.0</v>
      </c>
      <c r="C81" s="556" t="s">
        <v>763</v>
      </c>
      <c r="D81" s="453">
        <v>0.0</v>
      </c>
      <c r="E81" s="452" t="s">
        <v>485</v>
      </c>
      <c r="F81" s="452" t="s">
        <v>535</v>
      </c>
      <c r="G81" s="452" t="s">
        <v>486</v>
      </c>
      <c r="H81" s="455"/>
      <c r="I81" s="457">
        <v>36994.0</v>
      </c>
      <c r="J81" s="457">
        <v>45602.0</v>
      </c>
      <c r="K81" s="615">
        <v>45786.0</v>
      </c>
      <c r="L81" s="611">
        <f>iferror(VLOOKUP(E81,'August 2025 Reference AI'!E:R,8,false),0)</f>
        <v>0</v>
      </c>
      <c r="M81" s="515">
        <v>45870.0</v>
      </c>
      <c r="N81" s="515">
        <v>45900.0</v>
      </c>
    </row>
    <row r="82">
      <c r="A82" s="452" t="s">
        <v>16</v>
      </c>
      <c r="B82" s="453">
        <v>4320.0</v>
      </c>
      <c r="C82" s="556" t="s">
        <v>763</v>
      </c>
      <c r="D82" s="453">
        <v>0.0</v>
      </c>
      <c r="E82" s="452" t="s">
        <v>331</v>
      </c>
      <c r="F82" s="452" t="s">
        <v>332</v>
      </c>
      <c r="G82" s="452" t="s">
        <v>333</v>
      </c>
      <c r="H82" s="455"/>
      <c r="I82" s="457">
        <v>37958.0</v>
      </c>
      <c r="J82" s="456">
        <v>45369.0</v>
      </c>
      <c r="K82" s="610" t="str">
        <f>iferror(VLOOKUP(E82,'August 2025 Reference AI'!E:R,7,false),0)</f>
        <v>15-Aug-2025</v>
      </c>
      <c r="L82" s="611">
        <f>iferror(VLOOKUP(E82,'August 2025 Reference AI'!E:R,8,false),0)</f>
        <v>15</v>
      </c>
      <c r="M82" s="515">
        <v>45870.0</v>
      </c>
      <c r="N82" s="515">
        <v>45900.0</v>
      </c>
    </row>
    <row r="83">
      <c r="A83" s="452" t="s">
        <v>16</v>
      </c>
      <c r="B83" s="453">
        <v>4320.0</v>
      </c>
      <c r="C83" s="556" t="s">
        <v>763</v>
      </c>
      <c r="D83" s="453">
        <v>0.0</v>
      </c>
      <c r="E83" s="452" t="s">
        <v>392</v>
      </c>
      <c r="F83" s="452" t="s">
        <v>393</v>
      </c>
      <c r="G83" s="452" t="s">
        <v>394</v>
      </c>
      <c r="H83" s="455"/>
      <c r="I83" s="456">
        <v>34922.0</v>
      </c>
      <c r="J83" s="457">
        <v>45418.0</v>
      </c>
      <c r="K83" s="610" t="str">
        <f>iferror(VLOOKUP(E83,'August 2025 Reference AI'!E:R,7,false),0)</f>
        <v/>
      </c>
      <c r="L83" s="611">
        <f>iferror(VLOOKUP(E83,'August 2025 Reference AI'!E:R,8,false),0)</f>
        <v>31</v>
      </c>
      <c r="M83" s="515">
        <v>45870.0</v>
      </c>
      <c r="N83" s="515">
        <v>45900.0</v>
      </c>
    </row>
    <row r="84">
      <c r="A84" s="452" t="s">
        <v>16</v>
      </c>
      <c r="B84" s="453">
        <v>4320.0</v>
      </c>
      <c r="C84" s="556" t="s">
        <v>763</v>
      </c>
      <c r="D84" s="453">
        <v>0.0</v>
      </c>
      <c r="E84" s="452" t="s">
        <v>696</v>
      </c>
      <c r="F84" s="452" t="s">
        <v>756</v>
      </c>
      <c r="G84" s="452" t="s">
        <v>698</v>
      </c>
      <c r="H84" s="455"/>
      <c r="I84" s="456">
        <v>36474.0</v>
      </c>
      <c r="J84" s="456">
        <v>45698.0</v>
      </c>
      <c r="K84" s="610" t="str">
        <f>iferror(VLOOKUP(E84,'August 2025 Reference AI'!E:R,7,false),0)</f>
        <v/>
      </c>
      <c r="L84" s="611">
        <f>iferror(VLOOKUP(E84,'August 2025 Reference AI'!E:R,8,false),0)</f>
        <v>31</v>
      </c>
      <c r="M84" s="515">
        <v>45870.0</v>
      </c>
      <c r="N84" s="515">
        <v>45900.0</v>
      </c>
    </row>
    <row r="85">
      <c r="A85" s="452" t="s">
        <v>16</v>
      </c>
      <c r="B85" s="453">
        <v>4320.0</v>
      </c>
      <c r="C85" s="556" t="s">
        <v>763</v>
      </c>
      <c r="D85" s="453">
        <v>0.0</v>
      </c>
      <c r="E85" s="452" t="s">
        <v>699</v>
      </c>
      <c r="F85" s="452" t="s">
        <v>757</v>
      </c>
      <c r="G85" s="452" t="s">
        <v>701</v>
      </c>
      <c r="H85" s="455"/>
      <c r="I85" s="456">
        <v>36474.0</v>
      </c>
      <c r="J85" s="456">
        <v>45698.0</v>
      </c>
      <c r="K85" s="610" t="str">
        <f>iferror(VLOOKUP(E85,'August 2025 Reference AI'!E:R,7,false),0)</f>
        <v/>
      </c>
      <c r="L85" s="611">
        <f>iferror(VLOOKUP(E85,'August 2025 Reference AI'!E:R,8,false),0)</f>
        <v>31</v>
      </c>
      <c r="M85" s="515">
        <v>45870.0</v>
      </c>
      <c r="N85" s="515">
        <v>45900.0</v>
      </c>
    </row>
    <row r="86">
      <c r="A86" s="452" t="s">
        <v>16</v>
      </c>
      <c r="B86" s="453">
        <v>4320.0</v>
      </c>
      <c r="C86" s="556" t="s">
        <v>763</v>
      </c>
      <c r="D86" s="453">
        <v>0.0</v>
      </c>
      <c r="E86" s="452" t="s">
        <v>576</v>
      </c>
      <c r="F86" s="452" t="s">
        <v>577</v>
      </c>
      <c r="G86" s="452" t="s">
        <v>578</v>
      </c>
      <c r="H86" s="455"/>
      <c r="I86" s="456">
        <v>37944.0</v>
      </c>
      <c r="J86" s="457">
        <v>45677.0</v>
      </c>
      <c r="K86" s="610" t="str">
        <f>iferror(VLOOKUP(E86,'August 2025 Reference AI'!E:R,7,false),0)</f>
        <v/>
      </c>
      <c r="L86" s="611">
        <f>iferror(VLOOKUP(E86,'August 2025 Reference AI'!E:R,8,false),0)</f>
        <v>31</v>
      </c>
      <c r="M86" s="515">
        <v>45870.0</v>
      </c>
      <c r="N86" s="515">
        <v>45900.0</v>
      </c>
    </row>
    <row r="87">
      <c r="A87" s="452" t="s">
        <v>16</v>
      </c>
      <c r="B87" s="453">
        <v>4320.0</v>
      </c>
      <c r="C87" s="556" t="s">
        <v>763</v>
      </c>
      <c r="D87" s="453">
        <v>0.0</v>
      </c>
      <c r="E87" s="452" t="s">
        <v>546</v>
      </c>
      <c r="F87" s="452" t="s">
        <v>547</v>
      </c>
      <c r="G87" s="452" t="s">
        <v>548</v>
      </c>
      <c r="H87" s="455"/>
      <c r="I87" s="456">
        <v>38255.0</v>
      </c>
      <c r="J87" s="457">
        <v>45658.0</v>
      </c>
      <c r="K87" s="610" t="str">
        <f>iferror(VLOOKUP(E87,'August 2025 Reference AI'!E:R,7,false),0)</f>
        <v/>
      </c>
      <c r="L87" s="611">
        <f>iferror(VLOOKUP(E87,'August 2025 Reference AI'!E:R,8,false),0)</f>
        <v>31</v>
      </c>
      <c r="M87" s="515">
        <v>45870.0</v>
      </c>
      <c r="N87" s="515">
        <v>45900.0</v>
      </c>
    </row>
    <row r="88" hidden="1">
      <c r="A88" s="452" t="s">
        <v>16</v>
      </c>
      <c r="B88" s="453">
        <v>4320.0</v>
      </c>
      <c r="C88" s="556" t="s">
        <v>763</v>
      </c>
      <c r="D88" s="453">
        <v>0.0</v>
      </c>
      <c r="E88" s="452" t="s">
        <v>741</v>
      </c>
      <c r="F88" s="452" t="s">
        <v>742</v>
      </c>
      <c r="G88" s="452" t="s">
        <v>743</v>
      </c>
      <c r="H88" s="455"/>
      <c r="I88" s="456">
        <v>37329.0</v>
      </c>
      <c r="J88" s="457">
        <v>45719.0</v>
      </c>
      <c r="K88" s="614">
        <v>45786.0</v>
      </c>
      <c r="L88" s="611">
        <f>iferror(VLOOKUP(E88,'August 2025 Reference AI'!E:R,8,false),0)</f>
        <v>0</v>
      </c>
      <c r="M88" s="515">
        <v>45870.0</v>
      </c>
      <c r="N88" s="515">
        <v>45900.0</v>
      </c>
    </row>
    <row r="89" hidden="1">
      <c r="A89" s="452" t="s">
        <v>16</v>
      </c>
      <c r="B89" s="453">
        <v>4320.0</v>
      </c>
      <c r="C89" s="556" t="s">
        <v>763</v>
      </c>
      <c r="D89" s="453">
        <v>0.0</v>
      </c>
      <c r="E89" s="452" t="s">
        <v>294</v>
      </c>
      <c r="F89" s="452" t="s">
        <v>295</v>
      </c>
      <c r="G89" s="452" t="s">
        <v>296</v>
      </c>
      <c r="H89" s="455"/>
      <c r="I89" s="457">
        <v>36551.0</v>
      </c>
      <c r="J89" s="456">
        <v>45278.0</v>
      </c>
      <c r="K89" s="615">
        <v>45359.0</v>
      </c>
      <c r="L89" s="611">
        <f>iferror(VLOOKUP(E89,'August 2025 Reference AI'!E:R,8,false),0)</f>
        <v>0</v>
      </c>
      <c r="M89" s="515">
        <v>45870.0</v>
      </c>
      <c r="N89" s="515">
        <v>45900.0</v>
      </c>
    </row>
    <row r="90" hidden="1">
      <c r="A90" s="452" t="s">
        <v>16</v>
      </c>
      <c r="B90" s="453">
        <v>4320.0</v>
      </c>
      <c r="C90" s="556" t="s">
        <v>763</v>
      </c>
      <c r="D90" s="453">
        <v>0.0</v>
      </c>
      <c r="E90" s="452" t="s">
        <v>623</v>
      </c>
      <c r="F90" s="452" t="s">
        <v>624</v>
      </c>
      <c r="G90" s="452" t="s">
        <v>625</v>
      </c>
      <c r="H90" s="455"/>
      <c r="I90" s="456">
        <v>37489.0</v>
      </c>
      <c r="J90" s="457">
        <v>45397.0</v>
      </c>
      <c r="K90" s="615">
        <v>45488.0</v>
      </c>
      <c r="L90" s="611">
        <f>iferror(VLOOKUP(E90,'August 2025 Reference AI'!E:R,8,false),0)</f>
        <v>0</v>
      </c>
      <c r="M90" s="515">
        <v>45870.0</v>
      </c>
      <c r="N90" s="515">
        <v>45900.0</v>
      </c>
    </row>
    <row r="91">
      <c r="A91" s="452" t="s">
        <v>16</v>
      </c>
      <c r="B91" s="453">
        <v>4320.0</v>
      </c>
      <c r="C91" s="556" t="s">
        <v>763</v>
      </c>
      <c r="D91" s="453">
        <v>0.0</v>
      </c>
      <c r="E91" s="556" t="s">
        <v>924</v>
      </c>
      <c r="F91" s="452" t="s">
        <v>627</v>
      </c>
      <c r="G91" s="452" t="s">
        <v>628</v>
      </c>
      <c r="H91" s="455"/>
      <c r="I91" s="456">
        <v>35257.0</v>
      </c>
      <c r="J91" s="458">
        <v>45778.0</v>
      </c>
      <c r="K91" s="610" t="str">
        <f>iferror(VLOOKUP(E91,'August 2025 Reference AI'!E:R,7,false),0)</f>
        <v/>
      </c>
      <c r="L91" s="611">
        <f>iferror(VLOOKUP(E91,'August 2025 Reference AI'!E:R,8,false),0)</f>
        <v>31</v>
      </c>
      <c r="M91" s="515">
        <v>45870.0</v>
      </c>
      <c r="N91" s="515">
        <v>45900.0</v>
      </c>
    </row>
    <row r="92">
      <c r="A92" s="452" t="s">
        <v>16</v>
      </c>
      <c r="B92" s="453">
        <v>4320.0</v>
      </c>
      <c r="C92" s="556" t="s">
        <v>763</v>
      </c>
      <c r="D92" s="453">
        <v>0.0</v>
      </c>
      <c r="E92" s="452" t="s">
        <v>629</v>
      </c>
      <c r="F92" s="452" t="s">
        <v>630</v>
      </c>
      <c r="G92" s="452" t="s">
        <v>631</v>
      </c>
      <c r="H92" s="455"/>
      <c r="I92" s="456">
        <v>34807.0</v>
      </c>
      <c r="J92" s="458">
        <v>45778.0</v>
      </c>
      <c r="K92" s="610" t="str">
        <f>iferror(VLOOKUP(E92,'August 2025 Reference AI'!E:R,7,false),0)</f>
        <v/>
      </c>
      <c r="L92" s="611">
        <f>iferror(VLOOKUP(E92,'August 2025 Reference AI'!E:R,8,false),0)</f>
        <v>31</v>
      </c>
      <c r="M92" s="515">
        <v>45870.0</v>
      </c>
      <c r="N92" s="515">
        <v>45900.0</v>
      </c>
    </row>
    <row r="93">
      <c r="A93" s="557" t="s">
        <v>16</v>
      </c>
      <c r="B93" s="558">
        <v>4320.0</v>
      </c>
      <c r="C93" s="556" t="s">
        <v>763</v>
      </c>
      <c r="D93" s="558">
        <v>0.0</v>
      </c>
      <c r="E93" s="557" t="s">
        <v>501</v>
      </c>
      <c r="F93" s="557" t="s">
        <v>541</v>
      </c>
      <c r="G93" s="557" t="s">
        <v>502</v>
      </c>
      <c r="H93" s="559"/>
      <c r="I93" s="560">
        <v>36062.0</v>
      </c>
      <c r="J93" s="561">
        <v>45628.0</v>
      </c>
      <c r="K93" s="610" t="str">
        <f>iferror(VLOOKUP(E93,'August 2025 Reference AI'!E:R,7,false),0)</f>
        <v>26-Aug-2025</v>
      </c>
      <c r="L93" s="620">
        <f>iferror(VLOOKUP(E93,'August 2025 Reference AI'!E:R,8,false),0)</f>
        <v>26</v>
      </c>
      <c r="M93" s="621">
        <v>45870.0</v>
      </c>
      <c r="N93" s="621">
        <v>45900.0</v>
      </c>
    </row>
    <row r="94" hidden="1">
      <c r="A94" s="452" t="s">
        <v>16</v>
      </c>
      <c r="B94" s="453">
        <v>4320.0</v>
      </c>
      <c r="C94" s="556" t="s">
        <v>763</v>
      </c>
      <c r="D94" s="453">
        <v>0.0</v>
      </c>
      <c r="E94" s="452" t="s">
        <v>270</v>
      </c>
      <c r="F94" s="452" t="s">
        <v>271</v>
      </c>
      <c r="G94" s="452" t="s">
        <v>272</v>
      </c>
      <c r="H94" s="455"/>
      <c r="I94" s="456">
        <v>36769.0</v>
      </c>
      <c r="J94" s="457">
        <v>45313.0</v>
      </c>
      <c r="K94" s="612">
        <v>45415.0</v>
      </c>
      <c r="L94" s="611">
        <f>iferror(VLOOKUP(E94,'August 2025 Reference AI'!E:R,8,false),0)</f>
        <v>0</v>
      </c>
      <c r="M94" s="515">
        <v>45870.0</v>
      </c>
      <c r="N94" s="515">
        <v>45900.0</v>
      </c>
    </row>
    <row r="95">
      <c r="A95" s="452" t="s">
        <v>16</v>
      </c>
      <c r="B95" s="453">
        <v>4320.0</v>
      </c>
      <c r="C95" s="556" t="s">
        <v>763</v>
      </c>
      <c r="D95" s="453">
        <v>0.0</v>
      </c>
      <c r="E95" s="452" t="s">
        <v>451</v>
      </c>
      <c r="F95" s="452" t="s">
        <v>512</v>
      </c>
      <c r="G95" s="452" t="s">
        <v>415</v>
      </c>
      <c r="H95" s="455"/>
      <c r="I95" s="456">
        <v>36443.0</v>
      </c>
      <c r="J95" s="457">
        <v>45446.0</v>
      </c>
      <c r="K95" s="610" t="str">
        <f>iferror(VLOOKUP(E95,'August 2025 Reference AI'!E:R,7,false),0)</f>
        <v/>
      </c>
      <c r="L95" s="611">
        <f>iferror(VLOOKUP(E95,'August 2025 Reference AI'!E:R,8,false),0)</f>
        <v>31</v>
      </c>
      <c r="M95" s="515">
        <v>45870.0</v>
      </c>
      <c r="N95" s="515">
        <v>45900.0</v>
      </c>
    </row>
    <row r="96" hidden="1">
      <c r="A96" s="452" t="s">
        <v>16</v>
      </c>
      <c r="B96" s="453">
        <v>4320.0</v>
      </c>
      <c r="C96" s="556" t="s">
        <v>763</v>
      </c>
      <c r="D96" s="453">
        <v>0.0</v>
      </c>
      <c r="E96" s="452" t="s">
        <v>87</v>
      </c>
      <c r="F96" s="452" t="s">
        <v>88</v>
      </c>
      <c r="G96" s="452" t="s">
        <v>89</v>
      </c>
      <c r="H96" s="455"/>
      <c r="I96" s="458">
        <v>33737.0</v>
      </c>
      <c r="J96" s="457">
        <v>45139.0</v>
      </c>
      <c r="K96" s="615">
        <v>45734.0</v>
      </c>
      <c r="L96" s="611">
        <f>iferror(VLOOKUP(E96,'August 2025 Reference AI'!E:R,8,false),0)</f>
        <v>0</v>
      </c>
      <c r="M96" s="515">
        <v>45870.0</v>
      </c>
      <c r="N96" s="515">
        <v>45900.0</v>
      </c>
    </row>
    <row r="97" hidden="1">
      <c r="A97" s="452" t="s">
        <v>16</v>
      </c>
      <c r="B97" s="453">
        <v>4320.0</v>
      </c>
      <c r="C97" s="556" t="s">
        <v>763</v>
      </c>
      <c r="D97" s="453">
        <v>0.0</v>
      </c>
      <c r="E97" s="452" t="s">
        <v>632</v>
      </c>
      <c r="F97" s="452" t="s">
        <v>633</v>
      </c>
      <c r="G97" s="452" t="s">
        <v>634</v>
      </c>
      <c r="H97" s="455"/>
      <c r="I97" s="456">
        <v>35300.0</v>
      </c>
      <c r="J97" s="457">
        <v>45103.0</v>
      </c>
      <c r="K97" s="612">
        <v>45310.0</v>
      </c>
      <c r="L97" s="611">
        <f>iferror(VLOOKUP(E97,'August 2025 Reference AI'!E:R,8,false),0)</f>
        <v>0</v>
      </c>
      <c r="M97" s="515">
        <v>45870.0</v>
      </c>
      <c r="N97" s="515">
        <v>45900.0</v>
      </c>
    </row>
    <row r="98" hidden="1">
      <c r="A98" s="452" t="s">
        <v>16</v>
      </c>
      <c r="B98" s="453">
        <v>4320.0</v>
      </c>
      <c r="C98" s="556" t="s">
        <v>763</v>
      </c>
      <c r="D98" s="453">
        <v>0.0</v>
      </c>
      <c r="E98" s="452" t="s">
        <v>573</v>
      </c>
      <c r="F98" s="452" t="s">
        <v>574</v>
      </c>
      <c r="G98" s="452" t="s">
        <v>575</v>
      </c>
      <c r="H98" s="455"/>
      <c r="I98" s="456">
        <v>36061.0</v>
      </c>
      <c r="J98" s="457">
        <v>45677.0</v>
      </c>
      <c r="K98" s="612">
        <v>45777.0</v>
      </c>
      <c r="L98" s="611">
        <f>iferror(VLOOKUP(E98,'August 2025 Reference AI'!E:R,8,false),0)</f>
        <v>0</v>
      </c>
      <c r="M98" s="515">
        <v>45870.0</v>
      </c>
      <c r="N98" s="515">
        <v>45900.0</v>
      </c>
    </row>
    <row r="99" hidden="1">
      <c r="A99" s="452" t="s">
        <v>16</v>
      </c>
      <c r="B99" s="453">
        <v>4320.0</v>
      </c>
      <c r="C99" s="556" t="s">
        <v>763</v>
      </c>
      <c r="D99" s="453">
        <v>0.0</v>
      </c>
      <c r="E99" s="452" t="s">
        <v>90</v>
      </c>
      <c r="F99" s="452" t="s">
        <v>91</v>
      </c>
      <c r="G99" s="452" t="s">
        <v>92</v>
      </c>
      <c r="H99" s="455"/>
      <c r="I99" s="465">
        <v>33917.0</v>
      </c>
      <c r="J99" s="456">
        <v>45166.0</v>
      </c>
      <c r="K99" s="612">
        <v>45321.0</v>
      </c>
      <c r="L99" s="611">
        <f>iferror(VLOOKUP(E99,'August 2025 Reference AI'!E:R,8,false),0)</f>
        <v>0</v>
      </c>
      <c r="M99" s="515">
        <v>45870.0</v>
      </c>
      <c r="N99" s="515">
        <v>45900.0</v>
      </c>
    </row>
    <row r="100" hidden="1">
      <c r="A100" s="452" t="s">
        <v>16</v>
      </c>
      <c r="B100" s="453">
        <v>4320.0</v>
      </c>
      <c r="C100" s="556" t="s">
        <v>763</v>
      </c>
      <c r="D100" s="453">
        <v>0.0</v>
      </c>
      <c r="E100" s="452" t="s">
        <v>337</v>
      </c>
      <c r="F100" s="452" t="s">
        <v>338</v>
      </c>
      <c r="G100" s="452" t="s">
        <v>339</v>
      </c>
      <c r="H100" s="455"/>
      <c r="I100" s="456">
        <v>37539.0</v>
      </c>
      <c r="J100" s="456">
        <v>45362.0</v>
      </c>
      <c r="K100" s="615">
        <v>45657.0</v>
      </c>
      <c r="L100" s="611">
        <f>iferror(VLOOKUP(E100,'August 2025 Reference AI'!E:R,8,false),0)</f>
        <v>0</v>
      </c>
      <c r="M100" s="515">
        <v>45870.0</v>
      </c>
      <c r="N100" s="515">
        <v>45900.0</v>
      </c>
    </row>
    <row r="101" hidden="1">
      <c r="A101" s="452" t="s">
        <v>16</v>
      </c>
      <c r="B101" s="453">
        <v>4320.0</v>
      </c>
      <c r="C101" s="556" t="s">
        <v>763</v>
      </c>
      <c r="D101" s="453">
        <v>0.0</v>
      </c>
      <c r="E101" s="452" t="s">
        <v>297</v>
      </c>
      <c r="F101" s="452" t="s">
        <v>298</v>
      </c>
      <c r="G101" s="452" t="s">
        <v>299</v>
      </c>
      <c r="H101" s="455"/>
      <c r="I101" s="457">
        <v>36692.0</v>
      </c>
      <c r="J101" s="456">
        <v>45243.0</v>
      </c>
      <c r="K101" s="615">
        <v>45365.0</v>
      </c>
      <c r="L101" s="611">
        <f>iferror(VLOOKUP(E101,'August 2025 Reference AI'!E:R,8,false),0)</f>
        <v>0</v>
      </c>
      <c r="M101" s="515">
        <v>45870.0</v>
      </c>
      <c r="N101" s="515">
        <v>45900.0</v>
      </c>
    </row>
    <row r="102" hidden="1">
      <c r="A102" s="452" t="s">
        <v>16</v>
      </c>
      <c r="B102" s="453">
        <v>4320.0</v>
      </c>
      <c r="C102" s="556" t="s">
        <v>763</v>
      </c>
      <c r="D102" s="453">
        <v>0.0</v>
      </c>
      <c r="E102" s="452" t="s">
        <v>93</v>
      </c>
      <c r="F102" s="452" t="s">
        <v>94</v>
      </c>
      <c r="G102" s="452" t="s">
        <v>95</v>
      </c>
      <c r="H102" s="455"/>
      <c r="I102" s="457">
        <v>36137.0</v>
      </c>
      <c r="J102" s="457">
        <v>45098.0</v>
      </c>
      <c r="K102" s="615">
        <v>45246.0</v>
      </c>
      <c r="L102" s="611">
        <f>iferror(VLOOKUP(E102,'August 2025 Reference AI'!E:R,8,false),0)</f>
        <v>0</v>
      </c>
      <c r="M102" s="515">
        <v>45870.0</v>
      </c>
      <c r="N102" s="515">
        <v>45900.0</v>
      </c>
    </row>
    <row r="103">
      <c r="A103" s="452" t="s">
        <v>16</v>
      </c>
      <c r="B103" s="453">
        <v>4320.0</v>
      </c>
      <c r="C103" s="556" t="s">
        <v>763</v>
      </c>
      <c r="D103" s="453">
        <v>0.0</v>
      </c>
      <c r="E103" s="452" t="s">
        <v>579</v>
      </c>
      <c r="F103" s="452" t="s">
        <v>580</v>
      </c>
      <c r="G103" s="452" t="s">
        <v>581</v>
      </c>
      <c r="H103" s="455"/>
      <c r="I103" s="456">
        <v>37609.0</v>
      </c>
      <c r="J103" s="457">
        <v>45677.0</v>
      </c>
      <c r="K103" s="610" t="str">
        <f>iferror(VLOOKUP(E103,'August 2025 Reference AI'!E:R,7,false),0)</f>
        <v/>
      </c>
      <c r="L103" s="611">
        <f>iferror(VLOOKUP(E103,'August 2025 Reference AI'!E:R,8,false),0)</f>
        <v>31</v>
      </c>
      <c r="M103" s="515">
        <v>45870.0</v>
      </c>
      <c r="N103" s="515">
        <v>45900.0</v>
      </c>
    </row>
    <row r="104">
      <c r="A104" s="452" t="s">
        <v>16</v>
      </c>
      <c r="B104" s="453">
        <v>4320.0</v>
      </c>
      <c r="C104" s="556" t="s">
        <v>763</v>
      </c>
      <c r="D104" s="453">
        <v>0.0</v>
      </c>
      <c r="E104" s="452" t="s">
        <v>817</v>
      </c>
      <c r="F104" s="452" t="s">
        <v>637</v>
      </c>
      <c r="G104" s="452" t="s">
        <v>638</v>
      </c>
      <c r="H104" s="455"/>
      <c r="I104" s="456">
        <v>36720.0</v>
      </c>
      <c r="J104" s="458">
        <v>45778.0</v>
      </c>
      <c r="K104" s="610" t="str">
        <f>iferror(VLOOKUP(E104,'August 2025 Reference AI'!E:R,7,false),0)</f>
        <v/>
      </c>
      <c r="L104" s="611">
        <f>iferror(VLOOKUP(E104,'August 2025 Reference AI'!E:R,8,false),0)</f>
        <v>31</v>
      </c>
      <c r="M104" s="515">
        <v>45870.0</v>
      </c>
      <c r="N104" s="515">
        <v>45900.0</v>
      </c>
    </row>
    <row r="105" hidden="1">
      <c r="A105" s="452" t="s">
        <v>16</v>
      </c>
      <c r="B105" s="453">
        <v>4320.0</v>
      </c>
      <c r="C105" s="556" t="s">
        <v>763</v>
      </c>
      <c r="D105" s="453">
        <v>0.0</v>
      </c>
      <c r="E105" s="452" t="s">
        <v>452</v>
      </c>
      <c r="F105" s="452" t="s">
        <v>513</v>
      </c>
      <c r="G105" s="452" t="s">
        <v>454</v>
      </c>
      <c r="H105" s="455"/>
      <c r="I105" s="457">
        <v>37834.0</v>
      </c>
      <c r="J105" s="457">
        <v>45505.0</v>
      </c>
      <c r="K105" s="615">
        <v>45667.0</v>
      </c>
      <c r="L105" s="611">
        <f>iferror(VLOOKUP(E105,'August 2025 Reference AI'!E:R,8,false),0)</f>
        <v>0</v>
      </c>
      <c r="M105" s="515">
        <v>45870.0</v>
      </c>
      <c r="N105" s="515">
        <v>45900.0</v>
      </c>
    </row>
    <row r="106" hidden="1">
      <c r="A106" s="452" t="s">
        <v>16</v>
      </c>
      <c r="B106" s="453">
        <v>4320.0</v>
      </c>
      <c r="C106" s="556" t="s">
        <v>763</v>
      </c>
      <c r="D106" s="453">
        <v>0.0</v>
      </c>
      <c r="E106" s="452" t="s">
        <v>99</v>
      </c>
      <c r="F106" s="452" t="s">
        <v>100</v>
      </c>
      <c r="G106" s="452" t="s">
        <v>101</v>
      </c>
      <c r="H106" s="455"/>
      <c r="I106" s="456">
        <v>37240.0</v>
      </c>
      <c r="J106" s="457">
        <v>45176.0</v>
      </c>
      <c r="K106" s="615">
        <v>45535.0</v>
      </c>
      <c r="L106" s="611">
        <f>iferror(VLOOKUP(E106,'August 2025 Reference AI'!E:R,8,false),0)</f>
        <v>0</v>
      </c>
      <c r="M106" s="515">
        <v>45870.0</v>
      </c>
      <c r="N106" s="515">
        <v>45900.0</v>
      </c>
    </row>
    <row r="107">
      <c r="A107" s="452" t="s">
        <v>16</v>
      </c>
      <c r="B107" s="453">
        <v>4320.0</v>
      </c>
      <c r="C107" s="556" t="s">
        <v>763</v>
      </c>
      <c r="D107" s="453">
        <v>0.0</v>
      </c>
      <c r="E107" s="452" t="s">
        <v>476</v>
      </c>
      <c r="F107" s="452" t="s">
        <v>529</v>
      </c>
      <c r="G107" s="452" t="s">
        <v>477</v>
      </c>
      <c r="H107" s="455"/>
      <c r="I107" s="456">
        <v>37220.0</v>
      </c>
      <c r="J107" s="457">
        <v>45572.0</v>
      </c>
      <c r="K107" s="610" t="str">
        <f>iferror(VLOOKUP(E107,'August 2025 Reference AI'!E:R,7,false),0)</f>
        <v/>
      </c>
      <c r="L107" s="611">
        <f>iferror(VLOOKUP(E107,'August 2025 Reference AI'!E:R,8,false),0)</f>
        <v>31</v>
      </c>
      <c r="M107" s="515">
        <v>45870.0</v>
      </c>
      <c r="N107" s="515">
        <v>45900.0</v>
      </c>
    </row>
    <row r="108">
      <c r="A108" s="452" t="s">
        <v>16</v>
      </c>
      <c r="B108" s="453">
        <v>4320.0</v>
      </c>
      <c r="C108" s="556" t="s">
        <v>763</v>
      </c>
      <c r="D108" s="453">
        <v>0.0</v>
      </c>
      <c r="E108" s="452" t="s">
        <v>102</v>
      </c>
      <c r="F108" s="452" t="s">
        <v>103</v>
      </c>
      <c r="G108" s="452" t="s">
        <v>104</v>
      </c>
      <c r="H108" s="455"/>
      <c r="I108" s="457">
        <v>33240.0</v>
      </c>
      <c r="J108" s="457">
        <v>44287.0</v>
      </c>
      <c r="K108" s="610" t="str">
        <f>iferror(VLOOKUP(E108,'August 2025 Reference AI'!E:R,7,false),0)</f>
        <v/>
      </c>
      <c r="L108" s="611">
        <f>iferror(VLOOKUP(E108,'August 2025 Reference AI'!E:R,8,false),0)</f>
        <v>31</v>
      </c>
      <c r="M108" s="515">
        <v>45870.0</v>
      </c>
      <c r="N108" s="515">
        <v>45900.0</v>
      </c>
    </row>
    <row r="109" hidden="1">
      <c r="A109" s="452" t="s">
        <v>16</v>
      </c>
      <c r="B109" s="453">
        <v>4320.0</v>
      </c>
      <c r="C109" s="556" t="s">
        <v>763</v>
      </c>
      <c r="D109" s="453">
        <v>0.0</v>
      </c>
      <c r="E109" s="452" t="s">
        <v>255</v>
      </c>
      <c r="F109" s="452" t="s">
        <v>256</v>
      </c>
      <c r="G109" s="452" t="s">
        <v>257</v>
      </c>
      <c r="H109" s="455"/>
      <c r="I109" s="457">
        <v>35173.0</v>
      </c>
      <c r="J109" s="457">
        <v>45264.0</v>
      </c>
      <c r="K109" s="617">
        <v>45833.0</v>
      </c>
      <c r="L109" s="611">
        <f>iferror(VLOOKUP(E109,'August 2025 Reference AI'!E:R,8,false),0)</f>
        <v>0</v>
      </c>
      <c r="M109" s="515">
        <v>45870.0</v>
      </c>
      <c r="N109" s="515">
        <v>45900.0</v>
      </c>
    </row>
    <row r="110">
      <c r="A110" s="452" t="s">
        <v>16</v>
      </c>
      <c r="B110" s="453">
        <v>4320.0</v>
      </c>
      <c r="C110" s="556" t="s">
        <v>763</v>
      </c>
      <c r="D110" s="453">
        <v>0.0</v>
      </c>
      <c r="E110" s="452" t="s">
        <v>438</v>
      </c>
      <c r="F110" s="452" t="s">
        <v>341</v>
      </c>
      <c r="G110" s="452" t="s">
        <v>342</v>
      </c>
      <c r="H110" s="455"/>
      <c r="I110" s="457">
        <v>37964.0</v>
      </c>
      <c r="J110" s="457">
        <v>45355.0</v>
      </c>
      <c r="K110" s="610" t="str">
        <f>iferror(VLOOKUP(E110,'August 2025 Reference AI'!E:R,7,false),0)</f>
        <v/>
      </c>
      <c r="L110" s="611">
        <f>iferror(VLOOKUP(E110,'August 2025 Reference AI'!E:R,8,false),0)</f>
        <v>31</v>
      </c>
      <c r="M110" s="515">
        <v>45870.0</v>
      </c>
      <c r="N110" s="515">
        <v>45900.0</v>
      </c>
    </row>
    <row r="111" hidden="1">
      <c r="A111" s="452" t="s">
        <v>16</v>
      </c>
      <c r="B111" s="453">
        <v>4320.0</v>
      </c>
      <c r="C111" s="556" t="s">
        <v>763</v>
      </c>
      <c r="D111" s="453">
        <v>0.0</v>
      </c>
      <c r="E111" s="452" t="s">
        <v>105</v>
      </c>
      <c r="F111" s="452" t="s">
        <v>106</v>
      </c>
      <c r="G111" s="452" t="s">
        <v>107</v>
      </c>
      <c r="H111" s="455"/>
      <c r="I111" s="457">
        <v>37136.0</v>
      </c>
      <c r="J111" s="456">
        <v>45181.0</v>
      </c>
      <c r="K111" s="615">
        <v>45054.0</v>
      </c>
      <c r="L111" s="611">
        <f>iferror(VLOOKUP(E111,'August 2025 Reference AI'!E:R,8,false),0)</f>
        <v>0</v>
      </c>
      <c r="M111" s="515">
        <v>45870.0</v>
      </c>
      <c r="N111" s="515">
        <v>45900.0</v>
      </c>
    </row>
    <row r="112" hidden="1">
      <c r="A112" s="452" t="s">
        <v>16</v>
      </c>
      <c r="B112" s="453">
        <v>4320.0</v>
      </c>
      <c r="C112" s="556" t="s">
        <v>763</v>
      </c>
      <c r="D112" s="453">
        <v>0.0</v>
      </c>
      <c r="E112" s="565" t="s">
        <v>639</v>
      </c>
      <c r="F112" s="452" t="s">
        <v>323</v>
      </c>
      <c r="G112" s="452" t="s">
        <v>324</v>
      </c>
      <c r="H112" s="455"/>
      <c r="I112" s="457">
        <v>37100.0</v>
      </c>
      <c r="J112" s="456">
        <v>45376.0</v>
      </c>
      <c r="K112" s="614">
        <v>45425.0</v>
      </c>
      <c r="L112" s="611">
        <f>iferror(VLOOKUP(E112,'August 2025 Reference AI'!E:R,8,false),0)</f>
        <v>0</v>
      </c>
      <c r="M112" s="515">
        <v>45870.0</v>
      </c>
      <c r="N112" s="515">
        <v>45900.0</v>
      </c>
    </row>
    <row r="113">
      <c r="A113" s="452" t="s">
        <v>16</v>
      </c>
      <c r="B113" s="453">
        <v>4320.0</v>
      </c>
      <c r="C113" s="556" t="s">
        <v>763</v>
      </c>
      <c r="D113" s="453">
        <v>0.0</v>
      </c>
      <c r="E113" s="566" t="s">
        <v>508</v>
      </c>
      <c r="F113" s="452" t="s">
        <v>545</v>
      </c>
      <c r="G113" s="452" t="s">
        <v>509</v>
      </c>
      <c r="H113" s="455"/>
      <c r="I113" s="457">
        <v>36637.0</v>
      </c>
      <c r="J113" s="456">
        <v>45649.0</v>
      </c>
      <c r="K113" s="610" t="str">
        <f>iferror(VLOOKUP(E113,'August 2025 Reference AI'!E:R,7,false),0)</f>
        <v/>
      </c>
      <c r="L113" s="611">
        <f>iferror(VLOOKUP(E113,'August 2025 Reference AI'!E:R,8,false),0)</f>
        <v>31</v>
      </c>
      <c r="M113" s="515">
        <v>45870.0</v>
      </c>
      <c r="N113" s="515">
        <v>45900.0</v>
      </c>
    </row>
    <row r="114" hidden="1">
      <c r="A114" s="452" t="s">
        <v>16</v>
      </c>
      <c r="B114" s="453">
        <v>4320.0</v>
      </c>
      <c r="C114" s="556" t="s">
        <v>763</v>
      </c>
      <c r="D114" s="453">
        <v>0.0</v>
      </c>
      <c r="E114" s="565" t="s">
        <v>395</v>
      </c>
      <c r="F114" s="452" t="s">
        <v>396</v>
      </c>
      <c r="G114" s="452" t="s">
        <v>397</v>
      </c>
      <c r="H114" s="455"/>
      <c r="I114" s="457">
        <v>36557.0</v>
      </c>
      <c r="J114" s="458">
        <v>45432.0</v>
      </c>
      <c r="K114" s="614">
        <v>45807.0</v>
      </c>
      <c r="L114" s="611">
        <f>iferror(VLOOKUP(E114,'August 2025 Reference AI'!E:R,8,false),0)</f>
        <v>0</v>
      </c>
      <c r="M114" s="515">
        <v>45870.0</v>
      </c>
      <c r="N114" s="515">
        <v>45900.0</v>
      </c>
    </row>
    <row r="115">
      <c r="A115" s="452" t="s">
        <v>16</v>
      </c>
      <c r="B115" s="453">
        <v>4320.0</v>
      </c>
      <c r="C115" s="556" t="s">
        <v>763</v>
      </c>
      <c r="D115" s="453">
        <v>0.0</v>
      </c>
      <c r="E115" s="566" t="s">
        <v>370</v>
      </c>
      <c r="F115" s="452" t="s">
        <v>371</v>
      </c>
      <c r="G115" s="452" t="s">
        <v>372</v>
      </c>
      <c r="H115" s="455"/>
      <c r="I115" s="457">
        <v>35551.0</v>
      </c>
      <c r="J115" s="457">
        <v>45383.0</v>
      </c>
      <c r="K115" s="610" t="str">
        <f>iferror(VLOOKUP(E115,'August 2025 Reference AI'!E:R,7,false),0)</f>
        <v/>
      </c>
      <c r="L115" s="611">
        <f>iferror(VLOOKUP(E115,'August 2025 Reference AI'!E:R,8,false),0)</f>
        <v>31</v>
      </c>
      <c r="M115" s="515">
        <v>45870.0</v>
      </c>
      <c r="N115" s="515">
        <v>45900.0</v>
      </c>
    </row>
    <row r="116" hidden="1">
      <c r="A116" s="452" t="s">
        <v>16</v>
      </c>
      <c r="B116" s="453">
        <v>4320.0</v>
      </c>
      <c r="C116" s="556" t="s">
        <v>763</v>
      </c>
      <c r="D116" s="453">
        <v>0.0</v>
      </c>
      <c r="E116" s="565" t="s">
        <v>640</v>
      </c>
      <c r="F116" s="452" t="s">
        <v>641</v>
      </c>
      <c r="G116" s="452" t="s">
        <v>642</v>
      </c>
      <c r="H116" s="455"/>
      <c r="I116" s="456">
        <v>35152.0</v>
      </c>
      <c r="J116" s="456">
        <v>45180.0</v>
      </c>
      <c r="K116" s="625">
        <v>45233.0</v>
      </c>
      <c r="L116" s="611">
        <f>iferror(VLOOKUP(E116,'August 2025 Reference AI'!E:R,8,false),0)</f>
        <v>0</v>
      </c>
      <c r="M116" s="515">
        <v>45870.0</v>
      </c>
      <c r="N116" s="515">
        <v>45900.0</v>
      </c>
    </row>
    <row r="117" hidden="1">
      <c r="A117" s="452" t="s">
        <v>16</v>
      </c>
      <c r="B117" s="453">
        <v>4320.0</v>
      </c>
      <c r="C117" s="556" t="s">
        <v>763</v>
      </c>
      <c r="D117" s="453">
        <v>0.0</v>
      </c>
      <c r="E117" s="566" t="s">
        <v>111</v>
      </c>
      <c r="F117" s="452" t="s">
        <v>112</v>
      </c>
      <c r="G117" s="452" t="s">
        <v>113</v>
      </c>
      <c r="H117" s="455"/>
      <c r="I117" s="457">
        <v>36898.0</v>
      </c>
      <c r="J117" s="457">
        <v>44988.0</v>
      </c>
      <c r="K117" s="614">
        <v>45412.0</v>
      </c>
      <c r="L117" s="611">
        <f>iferror(VLOOKUP(E117,'August 2025 Reference AI'!E:R,8,false),0)</f>
        <v>0</v>
      </c>
      <c r="M117" s="515">
        <v>45870.0</v>
      </c>
      <c r="N117" s="515">
        <v>45900.0</v>
      </c>
    </row>
    <row r="118">
      <c r="A118" s="452" t="s">
        <v>16</v>
      </c>
      <c r="B118" s="453">
        <v>4320.0</v>
      </c>
      <c r="C118" s="556" t="s">
        <v>763</v>
      </c>
      <c r="D118" s="453">
        <v>0.0</v>
      </c>
      <c r="E118" s="565" t="s">
        <v>114</v>
      </c>
      <c r="F118" s="452" t="s">
        <v>514</v>
      </c>
      <c r="G118" s="452" t="s">
        <v>456</v>
      </c>
      <c r="H118" s="455"/>
      <c r="I118" s="456">
        <v>35872.0</v>
      </c>
      <c r="J118" s="456">
        <v>45523.0</v>
      </c>
      <c r="K118" s="614" t="str">
        <f>iferror(VLOOKUP(E118,'August 2025 Reference AI'!E:R,7,false),0)</f>
        <v/>
      </c>
      <c r="L118" s="611">
        <f>iferror(VLOOKUP(E118,'August 2025 Reference AI'!E:R,8,false),0)</f>
        <v>31</v>
      </c>
      <c r="M118" s="515">
        <v>45870.0</v>
      </c>
      <c r="N118" s="515">
        <v>45900.0</v>
      </c>
    </row>
    <row r="119">
      <c r="A119" s="452" t="s">
        <v>16</v>
      </c>
      <c r="B119" s="453">
        <v>4320.0</v>
      </c>
      <c r="C119" s="556" t="s">
        <v>763</v>
      </c>
      <c r="D119" s="453">
        <v>0.0</v>
      </c>
      <c r="E119" s="566" t="s">
        <v>114</v>
      </c>
      <c r="F119" s="452" t="s">
        <v>115</v>
      </c>
      <c r="G119" s="452" t="s">
        <v>116</v>
      </c>
      <c r="H119" s="455"/>
      <c r="I119" s="457">
        <v>35159.0</v>
      </c>
      <c r="J119" s="457">
        <v>45078.0</v>
      </c>
      <c r="K119" s="625">
        <v>45322.0</v>
      </c>
      <c r="L119" s="251">
        <v>0.0</v>
      </c>
      <c r="M119" s="515">
        <v>45870.0</v>
      </c>
      <c r="N119" s="515">
        <v>45900.0</v>
      </c>
    </row>
    <row r="120" hidden="1">
      <c r="A120" s="557" t="s">
        <v>16</v>
      </c>
      <c r="B120" s="558">
        <v>4320.0</v>
      </c>
      <c r="C120" s="556" t="s">
        <v>763</v>
      </c>
      <c r="D120" s="558">
        <v>0.0</v>
      </c>
      <c r="E120" s="567" t="s">
        <v>857</v>
      </c>
      <c r="F120" s="568" t="s">
        <v>858</v>
      </c>
      <c r="G120" s="568" t="s">
        <v>859</v>
      </c>
      <c r="H120" s="569"/>
      <c r="I120" s="570">
        <v>36087.0</v>
      </c>
      <c r="J120" s="570">
        <v>45810.0</v>
      </c>
      <c r="K120" s="626">
        <v>45853.0</v>
      </c>
      <c r="L120" s="611">
        <f>iferror(VLOOKUP(E120,'August 2025 Reference AI'!E:R,8,false),0)</f>
        <v>0</v>
      </c>
      <c r="M120" s="515">
        <v>45870.0</v>
      </c>
      <c r="N120" s="515">
        <v>45900.0</v>
      </c>
    </row>
    <row r="121" hidden="1">
      <c r="A121" s="452" t="s">
        <v>16</v>
      </c>
      <c r="B121" s="453">
        <v>4320.0</v>
      </c>
      <c r="C121" s="556" t="s">
        <v>763</v>
      </c>
      <c r="D121" s="453">
        <v>0.0</v>
      </c>
      <c r="E121" s="566" t="s">
        <v>457</v>
      </c>
      <c r="F121" s="452" t="s">
        <v>515</v>
      </c>
      <c r="G121" s="452" t="s">
        <v>458</v>
      </c>
      <c r="H121" s="455"/>
      <c r="I121" s="457">
        <v>37061.0</v>
      </c>
      <c r="J121" s="456">
        <v>45505.0</v>
      </c>
      <c r="K121" s="627">
        <v>45808.0</v>
      </c>
      <c r="L121" s="611">
        <f>iferror(VLOOKUP(E121,'August 2025 Reference AI'!E:R,8,false),0)</f>
        <v>0</v>
      </c>
      <c r="M121" s="515">
        <v>45870.0</v>
      </c>
      <c r="N121" s="515">
        <v>45900.0</v>
      </c>
    </row>
    <row r="122" hidden="1">
      <c r="A122" s="452" t="s">
        <v>16</v>
      </c>
      <c r="B122" s="453">
        <v>4320.0</v>
      </c>
      <c r="C122" s="556" t="s">
        <v>763</v>
      </c>
      <c r="D122" s="453">
        <v>0.0</v>
      </c>
      <c r="E122" s="565" t="s">
        <v>439</v>
      </c>
      <c r="F122" s="452" t="s">
        <v>121</v>
      </c>
      <c r="G122" s="452" t="s">
        <v>122</v>
      </c>
      <c r="H122" s="455"/>
      <c r="I122" s="456">
        <v>36794.0</v>
      </c>
      <c r="J122" s="456">
        <v>44915.0</v>
      </c>
      <c r="K122" s="615">
        <v>45709.0</v>
      </c>
      <c r="L122" s="611">
        <f>iferror(VLOOKUP(E122,'August 2025 Reference AI'!E:R,8,false),0)</f>
        <v>0</v>
      </c>
      <c r="M122" s="515">
        <v>45870.0</v>
      </c>
      <c r="N122" s="515">
        <v>45900.0</v>
      </c>
    </row>
    <row r="123" hidden="1">
      <c r="A123" s="452" t="s">
        <v>16</v>
      </c>
      <c r="B123" s="453">
        <v>4320.0</v>
      </c>
      <c r="C123" s="556" t="s">
        <v>763</v>
      </c>
      <c r="D123" s="453">
        <v>0.0</v>
      </c>
      <c r="E123" s="566" t="s">
        <v>643</v>
      </c>
      <c r="F123" s="452" t="s">
        <v>124</v>
      </c>
      <c r="G123" s="452" t="s">
        <v>125</v>
      </c>
      <c r="H123" s="455"/>
      <c r="I123" s="456">
        <v>37149.0</v>
      </c>
      <c r="J123" s="457">
        <v>45124.0</v>
      </c>
      <c r="K123" s="612">
        <v>45453.0</v>
      </c>
      <c r="L123" s="611">
        <f>iferror(VLOOKUP(E123,'August 2025 Reference AI'!E:R,8,false),0)</f>
        <v>0</v>
      </c>
      <c r="M123" s="515">
        <v>45870.0</v>
      </c>
      <c r="N123" s="515">
        <v>45900.0</v>
      </c>
    </row>
    <row r="124" hidden="1">
      <c r="A124" s="452" t="s">
        <v>16</v>
      </c>
      <c r="B124" s="453">
        <v>4320.0</v>
      </c>
      <c r="C124" s="556" t="s">
        <v>763</v>
      </c>
      <c r="D124" s="453">
        <v>0.0</v>
      </c>
      <c r="E124" s="565" t="s">
        <v>237</v>
      </c>
      <c r="F124" s="452" t="s">
        <v>238</v>
      </c>
      <c r="G124" s="452" t="s">
        <v>239</v>
      </c>
      <c r="H124" s="455"/>
      <c r="I124" s="457">
        <v>34503.0</v>
      </c>
      <c r="J124" s="456">
        <v>45251.0</v>
      </c>
      <c r="K124" s="615">
        <v>45338.0</v>
      </c>
      <c r="L124" s="611">
        <f>iferror(VLOOKUP(E124,'August 2025 Reference AI'!E:R,8,false),0)</f>
        <v>0</v>
      </c>
      <c r="M124" s="515">
        <v>45870.0</v>
      </c>
      <c r="N124" s="515">
        <v>45900.0</v>
      </c>
    </row>
    <row r="125">
      <c r="A125" s="452" t="s">
        <v>16</v>
      </c>
      <c r="B125" s="453">
        <v>4320.0</v>
      </c>
      <c r="C125" s="556" t="s">
        <v>763</v>
      </c>
      <c r="D125" s="453">
        <v>0.0</v>
      </c>
      <c r="E125" s="452" t="s">
        <v>506</v>
      </c>
      <c r="F125" s="452" t="s">
        <v>544</v>
      </c>
      <c r="G125" s="452" t="s">
        <v>507</v>
      </c>
      <c r="H125" s="455"/>
      <c r="I125" s="456">
        <v>36981.0</v>
      </c>
      <c r="J125" s="456">
        <v>45642.0</v>
      </c>
      <c r="K125" s="610" t="str">
        <f>iferror(VLOOKUP(E125,'August 2025 Reference AI'!E:R,7,false),0)</f>
        <v/>
      </c>
      <c r="L125" s="611">
        <f>iferror(VLOOKUP(E125,'August 2025 Reference AI'!E:R,8,false),0)</f>
        <v>31</v>
      </c>
      <c r="M125" s="515">
        <v>45870.0</v>
      </c>
      <c r="N125" s="515">
        <v>45900.0</v>
      </c>
    </row>
    <row r="126">
      <c r="A126" s="557" t="s">
        <v>16</v>
      </c>
      <c r="B126" s="558">
        <v>4320.0</v>
      </c>
      <c r="C126" s="556" t="s">
        <v>763</v>
      </c>
      <c r="D126" s="558">
        <v>0.0</v>
      </c>
      <c r="E126" s="557" t="s">
        <v>788</v>
      </c>
      <c r="F126" s="557" t="s">
        <v>823</v>
      </c>
      <c r="G126" s="557" t="s">
        <v>790</v>
      </c>
      <c r="H126" s="559"/>
      <c r="I126" s="560">
        <v>36459.0</v>
      </c>
      <c r="J126" s="572">
        <v>45789.0</v>
      </c>
      <c r="K126" s="610" t="str">
        <f>iferror(VLOOKUP(E126,'August 2025 Reference AI'!E:R,7,false),0)</f>
        <v>4-Aug-2025</v>
      </c>
      <c r="L126" s="620">
        <f>iferror(VLOOKUP(E126,'August 2025 Reference AI'!E:R,8,false),0)</f>
        <v>4</v>
      </c>
      <c r="M126" s="621">
        <v>45870.0</v>
      </c>
      <c r="N126" s="621">
        <v>45900.0</v>
      </c>
    </row>
    <row r="127">
      <c r="A127" s="452" t="s">
        <v>16</v>
      </c>
      <c r="B127" s="453">
        <v>4320.0</v>
      </c>
      <c r="C127" s="556" t="s">
        <v>763</v>
      </c>
      <c r="D127" s="453">
        <v>0.0</v>
      </c>
      <c r="E127" s="452" t="s">
        <v>487</v>
      </c>
      <c r="F127" s="452" t="s">
        <v>533</v>
      </c>
      <c r="G127" s="452" t="s">
        <v>488</v>
      </c>
      <c r="H127" s="455"/>
      <c r="I127" s="458">
        <v>35195.0</v>
      </c>
      <c r="J127" s="457">
        <v>45602.0</v>
      </c>
      <c r="K127" s="610" t="str">
        <f>iferror(VLOOKUP(E127,'August 2025 Reference AI'!E:R,7,false),0)</f>
        <v/>
      </c>
      <c r="L127" s="611">
        <f>iferror(VLOOKUP(E127,'August 2025 Reference AI'!E:R,8,false),0)</f>
        <v>31</v>
      </c>
      <c r="M127" s="515">
        <v>45870.0</v>
      </c>
      <c r="N127" s="515">
        <v>45900.0</v>
      </c>
    </row>
    <row r="128">
      <c r="A128" s="452" t="s">
        <v>16</v>
      </c>
      <c r="B128" s="453">
        <v>4320.0</v>
      </c>
      <c r="C128" s="556" t="s">
        <v>763</v>
      </c>
      <c r="D128" s="453">
        <v>0.0</v>
      </c>
      <c r="E128" s="452" t="s">
        <v>343</v>
      </c>
      <c r="F128" s="452" t="s">
        <v>344</v>
      </c>
      <c r="G128" s="452" t="s">
        <v>345</v>
      </c>
      <c r="H128" s="455"/>
      <c r="I128" s="456">
        <v>36821.0</v>
      </c>
      <c r="J128" s="456">
        <v>45362.0</v>
      </c>
      <c r="K128" s="610" t="str">
        <f>iferror(VLOOKUP(E128,'August 2025 Reference AI'!E:R,7,false),0)</f>
        <v/>
      </c>
      <c r="L128" s="611">
        <f>iferror(VLOOKUP(E128,'August 2025 Reference AI'!E:R,8,false),0)</f>
        <v>31</v>
      </c>
      <c r="M128" s="515">
        <v>45870.0</v>
      </c>
      <c r="N128" s="515">
        <v>45900.0</v>
      </c>
    </row>
    <row r="129">
      <c r="A129" s="452" t="s">
        <v>16</v>
      </c>
      <c r="B129" s="453">
        <v>4320.0</v>
      </c>
      <c r="C129" s="556" t="s">
        <v>763</v>
      </c>
      <c r="D129" s="453">
        <v>0.0</v>
      </c>
      <c r="E129" s="452" t="s">
        <v>750</v>
      </c>
      <c r="F129" s="452" t="s">
        <v>751</v>
      </c>
      <c r="G129" s="452" t="s">
        <v>752</v>
      </c>
      <c r="H129" s="455"/>
      <c r="I129" s="456">
        <v>36581.0</v>
      </c>
      <c r="J129" s="456">
        <v>45740.0</v>
      </c>
      <c r="K129" s="610" t="str">
        <f>iferror(VLOOKUP(E129,'August 2025 Reference AI'!E:R,7,false),0)</f>
        <v/>
      </c>
      <c r="L129" s="611">
        <f>iferror(VLOOKUP(E129,'August 2025 Reference AI'!E:R,8,false),0)</f>
        <v>31</v>
      </c>
      <c r="M129" s="515">
        <v>45870.0</v>
      </c>
      <c r="N129" s="515">
        <v>45900.0</v>
      </c>
    </row>
    <row r="130" hidden="1">
      <c r="A130" s="452" t="s">
        <v>16</v>
      </c>
      <c r="B130" s="453">
        <v>4320.0</v>
      </c>
      <c r="C130" s="556" t="s">
        <v>763</v>
      </c>
      <c r="D130" s="453">
        <v>0.0</v>
      </c>
      <c r="E130" s="452" t="s">
        <v>129</v>
      </c>
      <c r="F130" s="452" t="s">
        <v>130</v>
      </c>
      <c r="G130" s="452" t="s">
        <v>131</v>
      </c>
      <c r="H130" s="455"/>
      <c r="I130" s="456">
        <v>36207.0</v>
      </c>
      <c r="J130" s="457">
        <v>45054.0</v>
      </c>
      <c r="K130" s="615">
        <v>44960.0</v>
      </c>
      <c r="L130" s="611">
        <f>iferror(VLOOKUP(E130,'August 2025 Reference AI'!E:R,8,false),0)</f>
        <v>0</v>
      </c>
      <c r="M130" s="515">
        <v>45870.0</v>
      </c>
      <c r="N130" s="515">
        <v>45900.0</v>
      </c>
    </row>
    <row r="131">
      <c r="A131" s="452" t="s">
        <v>16</v>
      </c>
      <c r="B131" s="453">
        <v>4320.0</v>
      </c>
      <c r="C131" s="556" t="s">
        <v>763</v>
      </c>
      <c r="D131" s="453">
        <v>0.0</v>
      </c>
      <c r="E131" s="452" t="s">
        <v>429</v>
      </c>
      <c r="F131" s="452" t="s">
        <v>516</v>
      </c>
      <c r="G131" s="452" t="s">
        <v>430</v>
      </c>
      <c r="H131" s="455"/>
      <c r="I131" s="457">
        <v>37257.0</v>
      </c>
      <c r="J131" s="457">
        <v>45481.0</v>
      </c>
      <c r="K131" s="610" t="str">
        <f>iferror(VLOOKUP(E131,'August 2025 Reference AI'!E:R,7,false),0)</f>
        <v>31-Aug-2025</v>
      </c>
      <c r="L131" s="611">
        <f>iferror(VLOOKUP(E131,'August 2025 Reference AI'!E:R,8,false),0)</f>
        <v>31</v>
      </c>
      <c r="M131" s="515">
        <v>45870.0</v>
      </c>
      <c r="N131" s="515">
        <v>45900.0</v>
      </c>
    </row>
    <row r="132">
      <c r="A132" s="452" t="s">
        <v>16</v>
      </c>
      <c r="B132" s="453">
        <v>4320.0</v>
      </c>
      <c r="C132" s="556" t="s">
        <v>763</v>
      </c>
      <c r="D132" s="453">
        <v>0.0</v>
      </c>
      <c r="E132" s="452" t="s">
        <v>489</v>
      </c>
      <c r="F132" s="452" t="s">
        <v>536</v>
      </c>
      <c r="G132" s="452" t="s">
        <v>490</v>
      </c>
      <c r="H132" s="455"/>
      <c r="I132" s="457">
        <v>37105.0</v>
      </c>
      <c r="J132" s="457">
        <v>45602.0</v>
      </c>
      <c r="K132" s="610" t="str">
        <f>iferror(VLOOKUP(E132,'August 2025 Reference AI'!E:R,7,false),0)</f>
        <v>12-Aug-2025</v>
      </c>
      <c r="L132" s="611">
        <f>iferror(VLOOKUP(E132,'August 2025 Reference AI'!E:R,8,false),0)</f>
        <v>12</v>
      </c>
      <c r="M132" s="515">
        <v>45870.0</v>
      </c>
      <c r="N132" s="515">
        <v>45900.0</v>
      </c>
    </row>
    <row r="133" hidden="1">
      <c r="A133" s="452" t="s">
        <v>16</v>
      </c>
      <c r="B133" s="453">
        <v>4320.0</v>
      </c>
      <c r="C133" s="556" t="s">
        <v>763</v>
      </c>
      <c r="D133" s="453">
        <v>0.0</v>
      </c>
      <c r="E133" s="452" t="s">
        <v>644</v>
      </c>
      <c r="F133" s="452" t="s">
        <v>190</v>
      </c>
      <c r="G133" s="452" t="s">
        <v>191</v>
      </c>
      <c r="H133" s="455"/>
      <c r="I133" s="456">
        <v>36421.0</v>
      </c>
      <c r="J133" s="456">
        <v>45166.0</v>
      </c>
      <c r="K133" s="615">
        <v>45535.0</v>
      </c>
      <c r="L133" s="611">
        <f>iferror(VLOOKUP(E133,'August 2025 Reference AI'!E:R,8,false),0)</f>
        <v>0</v>
      </c>
      <c r="M133" s="515">
        <v>45870.0</v>
      </c>
      <c r="N133" s="515">
        <v>45900.0</v>
      </c>
    </row>
    <row r="134" hidden="1">
      <c r="A134" s="452" t="s">
        <v>16</v>
      </c>
      <c r="B134" s="453">
        <v>4320.0</v>
      </c>
      <c r="C134" s="556" t="s">
        <v>763</v>
      </c>
      <c r="D134" s="453">
        <v>0.0</v>
      </c>
      <c r="E134" s="452" t="s">
        <v>645</v>
      </c>
      <c r="F134" s="452" t="s">
        <v>646</v>
      </c>
      <c r="G134" s="452" t="s">
        <v>647</v>
      </c>
      <c r="H134" s="455"/>
      <c r="I134" s="456">
        <v>37123.0</v>
      </c>
      <c r="J134" s="456">
        <v>44984.0</v>
      </c>
      <c r="K134" s="615">
        <v>45199.0</v>
      </c>
      <c r="L134" s="611">
        <f>iferror(VLOOKUP(E134,'August 2025 Reference AI'!E:R,8,false),0)</f>
        <v>0</v>
      </c>
      <c r="M134" s="515">
        <v>45870.0</v>
      </c>
      <c r="N134" s="515">
        <v>45900.0</v>
      </c>
    </row>
    <row r="135">
      <c r="A135" s="452" t="s">
        <v>16</v>
      </c>
      <c r="B135" s="453">
        <v>4320.0</v>
      </c>
      <c r="C135" s="556" t="s">
        <v>763</v>
      </c>
      <c r="D135" s="453">
        <v>0.0</v>
      </c>
      <c r="E135" s="452" t="s">
        <v>416</v>
      </c>
      <c r="F135" s="452" t="s">
        <v>517</v>
      </c>
      <c r="G135" s="452" t="s">
        <v>417</v>
      </c>
      <c r="H135" s="455"/>
      <c r="I135" s="457">
        <v>36346.0</v>
      </c>
      <c r="J135" s="457">
        <v>45453.0</v>
      </c>
      <c r="K135" s="610" t="str">
        <f>iferror(VLOOKUP(E135,'August 2025 Reference AI'!E:R,7,false),0)</f>
        <v/>
      </c>
      <c r="L135" s="611">
        <f>iferror(VLOOKUP(E135,'August 2025 Reference AI'!E:R,8,false),0)</f>
        <v>31</v>
      </c>
      <c r="M135" s="515">
        <v>45870.0</v>
      </c>
      <c r="N135" s="515">
        <v>45900.0</v>
      </c>
    </row>
    <row r="136" hidden="1">
      <c r="A136" s="452" t="s">
        <v>16</v>
      </c>
      <c r="B136" s="453">
        <v>4320.0</v>
      </c>
      <c r="C136" s="556" t="s">
        <v>763</v>
      </c>
      <c r="D136" s="453">
        <v>0.0</v>
      </c>
      <c r="E136" s="452" t="s">
        <v>582</v>
      </c>
      <c r="F136" s="452" t="s">
        <v>583</v>
      </c>
      <c r="G136" s="452" t="s">
        <v>584</v>
      </c>
      <c r="H136" s="455"/>
      <c r="I136" s="456">
        <v>37880.0</v>
      </c>
      <c r="J136" s="457">
        <v>45677.0</v>
      </c>
      <c r="K136" s="614">
        <v>45800.0</v>
      </c>
      <c r="L136" s="611">
        <f>iferror(VLOOKUP(E136,'August 2025 Reference AI'!E:R,8,false),0)</f>
        <v>0</v>
      </c>
      <c r="M136" s="515">
        <v>45870.0</v>
      </c>
      <c r="N136" s="515">
        <v>45900.0</v>
      </c>
    </row>
    <row r="137" hidden="1">
      <c r="A137" s="452" t="s">
        <v>16</v>
      </c>
      <c r="B137" s="453">
        <v>4320.0</v>
      </c>
      <c r="C137" s="556" t="s">
        <v>763</v>
      </c>
      <c r="D137" s="453">
        <v>0.0</v>
      </c>
      <c r="E137" s="452" t="s">
        <v>648</v>
      </c>
      <c r="F137" s="452" t="s">
        <v>649</v>
      </c>
      <c r="G137" s="452" t="s">
        <v>650</v>
      </c>
      <c r="H137" s="455"/>
      <c r="I137" s="457">
        <v>35039.0</v>
      </c>
      <c r="J137" s="457">
        <v>44986.0</v>
      </c>
      <c r="K137" s="615">
        <v>45199.0</v>
      </c>
      <c r="L137" s="611">
        <f>iferror(VLOOKUP(E137,'August 2025 Reference AI'!E:R,8,false),0)</f>
        <v>0</v>
      </c>
      <c r="M137" s="515">
        <v>45870.0</v>
      </c>
      <c r="N137" s="515">
        <v>45900.0</v>
      </c>
    </row>
    <row r="138">
      <c r="A138" s="452" t="s">
        <v>16</v>
      </c>
      <c r="B138" s="453">
        <v>4320.0</v>
      </c>
      <c r="C138" s="556" t="s">
        <v>763</v>
      </c>
      <c r="D138" s="453">
        <v>0.0</v>
      </c>
      <c r="E138" s="452" t="s">
        <v>478</v>
      </c>
      <c r="F138" s="452" t="s">
        <v>518</v>
      </c>
      <c r="G138" s="452" t="s">
        <v>426</v>
      </c>
      <c r="H138" s="455"/>
      <c r="I138" s="457">
        <v>36530.0</v>
      </c>
      <c r="J138" s="457">
        <v>45446.0</v>
      </c>
      <c r="K138" s="610" t="str">
        <f>iferror(VLOOKUP(E138,'August 2025 Reference AI'!E:R,7,false),0)</f>
        <v/>
      </c>
      <c r="L138" s="611">
        <f>iferror(VLOOKUP(E138,'August 2025 Reference AI'!E:R,8,false),0)</f>
        <v>31</v>
      </c>
      <c r="M138" s="515">
        <v>45870.0</v>
      </c>
      <c r="N138" s="515">
        <v>45900.0</v>
      </c>
    </row>
    <row r="139" hidden="1">
      <c r="A139" s="452" t="s">
        <v>16</v>
      </c>
      <c r="B139" s="453">
        <v>4320.0</v>
      </c>
      <c r="C139" s="556" t="s">
        <v>763</v>
      </c>
      <c r="D139" s="453">
        <v>0.0</v>
      </c>
      <c r="E139" s="452" t="s">
        <v>132</v>
      </c>
      <c r="F139" s="452" t="s">
        <v>519</v>
      </c>
      <c r="G139" s="452" t="s">
        <v>418</v>
      </c>
      <c r="H139" s="455"/>
      <c r="I139" s="456">
        <v>37494.0</v>
      </c>
      <c r="J139" s="457">
        <v>45467.0</v>
      </c>
      <c r="K139" s="615">
        <v>45723.0</v>
      </c>
      <c r="L139" s="611">
        <f>iferror(VLOOKUP(E139,'August 2025 Reference AI'!E:R,8,false),0)</f>
        <v>0</v>
      </c>
      <c r="M139" s="515">
        <v>45870.0</v>
      </c>
      <c r="N139" s="515">
        <v>45900.0</v>
      </c>
    </row>
    <row r="140" hidden="1">
      <c r="A140" s="452" t="s">
        <v>16</v>
      </c>
      <c r="B140" s="453">
        <v>4320.0</v>
      </c>
      <c r="C140" s="556" t="s">
        <v>763</v>
      </c>
      <c r="D140" s="453">
        <v>0.0</v>
      </c>
      <c r="E140" s="452" t="s">
        <v>132</v>
      </c>
      <c r="F140" s="452" t="s">
        <v>347</v>
      </c>
      <c r="G140" s="452" t="s">
        <v>348</v>
      </c>
      <c r="H140" s="455"/>
      <c r="I140" s="457">
        <v>36778.0</v>
      </c>
      <c r="J140" s="456">
        <v>45369.0</v>
      </c>
      <c r="K140" s="615">
        <v>45565.0</v>
      </c>
      <c r="L140" s="611">
        <f>iferror(VLOOKUP(E140,'August 2025 Reference AI'!E:R,8,false),0)</f>
        <v>0</v>
      </c>
      <c r="M140" s="515">
        <v>45870.0</v>
      </c>
      <c r="N140" s="515">
        <v>45900.0</v>
      </c>
    </row>
    <row r="141" hidden="1">
      <c r="A141" s="557" t="s">
        <v>16</v>
      </c>
      <c r="B141" s="558">
        <v>4320.0</v>
      </c>
      <c r="C141" s="556" t="s">
        <v>763</v>
      </c>
      <c r="D141" s="558">
        <v>0.0</v>
      </c>
      <c r="E141" s="557" t="s">
        <v>570</v>
      </c>
      <c r="F141" s="557" t="s">
        <v>571</v>
      </c>
      <c r="G141" s="557" t="s">
        <v>572</v>
      </c>
      <c r="H141" s="559"/>
      <c r="I141" s="561">
        <v>37362.0</v>
      </c>
      <c r="J141" s="561">
        <v>45677.0</v>
      </c>
      <c r="K141" s="627">
        <v>45869.0</v>
      </c>
      <c r="L141" s="611">
        <f>iferror(VLOOKUP(E141,'August 2025 Reference AI'!E:R,8,false),0)</f>
        <v>0</v>
      </c>
      <c r="M141" s="515">
        <v>45870.0</v>
      </c>
      <c r="N141" s="515">
        <v>45900.0</v>
      </c>
    </row>
    <row r="142">
      <c r="A142" s="452" t="s">
        <v>16</v>
      </c>
      <c r="B142" s="453">
        <v>4320.0</v>
      </c>
      <c r="C142" s="556" t="s">
        <v>763</v>
      </c>
      <c r="D142" s="453">
        <v>0.0</v>
      </c>
      <c r="E142" s="452" t="s">
        <v>702</v>
      </c>
      <c r="F142" s="452" t="s">
        <v>703</v>
      </c>
      <c r="G142" s="452" t="s">
        <v>704</v>
      </c>
      <c r="H142" s="455"/>
      <c r="I142" s="456">
        <v>35714.0</v>
      </c>
      <c r="J142" s="456">
        <v>45705.0</v>
      </c>
      <c r="K142" s="610" t="str">
        <f>iferror(VLOOKUP(E142,'August 2025 Reference AI'!E:R,7,false),0)</f>
        <v/>
      </c>
      <c r="L142" s="611">
        <f>iferror(VLOOKUP(E142,'August 2025 Reference AI'!E:R,8,false),0)</f>
        <v>31</v>
      </c>
      <c r="M142" s="515">
        <v>45870.0</v>
      </c>
      <c r="N142" s="515">
        <v>45900.0</v>
      </c>
    </row>
    <row r="143" hidden="1">
      <c r="A143" s="452" t="s">
        <v>16</v>
      </c>
      <c r="B143" s="453">
        <v>4320.0</v>
      </c>
      <c r="C143" s="556" t="s">
        <v>763</v>
      </c>
      <c r="D143" s="453">
        <v>0.0</v>
      </c>
      <c r="E143" s="452" t="s">
        <v>491</v>
      </c>
      <c r="F143" s="452" t="s">
        <v>534</v>
      </c>
      <c r="G143" s="452" t="s">
        <v>492</v>
      </c>
      <c r="H143" s="455"/>
      <c r="I143" s="456">
        <v>36849.0</v>
      </c>
      <c r="J143" s="456">
        <v>45602.0</v>
      </c>
      <c r="K143" s="615">
        <v>45700.0</v>
      </c>
      <c r="L143" s="611">
        <f>iferror(VLOOKUP(E143,'August 2025 Reference AI'!E:R,8,false),0)</f>
        <v>0</v>
      </c>
      <c r="M143" s="515">
        <v>45870.0</v>
      </c>
      <c r="N143" s="515">
        <v>45900.0</v>
      </c>
    </row>
    <row r="144" hidden="1">
      <c r="A144" s="452" t="s">
        <v>16</v>
      </c>
      <c r="B144" s="453">
        <v>4320.0</v>
      </c>
      <c r="C144" s="556" t="s">
        <v>763</v>
      </c>
      <c r="D144" s="453">
        <v>0.0</v>
      </c>
      <c r="E144" s="452" t="s">
        <v>767</v>
      </c>
      <c r="F144" s="452" t="s">
        <v>818</v>
      </c>
      <c r="G144" s="452" t="s">
        <v>768</v>
      </c>
      <c r="H144" s="455"/>
      <c r="I144" s="456">
        <v>35792.0</v>
      </c>
      <c r="J144" s="456">
        <v>45754.0</v>
      </c>
      <c r="K144" s="617">
        <v>45819.0</v>
      </c>
      <c r="L144" s="611">
        <f>iferror(VLOOKUP(E144,'August 2025 Reference AI'!E:R,8,false),0)</f>
        <v>0</v>
      </c>
      <c r="M144" s="515">
        <v>45870.0</v>
      </c>
      <c r="N144" s="515">
        <v>45900.0</v>
      </c>
    </row>
    <row r="145" hidden="1">
      <c r="A145" s="452" t="s">
        <v>16</v>
      </c>
      <c r="B145" s="453">
        <v>4320.0</v>
      </c>
      <c r="C145" s="556" t="s">
        <v>763</v>
      </c>
      <c r="D145" s="453">
        <v>0.0</v>
      </c>
      <c r="E145" s="452" t="s">
        <v>651</v>
      </c>
      <c r="F145" s="452" t="s">
        <v>652</v>
      </c>
      <c r="G145" s="452" t="s">
        <v>653</v>
      </c>
      <c r="H145" s="455"/>
      <c r="I145" s="456">
        <v>34748.0</v>
      </c>
      <c r="J145" s="457">
        <v>45033.0</v>
      </c>
      <c r="K145" s="615">
        <v>45381.0</v>
      </c>
      <c r="L145" s="611">
        <f>iferror(VLOOKUP(E145,'August 2025 Reference AI'!E:R,8,false),0)</f>
        <v>0</v>
      </c>
      <c r="M145" s="515">
        <v>45870.0</v>
      </c>
      <c r="N145" s="515">
        <v>45900.0</v>
      </c>
    </row>
    <row r="146">
      <c r="A146" s="452" t="s">
        <v>16</v>
      </c>
      <c r="B146" s="453">
        <v>4320.0</v>
      </c>
      <c r="C146" s="556" t="s">
        <v>763</v>
      </c>
      <c r="D146" s="453">
        <v>0.0</v>
      </c>
      <c r="E146" s="452" t="s">
        <v>459</v>
      </c>
      <c r="F146" s="452" t="s">
        <v>374</v>
      </c>
      <c r="G146" s="452" t="s">
        <v>375</v>
      </c>
      <c r="H146" s="455"/>
      <c r="I146" s="462">
        <v>37085.0</v>
      </c>
      <c r="J146" s="462">
        <v>45400.0</v>
      </c>
      <c r="K146" s="610" t="str">
        <f>iferror(VLOOKUP(E146,'August 2025 Reference AI'!E:R,7,false),0)</f>
        <v/>
      </c>
      <c r="L146" s="611">
        <f>iferror(VLOOKUP(E146,'August 2025 Reference AI'!E:R,8,false),0)</f>
        <v>31</v>
      </c>
      <c r="M146" s="515">
        <v>45870.0</v>
      </c>
      <c r="N146" s="515">
        <v>45900.0</v>
      </c>
    </row>
    <row r="147" hidden="1">
      <c r="A147" s="452" t="s">
        <v>16</v>
      </c>
      <c r="B147" s="453">
        <v>4320.0</v>
      </c>
      <c r="C147" s="556" t="s">
        <v>763</v>
      </c>
      <c r="D147" s="453">
        <v>0.0</v>
      </c>
      <c r="E147" s="452" t="s">
        <v>135</v>
      </c>
      <c r="F147" s="452" t="s">
        <v>136</v>
      </c>
      <c r="G147" s="452" t="s">
        <v>137</v>
      </c>
      <c r="H147" s="455"/>
      <c r="I147" s="456">
        <v>36768.0</v>
      </c>
      <c r="J147" s="456">
        <v>44888.0</v>
      </c>
      <c r="K147" s="615">
        <v>45260.0</v>
      </c>
      <c r="L147" s="611">
        <f>iferror(VLOOKUP(E147,'August 2025 Reference AI'!E:R,8,false),0)</f>
        <v>0</v>
      </c>
      <c r="M147" s="515">
        <v>45870.0</v>
      </c>
      <c r="N147" s="515">
        <v>45900.0</v>
      </c>
    </row>
    <row r="148">
      <c r="A148" s="452" t="s">
        <v>16</v>
      </c>
      <c r="B148" s="453">
        <v>4320.0</v>
      </c>
      <c r="C148" s="556" t="s">
        <v>763</v>
      </c>
      <c r="D148" s="453">
        <v>0.0</v>
      </c>
      <c r="E148" s="452" t="s">
        <v>349</v>
      </c>
      <c r="F148" s="452" t="s">
        <v>350</v>
      </c>
      <c r="G148" s="452" t="s">
        <v>351</v>
      </c>
      <c r="H148" s="455"/>
      <c r="I148" s="457">
        <v>37647.0</v>
      </c>
      <c r="J148" s="457">
        <v>45355.0</v>
      </c>
      <c r="K148" s="610" t="str">
        <f>iferror(VLOOKUP(E148,'August 2025 Reference AI'!E:R,7,false),0)</f>
        <v/>
      </c>
      <c r="L148" s="611">
        <f>iferror(VLOOKUP(E148,'August 2025 Reference AI'!E:R,8,false),0)</f>
        <v>31</v>
      </c>
      <c r="M148" s="515">
        <v>45870.0</v>
      </c>
      <c r="N148" s="515">
        <v>45900.0</v>
      </c>
    </row>
    <row r="149" hidden="1">
      <c r="A149" s="452" t="s">
        <v>16</v>
      </c>
      <c r="B149" s="453">
        <v>4320.0</v>
      </c>
      <c r="C149" s="556" t="s">
        <v>763</v>
      </c>
      <c r="D149" s="453">
        <v>0.0</v>
      </c>
      <c r="E149" s="452" t="s">
        <v>654</v>
      </c>
      <c r="F149" s="452" t="s">
        <v>655</v>
      </c>
      <c r="G149" s="452" t="s">
        <v>656</v>
      </c>
      <c r="H149" s="455"/>
      <c r="I149" s="456">
        <v>34318.0</v>
      </c>
      <c r="J149" s="456">
        <v>45229.0</v>
      </c>
      <c r="K149" s="615">
        <v>45523.0</v>
      </c>
      <c r="L149" s="611">
        <f>iferror(VLOOKUP(E149,'August 2025 Reference AI'!E:R,8,false),0)</f>
        <v>0</v>
      </c>
      <c r="M149" s="515">
        <v>45870.0</v>
      </c>
      <c r="N149" s="515">
        <v>45900.0</v>
      </c>
    </row>
    <row r="150" hidden="1">
      <c r="A150" s="452" t="s">
        <v>16</v>
      </c>
      <c r="B150" s="453">
        <v>4320.0</v>
      </c>
      <c r="C150" s="556" t="s">
        <v>763</v>
      </c>
      <c r="D150" s="453">
        <v>0.0</v>
      </c>
      <c r="E150" s="452" t="s">
        <v>141</v>
      </c>
      <c r="F150" s="452" t="s">
        <v>142</v>
      </c>
      <c r="G150" s="452" t="s">
        <v>143</v>
      </c>
      <c r="H150" s="455"/>
      <c r="I150" s="456">
        <v>34300.0</v>
      </c>
      <c r="J150" s="456">
        <v>45183.0</v>
      </c>
      <c r="K150" s="615">
        <v>45565.0</v>
      </c>
      <c r="L150" s="611">
        <f>iferror(VLOOKUP(E150,'August 2025 Reference AI'!E:R,8,false),0)</f>
        <v>0</v>
      </c>
      <c r="M150" s="515">
        <v>45870.0</v>
      </c>
      <c r="N150" s="515">
        <v>45900.0</v>
      </c>
    </row>
    <row r="151" hidden="1">
      <c r="A151" s="452" t="s">
        <v>16</v>
      </c>
      <c r="B151" s="453">
        <v>4320.0</v>
      </c>
      <c r="C151" s="556" t="s">
        <v>763</v>
      </c>
      <c r="D151" s="453">
        <v>0.0</v>
      </c>
      <c r="E151" s="452" t="s">
        <v>657</v>
      </c>
      <c r="F151" s="452" t="s">
        <v>658</v>
      </c>
      <c r="G151" s="452" t="s">
        <v>659</v>
      </c>
      <c r="H151" s="455"/>
      <c r="I151" s="456">
        <v>35147.0</v>
      </c>
      <c r="J151" s="456">
        <v>44886.0</v>
      </c>
      <c r="K151" s="615">
        <v>45243.0</v>
      </c>
      <c r="L151" s="611">
        <f>iferror(VLOOKUP(E151,'August 2025 Reference AI'!E:R,8,false),0)</f>
        <v>0</v>
      </c>
      <c r="M151" s="515">
        <v>45870.0</v>
      </c>
      <c r="N151" s="515">
        <v>45900.0</v>
      </c>
    </row>
    <row r="152">
      <c r="A152" s="452" t="s">
        <v>16</v>
      </c>
      <c r="B152" s="453">
        <v>4320.0</v>
      </c>
      <c r="C152" s="556" t="s">
        <v>763</v>
      </c>
      <c r="D152" s="453">
        <v>0.0</v>
      </c>
      <c r="E152" s="452" t="s">
        <v>352</v>
      </c>
      <c r="F152" s="452" t="s">
        <v>353</v>
      </c>
      <c r="G152" s="452" t="s">
        <v>354</v>
      </c>
      <c r="H152" s="455"/>
      <c r="I152" s="457">
        <v>36412.0</v>
      </c>
      <c r="J152" s="457">
        <v>45355.0</v>
      </c>
      <c r="K152" s="610" t="str">
        <f>iferror(VLOOKUP(E152,'August 2025 Reference AI'!E:R,7,false),0)</f>
        <v/>
      </c>
      <c r="L152" s="611">
        <f>iferror(VLOOKUP(E152,'August 2025 Reference AI'!E:R,8,false),0)</f>
        <v>31</v>
      </c>
      <c r="M152" s="515">
        <v>45870.0</v>
      </c>
      <c r="N152" s="515">
        <v>45900.0</v>
      </c>
    </row>
    <row r="153" hidden="1">
      <c r="A153" s="557" t="s">
        <v>16</v>
      </c>
      <c r="B153" s="558">
        <v>4320.0</v>
      </c>
      <c r="C153" s="556" t="s">
        <v>763</v>
      </c>
      <c r="D153" s="558">
        <v>0.0</v>
      </c>
      <c r="E153" s="557" t="s">
        <v>803</v>
      </c>
      <c r="F153" s="557" t="s">
        <v>804</v>
      </c>
      <c r="G153" s="557" t="s">
        <v>805</v>
      </c>
      <c r="H153" s="559"/>
      <c r="I153" s="560">
        <v>37817.0</v>
      </c>
      <c r="J153" s="572">
        <v>45796.0</v>
      </c>
      <c r="K153" s="628">
        <v>45866.0</v>
      </c>
      <c r="L153" s="611">
        <f>iferror(VLOOKUP(E153,'August 2025 Reference AI'!E:R,8,false),0)</f>
        <v>0</v>
      </c>
      <c r="M153" s="515">
        <v>45870.0</v>
      </c>
      <c r="N153" s="515">
        <v>45900.0</v>
      </c>
    </row>
    <row r="154" hidden="1">
      <c r="A154" s="452" t="s">
        <v>16</v>
      </c>
      <c r="B154" s="453">
        <v>4320.0</v>
      </c>
      <c r="C154" s="556" t="s">
        <v>763</v>
      </c>
      <c r="D154" s="453">
        <v>0.0</v>
      </c>
      <c r="E154" s="452" t="s">
        <v>419</v>
      </c>
      <c r="F154" s="452" t="s">
        <v>520</v>
      </c>
      <c r="G154" s="452" t="s">
        <v>420</v>
      </c>
      <c r="H154" s="455"/>
      <c r="I154" s="457">
        <v>36907.0</v>
      </c>
      <c r="J154" s="462">
        <v>45446.0</v>
      </c>
      <c r="K154" s="612">
        <v>45676.0</v>
      </c>
      <c r="L154" s="611">
        <f>iferror(VLOOKUP(E154,'August 2025 Reference AI'!E:R,8,false),0)</f>
        <v>0</v>
      </c>
      <c r="M154" s="515">
        <v>45870.0</v>
      </c>
      <c r="N154" s="515">
        <v>45900.0</v>
      </c>
    </row>
    <row r="155" hidden="1">
      <c r="A155" s="452" t="s">
        <v>16</v>
      </c>
      <c r="B155" s="453">
        <v>4320.0</v>
      </c>
      <c r="C155" s="556" t="s">
        <v>763</v>
      </c>
      <c r="D155" s="453">
        <v>0.0</v>
      </c>
      <c r="E155" s="452" t="s">
        <v>660</v>
      </c>
      <c r="F155" s="452" t="s">
        <v>127</v>
      </c>
      <c r="G155" s="452" t="s">
        <v>128</v>
      </c>
      <c r="H155" s="455"/>
      <c r="I155" s="457">
        <v>36132.0</v>
      </c>
      <c r="J155" s="457">
        <v>45117.0</v>
      </c>
      <c r="K155" s="615">
        <v>45260.0</v>
      </c>
      <c r="L155" s="611">
        <f>iferror(VLOOKUP(E155,'August 2025 Reference AI'!E:R,8,false),0)</f>
        <v>0</v>
      </c>
      <c r="M155" s="515">
        <v>45870.0</v>
      </c>
      <c r="N155" s="515">
        <v>45900.0</v>
      </c>
    </row>
    <row r="156">
      <c r="A156" s="452" t="s">
        <v>16</v>
      </c>
      <c r="B156" s="453">
        <v>4320.0</v>
      </c>
      <c r="C156" s="556" t="s">
        <v>763</v>
      </c>
      <c r="D156" s="453">
        <v>0.0</v>
      </c>
      <c r="E156" s="452" t="s">
        <v>705</v>
      </c>
      <c r="F156" s="452" t="s">
        <v>758</v>
      </c>
      <c r="G156" s="452" t="s">
        <v>707</v>
      </c>
      <c r="H156" s="455"/>
      <c r="I156" s="457">
        <v>36594.0</v>
      </c>
      <c r="J156" s="456">
        <v>45712.0</v>
      </c>
      <c r="K156" s="610" t="str">
        <f>iferror(VLOOKUP(E156,'August 2025 Reference AI'!E:R,7,false),0)</f>
        <v/>
      </c>
      <c r="L156" s="611">
        <f>iferror(VLOOKUP(E156,'August 2025 Reference AI'!E:R,8,false),0)</f>
        <v>31</v>
      </c>
      <c r="M156" s="515">
        <v>45870.0</v>
      </c>
      <c r="N156" s="515">
        <v>45900.0</v>
      </c>
    </row>
    <row r="157" hidden="1">
      <c r="A157" s="452" t="s">
        <v>16</v>
      </c>
      <c r="B157" s="453">
        <v>4320.0</v>
      </c>
      <c r="C157" s="556" t="s">
        <v>763</v>
      </c>
      <c r="D157" s="453">
        <v>0.0</v>
      </c>
      <c r="E157" s="452" t="s">
        <v>398</v>
      </c>
      <c r="F157" s="452" t="s">
        <v>399</v>
      </c>
      <c r="G157" s="452" t="s">
        <v>400</v>
      </c>
      <c r="H157" s="455"/>
      <c r="I157" s="457">
        <v>36655.0</v>
      </c>
      <c r="J157" s="457">
        <v>45418.0</v>
      </c>
      <c r="K157" s="612">
        <v>45539.0</v>
      </c>
      <c r="L157" s="611">
        <f>iferror(VLOOKUP(E157,'August 2025 Reference AI'!E:R,8,false),0)</f>
        <v>0</v>
      </c>
      <c r="M157" s="515">
        <v>45870.0</v>
      </c>
      <c r="N157" s="515">
        <v>45900.0</v>
      </c>
    </row>
    <row r="158" hidden="1">
      <c r="A158" s="452" t="s">
        <v>16</v>
      </c>
      <c r="B158" s="453">
        <v>4320.0</v>
      </c>
      <c r="C158" s="556" t="s">
        <v>763</v>
      </c>
      <c r="D158" s="453">
        <v>0.0</v>
      </c>
      <c r="E158" s="452" t="s">
        <v>661</v>
      </c>
      <c r="F158" s="452" t="s">
        <v>662</v>
      </c>
      <c r="G158" s="452" t="s">
        <v>663</v>
      </c>
      <c r="H158" s="455"/>
      <c r="I158" s="457">
        <v>31262.0</v>
      </c>
      <c r="J158" s="457">
        <v>45048.0</v>
      </c>
      <c r="K158" s="615">
        <v>45199.0</v>
      </c>
      <c r="L158" s="611">
        <f>iferror(VLOOKUP(E158,'August 2025 Reference AI'!E:R,8,false),0)</f>
        <v>0</v>
      </c>
      <c r="M158" s="515">
        <v>45870.0</v>
      </c>
      <c r="N158" s="515">
        <v>45900.0</v>
      </c>
    </row>
    <row r="159" hidden="1">
      <c r="A159" s="452" t="s">
        <v>16</v>
      </c>
      <c r="B159" s="453">
        <v>4320.0</v>
      </c>
      <c r="C159" s="556" t="s">
        <v>763</v>
      </c>
      <c r="D159" s="453">
        <v>0.0</v>
      </c>
      <c r="E159" s="452" t="s">
        <v>147</v>
      </c>
      <c r="F159" s="452" t="s">
        <v>148</v>
      </c>
      <c r="G159" s="452" t="s">
        <v>149</v>
      </c>
      <c r="H159" s="455"/>
      <c r="I159" s="457">
        <v>36541.0</v>
      </c>
      <c r="J159" s="457">
        <v>44755.0</v>
      </c>
      <c r="K159" s="612">
        <v>45386.0</v>
      </c>
      <c r="L159" s="611">
        <f>iferror(VLOOKUP(E159,'August 2025 Reference AI'!E:R,8,false),0)</f>
        <v>0</v>
      </c>
      <c r="M159" s="515">
        <v>45870.0</v>
      </c>
      <c r="N159" s="515">
        <v>45900.0</v>
      </c>
    </row>
    <row r="160" hidden="1">
      <c r="A160" s="452" t="s">
        <v>16</v>
      </c>
      <c r="B160" s="453">
        <v>4320.0</v>
      </c>
      <c r="C160" s="556" t="s">
        <v>763</v>
      </c>
      <c r="D160" s="453">
        <v>0.0</v>
      </c>
      <c r="E160" s="452" t="s">
        <v>150</v>
      </c>
      <c r="F160" s="452" t="s">
        <v>151</v>
      </c>
      <c r="G160" s="452" t="s">
        <v>152</v>
      </c>
      <c r="H160" s="455"/>
      <c r="I160" s="457">
        <v>34335.0</v>
      </c>
      <c r="J160" s="457">
        <v>45078.0</v>
      </c>
      <c r="K160" s="612">
        <v>45400.0</v>
      </c>
      <c r="L160" s="611">
        <f>iferror(VLOOKUP(E160,'August 2025 Reference AI'!E:R,8,false),0)</f>
        <v>0</v>
      </c>
      <c r="M160" s="515">
        <v>45870.0</v>
      </c>
      <c r="N160" s="515">
        <v>45900.0</v>
      </c>
    </row>
    <row r="161" hidden="1">
      <c r="A161" s="452" t="s">
        <v>16</v>
      </c>
      <c r="B161" s="453">
        <v>4320.0</v>
      </c>
      <c r="C161" s="556" t="s">
        <v>763</v>
      </c>
      <c r="D161" s="453">
        <v>0.0</v>
      </c>
      <c r="E161" s="452" t="s">
        <v>153</v>
      </c>
      <c r="F161" s="452" t="s">
        <v>154</v>
      </c>
      <c r="G161" s="452" t="s">
        <v>155</v>
      </c>
      <c r="H161" s="455"/>
      <c r="I161" s="456">
        <v>31014.0</v>
      </c>
      <c r="J161" s="457">
        <v>44805.0</v>
      </c>
      <c r="K161" s="615">
        <v>45199.0</v>
      </c>
      <c r="L161" s="611">
        <f>iferror(VLOOKUP(E161,'August 2025 Reference AI'!E:R,8,false),0)</f>
        <v>0</v>
      </c>
      <c r="M161" s="515">
        <v>45870.0</v>
      </c>
      <c r="N161" s="515">
        <v>45900.0</v>
      </c>
    </row>
    <row r="162">
      <c r="A162" s="452" t="s">
        <v>16</v>
      </c>
      <c r="B162" s="453">
        <v>4320.0</v>
      </c>
      <c r="C162" s="556" t="s">
        <v>763</v>
      </c>
      <c r="D162" s="453">
        <v>0.0</v>
      </c>
      <c r="E162" s="452" t="s">
        <v>794</v>
      </c>
      <c r="F162" s="452" t="s">
        <v>819</v>
      </c>
      <c r="G162" s="452" t="s">
        <v>796</v>
      </c>
      <c r="H162" s="455"/>
      <c r="I162" s="456">
        <v>36857.0</v>
      </c>
      <c r="J162" s="456">
        <v>45775.0</v>
      </c>
      <c r="K162" s="610" t="str">
        <f>iferror(VLOOKUP(E162,'August 2025 Reference AI'!E:R,7,false),0)</f>
        <v/>
      </c>
      <c r="L162" s="611">
        <f>iferror(VLOOKUP(E162,'August 2025 Reference AI'!E:R,8,false),0)</f>
        <v>31</v>
      </c>
      <c r="M162" s="515">
        <v>45870.0</v>
      </c>
      <c r="N162" s="515">
        <v>45900.0</v>
      </c>
    </row>
    <row r="163">
      <c r="A163" s="452" t="s">
        <v>16</v>
      </c>
      <c r="B163" s="453">
        <v>4320.0</v>
      </c>
      <c r="C163" s="556" t="s">
        <v>763</v>
      </c>
      <c r="D163" s="453">
        <v>0.0</v>
      </c>
      <c r="E163" s="452" t="s">
        <v>273</v>
      </c>
      <c r="F163" s="452" t="s">
        <v>274</v>
      </c>
      <c r="G163" s="452" t="s">
        <v>275</v>
      </c>
      <c r="H163" s="455"/>
      <c r="I163" s="457">
        <v>34522.0</v>
      </c>
      <c r="J163" s="457">
        <v>45292.0</v>
      </c>
      <c r="K163" s="610" t="str">
        <f>iferror(VLOOKUP(E163,'August 2025 Reference AI'!E:R,7,false),0)</f>
        <v/>
      </c>
      <c r="L163" s="611">
        <f>iferror(VLOOKUP(E163,'August 2025 Reference AI'!E:R,8,false),0)</f>
        <v>31</v>
      </c>
      <c r="M163" s="515">
        <v>45870.0</v>
      </c>
      <c r="N163" s="515">
        <v>45900.0</v>
      </c>
    </row>
    <row r="164">
      <c r="A164" s="452" t="s">
        <v>16</v>
      </c>
      <c r="B164" s="453">
        <v>4320.0</v>
      </c>
      <c r="C164" s="556" t="s">
        <v>763</v>
      </c>
      <c r="D164" s="453">
        <v>0.0</v>
      </c>
      <c r="E164" s="452" t="s">
        <v>708</v>
      </c>
      <c r="F164" s="452" t="s">
        <v>759</v>
      </c>
      <c r="G164" s="452" t="s">
        <v>710</v>
      </c>
      <c r="H164" s="455"/>
      <c r="I164" s="458">
        <v>37028.0</v>
      </c>
      <c r="J164" s="456">
        <v>45705.0</v>
      </c>
      <c r="K164" s="610" t="str">
        <f>iferror(VLOOKUP(E164,'August 2025 Reference AI'!E:R,7,false),0)</f>
        <v/>
      </c>
      <c r="L164" s="611">
        <f>iferror(VLOOKUP(E164,'August 2025 Reference AI'!E:R,8,false),0)</f>
        <v>31</v>
      </c>
      <c r="M164" s="515">
        <v>45870.0</v>
      </c>
      <c r="N164" s="515">
        <v>45900.0</v>
      </c>
    </row>
    <row r="165" hidden="1">
      <c r="A165" s="452" t="s">
        <v>16</v>
      </c>
      <c r="B165" s="453">
        <v>4320.0</v>
      </c>
      <c r="C165" s="556" t="s">
        <v>763</v>
      </c>
      <c r="D165" s="453">
        <v>0.0</v>
      </c>
      <c r="E165" s="452" t="s">
        <v>470</v>
      </c>
      <c r="F165" s="452" t="s">
        <v>528</v>
      </c>
      <c r="G165" s="452" t="s">
        <v>472</v>
      </c>
      <c r="H165" s="455"/>
      <c r="I165" s="457">
        <v>37278.0</v>
      </c>
      <c r="J165" s="457">
        <v>45544.0</v>
      </c>
      <c r="K165" s="615">
        <v>45777.0</v>
      </c>
      <c r="L165" s="611">
        <f>iferror(VLOOKUP(E165,'August 2025 Reference AI'!E:R,8,false),0)</f>
        <v>0</v>
      </c>
      <c r="M165" s="515">
        <v>45870.0</v>
      </c>
      <c r="N165" s="515">
        <v>45900.0</v>
      </c>
    </row>
    <row r="166" hidden="1">
      <c r="A166" s="452" t="s">
        <v>16</v>
      </c>
      <c r="B166" s="453">
        <v>4320.0</v>
      </c>
      <c r="C166" s="556" t="s">
        <v>763</v>
      </c>
      <c r="D166" s="453">
        <v>0.0</v>
      </c>
      <c r="E166" s="452" t="s">
        <v>558</v>
      </c>
      <c r="F166" s="452" t="s">
        <v>559</v>
      </c>
      <c r="G166" s="452" t="s">
        <v>560</v>
      </c>
      <c r="H166" s="455"/>
      <c r="I166" s="457">
        <v>33811.0</v>
      </c>
      <c r="J166" s="457">
        <v>45663.0</v>
      </c>
      <c r="K166" s="615">
        <v>45667.0</v>
      </c>
      <c r="L166" s="611">
        <f>iferror(VLOOKUP(E166,'August 2025 Reference AI'!E:R,8,false),0)</f>
        <v>0</v>
      </c>
      <c r="M166" s="515">
        <v>45870.0</v>
      </c>
      <c r="N166" s="515">
        <v>45900.0</v>
      </c>
    </row>
    <row r="167">
      <c r="A167" s="452" t="s">
        <v>16</v>
      </c>
      <c r="B167" s="453">
        <v>4320.0</v>
      </c>
      <c r="C167" s="556" t="s">
        <v>763</v>
      </c>
      <c r="D167" s="453">
        <v>0.0</v>
      </c>
      <c r="E167" s="311" t="s">
        <v>860</v>
      </c>
      <c r="F167" s="251" t="s">
        <v>861</v>
      </c>
      <c r="G167" s="251" t="s">
        <v>862</v>
      </c>
      <c r="I167" s="509">
        <v>36176.0</v>
      </c>
      <c r="J167" s="509">
        <v>45810.0</v>
      </c>
      <c r="K167" s="610" t="str">
        <f>iferror(VLOOKUP(E167,'August 2025 Reference AI'!E:R,7,false),0)</f>
        <v/>
      </c>
      <c r="L167" s="611">
        <f>iferror(VLOOKUP(E167,'August 2025 Reference AI'!E:R,8,false),0)</f>
        <v>31</v>
      </c>
      <c r="M167" s="515">
        <v>45870.0</v>
      </c>
      <c r="N167" s="515">
        <v>45900.0</v>
      </c>
    </row>
    <row r="168" hidden="1">
      <c r="A168" s="452" t="s">
        <v>16</v>
      </c>
      <c r="B168" s="453">
        <v>4320.0</v>
      </c>
      <c r="C168" s="556" t="s">
        <v>763</v>
      </c>
      <c r="D168" s="453">
        <v>0.0</v>
      </c>
      <c r="E168" s="452" t="s">
        <v>664</v>
      </c>
      <c r="F168" s="452" t="s">
        <v>157</v>
      </c>
      <c r="G168" s="452" t="s">
        <v>158</v>
      </c>
      <c r="H168" s="455"/>
      <c r="I168" s="456">
        <v>35150.0</v>
      </c>
      <c r="J168" s="457">
        <v>45079.0</v>
      </c>
      <c r="K168" s="615">
        <v>45322.0</v>
      </c>
      <c r="L168" s="611">
        <f>iferror(VLOOKUP(E168,'August 2025 Reference AI'!E:R,8,false),0)</f>
        <v>0</v>
      </c>
      <c r="M168" s="515">
        <v>45870.0</v>
      </c>
      <c r="N168" s="515">
        <v>45900.0</v>
      </c>
    </row>
    <row r="169" hidden="1">
      <c r="A169" s="452" t="s">
        <v>16</v>
      </c>
      <c r="B169" s="453">
        <v>4320.0</v>
      </c>
      <c r="C169" s="556" t="s">
        <v>763</v>
      </c>
      <c r="D169" s="453">
        <v>0.0</v>
      </c>
      <c r="E169" s="452" t="s">
        <v>495</v>
      </c>
      <c r="F169" s="452" t="s">
        <v>538</v>
      </c>
      <c r="G169" s="452" t="s">
        <v>496</v>
      </c>
      <c r="H169" s="455"/>
      <c r="I169" s="457">
        <v>33452.0</v>
      </c>
      <c r="J169" s="457">
        <v>45628.0</v>
      </c>
      <c r="K169" s="615">
        <v>45728.0</v>
      </c>
      <c r="L169" s="611">
        <f>iferror(VLOOKUP(E169,'August 2025 Reference AI'!E:R,8,false),0)</f>
        <v>0</v>
      </c>
      <c r="M169" s="515">
        <v>45870.0</v>
      </c>
      <c r="N169" s="515">
        <v>45900.0</v>
      </c>
    </row>
    <row r="170" hidden="1">
      <c r="A170" s="452" t="s">
        <v>16</v>
      </c>
      <c r="B170" s="453">
        <v>4320.0</v>
      </c>
      <c r="C170" s="556" t="s">
        <v>763</v>
      </c>
      <c r="D170" s="453">
        <v>0.0</v>
      </c>
      <c r="E170" s="452" t="s">
        <v>665</v>
      </c>
      <c r="F170" s="452" t="s">
        <v>160</v>
      </c>
      <c r="G170" s="452" t="s">
        <v>161</v>
      </c>
      <c r="H170" s="455"/>
      <c r="I170" s="456">
        <v>35779.0</v>
      </c>
      <c r="J170" s="457">
        <v>45176.0</v>
      </c>
      <c r="K170" s="612">
        <v>45317.0</v>
      </c>
      <c r="L170" s="611">
        <f>iferror(VLOOKUP(E170,'August 2025 Reference AI'!E:R,8,false),0)</f>
        <v>0</v>
      </c>
      <c r="M170" s="515">
        <v>45870.0</v>
      </c>
      <c r="N170" s="515">
        <v>45900.0</v>
      </c>
    </row>
    <row r="171">
      <c r="A171" s="452" t="s">
        <v>16</v>
      </c>
      <c r="B171" s="453">
        <v>4320.0</v>
      </c>
      <c r="C171" s="556" t="s">
        <v>763</v>
      </c>
      <c r="D171" s="453">
        <v>0.0</v>
      </c>
      <c r="E171" s="452" t="s">
        <v>162</v>
      </c>
      <c r="F171" s="452" t="s">
        <v>163</v>
      </c>
      <c r="G171" s="452" t="s">
        <v>164</v>
      </c>
      <c r="H171" s="455"/>
      <c r="I171" s="456">
        <v>34732.0</v>
      </c>
      <c r="J171" s="457">
        <v>44986.0</v>
      </c>
      <c r="K171" s="610" t="str">
        <f>iferror(VLOOKUP(E171,'August 2025 Reference AI'!E:R,7,false),0)</f>
        <v/>
      </c>
      <c r="L171" s="611">
        <f>iferror(VLOOKUP(E171,'August 2025 Reference AI'!E:R,8,false),0)</f>
        <v>31</v>
      </c>
      <c r="M171" s="515">
        <v>45870.0</v>
      </c>
      <c r="N171" s="515">
        <v>45900.0</v>
      </c>
    </row>
    <row r="172">
      <c r="A172" s="452" t="s">
        <v>16</v>
      </c>
      <c r="B172" s="453">
        <v>4320.0</v>
      </c>
      <c r="C172" s="556" t="s">
        <v>763</v>
      </c>
      <c r="D172" s="453">
        <v>0.0</v>
      </c>
      <c r="E172" s="452" t="s">
        <v>809</v>
      </c>
      <c r="F172" s="452" t="s">
        <v>810</v>
      </c>
      <c r="G172" s="452" t="s">
        <v>811</v>
      </c>
      <c r="H172" s="455"/>
      <c r="I172" s="456">
        <v>35148.0</v>
      </c>
      <c r="J172" s="456">
        <v>45775.0</v>
      </c>
      <c r="K172" s="610" t="str">
        <f>iferror(VLOOKUP(E172,'August 2025 Reference AI'!E:R,7,false),0)</f>
        <v/>
      </c>
      <c r="L172" s="611">
        <f>iferror(VLOOKUP(E172,'August 2025 Reference AI'!E:R,8,false),0)</f>
        <v>31</v>
      </c>
      <c r="M172" s="515">
        <v>45870.0</v>
      </c>
      <c r="N172" s="515">
        <v>45900.0</v>
      </c>
    </row>
    <row r="173">
      <c r="A173" s="557" t="s">
        <v>16</v>
      </c>
      <c r="B173" s="558">
        <v>4320.0</v>
      </c>
      <c r="C173" s="629" t="s">
        <v>763</v>
      </c>
      <c r="D173" s="558">
        <v>0.0</v>
      </c>
      <c r="E173" s="557" t="s">
        <v>549</v>
      </c>
      <c r="F173" s="557" t="s">
        <v>550</v>
      </c>
      <c r="G173" s="557" t="s">
        <v>551</v>
      </c>
      <c r="H173" s="559"/>
      <c r="I173" s="561">
        <v>37636.0</v>
      </c>
      <c r="J173" s="561">
        <v>45663.0</v>
      </c>
      <c r="K173" s="630">
        <f>iferror(VLOOKUP(E173,'August 2025 Reference AI'!E:R,7,false),0)</f>
        <v>45869</v>
      </c>
      <c r="L173" s="620">
        <f>iferror(VLOOKUP(E173,'August 2025 Reference AI'!E:R,8,false),0)</f>
        <v>31</v>
      </c>
      <c r="M173" s="621">
        <v>45870.0</v>
      </c>
      <c r="N173" s="621">
        <v>45900.0</v>
      </c>
      <c r="O173" s="48"/>
      <c r="P173" s="48"/>
      <c r="Q173" s="48"/>
      <c r="R173" s="48"/>
      <c r="S173" s="48"/>
      <c r="T173" s="48"/>
      <c r="U173" s="48"/>
      <c r="V173" s="48"/>
      <c r="W173" s="48"/>
    </row>
    <row r="174" hidden="1">
      <c r="A174" s="452" t="s">
        <v>16</v>
      </c>
      <c r="B174" s="453">
        <v>4320.0</v>
      </c>
      <c r="C174" s="556" t="s">
        <v>763</v>
      </c>
      <c r="D174" s="453">
        <v>0.0</v>
      </c>
      <c r="E174" s="452" t="s">
        <v>240</v>
      </c>
      <c r="F174" s="452" t="s">
        <v>241</v>
      </c>
      <c r="G174" s="452" t="s">
        <v>242</v>
      </c>
      <c r="H174" s="455"/>
      <c r="I174" s="457">
        <v>33762.0</v>
      </c>
      <c r="J174" s="456">
        <v>45222.0</v>
      </c>
      <c r="K174" s="612">
        <v>45046.0</v>
      </c>
      <c r="L174" s="611">
        <f>iferror(VLOOKUP(E174,'August 2025 Reference AI'!E:R,8,false),0)</f>
        <v>0</v>
      </c>
      <c r="M174" s="515">
        <v>45870.0</v>
      </c>
      <c r="N174" s="515">
        <v>45900.0</v>
      </c>
    </row>
    <row r="175" hidden="1">
      <c r="A175" s="452" t="s">
        <v>16</v>
      </c>
      <c r="B175" s="453">
        <v>4320.0</v>
      </c>
      <c r="C175" s="556" t="s">
        <v>763</v>
      </c>
      <c r="D175" s="453">
        <v>0.0</v>
      </c>
      <c r="E175" s="452" t="s">
        <v>168</v>
      </c>
      <c r="F175" s="452" t="s">
        <v>169</v>
      </c>
      <c r="G175" s="452" t="s">
        <v>170</v>
      </c>
      <c r="H175" s="455"/>
      <c r="I175" s="458">
        <v>35931.0</v>
      </c>
      <c r="J175" s="457">
        <v>44958.0</v>
      </c>
      <c r="K175" s="625">
        <v>45322.0</v>
      </c>
      <c r="L175" s="611">
        <f>iferror(VLOOKUP(E175,'August 2025 Reference AI'!E:R,8,false),0)</f>
        <v>0</v>
      </c>
      <c r="M175" s="515">
        <v>45870.0</v>
      </c>
      <c r="N175" s="515">
        <v>45900.0</v>
      </c>
    </row>
    <row r="176">
      <c r="A176" s="452" t="s">
        <v>16</v>
      </c>
      <c r="B176" s="453">
        <v>4320.0</v>
      </c>
      <c r="C176" s="556" t="s">
        <v>763</v>
      </c>
      <c r="D176" s="453">
        <v>0.0</v>
      </c>
      <c r="E176" s="452" t="s">
        <v>711</v>
      </c>
      <c r="F176" s="452" t="s">
        <v>760</v>
      </c>
      <c r="G176" s="452" t="s">
        <v>713</v>
      </c>
      <c r="H176" s="455"/>
      <c r="I176" s="456">
        <v>34694.0</v>
      </c>
      <c r="J176" s="456">
        <v>45712.0</v>
      </c>
      <c r="K176" s="610" t="str">
        <f>iferror(VLOOKUP(E176,'August 2025 Reference AI'!E:R,7,false),0)</f>
        <v/>
      </c>
      <c r="L176" s="611">
        <f>iferror(VLOOKUP(E176,'August 2025 Reference AI'!E:R,8,false),0)</f>
        <v>31</v>
      </c>
      <c r="M176" s="515">
        <v>45870.0</v>
      </c>
      <c r="N176" s="515">
        <v>45900.0</v>
      </c>
    </row>
    <row r="177">
      <c r="A177" s="557" t="s">
        <v>16</v>
      </c>
      <c r="B177" s="558">
        <v>4320.0</v>
      </c>
      <c r="C177" s="629" t="s">
        <v>763</v>
      </c>
      <c r="D177" s="558">
        <v>0.0</v>
      </c>
      <c r="E177" s="557" t="s">
        <v>355</v>
      </c>
      <c r="F177" s="557" t="s">
        <v>356</v>
      </c>
      <c r="G177" s="557" t="s">
        <v>357</v>
      </c>
      <c r="H177" s="559"/>
      <c r="I177" s="560">
        <v>35395.0</v>
      </c>
      <c r="J177" s="560">
        <v>45376.0</v>
      </c>
      <c r="K177" s="564">
        <v>45869.0</v>
      </c>
      <c r="L177" s="620">
        <f>iferror(VLOOKUP(E177,'August 2025 Reference AI'!E:R,8,false),0)</f>
        <v>31</v>
      </c>
      <c r="M177" s="621">
        <v>45870.0</v>
      </c>
      <c r="N177" s="621">
        <v>45900.0</v>
      </c>
      <c r="O177" s="48"/>
      <c r="P177" s="48"/>
      <c r="Q177" s="48"/>
      <c r="R177" s="48"/>
      <c r="S177" s="48"/>
      <c r="T177" s="48"/>
      <c r="U177" s="48"/>
      <c r="V177" s="48"/>
      <c r="W177" s="48"/>
    </row>
    <row r="178" hidden="1">
      <c r="A178" s="452" t="s">
        <v>16</v>
      </c>
      <c r="B178" s="453">
        <v>4320.0</v>
      </c>
      <c r="C178" s="556" t="s">
        <v>763</v>
      </c>
      <c r="D178" s="453">
        <v>0.0</v>
      </c>
      <c r="E178" s="452" t="s">
        <v>358</v>
      </c>
      <c r="F178" s="452" t="s">
        <v>359</v>
      </c>
      <c r="G178" s="452" t="s">
        <v>360</v>
      </c>
      <c r="H178" s="455"/>
      <c r="I178" s="458">
        <v>37397.0</v>
      </c>
      <c r="J178" s="456">
        <v>45377.0</v>
      </c>
      <c r="K178" s="615">
        <v>45454.0</v>
      </c>
      <c r="L178" s="611">
        <f>iferror(VLOOKUP(E178,'August 2025 Reference AI'!E:R,8,false),0)</f>
        <v>0</v>
      </c>
      <c r="M178" s="515">
        <v>45870.0</v>
      </c>
      <c r="N178" s="515">
        <v>45900.0</v>
      </c>
    </row>
    <row r="179" hidden="1">
      <c r="A179" s="452" t="s">
        <v>16</v>
      </c>
      <c r="B179" s="453">
        <v>4320.0</v>
      </c>
      <c r="C179" s="556" t="s">
        <v>763</v>
      </c>
      <c r="D179" s="453">
        <v>0.0</v>
      </c>
      <c r="E179" s="452" t="s">
        <v>276</v>
      </c>
      <c r="F179" s="452" t="s">
        <v>277</v>
      </c>
      <c r="G179" s="452" t="s">
        <v>278</v>
      </c>
      <c r="H179" s="455"/>
      <c r="I179" s="456">
        <v>37479.0</v>
      </c>
      <c r="J179" s="457">
        <v>45320.0</v>
      </c>
      <c r="K179" s="615">
        <v>45453.0</v>
      </c>
      <c r="L179" s="611">
        <f>iferror(VLOOKUP(E179,'August 2025 Reference AI'!E:R,8,false),0)</f>
        <v>0</v>
      </c>
      <c r="M179" s="515">
        <v>45870.0</v>
      </c>
      <c r="N179" s="515">
        <v>45900.0</v>
      </c>
    </row>
    <row r="180">
      <c r="A180" s="452" t="s">
        <v>16</v>
      </c>
      <c r="B180" s="453">
        <v>4320.0</v>
      </c>
      <c r="C180" s="556" t="s">
        <v>763</v>
      </c>
      <c r="D180" s="453">
        <v>0.0</v>
      </c>
      <c r="E180" s="452" t="s">
        <v>714</v>
      </c>
      <c r="F180" s="452" t="s">
        <v>761</v>
      </c>
      <c r="G180" s="452" t="s">
        <v>716</v>
      </c>
      <c r="H180" s="455"/>
      <c r="I180" s="456">
        <v>36514.0</v>
      </c>
      <c r="J180" s="456">
        <v>45698.0</v>
      </c>
      <c r="K180" s="610" t="str">
        <f>iferror(VLOOKUP(E180,'August 2025 Reference AI'!E:R,7,false),0)</f>
        <v/>
      </c>
      <c r="L180" s="611">
        <f>iferror(VLOOKUP(E180,'August 2025 Reference AI'!E:R,8,false),0)</f>
        <v>31</v>
      </c>
      <c r="M180" s="515">
        <v>45870.0</v>
      </c>
      <c r="N180" s="515">
        <v>45900.0</v>
      </c>
    </row>
    <row r="181" hidden="1">
      <c r="A181" s="452" t="s">
        <v>16</v>
      </c>
      <c r="B181" s="453">
        <v>4320.0</v>
      </c>
      <c r="C181" s="556" t="s">
        <v>763</v>
      </c>
      <c r="D181" s="453">
        <v>0.0</v>
      </c>
      <c r="E181" s="452" t="s">
        <v>171</v>
      </c>
      <c r="F181" s="452" t="s">
        <v>172</v>
      </c>
      <c r="G181" s="452" t="s">
        <v>173</v>
      </c>
      <c r="H181" s="455"/>
      <c r="I181" s="457">
        <v>37005.0</v>
      </c>
      <c r="J181" s="456">
        <v>44802.0</v>
      </c>
      <c r="K181" s="612">
        <v>45303.0</v>
      </c>
      <c r="L181" s="611">
        <f>iferror(VLOOKUP(E181,'August 2025 Reference AI'!E:R,8,false),0)</f>
        <v>0</v>
      </c>
      <c r="M181" s="515">
        <v>45870.0</v>
      </c>
      <c r="N181" s="515">
        <v>45900.0</v>
      </c>
    </row>
    <row r="182" hidden="1">
      <c r="A182" s="452" t="s">
        <v>16</v>
      </c>
      <c r="B182" s="453">
        <v>4320.0</v>
      </c>
      <c r="C182" s="556" t="s">
        <v>763</v>
      </c>
      <c r="D182" s="453">
        <v>0.0</v>
      </c>
      <c r="E182" s="452" t="s">
        <v>243</v>
      </c>
      <c r="F182" s="452" t="s">
        <v>244</v>
      </c>
      <c r="G182" s="452" t="s">
        <v>245</v>
      </c>
      <c r="H182" s="455"/>
      <c r="I182" s="456">
        <v>36109.0</v>
      </c>
      <c r="J182" s="456">
        <v>45250.0</v>
      </c>
      <c r="K182" s="612">
        <v>45416.0</v>
      </c>
      <c r="L182" s="611">
        <f>iferror(VLOOKUP(E182,'August 2025 Reference AI'!E:R,8,false),0)</f>
        <v>0</v>
      </c>
      <c r="M182" s="515">
        <v>45870.0</v>
      </c>
      <c r="N182" s="515">
        <v>45900.0</v>
      </c>
    </row>
    <row r="183" hidden="1">
      <c r="A183" s="452" t="s">
        <v>16</v>
      </c>
      <c r="B183" s="453">
        <v>4320.0</v>
      </c>
      <c r="C183" s="556" t="s">
        <v>763</v>
      </c>
      <c r="D183" s="453">
        <v>0.0</v>
      </c>
      <c r="E183" s="452" t="s">
        <v>600</v>
      </c>
      <c r="F183" s="452" t="s">
        <v>601</v>
      </c>
      <c r="G183" s="452" t="s">
        <v>602</v>
      </c>
      <c r="H183" s="455"/>
      <c r="I183" s="457">
        <v>29741.0</v>
      </c>
      <c r="J183" s="457">
        <v>45658.0</v>
      </c>
      <c r="K183" s="617">
        <v>45823.0</v>
      </c>
      <c r="L183" s="611">
        <f>iferror(VLOOKUP(E183,'August 2025 Reference AI'!E:R,8,false),0)</f>
        <v>0</v>
      </c>
      <c r="M183" s="515">
        <v>45870.0</v>
      </c>
      <c r="N183" s="515">
        <v>45900.0</v>
      </c>
    </row>
    <row r="184" hidden="1">
      <c r="A184" s="452" t="s">
        <v>16</v>
      </c>
      <c r="B184" s="453">
        <v>4320.0</v>
      </c>
      <c r="C184" s="556" t="s">
        <v>763</v>
      </c>
      <c r="D184" s="453">
        <v>0.0</v>
      </c>
      <c r="E184" s="452" t="s">
        <v>431</v>
      </c>
      <c r="F184" s="452" t="s">
        <v>377</v>
      </c>
      <c r="G184" s="452" t="s">
        <v>378</v>
      </c>
      <c r="H184" s="455"/>
      <c r="I184" s="457">
        <v>36289.0</v>
      </c>
      <c r="J184" s="457">
        <v>45476.0</v>
      </c>
      <c r="K184" s="614">
        <v>45808.0</v>
      </c>
      <c r="L184" s="611">
        <f>iferror(VLOOKUP(E184,'August 2025 Reference AI'!E:R,8,false),0)</f>
        <v>0</v>
      </c>
      <c r="M184" s="515">
        <v>45870.0</v>
      </c>
      <c r="N184" s="515">
        <v>45900.0</v>
      </c>
    </row>
    <row r="185" hidden="1">
      <c r="A185" s="452" t="s">
        <v>16</v>
      </c>
      <c r="B185" s="453">
        <v>4320.0</v>
      </c>
      <c r="C185" s="556" t="s">
        <v>763</v>
      </c>
      <c r="D185" s="453">
        <v>0.0</v>
      </c>
      <c r="E185" s="452" t="s">
        <v>180</v>
      </c>
      <c r="F185" s="452" t="s">
        <v>181</v>
      </c>
      <c r="G185" s="452" t="s">
        <v>182</v>
      </c>
      <c r="H185" s="455"/>
      <c r="I185" s="458">
        <v>36297.0</v>
      </c>
      <c r="J185" s="456">
        <v>45001.0</v>
      </c>
      <c r="K185" s="615">
        <v>45359.0</v>
      </c>
      <c r="L185" s="611">
        <f>iferror(VLOOKUP(E185,'August 2025 Reference AI'!E:R,8,false),0)</f>
        <v>0</v>
      </c>
      <c r="M185" s="515">
        <v>45870.0</v>
      </c>
      <c r="N185" s="515">
        <v>45900.0</v>
      </c>
    </row>
    <row r="186">
      <c r="A186" s="452" t="s">
        <v>16</v>
      </c>
      <c r="B186" s="453">
        <v>4320.0</v>
      </c>
      <c r="C186" s="556" t="s">
        <v>763</v>
      </c>
      <c r="D186" s="453">
        <v>0.0</v>
      </c>
      <c r="E186" s="452" t="s">
        <v>183</v>
      </c>
      <c r="F186" s="452" t="s">
        <v>184</v>
      </c>
      <c r="G186" s="452" t="s">
        <v>185</v>
      </c>
      <c r="H186" s="455"/>
      <c r="I186" s="456">
        <v>36979.0</v>
      </c>
      <c r="J186" s="456">
        <v>44907.0</v>
      </c>
      <c r="K186" s="610" t="str">
        <f>iferror(VLOOKUP(E186,'August 2025 Reference AI'!E:R,7,false),0)</f>
        <v/>
      </c>
      <c r="L186" s="611">
        <f>iferror(VLOOKUP(E186,'August 2025 Reference AI'!E:R,8,false),0)</f>
        <v>31</v>
      </c>
      <c r="M186" s="515">
        <v>45870.0</v>
      </c>
      <c r="N186" s="515">
        <v>45900.0</v>
      </c>
    </row>
    <row r="187" hidden="1">
      <c r="A187" s="452" t="s">
        <v>16</v>
      </c>
      <c r="B187" s="453">
        <v>4320.0</v>
      </c>
      <c r="C187" s="556" t="s">
        <v>763</v>
      </c>
      <c r="D187" s="453">
        <v>0.0</v>
      </c>
      <c r="E187" s="452" t="s">
        <v>258</v>
      </c>
      <c r="F187" s="452" t="s">
        <v>259</v>
      </c>
      <c r="G187" s="452" t="s">
        <v>260</v>
      </c>
      <c r="H187" s="455"/>
      <c r="I187" s="457">
        <v>35447.0</v>
      </c>
      <c r="J187" s="456">
        <v>45273.0</v>
      </c>
      <c r="K187" s="615">
        <v>45565.0</v>
      </c>
      <c r="L187" s="611">
        <f>iferror(VLOOKUP(E187,'August 2025 Reference AI'!E:R,8,false),0)</f>
        <v>0</v>
      </c>
      <c r="M187" s="515">
        <v>45870.0</v>
      </c>
      <c r="N187" s="515">
        <v>45900.0</v>
      </c>
    </row>
    <row r="188" hidden="1">
      <c r="A188" s="452" t="s">
        <v>16</v>
      </c>
      <c r="B188" s="453">
        <v>4320.0</v>
      </c>
      <c r="C188" s="556" t="s">
        <v>763</v>
      </c>
      <c r="D188" s="453">
        <v>0.0</v>
      </c>
      <c r="E188" s="452" t="s">
        <v>192</v>
      </c>
      <c r="F188" s="452" t="s">
        <v>193</v>
      </c>
      <c r="G188" s="452" t="s">
        <v>194</v>
      </c>
      <c r="H188" s="455"/>
      <c r="I188" s="457">
        <v>36075.0</v>
      </c>
      <c r="J188" s="456">
        <v>44977.0</v>
      </c>
      <c r="K188" s="615">
        <v>45351.0</v>
      </c>
      <c r="L188" s="611">
        <f>iferror(VLOOKUP(E188,'August 2025 Reference AI'!E:R,8,false),0)</f>
        <v>0</v>
      </c>
      <c r="M188" s="515">
        <v>45870.0</v>
      </c>
      <c r="N188" s="515">
        <v>45900.0</v>
      </c>
    </row>
    <row r="189" hidden="1">
      <c r="A189" s="452" t="s">
        <v>16</v>
      </c>
      <c r="B189" s="453">
        <v>4320.0</v>
      </c>
      <c r="C189" s="556" t="s">
        <v>763</v>
      </c>
      <c r="D189" s="453">
        <v>0.0</v>
      </c>
      <c r="E189" s="452" t="s">
        <v>201</v>
      </c>
      <c r="F189" s="452" t="s">
        <v>202</v>
      </c>
      <c r="G189" s="452" t="s">
        <v>203</v>
      </c>
      <c r="H189" s="455"/>
      <c r="I189" s="456">
        <v>36574.0</v>
      </c>
      <c r="J189" s="456">
        <v>45187.0</v>
      </c>
      <c r="K189" s="612">
        <v>45544.0</v>
      </c>
      <c r="L189" s="611">
        <f>iferror(VLOOKUP(E189,'August 2025 Reference AI'!E:R,8,false),0)</f>
        <v>0</v>
      </c>
      <c r="M189" s="515">
        <v>45870.0</v>
      </c>
      <c r="N189" s="515">
        <v>45900.0</v>
      </c>
    </row>
    <row r="190" hidden="1">
      <c r="A190" s="452" t="s">
        <v>16</v>
      </c>
      <c r="B190" s="453">
        <v>4320.0</v>
      </c>
      <c r="C190" s="556" t="s">
        <v>763</v>
      </c>
      <c r="D190" s="453">
        <v>0.0</v>
      </c>
      <c r="E190" s="452" t="s">
        <v>499</v>
      </c>
      <c r="F190" s="452" t="s">
        <v>540</v>
      </c>
      <c r="G190" s="452" t="s">
        <v>500</v>
      </c>
      <c r="H190" s="455"/>
      <c r="I190" s="456">
        <v>36144.0</v>
      </c>
      <c r="J190" s="457">
        <v>45628.0</v>
      </c>
      <c r="K190" s="615">
        <v>45777.0</v>
      </c>
      <c r="L190" s="611">
        <f>iferror(VLOOKUP(E190,'August 2025 Reference AI'!E:R,8,false),0)</f>
        <v>0</v>
      </c>
      <c r="M190" s="515">
        <v>45870.0</v>
      </c>
      <c r="N190" s="515">
        <v>45900.0</v>
      </c>
    </row>
    <row r="191">
      <c r="A191" s="452" t="s">
        <v>16</v>
      </c>
      <c r="B191" s="453">
        <v>4320.0</v>
      </c>
      <c r="C191" s="556" t="s">
        <v>763</v>
      </c>
      <c r="D191" s="453">
        <v>0.0</v>
      </c>
      <c r="E191" s="452" t="s">
        <v>301</v>
      </c>
      <c r="F191" s="452" t="s">
        <v>302</v>
      </c>
      <c r="G191" s="452" t="s">
        <v>303</v>
      </c>
      <c r="H191" s="455"/>
      <c r="I191" s="457">
        <v>36991.0</v>
      </c>
      <c r="J191" s="457">
        <v>45205.0</v>
      </c>
      <c r="K191" s="610" t="str">
        <f>iferror(VLOOKUP(E191,'August 2025 Reference AI'!E:R,7,false),0)</f>
        <v>20-Aug-2025</v>
      </c>
      <c r="L191" s="611">
        <f>iferror(VLOOKUP(E191,'August 2025 Reference AI'!E:R,8,false),0)</f>
        <v>20</v>
      </c>
      <c r="M191" s="515">
        <v>45870.0</v>
      </c>
      <c r="N191" s="515">
        <v>45900.0</v>
      </c>
    </row>
    <row r="192">
      <c r="A192" s="452" t="s">
        <v>16</v>
      </c>
      <c r="B192" s="453">
        <v>4320.0</v>
      </c>
      <c r="C192" s="556" t="s">
        <v>763</v>
      </c>
      <c r="D192" s="453">
        <v>0.0</v>
      </c>
      <c r="E192" s="452" t="s">
        <v>432</v>
      </c>
      <c r="F192" s="452" t="s">
        <v>521</v>
      </c>
      <c r="G192" s="452" t="s">
        <v>433</v>
      </c>
      <c r="H192" s="455"/>
      <c r="I192" s="457">
        <v>34504.0</v>
      </c>
      <c r="J192" s="457">
        <v>45481.0</v>
      </c>
      <c r="K192" s="610" t="str">
        <f>iferror(VLOOKUP(E192,'August 2025 Reference AI'!E:R,7,false),0)</f>
        <v/>
      </c>
      <c r="L192" s="611">
        <f>iferror(VLOOKUP(E192,'August 2025 Reference AI'!E:R,8,false),0)</f>
        <v>31</v>
      </c>
      <c r="M192" s="515">
        <v>45870.0</v>
      </c>
      <c r="N192" s="515">
        <v>45900.0</v>
      </c>
      <c r="P192" s="631"/>
      <c r="Q192" s="631"/>
      <c r="R192" s="631"/>
      <c r="S192" s="631"/>
      <c r="T192" s="631"/>
      <c r="U192" s="631"/>
      <c r="V192" s="631"/>
      <c r="W192" s="631"/>
    </row>
    <row r="193" hidden="1">
      <c r="A193" s="557" t="s">
        <v>16</v>
      </c>
      <c r="B193" s="558">
        <v>4320.0</v>
      </c>
      <c r="C193" s="556" t="s">
        <v>763</v>
      </c>
      <c r="D193" s="558">
        <v>0.0</v>
      </c>
      <c r="E193" s="557" t="s">
        <v>434</v>
      </c>
      <c r="F193" s="557" t="s">
        <v>522</v>
      </c>
      <c r="G193" s="557" t="s">
        <v>435</v>
      </c>
      <c r="H193" s="559"/>
      <c r="I193" s="561">
        <v>37446.0</v>
      </c>
      <c r="J193" s="561">
        <v>45495.0</v>
      </c>
      <c r="K193" s="624">
        <v>45840.0</v>
      </c>
      <c r="L193" s="611">
        <f>iferror(VLOOKUP(E193,'August 2025 Reference AI'!E:R,8,false),0)</f>
        <v>0</v>
      </c>
      <c r="M193" s="515">
        <v>45870.0</v>
      </c>
      <c r="N193" s="515">
        <v>45900.0</v>
      </c>
      <c r="P193" s="631"/>
      <c r="Q193" s="631"/>
      <c r="R193" s="631"/>
      <c r="S193" s="631"/>
      <c r="T193" s="631"/>
      <c r="U193" s="631"/>
      <c r="V193" s="631"/>
      <c r="W193" s="631"/>
    </row>
    <row r="194" hidden="1">
      <c r="A194" s="452" t="s">
        <v>16</v>
      </c>
      <c r="B194" s="453">
        <v>4320.0</v>
      </c>
      <c r="C194" s="556" t="s">
        <v>763</v>
      </c>
      <c r="D194" s="453">
        <v>0.0</v>
      </c>
      <c r="E194" s="452" t="s">
        <v>667</v>
      </c>
      <c r="F194" s="452" t="s">
        <v>668</v>
      </c>
      <c r="G194" s="452" t="s">
        <v>669</v>
      </c>
      <c r="H194" s="455"/>
      <c r="I194" s="456">
        <v>33961.0</v>
      </c>
      <c r="J194" s="456">
        <v>45229.0</v>
      </c>
      <c r="K194" s="615">
        <v>45408.0</v>
      </c>
      <c r="L194" s="611">
        <f>iferror(VLOOKUP(E194,'August 2025 Reference AI'!E:R,8,false),0)</f>
        <v>0</v>
      </c>
      <c r="M194" s="515">
        <v>45870.0</v>
      </c>
      <c r="N194" s="515">
        <v>45900.0</v>
      </c>
      <c r="P194" s="631"/>
      <c r="Q194" s="631"/>
      <c r="R194" s="631"/>
      <c r="S194" s="631"/>
      <c r="T194" s="631"/>
      <c r="U194" s="631"/>
      <c r="V194" s="631"/>
      <c r="W194" s="631"/>
    </row>
    <row r="195" hidden="1">
      <c r="A195" s="452" t="s">
        <v>16</v>
      </c>
      <c r="B195" s="453">
        <v>4320.0</v>
      </c>
      <c r="C195" s="556" t="s">
        <v>763</v>
      </c>
      <c r="D195" s="453">
        <v>0.0</v>
      </c>
      <c r="E195" s="452" t="s">
        <v>670</v>
      </c>
      <c r="F195" s="452" t="s">
        <v>671</v>
      </c>
      <c r="G195" s="452" t="s">
        <v>672</v>
      </c>
      <c r="H195" s="455"/>
      <c r="I195" s="456">
        <v>36386.0</v>
      </c>
      <c r="J195" s="457">
        <v>45111.0</v>
      </c>
      <c r="K195" s="612">
        <v>45394.0</v>
      </c>
      <c r="L195" s="611">
        <f>iferror(VLOOKUP(E195,'August 2025 Reference AI'!E:R,8,false),0)</f>
        <v>0</v>
      </c>
      <c r="M195" s="515">
        <v>45870.0</v>
      </c>
      <c r="N195" s="515">
        <v>45900.0</v>
      </c>
      <c r="P195" s="631"/>
      <c r="Q195" s="631"/>
      <c r="R195" s="631"/>
      <c r="S195" s="631"/>
      <c r="T195" s="631"/>
      <c r="U195" s="631"/>
      <c r="V195" s="631"/>
      <c r="W195" s="631"/>
    </row>
    <row r="196">
      <c r="A196" s="452" t="s">
        <v>16</v>
      </c>
      <c r="B196" s="453">
        <v>4320.0</v>
      </c>
      <c r="C196" s="556" t="s">
        <v>763</v>
      </c>
      <c r="D196" s="453">
        <v>0.0</v>
      </c>
      <c r="E196" s="452" t="s">
        <v>460</v>
      </c>
      <c r="F196" s="452" t="s">
        <v>523</v>
      </c>
      <c r="G196" s="452" t="s">
        <v>461</v>
      </c>
      <c r="H196" s="455"/>
      <c r="I196" s="456">
        <v>36856.0</v>
      </c>
      <c r="J196" s="457">
        <v>45505.0</v>
      </c>
      <c r="K196" s="610" t="str">
        <f>iferror(VLOOKUP(E196,'August 2025 Reference AI'!E:R,7,false),0)</f>
        <v/>
      </c>
      <c r="L196" s="611">
        <f>iferror(VLOOKUP(E196,'August 2025 Reference AI'!E:R,8,false),0)</f>
        <v>31</v>
      </c>
      <c r="M196" s="515">
        <v>45870.0</v>
      </c>
      <c r="N196" s="515">
        <v>45900.0</v>
      </c>
      <c r="P196" s="631"/>
      <c r="Q196" s="631"/>
      <c r="R196" s="631"/>
      <c r="S196" s="631"/>
      <c r="T196" s="631"/>
      <c r="U196" s="631"/>
      <c r="V196" s="631"/>
      <c r="W196" s="631"/>
    </row>
    <row r="197">
      <c r="A197" s="452" t="s">
        <v>16</v>
      </c>
      <c r="B197" s="453">
        <v>4320.0</v>
      </c>
      <c r="C197" s="556" t="s">
        <v>763</v>
      </c>
      <c r="D197" s="453">
        <v>0.0</v>
      </c>
      <c r="E197" s="452" t="s">
        <v>462</v>
      </c>
      <c r="F197" s="452" t="s">
        <v>526</v>
      </c>
      <c r="G197" s="452" t="s">
        <v>463</v>
      </c>
      <c r="H197" s="455"/>
      <c r="I197" s="456">
        <v>34588.0</v>
      </c>
      <c r="J197" s="456">
        <v>45530.0</v>
      </c>
      <c r="K197" s="610" t="str">
        <f>iferror(VLOOKUP(E197,'August 2025 Reference AI'!E:R,7,false),0)</f>
        <v/>
      </c>
      <c r="L197" s="611">
        <f>iferror(VLOOKUP(E197,'August 2025 Reference AI'!E:R,8,false),0)</f>
        <v>31</v>
      </c>
      <c r="M197" s="515">
        <v>45870.0</v>
      </c>
      <c r="N197" s="515">
        <v>45900.0</v>
      </c>
      <c r="P197" s="631"/>
      <c r="Q197" s="631"/>
      <c r="R197" s="631"/>
      <c r="S197" s="631"/>
      <c r="T197" s="631"/>
      <c r="U197" s="631"/>
      <c r="V197" s="631"/>
      <c r="W197" s="631"/>
    </row>
    <row r="198">
      <c r="A198" s="452" t="s">
        <v>16</v>
      </c>
      <c r="B198" s="453">
        <v>4320.0</v>
      </c>
      <c r="C198" s="556" t="s">
        <v>763</v>
      </c>
      <c r="D198" s="453">
        <v>0.0</v>
      </c>
      <c r="E198" s="452" t="s">
        <v>423</v>
      </c>
      <c r="F198" s="452" t="s">
        <v>524</v>
      </c>
      <c r="G198" s="452" t="s">
        <v>424</v>
      </c>
      <c r="H198" s="455"/>
      <c r="I198" s="457">
        <v>37818.0</v>
      </c>
      <c r="J198" s="457">
        <v>45467.0</v>
      </c>
      <c r="K198" s="610" t="str">
        <f>iferror(VLOOKUP(E198,'August 2025 Reference AI'!E:R,7,false),0)</f>
        <v/>
      </c>
      <c r="L198" s="611">
        <f>iferror(VLOOKUP(E198,'August 2025 Reference AI'!E:R,8,false),0)</f>
        <v>31</v>
      </c>
      <c r="M198" s="515">
        <v>45870.0</v>
      </c>
      <c r="N198" s="515">
        <v>45900.0</v>
      </c>
      <c r="P198" s="631"/>
      <c r="Q198" s="631"/>
      <c r="R198" s="631"/>
      <c r="S198" s="631"/>
      <c r="T198" s="631"/>
      <c r="U198" s="631"/>
      <c r="V198" s="631"/>
      <c r="W198" s="631"/>
    </row>
    <row r="199" hidden="1">
      <c r="A199" s="452" t="s">
        <v>16</v>
      </c>
      <c r="B199" s="453">
        <v>4320.0</v>
      </c>
      <c r="C199" s="556" t="s">
        <v>763</v>
      </c>
      <c r="D199" s="453">
        <v>0.0</v>
      </c>
      <c r="E199" s="452" t="s">
        <v>207</v>
      </c>
      <c r="F199" s="452" t="s">
        <v>208</v>
      </c>
      <c r="G199" s="452" t="s">
        <v>209</v>
      </c>
      <c r="H199" s="455"/>
      <c r="I199" s="456">
        <v>33156.0</v>
      </c>
      <c r="J199" s="457">
        <v>44562.0</v>
      </c>
      <c r="K199" s="615">
        <v>45473.0</v>
      </c>
      <c r="L199" s="611">
        <f>iferror(VLOOKUP(E199,'August 2025 Reference AI'!E:R,8,false),0)</f>
        <v>0</v>
      </c>
      <c r="M199" s="515">
        <v>45870.0</v>
      </c>
      <c r="N199" s="515">
        <v>45900.0</v>
      </c>
    </row>
    <row r="200" hidden="1">
      <c r="A200" s="452" t="s">
        <v>16</v>
      </c>
      <c r="B200" s="453">
        <v>4320.0</v>
      </c>
      <c r="C200" s="556" t="s">
        <v>763</v>
      </c>
      <c r="D200" s="453">
        <v>0.0</v>
      </c>
      <c r="E200" s="452" t="s">
        <v>304</v>
      </c>
      <c r="F200" s="452" t="s">
        <v>305</v>
      </c>
      <c r="G200" s="452" t="s">
        <v>306</v>
      </c>
      <c r="H200" s="455"/>
      <c r="I200" s="456">
        <v>35697.0</v>
      </c>
      <c r="J200" s="456">
        <v>45348.0</v>
      </c>
      <c r="K200" s="615">
        <v>45698.0</v>
      </c>
      <c r="L200" s="611">
        <f>iferror(VLOOKUP(E200,'August 2025 Reference AI'!E:R,8,false),0)</f>
        <v>0</v>
      </c>
      <c r="M200" s="515">
        <v>45870.0</v>
      </c>
      <c r="N200" s="515">
        <v>45900.0</v>
      </c>
    </row>
    <row r="201" hidden="1">
      <c r="A201" s="452" t="s">
        <v>16</v>
      </c>
      <c r="B201" s="453">
        <v>4320.0</v>
      </c>
      <c r="C201" s="556" t="s">
        <v>763</v>
      </c>
      <c r="D201" s="453">
        <v>0.0</v>
      </c>
      <c r="E201" s="452" t="s">
        <v>213</v>
      </c>
      <c r="F201" s="452" t="s">
        <v>214</v>
      </c>
      <c r="G201" s="452" t="s">
        <v>215</v>
      </c>
      <c r="H201" s="455"/>
      <c r="I201" s="456">
        <v>36797.0</v>
      </c>
      <c r="J201" s="456">
        <v>44886.0</v>
      </c>
      <c r="K201" s="615">
        <v>45747.0</v>
      </c>
      <c r="L201" s="611">
        <f>iferror(VLOOKUP(E201,'August 2025 Reference AI'!E:R,8,false),0)</f>
        <v>0</v>
      </c>
      <c r="M201" s="515">
        <v>45870.0</v>
      </c>
      <c r="N201" s="515">
        <v>45900.0</v>
      </c>
    </row>
    <row r="202" hidden="1">
      <c r="A202" s="452" t="s">
        <v>16</v>
      </c>
      <c r="B202" s="453">
        <v>4320.0</v>
      </c>
      <c r="C202" s="556" t="s">
        <v>763</v>
      </c>
      <c r="D202" s="453">
        <v>0.0</v>
      </c>
      <c r="E202" s="452" t="s">
        <v>673</v>
      </c>
      <c r="F202" s="452" t="s">
        <v>674</v>
      </c>
      <c r="G202" s="452" t="s">
        <v>675</v>
      </c>
      <c r="H202" s="455"/>
      <c r="I202" s="456">
        <v>36961.0</v>
      </c>
      <c r="J202" s="457">
        <v>44593.0</v>
      </c>
      <c r="K202" s="615">
        <v>45457.0</v>
      </c>
      <c r="L202" s="611">
        <f>iferror(VLOOKUP(E202,'August 2025 Reference AI'!E:R,8,false),0)</f>
        <v>0</v>
      </c>
      <c r="M202" s="515">
        <v>45870.0</v>
      </c>
      <c r="N202" s="515">
        <v>45900.0</v>
      </c>
    </row>
    <row r="203">
      <c r="A203" s="452" t="s">
        <v>16</v>
      </c>
      <c r="B203" s="453">
        <v>4320.0</v>
      </c>
      <c r="C203" s="556" t="s">
        <v>763</v>
      </c>
      <c r="D203" s="453">
        <v>0.0</v>
      </c>
      <c r="E203" s="452" t="s">
        <v>717</v>
      </c>
      <c r="F203" s="452" t="s">
        <v>718</v>
      </c>
      <c r="G203" s="452" t="s">
        <v>719</v>
      </c>
      <c r="H203" s="455"/>
      <c r="I203" s="456">
        <v>36505.0</v>
      </c>
      <c r="J203" s="456">
        <v>45712.0</v>
      </c>
      <c r="K203" s="610" t="str">
        <f>iferror(VLOOKUP(E203,'August 2025 Reference AI'!E:R,7,false),0)</f>
        <v/>
      </c>
      <c r="L203" s="611">
        <f>iferror(VLOOKUP(E203,'August 2025 Reference AI'!E:R,8,false),0)</f>
        <v>31</v>
      </c>
      <c r="M203" s="515">
        <v>45870.0</v>
      </c>
      <c r="N203" s="515">
        <v>45900.0</v>
      </c>
    </row>
    <row r="204" hidden="1">
      <c r="A204" s="452" t="s">
        <v>16</v>
      </c>
      <c r="B204" s="453">
        <v>4320.0</v>
      </c>
      <c r="C204" s="556" t="s">
        <v>763</v>
      </c>
      <c r="D204" s="453">
        <v>0.0</v>
      </c>
      <c r="E204" s="452" t="s">
        <v>588</v>
      </c>
      <c r="F204" s="463" t="s">
        <v>589</v>
      </c>
      <c r="G204" s="452" t="s">
        <v>590</v>
      </c>
      <c r="H204" s="455"/>
      <c r="I204" s="457">
        <v>34190.0</v>
      </c>
      <c r="J204" s="457">
        <v>45684.0</v>
      </c>
      <c r="K204" s="617">
        <v>45812.0</v>
      </c>
      <c r="L204" s="611">
        <f>iferror(VLOOKUP(E204,'August 2025 Reference AI'!E:R,8,false),0)</f>
        <v>0</v>
      </c>
      <c r="M204" s="515">
        <v>45870.0</v>
      </c>
      <c r="N204" s="515">
        <v>45900.0</v>
      </c>
    </row>
    <row r="205">
      <c r="A205" s="452" t="s">
        <v>16</v>
      </c>
      <c r="B205" s="453">
        <v>4320.0</v>
      </c>
      <c r="C205" s="556" t="s">
        <v>763</v>
      </c>
      <c r="D205" s="453">
        <v>0.0</v>
      </c>
      <c r="E205" s="452" t="s">
        <v>427</v>
      </c>
      <c r="F205" s="452" t="s">
        <v>525</v>
      </c>
      <c r="G205" s="452" t="s">
        <v>428</v>
      </c>
      <c r="H205" s="455"/>
      <c r="I205" s="456">
        <v>36451.0</v>
      </c>
      <c r="J205" s="457">
        <v>45453.0</v>
      </c>
      <c r="K205" s="610" t="str">
        <f>iferror(VLOOKUP(E205,'August 2025 Reference AI'!E:R,7,false),0)</f>
        <v/>
      </c>
      <c r="L205" s="611">
        <f>iferror(VLOOKUP(E205,'August 2025 Reference AI'!E:R,8,false),0)</f>
        <v>31</v>
      </c>
      <c r="M205" s="515">
        <v>45870.0</v>
      </c>
      <c r="N205" s="515">
        <v>45900.0</v>
      </c>
    </row>
    <row r="206">
      <c r="A206" s="452" t="s">
        <v>16</v>
      </c>
      <c r="B206" s="453">
        <v>4320.0</v>
      </c>
      <c r="C206" s="556" t="s">
        <v>763</v>
      </c>
      <c r="D206" s="453">
        <v>0.0</v>
      </c>
      <c r="E206" s="452" t="s">
        <v>493</v>
      </c>
      <c r="F206" s="452" t="s">
        <v>532</v>
      </c>
      <c r="G206" s="452" t="s">
        <v>494</v>
      </c>
      <c r="H206" s="455"/>
      <c r="I206" s="456">
        <v>36208.0</v>
      </c>
      <c r="J206" s="457">
        <v>45602.0</v>
      </c>
      <c r="K206" s="610" t="str">
        <f>iferror(VLOOKUP(E206,'August 2025 Reference AI'!E:R,7,false),0)</f>
        <v/>
      </c>
      <c r="L206" s="611">
        <f>iferror(VLOOKUP(E206,'August 2025 Reference AI'!E:R,8,false),0)</f>
        <v>31</v>
      </c>
      <c r="M206" s="515">
        <v>45870.0</v>
      </c>
      <c r="N206" s="515">
        <v>45900.0</v>
      </c>
    </row>
    <row r="207" hidden="1">
      <c r="A207" s="452" t="s">
        <v>16</v>
      </c>
      <c r="B207" s="453">
        <v>4320.0</v>
      </c>
      <c r="C207" s="556" t="s">
        <v>763</v>
      </c>
      <c r="D207" s="453">
        <v>0.0</v>
      </c>
      <c r="E207" s="452" t="s">
        <v>222</v>
      </c>
      <c r="F207" s="452" t="s">
        <v>223</v>
      </c>
      <c r="G207" s="452" t="s">
        <v>224</v>
      </c>
      <c r="H207" s="455"/>
      <c r="I207" s="457">
        <v>35818.0</v>
      </c>
      <c r="J207" s="457">
        <v>45089.0</v>
      </c>
      <c r="K207" s="615">
        <v>45747.0</v>
      </c>
      <c r="L207" s="611">
        <f>iferror(VLOOKUP(E207,'August 2025 Reference AI'!E:R,8,false),0)</f>
        <v>0</v>
      </c>
      <c r="M207" s="515">
        <v>45870.0</v>
      </c>
      <c r="N207" s="515">
        <v>45900.0</v>
      </c>
    </row>
    <row r="208">
      <c r="A208" s="452" t="s">
        <v>16</v>
      </c>
      <c r="B208" s="453">
        <v>4320.0</v>
      </c>
      <c r="C208" s="556" t="s">
        <v>763</v>
      </c>
      <c r="D208" s="453">
        <v>0.0</v>
      </c>
      <c r="E208" s="452" t="s">
        <v>747</v>
      </c>
      <c r="F208" s="452" t="s">
        <v>748</v>
      </c>
      <c r="G208" s="452" t="s">
        <v>749</v>
      </c>
      <c r="H208" s="455"/>
      <c r="I208" s="456">
        <v>37314.0</v>
      </c>
      <c r="J208" s="456">
        <v>45733.0</v>
      </c>
      <c r="K208" s="610" t="str">
        <f>iferror(VLOOKUP(E208,'August 2025 Reference AI'!E:R,7,false),0)</f>
        <v/>
      </c>
      <c r="L208" s="611">
        <f>iferror(VLOOKUP(E208,'August 2025 Reference AI'!E:R,8,false),0)</f>
        <v>31</v>
      </c>
      <c r="M208" s="515">
        <v>45870.0</v>
      </c>
      <c r="N208" s="515">
        <v>45900.0</v>
      </c>
    </row>
    <row r="209">
      <c r="A209" s="452" t="s">
        <v>16</v>
      </c>
      <c r="B209" s="453">
        <v>4320.0</v>
      </c>
      <c r="C209" s="556" t="s">
        <v>763</v>
      </c>
      <c r="D209" s="453">
        <v>0.0</v>
      </c>
      <c r="E209" s="452" t="s">
        <v>585</v>
      </c>
      <c r="F209" s="463" t="s">
        <v>586</v>
      </c>
      <c r="G209" s="452" t="s">
        <v>587</v>
      </c>
      <c r="H209" s="455"/>
      <c r="I209" s="457">
        <v>35827.0</v>
      </c>
      <c r="J209" s="457">
        <v>45684.0</v>
      </c>
      <c r="K209" s="610" t="str">
        <f>iferror(VLOOKUP(E209,'August 2025 Reference AI'!E:R,7,false),0)</f>
        <v/>
      </c>
      <c r="L209" s="611">
        <f>iferror(VLOOKUP(E209,'August 2025 Reference AI'!E:R,8,false),0)</f>
        <v>31</v>
      </c>
      <c r="M209" s="515">
        <v>45870.0</v>
      </c>
      <c r="N209" s="515">
        <v>45900.0</v>
      </c>
    </row>
    <row r="210" hidden="1">
      <c r="A210" s="452" t="s">
        <v>16</v>
      </c>
      <c r="B210" s="453">
        <v>4320.0</v>
      </c>
      <c r="C210" s="556" t="s">
        <v>763</v>
      </c>
      <c r="D210" s="453">
        <v>0.0</v>
      </c>
      <c r="E210" s="452" t="s">
        <v>225</v>
      </c>
      <c r="F210" s="452" t="s">
        <v>226</v>
      </c>
      <c r="G210" s="452" t="s">
        <v>227</v>
      </c>
      <c r="H210" s="455"/>
      <c r="I210" s="457">
        <v>36177.0</v>
      </c>
      <c r="J210" s="457">
        <v>45320.0</v>
      </c>
      <c r="K210" s="617">
        <v>45826.0</v>
      </c>
      <c r="L210" s="611">
        <f>iferror(VLOOKUP(E210,'August 2025 Reference AI'!E:R,8,false),0)</f>
        <v>0</v>
      </c>
      <c r="M210" s="515">
        <v>45870.0</v>
      </c>
      <c r="N210" s="515">
        <v>45900.0</v>
      </c>
    </row>
    <row r="211">
      <c r="A211" s="452" t="s">
        <v>16</v>
      </c>
      <c r="B211" s="453">
        <v>4320.0</v>
      </c>
      <c r="C211" s="556" t="s">
        <v>763</v>
      </c>
      <c r="D211" s="453">
        <v>0.0</v>
      </c>
      <c r="E211" s="452" t="s">
        <v>676</v>
      </c>
      <c r="F211" s="452" t="s">
        <v>677</v>
      </c>
      <c r="G211" s="452" t="s">
        <v>678</v>
      </c>
      <c r="H211" s="455"/>
      <c r="I211" s="456">
        <v>36107.0</v>
      </c>
      <c r="J211" s="458">
        <v>45778.0</v>
      </c>
      <c r="K211" s="610" t="str">
        <f>iferror(VLOOKUP(E211,'August 2025 Reference AI'!E:R,7,false),0)</f>
        <v/>
      </c>
      <c r="L211" s="611">
        <f>iferror(VLOOKUP(E211,'August 2025 Reference AI'!E:R,8,false),0)</f>
        <v>31</v>
      </c>
      <c r="M211" s="515">
        <v>45870.0</v>
      </c>
      <c r="N211" s="515">
        <v>45900.0</v>
      </c>
    </row>
    <row r="212">
      <c r="A212" s="452" t="s">
        <v>16</v>
      </c>
      <c r="B212" s="453">
        <v>4320.0</v>
      </c>
      <c r="C212" s="556" t="s">
        <v>763</v>
      </c>
      <c r="D212" s="453">
        <v>0.0</v>
      </c>
      <c r="E212" s="452" t="s">
        <v>812</v>
      </c>
      <c r="F212" s="452" t="s">
        <v>820</v>
      </c>
      <c r="G212" s="452" t="s">
        <v>814</v>
      </c>
      <c r="H212" s="455"/>
      <c r="I212" s="456">
        <v>37940.0</v>
      </c>
      <c r="J212" s="456">
        <v>45775.0</v>
      </c>
      <c r="K212" s="610" t="str">
        <f>iferror(VLOOKUP(E212,'August 2025 Reference AI'!E:R,7,false),0)</f>
        <v/>
      </c>
      <c r="L212" s="611">
        <f>iferror(VLOOKUP(E212,'August 2025 Reference AI'!E:R,8,false),0)</f>
        <v>31</v>
      </c>
      <c r="M212" s="515">
        <v>45870.0</v>
      </c>
      <c r="N212" s="515">
        <v>45900.0</v>
      </c>
    </row>
    <row r="213" hidden="1">
      <c r="A213" s="452" t="s">
        <v>16</v>
      </c>
      <c r="B213" s="453">
        <v>4320.0</v>
      </c>
      <c r="C213" s="556" t="s">
        <v>763</v>
      </c>
      <c r="D213" s="453">
        <v>0.0</v>
      </c>
      <c r="E213" s="452" t="s">
        <v>679</v>
      </c>
      <c r="F213" s="452" t="s">
        <v>680</v>
      </c>
      <c r="G213" s="452" t="s">
        <v>681</v>
      </c>
      <c r="H213" s="455"/>
      <c r="I213" s="457">
        <v>34915.0</v>
      </c>
      <c r="J213" s="456">
        <v>45153.0</v>
      </c>
      <c r="K213" s="612">
        <v>45306.0</v>
      </c>
      <c r="L213" s="611">
        <f>iferror(VLOOKUP(E213,'August 2025 Reference AI'!E:R,8,false),0)</f>
        <v>0</v>
      </c>
      <c r="M213" s="515">
        <v>45870.0</v>
      </c>
      <c r="N213" s="515">
        <v>45900.0</v>
      </c>
    </row>
    <row r="214" hidden="1">
      <c r="A214" s="452" t="s">
        <v>16</v>
      </c>
      <c r="B214" s="453">
        <v>4320.0</v>
      </c>
      <c r="C214" s="556" t="s">
        <v>763</v>
      </c>
      <c r="D214" s="453">
        <v>0.0</v>
      </c>
      <c r="E214" s="452" t="s">
        <v>682</v>
      </c>
      <c r="F214" s="452" t="s">
        <v>683</v>
      </c>
      <c r="G214" s="452" t="s">
        <v>684</v>
      </c>
      <c r="H214" s="455"/>
      <c r="I214" s="457">
        <v>36545.0</v>
      </c>
      <c r="J214" s="457">
        <v>44562.0</v>
      </c>
      <c r="K214" s="612">
        <v>45476.0</v>
      </c>
      <c r="L214" s="611">
        <f>iferror(VLOOKUP(E214,'August 2025 Reference AI'!E:R,8,false),0)</f>
        <v>0</v>
      </c>
      <c r="M214" s="515">
        <v>45870.0</v>
      </c>
      <c r="N214" s="515">
        <v>45900.0</v>
      </c>
    </row>
    <row r="215" hidden="1">
      <c r="A215" s="452" t="s">
        <v>16</v>
      </c>
      <c r="B215" s="453">
        <v>4320.0</v>
      </c>
      <c r="C215" s="556" t="s">
        <v>763</v>
      </c>
      <c r="D215" s="453">
        <v>0.0</v>
      </c>
      <c r="E215" s="452" t="s">
        <v>307</v>
      </c>
      <c r="F215" s="452" t="s">
        <v>308</v>
      </c>
      <c r="G215" s="452" t="s">
        <v>309</v>
      </c>
      <c r="H215" s="455"/>
      <c r="I215" s="456">
        <v>36522.0</v>
      </c>
      <c r="J215" s="457">
        <v>45328.0</v>
      </c>
      <c r="K215" s="615">
        <v>45572.0</v>
      </c>
      <c r="L215" s="611">
        <f>iferror(VLOOKUP(E215,'August 2025 Reference AI'!E:R,8,false),0)</f>
        <v>0</v>
      </c>
      <c r="M215" s="515">
        <v>45870.0</v>
      </c>
      <c r="N215" s="515">
        <v>45900.0</v>
      </c>
    </row>
    <row r="216">
      <c r="A216" s="452" t="s">
        <v>16</v>
      </c>
      <c r="B216" s="453">
        <v>4320.0</v>
      </c>
      <c r="C216" s="556" t="s">
        <v>763</v>
      </c>
      <c r="D216" s="453">
        <v>0.0</v>
      </c>
      <c r="E216" s="311" t="s">
        <v>863</v>
      </c>
      <c r="F216" s="251" t="s">
        <v>864</v>
      </c>
      <c r="G216" s="251" t="s">
        <v>865</v>
      </c>
      <c r="I216" s="509">
        <v>36175.0</v>
      </c>
      <c r="J216" s="509">
        <v>45824.0</v>
      </c>
      <c r="K216" s="610" t="str">
        <f>iferror(VLOOKUP(E216,'August 2025 Reference AI'!E:R,7,false),0)</f>
        <v/>
      </c>
      <c r="L216" s="611">
        <f>iferror(VLOOKUP(E216,'August 2025 Reference AI'!E:R,8,false),0)</f>
        <v>31</v>
      </c>
      <c r="M216" s="515">
        <v>45870.0</v>
      </c>
      <c r="N216" s="515">
        <v>45900.0</v>
      </c>
    </row>
    <row r="217">
      <c r="A217" s="452" t="s">
        <v>16</v>
      </c>
      <c r="B217" s="453">
        <v>4320.0</v>
      </c>
      <c r="C217" s="556" t="s">
        <v>763</v>
      </c>
      <c r="D217" s="453">
        <v>0.0</v>
      </c>
      <c r="E217" s="311" t="s">
        <v>866</v>
      </c>
      <c r="F217" s="251" t="s">
        <v>867</v>
      </c>
      <c r="G217" s="251" t="s">
        <v>868</v>
      </c>
      <c r="I217" s="509">
        <v>36180.0</v>
      </c>
      <c r="J217" s="509">
        <v>45824.0</v>
      </c>
      <c r="K217" s="610" t="str">
        <f>iferror(VLOOKUP(E217,'August 2025 Reference AI'!E:R,7,false),0)</f>
        <v/>
      </c>
      <c r="L217" s="611">
        <f>iferror(VLOOKUP(E217,'August 2025 Reference AI'!E:R,8,false),0)</f>
        <v>31</v>
      </c>
      <c r="M217" s="515">
        <v>45870.0</v>
      </c>
      <c r="N217" s="515">
        <v>45900.0</v>
      </c>
    </row>
    <row r="218">
      <c r="A218" s="452" t="s">
        <v>16</v>
      </c>
      <c r="B218" s="453">
        <v>4320.0</v>
      </c>
      <c r="C218" s="556" t="s">
        <v>763</v>
      </c>
      <c r="D218" s="453">
        <v>0.0</v>
      </c>
      <c r="E218" s="311" t="s">
        <v>869</v>
      </c>
      <c r="F218" s="251" t="s">
        <v>870</v>
      </c>
      <c r="G218" s="251" t="s">
        <v>871</v>
      </c>
      <c r="I218" s="509">
        <v>36585.0</v>
      </c>
      <c r="J218" s="509">
        <v>45824.0</v>
      </c>
      <c r="K218" s="610" t="str">
        <f>iferror(VLOOKUP(E218,'August 2025 Reference AI'!E:R,7,false),0)</f>
        <v/>
      </c>
      <c r="L218" s="611">
        <f>iferror(VLOOKUP(E218,'August 2025 Reference AI'!E:R,8,false),0)</f>
        <v>31</v>
      </c>
      <c r="M218" s="515">
        <v>45870.0</v>
      </c>
      <c r="N218" s="515">
        <v>45900.0</v>
      </c>
    </row>
    <row r="219">
      <c r="A219" s="452" t="s">
        <v>16</v>
      </c>
      <c r="B219" s="453">
        <v>4320.0</v>
      </c>
      <c r="C219" s="556" t="s">
        <v>763</v>
      </c>
      <c r="D219" s="453">
        <v>0.0</v>
      </c>
      <c r="E219" s="311" t="s">
        <v>872</v>
      </c>
      <c r="F219" s="251" t="s">
        <v>873</v>
      </c>
      <c r="G219" s="251" t="s">
        <v>874</v>
      </c>
      <c r="I219" s="509">
        <v>35415.0</v>
      </c>
      <c r="J219" s="520">
        <v>45831.0</v>
      </c>
      <c r="K219" s="610" t="str">
        <f>iferror(VLOOKUP(E219,'August 2025 Reference AI'!E:R,7,false),0)</f>
        <v/>
      </c>
      <c r="L219" s="611">
        <f>iferror(VLOOKUP(E219,'August 2025 Reference AI'!E:R,8,false),0)</f>
        <v>31</v>
      </c>
      <c r="M219" s="515">
        <v>45870.0</v>
      </c>
      <c r="N219" s="515">
        <v>45900.0</v>
      </c>
    </row>
    <row r="220">
      <c r="A220" s="557" t="s">
        <v>16</v>
      </c>
      <c r="B220" s="558">
        <v>4320.0</v>
      </c>
      <c r="C220" s="629" t="s">
        <v>763</v>
      </c>
      <c r="D220" s="558">
        <v>0.0</v>
      </c>
      <c r="E220" s="632" t="s">
        <v>875</v>
      </c>
      <c r="F220" s="633" t="s">
        <v>876</v>
      </c>
      <c r="G220" s="557" t="s">
        <v>877</v>
      </c>
      <c r="H220" s="48"/>
      <c r="I220" s="541">
        <v>37517.0</v>
      </c>
      <c r="J220" s="634">
        <v>45831.0</v>
      </c>
      <c r="K220" s="560">
        <f>iferror(VLOOKUP(E220,'August 2025 Reference AI'!E:R,7,false),0)</f>
        <v>45869</v>
      </c>
      <c r="L220" s="620">
        <f>iferror(VLOOKUP(E220,'August 2025 Reference AI'!E:R,8,false),0)</f>
        <v>31</v>
      </c>
      <c r="M220" s="621">
        <v>45870.0</v>
      </c>
      <c r="N220" s="621">
        <v>45900.0</v>
      </c>
      <c r="O220" s="48"/>
      <c r="P220" s="48"/>
      <c r="Q220" s="48"/>
      <c r="R220" s="48"/>
      <c r="S220" s="48"/>
      <c r="T220" s="48"/>
      <c r="U220" s="48"/>
      <c r="V220" s="48"/>
      <c r="W220" s="48"/>
    </row>
    <row r="221">
      <c r="A221" s="452" t="s">
        <v>16</v>
      </c>
      <c r="B221" s="453">
        <v>4320.0</v>
      </c>
      <c r="C221" s="556" t="s">
        <v>763</v>
      </c>
      <c r="D221" s="453">
        <v>0.0</v>
      </c>
      <c r="E221" s="311" t="s">
        <v>878</v>
      </c>
      <c r="F221" s="251" t="s">
        <v>879</v>
      </c>
      <c r="G221" s="251" t="s">
        <v>880</v>
      </c>
      <c r="I221" s="509">
        <v>34912.0</v>
      </c>
      <c r="J221" s="520">
        <v>45831.0</v>
      </c>
      <c r="K221" s="610" t="str">
        <f>iferror(VLOOKUP(E221,'August 2025 Reference AI'!E:R,7,false),0)</f>
        <v/>
      </c>
      <c r="L221" s="611">
        <f>iferror(VLOOKUP(E221,'August 2025 Reference AI'!E:R,8,false),0)</f>
        <v>31</v>
      </c>
      <c r="M221" s="515">
        <v>45870.0</v>
      </c>
      <c r="N221" s="515">
        <v>45900.0</v>
      </c>
    </row>
    <row r="222" hidden="1">
      <c r="A222" s="557" t="s">
        <v>16</v>
      </c>
      <c r="B222" s="558">
        <v>4320.0</v>
      </c>
      <c r="C222" s="629" t="s">
        <v>763</v>
      </c>
      <c r="D222" s="558">
        <v>0.0</v>
      </c>
      <c r="E222" s="632" t="s">
        <v>881</v>
      </c>
      <c r="F222" s="607" t="s">
        <v>882</v>
      </c>
      <c r="G222" s="633" t="s">
        <v>883</v>
      </c>
      <c r="H222" s="48"/>
      <c r="I222" s="541">
        <v>35887.0</v>
      </c>
      <c r="J222" s="634">
        <v>45809.0</v>
      </c>
      <c r="K222" s="635">
        <v>45869.0</v>
      </c>
      <c r="L222" s="620">
        <f>iferror(VLOOKUP(E222,'August 2025 Reference AI'!E:R,8,false),0)</f>
        <v>0</v>
      </c>
      <c r="M222" s="621">
        <v>45870.0</v>
      </c>
      <c r="N222" s="621">
        <v>45900.0</v>
      </c>
      <c r="O222" s="48"/>
      <c r="P222" s="48"/>
      <c r="Q222" s="48"/>
      <c r="R222" s="48"/>
      <c r="S222" s="48"/>
      <c r="T222" s="48"/>
      <c r="U222" s="48"/>
      <c r="V222" s="48"/>
      <c r="W222" s="48"/>
    </row>
    <row r="223" hidden="1">
      <c r="A223" s="452" t="s">
        <v>16</v>
      </c>
      <c r="B223" s="453">
        <v>4320.0</v>
      </c>
      <c r="C223" s="556" t="s">
        <v>763</v>
      </c>
      <c r="D223" s="453">
        <v>0.0</v>
      </c>
      <c r="E223" s="574" t="s">
        <v>915</v>
      </c>
      <c r="F223" s="575" t="s">
        <v>893</v>
      </c>
      <c r="G223" s="228" t="str">
        <f>VLOOKUP(E223,Emp_Directory!B:AQ,16,false)</f>
        <v>13302-9437802-3</v>
      </c>
      <c r="I223" s="509">
        <f>VLOOKUP(E223,Emp_Directory!B:AQ,24,false)</f>
        <v>35207</v>
      </c>
      <c r="J223" s="576">
        <v>45839.0</v>
      </c>
      <c r="K223" s="636">
        <v>45868.0</v>
      </c>
      <c r="L223" s="637">
        <f>iferror(VLOOKUP(E223,'August 2025 Reference AI'!E:R,8,false),0)</f>
        <v>0</v>
      </c>
      <c r="M223" s="579">
        <v>45870.0</v>
      </c>
      <c r="N223" s="579">
        <v>45900.0</v>
      </c>
    </row>
    <row r="224">
      <c r="A224" s="452" t="s">
        <v>16</v>
      </c>
      <c r="B224" s="453">
        <v>4320.0</v>
      </c>
      <c r="C224" s="556" t="s">
        <v>763</v>
      </c>
      <c r="D224" s="453">
        <v>0.0</v>
      </c>
      <c r="E224" s="580" t="s">
        <v>895</v>
      </c>
      <c r="F224" s="581" t="s">
        <v>896</v>
      </c>
      <c r="G224" s="228" t="str">
        <f>VLOOKUP(E224,Emp_Directory!B:AQ,16,false)</f>
        <v>33100-1143058-5</v>
      </c>
      <c r="I224" s="509">
        <f>VLOOKUP(E224,Emp_Directory!B:AQ,24,false)</f>
        <v>36431</v>
      </c>
      <c r="J224" s="582">
        <v>45839.0</v>
      </c>
      <c r="K224" s="610" t="str">
        <f>iferror(VLOOKUP(E224,'August 2025 Reference AI'!E:R,7,false),0)</f>
        <v/>
      </c>
      <c r="L224" s="638">
        <f>iferror(VLOOKUP(E224,'August 2025 Reference AI'!E:R,8,false),0)</f>
        <v>31</v>
      </c>
      <c r="M224" s="585">
        <v>45870.0</v>
      </c>
      <c r="N224" s="585">
        <v>45900.0</v>
      </c>
    </row>
    <row r="225">
      <c r="A225" s="452" t="s">
        <v>16</v>
      </c>
      <c r="B225" s="453">
        <v>4320.0</v>
      </c>
      <c r="C225" s="556" t="s">
        <v>763</v>
      </c>
      <c r="D225" s="453">
        <v>0.0</v>
      </c>
      <c r="E225" s="118" t="s">
        <v>898</v>
      </c>
      <c r="F225" s="575" t="s">
        <v>899</v>
      </c>
      <c r="G225" s="228" t="str">
        <f>VLOOKUP(E225,Emp_Directory!B:AQ,16,false)</f>
        <v>38404-8888249-3</v>
      </c>
      <c r="I225" s="509">
        <f>VLOOKUP(E225,Emp_Directory!B:AQ,24,false)</f>
        <v>37642</v>
      </c>
      <c r="J225" s="576">
        <v>45842.0</v>
      </c>
      <c r="K225" s="610" t="str">
        <f>iferror(VLOOKUP(E225,'August 2025 Reference AI'!E:R,7,false),0)</f>
        <v/>
      </c>
      <c r="L225" s="637">
        <f>iferror(VLOOKUP(E225,'August 2025 Reference AI'!E:R,8,false),0)</f>
        <v>31</v>
      </c>
      <c r="M225" s="579">
        <v>45870.0</v>
      </c>
      <c r="N225" s="579">
        <v>45900.0</v>
      </c>
    </row>
    <row r="226">
      <c r="A226" s="452" t="s">
        <v>16</v>
      </c>
      <c r="B226" s="453">
        <v>4320.0</v>
      </c>
      <c r="C226" s="556" t="s">
        <v>763</v>
      </c>
      <c r="D226" s="453">
        <v>0.0</v>
      </c>
      <c r="E226" s="587" t="s">
        <v>901</v>
      </c>
      <c r="F226" s="581" t="s">
        <v>902</v>
      </c>
      <c r="G226" s="228" t="str">
        <f>VLOOKUP(E226,Emp_Directory!B:AQ,16,false)</f>
        <v>61101-1316783-5</v>
      </c>
      <c r="I226" s="509">
        <f>VLOOKUP(E226,Emp_Directory!B:AQ,24,false)</f>
        <v>34878</v>
      </c>
      <c r="J226" s="582">
        <v>45845.0</v>
      </c>
      <c r="K226" s="610" t="str">
        <f>iferror(VLOOKUP(E226,'August 2025 Reference AI'!E:R,7,false),0)</f>
        <v/>
      </c>
      <c r="L226" s="638">
        <f>iferror(VLOOKUP(E226,'August 2025 Reference AI'!E:R,8,false),0)</f>
        <v>31</v>
      </c>
      <c r="M226" s="585">
        <v>45870.0</v>
      </c>
      <c r="N226" s="585">
        <v>45900.0</v>
      </c>
    </row>
    <row r="227">
      <c r="A227" s="452" t="s">
        <v>16</v>
      </c>
      <c r="B227" s="453">
        <v>4320.0</v>
      </c>
      <c r="C227" s="556" t="s">
        <v>763</v>
      </c>
      <c r="D227" s="453">
        <v>0.0</v>
      </c>
      <c r="E227" s="118" t="s">
        <v>904</v>
      </c>
      <c r="F227" s="575" t="s">
        <v>905</v>
      </c>
      <c r="G227" s="228" t="str">
        <f>VLOOKUP(E227,Emp_Directory!B:AQ,16,false)</f>
        <v>15602-1856910-3</v>
      </c>
      <c r="I227" s="509">
        <f>VLOOKUP(E227,Emp_Directory!B:AQ,24,false)</f>
        <v>37326</v>
      </c>
      <c r="J227" s="576">
        <v>45845.0</v>
      </c>
      <c r="K227" s="610" t="str">
        <f>iferror(VLOOKUP(E227,'August 2025 Reference AI'!E:R,7,false),0)</f>
        <v/>
      </c>
      <c r="L227" s="637">
        <f>iferror(VLOOKUP(E227,'August 2025 Reference AI'!E:R,8,false),0)</f>
        <v>31</v>
      </c>
      <c r="M227" s="579">
        <v>45870.0</v>
      </c>
      <c r="N227" s="579">
        <v>45900.0</v>
      </c>
    </row>
    <row r="228">
      <c r="A228" s="452" t="s">
        <v>16</v>
      </c>
      <c r="B228" s="453">
        <v>4320.0</v>
      </c>
      <c r="C228" s="556" t="s">
        <v>763</v>
      </c>
      <c r="D228" s="453">
        <v>0.0</v>
      </c>
      <c r="E228" s="587" t="s">
        <v>907</v>
      </c>
      <c r="F228" s="581" t="s">
        <v>908</v>
      </c>
      <c r="G228" s="228" t="str">
        <f>VLOOKUP(E228,Emp_Directory!B:AQ,16,false)</f>
        <v>37405-5543241-0</v>
      </c>
      <c r="I228" s="509">
        <f>VLOOKUP(E228,Emp_Directory!B:AQ,24,false)</f>
        <v>37465</v>
      </c>
      <c r="J228" s="582">
        <v>45845.0</v>
      </c>
      <c r="K228" s="610" t="str">
        <f>iferror(VLOOKUP(E228,'August 2025 Reference AI'!E:R,7,false),0)</f>
        <v/>
      </c>
      <c r="L228" s="638">
        <f>iferror(VLOOKUP(E228,'August 2025 Reference AI'!E:R,8,false),0)</f>
        <v>31</v>
      </c>
      <c r="M228" s="585">
        <v>45870.0</v>
      </c>
      <c r="N228" s="585">
        <v>45900.0</v>
      </c>
    </row>
    <row r="229">
      <c r="A229" s="452" t="s">
        <v>16</v>
      </c>
      <c r="B229" s="453">
        <v>4320.0</v>
      </c>
      <c r="C229" s="556" t="s">
        <v>763</v>
      </c>
      <c r="D229" s="514">
        <v>0.0</v>
      </c>
      <c r="E229" s="118" t="s">
        <v>910</v>
      </c>
      <c r="F229" s="575" t="s">
        <v>911</v>
      </c>
      <c r="G229" s="228" t="str">
        <f>VLOOKUP(E229,Emp_Directory!B:AQ,16,false)</f>
        <v>37405-8046887-1</v>
      </c>
      <c r="I229" s="509">
        <f>VLOOKUP(E229,Emp_Directory!B:AQ,24,false)</f>
        <v>35010</v>
      </c>
      <c r="J229" s="576">
        <v>45860.0</v>
      </c>
      <c r="K229" s="610" t="str">
        <f>iferror(VLOOKUP(E229,'August 2025 Reference AI'!E:R,7,false),0)</f>
        <v/>
      </c>
      <c r="L229" s="637">
        <f>iferror(VLOOKUP(E229,'August 2025 Reference AI'!E:R,8,false),0)</f>
        <v>31</v>
      </c>
      <c r="M229" s="579">
        <v>45870.0</v>
      </c>
      <c r="N229" s="579">
        <v>45900.0</v>
      </c>
    </row>
    <row r="230">
      <c r="A230" s="452" t="s">
        <v>16</v>
      </c>
      <c r="B230" s="453">
        <v>4320.0</v>
      </c>
      <c r="C230" s="556" t="s">
        <v>763</v>
      </c>
      <c r="D230" s="514">
        <v>0.0</v>
      </c>
      <c r="E230" s="604" t="s">
        <v>925</v>
      </c>
      <c r="F230" s="581" t="s">
        <v>926</v>
      </c>
      <c r="G230" s="228" t="str">
        <f>VLOOKUP(E230,Emp_Directory!B:AQ,16,false)</f>
        <v>42201-2361860-9</v>
      </c>
      <c r="I230" s="509">
        <f>VLOOKUP(E230,Emp_Directory!B:AQ,24,false)</f>
        <v>35350</v>
      </c>
      <c r="J230" s="639">
        <v>45894.0</v>
      </c>
      <c r="K230" s="610" t="str">
        <f>iferror(VLOOKUP(E230,'August 2025 Reference AI'!E:R,7,false),0)</f>
        <v/>
      </c>
      <c r="L230" s="638">
        <f>iferror(VLOOKUP(E230,'August 2025 Reference AI'!E:R,8,false),0)</f>
        <v>7</v>
      </c>
      <c r="M230" s="585">
        <v>45870.0</v>
      </c>
      <c r="N230" s="585">
        <v>45900.0</v>
      </c>
    </row>
    <row r="231" hidden="1">
      <c r="D231" s="310"/>
      <c r="E231" s="311"/>
      <c r="K231" s="537"/>
      <c r="L231" s="76">
        <f>SUM(L2:L230)</f>
        <v>3122</v>
      </c>
      <c r="M231" s="640"/>
      <c r="N231" s="640"/>
      <c r="O231" s="76"/>
    </row>
    <row r="232" hidden="1">
      <c r="D232" s="310"/>
      <c r="E232" s="311"/>
      <c r="K232" s="537"/>
      <c r="L232" s="641">
        <f>L231-31</f>
        <v>3091</v>
      </c>
      <c r="M232" s="589"/>
      <c r="N232" s="589"/>
      <c r="O232" s="641"/>
    </row>
    <row r="233">
      <c r="D233" s="310"/>
      <c r="E233" s="311"/>
      <c r="K233" s="537"/>
    </row>
    <row r="234">
      <c r="D234" s="310"/>
      <c r="E234" s="311"/>
      <c r="K234" s="537"/>
      <c r="L234" s="228">
        <f>SUM(L2:L230)</f>
        <v>3122</v>
      </c>
    </row>
    <row r="235">
      <c r="D235" s="310"/>
      <c r="E235" s="311"/>
      <c r="K235" s="537"/>
    </row>
    <row r="236">
      <c r="D236" s="310"/>
      <c r="E236" s="510"/>
      <c r="F236" s="511"/>
      <c r="K236" s="537"/>
    </row>
    <row r="237">
      <c r="D237" s="310"/>
      <c r="E237" s="545"/>
      <c r="F237" s="511"/>
      <c r="K237" s="537"/>
    </row>
    <row r="238">
      <c r="D238" s="310"/>
      <c r="E238" s="501"/>
      <c r="F238" s="511"/>
      <c r="K238" s="537"/>
    </row>
    <row r="239">
      <c r="D239" s="310"/>
      <c r="E239" s="501"/>
      <c r="F239" s="511"/>
      <c r="K239" s="537"/>
    </row>
    <row r="240">
      <c r="D240" s="310"/>
      <c r="E240" s="501"/>
      <c r="F240" s="511"/>
      <c r="K240" s="537"/>
    </row>
    <row r="241">
      <c r="D241" s="310"/>
      <c r="E241" s="501"/>
      <c r="F241" s="511"/>
      <c r="K241" s="537"/>
    </row>
    <row r="242">
      <c r="D242" s="310"/>
      <c r="E242" s="501"/>
      <c r="F242" s="511"/>
      <c r="K242" s="537"/>
    </row>
    <row r="243">
      <c r="D243" s="310"/>
      <c r="E243" s="501"/>
      <c r="F243" s="511"/>
      <c r="K243" s="537"/>
    </row>
    <row r="244">
      <c r="D244" s="310"/>
      <c r="E244" s="311"/>
      <c r="K244" s="537"/>
    </row>
    <row r="245">
      <c r="D245" s="310"/>
      <c r="E245" s="311"/>
      <c r="K245" s="537"/>
    </row>
    <row r="246">
      <c r="D246" s="310"/>
      <c r="E246" s="311"/>
      <c r="K246" s="537"/>
    </row>
    <row r="247">
      <c r="D247" s="310"/>
      <c r="E247" s="311"/>
      <c r="K247" s="537"/>
    </row>
    <row r="248">
      <c r="D248" s="310"/>
      <c r="E248" s="311"/>
      <c r="K248" s="537"/>
    </row>
    <row r="249">
      <c r="D249" s="310"/>
      <c r="E249" s="311"/>
      <c r="K249" s="537"/>
    </row>
    <row r="250">
      <c r="D250" s="310"/>
      <c r="E250" s="311"/>
      <c r="K250" s="537"/>
    </row>
    <row r="251">
      <c r="D251" s="310"/>
      <c r="E251" s="311"/>
      <c r="K251" s="537"/>
    </row>
    <row r="252">
      <c r="D252" s="310"/>
      <c r="E252" s="311"/>
      <c r="K252" s="537"/>
    </row>
    <row r="253">
      <c r="D253" s="310"/>
      <c r="E253" s="311"/>
      <c r="K253" s="537"/>
    </row>
    <row r="254">
      <c r="D254" s="310"/>
      <c r="E254" s="311"/>
      <c r="K254" s="537"/>
    </row>
    <row r="255">
      <c r="D255" s="310"/>
      <c r="E255" s="311"/>
      <c r="K255" s="537"/>
    </row>
    <row r="256">
      <c r="D256" s="310"/>
      <c r="E256" s="311"/>
      <c r="K256" s="537"/>
    </row>
    <row r="257">
      <c r="D257" s="310"/>
      <c r="E257" s="311"/>
      <c r="K257" s="537"/>
    </row>
    <row r="258">
      <c r="D258" s="310"/>
      <c r="E258" s="311"/>
      <c r="K258" s="537"/>
    </row>
    <row r="259">
      <c r="D259" s="310"/>
      <c r="E259" s="311"/>
      <c r="K259" s="537"/>
    </row>
    <row r="260">
      <c r="D260" s="310"/>
      <c r="E260" s="311"/>
      <c r="K260" s="537"/>
    </row>
    <row r="261">
      <c r="D261" s="310"/>
      <c r="E261" s="311"/>
      <c r="K261" s="537"/>
    </row>
    <row r="262">
      <c r="D262" s="310"/>
      <c r="E262" s="311"/>
      <c r="K262" s="537"/>
    </row>
    <row r="263">
      <c r="D263" s="310"/>
      <c r="E263" s="311"/>
      <c r="K263" s="537"/>
    </row>
    <row r="264">
      <c r="D264" s="310"/>
      <c r="E264" s="311"/>
      <c r="K264" s="537"/>
    </row>
    <row r="265">
      <c r="D265" s="310"/>
      <c r="E265" s="311"/>
      <c r="K265" s="537"/>
    </row>
    <row r="266">
      <c r="D266" s="310"/>
      <c r="E266" s="311"/>
      <c r="K266" s="537"/>
    </row>
    <row r="267">
      <c r="D267" s="310"/>
      <c r="E267" s="311"/>
      <c r="K267" s="537"/>
    </row>
    <row r="268">
      <c r="D268" s="310"/>
      <c r="E268" s="311"/>
      <c r="K268" s="537"/>
    </row>
    <row r="269">
      <c r="D269" s="310"/>
      <c r="E269" s="311"/>
      <c r="K269" s="537"/>
    </row>
    <row r="270">
      <c r="D270" s="310"/>
      <c r="E270" s="311"/>
      <c r="K270" s="537"/>
    </row>
    <row r="271">
      <c r="D271" s="310"/>
      <c r="E271" s="311"/>
      <c r="K271" s="537"/>
    </row>
    <row r="272">
      <c r="D272" s="310"/>
      <c r="E272" s="311"/>
      <c r="K272" s="537"/>
    </row>
    <row r="273">
      <c r="D273" s="310"/>
      <c r="E273" s="311"/>
      <c r="K273" s="537"/>
    </row>
    <row r="274">
      <c r="D274" s="310"/>
      <c r="E274" s="311"/>
      <c r="K274" s="537"/>
    </row>
    <row r="275">
      <c r="D275" s="310"/>
      <c r="E275" s="311"/>
      <c r="K275" s="537"/>
    </row>
    <row r="276">
      <c r="D276" s="310"/>
      <c r="E276" s="311"/>
      <c r="K276" s="537"/>
    </row>
    <row r="277">
      <c r="D277" s="310"/>
      <c r="E277" s="311"/>
      <c r="K277" s="537"/>
    </row>
    <row r="278">
      <c r="D278" s="310"/>
      <c r="E278" s="311"/>
      <c r="K278" s="537"/>
    </row>
    <row r="279">
      <c r="D279" s="310"/>
      <c r="E279" s="311"/>
      <c r="K279" s="537"/>
    </row>
    <row r="280">
      <c r="D280" s="310"/>
      <c r="E280" s="311"/>
      <c r="K280" s="537"/>
    </row>
    <row r="281">
      <c r="D281" s="310"/>
      <c r="E281" s="311"/>
      <c r="K281" s="537"/>
    </row>
    <row r="282">
      <c r="D282" s="310"/>
      <c r="E282" s="311"/>
      <c r="K282" s="537"/>
    </row>
    <row r="283">
      <c r="D283" s="310"/>
      <c r="E283" s="311"/>
      <c r="K283" s="537"/>
    </row>
    <row r="284">
      <c r="D284" s="310"/>
      <c r="E284" s="311"/>
      <c r="K284" s="537"/>
    </row>
    <row r="285">
      <c r="D285" s="310"/>
      <c r="E285" s="311"/>
      <c r="K285" s="537"/>
    </row>
    <row r="286">
      <c r="D286" s="310"/>
      <c r="E286" s="311"/>
      <c r="K286" s="537"/>
    </row>
    <row r="287">
      <c r="D287" s="310"/>
      <c r="E287" s="311"/>
      <c r="K287" s="537"/>
    </row>
    <row r="288">
      <c r="D288" s="310"/>
      <c r="E288" s="311"/>
      <c r="K288" s="537"/>
    </row>
    <row r="289">
      <c r="D289" s="310"/>
      <c r="E289" s="311"/>
      <c r="K289" s="537"/>
    </row>
    <row r="290">
      <c r="D290" s="310"/>
      <c r="E290" s="311"/>
      <c r="K290" s="537"/>
    </row>
    <row r="291">
      <c r="D291" s="310"/>
      <c r="E291" s="311"/>
      <c r="K291" s="537"/>
    </row>
    <row r="292">
      <c r="D292" s="310"/>
      <c r="E292" s="311"/>
      <c r="K292" s="537"/>
    </row>
    <row r="293">
      <c r="D293" s="310"/>
      <c r="E293" s="311"/>
      <c r="K293" s="537"/>
    </row>
    <row r="294">
      <c r="D294" s="310"/>
      <c r="E294" s="311"/>
      <c r="K294" s="537"/>
    </row>
    <row r="295">
      <c r="D295" s="310"/>
      <c r="E295" s="311"/>
      <c r="K295" s="537"/>
    </row>
    <row r="296">
      <c r="D296" s="310"/>
      <c r="E296" s="311"/>
      <c r="K296" s="537"/>
    </row>
    <row r="297">
      <c r="D297" s="310"/>
      <c r="E297" s="311"/>
      <c r="K297" s="537"/>
    </row>
    <row r="298">
      <c r="D298" s="310"/>
      <c r="E298" s="311"/>
      <c r="K298" s="537"/>
    </row>
    <row r="299">
      <c r="D299" s="310"/>
      <c r="E299" s="311"/>
      <c r="K299" s="537"/>
    </row>
    <row r="300">
      <c r="D300" s="310"/>
      <c r="E300" s="311"/>
      <c r="K300" s="537"/>
    </row>
    <row r="301">
      <c r="D301" s="310"/>
      <c r="E301" s="311"/>
      <c r="K301" s="537"/>
    </row>
    <row r="302">
      <c r="D302" s="310"/>
      <c r="E302" s="311"/>
      <c r="K302" s="537"/>
    </row>
    <row r="303">
      <c r="D303" s="310"/>
      <c r="E303" s="311"/>
      <c r="K303" s="537"/>
    </row>
    <row r="304">
      <c r="D304" s="310"/>
      <c r="E304" s="311"/>
      <c r="K304" s="537"/>
    </row>
    <row r="305">
      <c r="D305" s="310"/>
      <c r="E305" s="311"/>
      <c r="K305" s="537"/>
    </row>
    <row r="306">
      <c r="D306" s="310"/>
      <c r="E306" s="311"/>
      <c r="K306" s="537"/>
    </row>
    <row r="307">
      <c r="D307" s="310"/>
      <c r="E307" s="311"/>
      <c r="K307" s="537"/>
    </row>
    <row r="308">
      <c r="D308" s="310"/>
      <c r="E308" s="311"/>
      <c r="K308" s="537"/>
    </row>
    <row r="309">
      <c r="D309" s="310"/>
      <c r="E309" s="311"/>
      <c r="K309" s="537"/>
    </row>
    <row r="310">
      <c r="D310" s="310"/>
      <c r="E310" s="311"/>
      <c r="K310" s="537"/>
    </row>
    <row r="311">
      <c r="D311" s="310"/>
      <c r="E311" s="311"/>
      <c r="K311" s="537"/>
    </row>
    <row r="312">
      <c r="D312" s="310"/>
      <c r="E312" s="311"/>
      <c r="K312" s="537"/>
    </row>
    <row r="313">
      <c r="D313" s="310"/>
      <c r="E313" s="311"/>
      <c r="K313" s="537"/>
    </row>
    <row r="314">
      <c r="D314" s="310"/>
      <c r="E314" s="311"/>
      <c r="K314" s="537"/>
    </row>
    <row r="315">
      <c r="D315" s="310"/>
      <c r="E315" s="311"/>
      <c r="K315" s="537"/>
    </row>
    <row r="316">
      <c r="D316" s="310"/>
      <c r="E316" s="311"/>
      <c r="K316" s="537"/>
    </row>
    <row r="317">
      <c r="D317" s="310"/>
      <c r="E317" s="311"/>
      <c r="K317" s="537"/>
    </row>
    <row r="318">
      <c r="D318" s="310"/>
      <c r="E318" s="311"/>
      <c r="K318" s="537"/>
    </row>
    <row r="319">
      <c r="D319" s="310"/>
      <c r="E319" s="311"/>
      <c r="K319" s="537"/>
    </row>
    <row r="320">
      <c r="D320" s="310"/>
      <c r="E320" s="311"/>
      <c r="K320" s="537"/>
    </row>
    <row r="321">
      <c r="D321" s="310"/>
      <c r="E321" s="311"/>
      <c r="K321" s="537"/>
    </row>
    <row r="322">
      <c r="D322" s="310"/>
      <c r="E322" s="311"/>
      <c r="K322" s="537"/>
    </row>
    <row r="323">
      <c r="D323" s="310"/>
      <c r="E323" s="311"/>
      <c r="K323" s="537"/>
    </row>
    <row r="324">
      <c r="D324" s="310"/>
      <c r="E324" s="311"/>
      <c r="K324" s="537"/>
    </row>
    <row r="325">
      <c r="D325" s="310"/>
      <c r="E325" s="311"/>
      <c r="K325" s="537"/>
    </row>
    <row r="326">
      <c r="D326" s="310"/>
      <c r="E326" s="311"/>
      <c r="K326" s="537"/>
    </row>
    <row r="327">
      <c r="D327" s="310"/>
      <c r="E327" s="311"/>
      <c r="K327" s="537"/>
    </row>
    <row r="328">
      <c r="D328" s="310"/>
      <c r="E328" s="311"/>
      <c r="K328" s="537"/>
    </row>
    <row r="329">
      <c r="D329" s="310"/>
      <c r="E329" s="311"/>
      <c r="K329" s="537"/>
    </row>
    <row r="330">
      <c r="D330" s="310"/>
      <c r="E330" s="311"/>
      <c r="K330" s="537"/>
    </row>
    <row r="331">
      <c r="D331" s="310"/>
      <c r="E331" s="311"/>
      <c r="K331" s="537"/>
    </row>
    <row r="332">
      <c r="D332" s="310"/>
      <c r="E332" s="311"/>
      <c r="K332" s="537"/>
    </row>
    <row r="333">
      <c r="D333" s="310"/>
      <c r="E333" s="311"/>
      <c r="K333" s="537"/>
    </row>
    <row r="334">
      <c r="D334" s="310"/>
      <c r="E334" s="311"/>
      <c r="K334" s="537"/>
    </row>
    <row r="335">
      <c r="D335" s="310"/>
      <c r="E335" s="311"/>
      <c r="K335" s="537"/>
    </row>
    <row r="336">
      <c r="D336" s="310"/>
      <c r="E336" s="311"/>
      <c r="K336" s="537"/>
    </row>
    <row r="337">
      <c r="D337" s="310"/>
      <c r="E337" s="311"/>
      <c r="K337" s="537"/>
    </row>
    <row r="338">
      <c r="D338" s="310"/>
      <c r="E338" s="311"/>
      <c r="K338" s="537"/>
    </row>
    <row r="339">
      <c r="D339" s="310"/>
      <c r="E339" s="311"/>
      <c r="K339" s="537"/>
    </row>
    <row r="340">
      <c r="D340" s="310"/>
      <c r="E340" s="311"/>
      <c r="K340" s="537"/>
    </row>
    <row r="341">
      <c r="D341" s="310"/>
      <c r="E341" s="311"/>
      <c r="K341" s="537"/>
    </row>
    <row r="342">
      <c r="D342" s="310"/>
      <c r="E342" s="311"/>
      <c r="K342" s="537"/>
    </row>
    <row r="343">
      <c r="D343" s="310"/>
      <c r="E343" s="311"/>
      <c r="K343" s="537"/>
    </row>
    <row r="344">
      <c r="D344" s="310"/>
      <c r="E344" s="311"/>
      <c r="K344" s="537"/>
    </row>
    <row r="345">
      <c r="D345" s="310"/>
      <c r="E345" s="311"/>
      <c r="K345" s="537"/>
    </row>
    <row r="346">
      <c r="D346" s="310"/>
      <c r="E346" s="311"/>
      <c r="K346" s="537"/>
    </row>
    <row r="347">
      <c r="D347" s="310"/>
      <c r="E347" s="311"/>
      <c r="K347" s="537"/>
    </row>
    <row r="348">
      <c r="D348" s="310"/>
      <c r="E348" s="311"/>
      <c r="K348" s="537"/>
    </row>
    <row r="349">
      <c r="D349" s="310"/>
      <c r="E349" s="311"/>
      <c r="K349" s="537"/>
    </row>
    <row r="350">
      <c r="D350" s="310"/>
      <c r="E350" s="311"/>
      <c r="K350" s="537"/>
    </row>
    <row r="351">
      <c r="D351" s="310"/>
      <c r="E351" s="311"/>
      <c r="K351" s="537"/>
    </row>
    <row r="352">
      <c r="D352" s="310"/>
      <c r="E352" s="311"/>
      <c r="K352" s="537"/>
    </row>
    <row r="353">
      <c r="D353" s="310"/>
      <c r="E353" s="311"/>
      <c r="K353" s="537"/>
    </row>
    <row r="354">
      <c r="D354" s="310"/>
      <c r="E354" s="311"/>
      <c r="K354" s="537"/>
    </row>
    <row r="355">
      <c r="D355" s="310"/>
      <c r="E355" s="311"/>
      <c r="K355" s="537"/>
    </row>
    <row r="356">
      <c r="D356" s="310"/>
      <c r="E356" s="311"/>
      <c r="K356" s="537"/>
    </row>
    <row r="357">
      <c r="D357" s="310"/>
      <c r="E357" s="311"/>
      <c r="K357" s="537"/>
    </row>
    <row r="358">
      <c r="D358" s="310"/>
      <c r="E358" s="311"/>
      <c r="K358" s="537"/>
    </row>
    <row r="359">
      <c r="D359" s="310"/>
      <c r="E359" s="311"/>
      <c r="K359" s="537"/>
    </row>
    <row r="360">
      <c r="D360" s="310"/>
      <c r="E360" s="311"/>
      <c r="K360" s="537"/>
    </row>
    <row r="361">
      <c r="D361" s="310"/>
      <c r="E361" s="311"/>
      <c r="K361" s="537"/>
    </row>
    <row r="362">
      <c r="D362" s="310"/>
      <c r="E362" s="311"/>
      <c r="K362" s="537"/>
    </row>
    <row r="363">
      <c r="D363" s="310"/>
      <c r="E363" s="311"/>
      <c r="K363" s="537"/>
    </row>
    <row r="364">
      <c r="D364" s="310"/>
      <c r="E364" s="311"/>
      <c r="K364" s="537"/>
    </row>
    <row r="365">
      <c r="D365" s="310"/>
      <c r="E365" s="311"/>
      <c r="K365" s="537"/>
    </row>
    <row r="366">
      <c r="D366" s="310"/>
      <c r="E366" s="311"/>
      <c r="K366" s="537"/>
    </row>
    <row r="367">
      <c r="D367" s="310"/>
      <c r="E367" s="311"/>
      <c r="K367" s="537"/>
    </row>
    <row r="368">
      <c r="D368" s="310"/>
      <c r="E368" s="311"/>
      <c r="K368" s="537"/>
    </row>
    <row r="369">
      <c r="D369" s="310"/>
      <c r="E369" s="311"/>
      <c r="K369" s="537"/>
    </row>
    <row r="370">
      <c r="D370" s="310"/>
      <c r="E370" s="311"/>
      <c r="K370" s="537"/>
    </row>
    <row r="371">
      <c r="D371" s="310"/>
      <c r="E371" s="311"/>
      <c r="K371" s="537"/>
    </row>
    <row r="372">
      <c r="D372" s="310"/>
      <c r="E372" s="311"/>
      <c r="K372" s="537"/>
    </row>
    <row r="373">
      <c r="D373" s="310"/>
      <c r="E373" s="311"/>
      <c r="K373" s="537"/>
    </row>
    <row r="374">
      <c r="D374" s="310"/>
      <c r="E374" s="311"/>
      <c r="K374" s="537"/>
    </row>
    <row r="375">
      <c r="D375" s="310"/>
      <c r="E375" s="311"/>
      <c r="K375" s="537"/>
    </row>
    <row r="376">
      <c r="D376" s="310"/>
      <c r="E376" s="311"/>
      <c r="K376" s="537"/>
    </row>
    <row r="377">
      <c r="D377" s="310"/>
      <c r="E377" s="311"/>
      <c r="K377" s="537"/>
    </row>
    <row r="378">
      <c r="D378" s="310"/>
      <c r="E378" s="311"/>
      <c r="K378" s="537"/>
    </row>
    <row r="379">
      <c r="D379" s="310"/>
      <c r="E379" s="311"/>
      <c r="K379" s="537"/>
    </row>
    <row r="380">
      <c r="D380" s="310"/>
      <c r="E380" s="311"/>
      <c r="K380" s="537"/>
    </row>
    <row r="381">
      <c r="D381" s="310"/>
      <c r="E381" s="311"/>
      <c r="K381" s="537"/>
    </row>
    <row r="382">
      <c r="D382" s="310"/>
      <c r="E382" s="311"/>
      <c r="K382" s="537"/>
    </row>
    <row r="383">
      <c r="D383" s="310"/>
      <c r="E383" s="311"/>
      <c r="K383" s="537"/>
    </row>
    <row r="384">
      <c r="D384" s="310"/>
      <c r="E384" s="311"/>
      <c r="K384" s="537"/>
    </row>
    <row r="385">
      <c r="D385" s="310"/>
      <c r="E385" s="311"/>
      <c r="K385" s="537"/>
    </row>
    <row r="386">
      <c r="D386" s="310"/>
      <c r="E386" s="311"/>
      <c r="K386" s="537"/>
    </row>
    <row r="387">
      <c r="D387" s="310"/>
      <c r="E387" s="311"/>
      <c r="K387" s="537"/>
    </row>
    <row r="388">
      <c r="D388" s="310"/>
      <c r="E388" s="311"/>
      <c r="K388" s="537"/>
    </row>
    <row r="389">
      <c r="D389" s="310"/>
      <c r="E389" s="311"/>
      <c r="K389" s="537"/>
    </row>
    <row r="390">
      <c r="D390" s="310"/>
      <c r="E390" s="311"/>
      <c r="K390" s="537"/>
    </row>
    <row r="391">
      <c r="D391" s="310"/>
      <c r="E391" s="311"/>
      <c r="K391" s="537"/>
    </row>
    <row r="392">
      <c r="D392" s="310"/>
      <c r="E392" s="311"/>
      <c r="K392" s="537"/>
    </row>
    <row r="393">
      <c r="D393" s="310"/>
      <c r="E393" s="311"/>
      <c r="K393" s="537"/>
    </row>
    <row r="394">
      <c r="D394" s="310"/>
      <c r="E394" s="311"/>
      <c r="K394" s="537"/>
    </row>
    <row r="395">
      <c r="D395" s="310"/>
      <c r="E395" s="311"/>
      <c r="K395" s="537"/>
    </row>
    <row r="396">
      <c r="D396" s="310"/>
      <c r="E396" s="311"/>
      <c r="K396" s="537"/>
    </row>
    <row r="397">
      <c r="D397" s="310"/>
      <c r="E397" s="311"/>
      <c r="K397" s="537"/>
    </row>
    <row r="398">
      <c r="D398" s="310"/>
      <c r="E398" s="311"/>
      <c r="K398" s="537"/>
    </row>
    <row r="399">
      <c r="D399" s="310"/>
      <c r="E399" s="311"/>
      <c r="K399" s="537"/>
    </row>
    <row r="400">
      <c r="D400" s="310"/>
      <c r="E400" s="311"/>
      <c r="K400" s="537"/>
    </row>
    <row r="401">
      <c r="D401" s="310"/>
      <c r="E401" s="311"/>
      <c r="K401" s="537"/>
    </row>
    <row r="402">
      <c r="D402" s="310"/>
      <c r="E402" s="311"/>
      <c r="K402" s="537"/>
    </row>
    <row r="403">
      <c r="D403" s="310"/>
      <c r="E403" s="311"/>
      <c r="K403" s="537"/>
    </row>
    <row r="404">
      <c r="D404" s="310"/>
      <c r="E404" s="311"/>
      <c r="K404" s="537"/>
    </row>
    <row r="405">
      <c r="D405" s="310"/>
      <c r="E405" s="311"/>
      <c r="K405" s="537"/>
    </row>
    <row r="406">
      <c r="D406" s="310"/>
      <c r="E406" s="311"/>
      <c r="K406" s="537"/>
    </row>
    <row r="407">
      <c r="D407" s="310"/>
      <c r="E407" s="311"/>
      <c r="K407" s="537"/>
    </row>
    <row r="408">
      <c r="D408" s="310"/>
      <c r="E408" s="311"/>
      <c r="K408" s="537"/>
    </row>
    <row r="409">
      <c r="D409" s="310"/>
      <c r="E409" s="311"/>
      <c r="K409" s="537"/>
    </row>
    <row r="410">
      <c r="D410" s="310"/>
      <c r="E410" s="311"/>
      <c r="K410" s="537"/>
    </row>
    <row r="411">
      <c r="D411" s="310"/>
      <c r="E411" s="311"/>
      <c r="K411" s="537"/>
    </row>
    <row r="412">
      <c r="D412" s="310"/>
      <c r="E412" s="311"/>
      <c r="K412" s="537"/>
    </row>
    <row r="413">
      <c r="D413" s="310"/>
      <c r="E413" s="311"/>
      <c r="K413" s="537"/>
    </row>
    <row r="414">
      <c r="D414" s="310"/>
      <c r="E414" s="311"/>
      <c r="K414" s="537"/>
    </row>
    <row r="415">
      <c r="D415" s="310"/>
      <c r="E415" s="311"/>
      <c r="K415" s="537"/>
    </row>
    <row r="416">
      <c r="D416" s="310"/>
      <c r="E416" s="311"/>
      <c r="K416" s="537"/>
    </row>
    <row r="417">
      <c r="D417" s="310"/>
      <c r="E417" s="311"/>
      <c r="K417" s="537"/>
    </row>
    <row r="418">
      <c r="D418" s="310"/>
      <c r="E418" s="311"/>
      <c r="K418" s="537"/>
    </row>
    <row r="419">
      <c r="D419" s="310"/>
      <c r="E419" s="311"/>
      <c r="K419" s="537"/>
    </row>
    <row r="420">
      <c r="D420" s="310"/>
      <c r="E420" s="311"/>
      <c r="K420" s="537"/>
    </row>
    <row r="421">
      <c r="D421" s="310"/>
      <c r="E421" s="311"/>
      <c r="K421" s="537"/>
    </row>
    <row r="422">
      <c r="D422" s="310"/>
      <c r="E422" s="311"/>
      <c r="K422" s="537"/>
    </row>
    <row r="423">
      <c r="D423" s="310"/>
      <c r="E423" s="311"/>
      <c r="K423" s="537"/>
    </row>
    <row r="424">
      <c r="D424" s="310"/>
      <c r="E424" s="311"/>
      <c r="K424" s="537"/>
    </row>
    <row r="425">
      <c r="D425" s="310"/>
      <c r="E425" s="311"/>
      <c r="K425" s="537"/>
    </row>
    <row r="426">
      <c r="D426" s="310"/>
      <c r="E426" s="311"/>
      <c r="K426" s="537"/>
    </row>
    <row r="427">
      <c r="D427" s="310"/>
      <c r="E427" s="311"/>
      <c r="K427" s="537"/>
    </row>
    <row r="428">
      <c r="D428" s="310"/>
      <c r="E428" s="311"/>
      <c r="K428" s="537"/>
    </row>
    <row r="429">
      <c r="D429" s="310"/>
      <c r="E429" s="311"/>
      <c r="K429" s="537"/>
    </row>
    <row r="430">
      <c r="D430" s="310"/>
      <c r="E430" s="311"/>
      <c r="K430" s="537"/>
    </row>
    <row r="431">
      <c r="D431" s="310"/>
      <c r="E431" s="311"/>
      <c r="K431" s="537"/>
    </row>
    <row r="432">
      <c r="D432" s="310"/>
      <c r="E432" s="311"/>
      <c r="K432" s="537"/>
    </row>
    <row r="433">
      <c r="D433" s="310"/>
      <c r="E433" s="311"/>
      <c r="K433" s="537"/>
    </row>
    <row r="434">
      <c r="D434" s="310"/>
      <c r="E434" s="311"/>
      <c r="K434" s="537"/>
    </row>
    <row r="435">
      <c r="D435" s="310"/>
      <c r="E435" s="311"/>
      <c r="K435" s="537"/>
    </row>
    <row r="436">
      <c r="D436" s="310"/>
      <c r="E436" s="311"/>
      <c r="K436" s="537"/>
    </row>
    <row r="437">
      <c r="D437" s="310"/>
      <c r="E437" s="311"/>
      <c r="K437" s="537"/>
    </row>
    <row r="438">
      <c r="D438" s="310"/>
      <c r="E438" s="311"/>
      <c r="K438" s="537"/>
    </row>
    <row r="439">
      <c r="D439" s="310"/>
      <c r="E439" s="311"/>
      <c r="K439" s="537"/>
    </row>
    <row r="440">
      <c r="D440" s="310"/>
      <c r="E440" s="311"/>
      <c r="K440" s="537"/>
    </row>
    <row r="441">
      <c r="D441" s="310"/>
      <c r="E441" s="311"/>
      <c r="K441" s="537"/>
    </row>
    <row r="442">
      <c r="D442" s="310"/>
      <c r="E442" s="311"/>
      <c r="K442" s="537"/>
    </row>
    <row r="443">
      <c r="D443" s="310"/>
      <c r="E443" s="311"/>
      <c r="K443" s="537"/>
    </row>
    <row r="444">
      <c r="D444" s="310"/>
      <c r="E444" s="311"/>
      <c r="K444" s="537"/>
    </row>
    <row r="445">
      <c r="D445" s="310"/>
      <c r="E445" s="311"/>
      <c r="K445" s="537"/>
    </row>
    <row r="446">
      <c r="D446" s="310"/>
      <c r="E446" s="311"/>
      <c r="K446" s="537"/>
    </row>
    <row r="447">
      <c r="D447" s="310"/>
      <c r="E447" s="311"/>
      <c r="K447" s="537"/>
    </row>
    <row r="448">
      <c r="D448" s="310"/>
      <c r="E448" s="311"/>
      <c r="K448" s="537"/>
    </row>
    <row r="449">
      <c r="D449" s="310"/>
      <c r="E449" s="311"/>
      <c r="K449" s="537"/>
    </row>
    <row r="450">
      <c r="D450" s="310"/>
      <c r="E450" s="311"/>
      <c r="K450" s="537"/>
    </row>
    <row r="451">
      <c r="D451" s="310"/>
      <c r="E451" s="311"/>
      <c r="K451" s="537"/>
    </row>
    <row r="452">
      <c r="D452" s="310"/>
      <c r="E452" s="311"/>
      <c r="K452" s="537"/>
    </row>
    <row r="453">
      <c r="D453" s="310"/>
      <c r="E453" s="311"/>
      <c r="K453" s="537"/>
    </row>
    <row r="454">
      <c r="D454" s="310"/>
      <c r="E454" s="311"/>
      <c r="K454" s="537"/>
    </row>
    <row r="455">
      <c r="D455" s="310"/>
      <c r="E455" s="311"/>
      <c r="K455" s="537"/>
    </row>
    <row r="456">
      <c r="D456" s="310"/>
      <c r="E456" s="311"/>
      <c r="K456" s="537"/>
    </row>
    <row r="457">
      <c r="D457" s="310"/>
      <c r="E457" s="311"/>
      <c r="K457" s="537"/>
    </row>
    <row r="458">
      <c r="D458" s="310"/>
      <c r="E458" s="311"/>
      <c r="K458" s="537"/>
    </row>
    <row r="459">
      <c r="D459" s="310"/>
      <c r="E459" s="311"/>
      <c r="K459" s="537"/>
    </row>
    <row r="460">
      <c r="D460" s="310"/>
      <c r="E460" s="311"/>
      <c r="K460" s="537"/>
    </row>
    <row r="461">
      <c r="D461" s="310"/>
      <c r="E461" s="311"/>
      <c r="K461" s="537"/>
    </row>
    <row r="462">
      <c r="D462" s="310"/>
      <c r="E462" s="311"/>
      <c r="K462" s="537"/>
    </row>
    <row r="463">
      <c r="D463" s="310"/>
      <c r="E463" s="311"/>
      <c r="K463" s="537"/>
    </row>
    <row r="464">
      <c r="D464" s="310"/>
      <c r="E464" s="311"/>
      <c r="K464" s="537"/>
    </row>
    <row r="465">
      <c r="D465" s="310"/>
      <c r="E465" s="311"/>
      <c r="K465" s="537"/>
    </row>
    <row r="466">
      <c r="D466" s="310"/>
      <c r="E466" s="311"/>
      <c r="K466" s="537"/>
    </row>
    <row r="467">
      <c r="D467" s="310"/>
      <c r="E467" s="311"/>
      <c r="K467" s="537"/>
    </row>
    <row r="468">
      <c r="D468" s="310"/>
      <c r="E468" s="311"/>
      <c r="K468" s="537"/>
    </row>
    <row r="469">
      <c r="D469" s="310"/>
      <c r="E469" s="311"/>
      <c r="K469" s="537"/>
    </row>
    <row r="470">
      <c r="D470" s="310"/>
      <c r="E470" s="311"/>
      <c r="K470" s="537"/>
    </row>
    <row r="471">
      <c r="D471" s="310"/>
      <c r="E471" s="311"/>
      <c r="K471" s="537"/>
    </row>
    <row r="472">
      <c r="D472" s="310"/>
      <c r="E472" s="311"/>
      <c r="K472" s="537"/>
    </row>
    <row r="473">
      <c r="D473" s="310"/>
      <c r="E473" s="311"/>
      <c r="K473" s="537"/>
    </row>
    <row r="474">
      <c r="D474" s="310"/>
      <c r="E474" s="311"/>
      <c r="K474" s="537"/>
    </row>
    <row r="475">
      <c r="D475" s="310"/>
      <c r="E475" s="311"/>
      <c r="K475" s="537"/>
    </row>
    <row r="476">
      <c r="D476" s="310"/>
      <c r="E476" s="311"/>
      <c r="K476" s="537"/>
    </row>
    <row r="477">
      <c r="D477" s="310"/>
      <c r="E477" s="311"/>
      <c r="K477" s="537"/>
    </row>
    <row r="478">
      <c r="D478" s="310"/>
      <c r="E478" s="311"/>
      <c r="K478" s="537"/>
    </row>
    <row r="479">
      <c r="D479" s="310"/>
      <c r="E479" s="311"/>
      <c r="K479" s="537"/>
    </row>
    <row r="480">
      <c r="D480" s="310"/>
      <c r="E480" s="311"/>
      <c r="K480" s="537"/>
    </row>
    <row r="481">
      <c r="D481" s="310"/>
      <c r="E481" s="311"/>
      <c r="K481" s="537"/>
    </row>
    <row r="482">
      <c r="D482" s="310"/>
      <c r="E482" s="311"/>
      <c r="K482" s="537"/>
    </row>
    <row r="483">
      <c r="D483" s="310"/>
      <c r="E483" s="311"/>
      <c r="K483" s="537"/>
    </row>
    <row r="484">
      <c r="D484" s="310"/>
      <c r="E484" s="311"/>
      <c r="K484" s="537"/>
    </row>
    <row r="485">
      <c r="D485" s="310"/>
      <c r="E485" s="311"/>
      <c r="K485" s="537"/>
    </row>
    <row r="486">
      <c r="D486" s="310"/>
      <c r="E486" s="311"/>
      <c r="K486" s="537"/>
    </row>
    <row r="487">
      <c r="D487" s="310"/>
      <c r="E487" s="311"/>
      <c r="K487" s="537"/>
    </row>
    <row r="488">
      <c r="D488" s="310"/>
      <c r="E488" s="311"/>
      <c r="K488" s="537"/>
    </row>
    <row r="489">
      <c r="D489" s="310"/>
      <c r="E489" s="311"/>
      <c r="K489" s="537"/>
    </row>
    <row r="490">
      <c r="D490" s="310"/>
      <c r="E490" s="311"/>
      <c r="K490" s="537"/>
    </row>
    <row r="491">
      <c r="D491" s="310"/>
      <c r="E491" s="311"/>
      <c r="K491" s="537"/>
    </row>
    <row r="492">
      <c r="D492" s="310"/>
      <c r="E492" s="311"/>
      <c r="K492" s="537"/>
    </row>
    <row r="493">
      <c r="D493" s="310"/>
      <c r="E493" s="311"/>
      <c r="K493" s="537"/>
    </row>
    <row r="494">
      <c r="D494" s="310"/>
      <c r="E494" s="311"/>
      <c r="K494" s="537"/>
    </row>
    <row r="495">
      <c r="D495" s="310"/>
      <c r="E495" s="311"/>
      <c r="K495" s="537"/>
    </row>
    <row r="496">
      <c r="D496" s="310"/>
      <c r="E496" s="311"/>
      <c r="K496" s="537"/>
    </row>
    <row r="497">
      <c r="D497" s="310"/>
      <c r="E497" s="311"/>
      <c r="K497" s="537"/>
    </row>
    <row r="498">
      <c r="D498" s="310"/>
      <c r="E498" s="311"/>
      <c r="K498" s="537"/>
    </row>
    <row r="499">
      <c r="D499" s="310"/>
      <c r="E499" s="311"/>
      <c r="K499" s="537"/>
    </row>
    <row r="500">
      <c r="D500" s="310"/>
      <c r="E500" s="311"/>
      <c r="K500" s="537"/>
    </row>
    <row r="501">
      <c r="D501" s="310"/>
      <c r="E501" s="311"/>
      <c r="K501" s="537"/>
    </row>
    <row r="502">
      <c r="D502" s="310"/>
      <c r="E502" s="311"/>
      <c r="K502" s="537"/>
    </row>
    <row r="503">
      <c r="D503" s="310"/>
      <c r="E503" s="311"/>
      <c r="K503" s="537"/>
    </row>
    <row r="504">
      <c r="D504" s="310"/>
      <c r="E504" s="311"/>
      <c r="K504" s="537"/>
    </row>
    <row r="505">
      <c r="D505" s="310"/>
      <c r="E505" s="311"/>
      <c r="K505" s="537"/>
    </row>
    <row r="506">
      <c r="D506" s="310"/>
      <c r="E506" s="311"/>
      <c r="K506" s="537"/>
    </row>
    <row r="507">
      <c r="D507" s="310"/>
      <c r="E507" s="311"/>
      <c r="K507" s="537"/>
    </row>
    <row r="508">
      <c r="D508" s="310"/>
      <c r="E508" s="311"/>
      <c r="K508" s="537"/>
    </row>
    <row r="509">
      <c r="D509" s="310"/>
      <c r="E509" s="311"/>
      <c r="K509" s="537"/>
    </row>
    <row r="510">
      <c r="D510" s="310"/>
      <c r="E510" s="311"/>
      <c r="K510" s="537"/>
    </row>
    <row r="511">
      <c r="D511" s="310"/>
      <c r="E511" s="311"/>
      <c r="K511" s="537"/>
    </row>
    <row r="512">
      <c r="D512" s="310"/>
      <c r="E512" s="311"/>
      <c r="K512" s="537"/>
    </row>
    <row r="513">
      <c r="D513" s="310"/>
      <c r="E513" s="311"/>
      <c r="K513" s="537"/>
    </row>
    <row r="514">
      <c r="D514" s="310"/>
      <c r="E514" s="311"/>
      <c r="K514" s="537"/>
    </row>
    <row r="515">
      <c r="D515" s="310"/>
      <c r="E515" s="311"/>
      <c r="K515" s="537"/>
    </row>
    <row r="516">
      <c r="D516" s="310"/>
      <c r="E516" s="311"/>
      <c r="K516" s="537"/>
    </row>
    <row r="517">
      <c r="D517" s="310"/>
      <c r="E517" s="311"/>
      <c r="K517" s="537"/>
    </row>
    <row r="518">
      <c r="D518" s="310"/>
      <c r="E518" s="311"/>
      <c r="K518" s="537"/>
    </row>
    <row r="519">
      <c r="D519" s="310"/>
      <c r="E519" s="311"/>
      <c r="K519" s="537"/>
    </row>
    <row r="520">
      <c r="D520" s="310"/>
      <c r="E520" s="311"/>
      <c r="K520" s="537"/>
    </row>
    <row r="521">
      <c r="D521" s="310"/>
      <c r="E521" s="311"/>
      <c r="K521" s="537"/>
    </row>
    <row r="522">
      <c r="D522" s="310"/>
      <c r="E522" s="311"/>
      <c r="K522" s="537"/>
    </row>
    <row r="523">
      <c r="D523" s="310"/>
      <c r="E523" s="311"/>
      <c r="K523" s="537"/>
    </row>
    <row r="524">
      <c r="D524" s="310"/>
      <c r="E524" s="311"/>
      <c r="K524" s="537"/>
    </row>
    <row r="525">
      <c r="D525" s="310"/>
      <c r="E525" s="311"/>
      <c r="K525" s="537"/>
    </row>
    <row r="526">
      <c r="D526" s="310"/>
      <c r="E526" s="311"/>
      <c r="K526" s="537"/>
    </row>
    <row r="527">
      <c r="D527" s="310"/>
      <c r="E527" s="311"/>
      <c r="K527" s="537"/>
    </row>
    <row r="528">
      <c r="D528" s="310"/>
      <c r="E528" s="311"/>
      <c r="K528" s="537"/>
    </row>
    <row r="529">
      <c r="D529" s="310"/>
      <c r="E529" s="311"/>
      <c r="K529" s="537"/>
    </row>
    <row r="530">
      <c r="D530" s="310"/>
      <c r="E530" s="311"/>
      <c r="K530" s="537"/>
    </row>
    <row r="531">
      <c r="D531" s="310"/>
      <c r="E531" s="311"/>
      <c r="K531" s="537"/>
    </row>
    <row r="532">
      <c r="D532" s="310"/>
      <c r="E532" s="311"/>
      <c r="K532" s="537"/>
    </row>
    <row r="533">
      <c r="D533" s="310"/>
      <c r="E533" s="311"/>
      <c r="K533" s="537"/>
    </row>
    <row r="534">
      <c r="D534" s="310"/>
      <c r="E534" s="311"/>
      <c r="K534" s="537"/>
    </row>
    <row r="535">
      <c r="D535" s="310"/>
      <c r="E535" s="311"/>
      <c r="K535" s="537"/>
    </row>
    <row r="536">
      <c r="D536" s="310"/>
      <c r="E536" s="311"/>
      <c r="K536" s="537"/>
    </row>
    <row r="537">
      <c r="D537" s="310"/>
      <c r="E537" s="311"/>
      <c r="K537" s="537"/>
    </row>
    <row r="538">
      <c r="D538" s="310"/>
      <c r="E538" s="311"/>
      <c r="K538" s="537"/>
    </row>
    <row r="539">
      <c r="D539" s="310"/>
      <c r="E539" s="311"/>
      <c r="K539" s="537"/>
    </row>
    <row r="540">
      <c r="D540" s="310"/>
      <c r="E540" s="311"/>
      <c r="K540" s="537"/>
    </row>
    <row r="541">
      <c r="D541" s="310"/>
      <c r="E541" s="311"/>
      <c r="K541" s="537"/>
    </row>
    <row r="542">
      <c r="D542" s="310"/>
      <c r="E542" s="311"/>
      <c r="K542" s="537"/>
    </row>
    <row r="543">
      <c r="D543" s="310"/>
      <c r="E543" s="311"/>
      <c r="K543" s="537"/>
    </row>
    <row r="544">
      <c r="D544" s="310"/>
      <c r="E544" s="311"/>
      <c r="K544" s="537"/>
    </row>
    <row r="545">
      <c r="D545" s="310"/>
      <c r="E545" s="311"/>
      <c r="K545" s="537"/>
    </row>
    <row r="546">
      <c r="D546" s="310"/>
      <c r="E546" s="311"/>
      <c r="K546" s="537"/>
    </row>
    <row r="547">
      <c r="D547" s="310"/>
      <c r="E547" s="311"/>
      <c r="K547" s="537"/>
    </row>
    <row r="548">
      <c r="D548" s="310"/>
      <c r="E548" s="311"/>
      <c r="K548" s="537"/>
    </row>
    <row r="549">
      <c r="D549" s="310"/>
      <c r="E549" s="311"/>
      <c r="K549" s="537"/>
    </row>
    <row r="550">
      <c r="D550" s="310"/>
      <c r="E550" s="311"/>
      <c r="K550" s="537"/>
    </row>
    <row r="551">
      <c r="D551" s="310"/>
      <c r="E551" s="311"/>
      <c r="K551" s="537"/>
    </row>
    <row r="552">
      <c r="D552" s="310"/>
      <c r="E552" s="311"/>
      <c r="K552" s="537"/>
    </row>
    <row r="553">
      <c r="D553" s="310"/>
      <c r="E553" s="311"/>
      <c r="K553" s="537"/>
    </row>
    <row r="554">
      <c r="D554" s="310"/>
      <c r="E554" s="311"/>
      <c r="K554" s="537"/>
    </row>
    <row r="555">
      <c r="D555" s="310"/>
      <c r="E555" s="311"/>
      <c r="K555" s="537"/>
    </row>
    <row r="556">
      <c r="D556" s="310"/>
      <c r="E556" s="311"/>
      <c r="K556" s="537"/>
    </row>
    <row r="557">
      <c r="D557" s="310"/>
      <c r="E557" s="311"/>
      <c r="K557" s="537"/>
    </row>
    <row r="558">
      <c r="D558" s="310"/>
      <c r="E558" s="311"/>
      <c r="K558" s="537"/>
    </row>
    <row r="559">
      <c r="D559" s="310"/>
      <c r="E559" s="311"/>
      <c r="K559" s="537"/>
    </row>
    <row r="560">
      <c r="D560" s="310"/>
      <c r="E560" s="311"/>
      <c r="K560" s="537"/>
    </row>
    <row r="561">
      <c r="D561" s="310"/>
      <c r="E561" s="311"/>
      <c r="K561" s="537"/>
    </row>
    <row r="562">
      <c r="D562" s="310"/>
      <c r="E562" s="311"/>
      <c r="K562" s="537"/>
    </row>
    <row r="563">
      <c r="D563" s="310"/>
      <c r="E563" s="311"/>
      <c r="K563" s="537"/>
    </row>
    <row r="564">
      <c r="D564" s="310"/>
      <c r="E564" s="311"/>
      <c r="K564" s="537"/>
    </row>
    <row r="565">
      <c r="D565" s="310"/>
      <c r="E565" s="311"/>
      <c r="K565" s="537"/>
    </row>
    <row r="566">
      <c r="D566" s="310"/>
      <c r="E566" s="311"/>
      <c r="K566" s="537"/>
    </row>
    <row r="567">
      <c r="D567" s="310"/>
      <c r="E567" s="311"/>
      <c r="K567" s="537"/>
    </row>
    <row r="568">
      <c r="D568" s="310"/>
      <c r="E568" s="311"/>
      <c r="K568" s="537"/>
    </row>
    <row r="569">
      <c r="D569" s="310"/>
      <c r="E569" s="311"/>
      <c r="K569" s="537"/>
    </row>
    <row r="570">
      <c r="D570" s="310"/>
      <c r="E570" s="311"/>
      <c r="K570" s="537"/>
    </row>
    <row r="571">
      <c r="D571" s="310"/>
      <c r="E571" s="311"/>
      <c r="K571" s="537"/>
    </row>
    <row r="572">
      <c r="D572" s="310"/>
      <c r="E572" s="311"/>
      <c r="K572" s="537"/>
    </row>
    <row r="573">
      <c r="D573" s="310"/>
      <c r="E573" s="311"/>
      <c r="K573" s="537"/>
    </row>
    <row r="574">
      <c r="D574" s="310"/>
      <c r="E574" s="311"/>
      <c r="K574" s="537"/>
    </row>
    <row r="575">
      <c r="D575" s="310"/>
      <c r="E575" s="311"/>
      <c r="K575" s="537"/>
    </row>
    <row r="576">
      <c r="D576" s="310"/>
      <c r="E576" s="311"/>
      <c r="K576" s="537"/>
    </row>
    <row r="577">
      <c r="D577" s="310"/>
      <c r="E577" s="311"/>
      <c r="K577" s="537"/>
    </row>
    <row r="578">
      <c r="D578" s="310"/>
      <c r="E578" s="311"/>
      <c r="K578" s="537"/>
    </row>
    <row r="579">
      <c r="D579" s="310"/>
      <c r="E579" s="311"/>
      <c r="K579" s="537"/>
    </row>
    <row r="580">
      <c r="D580" s="310"/>
      <c r="E580" s="311"/>
      <c r="K580" s="537"/>
    </row>
    <row r="581">
      <c r="D581" s="310"/>
      <c r="E581" s="311"/>
      <c r="K581" s="537"/>
    </row>
    <row r="582">
      <c r="D582" s="310"/>
      <c r="E582" s="311"/>
      <c r="K582" s="537"/>
    </row>
    <row r="583">
      <c r="D583" s="310"/>
      <c r="E583" s="311"/>
      <c r="K583" s="537"/>
    </row>
    <row r="584">
      <c r="D584" s="310"/>
      <c r="E584" s="311"/>
      <c r="K584" s="537"/>
    </row>
    <row r="585">
      <c r="D585" s="310"/>
      <c r="E585" s="311"/>
      <c r="K585" s="537"/>
    </row>
    <row r="586">
      <c r="D586" s="310"/>
      <c r="E586" s="311"/>
      <c r="K586" s="537"/>
    </row>
    <row r="587">
      <c r="D587" s="310"/>
      <c r="E587" s="311"/>
      <c r="K587" s="537"/>
    </row>
    <row r="588">
      <c r="D588" s="310"/>
      <c r="E588" s="311"/>
      <c r="K588" s="537"/>
    </row>
    <row r="589">
      <c r="D589" s="310"/>
      <c r="E589" s="311"/>
      <c r="K589" s="537"/>
    </row>
    <row r="590">
      <c r="D590" s="310"/>
      <c r="E590" s="311"/>
      <c r="K590" s="537"/>
    </row>
    <row r="591">
      <c r="D591" s="310"/>
      <c r="E591" s="311"/>
      <c r="K591" s="537"/>
    </row>
    <row r="592">
      <c r="D592" s="310"/>
      <c r="E592" s="311"/>
      <c r="K592" s="537"/>
    </row>
    <row r="593">
      <c r="D593" s="310"/>
      <c r="E593" s="311"/>
      <c r="K593" s="537"/>
    </row>
    <row r="594">
      <c r="D594" s="310"/>
      <c r="E594" s="311"/>
      <c r="K594" s="537"/>
    </row>
    <row r="595">
      <c r="D595" s="310"/>
      <c r="E595" s="311"/>
      <c r="K595" s="537"/>
    </row>
    <row r="596">
      <c r="D596" s="310"/>
      <c r="E596" s="311"/>
      <c r="K596" s="537"/>
    </row>
    <row r="597">
      <c r="D597" s="310"/>
      <c r="E597" s="311"/>
      <c r="K597" s="537"/>
    </row>
    <row r="598">
      <c r="D598" s="310"/>
      <c r="E598" s="311"/>
      <c r="K598" s="537"/>
    </row>
    <row r="599">
      <c r="D599" s="310"/>
      <c r="E599" s="311"/>
      <c r="K599" s="537"/>
    </row>
    <row r="600">
      <c r="D600" s="310"/>
      <c r="E600" s="311"/>
      <c r="K600" s="537"/>
    </row>
    <row r="601">
      <c r="D601" s="310"/>
      <c r="E601" s="311"/>
      <c r="K601" s="537"/>
    </row>
    <row r="602">
      <c r="D602" s="310"/>
      <c r="E602" s="311"/>
      <c r="K602" s="537"/>
    </row>
    <row r="603">
      <c r="D603" s="310"/>
      <c r="E603" s="311"/>
      <c r="K603" s="537"/>
    </row>
    <row r="604">
      <c r="D604" s="310"/>
      <c r="E604" s="311"/>
      <c r="K604" s="537"/>
    </row>
    <row r="605">
      <c r="D605" s="310"/>
      <c r="E605" s="311"/>
      <c r="K605" s="537"/>
    </row>
    <row r="606">
      <c r="D606" s="310"/>
      <c r="E606" s="311"/>
      <c r="K606" s="537"/>
    </row>
    <row r="607">
      <c r="D607" s="310"/>
      <c r="E607" s="311"/>
      <c r="K607" s="537"/>
    </row>
    <row r="608">
      <c r="D608" s="310"/>
      <c r="E608" s="311"/>
      <c r="K608" s="537"/>
    </row>
    <row r="609">
      <c r="D609" s="310"/>
      <c r="E609" s="311"/>
      <c r="K609" s="537"/>
    </row>
    <row r="610">
      <c r="D610" s="310"/>
      <c r="E610" s="311"/>
      <c r="K610" s="537"/>
    </row>
    <row r="611">
      <c r="D611" s="310"/>
      <c r="E611" s="311"/>
      <c r="K611" s="537"/>
    </row>
    <row r="612">
      <c r="D612" s="310"/>
      <c r="E612" s="311"/>
      <c r="K612" s="537"/>
    </row>
    <row r="613">
      <c r="D613" s="310"/>
      <c r="E613" s="311"/>
      <c r="K613" s="537"/>
    </row>
    <row r="614">
      <c r="D614" s="310"/>
      <c r="E614" s="311"/>
      <c r="K614" s="537"/>
    </row>
    <row r="615">
      <c r="D615" s="310"/>
      <c r="E615" s="311"/>
      <c r="K615" s="537"/>
    </row>
    <row r="616">
      <c r="D616" s="310"/>
      <c r="E616" s="311"/>
      <c r="K616" s="537"/>
    </row>
    <row r="617">
      <c r="D617" s="310"/>
      <c r="E617" s="311"/>
      <c r="K617" s="537"/>
    </row>
    <row r="618">
      <c r="D618" s="310"/>
      <c r="E618" s="311"/>
      <c r="K618" s="537"/>
    </row>
    <row r="619">
      <c r="D619" s="310"/>
      <c r="E619" s="311"/>
      <c r="K619" s="537"/>
    </row>
    <row r="620">
      <c r="D620" s="310"/>
      <c r="E620" s="311"/>
      <c r="K620" s="537"/>
    </row>
    <row r="621">
      <c r="D621" s="310"/>
      <c r="E621" s="311"/>
      <c r="K621" s="537"/>
    </row>
    <row r="622">
      <c r="D622" s="310"/>
      <c r="E622" s="311"/>
      <c r="K622" s="537"/>
    </row>
    <row r="623">
      <c r="D623" s="310"/>
      <c r="E623" s="311"/>
      <c r="K623" s="537"/>
    </row>
    <row r="624">
      <c r="D624" s="310"/>
      <c r="E624" s="311"/>
      <c r="K624" s="537"/>
    </row>
    <row r="625">
      <c r="D625" s="310"/>
      <c r="E625" s="311"/>
      <c r="K625" s="537"/>
    </row>
    <row r="626">
      <c r="D626" s="310"/>
      <c r="E626" s="311"/>
      <c r="K626" s="537"/>
    </row>
    <row r="627">
      <c r="D627" s="310"/>
      <c r="E627" s="311"/>
      <c r="K627" s="537"/>
    </row>
    <row r="628">
      <c r="D628" s="310"/>
      <c r="E628" s="311"/>
      <c r="K628" s="537"/>
    </row>
    <row r="629">
      <c r="D629" s="310"/>
      <c r="E629" s="311"/>
      <c r="K629" s="537"/>
    </row>
    <row r="630">
      <c r="D630" s="310"/>
      <c r="E630" s="311"/>
      <c r="K630" s="537"/>
    </row>
    <row r="631">
      <c r="D631" s="310"/>
      <c r="E631" s="311"/>
      <c r="K631" s="537"/>
    </row>
    <row r="632">
      <c r="D632" s="310"/>
      <c r="E632" s="311"/>
      <c r="K632" s="537"/>
    </row>
    <row r="633">
      <c r="D633" s="310"/>
      <c r="E633" s="311"/>
      <c r="K633" s="537"/>
    </row>
    <row r="634">
      <c r="D634" s="310"/>
      <c r="E634" s="311"/>
      <c r="K634" s="537"/>
    </row>
    <row r="635">
      <c r="D635" s="310"/>
      <c r="E635" s="311"/>
      <c r="K635" s="537"/>
    </row>
    <row r="636">
      <c r="D636" s="310"/>
      <c r="E636" s="311"/>
      <c r="K636" s="537"/>
    </row>
    <row r="637">
      <c r="D637" s="310"/>
      <c r="E637" s="311"/>
      <c r="K637" s="537"/>
    </row>
    <row r="638">
      <c r="D638" s="310"/>
      <c r="E638" s="311"/>
      <c r="K638" s="537"/>
    </row>
    <row r="639">
      <c r="D639" s="310"/>
      <c r="E639" s="311"/>
      <c r="K639" s="537"/>
    </row>
    <row r="640">
      <c r="D640" s="310"/>
      <c r="E640" s="311"/>
      <c r="K640" s="537"/>
    </row>
    <row r="641">
      <c r="D641" s="310"/>
      <c r="E641" s="311"/>
      <c r="K641" s="537"/>
    </row>
    <row r="642">
      <c r="D642" s="310"/>
      <c r="E642" s="311"/>
      <c r="K642" s="537"/>
    </row>
    <row r="643">
      <c r="D643" s="310"/>
      <c r="E643" s="311"/>
      <c r="K643" s="537"/>
    </row>
    <row r="644">
      <c r="D644" s="310"/>
      <c r="E644" s="311"/>
      <c r="K644" s="537"/>
    </row>
    <row r="645">
      <c r="D645" s="310"/>
      <c r="E645" s="311"/>
      <c r="K645" s="537"/>
    </row>
    <row r="646">
      <c r="D646" s="310"/>
      <c r="E646" s="311"/>
      <c r="K646" s="537"/>
    </row>
    <row r="647">
      <c r="D647" s="310"/>
      <c r="E647" s="311"/>
      <c r="K647" s="537"/>
    </row>
    <row r="648">
      <c r="D648" s="310"/>
      <c r="E648" s="311"/>
      <c r="K648" s="537"/>
    </row>
    <row r="649">
      <c r="D649" s="310"/>
      <c r="E649" s="311"/>
      <c r="K649" s="537"/>
    </row>
    <row r="650">
      <c r="D650" s="310"/>
      <c r="E650" s="311"/>
      <c r="K650" s="537"/>
    </row>
    <row r="651">
      <c r="D651" s="310"/>
      <c r="E651" s="311"/>
      <c r="K651" s="537"/>
    </row>
    <row r="652">
      <c r="D652" s="310"/>
      <c r="E652" s="311"/>
      <c r="K652" s="537"/>
    </row>
    <row r="653">
      <c r="D653" s="310"/>
      <c r="E653" s="311"/>
      <c r="K653" s="537"/>
    </row>
    <row r="654">
      <c r="D654" s="310"/>
      <c r="E654" s="311"/>
      <c r="K654" s="537"/>
    </row>
    <row r="655">
      <c r="D655" s="310"/>
      <c r="E655" s="311"/>
      <c r="K655" s="537"/>
    </row>
    <row r="656">
      <c r="D656" s="310"/>
      <c r="E656" s="311"/>
      <c r="K656" s="537"/>
    </row>
    <row r="657">
      <c r="D657" s="310"/>
      <c r="E657" s="311"/>
      <c r="K657" s="537"/>
    </row>
    <row r="658">
      <c r="D658" s="310"/>
      <c r="E658" s="311"/>
      <c r="K658" s="537"/>
    </row>
    <row r="659">
      <c r="D659" s="310"/>
      <c r="E659" s="311"/>
      <c r="K659" s="537"/>
    </row>
    <row r="660">
      <c r="D660" s="310"/>
      <c r="E660" s="311"/>
      <c r="K660" s="537"/>
    </row>
    <row r="661">
      <c r="D661" s="310"/>
      <c r="E661" s="311"/>
      <c r="K661" s="537"/>
    </row>
    <row r="662">
      <c r="D662" s="310"/>
      <c r="E662" s="311"/>
      <c r="K662" s="537"/>
    </row>
    <row r="663">
      <c r="D663" s="310"/>
      <c r="E663" s="311"/>
      <c r="K663" s="537"/>
    </row>
    <row r="664">
      <c r="D664" s="310"/>
      <c r="E664" s="311"/>
      <c r="K664" s="537"/>
    </row>
    <row r="665">
      <c r="D665" s="310"/>
      <c r="E665" s="311"/>
      <c r="K665" s="537"/>
    </row>
    <row r="666">
      <c r="D666" s="310"/>
      <c r="E666" s="311"/>
      <c r="K666" s="537"/>
    </row>
    <row r="667">
      <c r="D667" s="310"/>
      <c r="E667" s="311"/>
      <c r="K667" s="537"/>
    </row>
    <row r="668">
      <c r="D668" s="310"/>
      <c r="E668" s="311"/>
      <c r="K668" s="537"/>
    </row>
    <row r="669">
      <c r="D669" s="310"/>
      <c r="E669" s="311"/>
      <c r="K669" s="537"/>
    </row>
    <row r="670">
      <c r="D670" s="310"/>
      <c r="E670" s="311"/>
      <c r="K670" s="537"/>
    </row>
    <row r="671">
      <c r="D671" s="310"/>
      <c r="E671" s="311"/>
      <c r="K671" s="537"/>
    </row>
    <row r="672">
      <c r="D672" s="310"/>
      <c r="E672" s="311"/>
      <c r="K672" s="537"/>
    </row>
    <row r="673">
      <c r="D673" s="310"/>
      <c r="E673" s="311"/>
      <c r="K673" s="537"/>
    </row>
    <row r="674">
      <c r="D674" s="310"/>
      <c r="E674" s="311"/>
      <c r="K674" s="537"/>
    </row>
    <row r="675">
      <c r="D675" s="310"/>
      <c r="E675" s="311"/>
      <c r="K675" s="537"/>
    </row>
    <row r="676">
      <c r="D676" s="310"/>
      <c r="E676" s="311"/>
      <c r="K676" s="537"/>
    </row>
    <row r="677">
      <c r="D677" s="310"/>
      <c r="E677" s="311"/>
      <c r="K677" s="537"/>
    </row>
    <row r="678">
      <c r="D678" s="310"/>
      <c r="E678" s="311"/>
      <c r="K678" s="537"/>
    </row>
    <row r="679">
      <c r="D679" s="310"/>
      <c r="E679" s="311"/>
      <c r="K679" s="537"/>
    </row>
    <row r="680">
      <c r="D680" s="310"/>
      <c r="E680" s="311"/>
      <c r="K680" s="537"/>
    </row>
    <row r="681">
      <c r="D681" s="310"/>
      <c r="E681" s="311"/>
      <c r="K681" s="537"/>
    </row>
    <row r="682">
      <c r="D682" s="310"/>
      <c r="E682" s="311"/>
      <c r="K682" s="537"/>
    </row>
    <row r="683">
      <c r="D683" s="310"/>
      <c r="E683" s="311"/>
      <c r="K683" s="537"/>
    </row>
    <row r="684">
      <c r="D684" s="310"/>
      <c r="E684" s="311"/>
      <c r="K684" s="537"/>
    </row>
    <row r="685">
      <c r="D685" s="310"/>
      <c r="E685" s="311"/>
      <c r="K685" s="537"/>
    </row>
    <row r="686">
      <c r="D686" s="310"/>
      <c r="E686" s="311"/>
      <c r="K686" s="537"/>
    </row>
    <row r="687">
      <c r="D687" s="310"/>
      <c r="E687" s="311"/>
      <c r="K687" s="537"/>
    </row>
    <row r="688">
      <c r="D688" s="310"/>
      <c r="E688" s="311"/>
      <c r="K688" s="537"/>
    </row>
    <row r="689">
      <c r="D689" s="310"/>
      <c r="E689" s="311"/>
      <c r="K689" s="537"/>
    </row>
    <row r="690">
      <c r="D690" s="310"/>
      <c r="E690" s="311"/>
      <c r="K690" s="537"/>
    </row>
    <row r="691">
      <c r="D691" s="310"/>
      <c r="E691" s="311"/>
      <c r="K691" s="537"/>
    </row>
    <row r="692">
      <c r="D692" s="310"/>
      <c r="E692" s="311"/>
      <c r="K692" s="537"/>
    </row>
    <row r="693">
      <c r="D693" s="310"/>
      <c r="E693" s="311"/>
      <c r="K693" s="537"/>
    </row>
    <row r="694">
      <c r="D694" s="310"/>
      <c r="E694" s="311"/>
      <c r="K694" s="537"/>
    </row>
    <row r="695">
      <c r="D695" s="310"/>
      <c r="E695" s="311"/>
      <c r="K695" s="537"/>
    </row>
    <row r="696">
      <c r="D696" s="310"/>
      <c r="E696" s="311"/>
      <c r="K696" s="537"/>
    </row>
    <row r="697">
      <c r="D697" s="310"/>
      <c r="E697" s="311"/>
      <c r="K697" s="537"/>
    </row>
    <row r="698">
      <c r="D698" s="310"/>
      <c r="E698" s="311"/>
      <c r="K698" s="537"/>
    </row>
    <row r="699">
      <c r="D699" s="310"/>
      <c r="E699" s="311"/>
      <c r="K699" s="537"/>
    </row>
    <row r="700">
      <c r="D700" s="310"/>
      <c r="E700" s="311"/>
      <c r="K700" s="537"/>
    </row>
    <row r="701">
      <c r="D701" s="310"/>
      <c r="E701" s="311"/>
      <c r="K701" s="537"/>
    </row>
    <row r="702">
      <c r="D702" s="310"/>
      <c r="E702" s="311"/>
      <c r="K702" s="537"/>
    </row>
    <row r="703">
      <c r="D703" s="310"/>
      <c r="E703" s="311"/>
      <c r="K703" s="537"/>
    </row>
    <row r="704">
      <c r="D704" s="310"/>
      <c r="E704" s="311"/>
      <c r="K704" s="537"/>
    </row>
    <row r="705">
      <c r="D705" s="310"/>
      <c r="E705" s="311"/>
      <c r="K705" s="537"/>
    </row>
    <row r="706">
      <c r="D706" s="310"/>
      <c r="E706" s="311"/>
      <c r="K706" s="537"/>
    </row>
    <row r="707">
      <c r="D707" s="310"/>
      <c r="E707" s="311"/>
      <c r="K707" s="537"/>
    </row>
    <row r="708">
      <c r="D708" s="310"/>
      <c r="E708" s="311"/>
      <c r="K708" s="537"/>
    </row>
    <row r="709">
      <c r="D709" s="310"/>
      <c r="E709" s="311"/>
      <c r="K709" s="537"/>
    </row>
    <row r="710">
      <c r="D710" s="310"/>
      <c r="E710" s="311"/>
      <c r="K710" s="537"/>
    </row>
    <row r="711">
      <c r="D711" s="310"/>
      <c r="E711" s="311"/>
      <c r="K711" s="537"/>
    </row>
    <row r="712">
      <c r="D712" s="310"/>
      <c r="E712" s="311"/>
      <c r="K712" s="537"/>
    </row>
    <row r="713">
      <c r="D713" s="310"/>
      <c r="E713" s="311"/>
      <c r="K713" s="537"/>
    </row>
    <row r="714">
      <c r="D714" s="310"/>
      <c r="E714" s="311"/>
      <c r="K714" s="537"/>
    </row>
    <row r="715">
      <c r="D715" s="310"/>
      <c r="E715" s="311"/>
      <c r="K715" s="537"/>
    </row>
    <row r="716">
      <c r="D716" s="310"/>
      <c r="E716" s="311"/>
      <c r="K716" s="537"/>
    </row>
    <row r="717">
      <c r="D717" s="310"/>
      <c r="E717" s="311"/>
      <c r="K717" s="537"/>
    </row>
    <row r="718">
      <c r="D718" s="310"/>
      <c r="E718" s="311"/>
      <c r="K718" s="537"/>
    </row>
    <row r="719">
      <c r="D719" s="310"/>
      <c r="E719" s="311"/>
      <c r="K719" s="537"/>
    </row>
    <row r="720">
      <c r="D720" s="310"/>
      <c r="E720" s="311"/>
      <c r="K720" s="537"/>
    </row>
    <row r="721">
      <c r="D721" s="310"/>
      <c r="E721" s="311"/>
      <c r="K721" s="537"/>
    </row>
    <row r="722">
      <c r="D722" s="310"/>
      <c r="E722" s="311"/>
      <c r="K722" s="537"/>
    </row>
    <row r="723">
      <c r="D723" s="310"/>
      <c r="E723" s="311"/>
      <c r="K723" s="537"/>
    </row>
    <row r="724">
      <c r="D724" s="310"/>
      <c r="E724" s="311"/>
      <c r="K724" s="537"/>
    </row>
    <row r="725">
      <c r="D725" s="310"/>
      <c r="E725" s="311"/>
      <c r="K725" s="537"/>
    </row>
    <row r="726">
      <c r="D726" s="310"/>
      <c r="E726" s="311"/>
      <c r="K726" s="537"/>
    </row>
    <row r="727">
      <c r="D727" s="310"/>
      <c r="E727" s="311"/>
      <c r="K727" s="537"/>
    </row>
    <row r="728">
      <c r="D728" s="310"/>
      <c r="E728" s="311"/>
      <c r="K728" s="537"/>
    </row>
    <row r="729">
      <c r="D729" s="310"/>
      <c r="E729" s="311"/>
      <c r="K729" s="537"/>
    </row>
    <row r="730">
      <c r="D730" s="310"/>
      <c r="E730" s="311"/>
      <c r="K730" s="537"/>
    </row>
    <row r="731">
      <c r="D731" s="310"/>
      <c r="E731" s="311"/>
      <c r="K731" s="537"/>
    </row>
    <row r="732">
      <c r="D732" s="310"/>
      <c r="E732" s="311"/>
      <c r="K732" s="537"/>
    </row>
    <row r="733">
      <c r="D733" s="310"/>
      <c r="E733" s="311"/>
      <c r="K733" s="537"/>
    </row>
    <row r="734">
      <c r="D734" s="310"/>
      <c r="E734" s="311"/>
      <c r="K734" s="537"/>
    </row>
    <row r="735">
      <c r="D735" s="310"/>
      <c r="E735" s="311"/>
      <c r="K735" s="537"/>
    </row>
    <row r="736">
      <c r="D736" s="310"/>
      <c r="E736" s="311"/>
      <c r="K736" s="537"/>
    </row>
    <row r="737">
      <c r="D737" s="310"/>
      <c r="E737" s="311"/>
      <c r="K737" s="537"/>
    </row>
    <row r="738">
      <c r="D738" s="310"/>
      <c r="E738" s="311"/>
      <c r="K738" s="537"/>
    </row>
    <row r="739">
      <c r="D739" s="310"/>
      <c r="E739" s="311"/>
      <c r="K739" s="537"/>
    </row>
    <row r="740">
      <c r="D740" s="310"/>
      <c r="E740" s="311"/>
      <c r="K740" s="537"/>
    </row>
    <row r="741">
      <c r="D741" s="310"/>
      <c r="E741" s="311"/>
      <c r="K741" s="537"/>
    </row>
    <row r="742">
      <c r="D742" s="310"/>
      <c r="E742" s="311"/>
      <c r="K742" s="537"/>
    </row>
    <row r="743">
      <c r="D743" s="310"/>
      <c r="E743" s="311"/>
      <c r="K743" s="537"/>
    </row>
    <row r="744">
      <c r="D744" s="310"/>
      <c r="E744" s="311"/>
      <c r="K744" s="537"/>
    </row>
    <row r="745">
      <c r="D745" s="310"/>
      <c r="E745" s="311"/>
      <c r="K745" s="537"/>
    </row>
    <row r="746">
      <c r="D746" s="310"/>
      <c r="E746" s="311"/>
      <c r="K746" s="537"/>
    </row>
    <row r="747">
      <c r="D747" s="310"/>
      <c r="E747" s="311"/>
      <c r="K747" s="537"/>
    </row>
    <row r="748">
      <c r="D748" s="310"/>
      <c r="E748" s="311"/>
      <c r="K748" s="537"/>
    </row>
    <row r="749">
      <c r="D749" s="310"/>
      <c r="E749" s="311"/>
      <c r="K749" s="537"/>
    </row>
    <row r="750">
      <c r="D750" s="310"/>
      <c r="E750" s="311"/>
      <c r="K750" s="537"/>
    </row>
    <row r="751">
      <c r="D751" s="310"/>
      <c r="E751" s="311"/>
      <c r="K751" s="537"/>
    </row>
    <row r="752">
      <c r="D752" s="310"/>
      <c r="E752" s="311"/>
      <c r="K752" s="537"/>
    </row>
    <row r="753">
      <c r="D753" s="310"/>
      <c r="E753" s="311"/>
      <c r="K753" s="537"/>
    </row>
    <row r="754">
      <c r="D754" s="310"/>
      <c r="E754" s="311"/>
      <c r="K754" s="537"/>
    </row>
    <row r="755">
      <c r="D755" s="310"/>
      <c r="E755" s="311"/>
      <c r="K755" s="537"/>
    </row>
    <row r="756">
      <c r="D756" s="310"/>
      <c r="E756" s="311"/>
      <c r="K756" s="537"/>
    </row>
    <row r="757">
      <c r="D757" s="310"/>
      <c r="E757" s="311"/>
      <c r="K757" s="537"/>
    </row>
    <row r="758">
      <c r="D758" s="310"/>
      <c r="E758" s="311"/>
      <c r="K758" s="537"/>
    </row>
    <row r="759">
      <c r="D759" s="310"/>
      <c r="E759" s="311"/>
      <c r="K759" s="537"/>
    </row>
    <row r="760">
      <c r="D760" s="310"/>
      <c r="E760" s="311"/>
      <c r="K760" s="537"/>
    </row>
    <row r="761">
      <c r="D761" s="310"/>
      <c r="E761" s="311"/>
      <c r="K761" s="537"/>
    </row>
    <row r="762">
      <c r="D762" s="310"/>
      <c r="E762" s="311"/>
      <c r="K762" s="537"/>
    </row>
    <row r="763">
      <c r="D763" s="310"/>
      <c r="E763" s="311"/>
      <c r="K763" s="537"/>
    </row>
    <row r="764">
      <c r="D764" s="310"/>
      <c r="E764" s="311"/>
      <c r="K764" s="537"/>
    </row>
    <row r="765">
      <c r="D765" s="310"/>
      <c r="E765" s="311"/>
      <c r="K765" s="537"/>
    </row>
    <row r="766">
      <c r="D766" s="310"/>
      <c r="E766" s="311"/>
      <c r="K766" s="537"/>
    </row>
    <row r="767">
      <c r="D767" s="310"/>
      <c r="E767" s="311"/>
      <c r="K767" s="537"/>
    </row>
    <row r="768">
      <c r="D768" s="310"/>
      <c r="E768" s="311"/>
      <c r="K768" s="537"/>
    </row>
    <row r="769">
      <c r="D769" s="310"/>
      <c r="E769" s="311"/>
      <c r="K769" s="537"/>
    </row>
    <row r="770">
      <c r="D770" s="310"/>
      <c r="E770" s="311"/>
      <c r="K770" s="537"/>
    </row>
    <row r="771">
      <c r="D771" s="310"/>
      <c r="E771" s="311"/>
      <c r="K771" s="537"/>
    </row>
    <row r="772">
      <c r="D772" s="310"/>
      <c r="E772" s="311"/>
      <c r="K772" s="537"/>
    </row>
    <row r="773">
      <c r="D773" s="310"/>
      <c r="E773" s="311"/>
      <c r="K773" s="537"/>
    </row>
    <row r="774">
      <c r="D774" s="310"/>
      <c r="E774" s="311"/>
      <c r="K774" s="537"/>
    </row>
    <row r="775">
      <c r="D775" s="310"/>
      <c r="E775" s="311"/>
      <c r="K775" s="537"/>
    </row>
    <row r="776">
      <c r="D776" s="310"/>
      <c r="E776" s="311"/>
      <c r="K776" s="537"/>
    </row>
    <row r="777">
      <c r="D777" s="310"/>
      <c r="E777" s="311"/>
      <c r="K777" s="537"/>
    </row>
    <row r="778">
      <c r="D778" s="310"/>
      <c r="E778" s="311"/>
      <c r="K778" s="537"/>
    </row>
    <row r="779">
      <c r="D779" s="310"/>
      <c r="E779" s="311"/>
      <c r="K779" s="537"/>
    </row>
    <row r="780">
      <c r="D780" s="310"/>
      <c r="E780" s="311"/>
      <c r="K780" s="537"/>
    </row>
    <row r="781">
      <c r="D781" s="310"/>
      <c r="E781" s="311"/>
      <c r="K781" s="537"/>
    </row>
    <row r="782">
      <c r="D782" s="310"/>
      <c r="E782" s="311"/>
      <c r="K782" s="537"/>
    </row>
    <row r="783">
      <c r="D783" s="310"/>
      <c r="E783" s="311"/>
      <c r="K783" s="537"/>
    </row>
    <row r="784">
      <c r="D784" s="310"/>
      <c r="E784" s="311"/>
      <c r="K784" s="537"/>
    </row>
    <row r="785">
      <c r="D785" s="310"/>
      <c r="E785" s="311"/>
      <c r="K785" s="537"/>
    </row>
    <row r="786">
      <c r="D786" s="310"/>
      <c r="E786" s="311"/>
      <c r="K786" s="537"/>
    </row>
    <row r="787">
      <c r="D787" s="310"/>
      <c r="E787" s="311"/>
      <c r="K787" s="537"/>
    </row>
    <row r="788">
      <c r="D788" s="310"/>
      <c r="E788" s="311"/>
      <c r="K788" s="537"/>
    </row>
    <row r="789">
      <c r="D789" s="310"/>
      <c r="E789" s="311"/>
      <c r="K789" s="537"/>
    </row>
    <row r="790">
      <c r="D790" s="310"/>
      <c r="E790" s="311"/>
      <c r="K790" s="537"/>
    </row>
    <row r="791">
      <c r="D791" s="310"/>
      <c r="E791" s="311"/>
      <c r="K791" s="537"/>
    </row>
    <row r="792">
      <c r="D792" s="310"/>
      <c r="E792" s="311"/>
      <c r="K792" s="537"/>
    </row>
    <row r="793">
      <c r="D793" s="310"/>
      <c r="E793" s="311"/>
      <c r="K793" s="537"/>
    </row>
    <row r="794">
      <c r="D794" s="310"/>
      <c r="E794" s="311"/>
      <c r="K794" s="537"/>
    </row>
    <row r="795">
      <c r="D795" s="310"/>
      <c r="E795" s="311"/>
      <c r="K795" s="537"/>
    </row>
    <row r="796">
      <c r="D796" s="310"/>
      <c r="E796" s="311"/>
      <c r="K796" s="537"/>
    </row>
    <row r="797">
      <c r="D797" s="310"/>
      <c r="E797" s="311"/>
      <c r="K797" s="537"/>
    </row>
    <row r="798">
      <c r="D798" s="310"/>
      <c r="E798" s="311"/>
      <c r="K798" s="537"/>
    </row>
    <row r="799">
      <c r="D799" s="310"/>
      <c r="E799" s="311"/>
      <c r="K799" s="537"/>
    </row>
    <row r="800">
      <c r="D800" s="310"/>
      <c r="E800" s="311"/>
      <c r="K800" s="537"/>
    </row>
    <row r="801">
      <c r="D801" s="310"/>
      <c r="E801" s="311"/>
      <c r="K801" s="537"/>
    </row>
    <row r="802">
      <c r="D802" s="310"/>
      <c r="E802" s="311"/>
      <c r="K802" s="537"/>
    </row>
    <row r="803">
      <c r="D803" s="310"/>
      <c r="E803" s="311"/>
      <c r="K803" s="537"/>
    </row>
    <row r="804">
      <c r="D804" s="310"/>
      <c r="E804" s="311"/>
      <c r="K804" s="537"/>
    </row>
    <row r="805">
      <c r="D805" s="310"/>
      <c r="E805" s="311"/>
      <c r="K805" s="537"/>
    </row>
    <row r="806">
      <c r="D806" s="310"/>
      <c r="E806" s="311"/>
      <c r="K806" s="537"/>
    </row>
    <row r="807">
      <c r="D807" s="310"/>
      <c r="E807" s="311"/>
      <c r="K807" s="537"/>
    </row>
    <row r="808">
      <c r="D808" s="310"/>
      <c r="E808" s="311"/>
      <c r="K808" s="537"/>
    </row>
    <row r="809">
      <c r="D809" s="310"/>
      <c r="E809" s="311"/>
      <c r="K809" s="537"/>
    </row>
    <row r="810">
      <c r="D810" s="310"/>
      <c r="E810" s="311"/>
      <c r="K810" s="537"/>
    </row>
    <row r="811">
      <c r="D811" s="310"/>
      <c r="E811" s="311"/>
      <c r="K811" s="537"/>
    </row>
    <row r="812">
      <c r="D812" s="310"/>
      <c r="E812" s="311"/>
      <c r="K812" s="537"/>
    </row>
    <row r="813">
      <c r="D813" s="310"/>
      <c r="E813" s="311"/>
      <c r="K813" s="537"/>
    </row>
    <row r="814">
      <c r="D814" s="310"/>
      <c r="E814" s="311"/>
      <c r="K814" s="537"/>
    </row>
    <row r="815">
      <c r="D815" s="310"/>
      <c r="E815" s="311"/>
      <c r="K815" s="537"/>
    </row>
    <row r="816">
      <c r="D816" s="310"/>
      <c r="E816" s="311"/>
      <c r="K816" s="537"/>
    </row>
    <row r="817">
      <c r="D817" s="310"/>
      <c r="E817" s="311"/>
      <c r="K817" s="537"/>
    </row>
    <row r="818">
      <c r="D818" s="310"/>
      <c r="E818" s="311"/>
      <c r="K818" s="537"/>
    </row>
    <row r="819">
      <c r="D819" s="310"/>
      <c r="E819" s="311"/>
      <c r="K819" s="537"/>
    </row>
    <row r="820">
      <c r="D820" s="310"/>
      <c r="E820" s="311"/>
      <c r="K820" s="537"/>
    </row>
    <row r="821">
      <c r="D821" s="310"/>
      <c r="E821" s="311"/>
      <c r="K821" s="537"/>
    </row>
    <row r="822">
      <c r="D822" s="310"/>
      <c r="E822" s="311"/>
      <c r="K822" s="537"/>
    </row>
    <row r="823">
      <c r="D823" s="310"/>
      <c r="E823" s="311"/>
      <c r="K823" s="537"/>
    </row>
    <row r="824">
      <c r="D824" s="310"/>
      <c r="E824" s="311"/>
      <c r="K824" s="537"/>
    </row>
    <row r="825">
      <c r="D825" s="310"/>
      <c r="E825" s="311"/>
      <c r="K825" s="537"/>
    </row>
    <row r="826">
      <c r="D826" s="310"/>
      <c r="E826" s="311"/>
      <c r="K826" s="537"/>
    </row>
    <row r="827">
      <c r="D827" s="310"/>
      <c r="E827" s="311"/>
      <c r="K827" s="537"/>
    </row>
    <row r="828">
      <c r="D828" s="310"/>
      <c r="E828" s="311"/>
      <c r="K828" s="537"/>
    </row>
    <row r="829">
      <c r="D829" s="310"/>
      <c r="E829" s="311"/>
      <c r="K829" s="537"/>
    </row>
    <row r="830">
      <c r="D830" s="310"/>
      <c r="E830" s="311"/>
      <c r="K830" s="537"/>
    </row>
    <row r="831">
      <c r="D831" s="310"/>
      <c r="E831" s="311"/>
      <c r="K831" s="537"/>
    </row>
    <row r="832">
      <c r="D832" s="310"/>
      <c r="E832" s="311"/>
      <c r="K832" s="537"/>
    </row>
    <row r="833">
      <c r="D833" s="310"/>
      <c r="E833" s="311"/>
      <c r="K833" s="537"/>
    </row>
    <row r="834">
      <c r="D834" s="310"/>
      <c r="E834" s="311"/>
      <c r="K834" s="537"/>
    </row>
    <row r="835">
      <c r="D835" s="310"/>
      <c r="E835" s="311"/>
      <c r="K835" s="537"/>
    </row>
    <row r="836">
      <c r="D836" s="310"/>
      <c r="E836" s="311"/>
      <c r="K836" s="537"/>
    </row>
    <row r="837">
      <c r="D837" s="310"/>
      <c r="E837" s="311"/>
      <c r="K837" s="537"/>
    </row>
    <row r="838">
      <c r="D838" s="310"/>
      <c r="E838" s="311"/>
      <c r="K838" s="537"/>
    </row>
    <row r="839">
      <c r="D839" s="310"/>
      <c r="E839" s="311"/>
      <c r="K839" s="537"/>
    </row>
    <row r="840">
      <c r="D840" s="310"/>
      <c r="E840" s="311"/>
      <c r="K840" s="537"/>
    </row>
    <row r="841">
      <c r="D841" s="310"/>
      <c r="E841" s="311"/>
      <c r="K841" s="537"/>
    </row>
    <row r="842">
      <c r="D842" s="310"/>
      <c r="E842" s="311"/>
      <c r="K842" s="537"/>
    </row>
    <row r="843">
      <c r="D843" s="310"/>
      <c r="E843" s="311"/>
      <c r="K843" s="537"/>
    </row>
    <row r="844">
      <c r="D844" s="310"/>
      <c r="E844" s="311"/>
      <c r="K844" s="537"/>
    </row>
    <row r="845">
      <c r="D845" s="310"/>
      <c r="E845" s="311"/>
      <c r="K845" s="537"/>
    </row>
    <row r="846">
      <c r="D846" s="310"/>
      <c r="E846" s="311"/>
      <c r="K846" s="537"/>
    </row>
    <row r="847">
      <c r="D847" s="310"/>
      <c r="E847" s="311"/>
      <c r="K847" s="537"/>
    </row>
    <row r="848">
      <c r="D848" s="310"/>
      <c r="E848" s="311"/>
      <c r="K848" s="537"/>
    </row>
    <row r="849">
      <c r="D849" s="310"/>
      <c r="E849" s="311"/>
      <c r="K849" s="537"/>
    </row>
    <row r="850">
      <c r="D850" s="310"/>
      <c r="E850" s="311"/>
      <c r="K850" s="537"/>
    </row>
    <row r="851">
      <c r="D851" s="310"/>
      <c r="E851" s="311"/>
      <c r="K851" s="537"/>
    </row>
    <row r="852">
      <c r="D852" s="310"/>
      <c r="E852" s="311"/>
      <c r="K852" s="537"/>
    </row>
    <row r="853">
      <c r="D853" s="310"/>
      <c r="E853" s="311"/>
      <c r="K853" s="537"/>
    </row>
    <row r="854">
      <c r="D854" s="310"/>
      <c r="E854" s="311"/>
      <c r="K854" s="537"/>
    </row>
    <row r="855">
      <c r="D855" s="310"/>
      <c r="E855" s="311"/>
      <c r="K855" s="537"/>
    </row>
    <row r="856">
      <c r="D856" s="310"/>
      <c r="E856" s="311"/>
      <c r="K856" s="537"/>
    </row>
    <row r="857">
      <c r="D857" s="310"/>
      <c r="E857" s="311"/>
      <c r="K857" s="537"/>
    </row>
    <row r="858">
      <c r="D858" s="310"/>
      <c r="E858" s="311"/>
      <c r="K858" s="537"/>
    </row>
    <row r="859">
      <c r="D859" s="310"/>
      <c r="E859" s="311"/>
      <c r="K859" s="537"/>
    </row>
    <row r="860">
      <c r="D860" s="310"/>
      <c r="E860" s="311"/>
      <c r="K860" s="537"/>
    </row>
    <row r="861">
      <c r="D861" s="310"/>
      <c r="E861" s="311"/>
      <c r="K861" s="537"/>
    </row>
    <row r="862">
      <c r="D862" s="310"/>
      <c r="E862" s="311"/>
      <c r="K862" s="537"/>
    </row>
    <row r="863">
      <c r="D863" s="310"/>
      <c r="E863" s="311"/>
      <c r="K863" s="537"/>
    </row>
    <row r="864">
      <c r="D864" s="310"/>
      <c r="E864" s="311"/>
      <c r="K864" s="537"/>
    </row>
    <row r="865">
      <c r="D865" s="310"/>
      <c r="E865" s="311"/>
      <c r="K865" s="537"/>
    </row>
    <row r="866">
      <c r="D866" s="310"/>
      <c r="E866" s="311"/>
      <c r="K866" s="537"/>
    </row>
    <row r="867">
      <c r="D867" s="310"/>
      <c r="E867" s="311"/>
      <c r="K867" s="537"/>
    </row>
    <row r="868">
      <c r="D868" s="310"/>
      <c r="E868" s="311"/>
      <c r="K868" s="537"/>
    </row>
    <row r="869">
      <c r="D869" s="310"/>
      <c r="E869" s="311"/>
      <c r="K869" s="537"/>
    </row>
    <row r="870">
      <c r="D870" s="310"/>
      <c r="E870" s="311"/>
      <c r="K870" s="537"/>
    </row>
    <row r="871">
      <c r="D871" s="310"/>
      <c r="E871" s="311"/>
      <c r="K871" s="537"/>
    </row>
    <row r="872">
      <c r="D872" s="310"/>
      <c r="E872" s="311"/>
      <c r="K872" s="537"/>
    </row>
    <row r="873">
      <c r="D873" s="310"/>
      <c r="E873" s="311"/>
      <c r="K873" s="537"/>
    </row>
    <row r="874">
      <c r="D874" s="310"/>
      <c r="E874" s="311"/>
      <c r="K874" s="537"/>
    </row>
    <row r="875">
      <c r="D875" s="310"/>
      <c r="E875" s="311"/>
      <c r="K875" s="537"/>
    </row>
    <row r="876">
      <c r="D876" s="310"/>
      <c r="E876" s="311"/>
      <c r="K876" s="537"/>
    </row>
    <row r="877">
      <c r="D877" s="310"/>
      <c r="E877" s="311"/>
      <c r="K877" s="537"/>
    </row>
    <row r="878">
      <c r="D878" s="310"/>
      <c r="E878" s="311"/>
      <c r="K878" s="537"/>
    </row>
    <row r="879">
      <c r="D879" s="310"/>
      <c r="E879" s="311"/>
      <c r="K879" s="537"/>
    </row>
    <row r="880">
      <c r="D880" s="310"/>
      <c r="E880" s="311"/>
      <c r="K880" s="537"/>
    </row>
    <row r="881">
      <c r="D881" s="310"/>
      <c r="E881" s="311"/>
      <c r="K881" s="537"/>
    </row>
    <row r="882">
      <c r="D882" s="310"/>
      <c r="E882" s="311"/>
      <c r="K882" s="537"/>
    </row>
    <row r="883">
      <c r="D883" s="310"/>
      <c r="E883" s="311"/>
      <c r="K883" s="537"/>
    </row>
    <row r="884">
      <c r="D884" s="310"/>
      <c r="E884" s="311"/>
      <c r="K884" s="537"/>
    </row>
    <row r="885">
      <c r="D885" s="310"/>
      <c r="E885" s="311"/>
      <c r="K885" s="537"/>
    </row>
    <row r="886">
      <c r="D886" s="310"/>
      <c r="E886" s="311"/>
      <c r="K886" s="537"/>
    </row>
    <row r="887">
      <c r="D887" s="310"/>
      <c r="E887" s="311"/>
      <c r="K887" s="537"/>
    </row>
    <row r="888">
      <c r="D888" s="310"/>
      <c r="E888" s="311"/>
      <c r="K888" s="537"/>
    </row>
    <row r="889">
      <c r="D889" s="310"/>
      <c r="E889" s="311"/>
      <c r="K889" s="537"/>
    </row>
    <row r="890">
      <c r="D890" s="310"/>
      <c r="E890" s="311"/>
      <c r="K890" s="537"/>
    </row>
    <row r="891">
      <c r="D891" s="310"/>
      <c r="E891" s="311"/>
      <c r="K891" s="537"/>
    </row>
    <row r="892">
      <c r="D892" s="310"/>
      <c r="E892" s="311"/>
      <c r="K892" s="537"/>
    </row>
    <row r="893">
      <c r="D893" s="310"/>
      <c r="E893" s="311"/>
      <c r="K893" s="537"/>
    </row>
    <row r="894">
      <c r="D894" s="310"/>
      <c r="E894" s="311"/>
      <c r="K894" s="537"/>
    </row>
    <row r="895">
      <c r="D895" s="310"/>
      <c r="E895" s="311"/>
      <c r="K895" s="537"/>
    </row>
    <row r="896">
      <c r="D896" s="310"/>
      <c r="E896" s="311"/>
      <c r="K896" s="537"/>
    </row>
    <row r="897">
      <c r="D897" s="310"/>
      <c r="E897" s="311"/>
      <c r="K897" s="537"/>
    </row>
    <row r="898">
      <c r="D898" s="310"/>
      <c r="E898" s="311"/>
      <c r="K898" s="537"/>
    </row>
    <row r="899">
      <c r="D899" s="310"/>
      <c r="E899" s="311"/>
      <c r="K899" s="537"/>
    </row>
    <row r="900">
      <c r="D900" s="310"/>
      <c r="E900" s="311"/>
      <c r="K900" s="537"/>
    </row>
    <row r="901">
      <c r="D901" s="310"/>
      <c r="E901" s="311"/>
      <c r="K901" s="537"/>
    </row>
    <row r="902">
      <c r="D902" s="310"/>
      <c r="E902" s="311"/>
      <c r="K902" s="537"/>
    </row>
    <row r="903">
      <c r="D903" s="310"/>
      <c r="E903" s="311"/>
      <c r="K903" s="537"/>
    </row>
    <row r="904">
      <c r="D904" s="310"/>
      <c r="E904" s="311"/>
      <c r="K904" s="537"/>
    </row>
    <row r="905">
      <c r="D905" s="310"/>
      <c r="E905" s="311"/>
      <c r="K905" s="537"/>
    </row>
    <row r="906">
      <c r="D906" s="310"/>
      <c r="E906" s="311"/>
      <c r="K906" s="537"/>
    </row>
    <row r="907">
      <c r="D907" s="310"/>
      <c r="E907" s="311"/>
      <c r="K907" s="537"/>
    </row>
    <row r="908">
      <c r="D908" s="310"/>
      <c r="E908" s="311"/>
      <c r="K908" s="537"/>
    </row>
    <row r="909">
      <c r="D909" s="310"/>
      <c r="E909" s="311"/>
      <c r="K909" s="537"/>
    </row>
    <row r="910">
      <c r="D910" s="310"/>
      <c r="E910" s="311"/>
      <c r="K910" s="537"/>
    </row>
    <row r="911">
      <c r="D911" s="310"/>
      <c r="E911" s="311"/>
      <c r="K911" s="537"/>
    </row>
    <row r="912">
      <c r="D912" s="310"/>
      <c r="E912" s="311"/>
      <c r="K912" s="537"/>
    </row>
    <row r="913">
      <c r="D913" s="310"/>
      <c r="E913" s="311"/>
      <c r="K913" s="537"/>
    </row>
    <row r="914">
      <c r="D914" s="310"/>
      <c r="E914" s="311"/>
      <c r="K914" s="537"/>
    </row>
    <row r="915">
      <c r="D915" s="310"/>
      <c r="E915" s="311"/>
      <c r="K915" s="537"/>
    </row>
    <row r="916">
      <c r="D916" s="310"/>
      <c r="E916" s="311"/>
      <c r="K916" s="537"/>
    </row>
    <row r="917">
      <c r="D917" s="310"/>
      <c r="E917" s="311"/>
      <c r="K917" s="537"/>
    </row>
    <row r="918">
      <c r="D918" s="310"/>
      <c r="E918" s="311"/>
      <c r="K918" s="537"/>
    </row>
    <row r="919">
      <c r="D919" s="310"/>
      <c r="E919" s="311"/>
      <c r="K919" s="537"/>
    </row>
    <row r="920">
      <c r="D920" s="310"/>
      <c r="E920" s="311"/>
      <c r="K920" s="537"/>
    </row>
    <row r="921">
      <c r="D921" s="310"/>
      <c r="E921" s="311"/>
      <c r="K921" s="537"/>
    </row>
    <row r="922">
      <c r="D922" s="310"/>
      <c r="E922" s="311"/>
      <c r="K922" s="537"/>
    </row>
    <row r="923">
      <c r="D923" s="310"/>
      <c r="E923" s="311"/>
      <c r="K923" s="537"/>
    </row>
    <row r="924">
      <c r="D924" s="310"/>
      <c r="E924" s="311"/>
      <c r="K924" s="537"/>
    </row>
    <row r="925">
      <c r="D925" s="310"/>
      <c r="E925" s="311"/>
      <c r="K925" s="537"/>
    </row>
    <row r="926">
      <c r="D926" s="310"/>
      <c r="E926" s="311"/>
      <c r="K926" s="537"/>
    </row>
    <row r="927">
      <c r="D927" s="310"/>
      <c r="E927" s="311"/>
      <c r="K927" s="537"/>
    </row>
    <row r="928">
      <c r="D928" s="310"/>
      <c r="E928" s="311"/>
      <c r="K928" s="537"/>
    </row>
    <row r="929">
      <c r="D929" s="310"/>
      <c r="E929" s="311"/>
      <c r="K929" s="537"/>
    </row>
    <row r="930">
      <c r="D930" s="310"/>
      <c r="E930" s="311"/>
      <c r="K930" s="537"/>
    </row>
    <row r="931">
      <c r="D931" s="310"/>
      <c r="E931" s="311"/>
      <c r="K931" s="537"/>
    </row>
    <row r="932">
      <c r="D932" s="310"/>
      <c r="E932" s="311"/>
      <c r="K932" s="537"/>
    </row>
    <row r="933">
      <c r="D933" s="310"/>
      <c r="E933" s="311"/>
      <c r="K933" s="537"/>
    </row>
    <row r="934">
      <c r="D934" s="310"/>
      <c r="E934" s="311"/>
      <c r="K934" s="537"/>
    </row>
    <row r="935">
      <c r="D935" s="310"/>
      <c r="E935" s="311"/>
      <c r="K935" s="537"/>
    </row>
    <row r="936">
      <c r="D936" s="310"/>
      <c r="E936" s="311"/>
      <c r="K936" s="537"/>
    </row>
    <row r="937">
      <c r="D937" s="310"/>
      <c r="E937" s="311"/>
      <c r="K937" s="537"/>
    </row>
    <row r="938">
      <c r="D938" s="310"/>
      <c r="E938" s="311"/>
      <c r="K938" s="537"/>
    </row>
    <row r="939">
      <c r="D939" s="310"/>
      <c r="E939" s="311"/>
      <c r="K939" s="537"/>
    </row>
    <row r="940">
      <c r="D940" s="310"/>
      <c r="E940" s="311"/>
      <c r="K940" s="537"/>
    </row>
    <row r="941">
      <c r="D941" s="310"/>
      <c r="E941" s="311"/>
      <c r="K941" s="537"/>
    </row>
    <row r="942">
      <c r="D942" s="310"/>
      <c r="E942" s="311"/>
      <c r="K942" s="537"/>
    </row>
    <row r="943">
      <c r="D943" s="310"/>
      <c r="E943" s="311"/>
      <c r="K943" s="537"/>
    </row>
    <row r="944">
      <c r="D944" s="310"/>
      <c r="E944" s="311"/>
      <c r="K944" s="537"/>
    </row>
    <row r="945">
      <c r="D945" s="310"/>
      <c r="E945" s="311"/>
      <c r="K945" s="537"/>
    </row>
    <row r="946">
      <c r="D946" s="310"/>
      <c r="E946" s="311"/>
      <c r="K946" s="537"/>
    </row>
    <row r="947">
      <c r="D947" s="310"/>
      <c r="E947" s="311"/>
      <c r="K947" s="537"/>
    </row>
    <row r="948">
      <c r="D948" s="310"/>
      <c r="E948" s="311"/>
      <c r="K948" s="537"/>
    </row>
    <row r="949">
      <c r="D949" s="310"/>
      <c r="E949" s="311"/>
      <c r="K949" s="537"/>
    </row>
    <row r="950">
      <c r="D950" s="310"/>
      <c r="E950" s="311"/>
      <c r="K950" s="537"/>
    </row>
    <row r="951">
      <c r="D951" s="310"/>
      <c r="E951" s="311"/>
      <c r="K951" s="537"/>
    </row>
    <row r="952">
      <c r="D952" s="310"/>
      <c r="E952" s="311"/>
      <c r="K952" s="537"/>
    </row>
    <row r="953">
      <c r="D953" s="310"/>
      <c r="E953" s="311"/>
      <c r="K953" s="537"/>
    </row>
    <row r="954">
      <c r="D954" s="310"/>
      <c r="E954" s="311"/>
      <c r="K954" s="537"/>
    </row>
    <row r="955">
      <c r="D955" s="310"/>
      <c r="E955" s="311"/>
      <c r="K955" s="537"/>
    </row>
    <row r="956">
      <c r="D956" s="310"/>
      <c r="E956" s="311"/>
      <c r="K956" s="537"/>
    </row>
    <row r="957">
      <c r="D957" s="310"/>
      <c r="E957" s="311"/>
      <c r="K957" s="537"/>
    </row>
    <row r="958">
      <c r="D958" s="310"/>
      <c r="E958" s="311"/>
      <c r="K958" s="537"/>
    </row>
    <row r="959">
      <c r="D959" s="310"/>
      <c r="E959" s="311"/>
      <c r="K959" s="537"/>
    </row>
    <row r="960">
      <c r="D960" s="310"/>
      <c r="E960" s="311"/>
      <c r="K960" s="537"/>
    </row>
    <row r="961">
      <c r="D961" s="310"/>
      <c r="E961" s="311"/>
      <c r="K961" s="537"/>
    </row>
    <row r="962">
      <c r="D962" s="310"/>
      <c r="E962" s="311"/>
      <c r="K962" s="537"/>
    </row>
    <row r="963">
      <c r="D963" s="310"/>
      <c r="E963" s="311"/>
      <c r="K963" s="537"/>
    </row>
    <row r="964">
      <c r="D964" s="310"/>
      <c r="E964" s="311"/>
      <c r="K964" s="537"/>
    </row>
    <row r="965">
      <c r="D965" s="310"/>
      <c r="E965" s="311"/>
      <c r="K965" s="537"/>
    </row>
    <row r="966">
      <c r="K966" s="537"/>
    </row>
    <row r="967">
      <c r="K967" s="537"/>
    </row>
    <row r="968">
      <c r="K968" s="537"/>
    </row>
    <row r="969">
      <c r="K969" s="537"/>
    </row>
    <row r="970">
      <c r="K970" s="537"/>
    </row>
    <row r="971">
      <c r="K971" s="537"/>
    </row>
    <row r="972">
      <c r="K972" s="537"/>
    </row>
    <row r="973">
      <c r="K973" s="537"/>
    </row>
    <row r="974">
      <c r="K974" s="537"/>
    </row>
    <row r="975">
      <c r="K975" s="537"/>
    </row>
    <row r="976">
      <c r="K976" s="537"/>
    </row>
    <row r="977">
      <c r="K977" s="537"/>
    </row>
    <row r="978">
      <c r="K978" s="537"/>
    </row>
    <row r="979">
      <c r="K979" s="537"/>
    </row>
    <row r="980">
      <c r="K980" s="537"/>
    </row>
    <row r="981">
      <c r="K981" s="537"/>
    </row>
    <row r="982">
      <c r="K982" s="537"/>
    </row>
    <row r="983">
      <c r="K983" s="537"/>
    </row>
    <row r="984">
      <c r="K984" s="537"/>
    </row>
    <row r="985">
      <c r="K985" s="537"/>
    </row>
    <row r="986">
      <c r="K986" s="537"/>
    </row>
    <row r="987">
      <c r="K987" s="537"/>
    </row>
    <row r="988">
      <c r="K988" s="537"/>
    </row>
    <row r="989">
      <c r="K989" s="537"/>
    </row>
    <row r="990">
      <c r="K990" s="537"/>
    </row>
    <row r="991">
      <c r="K991" s="537"/>
    </row>
    <row r="992">
      <c r="K992" s="537"/>
    </row>
    <row r="993">
      <c r="K993" s="537"/>
    </row>
    <row r="994">
      <c r="K994" s="537"/>
    </row>
    <row r="995">
      <c r="K995" s="537"/>
    </row>
    <row r="996">
      <c r="K996" s="537"/>
    </row>
    <row r="997">
      <c r="K997" s="537"/>
    </row>
    <row r="998">
      <c r="K998" s="537"/>
    </row>
    <row r="999">
      <c r="K999" s="537"/>
    </row>
    <row r="1000">
      <c r="K1000" s="537"/>
    </row>
    <row r="1001">
      <c r="K1001" s="537"/>
    </row>
    <row r="1002">
      <c r="K1002" s="537"/>
    </row>
    <row r="1003">
      <c r="K1003" s="537"/>
    </row>
    <row r="1004">
      <c r="K1004" s="537"/>
    </row>
    <row r="1005">
      <c r="K1005" s="537"/>
    </row>
    <row r="1006">
      <c r="K1006" s="537"/>
    </row>
    <row r="1007">
      <c r="K1007" s="537"/>
    </row>
    <row r="1008">
      <c r="K1008" s="537"/>
    </row>
    <row r="1009">
      <c r="K1009" s="537"/>
    </row>
    <row r="1010">
      <c r="K1010" s="537"/>
    </row>
    <row r="1011">
      <c r="K1011" s="537"/>
    </row>
    <row r="1012">
      <c r="K1012" s="537"/>
    </row>
    <row r="1013">
      <c r="K1013" s="537"/>
    </row>
    <row r="1014">
      <c r="K1014" s="537"/>
    </row>
    <row r="1015">
      <c r="K1015" s="537"/>
    </row>
    <row r="1016">
      <c r="K1016" s="537"/>
    </row>
    <row r="1017">
      <c r="K1017" s="537"/>
    </row>
  </sheetData>
  <autoFilter ref="$A$1:$N$232">
    <filterColumn colId="11">
      <filters>
        <filter val="12"/>
        <filter val="13"/>
        <filter val="3091"/>
        <filter val="14"/>
        <filter val="15"/>
        <filter val="26"/>
        <filter val="27"/>
        <filter val="4"/>
        <filter val="7"/>
        <filter val="8"/>
        <filter val="31"/>
        <filter val="20"/>
      </filters>
    </filterColumn>
  </autoFilter>
  <conditionalFormatting sqref="A1:N1017">
    <cfRule type="expression" dxfId="4" priority="1">
      <formula>ISNUMBER(SEARCH("Aug-2025", TEXT($K1, "dd-mmm-yyyy")))</formula>
    </cfRule>
  </conditionalFormatting>
  <drawing r:id="rId2"/>
  <legacyDrawing r:id="rId3"/>
  <tableParts count="1">
    <tablePart r:id="rId5"/>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7.25"/>
    <col customWidth="1" min="6" max="6" width="11.5"/>
    <col customWidth="1" min="7" max="7" width="14.25"/>
    <col customWidth="1" min="11" max="11" width="16.13"/>
    <col customWidth="1" min="15" max="15" width="19.25"/>
  </cols>
  <sheetData>
    <row r="1">
      <c r="A1" s="347" t="s">
        <v>0</v>
      </c>
      <c r="B1" s="348" t="s">
        <v>1</v>
      </c>
      <c r="C1" s="281" t="s">
        <v>2</v>
      </c>
      <c r="D1" s="281" t="s">
        <v>603</v>
      </c>
      <c r="E1" s="281" t="s">
        <v>604</v>
      </c>
      <c r="F1" s="281" t="s">
        <v>4</v>
      </c>
      <c r="G1" s="281" t="s">
        <v>5</v>
      </c>
      <c r="H1" s="281" t="s">
        <v>6</v>
      </c>
      <c r="I1" s="281" t="s">
        <v>7</v>
      </c>
      <c r="J1" s="281" t="s">
        <v>8</v>
      </c>
      <c r="K1" s="281" t="s">
        <v>9</v>
      </c>
      <c r="L1" s="642" t="s">
        <v>10</v>
      </c>
      <c r="M1" s="281" t="s">
        <v>11</v>
      </c>
      <c r="N1" s="281" t="s">
        <v>12</v>
      </c>
      <c r="O1" s="281" t="s">
        <v>379</v>
      </c>
      <c r="P1" s="281" t="s">
        <v>14</v>
      </c>
      <c r="Q1" s="281" t="s">
        <v>15</v>
      </c>
      <c r="R1" s="66"/>
      <c r="S1" s="66"/>
      <c r="T1" s="66"/>
      <c r="U1" s="66"/>
      <c r="V1" s="66"/>
      <c r="W1" s="66"/>
      <c r="X1" s="66"/>
    </row>
    <row r="2">
      <c r="A2" s="349" t="s">
        <v>16</v>
      </c>
      <c r="B2" s="283">
        <v>4320.0</v>
      </c>
      <c r="C2" s="284"/>
      <c r="D2" s="285">
        <v>0.0</v>
      </c>
      <c r="E2" s="282" t="s">
        <v>436</v>
      </c>
      <c r="F2" s="282" t="s">
        <v>362</v>
      </c>
      <c r="G2" s="286" t="s">
        <v>363</v>
      </c>
      <c r="H2" s="287"/>
      <c r="I2" s="288">
        <v>37149.0</v>
      </c>
      <c r="J2" s="288">
        <v>45397.0</v>
      </c>
      <c r="K2" s="350" t="str">
        <f>IFERROR(__xludf.DUMMYFUNCTION("VLOOKUP(TRIM(E2), ARRAYFORMULA(TRIM(IMPORTRANGE(""1J6TM1lO8a31d96YF89fby9ySWcPcCBlFT37fwLDeDG0"", ""PKR-September 2025!C:Z""))), 5, FALSE)"),"")</f>
        <v/>
      </c>
      <c r="L2" s="643">
        <f>IFERROR(__xludf.DUMMYFUNCTION("value(VLOOKUP(TRIM(E2), ARRAYFORMULA(TRIM(IMPORTRANGE(""1J6TM1lO8a31d96YF89fby9ySWcPcCBlFT37fwLDeDG0"", ""PKR-September 2025!C:Z""))), 6, FALSE))"),30.0)</f>
        <v>30</v>
      </c>
      <c r="M2" s="350">
        <v>45901.0</v>
      </c>
      <c r="N2" s="350">
        <v>45930.0</v>
      </c>
      <c r="O2" s="290">
        <f t="shared" ref="O2:O93" si="1">ROUNDUP(L2/30*370,0)</f>
        <v>370</v>
      </c>
      <c r="P2" s="290">
        <f t="shared" ref="P2:P93" si="2">O2*5</f>
        <v>1850</v>
      </c>
      <c r="Q2" s="290">
        <f t="shared" ref="Q2:Q93" si="3">O2+P2</f>
        <v>2220</v>
      </c>
      <c r="S2" s="228" t="str">
        <f>IFERROR(__xludf.DUMMYFUNCTION("trim(IMPORTRANGE(""1J6TM1lO8a31d96YF89fby9ySWcPcCBlFT37fwLDeDG0"",""PKR-August 2025!C:Z""))"),"Employee Name")</f>
        <v>Employee Name</v>
      </c>
    </row>
    <row r="3">
      <c r="A3" s="282" t="s">
        <v>16</v>
      </c>
      <c r="B3" s="283">
        <v>4320.0</v>
      </c>
      <c r="C3" s="284"/>
      <c r="D3" s="285">
        <v>0.0</v>
      </c>
      <c r="E3" s="282" t="s">
        <v>407</v>
      </c>
      <c r="F3" s="282" t="s">
        <v>97</v>
      </c>
      <c r="G3" s="286" t="s">
        <v>98</v>
      </c>
      <c r="H3" s="287"/>
      <c r="I3" s="294">
        <v>36690.0</v>
      </c>
      <c r="J3" s="288">
        <v>44938.0</v>
      </c>
      <c r="K3" s="350" t="str">
        <f>IFERROR(__xludf.DUMMYFUNCTION("VLOOKUP(TRIM(E3), ARRAYFORMULA(TRIM(IMPORTRANGE(""1J6TM1lO8a31d96YF89fby9ySWcPcCBlFT37fwLDeDG0"", ""PKR-September 2025!C:Z""))), 5, FALSE)"),"")</f>
        <v/>
      </c>
      <c r="L3" s="643">
        <f>IFERROR(__xludf.DUMMYFUNCTION("value(VLOOKUP(TRIM(E3), ARRAYFORMULA(TRIM(IMPORTRANGE(""1J6TM1lO8a31d96YF89fby9ySWcPcCBlFT37fwLDeDG0"", ""PKR-September 2025!C:Z""))), 6, FALSE))"),30.0)</f>
        <v>30</v>
      </c>
      <c r="M3" s="350">
        <v>45901.0</v>
      </c>
      <c r="N3" s="350">
        <v>45930.0</v>
      </c>
      <c r="O3" s="290">
        <f t="shared" si="1"/>
        <v>370</v>
      </c>
      <c r="P3" s="290">
        <f t="shared" si="2"/>
        <v>1850</v>
      </c>
      <c r="Q3" s="290">
        <f t="shared" si="3"/>
        <v>2220</v>
      </c>
    </row>
    <row r="4">
      <c r="A4" s="282" t="s">
        <v>16</v>
      </c>
      <c r="B4" s="283">
        <v>4320.0</v>
      </c>
      <c r="C4" s="284"/>
      <c r="D4" s="477">
        <v>36524.0</v>
      </c>
      <c r="E4" s="574" t="s">
        <v>928</v>
      </c>
      <c r="F4" s="352" t="s">
        <v>731</v>
      </c>
      <c r="G4" s="352" t="s">
        <v>732</v>
      </c>
      <c r="H4" s="282"/>
      <c r="I4" s="350">
        <v>38263.0</v>
      </c>
      <c r="J4" s="350">
        <v>45355.0</v>
      </c>
      <c r="K4" s="350" t="str">
        <f>IFERROR(__xludf.DUMMYFUNCTION("VLOOKUP(TRIM(E4), ARRAYFORMULA(TRIM(IMPORTRANGE(""1J6TM1lO8a31d96YF89fby9ySWcPcCBlFT37fwLDeDG0"", ""PKR-September 2025!C:Z""))), 5, FALSE)"),"")</f>
        <v/>
      </c>
      <c r="L4" s="643">
        <f>IFERROR(__xludf.DUMMYFUNCTION("value(VLOOKUP(TRIM(E4), ARRAYFORMULA(TRIM(IMPORTRANGE(""1J6TM1lO8a31d96YF89fby9ySWcPcCBlFT37fwLDeDG0"", ""PKR-September 2025!C:Z""))), 6, FALSE))"),30.0)</f>
        <v>30</v>
      </c>
      <c r="M4" s="350">
        <v>45901.0</v>
      </c>
      <c r="N4" s="350">
        <v>45930.0</v>
      </c>
      <c r="O4" s="290">
        <f t="shared" si="1"/>
        <v>370</v>
      </c>
      <c r="P4" s="290">
        <f t="shared" si="2"/>
        <v>1850</v>
      </c>
      <c r="Q4" s="290">
        <f t="shared" si="3"/>
        <v>2220</v>
      </c>
    </row>
    <row r="5">
      <c r="A5" s="282" t="s">
        <v>16</v>
      </c>
      <c r="B5" s="283">
        <v>4320.0</v>
      </c>
      <c r="C5" s="284"/>
      <c r="D5" s="285">
        <v>0.0</v>
      </c>
      <c r="E5" s="282" t="s">
        <v>246</v>
      </c>
      <c r="F5" s="282" t="s">
        <v>247</v>
      </c>
      <c r="G5" s="286" t="s">
        <v>248</v>
      </c>
      <c r="H5" s="287"/>
      <c r="I5" s="288">
        <v>36501.0</v>
      </c>
      <c r="J5" s="288">
        <v>45246.0</v>
      </c>
      <c r="K5" s="350" t="str">
        <f>IFERROR(__xludf.DUMMYFUNCTION("VLOOKUP(TRIM(E5), ARRAYFORMULA(TRIM(IMPORTRANGE(""1J6TM1lO8a31d96YF89fby9ySWcPcCBlFT37fwLDeDG0"", ""PKR-September 2025!C:Z""))), 5, FALSE)"),"")</f>
        <v/>
      </c>
      <c r="L5" s="643">
        <f>IFERROR(__xludf.DUMMYFUNCTION("value(VLOOKUP(TRIM(E5), ARRAYFORMULA(TRIM(IMPORTRANGE(""1J6TM1lO8a31d96YF89fby9ySWcPcCBlFT37fwLDeDG0"", ""PKR-September 2025!C:Z""))), 6, FALSE))"),30.0)</f>
        <v>30</v>
      </c>
      <c r="M5" s="350">
        <v>45901.0</v>
      </c>
      <c r="N5" s="350">
        <v>45930.0</v>
      </c>
      <c r="O5" s="290">
        <f t="shared" si="1"/>
        <v>370</v>
      </c>
      <c r="P5" s="290">
        <f t="shared" si="2"/>
        <v>1850</v>
      </c>
      <c r="Q5" s="290">
        <f t="shared" si="3"/>
        <v>2220</v>
      </c>
    </row>
    <row r="6">
      <c r="A6" s="282" t="s">
        <v>16</v>
      </c>
      <c r="B6" s="283">
        <v>4320.0</v>
      </c>
      <c r="C6" s="284"/>
      <c r="D6" s="285">
        <v>0.0</v>
      </c>
      <c r="E6" s="282" t="s">
        <v>564</v>
      </c>
      <c r="F6" s="282" t="s">
        <v>565</v>
      </c>
      <c r="G6" s="286" t="s">
        <v>566</v>
      </c>
      <c r="H6" s="287"/>
      <c r="I6" s="288">
        <v>34799.0</v>
      </c>
      <c r="J6" s="288">
        <v>45670.0</v>
      </c>
      <c r="K6" s="350" t="str">
        <f>IFERROR(__xludf.DUMMYFUNCTION("VLOOKUP(TRIM(E6), ARRAYFORMULA(TRIM(IMPORTRANGE(""1J6TM1lO8a31d96YF89fby9ySWcPcCBlFT37fwLDeDG0"", ""PKR-September 2025!C:Z""))), 5, FALSE)"),"")</f>
        <v/>
      </c>
      <c r="L6" s="643">
        <f>IFERROR(__xludf.DUMMYFUNCTION("value(VLOOKUP(TRIM(E6), ARRAYFORMULA(TRIM(IMPORTRANGE(""1J6TM1lO8a31d96YF89fby9ySWcPcCBlFT37fwLDeDG0"", ""PKR-September 2025!C:Z""))), 6, FALSE))"),30.0)</f>
        <v>30</v>
      </c>
      <c r="M6" s="350">
        <v>45901.0</v>
      </c>
      <c r="N6" s="350">
        <v>45930.0</v>
      </c>
      <c r="O6" s="290">
        <f t="shared" si="1"/>
        <v>370</v>
      </c>
      <c r="P6" s="290">
        <f t="shared" si="2"/>
        <v>1850</v>
      </c>
      <c r="Q6" s="290">
        <f t="shared" si="3"/>
        <v>2220</v>
      </c>
    </row>
    <row r="7">
      <c r="A7" s="282" t="s">
        <v>16</v>
      </c>
      <c r="B7" s="283">
        <v>4320.0</v>
      </c>
      <c r="C7" s="284"/>
      <c r="D7" s="285">
        <v>0.0</v>
      </c>
      <c r="E7" s="282" t="s">
        <v>264</v>
      </c>
      <c r="F7" s="282" t="s">
        <v>265</v>
      </c>
      <c r="G7" s="286" t="s">
        <v>266</v>
      </c>
      <c r="H7" s="287"/>
      <c r="I7" s="288">
        <v>37398.0</v>
      </c>
      <c r="J7" s="288">
        <v>45096.0</v>
      </c>
      <c r="K7" s="350" t="str">
        <f>IFERROR(__xludf.DUMMYFUNCTION("VLOOKUP(TRIM(E7), ARRAYFORMULA(TRIM(IMPORTRANGE(""1J6TM1lO8a31d96YF89fby9ySWcPcCBlFT37fwLDeDG0"", ""PKR-September 2025!C:Z""))), 5, FALSE)"),"")</f>
        <v/>
      </c>
      <c r="L7" s="643">
        <f>IFERROR(__xludf.DUMMYFUNCTION("value(VLOOKUP(TRIM(E7), ARRAYFORMULA(TRIM(IMPORTRANGE(""1J6TM1lO8a31d96YF89fby9ySWcPcCBlFT37fwLDeDG0"", ""PKR-September 2025!C:Z""))), 6, FALSE))"),30.0)</f>
        <v>30</v>
      </c>
      <c r="M7" s="350">
        <v>45901.0</v>
      </c>
      <c r="N7" s="350">
        <v>45930.0</v>
      </c>
      <c r="O7" s="290">
        <f t="shared" si="1"/>
        <v>370</v>
      </c>
      <c r="P7" s="290">
        <f t="shared" si="2"/>
        <v>1850</v>
      </c>
      <c r="Q7" s="290">
        <f t="shared" si="3"/>
        <v>2220</v>
      </c>
    </row>
    <row r="8">
      <c r="A8" s="282" t="s">
        <v>16</v>
      </c>
      <c r="B8" s="283">
        <v>4320.0</v>
      </c>
      <c r="C8" s="284"/>
      <c r="D8" s="285">
        <v>0.0</v>
      </c>
      <c r="E8" s="282" t="s">
        <v>411</v>
      </c>
      <c r="F8" s="282" t="s">
        <v>412</v>
      </c>
      <c r="G8" s="286" t="s">
        <v>413</v>
      </c>
      <c r="H8" s="287"/>
      <c r="I8" s="288">
        <v>33230.0</v>
      </c>
      <c r="J8" s="288">
        <v>45453.0</v>
      </c>
      <c r="K8" s="350" t="str">
        <f>IFERROR(__xludf.DUMMYFUNCTION("VLOOKUP(TRIM(E8), ARRAYFORMULA(TRIM(IMPORTRANGE(""1J6TM1lO8a31d96YF89fby9ySWcPcCBlFT37fwLDeDG0"", ""PKR-September 2025!C:Z""))), 5, FALSE)"),"")</f>
        <v/>
      </c>
      <c r="L8" s="643">
        <f>IFERROR(__xludf.DUMMYFUNCTION("value(VLOOKUP(TRIM(E8), ARRAYFORMULA(TRIM(IMPORTRANGE(""1J6TM1lO8a31d96YF89fby9ySWcPcCBlFT37fwLDeDG0"", ""PKR-September 2025!C:Z""))), 6, FALSE))"),30.0)</f>
        <v>30</v>
      </c>
      <c r="M8" s="350">
        <v>45901.0</v>
      </c>
      <c r="N8" s="350">
        <v>45930.0</v>
      </c>
      <c r="O8" s="290">
        <f t="shared" si="1"/>
        <v>370</v>
      </c>
      <c r="P8" s="290">
        <f t="shared" si="2"/>
        <v>1850</v>
      </c>
      <c r="Q8" s="290">
        <f t="shared" si="3"/>
        <v>2220</v>
      </c>
    </row>
    <row r="9">
      <c r="A9" s="282" t="s">
        <v>16</v>
      </c>
      <c r="B9" s="283">
        <v>4320.0</v>
      </c>
      <c r="C9" s="289"/>
      <c r="D9" s="285">
        <v>0.0</v>
      </c>
      <c r="E9" s="291" t="s">
        <v>690</v>
      </c>
      <c r="F9" s="295" t="s">
        <v>929</v>
      </c>
      <c r="G9" s="286" t="s">
        <v>692</v>
      </c>
      <c r="H9" s="287"/>
      <c r="I9" s="288">
        <v>37137.0</v>
      </c>
      <c r="J9" s="288">
        <v>45691.0</v>
      </c>
      <c r="K9" s="350" t="str">
        <f>IFERROR(__xludf.DUMMYFUNCTION("VLOOKUP(TRIM(E9), ARRAYFORMULA(TRIM(IMPORTRANGE(""1J6TM1lO8a31d96YF89fby9ySWcPcCBlFT37fwLDeDG0"", ""PKR-September 2025!C:Z""))), 5, FALSE)"),"")</f>
        <v/>
      </c>
      <c r="L9" s="643">
        <f>IFERROR(__xludf.DUMMYFUNCTION("value(VLOOKUP(TRIM(E9), ARRAYFORMULA(TRIM(IMPORTRANGE(""1J6TM1lO8a31d96YF89fby9ySWcPcCBlFT37fwLDeDG0"", ""PKR-September 2025!C:Z""))), 6, FALSE))"),30.0)</f>
        <v>30</v>
      </c>
      <c r="M9" s="350">
        <v>45901.0</v>
      </c>
      <c r="N9" s="350">
        <v>45930.0</v>
      </c>
      <c r="O9" s="290">
        <f t="shared" si="1"/>
        <v>370</v>
      </c>
      <c r="P9" s="290">
        <f t="shared" si="2"/>
        <v>1850</v>
      </c>
      <c r="Q9" s="290">
        <f t="shared" si="3"/>
        <v>2220</v>
      </c>
    </row>
    <row r="10">
      <c r="A10" s="282" t="s">
        <v>16</v>
      </c>
      <c r="B10" s="283">
        <v>4320.0</v>
      </c>
      <c r="C10" s="289"/>
      <c r="D10" s="285">
        <v>0.0</v>
      </c>
      <c r="E10" s="444" t="s">
        <v>917</v>
      </c>
      <c r="F10" s="478" t="s">
        <v>828</v>
      </c>
      <c r="G10" s="479" t="s">
        <v>829</v>
      </c>
      <c r="H10" s="289"/>
      <c r="I10" s="293">
        <v>35599.0</v>
      </c>
      <c r="J10" s="288">
        <v>45712.0</v>
      </c>
      <c r="K10" s="350" t="str">
        <f>IFERROR(__xludf.DUMMYFUNCTION("VLOOKUP(TRIM(E10), ARRAYFORMULA(TRIM(IMPORTRANGE(""1J6TM1lO8a31d96YF89fby9ySWcPcCBlFT37fwLDeDG0"", ""PKR-September 2025!C:Z""))), 5, FALSE)"),"")</f>
        <v/>
      </c>
      <c r="L10" s="643">
        <f>IFERROR(__xludf.DUMMYFUNCTION("value(VLOOKUP(TRIM(E10), ARRAYFORMULA(TRIM(IMPORTRANGE(""1J6TM1lO8a31d96YF89fby9ySWcPcCBlFT37fwLDeDG0"", ""PKR-September 2025!C:Z""))), 6, FALSE))"),30.0)</f>
        <v>30</v>
      </c>
      <c r="M10" s="350">
        <v>45901.0</v>
      </c>
      <c r="N10" s="350">
        <v>45930.0</v>
      </c>
      <c r="O10" s="290">
        <f t="shared" si="1"/>
        <v>370</v>
      </c>
      <c r="P10" s="290">
        <f t="shared" si="2"/>
        <v>1850</v>
      </c>
      <c r="Q10" s="290">
        <f t="shared" si="3"/>
        <v>2220</v>
      </c>
    </row>
    <row r="11">
      <c r="A11" s="282" t="s">
        <v>16</v>
      </c>
      <c r="B11" s="283">
        <v>4320.0</v>
      </c>
      <c r="C11" s="284"/>
      <c r="D11" s="285">
        <v>0.0</v>
      </c>
      <c r="E11" s="282" t="s">
        <v>282</v>
      </c>
      <c r="F11" s="282" t="s">
        <v>283</v>
      </c>
      <c r="G11" s="286" t="s">
        <v>284</v>
      </c>
      <c r="H11" s="287"/>
      <c r="I11" s="294">
        <v>35047.0</v>
      </c>
      <c r="J11" s="288">
        <v>45257.0</v>
      </c>
      <c r="K11" s="350" t="str">
        <f>IFERROR(__xludf.DUMMYFUNCTION("VLOOKUP(TRIM(E11), ARRAYFORMULA(TRIM(IMPORTRANGE(""1J6TM1lO8a31d96YF89fby9ySWcPcCBlFT37fwLDeDG0"", ""PKR-September 2025!C:Z""))), 5, FALSE)"),"")</f>
        <v/>
      </c>
      <c r="L11" s="643">
        <f>IFERROR(__xludf.DUMMYFUNCTION("value(VLOOKUP(TRIM(E11), ARRAYFORMULA(TRIM(IMPORTRANGE(""1J6TM1lO8a31d96YF89fby9ySWcPcCBlFT37fwLDeDG0"", ""PKR-September 2025!C:Z""))), 6, FALSE))"),30.0)</f>
        <v>30</v>
      </c>
      <c r="M11" s="350">
        <v>45901.0</v>
      </c>
      <c r="N11" s="350">
        <v>45930.0</v>
      </c>
      <c r="O11" s="290">
        <f t="shared" si="1"/>
        <v>370</v>
      </c>
      <c r="P11" s="290">
        <f t="shared" si="2"/>
        <v>1850</v>
      </c>
      <c r="Q11" s="290">
        <f t="shared" si="3"/>
        <v>2220</v>
      </c>
    </row>
    <row r="12">
      <c r="A12" s="282" t="s">
        <v>16</v>
      </c>
      <c r="B12" s="283">
        <v>4320.0</v>
      </c>
      <c r="C12" s="284"/>
      <c r="D12" s="285">
        <v>0.0</v>
      </c>
      <c r="E12" s="282" t="s">
        <v>481</v>
      </c>
      <c r="F12" s="282" t="s">
        <v>531</v>
      </c>
      <c r="G12" s="286" t="s">
        <v>482</v>
      </c>
      <c r="H12" s="287"/>
      <c r="I12" s="288">
        <v>35096.0</v>
      </c>
      <c r="J12" s="288">
        <v>45602.0</v>
      </c>
      <c r="K12" s="350" t="str">
        <f>IFERROR(__xludf.DUMMYFUNCTION("VLOOKUP(TRIM(E12), ARRAYFORMULA(TRIM(IMPORTRANGE(""1J6TM1lO8a31d96YF89fby9ySWcPcCBlFT37fwLDeDG0"", ""PKR-September 2025!C:Z""))), 5, FALSE)"),"")</f>
        <v/>
      </c>
      <c r="L12" s="643">
        <f>IFERROR(__xludf.DUMMYFUNCTION("value(VLOOKUP(TRIM(E12), ARRAYFORMULA(TRIM(IMPORTRANGE(""1J6TM1lO8a31d96YF89fby9ySWcPcCBlFT37fwLDeDG0"", ""PKR-September 2025!C:Z""))), 6, FALSE))"),30.0)</f>
        <v>30</v>
      </c>
      <c r="M12" s="350">
        <v>45901.0</v>
      </c>
      <c r="N12" s="350">
        <v>45930.0</v>
      </c>
      <c r="O12" s="290">
        <f t="shared" si="1"/>
        <v>370</v>
      </c>
      <c r="P12" s="290">
        <f t="shared" si="2"/>
        <v>1850</v>
      </c>
      <c r="Q12" s="290">
        <f t="shared" si="3"/>
        <v>2220</v>
      </c>
    </row>
    <row r="13">
      <c r="A13" s="282" t="s">
        <v>16</v>
      </c>
      <c r="B13" s="283">
        <v>4320.0</v>
      </c>
      <c r="C13" s="284"/>
      <c r="D13" s="285">
        <v>0.0</v>
      </c>
      <c r="E13" s="282" t="s">
        <v>45</v>
      </c>
      <c r="F13" s="282" t="s">
        <v>46</v>
      </c>
      <c r="G13" s="286" t="s">
        <v>47</v>
      </c>
      <c r="H13" s="287"/>
      <c r="I13" s="288">
        <v>37370.0</v>
      </c>
      <c r="J13" s="288">
        <v>44739.0</v>
      </c>
      <c r="K13" s="350" t="str">
        <f>IFERROR(__xludf.DUMMYFUNCTION("VLOOKUP(TRIM(E13), ARRAYFORMULA(TRIM(IMPORTRANGE(""1J6TM1lO8a31d96YF89fby9ySWcPcCBlFT37fwLDeDG0"", ""PKR-September 2025!C:Z""))), 5, FALSE)"),"")</f>
        <v/>
      </c>
      <c r="L13" s="643">
        <f>IFERROR(__xludf.DUMMYFUNCTION("value(VLOOKUP(TRIM(E13), ARRAYFORMULA(TRIM(IMPORTRANGE(""1J6TM1lO8a31d96YF89fby9ySWcPcCBlFT37fwLDeDG0"", ""PKR-September 2025!C:Z""))), 6, FALSE))"),30.0)</f>
        <v>30</v>
      </c>
      <c r="M13" s="350">
        <v>45901.0</v>
      </c>
      <c r="N13" s="350">
        <v>45930.0</v>
      </c>
      <c r="O13" s="290">
        <f t="shared" si="1"/>
        <v>370</v>
      </c>
      <c r="P13" s="290">
        <f t="shared" si="2"/>
        <v>1850</v>
      </c>
      <c r="Q13" s="290">
        <f t="shared" si="3"/>
        <v>2220</v>
      </c>
    </row>
    <row r="14">
      <c r="A14" s="282" t="s">
        <v>16</v>
      </c>
      <c r="B14" s="283">
        <v>4320.0</v>
      </c>
      <c r="C14" s="284"/>
      <c r="D14" s="285">
        <v>0.0</v>
      </c>
      <c r="E14" s="282" t="s">
        <v>48</v>
      </c>
      <c r="F14" s="282" t="s">
        <v>49</v>
      </c>
      <c r="G14" s="286" t="s">
        <v>50</v>
      </c>
      <c r="H14" s="287"/>
      <c r="I14" s="288">
        <v>36399.0</v>
      </c>
      <c r="J14" s="294">
        <v>45229.0</v>
      </c>
      <c r="K14" s="350" t="str">
        <f>IFERROR(__xludf.DUMMYFUNCTION("VLOOKUP(TRIM(E14), ARRAYFORMULA(TRIM(IMPORTRANGE(""1J6TM1lO8a31d96YF89fby9ySWcPcCBlFT37fwLDeDG0"", ""PKR-September 2025!C:Z""))), 5, FALSE)"),"")</f>
        <v/>
      </c>
      <c r="L14" s="643">
        <f>IFERROR(__xludf.DUMMYFUNCTION("value(VLOOKUP(TRIM(E14), ARRAYFORMULA(TRIM(IMPORTRANGE(""1J6TM1lO8a31d96YF89fby9ySWcPcCBlFT37fwLDeDG0"", ""PKR-September 2025!C:Z""))), 6, FALSE))"),30.0)</f>
        <v>30</v>
      </c>
      <c r="M14" s="350">
        <v>45901.0</v>
      </c>
      <c r="N14" s="350">
        <v>45930.0</v>
      </c>
      <c r="O14" s="290">
        <f t="shared" si="1"/>
        <v>370</v>
      </c>
      <c r="P14" s="290">
        <f t="shared" si="2"/>
        <v>1850</v>
      </c>
      <c r="Q14" s="290">
        <f t="shared" si="3"/>
        <v>2220</v>
      </c>
    </row>
    <row r="15">
      <c r="A15" s="282" t="s">
        <v>16</v>
      </c>
      <c r="B15" s="283">
        <v>4320.0</v>
      </c>
      <c r="C15" s="284"/>
      <c r="D15" s="285">
        <v>0.0</v>
      </c>
      <c r="E15" s="282" t="s">
        <v>444</v>
      </c>
      <c r="F15" s="282" t="s">
        <v>320</v>
      </c>
      <c r="G15" s="286" t="s">
        <v>321</v>
      </c>
      <c r="H15" s="287"/>
      <c r="I15" s="288">
        <v>36360.0</v>
      </c>
      <c r="J15" s="288">
        <v>45355.0</v>
      </c>
      <c r="K15" s="350" t="str">
        <f>IFERROR(__xludf.DUMMYFUNCTION("VLOOKUP(TRIM(E15), ARRAYFORMULA(TRIM(IMPORTRANGE(""1J6TM1lO8a31d96YF89fby9ySWcPcCBlFT37fwLDeDG0"", ""PKR-September 2025!C:Z""))), 5, FALSE)"),"")</f>
        <v/>
      </c>
      <c r="L15" s="643">
        <f>IFERROR(__xludf.DUMMYFUNCTION("value(VLOOKUP(TRIM(E15), ARRAYFORMULA(TRIM(IMPORTRANGE(""1J6TM1lO8a31d96YF89fby9ySWcPcCBlFT37fwLDeDG0"", ""PKR-September 2025!C:Z""))), 6, FALSE))"),30.0)</f>
        <v>30</v>
      </c>
      <c r="M15" s="350">
        <v>45901.0</v>
      </c>
      <c r="N15" s="350">
        <v>45930.0</v>
      </c>
      <c r="O15" s="290">
        <f t="shared" si="1"/>
        <v>370</v>
      </c>
      <c r="P15" s="290">
        <f t="shared" si="2"/>
        <v>1850</v>
      </c>
      <c r="Q15" s="290">
        <f t="shared" si="3"/>
        <v>2220</v>
      </c>
    </row>
    <row r="16">
      <c r="A16" s="282" t="s">
        <v>16</v>
      </c>
      <c r="B16" s="283">
        <v>4320.0</v>
      </c>
      <c r="C16" s="284"/>
      <c r="D16" s="285">
        <v>0.0</v>
      </c>
      <c r="E16" s="282" t="s">
        <v>383</v>
      </c>
      <c r="F16" s="282" t="s">
        <v>384</v>
      </c>
      <c r="G16" s="286" t="s">
        <v>385</v>
      </c>
      <c r="H16" s="287"/>
      <c r="I16" s="294">
        <v>36183.0</v>
      </c>
      <c r="J16" s="288">
        <v>45418.0</v>
      </c>
      <c r="K16" s="350" t="str">
        <f>IFERROR(__xludf.DUMMYFUNCTION("VLOOKUP(TRIM(E16), ARRAYFORMULA(TRIM(IMPORTRANGE(""1J6TM1lO8a31d96YF89fby9ySWcPcCBlFT37fwLDeDG0"", ""PKR-September 2025!C:Z""))), 5, FALSE)"),"")</f>
        <v/>
      </c>
      <c r="L16" s="643">
        <f>IFERROR(__xludf.DUMMYFUNCTION("value(VLOOKUP(TRIM(E16), ARRAYFORMULA(TRIM(IMPORTRANGE(""1J6TM1lO8a31d96YF89fby9ySWcPcCBlFT37fwLDeDG0"", ""PKR-September 2025!C:Z""))), 6, FALSE))"),30.0)</f>
        <v>30</v>
      </c>
      <c r="M16" s="350">
        <v>45901.0</v>
      </c>
      <c r="N16" s="350">
        <v>45930.0</v>
      </c>
      <c r="O16" s="290">
        <f t="shared" si="1"/>
        <v>370</v>
      </c>
      <c r="P16" s="290">
        <f t="shared" si="2"/>
        <v>1850</v>
      </c>
      <c r="Q16" s="290">
        <f t="shared" si="3"/>
        <v>2220</v>
      </c>
    </row>
    <row r="17">
      <c r="A17" s="282" t="s">
        <v>16</v>
      </c>
      <c r="B17" s="283">
        <v>4320.0</v>
      </c>
      <c r="C17" s="284"/>
      <c r="D17" s="285">
        <v>0.0</v>
      </c>
      <c r="E17" s="282" t="s">
        <v>467</v>
      </c>
      <c r="F17" s="282" t="s">
        <v>511</v>
      </c>
      <c r="G17" s="286" t="s">
        <v>450</v>
      </c>
      <c r="H17" s="287"/>
      <c r="I17" s="288">
        <v>36682.0</v>
      </c>
      <c r="J17" s="288">
        <v>45505.0</v>
      </c>
      <c r="K17" s="350" t="str">
        <f>IFERROR(__xludf.DUMMYFUNCTION("VLOOKUP(TRIM(E17), ARRAYFORMULA(TRIM(IMPORTRANGE(""1J6TM1lO8a31d96YF89fby9ySWcPcCBlFT37fwLDeDG0"", ""PKR-September 2025!C:Z""))), 5, FALSE)"),"")</f>
        <v/>
      </c>
      <c r="L17" s="643">
        <f>IFERROR(__xludf.DUMMYFUNCTION("value(VLOOKUP(TRIM(E17), ARRAYFORMULA(TRIM(IMPORTRANGE(""1J6TM1lO8a31d96YF89fby9ySWcPcCBlFT37fwLDeDG0"", ""PKR-September 2025!C:Z""))), 6, FALSE))"),30.0)</f>
        <v>30</v>
      </c>
      <c r="M17" s="350">
        <v>45901.0</v>
      </c>
      <c r="N17" s="350">
        <v>45930.0</v>
      </c>
      <c r="O17" s="290">
        <f t="shared" si="1"/>
        <v>370</v>
      </c>
      <c r="P17" s="290">
        <f t="shared" si="2"/>
        <v>1850</v>
      </c>
      <c r="Q17" s="290">
        <f t="shared" si="3"/>
        <v>2220</v>
      </c>
    </row>
    <row r="18">
      <c r="A18" s="282" t="s">
        <v>16</v>
      </c>
      <c r="B18" s="283">
        <v>4320.0</v>
      </c>
      <c r="C18" s="284"/>
      <c r="D18" s="285">
        <v>0.0</v>
      </c>
      <c r="E18" s="282" t="s">
        <v>503</v>
      </c>
      <c r="F18" s="282" t="s">
        <v>542</v>
      </c>
      <c r="G18" s="286" t="s">
        <v>504</v>
      </c>
      <c r="H18" s="287"/>
      <c r="I18" s="288">
        <v>37422.0</v>
      </c>
      <c r="J18" s="294">
        <v>45635.0</v>
      </c>
      <c r="K18" s="350" t="str">
        <f>IFERROR(__xludf.DUMMYFUNCTION("VLOOKUP(TRIM(E18), ARRAYFORMULA(TRIM(IMPORTRANGE(""1J6TM1lO8a31d96YF89fby9ySWcPcCBlFT37fwLDeDG0"", ""PKR-September 2025!C:Z""))), 5, FALSE)"),"")</f>
        <v/>
      </c>
      <c r="L18" s="643">
        <f>IFERROR(__xludf.DUMMYFUNCTION("value(VLOOKUP(TRIM(E18), ARRAYFORMULA(TRIM(IMPORTRANGE(""1J6TM1lO8a31d96YF89fby9ySWcPcCBlFT37fwLDeDG0"", ""PKR-September 2025!C:Z""))), 6, FALSE))"),30.0)</f>
        <v>30</v>
      </c>
      <c r="M18" s="350">
        <v>45901.0</v>
      </c>
      <c r="N18" s="350">
        <v>45930.0</v>
      </c>
      <c r="O18" s="290">
        <f t="shared" si="1"/>
        <v>370</v>
      </c>
      <c r="P18" s="290">
        <f t="shared" si="2"/>
        <v>1850</v>
      </c>
      <c r="Q18" s="290">
        <f t="shared" si="3"/>
        <v>2220</v>
      </c>
    </row>
    <row r="19">
      <c r="A19" s="282" t="s">
        <v>16</v>
      </c>
      <c r="B19" s="283">
        <v>4320.0</v>
      </c>
      <c r="C19" s="284"/>
      <c r="D19" s="285">
        <v>0.0</v>
      </c>
      <c r="E19" s="282" t="s">
        <v>594</v>
      </c>
      <c r="F19" s="282" t="s">
        <v>595</v>
      </c>
      <c r="G19" s="286" t="s">
        <v>596</v>
      </c>
      <c r="H19" s="287"/>
      <c r="I19" s="288">
        <v>37809.0</v>
      </c>
      <c r="J19" s="288">
        <v>45684.0</v>
      </c>
      <c r="K19" s="350" t="str">
        <f>IFERROR(__xludf.DUMMYFUNCTION("VLOOKUP(TRIM(E19), ARRAYFORMULA(TRIM(IMPORTRANGE(""1J6TM1lO8a31d96YF89fby9ySWcPcCBlFT37fwLDeDG0"", ""PKR-September 2025!C:Z""))), 5, FALSE)"),"")</f>
        <v/>
      </c>
      <c r="L19" s="643">
        <f>IFERROR(__xludf.DUMMYFUNCTION("value(VLOOKUP(TRIM(E19), ARRAYFORMULA(TRIM(IMPORTRANGE(""1J6TM1lO8a31d96YF89fby9ySWcPcCBlFT37fwLDeDG0"", ""PKR-September 2025!C:Z""))), 6, FALSE))"),30.0)</f>
        <v>30</v>
      </c>
      <c r="M19" s="350">
        <v>45901.0</v>
      </c>
      <c r="N19" s="350">
        <v>45930.0</v>
      </c>
      <c r="O19" s="290">
        <f t="shared" si="1"/>
        <v>370</v>
      </c>
      <c r="P19" s="290">
        <f t="shared" si="2"/>
        <v>1850</v>
      </c>
      <c r="Q19" s="290">
        <f t="shared" si="3"/>
        <v>2220</v>
      </c>
    </row>
    <row r="20">
      <c r="A20" s="282" t="s">
        <v>16</v>
      </c>
      <c r="B20" s="283">
        <v>4320.0</v>
      </c>
      <c r="C20" s="284"/>
      <c r="D20" s="285">
        <v>0.0</v>
      </c>
      <c r="E20" s="282" t="s">
        <v>63</v>
      </c>
      <c r="F20" s="282" t="s">
        <v>64</v>
      </c>
      <c r="G20" s="286" t="s">
        <v>65</v>
      </c>
      <c r="H20" s="287"/>
      <c r="I20" s="288">
        <v>35606.0</v>
      </c>
      <c r="J20" s="288">
        <v>44896.0</v>
      </c>
      <c r="K20" s="350" t="str">
        <f>IFERROR(__xludf.DUMMYFUNCTION("VLOOKUP(TRIM(E20), ARRAYFORMULA(TRIM(IMPORTRANGE(""1J6TM1lO8a31d96YF89fby9ySWcPcCBlFT37fwLDeDG0"", ""PKR-September 2025!C:Z""))), 5, FALSE)"),"")</f>
        <v/>
      </c>
      <c r="L20" s="643">
        <f>IFERROR(__xludf.DUMMYFUNCTION("value(VLOOKUP(TRIM(E20), ARRAYFORMULA(TRIM(IMPORTRANGE(""1J6TM1lO8a31d96YF89fby9ySWcPcCBlFT37fwLDeDG0"", ""PKR-September 2025!C:Z""))), 6, FALSE))"),30.0)</f>
        <v>30</v>
      </c>
      <c r="M20" s="350">
        <v>45901.0</v>
      </c>
      <c r="N20" s="350">
        <v>45930.0</v>
      </c>
      <c r="O20" s="290">
        <f t="shared" si="1"/>
        <v>370</v>
      </c>
      <c r="P20" s="290">
        <f t="shared" si="2"/>
        <v>1850</v>
      </c>
      <c r="Q20" s="290">
        <f t="shared" si="3"/>
        <v>2220</v>
      </c>
    </row>
    <row r="21">
      <c r="A21" s="282" t="s">
        <v>16</v>
      </c>
      <c r="B21" s="283">
        <v>4320.0</v>
      </c>
      <c r="C21" s="284"/>
      <c r="D21" s="285">
        <v>0.0</v>
      </c>
      <c r="E21" s="282" t="s">
        <v>63</v>
      </c>
      <c r="F21" s="282" t="s">
        <v>543</v>
      </c>
      <c r="G21" s="286" t="s">
        <v>505</v>
      </c>
      <c r="H21" s="287"/>
      <c r="I21" s="288">
        <v>36725.0</v>
      </c>
      <c r="J21" s="288">
        <v>45635.0</v>
      </c>
      <c r="K21" s="350" t="str">
        <f>IFERROR(__xludf.DUMMYFUNCTION("VLOOKUP(TRIM(E21), ARRAYFORMULA(TRIM(IMPORTRANGE(""1J6TM1lO8a31d96YF89fby9ySWcPcCBlFT37fwLDeDG0"", ""PKR-September 2025!C:Z""))), 5, FALSE)"),"")</f>
        <v/>
      </c>
      <c r="L21" s="643">
        <f>IFERROR(__xludf.DUMMYFUNCTION("value(VLOOKUP(TRIM(E21), ARRAYFORMULA(TRIM(IMPORTRANGE(""1J6TM1lO8a31d96YF89fby9ySWcPcCBlFT37fwLDeDG0"", ""PKR-September 2025!C:Z""))), 6, FALSE))"),30.0)</f>
        <v>30</v>
      </c>
      <c r="M21" s="350">
        <v>45901.0</v>
      </c>
      <c r="N21" s="350">
        <v>45930.0</v>
      </c>
      <c r="O21" s="290">
        <f t="shared" si="1"/>
        <v>370</v>
      </c>
      <c r="P21" s="290">
        <f t="shared" si="2"/>
        <v>1850</v>
      </c>
      <c r="Q21" s="290">
        <f t="shared" si="3"/>
        <v>2220</v>
      </c>
    </row>
    <row r="22">
      <c r="A22" s="282" t="s">
        <v>16</v>
      </c>
      <c r="B22" s="283">
        <v>4320.0</v>
      </c>
      <c r="C22" s="284"/>
      <c r="D22" s="285">
        <v>0.0</v>
      </c>
      <c r="E22" s="298" t="s">
        <v>591</v>
      </c>
      <c r="F22" s="282" t="s">
        <v>592</v>
      </c>
      <c r="G22" s="286" t="s">
        <v>593</v>
      </c>
      <c r="H22" s="287"/>
      <c r="I22" s="288">
        <v>37041.0</v>
      </c>
      <c r="J22" s="288">
        <v>45684.0</v>
      </c>
      <c r="K22" s="350" t="str">
        <f>IFERROR(__xludf.DUMMYFUNCTION("VLOOKUP(TRIM(E22), ARRAYFORMULA(TRIM(IMPORTRANGE(""1J6TM1lO8a31d96YF89fby9ySWcPcCBlFT37fwLDeDG0"", ""PKR-September 2025!C:Z""))), 5, FALSE)"),"")</f>
        <v/>
      </c>
      <c r="L22" s="643">
        <f>IFERROR(__xludf.DUMMYFUNCTION("value(VLOOKUP(TRIM(E22), ARRAYFORMULA(TRIM(IMPORTRANGE(""1J6TM1lO8a31d96YF89fby9ySWcPcCBlFT37fwLDeDG0"", ""PKR-September 2025!C:Z""))), 6, FALSE))"),30.0)</f>
        <v>30</v>
      </c>
      <c r="M22" s="350">
        <v>45901.0</v>
      </c>
      <c r="N22" s="350">
        <v>45930.0</v>
      </c>
      <c r="O22" s="290">
        <f t="shared" si="1"/>
        <v>370</v>
      </c>
      <c r="P22" s="290">
        <f t="shared" si="2"/>
        <v>1850</v>
      </c>
      <c r="Q22" s="290">
        <f t="shared" si="3"/>
        <v>2220</v>
      </c>
    </row>
    <row r="23">
      <c r="A23" s="282" t="s">
        <v>16</v>
      </c>
      <c r="B23" s="283">
        <v>4320.0</v>
      </c>
      <c r="C23" s="284"/>
      <c r="D23" s="285">
        <v>0.0</v>
      </c>
      <c r="E23" s="282" t="s">
        <v>468</v>
      </c>
      <c r="F23" s="282" t="s">
        <v>527</v>
      </c>
      <c r="G23" s="286" t="s">
        <v>469</v>
      </c>
      <c r="H23" s="287"/>
      <c r="I23" s="288">
        <v>35986.0</v>
      </c>
      <c r="J23" s="288">
        <v>45537.0</v>
      </c>
      <c r="K23" s="350" t="str">
        <f>IFERROR(__xludf.DUMMYFUNCTION("VLOOKUP(TRIM(E23), ARRAYFORMULA(TRIM(IMPORTRANGE(""1J6TM1lO8a31d96YF89fby9ySWcPcCBlFT37fwLDeDG0"", ""PKR-September 2025!C:Z""))), 5, FALSE)"),"")</f>
        <v/>
      </c>
      <c r="L23" s="643">
        <f>IFERROR(__xludf.DUMMYFUNCTION("value(VLOOKUP(TRIM(E23), ARRAYFORMULA(TRIM(IMPORTRANGE(""1J6TM1lO8a31d96YF89fby9ySWcPcCBlFT37fwLDeDG0"", ""PKR-September 2025!C:Z""))), 6, FALSE))"),30.0)</f>
        <v>30</v>
      </c>
      <c r="M23" s="350">
        <v>45901.0</v>
      </c>
      <c r="N23" s="350">
        <v>45930.0</v>
      </c>
      <c r="O23" s="290">
        <f t="shared" si="1"/>
        <v>370</v>
      </c>
      <c r="P23" s="290">
        <f t="shared" si="2"/>
        <v>1850</v>
      </c>
      <c r="Q23" s="290">
        <f t="shared" si="3"/>
        <v>2220</v>
      </c>
    </row>
    <row r="24">
      <c r="A24" s="282" t="s">
        <v>16</v>
      </c>
      <c r="B24" s="283">
        <v>4320.0</v>
      </c>
      <c r="C24" s="284"/>
      <c r="D24" s="285">
        <v>0.0</v>
      </c>
      <c r="E24" s="282" t="s">
        <v>555</v>
      </c>
      <c r="F24" s="282" t="s">
        <v>556</v>
      </c>
      <c r="G24" s="286" t="s">
        <v>557</v>
      </c>
      <c r="H24" s="287"/>
      <c r="I24" s="294">
        <v>36135.0</v>
      </c>
      <c r="J24" s="288">
        <v>45663.0</v>
      </c>
      <c r="K24" s="350" t="str">
        <f>IFERROR(__xludf.DUMMYFUNCTION("VLOOKUP(TRIM(E24), ARRAYFORMULA(TRIM(IMPORTRANGE(""1J6TM1lO8a31d96YF89fby9ySWcPcCBlFT37fwLDeDG0"", ""PKR-September 2025!C:Z""))), 5, FALSE)"),"")</f>
        <v/>
      </c>
      <c r="L24" s="643">
        <f>IFERROR(__xludf.DUMMYFUNCTION("value(VLOOKUP(TRIM(E24), ARRAYFORMULA(TRIM(IMPORTRANGE(""1J6TM1lO8a31d96YF89fby9ySWcPcCBlFT37fwLDeDG0"", ""PKR-September 2025!C:Z""))), 6, FALSE))"),30.0)</f>
        <v>30</v>
      </c>
      <c r="M24" s="350">
        <v>45901.0</v>
      </c>
      <c r="N24" s="350">
        <v>45930.0</v>
      </c>
      <c r="O24" s="290">
        <f t="shared" si="1"/>
        <v>370</v>
      </c>
      <c r="P24" s="290">
        <f t="shared" si="2"/>
        <v>1850</v>
      </c>
      <c r="Q24" s="290">
        <f t="shared" si="3"/>
        <v>2220</v>
      </c>
    </row>
    <row r="25">
      <c r="A25" s="282" t="s">
        <v>16</v>
      </c>
      <c r="B25" s="283">
        <v>4320.0</v>
      </c>
      <c r="C25" s="284"/>
      <c r="D25" s="301">
        <v>0.0</v>
      </c>
      <c r="E25" s="282" t="s">
        <v>392</v>
      </c>
      <c r="F25" s="282" t="s">
        <v>393</v>
      </c>
      <c r="G25" s="286" t="s">
        <v>394</v>
      </c>
      <c r="H25" s="287"/>
      <c r="I25" s="288">
        <v>34922.0</v>
      </c>
      <c r="J25" s="294">
        <v>45418.0</v>
      </c>
      <c r="K25" s="350" t="str">
        <f>IFERROR(__xludf.DUMMYFUNCTION("VLOOKUP(TRIM(E25), ARRAYFORMULA(TRIM(IMPORTRANGE(""1J6TM1lO8a31d96YF89fby9ySWcPcCBlFT37fwLDeDG0"", ""PKR-September 2025!C:Z""))), 5, FALSE)"),"")</f>
        <v/>
      </c>
      <c r="L25" s="643">
        <f>IFERROR(__xludf.DUMMYFUNCTION("value(VLOOKUP(TRIM(E25), ARRAYFORMULA(TRIM(IMPORTRANGE(""1J6TM1lO8a31d96YF89fby9ySWcPcCBlFT37fwLDeDG0"", ""PKR-September 2025!C:Z""))), 6, FALSE))"),30.0)</f>
        <v>30</v>
      </c>
      <c r="M25" s="350">
        <v>45901.0</v>
      </c>
      <c r="N25" s="350">
        <v>45930.0</v>
      </c>
      <c r="O25" s="290">
        <f t="shared" si="1"/>
        <v>370</v>
      </c>
      <c r="P25" s="290">
        <f t="shared" si="2"/>
        <v>1850</v>
      </c>
      <c r="Q25" s="290">
        <f t="shared" si="3"/>
        <v>2220</v>
      </c>
    </row>
    <row r="26">
      <c r="A26" s="282" t="s">
        <v>16</v>
      </c>
      <c r="B26" s="283">
        <v>4320.0</v>
      </c>
      <c r="C26" s="289"/>
      <c r="D26" s="285">
        <v>0.0</v>
      </c>
      <c r="E26" s="291" t="s">
        <v>696</v>
      </c>
      <c r="F26" s="292" t="s">
        <v>930</v>
      </c>
      <c r="G26" s="289" t="s">
        <v>698</v>
      </c>
      <c r="H26" s="289"/>
      <c r="I26" s="293">
        <v>36474.0</v>
      </c>
      <c r="J26" s="288">
        <v>45698.0</v>
      </c>
      <c r="K26" s="350" t="str">
        <f>IFERROR(__xludf.DUMMYFUNCTION("VLOOKUP(TRIM(E26), ARRAYFORMULA(TRIM(IMPORTRANGE(""1J6TM1lO8a31d96YF89fby9ySWcPcCBlFT37fwLDeDG0"", ""PKR-September 2025!C:Z""))), 5, FALSE)"),"")</f>
        <v/>
      </c>
      <c r="L26" s="643">
        <f>IFERROR(__xludf.DUMMYFUNCTION("value(VLOOKUP(TRIM(E26), ARRAYFORMULA(TRIM(IMPORTRANGE(""1J6TM1lO8a31d96YF89fby9ySWcPcCBlFT37fwLDeDG0"", ""PKR-September 2025!C:Z""))), 6, FALSE))"),30.0)</f>
        <v>30</v>
      </c>
      <c r="M26" s="350">
        <v>45901.0</v>
      </c>
      <c r="N26" s="350">
        <v>45930.0</v>
      </c>
      <c r="O26" s="290">
        <f t="shared" si="1"/>
        <v>370</v>
      </c>
      <c r="P26" s="290">
        <f t="shared" si="2"/>
        <v>1850</v>
      </c>
      <c r="Q26" s="290">
        <f t="shared" si="3"/>
        <v>2220</v>
      </c>
    </row>
    <row r="27">
      <c r="A27" s="282" t="s">
        <v>16</v>
      </c>
      <c r="B27" s="283">
        <v>4320.0</v>
      </c>
      <c r="C27" s="289"/>
      <c r="D27" s="285">
        <v>0.0</v>
      </c>
      <c r="E27" s="303" t="s">
        <v>699</v>
      </c>
      <c r="F27" s="304" t="s">
        <v>931</v>
      </c>
      <c r="G27" s="289" t="s">
        <v>701</v>
      </c>
      <c r="H27" s="289"/>
      <c r="I27" s="293">
        <v>36474.0</v>
      </c>
      <c r="J27" s="288">
        <v>45698.0</v>
      </c>
      <c r="K27" s="350" t="str">
        <f>IFERROR(__xludf.DUMMYFUNCTION("VLOOKUP(TRIM(E27), ARRAYFORMULA(TRIM(IMPORTRANGE(""1J6TM1lO8a31d96YF89fby9ySWcPcCBlFT37fwLDeDG0"", ""PKR-September 2025!C:Z""))), 5, FALSE)"),"")</f>
        <v/>
      </c>
      <c r="L27" s="643">
        <f>IFERROR(__xludf.DUMMYFUNCTION("value(VLOOKUP(TRIM(E27), ARRAYFORMULA(TRIM(IMPORTRANGE(""1J6TM1lO8a31d96YF89fby9ySWcPcCBlFT37fwLDeDG0"", ""PKR-September 2025!C:Z""))), 6, FALSE))"),30.0)</f>
        <v>30</v>
      </c>
      <c r="M27" s="350">
        <v>45901.0</v>
      </c>
      <c r="N27" s="350">
        <v>45930.0</v>
      </c>
      <c r="O27" s="290">
        <f t="shared" si="1"/>
        <v>370</v>
      </c>
      <c r="P27" s="290">
        <f t="shared" si="2"/>
        <v>1850</v>
      </c>
      <c r="Q27" s="290">
        <f t="shared" si="3"/>
        <v>2220</v>
      </c>
    </row>
    <row r="28">
      <c r="A28" s="282" t="s">
        <v>16</v>
      </c>
      <c r="B28" s="283">
        <v>4320.0</v>
      </c>
      <c r="C28" s="284"/>
      <c r="D28" s="301">
        <v>0.0</v>
      </c>
      <c r="E28" s="282" t="s">
        <v>576</v>
      </c>
      <c r="F28" s="282" t="s">
        <v>577</v>
      </c>
      <c r="G28" s="286" t="s">
        <v>578</v>
      </c>
      <c r="H28" s="287"/>
      <c r="I28" s="288">
        <v>37944.0</v>
      </c>
      <c r="J28" s="288">
        <v>45677.0</v>
      </c>
      <c r="K28" s="350" t="str">
        <f>IFERROR(__xludf.DUMMYFUNCTION("VLOOKUP(TRIM(E28), ARRAYFORMULA(TRIM(IMPORTRANGE(""1J6TM1lO8a31d96YF89fby9ySWcPcCBlFT37fwLDeDG0"", ""PKR-September 2025!C:Z""))), 5, FALSE)"),"")</f>
        <v/>
      </c>
      <c r="L28" s="643">
        <f>IFERROR(__xludf.DUMMYFUNCTION("value(VLOOKUP(TRIM(E28), ARRAYFORMULA(TRIM(IMPORTRANGE(""1J6TM1lO8a31d96YF89fby9ySWcPcCBlFT37fwLDeDG0"", ""PKR-September 2025!C:Z""))), 6, FALSE))"),30.0)</f>
        <v>30</v>
      </c>
      <c r="M28" s="350">
        <v>45901.0</v>
      </c>
      <c r="N28" s="350">
        <v>45930.0</v>
      </c>
      <c r="O28" s="290">
        <f t="shared" si="1"/>
        <v>370</v>
      </c>
      <c r="P28" s="290">
        <f t="shared" si="2"/>
        <v>1850</v>
      </c>
      <c r="Q28" s="290">
        <f t="shared" si="3"/>
        <v>2220</v>
      </c>
    </row>
    <row r="29">
      <c r="A29" s="282" t="s">
        <v>16</v>
      </c>
      <c r="B29" s="283">
        <v>4320.0</v>
      </c>
      <c r="C29" s="284"/>
      <c r="D29" s="301">
        <v>0.0</v>
      </c>
      <c r="E29" s="282" t="s">
        <v>546</v>
      </c>
      <c r="F29" s="282" t="s">
        <v>547</v>
      </c>
      <c r="G29" s="286" t="s">
        <v>548</v>
      </c>
      <c r="H29" s="287"/>
      <c r="I29" s="288">
        <v>38255.0</v>
      </c>
      <c r="J29" s="288">
        <v>45658.0</v>
      </c>
      <c r="K29" s="350" t="str">
        <f>IFERROR(__xludf.DUMMYFUNCTION("VLOOKUP(TRIM(E29), ARRAYFORMULA(TRIM(IMPORTRANGE(""1J6TM1lO8a31d96YF89fby9ySWcPcCBlFT37fwLDeDG0"", ""PKR-September 2025!C:Z""))), 5, FALSE)"),"")</f>
        <v/>
      </c>
      <c r="L29" s="643">
        <f>IFERROR(__xludf.DUMMYFUNCTION("value(VLOOKUP(TRIM(E29), ARRAYFORMULA(TRIM(IMPORTRANGE(""1J6TM1lO8a31d96YF89fby9ySWcPcCBlFT37fwLDeDG0"", ""PKR-September 2025!C:Z""))), 6, FALSE))"),30.0)</f>
        <v>30</v>
      </c>
      <c r="M29" s="350">
        <v>45901.0</v>
      </c>
      <c r="N29" s="350">
        <v>45930.0</v>
      </c>
      <c r="O29" s="290">
        <f t="shared" si="1"/>
        <v>370</v>
      </c>
      <c r="P29" s="290">
        <f t="shared" si="2"/>
        <v>1850</v>
      </c>
      <c r="Q29" s="290">
        <f t="shared" si="3"/>
        <v>2220</v>
      </c>
    </row>
    <row r="30">
      <c r="A30" s="282" t="s">
        <v>16</v>
      </c>
      <c r="B30" s="283">
        <v>4320.0</v>
      </c>
      <c r="C30" s="284"/>
      <c r="D30" s="305">
        <v>0.0</v>
      </c>
      <c r="E30" s="282" t="s">
        <v>451</v>
      </c>
      <c r="F30" s="282" t="s">
        <v>512</v>
      </c>
      <c r="G30" s="286" t="s">
        <v>415</v>
      </c>
      <c r="H30" s="287"/>
      <c r="I30" s="288">
        <v>36443.0</v>
      </c>
      <c r="J30" s="288">
        <v>45446.0</v>
      </c>
      <c r="K30" s="350" t="str">
        <f>IFERROR(__xludf.DUMMYFUNCTION("VLOOKUP(TRIM(E30), ARRAYFORMULA(TRIM(IMPORTRANGE(""1J6TM1lO8a31d96YF89fby9ySWcPcCBlFT37fwLDeDG0"", ""PKR-September 2025!C:Z""))), 5, FALSE)"),"")</f>
        <v/>
      </c>
      <c r="L30" s="643">
        <f>IFERROR(__xludf.DUMMYFUNCTION("value(VLOOKUP(TRIM(E30), ARRAYFORMULA(TRIM(IMPORTRANGE(""1J6TM1lO8a31d96YF89fby9ySWcPcCBlFT37fwLDeDG0"", ""PKR-September 2025!C:Z""))), 6, FALSE))"),30.0)</f>
        <v>30</v>
      </c>
      <c r="M30" s="350">
        <v>45901.0</v>
      </c>
      <c r="N30" s="350">
        <v>45930.0</v>
      </c>
      <c r="O30" s="290">
        <f t="shared" si="1"/>
        <v>370</v>
      </c>
      <c r="P30" s="290">
        <f t="shared" si="2"/>
        <v>1850</v>
      </c>
      <c r="Q30" s="290">
        <f t="shared" si="3"/>
        <v>2220</v>
      </c>
    </row>
    <row r="31">
      <c r="A31" s="282" t="s">
        <v>16</v>
      </c>
      <c r="B31" s="283">
        <v>4320.0</v>
      </c>
      <c r="C31" s="284"/>
      <c r="D31" s="301">
        <v>0.0</v>
      </c>
      <c r="E31" s="282" t="s">
        <v>579</v>
      </c>
      <c r="F31" s="282" t="s">
        <v>580</v>
      </c>
      <c r="G31" s="286" t="s">
        <v>581</v>
      </c>
      <c r="H31" s="287"/>
      <c r="I31" s="288">
        <v>37609.0</v>
      </c>
      <c r="J31" s="288">
        <v>45677.0</v>
      </c>
      <c r="K31" s="350" t="str">
        <f>IFERROR(__xludf.DUMMYFUNCTION("VLOOKUP(TRIM(E31), ARRAYFORMULA(TRIM(IMPORTRANGE(""1J6TM1lO8a31d96YF89fby9ySWcPcCBlFT37fwLDeDG0"", ""PKR-September 2025!C:Z""))), 5, FALSE)"),"")</f>
        <v/>
      </c>
      <c r="L31" s="643">
        <f>IFERROR(__xludf.DUMMYFUNCTION("value(VLOOKUP(TRIM(E31), ARRAYFORMULA(TRIM(IMPORTRANGE(""1J6TM1lO8a31d96YF89fby9ySWcPcCBlFT37fwLDeDG0"", ""PKR-September 2025!C:Z""))), 6, FALSE))"),30.0)</f>
        <v>30</v>
      </c>
      <c r="M31" s="350">
        <v>45901.0</v>
      </c>
      <c r="N31" s="350">
        <v>45930.0</v>
      </c>
      <c r="O31" s="290">
        <f t="shared" si="1"/>
        <v>370</v>
      </c>
      <c r="P31" s="290">
        <f t="shared" si="2"/>
        <v>1850</v>
      </c>
      <c r="Q31" s="290">
        <f t="shared" si="3"/>
        <v>2220</v>
      </c>
    </row>
    <row r="32">
      <c r="A32" s="282" t="s">
        <v>16</v>
      </c>
      <c r="B32" s="283">
        <v>4320.0</v>
      </c>
      <c r="C32" s="284"/>
      <c r="D32" s="301">
        <v>0.0</v>
      </c>
      <c r="E32" s="282" t="s">
        <v>476</v>
      </c>
      <c r="F32" s="282" t="s">
        <v>529</v>
      </c>
      <c r="G32" s="286" t="s">
        <v>477</v>
      </c>
      <c r="H32" s="287"/>
      <c r="I32" s="288">
        <v>37220.0</v>
      </c>
      <c r="J32" s="288">
        <v>45572.0</v>
      </c>
      <c r="K32" s="350" t="str">
        <f>IFERROR(__xludf.DUMMYFUNCTION("VLOOKUP(TRIM(E32), ARRAYFORMULA(TRIM(IMPORTRANGE(""1J6TM1lO8a31d96YF89fby9ySWcPcCBlFT37fwLDeDG0"", ""PKR-September 2025!C:Z""))), 5, FALSE)"),"")</f>
        <v/>
      </c>
      <c r="L32" s="643">
        <f>IFERROR(__xludf.DUMMYFUNCTION("value(VLOOKUP(TRIM(E32), ARRAYFORMULA(TRIM(IMPORTRANGE(""1J6TM1lO8a31d96YF89fby9ySWcPcCBlFT37fwLDeDG0"", ""PKR-September 2025!C:Z""))), 6, FALSE))"),30.0)</f>
        <v>30</v>
      </c>
      <c r="M32" s="350">
        <v>45901.0</v>
      </c>
      <c r="N32" s="350">
        <v>45930.0</v>
      </c>
      <c r="O32" s="290">
        <f t="shared" si="1"/>
        <v>370</v>
      </c>
      <c r="P32" s="290">
        <f t="shared" si="2"/>
        <v>1850</v>
      </c>
      <c r="Q32" s="290">
        <f t="shared" si="3"/>
        <v>2220</v>
      </c>
    </row>
    <row r="33">
      <c r="A33" s="282" t="s">
        <v>16</v>
      </c>
      <c r="B33" s="283">
        <v>4320.0</v>
      </c>
      <c r="C33" s="284"/>
      <c r="D33" s="301">
        <v>0.0</v>
      </c>
      <c r="E33" s="282" t="s">
        <v>102</v>
      </c>
      <c r="F33" s="282" t="s">
        <v>103</v>
      </c>
      <c r="G33" s="286" t="s">
        <v>104</v>
      </c>
      <c r="H33" s="287"/>
      <c r="I33" s="288">
        <v>33240.0</v>
      </c>
      <c r="J33" s="288">
        <v>44287.0</v>
      </c>
      <c r="K33" s="350" t="str">
        <f>IFERROR(__xludf.DUMMYFUNCTION("VLOOKUP(TRIM(E33), ARRAYFORMULA(TRIM(IMPORTRANGE(""1J6TM1lO8a31d96YF89fby9ySWcPcCBlFT37fwLDeDG0"", ""PKR-September 2025!C:Z""))), 5, FALSE)"),"")</f>
        <v/>
      </c>
      <c r="L33" s="643">
        <f>IFERROR(__xludf.DUMMYFUNCTION("value(VLOOKUP(TRIM(E33), ARRAYFORMULA(TRIM(IMPORTRANGE(""1J6TM1lO8a31d96YF89fby9ySWcPcCBlFT37fwLDeDG0"", ""PKR-September 2025!C:Z""))), 6, FALSE))"),30.0)</f>
        <v>30</v>
      </c>
      <c r="M33" s="350">
        <v>45901.0</v>
      </c>
      <c r="N33" s="350">
        <v>45930.0</v>
      </c>
      <c r="O33" s="290">
        <f t="shared" si="1"/>
        <v>370</v>
      </c>
      <c r="P33" s="290">
        <f t="shared" si="2"/>
        <v>1850</v>
      </c>
      <c r="Q33" s="290">
        <f t="shared" si="3"/>
        <v>2220</v>
      </c>
    </row>
    <row r="34">
      <c r="A34" s="282" t="s">
        <v>16</v>
      </c>
      <c r="B34" s="283">
        <v>4320.0</v>
      </c>
      <c r="C34" s="284"/>
      <c r="D34" s="305">
        <v>0.0</v>
      </c>
      <c r="E34" s="282" t="s">
        <v>508</v>
      </c>
      <c r="F34" s="282" t="s">
        <v>545</v>
      </c>
      <c r="G34" s="286" t="s">
        <v>509</v>
      </c>
      <c r="H34" s="287"/>
      <c r="I34" s="288">
        <v>36637.0</v>
      </c>
      <c r="J34" s="288">
        <v>45649.0</v>
      </c>
      <c r="K34" s="350" t="str">
        <f>IFERROR(__xludf.DUMMYFUNCTION("VLOOKUP(TRIM(E34), ARRAYFORMULA(TRIM(IMPORTRANGE(""1J6TM1lO8a31d96YF89fby9ySWcPcCBlFT37fwLDeDG0"", ""PKR-September 2025!C:Z""))), 5, FALSE)"),"")</f>
        <v/>
      </c>
      <c r="L34" s="643">
        <f>IFERROR(__xludf.DUMMYFUNCTION("value(VLOOKUP(TRIM(E34), ARRAYFORMULA(TRIM(IMPORTRANGE(""1J6TM1lO8a31d96YF89fby9ySWcPcCBlFT37fwLDeDG0"", ""PKR-September 2025!C:Z""))), 6, FALSE))"),30.0)</f>
        <v>30</v>
      </c>
      <c r="M34" s="350">
        <v>45901.0</v>
      </c>
      <c r="N34" s="350">
        <v>45930.0</v>
      </c>
      <c r="O34" s="290">
        <f t="shared" si="1"/>
        <v>370</v>
      </c>
      <c r="P34" s="290">
        <f t="shared" si="2"/>
        <v>1850</v>
      </c>
      <c r="Q34" s="290">
        <f t="shared" si="3"/>
        <v>2220</v>
      </c>
    </row>
    <row r="35">
      <c r="A35" s="282" t="s">
        <v>16</v>
      </c>
      <c r="B35" s="283">
        <v>4320.0</v>
      </c>
      <c r="C35" s="284"/>
      <c r="D35" s="301">
        <v>0.0</v>
      </c>
      <c r="E35" s="282" t="s">
        <v>370</v>
      </c>
      <c r="F35" s="282" t="s">
        <v>371</v>
      </c>
      <c r="G35" s="286" t="s">
        <v>372</v>
      </c>
      <c r="H35" s="287"/>
      <c r="I35" s="288">
        <v>35551.0</v>
      </c>
      <c r="J35" s="288">
        <v>45383.0</v>
      </c>
      <c r="K35" s="350" t="str">
        <f>IFERROR(__xludf.DUMMYFUNCTION("VLOOKUP(TRIM(E35), ARRAYFORMULA(TRIM(IMPORTRANGE(""1J6TM1lO8a31d96YF89fby9ySWcPcCBlFT37fwLDeDG0"", ""PKR-September 2025!C:Z""))), 5, FALSE)"),"")</f>
        <v/>
      </c>
      <c r="L35" s="643">
        <f>IFERROR(__xludf.DUMMYFUNCTION("value(VLOOKUP(TRIM(E35), ARRAYFORMULA(TRIM(IMPORTRANGE(""1J6TM1lO8a31d96YF89fby9ySWcPcCBlFT37fwLDeDG0"", ""PKR-September 2025!C:Z""))), 6, FALSE))"),30.0)</f>
        <v>30</v>
      </c>
      <c r="M35" s="350">
        <v>45901.0</v>
      </c>
      <c r="N35" s="350">
        <v>45930.0</v>
      </c>
      <c r="O35" s="290">
        <f t="shared" si="1"/>
        <v>370</v>
      </c>
      <c r="P35" s="290">
        <f t="shared" si="2"/>
        <v>1850</v>
      </c>
      <c r="Q35" s="290">
        <f t="shared" si="3"/>
        <v>2220</v>
      </c>
    </row>
    <row r="36">
      <c r="A36" s="282" t="s">
        <v>16</v>
      </c>
      <c r="B36" s="283">
        <v>4320.0</v>
      </c>
      <c r="C36" s="284"/>
      <c r="D36" s="305">
        <v>0.0</v>
      </c>
      <c r="E36" s="282" t="s">
        <v>114</v>
      </c>
      <c r="F36" s="282" t="s">
        <v>514</v>
      </c>
      <c r="G36" s="286" t="s">
        <v>456</v>
      </c>
      <c r="H36" s="287"/>
      <c r="I36" s="288">
        <v>35872.0</v>
      </c>
      <c r="J36" s="288">
        <v>45523.0</v>
      </c>
      <c r="K36" s="350" t="str">
        <f>IFERROR(__xludf.DUMMYFUNCTION("VLOOKUP(TRIM(E36), ARRAYFORMULA(TRIM(IMPORTRANGE(""1J6TM1lO8a31d96YF89fby9ySWcPcCBlFT37fwLDeDG0"", ""PKR-September 2025!C:Z""))), 5, FALSE)"),"")</f>
        <v/>
      </c>
      <c r="L36" s="643">
        <f>IFERROR(__xludf.DUMMYFUNCTION("value(VLOOKUP(TRIM(E36), ARRAYFORMULA(TRIM(IMPORTRANGE(""1J6TM1lO8a31d96YF89fby9ySWcPcCBlFT37fwLDeDG0"", ""PKR-September 2025!C:Z""))), 6, FALSE))"),30.0)</f>
        <v>30</v>
      </c>
      <c r="M36" s="350">
        <v>45901.0</v>
      </c>
      <c r="N36" s="350">
        <v>45930.0</v>
      </c>
      <c r="O36" s="290">
        <f t="shared" si="1"/>
        <v>370</v>
      </c>
      <c r="P36" s="290">
        <f t="shared" si="2"/>
        <v>1850</v>
      </c>
      <c r="Q36" s="290">
        <f t="shared" si="3"/>
        <v>2220</v>
      </c>
    </row>
    <row r="37">
      <c r="A37" s="282" t="s">
        <v>16</v>
      </c>
      <c r="B37" s="283">
        <v>4320.0</v>
      </c>
      <c r="C37" s="284"/>
      <c r="D37" s="301">
        <v>0.0</v>
      </c>
      <c r="E37" s="282" t="s">
        <v>487</v>
      </c>
      <c r="F37" s="282" t="s">
        <v>533</v>
      </c>
      <c r="G37" s="286" t="s">
        <v>488</v>
      </c>
      <c r="H37" s="287"/>
      <c r="I37" s="294">
        <v>35195.0</v>
      </c>
      <c r="J37" s="288">
        <v>45602.0</v>
      </c>
      <c r="K37" s="350" t="str">
        <f>IFERROR(__xludf.DUMMYFUNCTION("VLOOKUP(TRIM(E37), ARRAYFORMULA(TRIM(IMPORTRANGE(""1J6TM1lO8a31d96YF89fby9ySWcPcCBlFT37fwLDeDG0"", ""PKR-September 2025!C:Z""))), 5, FALSE)"),"")</f>
        <v/>
      </c>
      <c r="L37" s="643">
        <f>IFERROR(__xludf.DUMMYFUNCTION("value(VLOOKUP(TRIM(E37), ARRAYFORMULA(TRIM(IMPORTRANGE(""1J6TM1lO8a31d96YF89fby9ySWcPcCBlFT37fwLDeDG0"", ""PKR-September 2025!C:Z""))), 6, FALSE))"),30.0)</f>
        <v>30</v>
      </c>
      <c r="M37" s="350">
        <v>45901.0</v>
      </c>
      <c r="N37" s="350">
        <v>45930.0</v>
      </c>
      <c r="O37" s="290">
        <f t="shared" si="1"/>
        <v>370</v>
      </c>
      <c r="P37" s="290">
        <f t="shared" si="2"/>
        <v>1850</v>
      </c>
      <c r="Q37" s="290">
        <f t="shared" si="3"/>
        <v>2220</v>
      </c>
    </row>
    <row r="38">
      <c r="A38" s="282" t="s">
        <v>16</v>
      </c>
      <c r="B38" s="283">
        <v>4320.0</v>
      </c>
      <c r="C38" s="289"/>
      <c r="D38" s="305">
        <v>0.0</v>
      </c>
      <c r="E38" s="282" t="s">
        <v>343</v>
      </c>
      <c r="F38" s="282" t="s">
        <v>344</v>
      </c>
      <c r="G38" s="480" t="s">
        <v>835</v>
      </c>
      <c r="H38" s="287"/>
      <c r="I38" s="288">
        <v>36821.0</v>
      </c>
      <c r="J38" s="288">
        <v>45362.0</v>
      </c>
      <c r="K38" s="350" t="str">
        <f>IFERROR(__xludf.DUMMYFUNCTION("VLOOKUP(TRIM(E38), ARRAYFORMULA(TRIM(IMPORTRANGE(""1J6TM1lO8a31d96YF89fby9ySWcPcCBlFT37fwLDeDG0"", ""PKR-September 2025!C:Z""))), 5, FALSE)"),"")</f>
        <v/>
      </c>
      <c r="L38" s="643">
        <f>IFERROR(__xludf.DUMMYFUNCTION("value(VLOOKUP(TRIM(E38), ARRAYFORMULA(TRIM(IMPORTRANGE(""1J6TM1lO8a31d96YF89fby9ySWcPcCBlFT37fwLDeDG0"", ""PKR-September 2025!C:Z""))), 6, FALSE))"),30.0)</f>
        <v>30</v>
      </c>
      <c r="M38" s="350">
        <v>45901.0</v>
      </c>
      <c r="N38" s="350">
        <v>45930.0</v>
      </c>
      <c r="O38" s="290">
        <f t="shared" si="1"/>
        <v>370</v>
      </c>
      <c r="P38" s="290">
        <f t="shared" si="2"/>
        <v>1850</v>
      </c>
      <c r="Q38" s="290">
        <f t="shared" si="3"/>
        <v>2220</v>
      </c>
    </row>
    <row r="39">
      <c r="A39" s="282" t="s">
        <v>16</v>
      </c>
      <c r="B39" s="283">
        <v>4320.0</v>
      </c>
      <c r="C39" s="289"/>
      <c r="D39" s="285">
        <v>0.0</v>
      </c>
      <c r="E39" s="306" t="s">
        <v>416</v>
      </c>
      <c r="F39" s="282" t="s">
        <v>517</v>
      </c>
      <c r="G39" s="286" t="s">
        <v>417</v>
      </c>
      <c r="H39" s="287"/>
      <c r="I39" s="288">
        <v>36346.0</v>
      </c>
      <c r="J39" s="288">
        <v>45453.0</v>
      </c>
      <c r="K39" s="350" t="str">
        <f>IFERROR(__xludf.DUMMYFUNCTION("VLOOKUP(TRIM(E39), ARRAYFORMULA(TRIM(IMPORTRANGE(""1J6TM1lO8a31d96YF89fby9ySWcPcCBlFT37fwLDeDG0"", ""PKR-September 2025!C:Z""))), 5, FALSE)"),"")</f>
        <v/>
      </c>
      <c r="L39" s="643">
        <f>IFERROR(__xludf.DUMMYFUNCTION("value(VLOOKUP(TRIM(E39), ARRAYFORMULA(TRIM(IMPORTRANGE(""1J6TM1lO8a31d96YF89fby9ySWcPcCBlFT37fwLDeDG0"", ""PKR-September 2025!C:Z""))), 6, FALSE))"),30.0)</f>
        <v>30</v>
      </c>
      <c r="M39" s="350">
        <v>45901.0</v>
      </c>
      <c r="N39" s="350">
        <v>45930.0</v>
      </c>
      <c r="O39" s="290">
        <f t="shared" si="1"/>
        <v>370</v>
      </c>
      <c r="P39" s="290">
        <f t="shared" si="2"/>
        <v>1850</v>
      </c>
      <c r="Q39" s="290">
        <f t="shared" si="3"/>
        <v>2220</v>
      </c>
    </row>
    <row r="40">
      <c r="A40" s="282" t="s">
        <v>16</v>
      </c>
      <c r="B40" s="283">
        <v>4320.0</v>
      </c>
      <c r="C40" s="289"/>
      <c r="D40" s="285">
        <v>0.0</v>
      </c>
      <c r="E40" s="306" t="s">
        <v>478</v>
      </c>
      <c r="F40" s="282" t="s">
        <v>518</v>
      </c>
      <c r="G40" s="286" t="s">
        <v>426</v>
      </c>
      <c r="H40" s="287"/>
      <c r="I40" s="288">
        <v>36530.0</v>
      </c>
      <c r="J40" s="288">
        <v>45446.0</v>
      </c>
      <c r="K40" s="350" t="str">
        <f>IFERROR(__xludf.DUMMYFUNCTION("VLOOKUP(TRIM(E40), ARRAYFORMULA(TRIM(IMPORTRANGE(""1J6TM1lO8a31d96YF89fby9ySWcPcCBlFT37fwLDeDG0"", ""PKR-September 2025!C:Z""))), 5, FALSE)"),"")</f>
        <v/>
      </c>
      <c r="L40" s="643">
        <f>IFERROR(__xludf.DUMMYFUNCTION("value(VLOOKUP(TRIM(E40), ARRAYFORMULA(TRIM(IMPORTRANGE(""1J6TM1lO8a31d96YF89fby9ySWcPcCBlFT37fwLDeDG0"", ""PKR-September 2025!C:Z""))), 6, FALSE))"),30.0)</f>
        <v>30</v>
      </c>
      <c r="M40" s="350">
        <v>45901.0</v>
      </c>
      <c r="N40" s="350">
        <v>45930.0</v>
      </c>
      <c r="O40" s="290">
        <f t="shared" si="1"/>
        <v>370</v>
      </c>
      <c r="P40" s="290">
        <f t="shared" si="2"/>
        <v>1850</v>
      </c>
      <c r="Q40" s="290">
        <f t="shared" si="3"/>
        <v>2220</v>
      </c>
    </row>
    <row r="41">
      <c r="A41" s="282" t="s">
        <v>16</v>
      </c>
      <c r="B41" s="283">
        <v>4320.0</v>
      </c>
      <c r="C41" s="289"/>
      <c r="D41" s="285">
        <v>0.0</v>
      </c>
      <c r="E41" s="291" t="s">
        <v>702</v>
      </c>
      <c r="F41" s="292" t="s">
        <v>703</v>
      </c>
      <c r="G41" s="289" t="s">
        <v>704</v>
      </c>
      <c r="H41" s="289"/>
      <c r="I41" s="293">
        <v>35714.0</v>
      </c>
      <c r="J41" s="288">
        <v>45705.0</v>
      </c>
      <c r="K41" s="350" t="str">
        <f>IFERROR(__xludf.DUMMYFUNCTION("VLOOKUP(TRIM(E41), ARRAYFORMULA(TRIM(IMPORTRANGE(""1J6TM1lO8a31d96YF89fby9ySWcPcCBlFT37fwLDeDG0"", ""PKR-September 2025!C:Z""))), 5, FALSE)"),"")</f>
        <v/>
      </c>
      <c r="L41" s="643">
        <f>IFERROR(__xludf.DUMMYFUNCTION("value(VLOOKUP(TRIM(E41), ARRAYFORMULA(TRIM(IMPORTRANGE(""1J6TM1lO8a31d96YF89fby9ySWcPcCBlFT37fwLDeDG0"", ""PKR-September 2025!C:Z""))), 6, FALSE))"),30.0)</f>
        <v>30</v>
      </c>
      <c r="M41" s="350">
        <v>45901.0</v>
      </c>
      <c r="N41" s="350">
        <v>45930.0</v>
      </c>
      <c r="O41" s="290">
        <f t="shared" si="1"/>
        <v>370</v>
      </c>
      <c r="P41" s="290">
        <f t="shared" si="2"/>
        <v>1850</v>
      </c>
      <c r="Q41" s="290">
        <f t="shared" si="3"/>
        <v>2220</v>
      </c>
    </row>
    <row r="42">
      <c r="A42" s="282" t="s">
        <v>16</v>
      </c>
      <c r="B42" s="283">
        <v>4320.0</v>
      </c>
      <c r="C42" s="289"/>
      <c r="D42" s="285">
        <v>0.0</v>
      </c>
      <c r="E42" s="306" t="s">
        <v>459</v>
      </c>
      <c r="F42" s="282" t="s">
        <v>374</v>
      </c>
      <c r="G42" s="286" t="s">
        <v>375</v>
      </c>
      <c r="H42" s="287"/>
      <c r="I42" s="288">
        <v>37085.0</v>
      </c>
      <c r="J42" s="288">
        <v>45400.0</v>
      </c>
      <c r="K42" s="350" t="str">
        <f>IFERROR(__xludf.DUMMYFUNCTION("VLOOKUP(TRIM(E42), ARRAYFORMULA(TRIM(IMPORTRANGE(""1J6TM1lO8a31d96YF89fby9ySWcPcCBlFT37fwLDeDG0"", ""PKR-September 2025!C:Z""))), 5, FALSE)"),"")</f>
        <v/>
      </c>
      <c r="L42" s="643">
        <f>IFERROR(__xludf.DUMMYFUNCTION("value(VLOOKUP(TRIM(E42), ARRAYFORMULA(TRIM(IMPORTRANGE(""1J6TM1lO8a31d96YF89fby9ySWcPcCBlFT37fwLDeDG0"", ""PKR-September 2025!C:Z""))), 6, FALSE))"),30.0)</f>
        <v>30</v>
      </c>
      <c r="M42" s="350">
        <v>45901.0</v>
      </c>
      <c r="N42" s="350">
        <v>45930.0</v>
      </c>
      <c r="O42" s="290">
        <f t="shared" si="1"/>
        <v>370</v>
      </c>
      <c r="P42" s="290">
        <f t="shared" si="2"/>
        <v>1850</v>
      </c>
      <c r="Q42" s="290">
        <f t="shared" si="3"/>
        <v>2220</v>
      </c>
    </row>
    <row r="43">
      <c r="A43" s="282" t="s">
        <v>16</v>
      </c>
      <c r="B43" s="283">
        <v>4320.0</v>
      </c>
      <c r="C43" s="289"/>
      <c r="D43" s="285">
        <v>0.0</v>
      </c>
      <c r="E43" s="306" t="s">
        <v>352</v>
      </c>
      <c r="F43" s="282" t="s">
        <v>353</v>
      </c>
      <c r="G43" s="286" t="s">
        <v>354</v>
      </c>
      <c r="H43" s="287"/>
      <c r="I43" s="288">
        <v>36412.0</v>
      </c>
      <c r="J43" s="288">
        <v>45355.0</v>
      </c>
      <c r="K43" s="350" t="str">
        <f>IFERROR(__xludf.DUMMYFUNCTION("VLOOKUP(TRIM(E43), ARRAYFORMULA(TRIM(IMPORTRANGE(""1J6TM1lO8a31d96YF89fby9ySWcPcCBlFT37fwLDeDG0"", ""PKR-September 2025!C:Z""))), 5, FALSE)"),"")</f>
        <v/>
      </c>
      <c r="L43" s="643">
        <f>IFERROR(__xludf.DUMMYFUNCTION("value(VLOOKUP(TRIM(E43), ARRAYFORMULA(TRIM(IMPORTRANGE(""1J6TM1lO8a31d96YF89fby9ySWcPcCBlFT37fwLDeDG0"", ""PKR-September 2025!C:Z""))), 6, FALSE))"),30.0)</f>
        <v>30</v>
      </c>
      <c r="M43" s="350">
        <v>45901.0</v>
      </c>
      <c r="N43" s="350">
        <v>45930.0</v>
      </c>
      <c r="O43" s="290">
        <f t="shared" si="1"/>
        <v>370</v>
      </c>
      <c r="P43" s="290">
        <f t="shared" si="2"/>
        <v>1850</v>
      </c>
      <c r="Q43" s="290">
        <f t="shared" si="3"/>
        <v>2220</v>
      </c>
    </row>
    <row r="44">
      <c r="A44" s="282" t="s">
        <v>16</v>
      </c>
      <c r="B44" s="283">
        <v>4320.0</v>
      </c>
      <c r="C44" s="289"/>
      <c r="D44" s="285">
        <v>0.0</v>
      </c>
      <c r="E44" s="303" t="s">
        <v>705</v>
      </c>
      <c r="F44" s="295" t="s">
        <v>932</v>
      </c>
      <c r="G44" s="289" t="s">
        <v>707</v>
      </c>
      <c r="H44" s="289"/>
      <c r="I44" s="293">
        <v>36594.0</v>
      </c>
      <c r="J44" s="288">
        <v>45712.0</v>
      </c>
      <c r="K44" s="350" t="str">
        <f>IFERROR(__xludf.DUMMYFUNCTION("VLOOKUP(TRIM(E44), ARRAYFORMULA(TRIM(IMPORTRANGE(""1J6TM1lO8a31d96YF89fby9ySWcPcCBlFT37fwLDeDG0"", ""PKR-September 2025!C:Z""))), 5, FALSE)"),"")</f>
        <v/>
      </c>
      <c r="L44" s="643">
        <f>IFERROR(__xludf.DUMMYFUNCTION("value(VLOOKUP(TRIM(E44), ARRAYFORMULA(TRIM(IMPORTRANGE(""1J6TM1lO8a31d96YF89fby9ySWcPcCBlFT37fwLDeDG0"", ""PKR-September 2025!C:Z""))), 6, FALSE))"),30.0)</f>
        <v>30</v>
      </c>
      <c r="M44" s="350">
        <v>45901.0</v>
      </c>
      <c r="N44" s="350">
        <v>45930.0</v>
      </c>
      <c r="O44" s="290">
        <f t="shared" si="1"/>
        <v>370</v>
      </c>
      <c r="P44" s="290">
        <f t="shared" si="2"/>
        <v>1850</v>
      </c>
      <c r="Q44" s="290">
        <f t="shared" si="3"/>
        <v>2220</v>
      </c>
    </row>
    <row r="45">
      <c r="A45" s="421" t="s">
        <v>16</v>
      </c>
      <c r="B45" s="422">
        <v>4320.0</v>
      </c>
      <c r="C45" s="427"/>
      <c r="D45" s="424">
        <v>0.0</v>
      </c>
      <c r="E45" s="441" t="s">
        <v>273</v>
      </c>
      <c r="F45" s="421" t="s">
        <v>274</v>
      </c>
      <c r="G45" s="425" t="s">
        <v>275</v>
      </c>
      <c r="H45" s="287"/>
      <c r="I45" s="426">
        <v>34522.0</v>
      </c>
      <c r="J45" s="426">
        <v>45292.0</v>
      </c>
      <c r="K45" s="429" t="str">
        <f>IFERROR(__xludf.DUMMYFUNCTION("VLOOKUP(TRIM(E45), ARRAYFORMULA(TRIM(IMPORTRANGE(""1J6TM1lO8a31d96YF89fby9ySWcPcCBlFT37fwLDeDG0"", ""PKR-September 2025!C:Z""))), 5, FALSE)"),"26 Sept")</f>
        <v>26 Sept</v>
      </c>
      <c r="L45" s="644">
        <f>IFERROR(__xludf.DUMMYFUNCTION("value(VLOOKUP(TRIM(E45), ARRAYFORMULA(TRIM(IMPORTRANGE(""1J6TM1lO8a31d96YF89fby9ySWcPcCBlFT37fwLDeDG0"", ""PKR-September 2025!C:Z""))), 6, FALSE))"),26.0)</f>
        <v>26</v>
      </c>
      <c r="M45" s="429">
        <v>45901.0</v>
      </c>
      <c r="N45" s="429">
        <v>45930.0</v>
      </c>
      <c r="O45" s="430">
        <f t="shared" si="1"/>
        <v>321</v>
      </c>
      <c r="P45" s="430">
        <f t="shared" si="2"/>
        <v>1605</v>
      </c>
      <c r="Q45" s="430">
        <f t="shared" si="3"/>
        <v>1926</v>
      </c>
      <c r="R45" s="48"/>
      <c r="S45" s="48"/>
      <c r="T45" s="48"/>
      <c r="U45" s="48"/>
      <c r="V45" s="48"/>
      <c r="W45" s="48"/>
      <c r="X45" s="48"/>
    </row>
    <row r="46">
      <c r="A46" s="645" t="s">
        <v>16</v>
      </c>
      <c r="B46" s="646">
        <v>4320.0</v>
      </c>
      <c r="C46" s="647"/>
      <c r="D46" s="648">
        <v>0.0</v>
      </c>
      <c r="E46" s="649" t="s">
        <v>162</v>
      </c>
      <c r="F46" s="650" t="s">
        <v>838</v>
      </c>
      <c r="G46" s="651" t="s">
        <v>164</v>
      </c>
      <c r="H46" s="405"/>
      <c r="I46" s="652">
        <v>34732.0</v>
      </c>
      <c r="J46" s="652">
        <v>44986.0</v>
      </c>
      <c r="K46" s="429" t="str">
        <f>IFERROR(__xludf.DUMMYFUNCTION("VLOOKUP(TRIM(E46), ARRAYFORMULA(TRIM(IMPORTRANGE(""1J6TM1lO8a31d96YF89fby9ySWcPcCBlFT37fwLDeDG0"", ""PKR-September 2025!C:Z""))), 5, FALSE)"),"12-Sep-2025")</f>
        <v>12-Sep-2025</v>
      </c>
      <c r="L46" s="644">
        <f>IFERROR(__xludf.DUMMYFUNCTION("value(VLOOKUP(TRIM(E46), ARRAYFORMULA(TRIM(IMPORTRANGE(""1J6TM1lO8a31d96YF89fby9ySWcPcCBlFT37fwLDeDG0"", ""PKR-September 2025!C:Z""))), 6, FALSE))"),12.0)</f>
        <v>12</v>
      </c>
      <c r="M46" s="429">
        <v>45901.0</v>
      </c>
      <c r="N46" s="429">
        <v>45930.0</v>
      </c>
      <c r="O46" s="430">
        <f t="shared" si="1"/>
        <v>148</v>
      </c>
      <c r="P46" s="430">
        <f t="shared" si="2"/>
        <v>740</v>
      </c>
      <c r="Q46" s="430">
        <f t="shared" si="3"/>
        <v>888</v>
      </c>
      <c r="R46" s="48"/>
      <c r="S46" s="48"/>
      <c r="T46" s="48"/>
      <c r="U46" s="48"/>
      <c r="V46" s="48"/>
      <c r="W46" s="48"/>
      <c r="X46" s="48"/>
    </row>
    <row r="47">
      <c r="A47" s="282" t="s">
        <v>16</v>
      </c>
      <c r="B47" s="283">
        <v>4320.0</v>
      </c>
      <c r="C47" s="289"/>
      <c r="D47" s="285">
        <v>0.0</v>
      </c>
      <c r="E47" s="291" t="s">
        <v>711</v>
      </c>
      <c r="F47" s="295" t="s">
        <v>933</v>
      </c>
      <c r="G47" s="289" t="s">
        <v>713</v>
      </c>
      <c r="H47" s="289"/>
      <c r="I47" s="293">
        <v>34694.0</v>
      </c>
      <c r="J47" s="288">
        <v>45712.0</v>
      </c>
      <c r="K47" s="350" t="str">
        <f>IFERROR(__xludf.DUMMYFUNCTION("VLOOKUP(TRIM(E47), ARRAYFORMULA(TRIM(IMPORTRANGE(""1J6TM1lO8a31d96YF89fby9ySWcPcCBlFT37fwLDeDG0"", ""PKR-September 2025!C:Z""))), 5, FALSE)"),"")</f>
        <v/>
      </c>
      <c r="L47" s="643">
        <f>IFERROR(__xludf.DUMMYFUNCTION("value(VLOOKUP(TRIM(E47), ARRAYFORMULA(TRIM(IMPORTRANGE(""1J6TM1lO8a31d96YF89fby9ySWcPcCBlFT37fwLDeDG0"", ""PKR-September 2025!C:Z""))), 6, FALSE))"),30.0)</f>
        <v>30</v>
      </c>
      <c r="M47" s="350">
        <v>45901.0</v>
      </c>
      <c r="N47" s="350">
        <v>45930.0</v>
      </c>
      <c r="O47" s="290">
        <f t="shared" si="1"/>
        <v>370</v>
      </c>
      <c r="P47" s="290">
        <f t="shared" si="2"/>
        <v>1850</v>
      </c>
      <c r="Q47" s="290">
        <f t="shared" si="3"/>
        <v>2220</v>
      </c>
    </row>
    <row r="48">
      <c r="A48" s="421" t="s">
        <v>16</v>
      </c>
      <c r="B48" s="422">
        <v>4320.0</v>
      </c>
      <c r="C48" s="427"/>
      <c r="D48" s="424">
        <v>0.0</v>
      </c>
      <c r="E48" s="441" t="s">
        <v>355</v>
      </c>
      <c r="F48" s="421" t="s">
        <v>356</v>
      </c>
      <c r="G48" s="425" t="s">
        <v>357</v>
      </c>
      <c r="H48" s="287"/>
      <c r="I48" s="426">
        <v>35395.0</v>
      </c>
      <c r="J48" s="426">
        <v>45376.0</v>
      </c>
      <c r="K48" s="429" t="str">
        <f>IFERROR(__xludf.DUMMYFUNCTION("VLOOKUP(TRIM(E48), ARRAYFORMULA(TRIM(IMPORTRANGE(""1J6TM1lO8a31d96YF89fby9ySWcPcCBlFT37fwLDeDG0"", ""PKR-September 2025!C:Z""))), 5, FALSE)"),"05-Sep-2025")</f>
        <v>05-Sep-2025</v>
      </c>
      <c r="L48" s="644">
        <f>IFERROR(__xludf.DUMMYFUNCTION("value(VLOOKUP(TRIM(E48), ARRAYFORMULA(TRIM(IMPORTRANGE(""1J6TM1lO8a31d96YF89fby9ySWcPcCBlFT37fwLDeDG0"", ""PKR-September 2025!C:Z""))), 6, FALSE))"),5.0)</f>
        <v>5</v>
      </c>
      <c r="M48" s="429">
        <v>45901.0</v>
      </c>
      <c r="N48" s="429">
        <v>45930.0</v>
      </c>
      <c r="O48" s="430">
        <f t="shared" si="1"/>
        <v>62</v>
      </c>
      <c r="P48" s="430">
        <f t="shared" si="2"/>
        <v>310</v>
      </c>
      <c r="Q48" s="430">
        <f t="shared" si="3"/>
        <v>372</v>
      </c>
      <c r="R48" s="48"/>
      <c r="S48" s="48"/>
      <c r="T48" s="48"/>
      <c r="U48" s="48"/>
      <c r="V48" s="48"/>
      <c r="W48" s="48"/>
      <c r="X48" s="48"/>
    </row>
    <row r="49">
      <c r="A49" s="421" t="s">
        <v>16</v>
      </c>
      <c r="B49" s="422">
        <v>4320.0</v>
      </c>
      <c r="C49" s="427"/>
      <c r="D49" s="424">
        <v>0.0</v>
      </c>
      <c r="E49" s="521" t="s">
        <v>714</v>
      </c>
      <c r="F49" s="653" t="s">
        <v>934</v>
      </c>
      <c r="G49" s="427" t="s">
        <v>716</v>
      </c>
      <c r="H49" s="427"/>
      <c r="I49" s="523">
        <v>36514.0</v>
      </c>
      <c r="J49" s="426">
        <v>45698.0</v>
      </c>
      <c r="K49" s="429" t="str">
        <f>IFERROR(__xludf.DUMMYFUNCTION("VLOOKUP(TRIM(E49), ARRAYFORMULA(TRIM(IMPORTRANGE(""1J6TM1lO8a31d96YF89fby9ySWcPcCBlFT37fwLDeDG0"", ""PKR-September 2025!C:Z""))), 5, FALSE)"),"8-Sep-2025")</f>
        <v>8-Sep-2025</v>
      </c>
      <c r="L49" s="644">
        <f>IFERROR(__xludf.DUMMYFUNCTION("value(VLOOKUP(TRIM(E49), ARRAYFORMULA(TRIM(IMPORTRANGE(""1J6TM1lO8a31d96YF89fby9ySWcPcCBlFT37fwLDeDG0"", ""PKR-September 2025!C:Z""))), 6, FALSE))"),8.0)</f>
        <v>8</v>
      </c>
      <c r="M49" s="429">
        <v>45901.0</v>
      </c>
      <c r="N49" s="429">
        <v>45930.0</v>
      </c>
      <c r="O49" s="430">
        <f t="shared" si="1"/>
        <v>99</v>
      </c>
      <c r="P49" s="430">
        <f t="shared" si="2"/>
        <v>495</v>
      </c>
      <c r="Q49" s="430">
        <f t="shared" si="3"/>
        <v>594</v>
      </c>
      <c r="R49" s="48"/>
      <c r="S49" s="48"/>
      <c r="T49" s="48"/>
      <c r="U49" s="48"/>
      <c r="V49" s="48"/>
      <c r="W49" s="48"/>
      <c r="X49" s="48"/>
    </row>
    <row r="50">
      <c r="A50" s="282" t="s">
        <v>16</v>
      </c>
      <c r="B50" s="283">
        <v>4320.0</v>
      </c>
      <c r="C50" s="289"/>
      <c r="D50" s="285">
        <v>0.0</v>
      </c>
      <c r="E50" s="306" t="s">
        <v>183</v>
      </c>
      <c r="F50" s="282" t="s">
        <v>184</v>
      </c>
      <c r="G50" s="286" t="s">
        <v>185</v>
      </c>
      <c r="H50" s="287"/>
      <c r="I50" s="288">
        <v>36979.0</v>
      </c>
      <c r="J50" s="288">
        <v>44907.0</v>
      </c>
      <c r="K50" s="350" t="str">
        <f>IFERROR(__xludf.DUMMYFUNCTION("VLOOKUP(TRIM(E50), ARRAYFORMULA(TRIM(IMPORTRANGE(""1J6TM1lO8a31d96YF89fby9ySWcPcCBlFT37fwLDeDG0"", ""PKR-September 2025!C:Z""))), 5, FALSE)"),"")</f>
        <v/>
      </c>
      <c r="L50" s="643">
        <f>IFERROR(__xludf.DUMMYFUNCTION("value(VLOOKUP(TRIM(E50), ARRAYFORMULA(TRIM(IMPORTRANGE(""1J6TM1lO8a31d96YF89fby9ySWcPcCBlFT37fwLDeDG0"", ""PKR-September 2025!C:Z""))), 6, FALSE))"),30.0)</f>
        <v>30</v>
      </c>
      <c r="M50" s="350">
        <v>45901.0</v>
      </c>
      <c r="N50" s="350">
        <v>45930.0</v>
      </c>
      <c r="O50" s="290">
        <f t="shared" si="1"/>
        <v>370</v>
      </c>
      <c r="P50" s="290">
        <f t="shared" si="2"/>
        <v>1850</v>
      </c>
      <c r="Q50" s="290">
        <f t="shared" si="3"/>
        <v>2220</v>
      </c>
    </row>
    <row r="51">
      <c r="A51" s="282" t="s">
        <v>16</v>
      </c>
      <c r="B51" s="283">
        <v>4320.0</v>
      </c>
      <c r="C51" s="289"/>
      <c r="D51" s="285">
        <v>0.0</v>
      </c>
      <c r="E51" s="306" t="s">
        <v>432</v>
      </c>
      <c r="F51" s="282" t="s">
        <v>521</v>
      </c>
      <c r="G51" s="286" t="s">
        <v>433</v>
      </c>
      <c r="H51" s="287"/>
      <c r="I51" s="288">
        <v>34504.0</v>
      </c>
      <c r="J51" s="288">
        <v>45481.0</v>
      </c>
      <c r="K51" s="350" t="str">
        <f>IFERROR(__xludf.DUMMYFUNCTION("VLOOKUP(TRIM(E51), ARRAYFORMULA(TRIM(IMPORTRANGE(""1J6TM1lO8a31d96YF89fby9ySWcPcCBlFT37fwLDeDG0"", ""PKR-September 2025!C:Z""))), 5, FALSE)"),"")</f>
        <v/>
      </c>
      <c r="L51" s="643">
        <f>IFERROR(__xludf.DUMMYFUNCTION("value(VLOOKUP(TRIM(E51), ARRAYFORMULA(TRIM(IMPORTRANGE(""1J6TM1lO8a31d96YF89fby9ySWcPcCBlFT37fwLDeDG0"", ""PKR-September 2025!C:Z""))), 6, FALSE))"),30.0)</f>
        <v>30</v>
      </c>
      <c r="M51" s="350">
        <v>45901.0</v>
      </c>
      <c r="N51" s="350">
        <v>45930.0</v>
      </c>
      <c r="O51" s="290">
        <f t="shared" si="1"/>
        <v>370</v>
      </c>
      <c r="P51" s="290">
        <f t="shared" si="2"/>
        <v>1850</v>
      </c>
      <c r="Q51" s="290">
        <f t="shared" si="3"/>
        <v>2220</v>
      </c>
    </row>
    <row r="52">
      <c r="A52" s="282" t="s">
        <v>16</v>
      </c>
      <c r="B52" s="283">
        <v>4320.0</v>
      </c>
      <c r="C52" s="289"/>
      <c r="D52" s="285">
        <v>0.0</v>
      </c>
      <c r="E52" s="306" t="s">
        <v>460</v>
      </c>
      <c r="F52" s="282" t="s">
        <v>523</v>
      </c>
      <c r="G52" s="286" t="s">
        <v>461</v>
      </c>
      <c r="H52" s="287"/>
      <c r="I52" s="288">
        <v>36856.0</v>
      </c>
      <c r="J52" s="288">
        <v>45505.0</v>
      </c>
      <c r="K52" s="350" t="str">
        <f>IFERROR(__xludf.DUMMYFUNCTION("VLOOKUP(TRIM(E52), ARRAYFORMULA(TRIM(IMPORTRANGE(""1J6TM1lO8a31d96YF89fby9ySWcPcCBlFT37fwLDeDG0"", ""PKR-September 2025!C:Z""))), 5, FALSE)"),"")</f>
        <v/>
      </c>
      <c r="L52" s="643">
        <f>IFERROR(__xludf.DUMMYFUNCTION("value(VLOOKUP(TRIM(E52), ARRAYFORMULA(TRIM(IMPORTRANGE(""1J6TM1lO8a31d96YF89fby9ySWcPcCBlFT37fwLDeDG0"", ""PKR-September 2025!C:Z""))), 6, FALSE))"),30.0)</f>
        <v>30</v>
      </c>
      <c r="M52" s="350">
        <v>45901.0</v>
      </c>
      <c r="N52" s="350">
        <v>45930.0</v>
      </c>
      <c r="O52" s="290">
        <f t="shared" si="1"/>
        <v>370</v>
      </c>
      <c r="P52" s="290">
        <f t="shared" si="2"/>
        <v>1850</v>
      </c>
      <c r="Q52" s="290">
        <f t="shared" si="3"/>
        <v>2220</v>
      </c>
    </row>
    <row r="53">
      <c r="A53" s="282" t="s">
        <v>16</v>
      </c>
      <c r="B53" s="283">
        <v>4320.0</v>
      </c>
      <c r="C53" s="289"/>
      <c r="D53" s="285">
        <v>0.0</v>
      </c>
      <c r="E53" s="306" t="s">
        <v>462</v>
      </c>
      <c r="F53" s="282" t="s">
        <v>526</v>
      </c>
      <c r="G53" s="286" t="s">
        <v>463</v>
      </c>
      <c r="H53" s="287"/>
      <c r="I53" s="288">
        <v>34588.0</v>
      </c>
      <c r="J53" s="288">
        <v>45530.0</v>
      </c>
      <c r="K53" s="350" t="str">
        <f>IFERROR(__xludf.DUMMYFUNCTION("VLOOKUP(TRIM(E53), ARRAYFORMULA(TRIM(IMPORTRANGE(""1J6TM1lO8a31d96YF89fby9ySWcPcCBlFT37fwLDeDG0"", ""PKR-September 2025!C:Z""))), 5, FALSE)"),"")</f>
        <v/>
      </c>
      <c r="L53" s="643">
        <f>IFERROR(__xludf.DUMMYFUNCTION("value(VLOOKUP(TRIM(E53), ARRAYFORMULA(TRIM(IMPORTRANGE(""1J6TM1lO8a31d96YF89fby9ySWcPcCBlFT37fwLDeDG0"", ""PKR-September 2025!C:Z""))), 6, FALSE))"),30.0)</f>
        <v>30</v>
      </c>
      <c r="M53" s="350">
        <v>45901.0</v>
      </c>
      <c r="N53" s="350">
        <v>45930.0</v>
      </c>
      <c r="O53" s="290">
        <f t="shared" si="1"/>
        <v>370</v>
      </c>
      <c r="P53" s="290">
        <f t="shared" si="2"/>
        <v>1850</v>
      </c>
      <c r="Q53" s="290">
        <f t="shared" si="3"/>
        <v>2220</v>
      </c>
    </row>
    <row r="54">
      <c r="A54" s="282" t="s">
        <v>16</v>
      </c>
      <c r="B54" s="283">
        <v>4320.0</v>
      </c>
      <c r="C54" s="289"/>
      <c r="D54" s="285">
        <v>0.0</v>
      </c>
      <c r="E54" s="306" t="s">
        <v>423</v>
      </c>
      <c r="F54" s="282" t="s">
        <v>524</v>
      </c>
      <c r="G54" s="286" t="s">
        <v>424</v>
      </c>
      <c r="H54" s="287"/>
      <c r="I54" s="288">
        <v>37818.0</v>
      </c>
      <c r="J54" s="288">
        <v>45467.0</v>
      </c>
      <c r="K54" s="350" t="str">
        <f>IFERROR(__xludf.DUMMYFUNCTION("VLOOKUP(TRIM(E54), ARRAYFORMULA(TRIM(IMPORTRANGE(""1J6TM1lO8a31d96YF89fby9ySWcPcCBlFT37fwLDeDG0"", ""PKR-September 2025!C:Z""))), 5, FALSE)"),"")</f>
        <v/>
      </c>
      <c r="L54" s="643">
        <f>IFERROR(__xludf.DUMMYFUNCTION("value(VLOOKUP(TRIM(E54), ARRAYFORMULA(TRIM(IMPORTRANGE(""1J6TM1lO8a31d96YF89fby9ySWcPcCBlFT37fwLDeDG0"", ""PKR-September 2025!C:Z""))), 6, FALSE))"),30.0)</f>
        <v>30</v>
      </c>
      <c r="M54" s="350">
        <v>45901.0</v>
      </c>
      <c r="N54" s="350">
        <v>45930.0</v>
      </c>
      <c r="O54" s="290">
        <f t="shared" si="1"/>
        <v>370</v>
      </c>
      <c r="P54" s="290">
        <f t="shared" si="2"/>
        <v>1850</v>
      </c>
      <c r="Q54" s="290">
        <f t="shared" si="3"/>
        <v>2220</v>
      </c>
    </row>
    <row r="55">
      <c r="A55" s="282" t="s">
        <v>16</v>
      </c>
      <c r="B55" s="283">
        <v>4320.0</v>
      </c>
      <c r="C55" s="289"/>
      <c r="D55" s="285">
        <v>0.0</v>
      </c>
      <c r="E55" s="291" t="s">
        <v>717</v>
      </c>
      <c r="F55" s="292" t="s">
        <v>718</v>
      </c>
      <c r="G55" s="289" t="s">
        <v>719</v>
      </c>
      <c r="H55" s="289"/>
      <c r="I55" s="293">
        <v>36505.0</v>
      </c>
      <c r="J55" s="288">
        <v>45712.0</v>
      </c>
      <c r="K55" s="350" t="str">
        <f>IFERROR(__xludf.DUMMYFUNCTION("VLOOKUP(TRIM(E55), ARRAYFORMULA(TRIM(IMPORTRANGE(""1J6TM1lO8a31d96YF89fby9ySWcPcCBlFT37fwLDeDG0"", ""PKR-September 2025!C:Z""))), 5, FALSE)"),"")</f>
        <v/>
      </c>
      <c r="L55" s="643">
        <f>IFERROR(__xludf.DUMMYFUNCTION("value(VLOOKUP(TRIM(E55), ARRAYFORMULA(TRIM(IMPORTRANGE(""1J6TM1lO8a31d96YF89fby9ySWcPcCBlFT37fwLDeDG0"", ""PKR-September 2025!C:Z""))), 6, FALSE))"),30.0)</f>
        <v>30</v>
      </c>
      <c r="M55" s="350">
        <v>45901.0</v>
      </c>
      <c r="N55" s="350">
        <v>45930.0</v>
      </c>
      <c r="O55" s="290">
        <f t="shared" si="1"/>
        <v>370</v>
      </c>
      <c r="P55" s="290">
        <f t="shared" si="2"/>
        <v>1850</v>
      </c>
      <c r="Q55" s="290">
        <f t="shared" si="3"/>
        <v>2220</v>
      </c>
    </row>
    <row r="56">
      <c r="A56" s="282" t="s">
        <v>16</v>
      </c>
      <c r="B56" s="283">
        <v>4320.0</v>
      </c>
      <c r="C56" s="289"/>
      <c r="D56" s="285">
        <v>0.0</v>
      </c>
      <c r="E56" s="306" t="s">
        <v>427</v>
      </c>
      <c r="F56" s="282" t="s">
        <v>525</v>
      </c>
      <c r="G56" s="286" t="s">
        <v>428</v>
      </c>
      <c r="H56" s="287"/>
      <c r="I56" s="288">
        <v>36451.0</v>
      </c>
      <c r="J56" s="288">
        <v>45453.0</v>
      </c>
      <c r="K56" s="350" t="str">
        <f>IFERROR(__xludf.DUMMYFUNCTION("VLOOKUP(TRIM(E56), ARRAYFORMULA(TRIM(IMPORTRANGE(""1J6TM1lO8a31d96YF89fby9ySWcPcCBlFT37fwLDeDG0"", ""PKR-September 2025!C:Z""))), 5, FALSE)"),"")</f>
        <v/>
      </c>
      <c r="L56" s="643">
        <f>IFERROR(__xludf.DUMMYFUNCTION("value(VLOOKUP(TRIM(E56), ARRAYFORMULA(TRIM(IMPORTRANGE(""1J6TM1lO8a31d96YF89fby9ySWcPcCBlFT37fwLDeDG0"", ""PKR-September 2025!C:Z""))), 6, FALSE))"),30.0)</f>
        <v>30</v>
      </c>
      <c r="M56" s="350">
        <v>45901.0</v>
      </c>
      <c r="N56" s="350">
        <v>45930.0</v>
      </c>
      <c r="O56" s="290">
        <f t="shared" si="1"/>
        <v>370</v>
      </c>
      <c r="P56" s="290">
        <f t="shared" si="2"/>
        <v>1850</v>
      </c>
      <c r="Q56" s="290">
        <f t="shared" si="3"/>
        <v>2220</v>
      </c>
    </row>
    <row r="57">
      <c r="A57" s="282" t="s">
        <v>16</v>
      </c>
      <c r="B57" s="283">
        <v>4320.0</v>
      </c>
      <c r="C57" s="289"/>
      <c r="D57" s="285">
        <v>0.0</v>
      </c>
      <c r="E57" s="306" t="s">
        <v>493</v>
      </c>
      <c r="F57" s="282" t="s">
        <v>532</v>
      </c>
      <c r="G57" s="286" t="s">
        <v>494</v>
      </c>
      <c r="H57" s="287"/>
      <c r="I57" s="288">
        <v>36208.0</v>
      </c>
      <c r="J57" s="288">
        <v>45602.0</v>
      </c>
      <c r="K57" s="350" t="str">
        <f>IFERROR(__xludf.DUMMYFUNCTION("VLOOKUP(TRIM(E57), ARRAYFORMULA(TRIM(IMPORTRANGE(""1J6TM1lO8a31d96YF89fby9ySWcPcCBlFT37fwLDeDG0"", ""PKR-September 2025!C:Z""))), 5, FALSE)"),"")</f>
        <v/>
      </c>
      <c r="L57" s="643">
        <f>IFERROR(__xludf.DUMMYFUNCTION("value(VLOOKUP(TRIM(E57), ARRAYFORMULA(TRIM(IMPORTRANGE(""1J6TM1lO8a31d96YF89fby9ySWcPcCBlFT37fwLDeDG0"", ""PKR-September 2025!C:Z""))), 6, FALSE))"),30.0)</f>
        <v>30</v>
      </c>
      <c r="M57" s="350">
        <v>45901.0</v>
      </c>
      <c r="N57" s="350">
        <v>45930.0</v>
      </c>
      <c r="O57" s="290">
        <f t="shared" si="1"/>
        <v>370</v>
      </c>
      <c r="P57" s="290">
        <f t="shared" si="2"/>
        <v>1850</v>
      </c>
      <c r="Q57" s="290">
        <f t="shared" si="3"/>
        <v>2220</v>
      </c>
    </row>
    <row r="58">
      <c r="A58" s="282" t="s">
        <v>16</v>
      </c>
      <c r="B58" s="283">
        <v>4320.0</v>
      </c>
      <c r="C58" s="289"/>
      <c r="D58" s="285">
        <v>0.0</v>
      </c>
      <c r="E58" s="306" t="s">
        <v>585</v>
      </c>
      <c r="F58" s="282" t="s">
        <v>586</v>
      </c>
      <c r="G58" s="480" t="s">
        <v>841</v>
      </c>
      <c r="H58" s="287"/>
      <c r="I58" s="288">
        <v>35827.0</v>
      </c>
      <c r="J58" s="288">
        <v>45684.0</v>
      </c>
      <c r="K58" s="350" t="str">
        <f>IFERROR(__xludf.DUMMYFUNCTION("VLOOKUP(TRIM(E58), ARRAYFORMULA(TRIM(IMPORTRANGE(""1J6TM1lO8a31d96YF89fby9ySWcPcCBlFT37fwLDeDG0"", ""PKR-September 2025!C:Z""))), 5, FALSE)"),"")</f>
        <v/>
      </c>
      <c r="L58" s="643">
        <f>IFERROR(__xludf.DUMMYFUNCTION("value(VLOOKUP(TRIM(E58), ARRAYFORMULA(TRIM(IMPORTRANGE(""1J6TM1lO8a31d96YF89fby9ySWcPcCBlFT37fwLDeDG0"", ""PKR-September 2025!C:Z""))), 6, FALSE))"),30.0)</f>
        <v>30</v>
      </c>
      <c r="M58" s="350">
        <v>45901.0</v>
      </c>
      <c r="N58" s="350">
        <v>45930.0</v>
      </c>
      <c r="O58" s="290">
        <f t="shared" si="1"/>
        <v>370</v>
      </c>
      <c r="P58" s="290">
        <f t="shared" si="2"/>
        <v>1850</v>
      </c>
      <c r="Q58" s="290">
        <f t="shared" si="3"/>
        <v>2220</v>
      </c>
    </row>
    <row r="59">
      <c r="A59" s="410" t="s">
        <v>16</v>
      </c>
      <c r="B59" s="411">
        <v>4320.0</v>
      </c>
      <c r="C59" s="412"/>
      <c r="D59" s="285">
        <v>0.0</v>
      </c>
      <c r="E59" s="410" t="s">
        <v>744</v>
      </c>
      <c r="F59" s="413" t="s">
        <v>745</v>
      </c>
      <c r="G59" s="410" t="s">
        <v>746</v>
      </c>
      <c r="H59" s="412"/>
      <c r="I59" s="414">
        <v>37479.0</v>
      </c>
      <c r="J59" s="414">
        <v>45726.0</v>
      </c>
      <c r="K59" s="350" t="str">
        <f>IFERROR(__xludf.DUMMYFUNCTION("VLOOKUP(TRIM(E59), ARRAYFORMULA(TRIM(IMPORTRANGE(""1J6TM1lO8a31d96YF89fby9ySWcPcCBlFT37fwLDeDG0"", ""PKR-September 2025!C:Z""))), 5, FALSE)"),"")</f>
        <v/>
      </c>
      <c r="L59" s="643">
        <f>IFERROR(__xludf.DUMMYFUNCTION("value(VLOOKUP(TRIM(E59), ARRAYFORMULA(TRIM(IMPORTRANGE(""1J6TM1lO8a31d96YF89fby9ySWcPcCBlFT37fwLDeDG0"", ""PKR-September 2025!C:Z""))), 6, FALSE))"),30.0)</f>
        <v>30</v>
      </c>
      <c r="M59" s="350">
        <v>45901.0</v>
      </c>
      <c r="N59" s="350">
        <v>45930.0</v>
      </c>
      <c r="O59" s="290">
        <f t="shared" si="1"/>
        <v>370</v>
      </c>
      <c r="P59" s="290">
        <f t="shared" si="2"/>
        <v>1850</v>
      </c>
      <c r="Q59" s="290">
        <f t="shared" si="3"/>
        <v>2220</v>
      </c>
    </row>
    <row r="60">
      <c r="A60" s="410" t="s">
        <v>16</v>
      </c>
      <c r="B60" s="411">
        <v>4320.0</v>
      </c>
      <c r="C60" s="412"/>
      <c r="D60" s="285">
        <v>0.0</v>
      </c>
      <c r="E60" s="410" t="s">
        <v>747</v>
      </c>
      <c r="F60" s="418" t="s">
        <v>748</v>
      </c>
      <c r="G60" s="410" t="s">
        <v>842</v>
      </c>
      <c r="H60" s="412"/>
      <c r="I60" s="414">
        <v>37314.0</v>
      </c>
      <c r="J60" s="414">
        <v>45733.0</v>
      </c>
      <c r="K60" s="350" t="str">
        <f>IFERROR(__xludf.DUMMYFUNCTION("VLOOKUP(TRIM(E60), ARRAYFORMULA(TRIM(IMPORTRANGE(""1J6TM1lO8a31d96YF89fby9ySWcPcCBlFT37fwLDeDG0"", ""PKR-September 2025!C:Z""))), 5, FALSE)"),"")</f>
        <v/>
      </c>
      <c r="L60" s="643">
        <f>IFERROR(__xludf.DUMMYFUNCTION("value(VLOOKUP(TRIM(E60), ARRAYFORMULA(TRIM(IMPORTRANGE(""1J6TM1lO8a31d96YF89fby9ySWcPcCBlFT37fwLDeDG0"", ""PKR-September 2025!C:Z""))), 6, FALSE))"),30.0)</f>
        <v>30</v>
      </c>
      <c r="M60" s="350">
        <v>45901.0</v>
      </c>
      <c r="N60" s="350">
        <v>45930.0</v>
      </c>
      <c r="O60" s="290">
        <f t="shared" si="1"/>
        <v>370</v>
      </c>
      <c r="P60" s="290">
        <f t="shared" si="2"/>
        <v>1850</v>
      </c>
      <c r="Q60" s="290">
        <f t="shared" si="3"/>
        <v>2220</v>
      </c>
    </row>
    <row r="61">
      <c r="A61" s="410" t="s">
        <v>16</v>
      </c>
      <c r="B61" s="411">
        <v>4320.0</v>
      </c>
      <c r="C61" s="412"/>
      <c r="D61" s="285">
        <v>0.0</v>
      </c>
      <c r="E61" s="410" t="s">
        <v>750</v>
      </c>
      <c r="F61" s="418" t="s">
        <v>751</v>
      </c>
      <c r="G61" s="410" t="s">
        <v>752</v>
      </c>
      <c r="H61" s="412"/>
      <c r="I61" s="414">
        <v>36581.0</v>
      </c>
      <c r="J61" s="414">
        <v>45740.0</v>
      </c>
      <c r="K61" s="350" t="str">
        <f>IFERROR(__xludf.DUMMYFUNCTION("VLOOKUP(TRIM(E61), ARRAYFORMULA(TRIM(IMPORTRANGE(""1J6TM1lO8a31d96YF89fby9ySWcPcCBlFT37fwLDeDG0"", ""PKR-September 2025!C:Z""))), 5, FALSE)"),"")</f>
        <v/>
      </c>
      <c r="L61" s="643">
        <f>IFERROR(__xludf.DUMMYFUNCTION("value(VLOOKUP(TRIM(E61), ARRAYFORMULA(TRIM(IMPORTRANGE(""1J6TM1lO8a31d96YF89fby9ySWcPcCBlFT37fwLDeDG0"", ""PKR-September 2025!C:Z""))), 6, FALSE))"),30.0)</f>
        <v>30</v>
      </c>
      <c r="M61" s="350">
        <v>45901.0</v>
      </c>
      <c r="N61" s="350">
        <v>45930.0</v>
      </c>
      <c r="O61" s="290">
        <f t="shared" si="1"/>
        <v>370</v>
      </c>
      <c r="P61" s="290">
        <f t="shared" si="2"/>
        <v>1850</v>
      </c>
      <c r="Q61" s="290">
        <f t="shared" si="3"/>
        <v>2220</v>
      </c>
    </row>
    <row r="62">
      <c r="A62" s="410" t="s">
        <v>16</v>
      </c>
      <c r="B62" s="411">
        <v>4320.0</v>
      </c>
      <c r="C62" s="412"/>
      <c r="D62" s="285">
        <v>0.0</v>
      </c>
      <c r="E62" s="410" t="s">
        <v>764</v>
      </c>
      <c r="F62" s="418" t="s">
        <v>765</v>
      </c>
      <c r="G62" s="410" t="s">
        <v>766</v>
      </c>
      <c r="H62" s="412"/>
      <c r="I62" s="414">
        <v>36087.0</v>
      </c>
      <c r="J62" s="414">
        <v>45761.0</v>
      </c>
      <c r="K62" s="350" t="str">
        <f>IFERROR(__xludf.DUMMYFUNCTION("VLOOKUP(TRIM(E62), ARRAYFORMULA(TRIM(IMPORTRANGE(""1J6TM1lO8a31d96YF89fby9ySWcPcCBlFT37fwLDeDG0"", ""PKR-September 2025!C:Z""))), 5, FALSE)"),"")</f>
        <v/>
      </c>
      <c r="L62" s="643">
        <f>IFERROR(__xludf.DUMMYFUNCTION("value(VLOOKUP(TRIM(E62), ARRAYFORMULA(TRIM(IMPORTRANGE(""1J6TM1lO8a31d96YF89fby9ySWcPcCBlFT37fwLDeDG0"", ""PKR-September 2025!C:Z""))), 6, FALSE))"),30.0)</f>
        <v>30</v>
      </c>
      <c r="M62" s="350">
        <v>45901.0</v>
      </c>
      <c r="N62" s="350">
        <v>45930.0</v>
      </c>
      <c r="O62" s="290">
        <f t="shared" si="1"/>
        <v>370</v>
      </c>
      <c r="P62" s="290">
        <f t="shared" si="2"/>
        <v>1850</v>
      </c>
      <c r="Q62" s="290">
        <f t="shared" si="3"/>
        <v>2220</v>
      </c>
    </row>
    <row r="63">
      <c r="A63" s="410" t="s">
        <v>16</v>
      </c>
      <c r="B63" s="411">
        <v>4320.0</v>
      </c>
      <c r="C63" s="443"/>
      <c r="D63" s="285">
        <v>0.0</v>
      </c>
      <c r="E63" s="444" t="s">
        <v>785</v>
      </c>
      <c r="F63" s="445" t="s">
        <v>786</v>
      </c>
      <c r="G63" s="445" t="s">
        <v>787</v>
      </c>
      <c r="H63" s="443"/>
      <c r="I63" s="446">
        <v>38089.0</v>
      </c>
      <c r="J63" s="447">
        <v>45789.0</v>
      </c>
      <c r="K63" s="350" t="str">
        <f>IFERROR(__xludf.DUMMYFUNCTION("VLOOKUP(TRIM(E63), ARRAYFORMULA(TRIM(IMPORTRANGE(""1J6TM1lO8a31d96YF89fby9ySWcPcCBlFT37fwLDeDG0"", ""PKR-September 2025!C:Z""))), 5, FALSE)"),"")</f>
        <v/>
      </c>
      <c r="L63" s="643">
        <f>IFERROR(__xludf.DUMMYFUNCTION("value(VLOOKUP(TRIM(E63), ARRAYFORMULA(TRIM(IMPORTRANGE(""1J6TM1lO8a31d96YF89fby9ySWcPcCBlFT37fwLDeDG0"", ""PKR-September 2025!C:Z""))), 6, FALSE))"),30.0)</f>
        <v>30</v>
      </c>
      <c r="M63" s="350">
        <v>45901.0</v>
      </c>
      <c r="N63" s="350">
        <v>45930.0</v>
      </c>
      <c r="O63" s="290">
        <f t="shared" si="1"/>
        <v>370</v>
      </c>
      <c r="P63" s="290">
        <f t="shared" si="2"/>
        <v>1850</v>
      </c>
      <c r="Q63" s="290">
        <f t="shared" si="3"/>
        <v>2220</v>
      </c>
    </row>
    <row r="64">
      <c r="A64" s="410" t="s">
        <v>16</v>
      </c>
      <c r="B64" s="411">
        <v>4320.0</v>
      </c>
      <c r="C64" s="443"/>
      <c r="D64" s="285">
        <v>0.0</v>
      </c>
      <c r="E64" s="444" t="s">
        <v>791</v>
      </c>
      <c r="F64" s="445" t="s">
        <v>792</v>
      </c>
      <c r="G64" s="445" t="s">
        <v>793</v>
      </c>
      <c r="H64" s="443"/>
      <c r="I64" s="446">
        <v>36197.0</v>
      </c>
      <c r="J64" s="447">
        <v>45782.0</v>
      </c>
      <c r="K64" s="350" t="str">
        <f>IFERROR(__xludf.DUMMYFUNCTION("VLOOKUP(TRIM(E64), ARRAYFORMULA(TRIM(IMPORTRANGE(""1J6TM1lO8a31d96YF89fby9ySWcPcCBlFT37fwLDeDG0"", ""PKR-September 2025!C:Z""))), 5, FALSE)"),"")</f>
        <v/>
      </c>
      <c r="L64" s="643">
        <f>IFERROR(__xludf.DUMMYFUNCTION("value(VLOOKUP(TRIM(E64), ARRAYFORMULA(TRIM(IMPORTRANGE(""1J6TM1lO8a31d96YF89fby9ySWcPcCBlFT37fwLDeDG0"", ""PKR-September 2025!C:Z""))), 6, FALSE))"),30.0)</f>
        <v>30</v>
      </c>
      <c r="M64" s="350">
        <v>45901.0</v>
      </c>
      <c r="N64" s="350">
        <v>45930.0</v>
      </c>
      <c r="O64" s="290">
        <f t="shared" si="1"/>
        <v>370</v>
      </c>
      <c r="P64" s="290">
        <f t="shared" si="2"/>
        <v>1850</v>
      </c>
      <c r="Q64" s="290">
        <f t="shared" si="3"/>
        <v>2220</v>
      </c>
    </row>
    <row r="65">
      <c r="A65" s="410" t="s">
        <v>16</v>
      </c>
      <c r="B65" s="411">
        <v>4320.0</v>
      </c>
      <c r="C65" s="443"/>
      <c r="D65" s="285">
        <v>0.0</v>
      </c>
      <c r="E65" s="444" t="s">
        <v>794</v>
      </c>
      <c r="F65" s="445" t="s">
        <v>795</v>
      </c>
      <c r="G65" s="445" t="s">
        <v>796</v>
      </c>
      <c r="H65" s="443"/>
      <c r="I65" s="446">
        <v>36857.0</v>
      </c>
      <c r="J65" s="446">
        <v>45775.0</v>
      </c>
      <c r="K65" s="350" t="str">
        <f>IFERROR(__xludf.DUMMYFUNCTION("VLOOKUP(TRIM(E65), ARRAYFORMULA(TRIM(IMPORTRANGE(""1J6TM1lO8a31d96YF89fby9ySWcPcCBlFT37fwLDeDG0"", ""PKR-September 2025!C:Z""))), 5, FALSE)"),"")</f>
        <v/>
      </c>
      <c r="L65" s="643">
        <f>IFERROR(__xludf.DUMMYFUNCTION("value(VLOOKUP(TRIM(E65), ARRAYFORMULA(TRIM(IMPORTRANGE(""1J6TM1lO8a31d96YF89fby9ySWcPcCBlFT37fwLDeDG0"", ""PKR-September 2025!C:Z""))), 6, FALSE))"),30.0)</f>
        <v>30</v>
      </c>
      <c r="M65" s="350">
        <v>45901.0</v>
      </c>
      <c r="N65" s="350">
        <v>45930.0</v>
      </c>
      <c r="O65" s="290">
        <f t="shared" si="1"/>
        <v>370</v>
      </c>
      <c r="P65" s="290">
        <f t="shared" si="2"/>
        <v>1850</v>
      </c>
      <c r="Q65" s="290">
        <f t="shared" si="3"/>
        <v>2220</v>
      </c>
    </row>
    <row r="66">
      <c r="A66" s="410" t="s">
        <v>16</v>
      </c>
      <c r="B66" s="411">
        <v>4320.0</v>
      </c>
      <c r="C66" s="443"/>
      <c r="D66" s="285">
        <v>0.0</v>
      </c>
      <c r="E66" s="444" t="s">
        <v>797</v>
      </c>
      <c r="F66" s="445" t="s">
        <v>798</v>
      </c>
      <c r="G66" s="445" t="s">
        <v>799</v>
      </c>
      <c r="H66" s="443"/>
      <c r="I66" s="446">
        <v>37709.0</v>
      </c>
      <c r="J66" s="447">
        <v>45789.0</v>
      </c>
      <c r="K66" s="350" t="str">
        <f>IFERROR(__xludf.DUMMYFUNCTION("VLOOKUP(TRIM(E66), ARRAYFORMULA(TRIM(IMPORTRANGE(""1J6TM1lO8a31d96YF89fby9ySWcPcCBlFT37fwLDeDG0"", ""PKR-September 2025!C:Z""))), 5, FALSE)"),"")</f>
        <v/>
      </c>
      <c r="L66" s="643">
        <f>IFERROR(__xludf.DUMMYFUNCTION("value(VLOOKUP(TRIM(E66), ARRAYFORMULA(TRIM(IMPORTRANGE(""1J6TM1lO8a31d96YF89fby9ySWcPcCBlFT37fwLDeDG0"", ""PKR-September 2025!C:Z""))), 6, FALSE))"),30.0)</f>
        <v>30</v>
      </c>
      <c r="M66" s="350">
        <v>45901.0</v>
      </c>
      <c r="N66" s="350">
        <v>45930.0</v>
      </c>
      <c r="O66" s="290">
        <f t="shared" si="1"/>
        <v>370</v>
      </c>
      <c r="P66" s="290">
        <f t="shared" si="2"/>
        <v>1850</v>
      </c>
      <c r="Q66" s="290">
        <f t="shared" si="3"/>
        <v>2220</v>
      </c>
    </row>
    <row r="67">
      <c r="A67" s="490" t="s">
        <v>16</v>
      </c>
      <c r="B67" s="491">
        <v>4320.0</v>
      </c>
      <c r="C67" s="538"/>
      <c r="D67" s="424">
        <v>0.0</v>
      </c>
      <c r="E67" s="591" t="s">
        <v>800</v>
      </c>
      <c r="F67" s="592" t="s">
        <v>801</v>
      </c>
      <c r="G67" s="592" t="s">
        <v>802</v>
      </c>
      <c r="H67" s="538"/>
      <c r="I67" s="593">
        <v>36939.0</v>
      </c>
      <c r="J67" s="594">
        <v>45789.0</v>
      </c>
      <c r="K67" s="429" t="str">
        <f>IFERROR(__xludf.DUMMYFUNCTION("VLOOKUP(TRIM(E67), ARRAYFORMULA(TRIM(IMPORTRANGE(""1J6TM1lO8a31d96YF89fby9ySWcPcCBlFT37fwLDeDG0"", ""PKR-September 2025!C:Z""))), 5, FALSE)"),"15 September 2025")</f>
        <v>15 September 2025</v>
      </c>
      <c r="L67" s="644">
        <f>IFERROR(__xludf.DUMMYFUNCTION("value(VLOOKUP(TRIM(E67), ARRAYFORMULA(TRIM(IMPORTRANGE(""1J6TM1lO8a31d96YF89fby9ySWcPcCBlFT37fwLDeDG0"", ""PKR-September 2025!C:Z""))), 6, FALSE))"),15.0)</f>
        <v>15</v>
      </c>
      <c r="M67" s="429">
        <v>45901.0</v>
      </c>
      <c r="N67" s="429">
        <v>45930.0</v>
      </c>
      <c r="O67" s="430">
        <f t="shared" si="1"/>
        <v>185</v>
      </c>
      <c r="P67" s="430">
        <f t="shared" si="2"/>
        <v>925</v>
      </c>
      <c r="Q67" s="430">
        <f t="shared" si="3"/>
        <v>1110</v>
      </c>
      <c r="R67" s="48"/>
      <c r="S67" s="48"/>
      <c r="T67" s="48"/>
      <c r="U67" s="48"/>
      <c r="V67" s="48"/>
      <c r="W67" s="48"/>
      <c r="X67" s="48"/>
    </row>
    <row r="68">
      <c r="A68" s="410" t="s">
        <v>16</v>
      </c>
      <c r="B68" s="411">
        <v>4320.0</v>
      </c>
      <c r="C68" s="443"/>
      <c r="D68" s="285">
        <v>0.0</v>
      </c>
      <c r="E68" s="444" t="s">
        <v>806</v>
      </c>
      <c r="F68" s="445" t="s">
        <v>807</v>
      </c>
      <c r="G68" s="445" t="s">
        <v>808</v>
      </c>
      <c r="H68" s="443"/>
      <c r="I68" s="446">
        <v>36061.0</v>
      </c>
      <c r="J68" s="447">
        <v>45796.0</v>
      </c>
      <c r="K68" s="350" t="str">
        <f>IFERROR(__xludf.DUMMYFUNCTION("VLOOKUP(TRIM(E68), ARRAYFORMULA(TRIM(IMPORTRANGE(""1J6TM1lO8a31d96YF89fby9ySWcPcCBlFT37fwLDeDG0"", ""PKR-September 2025!C:Z""))), 5, FALSE)"),"")</f>
        <v/>
      </c>
      <c r="L68" s="643">
        <f>IFERROR(__xludf.DUMMYFUNCTION("value(VLOOKUP(TRIM(E68), ARRAYFORMULA(TRIM(IMPORTRANGE(""1J6TM1lO8a31d96YF89fby9ySWcPcCBlFT37fwLDeDG0"", ""PKR-September 2025!C:Z""))), 6, FALSE))"),30.0)</f>
        <v>30</v>
      </c>
      <c r="M68" s="350">
        <v>45901.0</v>
      </c>
      <c r="N68" s="350">
        <v>45930.0</v>
      </c>
      <c r="O68" s="290">
        <f t="shared" si="1"/>
        <v>370</v>
      </c>
      <c r="P68" s="290">
        <f t="shared" si="2"/>
        <v>1850</v>
      </c>
      <c r="Q68" s="290">
        <f t="shared" si="3"/>
        <v>2220</v>
      </c>
    </row>
    <row r="69">
      <c r="A69" s="410" t="s">
        <v>16</v>
      </c>
      <c r="B69" s="411">
        <v>4320.0</v>
      </c>
      <c r="C69" s="443"/>
      <c r="D69" s="285">
        <v>0.0</v>
      </c>
      <c r="E69" s="444" t="s">
        <v>809</v>
      </c>
      <c r="F69" s="445" t="s">
        <v>810</v>
      </c>
      <c r="G69" s="445" t="s">
        <v>811</v>
      </c>
      <c r="H69" s="443"/>
      <c r="I69" s="446">
        <v>35148.0</v>
      </c>
      <c r="J69" s="446">
        <v>45775.0</v>
      </c>
      <c r="K69" s="350" t="str">
        <f>IFERROR(__xludf.DUMMYFUNCTION("VLOOKUP(TRIM(E69), ARRAYFORMULA(TRIM(IMPORTRANGE(""1J6TM1lO8a31d96YF89fby9ySWcPcCBlFT37fwLDeDG0"", ""PKR-September 2025!C:Z""))), 5, FALSE)"),"")</f>
        <v/>
      </c>
      <c r="L69" s="643">
        <f>IFERROR(__xludf.DUMMYFUNCTION("value(VLOOKUP(TRIM(E69), ARRAYFORMULA(TRIM(IMPORTRANGE(""1J6TM1lO8a31d96YF89fby9ySWcPcCBlFT37fwLDeDG0"", ""PKR-September 2025!C:Z""))), 6, FALSE))"),30.0)</f>
        <v>30</v>
      </c>
      <c r="M69" s="350">
        <v>45901.0</v>
      </c>
      <c r="N69" s="350">
        <v>45930.0</v>
      </c>
      <c r="O69" s="290">
        <f t="shared" si="1"/>
        <v>370</v>
      </c>
      <c r="P69" s="290">
        <f t="shared" si="2"/>
        <v>1850</v>
      </c>
      <c r="Q69" s="290">
        <f t="shared" si="3"/>
        <v>2220</v>
      </c>
    </row>
    <row r="70">
      <c r="A70" s="410" t="s">
        <v>16</v>
      </c>
      <c r="B70" s="411">
        <v>4320.0</v>
      </c>
      <c r="C70" s="443"/>
      <c r="D70" s="285">
        <v>0.0</v>
      </c>
      <c r="E70" s="444" t="s">
        <v>812</v>
      </c>
      <c r="F70" s="445" t="s">
        <v>813</v>
      </c>
      <c r="G70" s="445" t="s">
        <v>814</v>
      </c>
      <c r="H70" s="443"/>
      <c r="I70" s="446">
        <v>37940.0</v>
      </c>
      <c r="J70" s="446">
        <v>45775.0</v>
      </c>
      <c r="K70" s="350" t="str">
        <f>IFERROR(__xludf.DUMMYFUNCTION("VLOOKUP(TRIM(E70), ARRAYFORMULA(TRIM(IMPORTRANGE(""1J6TM1lO8a31d96YF89fby9ySWcPcCBlFT37fwLDeDG0"", ""PKR-September 2025!C:Z""))), 5, FALSE)"),"")</f>
        <v/>
      </c>
      <c r="L70" s="643">
        <f>IFERROR(__xludf.DUMMYFUNCTION("value(VLOOKUP(TRIM(E70), ARRAYFORMULA(TRIM(IMPORTRANGE(""1J6TM1lO8a31d96YF89fby9ySWcPcCBlFT37fwLDeDG0"", ""PKR-September 2025!C:Z""))), 6, FALSE))"),30.0)</f>
        <v>30</v>
      </c>
      <c r="M70" s="350">
        <v>45901.0</v>
      </c>
      <c r="N70" s="350">
        <v>45930.0</v>
      </c>
      <c r="O70" s="290">
        <f t="shared" si="1"/>
        <v>370</v>
      </c>
      <c r="P70" s="290">
        <f t="shared" si="2"/>
        <v>1850</v>
      </c>
      <c r="Q70" s="290">
        <f t="shared" si="3"/>
        <v>2220</v>
      </c>
    </row>
    <row r="71">
      <c r="A71" s="410" t="s">
        <v>16</v>
      </c>
      <c r="B71" s="411">
        <v>4320.0</v>
      </c>
      <c r="C71" s="443"/>
      <c r="D71" s="285">
        <v>0.0</v>
      </c>
      <c r="E71" s="444" t="s">
        <v>629</v>
      </c>
      <c r="F71" s="445" t="s">
        <v>815</v>
      </c>
      <c r="G71" s="445" t="s">
        <v>631</v>
      </c>
      <c r="H71" s="445" t="s">
        <v>763</v>
      </c>
      <c r="I71" s="446">
        <v>34807.0</v>
      </c>
      <c r="J71" s="447">
        <v>45778.0</v>
      </c>
      <c r="K71" s="350" t="str">
        <f>IFERROR(__xludf.DUMMYFUNCTION("VLOOKUP(TRIM(E71), ARRAYFORMULA(TRIM(IMPORTRANGE(""1J6TM1lO8a31d96YF89fby9ySWcPcCBlFT37fwLDeDG0"", ""PKR-September 2025!C:Z""))), 5, FALSE)"),"")</f>
        <v/>
      </c>
      <c r="L71" s="643">
        <f>IFERROR(__xludf.DUMMYFUNCTION("value(VLOOKUP(TRIM(E71), ARRAYFORMULA(TRIM(IMPORTRANGE(""1J6TM1lO8a31d96YF89fby9ySWcPcCBlFT37fwLDeDG0"", ""PKR-September 2025!C:Z""))), 6, FALSE))"),30.0)</f>
        <v>30</v>
      </c>
      <c r="M71" s="350">
        <v>45901.0</v>
      </c>
      <c r="N71" s="350">
        <v>45930.0</v>
      </c>
      <c r="O71" s="290">
        <f t="shared" si="1"/>
        <v>370</v>
      </c>
      <c r="P71" s="290">
        <f t="shared" si="2"/>
        <v>1850</v>
      </c>
      <c r="Q71" s="290">
        <f t="shared" si="3"/>
        <v>2220</v>
      </c>
    </row>
    <row r="72">
      <c r="A72" s="410" t="s">
        <v>16</v>
      </c>
      <c r="B72" s="411">
        <v>4320.0</v>
      </c>
      <c r="C72" s="443"/>
      <c r="D72" s="285">
        <v>0.0</v>
      </c>
      <c r="E72" s="444" t="s">
        <v>924</v>
      </c>
      <c r="F72" s="445" t="s">
        <v>627</v>
      </c>
      <c r="G72" s="445" t="s">
        <v>628</v>
      </c>
      <c r="H72" s="443"/>
      <c r="I72" s="446">
        <v>35257.0</v>
      </c>
      <c r="J72" s="447">
        <v>45778.0</v>
      </c>
      <c r="K72" s="350" t="str">
        <f>IFERROR(__xludf.DUMMYFUNCTION("VLOOKUP(TRIM(E72), ARRAYFORMULA(TRIM(IMPORTRANGE(""1J6TM1lO8a31d96YF89fby9ySWcPcCBlFT37fwLDeDG0"", ""PKR-September 2025!C:Z""))), 5, FALSE)"),"")</f>
        <v/>
      </c>
      <c r="L72" s="643">
        <f>IFERROR(__xludf.DUMMYFUNCTION("value(VLOOKUP(TRIM(E72), ARRAYFORMULA(TRIM(IMPORTRANGE(""1J6TM1lO8a31d96YF89fby9ySWcPcCBlFT37fwLDeDG0"", ""PKR-September 2025!C:Z""))), 6, FALSE))"),30.0)</f>
        <v>30</v>
      </c>
      <c r="M72" s="350">
        <v>45901.0</v>
      </c>
      <c r="N72" s="350">
        <v>45930.0</v>
      </c>
      <c r="O72" s="290">
        <f t="shared" si="1"/>
        <v>370</v>
      </c>
      <c r="P72" s="290">
        <f t="shared" si="2"/>
        <v>1850</v>
      </c>
      <c r="Q72" s="290">
        <f t="shared" si="3"/>
        <v>2220</v>
      </c>
    </row>
    <row r="73">
      <c r="A73" s="410" t="s">
        <v>16</v>
      </c>
      <c r="B73" s="411">
        <v>4320.0</v>
      </c>
      <c r="C73" s="443"/>
      <c r="D73" s="285">
        <v>0.0</v>
      </c>
      <c r="E73" s="602" t="s">
        <v>848</v>
      </c>
      <c r="F73" s="580" t="s">
        <v>849</v>
      </c>
      <c r="G73" s="580" t="s">
        <v>850</v>
      </c>
      <c r="I73" s="508">
        <v>33637.0</v>
      </c>
      <c r="J73" s="504">
        <v>45809.0</v>
      </c>
      <c r="K73" s="350" t="str">
        <f>IFERROR(__xludf.DUMMYFUNCTION("VLOOKUP(TRIM(E73), ARRAYFORMULA(TRIM(IMPORTRANGE(""1J6TM1lO8a31d96YF89fby9ySWcPcCBlFT37fwLDeDG0"", ""PKR-September 2025!C:Z""))), 5, FALSE)"),"")</f>
        <v/>
      </c>
      <c r="L73" s="643">
        <f>IFERROR(__xludf.DUMMYFUNCTION("value(VLOOKUP(TRIM(E73), ARRAYFORMULA(TRIM(IMPORTRANGE(""1J6TM1lO8a31d96YF89fby9ySWcPcCBlFT37fwLDeDG0"", ""PKR-September 2025!C:Z""))), 6, FALSE))"),30.0)</f>
        <v>30</v>
      </c>
      <c r="M73" s="350">
        <v>45901.0</v>
      </c>
      <c r="N73" s="350">
        <v>45930.0</v>
      </c>
      <c r="O73" s="290">
        <f t="shared" si="1"/>
        <v>370</v>
      </c>
      <c r="P73" s="290">
        <f t="shared" si="2"/>
        <v>1850</v>
      </c>
      <c r="Q73" s="290">
        <f t="shared" si="3"/>
        <v>2220</v>
      </c>
    </row>
    <row r="74">
      <c r="A74" s="410" t="s">
        <v>16</v>
      </c>
      <c r="B74" s="411">
        <v>4320.0</v>
      </c>
      <c r="C74" s="443"/>
      <c r="D74" s="285">
        <v>0.0</v>
      </c>
      <c r="E74" s="600" t="s">
        <v>851</v>
      </c>
      <c r="F74" s="574" t="s">
        <v>852</v>
      </c>
      <c r="G74" s="574" t="s">
        <v>853</v>
      </c>
      <c r="I74" s="509">
        <v>36113.0</v>
      </c>
      <c r="J74" s="509">
        <v>45810.0</v>
      </c>
      <c r="K74" s="350" t="str">
        <f>IFERROR(__xludf.DUMMYFUNCTION("VLOOKUP(TRIM(E74), ARRAYFORMULA(TRIM(IMPORTRANGE(""1J6TM1lO8a31d96YF89fby9ySWcPcCBlFT37fwLDeDG0"", ""PKR-September 2025!C:Z""))), 5, FALSE)"),"")</f>
        <v/>
      </c>
      <c r="L74" s="643">
        <f>IFERROR(__xludf.DUMMYFUNCTION("value(VLOOKUP(TRIM(E74), ARRAYFORMULA(TRIM(IMPORTRANGE(""1J6TM1lO8a31d96YF89fby9ySWcPcCBlFT37fwLDeDG0"", ""PKR-September 2025!C:Z""))), 6, FALSE))"),30.0)</f>
        <v>30</v>
      </c>
      <c r="M74" s="350">
        <v>45901.0</v>
      </c>
      <c r="N74" s="350">
        <v>45930.0</v>
      </c>
      <c r="O74" s="290">
        <f t="shared" si="1"/>
        <v>370</v>
      </c>
      <c r="P74" s="290">
        <f t="shared" si="2"/>
        <v>1850</v>
      </c>
      <c r="Q74" s="290">
        <f t="shared" si="3"/>
        <v>2220</v>
      </c>
    </row>
    <row r="75">
      <c r="A75" s="490" t="s">
        <v>16</v>
      </c>
      <c r="B75" s="491">
        <v>4320.0</v>
      </c>
      <c r="C75" s="538"/>
      <c r="D75" s="424">
        <v>0.0</v>
      </c>
      <c r="E75" s="539" t="s">
        <v>854</v>
      </c>
      <c r="F75" s="540" t="s">
        <v>855</v>
      </c>
      <c r="G75" s="540" t="s">
        <v>856</v>
      </c>
      <c r="H75" s="48"/>
      <c r="I75" s="541">
        <v>36059.0</v>
      </c>
      <c r="J75" s="541">
        <v>45810.0</v>
      </c>
      <c r="K75" s="429" t="str">
        <f>IFERROR(__xludf.DUMMYFUNCTION("VLOOKUP(TRIM(E75), ARRAYFORMULA(TRIM(IMPORTRANGE(""1J6TM1lO8a31d96YF89fby9ySWcPcCBlFT37fwLDeDG0"", ""PKR-September 2025!C:Z""))), 5, FALSE)"),"12 September")</f>
        <v>12 September</v>
      </c>
      <c r="L75" s="644">
        <f>IFERROR(__xludf.DUMMYFUNCTION("value(VLOOKUP(TRIM(E75), ARRAYFORMULA(TRIM(IMPORTRANGE(""1J6TM1lO8a31d96YF89fby9ySWcPcCBlFT37fwLDeDG0"", ""PKR-September 2025!C:Z""))), 6, FALSE))"),12.0)</f>
        <v>12</v>
      </c>
      <c r="M75" s="429">
        <v>45901.0</v>
      </c>
      <c r="N75" s="429">
        <v>45930.0</v>
      </c>
      <c r="O75" s="430">
        <f t="shared" si="1"/>
        <v>148</v>
      </c>
      <c r="P75" s="430">
        <f t="shared" si="2"/>
        <v>740</v>
      </c>
      <c r="Q75" s="430">
        <f t="shared" si="3"/>
        <v>888</v>
      </c>
      <c r="R75" s="543"/>
      <c r="S75" s="544"/>
      <c r="T75" s="544"/>
      <c r="U75" s="544"/>
      <c r="V75" s="544"/>
      <c r="W75" s="544"/>
      <c r="X75" s="544"/>
    </row>
    <row r="76">
      <c r="A76" s="410" t="s">
        <v>16</v>
      </c>
      <c r="B76" s="411">
        <v>4320.0</v>
      </c>
      <c r="C76" s="443"/>
      <c r="D76" s="285">
        <v>0.0</v>
      </c>
      <c r="E76" s="600" t="s">
        <v>860</v>
      </c>
      <c r="F76" s="574" t="s">
        <v>861</v>
      </c>
      <c r="G76" s="574" t="s">
        <v>862</v>
      </c>
      <c r="I76" s="509">
        <v>36176.0</v>
      </c>
      <c r="J76" s="509">
        <v>45810.0</v>
      </c>
      <c r="K76" s="350" t="str">
        <f>IFERROR(__xludf.DUMMYFUNCTION("VLOOKUP(TRIM(E76), ARRAYFORMULA(TRIM(IMPORTRANGE(""1J6TM1lO8a31d96YF89fby9ySWcPcCBlFT37fwLDeDG0"", ""PKR-September 2025!C:Z""))), 5, FALSE)"),"")</f>
        <v/>
      </c>
      <c r="L76" s="643">
        <f>IFERROR(__xludf.DUMMYFUNCTION("value(VLOOKUP(TRIM(E76), ARRAYFORMULA(TRIM(IMPORTRANGE(""1J6TM1lO8a31d96YF89fby9ySWcPcCBlFT37fwLDeDG0"", ""PKR-September 2025!C:Z""))), 6, FALSE))"),30.0)</f>
        <v>30</v>
      </c>
      <c r="M76" s="350">
        <v>45901.0</v>
      </c>
      <c r="N76" s="350">
        <v>45930.0</v>
      </c>
      <c r="O76" s="290">
        <f t="shared" si="1"/>
        <v>370</v>
      </c>
      <c r="P76" s="290">
        <f t="shared" si="2"/>
        <v>1850</v>
      </c>
      <c r="Q76" s="290">
        <f t="shared" si="3"/>
        <v>2220</v>
      </c>
      <c r="R76" s="359"/>
      <c r="S76" s="360"/>
      <c r="T76" s="360"/>
      <c r="U76" s="360"/>
      <c r="V76" s="360"/>
      <c r="W76" s="360"/>
      <c r="X76" s="360"/>
    </row>
    <row r="77">
      <c r="A77" s="410" t="s">
        <v>16</v>
      </c>
      <c r="B77" s="411">
        <v>4320.0</v>
      </c>
      <c r="C77" s="443"/>
      <c r="D77" s="285">
        <v>0.0</v>
      </c>
      <c r="E77" s="602" t="s">
        <v>863</v>
      </c>
      <c r="F77" s="580" t="s">
        <v>864</v>
      </c>
      <c r="G77" s="580" t="s">
        <v>865</v>
      </c>
      <c r="I77" s="509">
        <v>36175.0</v>
      </c>
      <c r="J77" s="509">
        <v>45824.0</v>
      </c>
      <c r="K77" s="350" t="str">
        <f>IFERROR(__xludf.DUMMYFUNCTION("VLOOKUP(TRIM(E77), ARRAYFORMULA(TRIM(IMPORTRANGE(""1J6TM1lO8a31d96YF89fby9ySWcPcCBlFT37fwLDeDG0"", ""PKR-September 2025!C:Z""))), 5, FALSE)"),"")</f>
        <v/>
      </c>
      <c r="L77" s="643">
        <f>IFERROR(__xludf.DUMMYFUNCTION("value(VLOOKUP(TRIM(E77), ARRAYFORMULA(TRIM(IMPORTRANGE(""1J6TM1lO8a31d96YF89fby9ySWcPcCBlFT37fwLDeDG0"", ""PKR-September 2025!C:Z""))), 6, FALSE))"),30.0)</f>
        <v>30</v>
      </c>
      <c r="M77" s="350">
        <v>45901.0</v>
      </c>
      <c r="N77" s="350">
        <v>45930.0</v>
      </c>
      <c r="O77" s="290">
        <f t="shared" si="1"/>
        <v>370</v>
      </c>
      <c r="P77" s="290">
        <f t="shared" si="2"/>
        <v>1850</v>
      </c>
      <c r="Q77" s="290">
        <f t="shared" si="3"/>
        <v>2220</v>
      </c>
      <c r="R77" s="359"/>
      <c r="S77" s="360"/>
      <c r="T77" s="360"/>
      <c r="U77" s="360"/>
      <c r="V77" s="360"/>
      <c r="W77" s="360"/>
      <c r="X77" s="360"/>
    </row>
    <row r="78">
      <c r="A78" s="410" t="s">
        <v>16</v>
      </c>
      <c r="B78" s="411">
        <v>4320.0</v>
      </c>
      <c r="C78" s="443"/>
      <c r="D78" s="285">
        <v>0.0</v>
      </c>
      <c r="E78" s="600" t="s">
        <v>866</v>
      </c>
      <c r="F78" s="574" t="s">
        <v>867</v>
      </c>
      <c r="G78" s="574" t="s">
        <v>868</v>
      </c>
      <c r="I78" s="509">
        <v>36180.0</v>
      </c>
      <c r="J78" s="509">
        <v>45824.0</v>
      </c>
      <c r="K78" s="350" t="str">
        <f>IFERROR(__xludf.DUMMYFUNCTION("VLOOKUP(TRIM(E78), ARRAYFORMULA(TRIM(IMPORTRANGE(""1J6TM1lO8a31d96YF89fby9ySWcPcCBlFT37fwLDeDG0"", ""PKR-September 2025!C:Z""))), 5, FALSE)"),"")</f>
        <v/>
      </c>
      <c r="L78" s="643">
        <f>IFERROR(__xludf.DUMMYFUNCTION("value(VLOOKUP(TRIM(E78), ARRAYFORMULA(TRIM(IMPORTRANGE(""1J6TM1lO8a31d96YF89fby9ySWcPcCBlFT37fwLDeDG0"", ""PKR-September 2025!C:Z""))), 6, FALSE))"),30.0)</f>
        <v>30</v>
      </c>
      <c r="M78" s="350">
        <v>45901.0</v>
      </c>
      <c r="N78" s="350">
        <v>45930.0</v>
      </c>
      <c r="O78" s="290">
        <f t="shared" si="1"/>
        <v>370</v>
      </c>
      <c r="P78" s="290">
        <f t="shared" si="2"/>
        <v>1850</v>
      </c>
      <c r="Q78" s="290">
        <f t="shared" si="3"/>
        <v>2220</v>
      </c>
      <c r="R78" s="360"/>
      <c r="S78" s="360"/>
      <c r="T78" s="360"/>
      <c r="U78" s="360"/>
      <c r="V78" s="360"/>
      <c r="W78" s="360"/>
      <c r="X78" s="360"/>
    </row>
    <row r="79">
      <c r="A79" s="410" t="s">
        <v>16</v>
      </c>
      <c r="B79" s="411">
        <v>4320.0</v>
      </c>
      <c r="C79" s="443"/>
      <c r="D79" s="285">
        <v>0.0</v>
      </c>
      <c r="E79" s="602" t="s">
        <v>869</v>
      </c>
      <c r="F79" s="580" t="s">
        <v>870</v>
      </c>
      <c r="G79" s="580" t="s">
        <v>871</v>
      </c>
      <c r="I79" s="509">
        <v>36585.0</v>
      </c>
      <c r="J79" s="509">
        <v>45824.0</v>
      </c>
      <c r="K79" s="350" t="str">
        <f>IFERROR(__xludf.DUMMYFUNCTION("VLOOKUP(TRIM(E79), ARRAYFORMULA(TRIM(IMPORTRANGE(""1J6TM1lO8a31d96YF89fby9ySWcPcCBlFT37fwLDeDG0"", ""PKR-September 2025!C:Z""))), 5, FALSE)"),"")</f>
        <v/>
      </c>
      <c r="L79" s="643">
        <f>IFERROR(__xludf.DUMMYFUNCTION("value(VLOOKUP(TRIM(E79), ARRAYFORMULA(TRIM(IMPORTRANGE(""1J6TM1lO8a31d96YF89fby9ySWcPcCBlFT37fwLDeDG0"", ""PKR-September 2025!C:Z""))), 6, FALSE))"),30.0)</f>
        <v>30</v>
      </c>
      <c r="M79" s="350">
        <v>45901.0</v>
      </c>
      <c r="N79" s="350">
        <v>45930.0</v>
      </c>
      <c r="O79" s="290">
        <f t="shared" si="1"/>
        <v>370</v>
      </c>
      <c r="P79" s="290">
        <f t="shared" si="2"/>
        <v>1850</v>
      </c>
      <c r="Q79" s="290">
        <f t="shared" si="3"/>
        <v>2220</v>
      </c>
      <c r="R79" s="360"/>
      <c r="S79" s="360"/>
      <c r="T79" s="360"/>
      <c r="U79" s="360"/>
      <c r="V79" s="360"/>
      <c r="W79" s="360"/>
      <c r="X79" s="360"/>
    </row>
    <row r="80">
      <c r="A80" s="410" t="s">
        <v>16</v>
      </c>
      <c r="B80" s="411">
        <v>4320.0</v>
      </c>
      <c r="C80" s="443"/>
      <c r="D80" s="285">
        <v>0.0</v>
      </c>
      <c r="E80" s="600" t="s">
        <v>872</v>
      </c>
      <c r="F80" s="574" t="s">
        <v>873</v>
      </c>
      <c r="G80" s="574" t="s">
        <v>874</v>
      </c>
      <c r="I80" s="509">
        <v>35415.0</v>
      </c>
      <c r="J80" s="509">
        <v>45831.0</v>
      </c>
      <c r="K80" s="350" t="str">
        <f>IFERROR(__xludf.DUMMYFUNCTION("VLOOKUP(TRIM(E80), ARRAYFORMULA(TRIM(IMPORTRANGE(""1J6TM1lO8a31d96YF89fby9ySWcPcCBlFT37fwLDeDG0"", ""PKR-September 2025!C:Z""))), 5, FALSE)"),"")</f>
        <v/>
      </c>
      <c r="L80" s="643">
        <f>IFERROR(__xludf.DUMMYFUNCTION("value(VLOOKUP(TRIM(E80), ARRAYFORMULA(TRIM(IMPORTRANGE(""1J6TM1lO8a31d96YF89fby9ySWcPcCBlFT37fwLDeDG0"", ""PKR-September 2025!C:Z""))), 6, FALSE))"),30.0)</f>
        <v>30</v>
      </c>
      <c r="M80" s="350">
        <v>45901.0</v>
      </c>
      <c r="N80" s="350">
        <v>45930.0</v>
      </c>
      <c r="O80" s="290">
        <f t="shared" si="1"/>
        <v>370</v>
      </c>
      <c r="P80" s="290">
        <f t="shared" si="2"/>
        <v>1850</v>
      </c>
      <c r="Q80" s="290">
        <f t="shared" si="3"/>
        <v>2220</v>
      </c>
    </row>
    <row r="81">
      <c r="A81" s="410" t="s">
        <v>16</v>
      </c>
      <c r="B81" s="411">
        <v>4320.0</v>
      </c>
      <c r="C81" s="443"/>
      <c r="D81" s="285">
        <v>0.0</v>
      </c>
      <c r="E81" s="602" t="s">
        <v>878</v>
      </c>
      <c r="F81" s="580" t="s">
        <v>879</v>
      </c>
      <c r="G81" s="580" t="s">
        <v>880</v>
      </c>
      <c r="H81" s="66"/>
      <c r="I81" s="504">
        <v>34912.0</v>
      </c>
      <c r="J81" s="504">
        <v>45831.0</v>
      </c>
      <c r="K81" s="350" t="str">
        <f>IFERROR(__xludf.DUMMYFUNCTION("VLOOKUP(TRIM(E81), ARRAYFORMULA(TRIM(IMPORTRANGE(""1J6TM1lO8a31d96YF89fby9ySWcPcCBlFT37fwLDeDG0"", ""PKR-September 2025!C:Z""))), 5, FALSE)"),"")</f>
        <v/>
      </c>
      <c r="L81" s="643">
        <f>IFERROR(__xludf.DUMMYFUNCTION("value(VLOOKUP(TRIM(E81), ARRAYFORMULA(TRIM(IMPORTRANGE(""1J6TM1lO8a31d96YF89fby9ySWcPcCBlFT37fwLDeDG0"", ""PKR-September 2025!C:Z""))), 6, FALSE))"),30.0)</f>
        <v>30</v>
      </c>
      <c r="M81" s="350">
        <v>45901.0</v>
      </c>
      <c r="N81" s="350">
        <v>45930.0</v>
      </c>
      <c r="O81" s="290">
        <f t="shared" si="1"/>
        <v>370</v>
      </c>
      <c r="P81" s="290">
        <f t="shared" si="2"/>
        <v>1850</v>
      </c>
      <c r="Q81" s="290">
        <f t="shared" si="3"/>
        <v>2220</v>
      </c>
    </row>
    <row r="82">
      <c r="A82" s="410" t="s">
        <v>16</v>
      </c>
      <c r="B82" s="411">
        <v>4320.0</v>
      </c>
      <c r="C82" s="443"/>
      <c r="D82" s="285">
        <v>0.0</v>
      </c>
      <c r="E82" s="600" t="s">
        <v>895</v>
      </c>
      <c r="F82" s="575" t="s">
        <v>896</v>
      </c>
      <c r="G82" s="575" t="s">
        <v>897</v>
      </c>
      <c r="H82" s="66"/>
      <c r="I82" s="504">
        <v>36431.0</v>
      </c>
      <c r="J82" s="547">
        <v>45839.0</v>
      </c>
      <c r="K82" s="350" t="str">
        <f>IFERROR(__xludf.DUMMYFUNCTION("VLOOKUP(TRIM(E82), ARRAYFORMULA(TRIM(IMPORTRANGE(""1J6TM1lO8a31d96YF89fby9ySWcPcCBlFT37fwLDeDG0"", ""PKR-September 2025!C:Z""))), 5, FALSE)"),"")</f>
        <v/>
      </c>
      <c r="L82" s="643">
        <f>IFERROR(__xludf.DUMMYFUNCTION("value(VLOOKUP(TRIM(E82), ARRAYFORMULA(TRIM(IMPORTRANGE(""1J6TM1lO8a31d96YF89fby9ySWcPcCBlFT37fwLDeDG0"", ""PKR-September 2025!C:Z""))), 6, FALSE))"),30.0)</f>
        <v>30</v>
      </c>
      <c r="M82" s="350">
        <v>45901.0</v>
      </c>
      <c r="N82" s="350">
        <v>45930.0</v>
      </c>
      <c r="O82" s="290">
        <f t="shared" si="1"/>
        <v>370</v>
      </c>
      <c r="P82" s="290">
        <f t="shared" si="2"/>
        <v>1850</v>
      </c>
      <c r="Q82" s="290">
        <f t="shared" si="3"/>
        <v>2220</v>
      </c>
    </row>
    <row r="83">
      <c r="A83" s="410" t="s">
        <v>16</v>
      </c>
      <c r="B83" s="411">
        <v>4320.0</v>
      </c>
      <c r="C83" s="443"/>
      <c r="D83" s="285">
        <v>0.0</v>
      </c>
      <c r="E83" s="602" t="s">
        <v>898</v>
      </c>
      <c r="F83" s="581" t="s">
        <v>899</v>
      </c>
      <c r="G83" s="581" t="s">
        <v>900</v>
      </c>
      <c r="I83" s="509">
        <v>37642.0</v>
      </c>
      <c r="J83" s="550">
        <v>45842.0</v>
      </c>
      <c r="K83" s="350" t="str">
        <f>IFERROR(__xludf.DUMMYFUNCTION("VLOOKUP(TRIM(E83), ARRAYFORMULA(TRIM(IMPORTRANGE(""1J6TM1lO8a31d96YF89fby9ySWcPcCBlFT37fwLDeDG0"", ""PKR-September 2025!C:Z""))), 5, FALSE)"),"")</f>
        <v/>
      </c>
      <c r="L83" s="643">
        <f>IFERROR(__xludf.DUMMYFUNCTION("value(VLOOKUP(TRIM(E83), ARRAYFORMULA(TRIM(IMPORTRANGE(""1J6TM1lO8a31d96YF89fby9ySWcPcCBlFT37fwLDeDG0"", ""PKR-September 2025!C:Z""))), 6, FALSE))"),30.0)</f>
        <v>30</v>
      </c>
      <c r="M83" s="350">
        <v>45901.0</v>
      </c>
      <c r="N83" s="350">
        <v>45930.0</v>
      </c>
      <c r="O83" s="290">
        <f t="shared" si="1"/>
        <v>370</v>
      </c>
      <c r="P83" s="290">
        <f t="shared" si="2"/>
        <v>1850</v>
      </c>
      <c r="Q83" s="290">
        <f t="shared" si="3"/>
        <v>2220</v>
      </c>
    </row>
    <row r="84">
      <c r="A84" s="410" t="s">
        <v>16</v>
      </c>
      <c r="B84" s="411">
        <v>4320.0</v>
      </c>
      <c r="C84" s="443"/>
      <c r="D84" s="285">
        <v>0.0</v>
      </c>
      <c r="E84" s="600" t="s">
        <v>901</v>
      </c>
      <c r="F84" s="575" t="s">
        <v>902</v>
      </c>
      <c r="G84" s="575" t="s">
        <v>903</v>
      </c>
      <c r="I84" s="551">
        <v>34878.0</v>
      </c>
      <c r="J84" s="552">
        <v>45845.0</v>
      </c>
      <c r="K84" s="350" t="str">
        <f>IFERROR(__xludf.DUMMYFUNCTION("VLOOKUP(TRIM(E84), ARRAYFORMULA(TRIM(IMPORTRANGE(""1J6TM1lO8a31d96YF89fby9ySWcPcCBlFT37fwLDeDG0"", ""PKR-September 2025!C:Z""))), 5, FALSE)"),"")</f>
        <v/>
      </c>
      <c r="L84" s="643">
        <f>IFERROR(__xludf.DUMMYFUNCTION("value(VLOOKUP(TRIM(E84), ARRAYFORMULA(TRIM(IMPORTRANGE(""1J6TM1lO8a31d96YF89fby9ySWcPcCBlFT37fwLDeDG0"", ""PKR-September 2025!C:Z""))), 6, FALSE))"),30.0)</f>
        <v>30</v>
      </c>
      <c r="M84" s="350">
        <v>45901.0</v>
      </c>
      <c r="N84" s="350">
        <v>45930.0</v>
      </c>
      <c r="O84" s="290">
        <f t="shared" si="1"/>
        <v>370</v>
      </c>
      <c r="P84" s="290">
        <f t="shared" si="2"/>
        <v>1850</v>
      </c>
      <c r="Q84" s="290">
        <f t="shared" si="3"/>
        <v>2220</v>
      </c>
    </row>
    <row r="85">
      <c r="A85" s="410" t="s">
        <v>16</v>
      </c>
      <c r="B85" s="411">
        <v>4320.0</v>
      </c>
      <c r="C85" s="443"/>
      <c r="D85" s="285">
        <v>0.0</v>
      </c>
      <c r="E85" s="602" t="s">
        <v>904</v>
      </c>
      <c r="F85" s="581" t="s">
        <v>905</v>
      </c>
      <c r="G85" s="581" t="s">
        <v>906</v>
      </c>
      <c r="I85" s="553">
        <f>VLOOKUP(E85,'To be uploaded July 2025'!E:K,5,false)</f>
        <v>37326</v>
      </c>
      <c r="J85" s="554">
        <f>VLOOKUP(E85,'To be uploaded July 2025'!E:K,6,false)</f>
        <v>45845</v>
      </c>
      <c r="K85" s="350" t="str">
        <f>IFERROR(__xludf.DUMMYFUNCTION("VLOOKUP(TRIM(E85), ARRAYFORMULA(TRIM(IMPORTRANGE(""1J6TM1lO8a31d96YF89fby9ySWcPcCBlFT37fwLDeDG0"", ""PKR-September 2025!C:Z""))), 5, FALSE)"),"")</f>
        <v/>
      </c>
      <c r="L85" s="643">
        <f>IFERROR(__xludf.DUMMYFUNCTION("value(VLOOKUP(TRIM(E85), ARRAYFORMULA(TRIM(IMPORTRANGE(""1J6TM1lO8a31d96YF89fby9ySWcPcCBlFT37fwLDeDG0"", ""PKR-September 2025!C:Z""))), 6, FALSE))"),30.0)</f>
        <v>30</v>
      </c>
      <c r="M85" s="350">
        <v>45901.0</v>
      </c>
      <c r="N85" s="350">
        <v>45930.0</v>
      </c>
      <c r="O85" s="290">
        <f t="shared" si="1"/>
        <v>370</v>
      </c>
      <c r="P85" s="290">
        <f t="shared" si="2"/>
        <v>1850</v>
      </c>
      <c r="Q85" s="290">
        <f t="shared" si="3"/>
        <v>2220</v>
      </c>
    </row>
    <row r="86">
      <c r="A86" s="410" t="s">
        <v>16</v>
      </c>
      <c r="B86" s="411">
        <v>4320.0</v>
      </c>
      <c r="C86" s="443"/>
      <c r="D86" s="285">
        <v>0.0</v>
      </c>
      <c r="E86" s="600" t="s">
        <v>907</v>
      </c>
      <c r="F86" s="575" t="s">
        <v>908</v>
      </c>
      <c r="G86" s="575" t="s">
        <v>909</v>
      </c>
      <c r="I86" s="553">
        <f>VLOOKUP(E86,'To be uploaded July 2025'!E:K,5,false)</f>
        <v>37465</v>
      </c>
      <c r="J86" s="554">
        <f>VLOOKUP(E86,'To be uploaded July 2025'!E:K,6,false)</f>
        <v>45845</v>
      </c>
      <c r="K86" s="350" t="str">
        <f>IFERROR(__xludf.DUMMYFUNCTION("VLOOKUP(TRIM(E86), ARRAYFORMULA(TRIM(IMPORTRANGE(""1J6TM1lO8a31d96YF89fby9ySWcPcCBlFT37fwLDeDG0"", ""PKR-September 2025!C:Z""))), 5, FALSE)"),"")</f>
        <v/>
      </c>
      <c r="L86" s="643">
        <f>IFERROR(__xludf.DUMMYFUNCTION("value(VLOOKUP(TRIM(E86), ARRAYFORMULA(TRIM(IMPORTRANGE(""1J6TM1lO8a31d96YF89fby9ySWcPcCBlFT37fwLDeDG0"", ""PKR-September 2025!C:Z""))), 6, FALSE))"),30.0)</f>
        <v>30</v>
      </c>
      <c r="M86" s="350">
        <v>45901.0</v>
      </c>
      <c r="N86" s="350">
        <v>45930.0</v>
      </c>
      <c r="O86" s="290">
        <f t="shared" si="1"/>
        <v>370</v>
      </c>
      <c r="P86" s="290">
        <f t="shared" si="2"/>
        <v>1850</v>
      </c>
      <c r="Q86" s="290">
        <f t="shared" si="3"/>
        <v>2220</v>
      </c>
    </row>
    <row r="87">
      <c r="A87" s="410" t="s">
        <v>16</v>
      </c>
      <c r="B87" s="411">
        <v>4320.0</v>
      </c>
      <c r="C87" s="443"/>
      <c r="D87" s="285">
        <v>0.0</v>
      </c>
      <c r="E87" s="602" t="s">
        <v>910</v>
      </c>
      <c r="F87" s="581" t="s">
        <v>911</v>
      </c>
      <c r="G87" s="581" t="s">
        <v>912</v>
      </c>
      <c r="I87" s="553">
        <f>VLOOKUP(E87,'To be uploaded July 2025'!E:K,5,false)</f>
        <v>35010</v>
      </c>
      <c r="J87" s="554">
        <f>VLOOKUP(E87,'To be uploaded July 2025'!E:K,6,false)</f>
        <v>45860</v>
      </c>
      <c r="K87" s="350" t="str">
        <f>IFERROR(__xludf.DUMMYFUNCTION("VLOOKUP(TRIM(E87), ARRAYFORMULA(TRIM(IMPORTRANGE(""1J6TM1lO8a31d96YF89fby9ySWcPcCBlFT37fwLDeDG0"", ""PKR-September 2025!C:Z""))), 5, FALSE)"),"")</f>
        <v/>
      </c>
      <c r="L87" s="643">
        <f>IFERROR(__xludf.DUMMYFUNCTION("value(VLOOKUP(TRIM(E87), ARRAYFORMULA(TRIM(IMPORTRANGE(""1J6TM1lO8a31d96YF89fby9ySWcPcCBlFT37fwLDeDG0"", ""PKR-September 2025!C:Z""))), 6, FALSE))"),30.0)</f>
        <v>30</v>
      </c>
      <c r="M87" s="350">
        <v>45901.0</v>
      </c>
      <c r="N87" s="350">
        <v>45930.0</v>
      </c>
      <c r="O87" s="290">
        <f t="shared" si="1"/>
        <v>370</v>
      </c>
      <c r="P87" s="290">
        <f t="shared" si="2"/>
        <v>1850</v>
      </c>
      <c r="Q87" s="290">
        <f t="shared" si="3"/>
        <v>2220</v>
      </c>
    </row>
    <row r="88">
      <c r="A88" s="490" t="s">
        <v>16</v>
      </c>
      <c r="B88" s="491">
        <v>4320.0</v>
      </c>
      <c r="C88" s="538"/>
      <c r="D88" s="424">
        <v>0.0</v>
      </c>
      <c r="E88" s="654" t="s">
        <v>925</v>
      </c>
      <c r="F88" s="607" t="s">
        <v>926</v>
      </c>
      <c r="G88" s="607" t="s">
        <v>927</v>
      </c>
      <c r="H88" s="48"/>
      <c r="I88" s="655">
        <f>VLOOKUP(E88,'To be uploaded August 2025'!E:K,5,false)</f>
        <v>35350</v>
      </c>
      <c r="J88" s="598">
        <v>45831.0</v>
      </c>
      <c r="K88" s="429" t="str">
        <f>IFERROR(__xludf.DUMMYFUNCTION("VLOOKUP(TRIM(E88), ARRAYFORMULA(TRIM(IMPORTRANGE(""1J6TM1lO8a31d96YF89fby9ySWcPcCBlFT37fwLDeDG0"", ""PKR-September 2025!C:Z""))), 5, FALSE)"),"4th september 2025")</f>
        <v>4th september 2025</v>
      </c>
      <c r="L88" s="644">
        <f>IFERROR(__xludf.DUMMYFUNCTION("value(VLOOKUP(TRIM(E88), ARRAYFORMULA(TRIM(IMPORTRANGE(""1J6TM1lO8a31d96YF89fby9ySWcPcCBlFT37fwLDeDG0"", ""PKR-September 2025!C:Z""))), 6, FALSE))"),4.0)</f>
        <v>4</v>
      </c>
      <c r="M88" s="429">
        <v>45901.0</v>
      </c>
      <c r="N88" s="429">
        <v>45930.0</v>
      </c>
      <c r="O88" s="430">
        <f t="shared" si="1"/>
        <v>50</v>
      </c>
      <c r="P88" s="430">
        <f t="shared" si="2"/>
        <v>250</v>
      </c>
      <c r="Q88" s="430">
        <f t="shared" si="3"/>
        <v>300</v>
      </c>
      <c r="R88" s="48"/>
      <c r="S88" s="48"/>
      <c r="T88" s="48"/>
      <c r="U88" s="48"/>
      <c r="V88" s="48"/>
      <c r="W88" s="48"/>
      <c r="X88" s="48"/>
    </row>
    <row r="89">
      <c r="A89" s="490" t="s">
        <v>16</v>
      </c>
      <c r="B89" s="491">
        <v>4320.0</v>
      </c>
      <c r="C89" s="538"/>
      <c r="D89" s="424">
        <v>0.0</v>
      </c>
      <c r="E89" s="539" t="s">
        <v>875</v>
      </c>
      <c r="F89" s="540" t="s">
        <v>876</v>
      </c>
      <c r="G89" s="540" t="s">
        <v>877</v>
      </c>
      <c r="H89" s="603"/>
      <c r="I89" s="598">
        <v>37517.0</v>
      </c>
      <c r="J89" s="509">
        <v>45831.0</v>
      </c>
      <c r="K89" s="429" t="str">
        <f>IFERROR(__xludf.DUMMYFUNCTION("VLOOKUP(TRIM(E89), ARRAYFORMULA(TRIM(IMPORTRANGE(""1J6TM1lO8a31d96YF89fby9ySWcPcCBlFT37fwLDeDG0"", ""PKR-September 2025!C:Z""))), 5, FALSE)"),"3-Sep-2025")</f>
        <v>3-Sep-2025</v>
      </c>
      <c r="L89" s="644">
        <f>IFERROR(__xludf.DUMMYFUNCTION("value(VLOOKUP(TRIM(E89), ARRAYFORMULA(TRIM(IMPORTRANGE(""1J6TM1lO8a31d96YF89fby9ySWcPcCBlFT37fwLDeDG0"", ""PKR-September 2025!C:Z""))), 6, FALSE))"),3.0)</f>
        <v>3</v>
      </c>
      <c r="M89" s="429">
        <v>45901.0</v>
      </c>
      <c r="N89" s="429">
        <v>45930.0</v>
      </c>
      <c r="O89" s="430">
        <f t="shared" si="1"/>
        <v>37</v>
      </c>
      <c r="P89" s="430">
        <f t="shared" si="2"/>
        <v>185</v>
      </c>
      <c r="Q89" s="430">
        <f t="shared" si="3"/>
        <v>222</v>
      </c>
      <c r="R89" s="48"/>
      <c r="S89" s="48"/>
      <c r="T89" s="48"/>
      <c r="U89" s="48"/>
      <c r="V89" s="48"/>
      <c r="W89" s="48"/>
      <c r="X89" s="48"/>
    </row>
    <row r="90">
      <c r="A90" s="656" t="s">
        <v>16</v>
      </c>
      <c r="B90" s="657">
        <v>4320.0</v>
      </c>
      <c r="C90" s="443"/>
      <c r="D90" s="285">
        <v>0.0</v>
      </c>
      <c r="E90" s="600" t="s">
        <v>935</v>
      </c>
      <c r="F90" s="575" t="s">
        <v>936</v>
      </c>
      <c r="G90" s="575" t="s">
        <v>937</v>
      </c>
      <c r="I90" s="508">
        <v>36636.0</v>
      </c>
      <c r="J90" s="520">
        <v>45901.0</v>
      </c>
      <c r="K90" s="350" t="str">
        <f>IFERROR(__xludf.DUMMYFUNCTION("VLOOKUP(TRIM(E90), ARRAYFORMULA(TRIM(IMPORTRANGE(""1J6TM1lO8a31d96YF89fby9ySWcPcCBlFT37fwLDeDG0"", ""PKR-September 2025!C:Z""))), 5, FALSE)"),"")</f>
        <v/>
      </c>
      <c r="L90" s="643">
        <f>IFERROR(__xludf.DUMMYFUNCTION("value(VLOOKUP(TRIM(E90), ARRAYFORMULA(TRIM(IMPORTRANGE(""1J6TM1lO8a31d96YF89fby9ySWcPcCBlFT37fwLDeDG0"", ""PKR-September 2025!C:Z""))), 6, FALSE))"),30.0)</f>
        <v>30</v>
      </c>
      <c r="M90" s="350">
        <v>45901.0</v>
      </c>
      <c r="N90" s="350">
        <v>45930.0</v>
      </c>
      <c r="O90" s="290">
        <f t="shared" si="1"/>
        <v>370</v>
      </c>
      <c r="P90" s="290">
        <f t="shared" si="2"/>
        <v>1850</v>
      </c>
      <c r="Q90" s="290">
        <f t="shared" si="3"/>
        <v>2220</v>
      </c>
    </row>
    <row r="91">
      <c r="A91" s="656" t="s">
        <v>16</v>
      </c>
      <c r="B91" s="657">
        <v>4320.0</v>
      </c>
      <c r="C91" s="443"/>
      <c r="D91" s="285">
        <v>0.0</v>
      </c>
      <c r="E91" s="602" t="s">
        <v>938</v>
      </c>
      <c r="F91" s="581" t="s">
        <v>939</v>
      </c>
      <c r="G91" s="581" t="s">
        <v>940</v>
      </c>
      <c r="I91" s="508">
        <v>37056.0</v>
      </c>
      <c r="J91" s="520">
        <v>45922.0</v>
      </c>
      <c r="K91" s="350" t="str">
        <f>IFERROR(__xludf.DUMMYFUNCTION("VLOOKUP(TRIM(E91), ARRAYFORMULA(TRIM(IMPORTRANGE(""1J6TM1lO8a31d96YF89fby9ySWcPcCBlFT37fwLDeDG0"", ""PKR-September 2025!C:Z""))), 5, FALSE)"),"")</f>
        <v/>
      </c>
      <c r="L91" s="643">
        <f>IFERROR(__xludf.DUMMYFUNCTION("value(VLOOKUP(TRIM(E91), ARRAYFORMULA(TRIM(IMPORTRANGE(""1J6TM1lO8a31d96YF89fby9ySWcPcCBlFT37fwLDeDG0"", ""PKR-September 2025!C:Z""))), 6, FALSE))"),9.0)</f>
        <v>9</v>
      </c>
      <c r="M91" s="350">
        <v>45901.0</v>
      </c>
      <c r="N91" s="350">
        <v>45930.0</v>
      </c>
      <c r="O91" s="290">
        <f t="shared" si="1"/>
        <v>111</v>
      </c>
      <c r="P91" s="290">
        <f t="shared" si="2"/>
        <v>555</v>
      </c>
      <c r="Q91" s="290">
        <f t="shared" si="3"/>
        <v>666</v>
      </c>
    </row>
    <row r="92">
      <c r="A92" s="656" t="s">
        <v>16</v>
      </c>
      <c r="B92" s="657">
        <v>4320.0</v>
      </c>
      <c r="C92" s="443"/>
      <c r="D92" s="285">
        <v>0.0</v>
      </c>
      <c r="E92" s="574" t="s">
        <v>941</v>
      </c>
      <c r="F92" s="575" t="s">
        <v>942</v>
      </c>
      <c r="G92" s="575" t="s">
        <v>943</v>
      </c>
      <c r="I92" s="508">
        <v>36549.0</v>
      </c>
      <c r="J92" s="520">
        <v>45922.0</v>
      </c>
      <c r="K92" s="350" t="str">
        <f>IFERROR(__xludf.DUMMYFUNCTION("VLOOKUP(TRIM(E92), ARRAYFORMULA(TRIM(IMPORTRANGE(""1J6TM1lO8a31d96YF89fby9ySWcPcCBlFT37fwLDeDG0"", ""PKR-September 2025!C:Z""))), 5, FALSE)"),"")</f>
        <v/>
      </c>
      <c r="L92" s="643">
        <f>IFERROR(__xludf.DUMMYFUNCTION("value(VLOOKUP(TRIM(E92), ARRAYFORMULA(TRIM(IMPORTRANGE(""1J6TM1lO8a31d96YF89fby9ySWcPcCBlFT37fwLDeDG0"", ""PKR-September 2025!C:Z""))), 6, FALSE))"),9.0)</f>
        <v>9</v>
      </c>
      <c r="M92" s="350">
        <v>45901.0</v>
      </c>
      <c r="N92" s="350">
        <v>45930.0</v>
      </c>
      <c r="O92" s="290">
        <f t="shared" si="1"/>
        <v>111</v>
      </c>
      <c r="P92" s="290">
        <f t="shared" si="2"/>
        <v>555</v>
      </c>
      <c r="Q92" s="290">
        <f t="shared" si="3"/>
        <v>666</v>
      </c>
    </row>
    <row r="93">
      <c r="A93" s="656" t="s">
        <v>16</v>
      </c>
      <c r="B93" s="657">
        <v>4320.0</v>
      </c>
      <c r="C93" s="443"/>
      <c r="D93" s="285">
        <v>0.0</v>
      </c>
      <c r="E93" s="602" t="s">
        <v>944</v>
      </c>
      <c r="F93" s="581" t="s">
        <v>945</v>
      </c>
      <c r="G93" s="581" t="s">
        <v>946</v>
      </c>
      <c r="I93" s="508">
        <v>35111.0</v>
      </c>
      <c r="J93" s="520">
        <v>45920.0</v>
      </c>
      <c r="K93" s="350" t="str">
        <f>IFERROR(__xludf.DUMMYFUNCTION("VLOOKUP(TRIM(E93), ARRAYFORMULA(TRIM(IMPORTRANGE(""1J6TM1lO8a31d96YF89fby9ySWcPcCBlFT37fwLDeDG0"", ""PKR-September 2025!C:Z""))), 5, FALSE)"),"")</f>
        <v/>
      </c>
      <c r="L93" s="643">
        <f>IFERROR(__xludf.DUMMYFUNCTION("value(VLOOKUP(TRIM(E93), ARRAYFORMULA(TRIM(IMPORTRANGE(""1J6TM1lO8a31d96YF89fby9ySWcPcCBlFT37fwLDeDG0"", ""PKR-September 2025!C:Z""))), 6, FALSE))"),11.0)</f>
        <v>11</v>
      </c>
      <c r="M93" s="350">
        <v>45901.0</v>
      </c>
      <c r="N93" s="350">
        <v>45930.0</v>
      </c>
      <c r="O93" s="290">
        <f t="shared" si="1"/>
        <v>136</v>
      </c>
      <c r="P93" s="290">
        <f t="shared" si="2"/>
        <v>680</v>
      </c>
      <c r="Q93" s="290">
        <f t="shared" si="3"/>
        <v>816</v>
      </c>
    </row>
    <row r="94">
      <c r="D94" s="310"/>
      <c r="E94" s="311"/>
      <c r="L94" s="658"/>
    </row>
    <row r="95">
      <c r="D95" s="310"/>
      <c r="E95" s="311"/>
      <c r="L95" s="658">
        <f>SUM(L2:L93)</f>
        <v>2544</v>
      </c>
      <c r="O95" s="228">
        <f t="shared" ref="O95:Q95" si="4">SUM(O2:O93)</f>
        <v>31378</v>
      </c>
      <c r="P95" s="228">
        <f t="shared" si="4"/>
        <v>156890</v>
      </c>
      <c r="Q95" s="228">
        <f t="shared" si="4"/>
        <v>188268</v>
      </c>
    </row>
    <row r="96">
      <c r="D96" s="310"/>
      <c r="E96" s="311"/>
      <c r="L96" s="659"/>
    </row>
    <row r="97">
      <c r="D97" s="310"/>
      <c r="E97" s="311"/>
      <c r="L97" s="658"/>
    </row>
    <row r="98">
      <c r="D98" s="310"/>
      <c r="E98" s="311"/>
      <c r="L98" s="658"/>
    </row>
    <row r="99">
      <c r="D99" s="310"/>
      <c r="E99" s="311"/>
      <c r="L99" s="658"/>
    </row>
    <row r="100">
      <c r="D100" s="310"/>
      <c r="E100" s="311"/>
      <c r="L100" s="658"/>
    </row>
    <row r="101">
      <c r="D101" s="310"/>
      <c r="E101" s="311"/>
      <c r="L101" s="658"/>
    </row>
    <row r="102">
      <c r="D102" s="310"/>
      <c r="E102" s="311"/>
      <c r="L102" s="658"/>
    </row>
    <row r="103">
      <c r="D103" s="310"/>
      <c r="E103" s="311"/>
      <c r="L103" s="658"/>
    </row>
    <row r="104">
      <c r="D104" s="310"/>
      <c r="E104" s="311"/>
      <c r="L104" s="658"/>
    </row>
    <row r="105">
      <c r="D105" s="310"/>
      <c r="E105" s="311"/>
      <c r="L105" s="658"/>
    </row>
    <row r="106">
      <c r="D106" s="310"/>
      <c r="E106" s="311"/>
      <c r="L106" s="658"/>
    </row>
    <row r="107">
      <c r="D107" s="310"/>
      <c r="E107" s="311"/>
      <c r="L107" s="658"/>
    </row>
    <row r="108">
      <c r="D108" s="310"/>
      <c r="E108" s="311"/>
      <c r="L108" s="658"/>
    </row>
    <row r="109">
      <c r="D109" s="310"/>
      <c r="E109" s="311"/>
      <c r="L109" s="658"/>
    </row>
    <row r="110">
      <c r="D110" s="310"/>
      <c r="E110" s="311"/>
      <c r="L110" s="658"/>
    </row>
    <row r="111">
      <c r="D111" s="310"/>
      <c r="E111" s="311"/>
      <c r="L111" s="658"/>
    </row>
    <row r="112">
      <c r="D112" s="310"/>
      <c r="E112" s="311"/>
      <c r="L112" s="658"/>
    </row>
    <row r="113">
      <c r="D113" s="310"/>
      <c r="E113" s="311"/>
      <c r="L113" s="658"/>
    </row>
    <row r="114">
      <c r="D114" s="310"/>
      <c r="E114" s="311"/>
      <c r="L114" s="658"/>
    </row>
    <row r="115">
      <c r="D115" s="310"/>
      <c r="E115" s="311"/>
      <c r="L115" s="658"/>
    </row>
    <row r="116">
      <c r="D116" s="310"/>
      <c r="E116" s="311"/>
      <c r="L116" s="658"/>
    </row>
    <row r="117">
      <c r="D117" s="310"/>
      <c r="E117" s="311"/>
      <c r="L117" s="658"/>
    </row>
    <row r="118">
      <c r="D118" s="310"/>
      <c r="E118" s="311"/>
      <c r="L118" s="658"/>
    </row>
    <row r="119">
      <c r="D119" s="310"/>
      <c r="E119" s="311"/>
      <c r="L119" s="658"/>
    </row>
    <row r="120">
      <c r="D120" s="310"/>
      <c r="E120" s="311"/>
      <c r="L120" s="658"/>
    </row>
    <row r="121">
      <c r="D121" s="310"/>
      <c r="E121" s="311"/>
      <c r="L121" s="658"/>
    </row>
    <row r="122">
      <c r="D122" s="310"/>
      <c r="E122" s="311"/>
      <c r="L122" s="658"/>
    </row>
    <row r="123">
      <c r="D123" s="310"/>
      <c r="E123" s="311"/>
      <c r="L123" s="658"/>
    </row>
    <row r="124">
      <c r="D124" s="310"/>
      <c r="E124" s="311"/>
      <c r="L124" s="658"/>
    </row>
    <row r="125">
      <c r="D125" s="310"/>
      <c r="E125" s="311"/>
      <c r="L125" s="658"/>
    </row>
    <row r="126">
      <c r="D126" s="310"/>
      <c r="E126" s="311"/>
      <c r="L126" s="658"/>
    </row>
    <row r="127">
      <c r="D127" s="310"/>
      <c r="E127" s="311"/>
      <c r="L127" s="658"/>
    </row>
    <row r="128">
      <c r="D128" s="310"/>
      <c r="E128" s="311"/>
      <c r="L128" s="658"/>
    </row>
    <row r="129">
      <c r="D129" s="310"/>
      <c r="E129" s="311"/>
      <c r="L129" s="658"/>
    </row>
    <row r="130">
      <c r="D130" s="310"/>
      <c r="E130" s="311"/>
      <c r="L130" s="658"/>
    </row>
    <row r="131">
      <c r="D131" s="310"/>
      <c r="E131" s="311"/>
      <c r="L131" s="658"/>
    </row>
    <row r="132">
      <c r="D132" s="310"/>
      <c r="E132" s="311"/>
      <c r="L132" s="658"/>
    </row>
    <row r="133">
      <c r="D133" s="310"/>
      <c r="E133" s="311"/>
      <c r="L133" s="658"/>
    </row>
    <row r="134">
      <c r="D134" s="310"/>
      <c r="E134" s="311"/>
      <c r="L134" s="658"/>
    </row>
    <row r="135">
      <c r="D135" s="310"/>
      <c r="E135" s="311"/>
      <c r="L135" s="658"/>
    </row>
    <row r="136">
      <c r="D136" s="310"/>
      <c r="E136" s="311"/>
      <c r="L136" s="658"/>
    </row>
    <row r="137">
      <c r="D137" s="310"/>
      <c r="E137" s="311"/>
      <c r="L137" s="658"/>
    </row>
    <row r="138">
      <c r="D138" s="310"/>
      <c r="E138" s="311"/>
      <c r="L138" s="658"/>
    </row>
    <row r="139">
      <c r="D139" s="310"/>
      <c r="E139" s="311"/>
      <c r="L139" s="658"/>
    </row>
    <row r="140">
      <c r="D140" s="310"/>
      <c r="E140" s="311"/>
      <c r="L140" s="658"/>
    </row>
    <row r="141">
      <c r="D141" s="310"/>
      <c r="E141" s="311"/>
      <c r="L141" s="658"/>
    </row>
    <row r="142">
      <c r="D142" s="310"/>
      <c r="E142" s="311"/>
      <c r="L142" s="658"/>
    </row>
    <row r="143">
      <c r="D143" s="310"/>
      <c r="E143" s="311"/>
      <c r="L143" s="658"/>
    </row>
    <row r="144">
      <c r="D144" s="310"/>
      <c r="E144" s="311"/>
      <c r="L144" s="658"/>
    </row>
    <row r="145">
      <c r="D145" s="310"/>
      <c r="E145" s="311"/>
      <c r="L145" s="658"/>
    </row>
    <row r="146">
      <c r="D146" s="310"/>
      <c r="E146" s="311"/>
      <c r="L146" s="658"/>
    </row>
    <row r="147">
      <c r="D147" s="310"/>
      <c r="E147" s="311"/>
      <c r="L147" s="658"/>
    </row>
    <row r="148">
      <c r="D148" s="310"/>
      <c r="E148" s="311"/>
      <c r="L148" s="658"/>
    </row>
    <row r="149">
      <c r="D149" s="310"/>
      <c r="E149" s="311"/>
      <c r="L149" s="658"/>
    </row>
    <row r="150">
      <c r="D150" s="310"/>
      <c r="E150" s="311"/>
      <c r="L150" s="658"/>
    </row>
    <row r="151">
      <c r="D151" s="310"/>
      <c r="E151" s="311"/>
      <c r="L151" s="658"/>
    </row>
    <row r="152">
      <c r="D152" s="310"/>
      <c r="E152" s="311"/>
      <c r="L152" s="658"/>
    </row>
    <row r="153">
      <c r="D153" s="310"/>
      <c r="E153" s="311"/>
      <c r="L153" s="658"/>
    </row>
    <row r="154">
      <c r="D154" s="310"/>
      <c r="E154" s="311"/>
      <c r="L154" s="658"/>
    </row>
    <row r="155">
      <c r="D155" s="310"/>
      <c r="E155" s="311"/>
      <c r="L155" s="658"/>
    </row>
    <row r="156">
      <c r="D156" s="310"/>
      <c r="E156" s="311"/>
      <c r="L156" s="658"/>
    </row>
    <row r="157">
      <c r="D157" s="310"/>
      <c r="E157" s="311"/>
      <c r="L157" s="658"/>
    </row>
    <row r="158">
      <c r="D158" s="310"/>
      <c r="E158" s="311"/>
      <c r="L158" s="658"/>
    </row>
    <row r="159">
      <c r="D159" s="310"/>
      <c r="E159" s="311"/>
      <c r="L159" s="658"/>
    </row>
    <row r="160">
      <c r="D160" s="310"/>
      <c r="E160" s="311"/>
      <c r="L160" s="658"/>
    </row>
    <row r="161">
      <c r="D161" s="310"/>
      <c r="E161" s="311"/>
      <c r="L161" s="658"/>
    </row>
    <row r="162">
      <c r="D162" s="310"/>
      <c r="E162" s="311"/>
      <c r="L162" s="658"/>
    </row>
    <row r="163">
      <c r="D163" s="310"/>
      <c r="E163" s="311"/>
      <c r="L163" s="658"/>
    </row>
    <row r="164">
      <c r="D164" s="310"/>
      <c r="E164" s="311"/>
      <c r="L164" s="658"/>
    </row>
    <row r="165">
      <c r="D165" s="310"/>
      <c r="E165" s="311"/>
      <c r="L165" s="658"/>
    </row>
    <row r="166">
      <c r="D166" s="310"/>
      <c r="E166" s="311"/>
      <c r="L166" s="658"/>
    </row>
    <row r="167">
      <c r="D167" s="310"/>
      <c r="E167" s="311"/>
      <c r="L167" s="658"/>
    </row>
    <row r="168">
      <c r="D168" s="310"/>
      <c r="E168" s="311"/>
      <c r="L168" s="658"/>
    </row>
    <row r="169">
      <c r="D169" s="310"/>
      <c r="E169" s="311"/>
      <c r="L169" s="658"/>
    </row>
    <row r="170">
      <c r="D170" s="310"/>
      <c r="E170" s="311"/>
      <c r="L170" s="658"/>
    </row>
    <row r="171">
      <c r="D171" s="310"/>
      <c r="E171" s="311"/>
      <c r="L171" s="658"/>
    </row>
    <row r="172">
      <c r="D172" s="310"/>
      <c r="E172" s="311"/>
      <c r="L172" s="658"/>
    </row>
    <row r="173">
      <c r="D173" s="310"/>
      <c r="E173" s="311"/>
      <c r="L173" s="658"/>
    </row>
    <row r="174">
      <c r="D174" s="310"/>
      <c r="E174" s="311"/>
      <c r="L174" s="658"/>
    </row>
    <row r="175">
      <c r="D175" s="310"/>
      <c r="E175" s="311"/>
      <c r="L175" s="658"/>
    </row>
    <row r="176">
      <c r="D176" s="310"/>
      <c r="E176" s="311"/>
      <c r="L176" s="658"/>
    </row>
    <row r="177">
      <c r="D177" s="310"/>
      <c r="E177" s="311"/>
      <c r="L177" s="658"/>
    </row>
    <row r="178">
      <c r="D178" s="310"/>
      <c r="E178" s="311"/>
      <c r="L178" s="658"/>
    </row>
    <row r="179">
      <c r="D179" s="310"/>
      <c r="E179" s="311"/>
      <c r="L179" s="658"/>
    </row>
    <row r="180">
      <c r="D180" s="310"/>
      <c r="E180" s="311"/>
      <c r="L180" s="658"/>
    </row>
    <row r="181">
      <c r="D181" s="310"/>
      <c r="E181" s="311"/>
      <c r="L181" s="658"/>
    </row>
    <row r="182">
      <c r="D182" s="310"/>
      <c r="E182" s="311"/>
      <c r="L182" s="658"/>
    </row>
    <row r="183">
      <c r="D183" s="310"/>
      <c r="E183" s="311"/>
      <c r="L183" s="658"/>
    </row>
    <row r="184">
      <c r="D184" s="310"/>
      <c r="E184" s="311"/>
      <c r="L184" s="658"/>
    </row>
    <row r="185">
      <c r="D185" s="310"/>
      <c r="E185" s="311"/>
      <c r="L185" s="658"/>
    </row>
    <row r="186">
      <c r="D186" s="310"/>
      <c r="E186" s="311"/>
      <c r="L186" s="658"/>
    </row>
    <row r="187">
      <c r="D187" s="310"/>
      <c r="E187" s="311"/>
      <c r="L187" s="658"/>
    </row>
    <row r="188">
      <c r="D188" s="310"/>
      <c r="E188" s="311"/>
      <c r="L188" s="658"/>
    </row>
    <row r="189">
      <c r="D189" s="310"/>
      <c r="E189" s="311"/>
      <c r="L189" s="658"/>
    </row>
    <row r="190">
      <c r="D190" s="310"/>
      <c r="E190" s="311"/>
      <c r="L190" s="658"/>
    </row>
    <row r="191">
      <c r="D191" s="310"/>
      <c r="E191" s="311"/>
      <c r="L191" s="658"/>
    </row>
    <row r="192">
      <c r="D192" s="310"/>
      <c r="E192" s="311"/>
      <c r="L192" s="658"/>
    </row>
    <row r="193">
      <c r="D193" s="310"/>
      <c r="E193" s="311"/>
      <c r="L193" s="658"/>
    </row>
    <row r="194">
      <c r="D194" s="310"/>
      <c r="E194" s="311"/>
      <c r="L194" s="658"/>
    </row>
    <row r="195">
      <c r="D195" s="310"/>
      <c r="E195" s="311"/>
      <c r="L195" s="658"/>
    </row>
    <row r="196">
      <c r="D196" s="310"/>
      <c r="E196" s="311"/>
      <c r="L196" s="658"/>
    </row>
    <row r="197">
      <c r="D197" s="310"/>
      <c r="E197" s="311"/>
      <c r="L197" s="658"/>
    </row>
    <row r="198">
      <c r="D198" s="310"/>
      <c r="E198" s="311"/>
      <c r="L198" s="658"/>
    </row>
    <row r="199">
      <c r="D199" s="310"/>
      <c r="E199" s="311"/>
      <c r="L199" s="658"/>
    </row>
    <row r="200">
      <c r="D200" s="310"/>
      <c r="E200" s="311"/>
      <c r="L200" s="658"/>
    </row>
    <row r="201">
      <c r="D201" s="310"/>
      <c r="E201" s="311"/>
      <c r="L201" s="658"/>
    </row>
    <row r="202">
      <c r="D202" s="310"/>
      <c r="E202" s="311"/>
      <c r="L202" s="658"/>
    </row>
    <row r="203">
      <c r="D203" s="310"/>
      <c r="E203" s="311"/>
      <c r="L203" s="658"/>
    </row>
    <row r="204">
      <c r="D204" s="310"/>
      <c r="E204" s="311"/>
      <c r="L204" s="658"/>
    </row>
    <row r="205">
      <c r="D205" s="310"/>
      <c r="E205" s="311"/>
      <c r="L205" s="658"/>
    </row>
    <row r="206">
      <c r="D206" s="310"/>
      <c r="E206" s="311"/>
      <c r="L206" s="658"/>
    </row>
    <row r="207">
      <c r="D207" s="310"/>
      <c r="E207" s="311"/>
      <c r="L207" s="658"/>
    </row>
    <row r="208">
      <c r="D208" s="310"/>
      <c r="E208" s="311"/>
      <c r="L208" s="658"/>
    </row>
    <row r="209">
      <c r="D209" s="310"/>
      <c r="E209" s="311"/>
      <c r="L209" s="658"/>
    </row>
    <row r="210">
      <c r="D210" s="310"/>
      <c r="E210" s="311"/>
      <c r="L210" s="658"/>
    </row>
    <row r="211">
      <c r="D211" s="310"/>
      <c r="E211" s="311"/>
      <c r="L211" s="658"/>
    </row>
    <row r="212">
      <c r="D212" s="310"/>
      <c r="E212" s="311"/>
      <c r="L212" s="658"/>
    </row>
    <row r="213">
      <c r="D213" s="310"/>
      <c r="E213" s="311"/>
      <c r="L213" s="658"/>
    </row>
    <row r="214">
      <c r="D214" s="310"/>
      <c r="E214" s="311"/>
      <c r="L214" s="658"/>
    </row>
    <row r="215">
      <c r="D215" s="310"/>
      <c r="E215" s="311"/>
      <c r="L215" s="658"/>
    </row>
    <row r="216">
      <c r="D216" s="310"/>
      <c r="E216" s="311"/>
      <c r="L216" s="658"/>
    </row>
    <row r="217">
      <c r="D217" s="310"/>
      <c r="E217" s="311"/>
      <c r="L217" s="658"/>
    </row>
    <row r="218">
      <c r="D218" s="310"/>
      <c r="E218" s="311"/>
      <c r="L218" s="658"/>
    </row>
    <row r="219">
      <c r="D219" s="310"/>
      <c r="E219" s="311"/>
      <c r="L219" s="658"/>
    </row>
    <row r="220">
      <c r="D220" s="310"/>
      <c r="E220" s="311"/>
      <c r="L220" s="658"/>
    </row>
    <row r="221">
      <c r="D221" s="310"/>
      <c r="E221" s="311"/>
      <c r="L221" s="658"/>
    </row>
    <row r="222">
      <c r="D222" s="310"/>
      <c r="E222" s="311"/>
      <c r="L222" s="658"/>
    </row>
    <row r="223">
      <c r="D223" s="310"/>
      <c r="E223" s="311"/>
      <c r="L223" s="658"/>
    </row>
    <row r="224">
      <c r="D224" s="310"/>
      <c r="E224" s="311"/>
      <c r="L224" s="658"/>
    </row>
    <row r="225">
      <c r="D225" s="310"/>
      <c r="E225" s="311"/>
      <c r="L225" s="658"/>
    </row>
    <row r="226">
      <c r="D226" s="310"/>
      <c r="E226" s="311"/>
      <c r="L226" s="658"/>
    </row>
    <row r="227">
      <c r="D227" s="310"/>
      <c r="E227" s="311"/>
      <c r="L227" s="658"/>
    </row>
    <row r="228">
      <c r="D228" s="310"/>
      <c r="E228" s="311"/>
      <c r="L228" s="658"/>
    </row>
    <row r="229">
      <c r="D229" s="310"/>
      <c r="E229" s="311"/>
      <c r="L229" s="658"/>
    </row>
    <row r="230">
      <c r="D230" s="310"/>
      <c r="E230" s="311"/>
      <c r="L230" s="658"/>
    </row>
    <row r="231">
      <c r="D231" s="310"/>
      <c r="E231" s="311"/>
      <c r="L231" s="658"/>
    </row>
    <row r="232">
      <c r="D232" s="310"/>
      <c r="E232" s="311"/>
      <c r="L232" s="658"/>
    </row>
    <row r="233">
      <c r="D233" s="310"/>
      <c r="E233" s="311"/>
      <c r="L233" s="658"/>
    </row>
    <row r="234">
      <c r="D234" s="310"/>
      <c r="E234" s="311"/>
      <c r="L234" s="658"/>
    </row>
    <row r="235">
      <c r="D235" s="310"/>
      <c r="E235" s="311"/>
      <c r="L235" s="658"/>
    </row>
    <row r="236">
      <c r="D236" s="310"/>
      <c r="E236" s="311"/>
      <c r="L236" s="658"/>
    </row>
    <row r="237">
      <c r="D237" s="310"/>
      <c r="E237" s="311"/>
      <c r="L237" s="658"/>
    </row>
    <row r="238">
      <c r="D238" s="310"/>
      <c r="E238" s="311"/>
      <c r="L238" s="658"/>
    </row>
    <row r="239">
      <c r="D239" s="310"/>
      <c r="E239" s="311"/>
      <c r="L239" s="658"/>
    </row>
    <row r="240">
      <c r="D240" s="310"/>
      <c r="E240" s="311"/>
      <c r="L240" s="658"/>
    </row>
    <row r="241">
      <c r="D241" s="310"/>
      <c r="E241" s="311"/>
      <c r="L241" s="658"/>
    </row>
    <row r="242">
      <c r="D242" s="310"/>
      <c r="E242" s="311"/>
      <c r="L242" s="658"/>
    </row>
    <row r="243">
      <c r="D243" s="310"/>
      <c r="E243" s="311"/>
      <c r="L243" s="658"/>
    </row>
    <row r="244">
      <c r="D244" s="310"/>
      <c r="E244" s="311"/>
      <c r="L244" s="658"/>
    </row>
    <row r="245">
      <c r="D245" s="310"/>
      <c r="E245" s="311"/>
      <c r="L245" s="658"/>
    </row>
    <row r="246">
      <c r="D246" s="310"/>
      <c r="E246" s="311"/>
      <c r="L246" s="658"/>
    </row>
    <row r="247">
      <c r="D247" s="310"/>
      <c r="E247" s="311"/>
      <c r="L247" s="658"/>
    </row>
    <row r="248">
      <c r="D248" s="310"/>
      <c r="E248" s="311"/>
      <c r="L248" s="658"/>
    </row>
    <row r="249">
      <c r="D249" s="310"/>
      <c r="E249" s="311"/>
      <c r="L249" s="658"/>
    </row>
    <row r="250">
      <c r="D250" s="310"/>
      <c r="E250" s="311"/>
      <c r="L250" s="658"/>
    </row>
    <row r="251">
      <c r="D251" s="310"/>
      <c r="E251" s="311"/>
      <c r="L251" s="658"/>
    </row>
    <row r="252">
      <c r="D252" s="310"/>
      <c r="E252" s="311"/>
      <c r="L252" s="658"/>
    </row>
    <row r="253">
      <c r="D253" s="310"/>
      <c r="E253" s="311"/>
      <c r="L253" s="658"/>
    </row>
    <row r="254">
      <c r="D254" s="310"/>
      <c r="E254" s="311"/>
      <c r="L254" s="658"/>
    </row>
    <row r="255">
      <c r="D255" s="310"/>
      <c r="E255" s="311"/>
      <c r="L255" s="658"/>
    </row>
    <row r="256">
      <c r="D256" s="310"/>
      <c r="E256" s="311"/>
      <c r="L256" s="658"/>
    </row>
    <row r="257">
      <c r="D257" s="310"/>
      <c r="E257" s="311"/>
      <c r="L257" s="658"/>
    </row>
    <row r="258">
      <c r="D258" s="310"/>
      <c r="E258" s="311"/>
      <c r="L258" s="658"/>
    </row>
    <row r="259">
      <c r="D259" s="310"/>
      <c r="E259" s="311"/>
      <c r="L259" s="658"/>
    </row>
    <row r="260">
      <c r="D260" s="310"/>
      <c r="E260" s="311"/>
      <c r="L260" s="658"/>
    </row>
    <row r="261">
      <c r="D261" s="310"/>
      <c r="E261" s="311"/>
      <c r="L261" s="658"/>
    </row>
    <row r="262">
      <c r="D262" s="310"/>
      <c r="E262" s="311"/>
      <c r="L262" s="658"/>
    </row>
    <row r="263">
      <c r="D263" s="310"/>
      <c r="E263" s="311"/>
      <c r="L263" s="658"/>
    </row>
    <row r="264">
      <c r="D264" s="310"/>
      <c r="E264" s="311"/>
      <c r="L264" s="658"/>
    </row>
    <row r="265">
      <c r="D265" s="310"/>
      <c r="E265" s="311"/>
      <c r="L265" s="658"/>
    </row>
    <row r="266">
      <c r="D266" s="310"/>
      <c r="E266" s="311"/>
      <c r="L266" s="658"/>
    </row>
    <row r="267">
      <c r="D267" s="310"/>
      <c r="E267" s="311"/>
      <c r="L267" s="658"/>
    </row>
    <row r="268">
      <c r="D268" s="310"/>
      <c r="E268" s="311"/>
      <c r="L268" s="658"/>
    </row>
    <row r="269">
      <c r="D269" s="310"/>
      <c r="E269" s="311"/>
      <c r="L269" s="658"/>
    </row>
    <row r="270">
      <c r="D270" s="310"/>
      <c r="E270" s="311"/>
      <c r="L270" s="658"/>
    </row>
    <row r="271">
      <c r="D271" s="310"/>
      <c r="E271" s="311"/>
      <c r="L271" s="658"/>
    </row>
    <row r="272">
      <c r="D272" s="310"/>
      <c r="E272" s="311"/>
      <c r="L272" s="658"/>
    </row>
    <row r="273">
      <c r="D273" s="310"/>
      <c r="E273" s="311"/>
      <c r="L273" s="658"/>
    </row>
    <row r="274">
      <c r="D274" s="310"/>
      <c r="E274" s="311"/>
      <c r="L274" s="658"/>
    </row>
    <row r="275">
      <c r="D275" s="310"/>
      <c r="E275" s="311"/>
      <c r="L275" s="658"/>
    </row>
    <row r="276">
      <c r="D276" s="310"/>
      <c r="E276" s="311"/>
      <c r="L276" s="658"/>
    </row>
    <row r="277">
      <c r="D277" s="310"/>
      <c r="E277" s="311"/>
      <c r="L277" s="658"/>
    </row>
    <row r="278">
      <c r="D278" s="310"/>
      <c r="E278" s="311"/>
      <c r="L278" s="658"/>
    </row>
    <row r="279">
      <c r="D279" s="310"/>
      <c r="E279" s="311"/>
      <c r="L279" s="658"/>
    </row>
    <row r="280">
      <c r="D280" s="310"/>
      <c r="E280" s="311"/>
      <c r="L280" s="658"/>
    </row>
    <row r="281">
      <c r="D281" s="310"/>
      <c r="E281" s="311"/>
      <c r="L281" s="658"/>
    </row>
    <row r="282">
      <c r="D282" s="310"/>
      <c r="E282" s="311"/>
      <c r="L282" s="658"/>
    </row>
    <row r="283">
      <c r="D283" s="310"/>
      <c r="E283" s="311"/>
      <c r="L283" s="658"/>
    </row>
    <row r="284">
      <c r="D284" s="310"/>
      <c r="E284" s="311"/>
      <c r="L284" s="658"/>
    </row>
    <row r="285">
      <c r="D285" s="310"/>
      <c r="E285" s="311"/>
      <c r="L285" s="658"/>
    </row>
    <row r="286">
      <c r="D286" s="310"/>
      <c r="E286" s="311"/>
      <c r="L286" s="658"/>
    </row>
    <row r="287">
      <c r="D287" s="310"/>
      <c r="E287" s="311"/>
      <c r="L287" s="658"/>
    </row>
    <row r="288">
      <c r="D288" s="310"/>
      <c r="E288" s="311"/>
      <c r="L288" s="658"/>
    </row>
    <row r="289">
      <c r="D289" s="310"/>
      <c r="E289" s="311"/>
      <c r="L289" s="658"/>
    </row>
    <row r="290">
      <c r="D290" s="310"/>
      <c r="E290" s="311"/>
      <c r="L290" s="658"/>
    </row>
    <row r="291">
      <c r="D291" s="310"/>
      <c r="E291" s="311"/>
      <c r="L291" s="658"/>
    </row>
    <row r="292">
      <c r="D292" s="310"/>
      <c r="E292" s="311"/>
      <c r="L292" s="658"/>
    </row>
    <row r="293">
      <c r="D293" s="310"/>
      <c r="E293" s="311"/>
      <c r="L293" s="658"/>
    </row>
    <row r="294">
      <c r="D294" s="310"/>
      <c r="E294" s="311"/>
      <c r="L294" s="658"/>
    </row>
    <row r="295">
      <c r="D295" s="310"/>
      <c r="E295" s="311"/>
      <c r="L295" s="658"/>
    </row>
    <row r="296">
      <c r="D296" s="310"/>
      <c r="E296" s="311"/>
      <c r="L296" s="658"/>
    </row>
    <row r="297">
      <c r="D297" s="310"/>
      <c r="E297" s="311"/>
      <c r="L297" s="658"/>
    </row>
    <row r="298">
      <c r="D298" s="310"/>
      <c r="E298" s="311"/>
      <c r="L298" s="658"/>
    </row>
    <row r="299">
      <c r="D299" s="310"/>
      <c r="E299" s="311"/>
      <c r="L299" s="658"/>
    </row>
    <row r="300">
      <c r="D300" s="310"/>
      <c r="E300" s="311"/>
      <c r="L300" s="658"/>
    </row>
    <row r="301">
      <c r="D301" s="310"/>
      <c r="E301" s="311"/>
      <c r="L301" s="658"/>
    </row>
    <row r="302">
      <c r="D302" s="310"/>
      <c r="E302" s="311"/>
      <c r="L302" s="658"/>
    </row>
    <row r="303">
      <c r="D303" s="310"/>
      <c r="E303" s="311"/>
      <c r="L303" s="658"/>
    </row>
    <row r="304">
      <c r="D304" s="310"/>
      <c r="E304" s="311"/>
      <c r="L304" s="658"/>
    </row>
    <row r="305">
      <c r="D305" s="310"/>
      <c r="E305" s="311"/>
      <c r="L305" s="658"/>
    </row>
    <row r="306">
      <c r="D306" s="310"/>
      <c r="E306" s="311"/>
      <c r="L306" s="658"/>
    </row>
    <row r="307">
      <c r="D307" s="310"/>
      <c r="E307" s="311"/>
      <c r="L307" s="658"/>
    </row>
    <row r="308">
      <c r="D308" s="310"/>
      <c r="E308" s="311"/>
      <c r="L308" s="658"/>
    </row>
    <row r="309">
      <c r="D309" s="310"/>
      <c r="E309" s="311"/>
      <c r="L309" s="658"/>
    </row>
    <row r="310">
      <c r="D310" s="310"/>
      <c r="E310" s="311"/>
      <c r="L310" s="658"/>
    </row>
    <row r="311">
      <c r="D311" s="310"/>
      <c r="E311" s="311"/>
      <c r="L311" s="658"/>
    </row>
    <row r="312">
      <c r="D312" s="310"/>
      <c r="E312" s="311"/>
      <c r="L312" s="658"/>
    </row>
    <row r="313">
      <c r="D313" s="310"/>
      <c r="E313" s="311"/>
      <c r="L313" s="658"/>
    </row>
    <row r="314">
      <c r="D314" s="310"/>
      <c r="E314" s="311"/>
      <c r="L314" s="658"/>
    </row>
    <row r="315">
      <c r="D315" s="310"/>
      <c r="E315" s="311"/>
      <c r="L315" s="658"/>
    </row>
    <row r="316">
      <c r="D316" s="310"/>
      <c r="E316" s="311"/>
      <c r="L316" s="658"/>
    </row>
    <row r="317">
      <c r="D317" s="310"/>
      <c r="E317" s="311"/>
      <c r="L317" s="658"/>
    </row>
    <row r="318">
      <c r="D318" s="310"/>
      <c r="E318" s="311"/>
      <c r="L318" s="658"/>
    </row>
    <row r="319">
      <c r="D319" s="310"/>
      <c r="E319" s="311"/>
      <c r="L319" s="658"/>
    </row>
    <row r="320">
      <c r="D320" s="310"/>
      <c r="E320" s="311"/>
      <c r="L320" s="658"/>
    </row>
    <row r="321">
      <c r="D321" s="310"/>
      <c r="E321" s="311"/>
      <c r="L321" s="658"/>
    </row>
    <row r="322">
      <c r="D322" s="310"/>
      <c r="E322" s="311"/>
      <c r="L322" s="658"/>
    </row>
    <row r="323">
      <c r="D323" s="310"/>
      <c r="E323" s="311"/>
      <c r="L323" s="658"/>
    </row>
    <row r="324">
      <c r="D324" s="310"/>
      <c r="E324" s="311"/>
      <c r="L324" s="658"/>
    </row>
    <row r="325">
      <c r="D325" s="310"/>
      <c r="E325" s="311"/>
      <c r="L325" s="658"/>
    </row>
    <row r="326">
      <c r="D326" s="310"/>
      <c r="E326" s="311"/>
      <c r="L326" s="658"/>
    </row>
    <row r="327">
      <c r="D327" s="310"/>
      <c r="E327" s="311"/>
      <c r="L327" s="658"/>
    </row>
    <row r="328">
      <c r="D328" s="310"/>
      <c r="E328" s="311"/>
      <c r="L328" s="658"/>
    </row>
    <row r="329">
      <c r="D329" s="310"/>
      <c r="E329" s="311"/>
      <c r="L329" s="658"/>
    </row>
    <row r="330">
      <c r="D330" s="310"/>
      <c r="E330" s="311"/>
      <c r="L330" s="658"/>
    </row>
    <row r="331">
      <c r="D331" s="310"/>
      <c r="E331" s="311"/>
      <c r="L331" s="658"/>
    </row>
    <row r="332">
      <c r="D332" s="310"/>
      <c r="E332" s="311"/>
      <c r="L332" s="658"/>
    </row>
    <row r="333">
      <c r="D333" s="310"/>
      <c r="E333" s="311"/>
      <c r="L333" s="658"/>
    </row>
    <row r="334">
      <c r="D334" s="310"/>
      <c r="E334" s="311"/>
      <c r="L334" s="658"/>
    </row>
    <row r="335">
      <c r="D335" s="310"/>
      <c r="E335" s="311"/>
      <c r="L335" s="658"/>
    </row>
    <row r="336">
      <c r="D336" s="310"/>
      <c r="E336" s="311"/>
      <c r="L336" s="658"/>
    </row>
    <row r="337">
      <c r="D337" s="310"/>
      <c r="E337" s="311"/>
      <c r="L337" s="658"/>
    </row>
    <row r="338">
      <c r="D338" s="310"/>
      <c r="E338" s="311"/>
      <c r="L338" s="658"/>
    </row>
    <row r="339">
      <c r="D339" s="310"/>
      <c r="E339" s="311"/>
      <c r="L339" s="658"/>
    </row>
    <row r="340">
      <c r="D340" s="310"/>
      <c r="E340" s="311"/>
      <c r="L340" s="658"/>
    </row>
    <row r="341">
      <c r="D341" s="310"/>
      <c r="E341" s="311"/>
      <c r="L341" s="658"/>
    </row>
    <row r="342">
      <c r="D342" s="310"/>
      <c r="E342" s="311"/>
      <c r="L342" s="658"/>
    </row>
    <row r="343">
      <c r="D343" s="310"/>
      <c r="E343" s="311"/>
      <c r="L343" s="658"/>
    </row>
    <row r="344">
      <c r="D344" s="310"/>
      <c r="E344" s="311"/>
      <c r="L344" s="658"/>
    </row>
    <row r="345">
      <c r="D345" s="310"/>
      <c r="E345" s="311"/>
      <c r="L345" s="658"/>
    </row>
    <row r="346">
      <c r="D346" s="310"/>
      <c r="E346" s="311"/>
      <c r="L346" s="658"/>
    </row>
    <row r="347">
      <c r="D347" s="310"/>
      <c r="E347" s="311"/>
      <c r="L347" s="658"/>
    </row>
    <row r="348">
      <c r="D348" s="310"/>
      <c r="E348" s="311"/>
      <c r="L348" s="658"/>
    </row>
    <row r="349">
      <c r="D349" s="310"/>
      <c r="E349" s="311"/>
      <c r="L349" s="658"/>
    </row>
    <row r="350">
      <c r="D350" s="310"/>
      <c r="E350" s="311"/>
      <c r="L350" s="658"/>
    </row>
    <row r="351">
      <c r="D351" s="310"/>
      <c r="E351" s="311"/>
      <c r="L351" s="658"/>
    </row>
    <row r="352">
      <c r="D352" s="310"/>
      <c r="E352" s="311"/>
      <c r="L352" s="658"/>
    </row>
    <row r="353">
      <c r="D353" s="310"/>
      <c r="E353" s="311"/>
      <c r="L353" s="658"/>
    </row>
    <row r="354">
      <c r="D354" s="310"/>
      <c r="E354" s="311"/>
      <c r="L354" s="658"/>
    </row>
    <row r="355">
      <c r="D355" s="310"/>
      <c r="E355" s="311"/>
      <c r="L355" s="658"/>
    </row>
    <row r="356">
      <c r="D356" s="310"/>
      <c r="E356" s="311"/>
      <c r="L356" s="658"/>
    </row>
    <row r="357">
      <c r="D357" s="310"/>
      <c r="E357" s="311"/>
      <c r="L357" s="658"/>
    </row>
    <row r="358">
      <c r="D358" s="310"/>
      <c r="E358" s="311"/>
      <c r="L358" s="658"/>
    </row>
    <row r="359">
      <c r="D359" s="310"/>
      <c r="E359" s="311"/>
      <c r="L359" s="658"/>
    </row>
    <row r="360">
      <c r="D360" s="310"/>
      <c r="E360" s="311"/>
      <c r="L360" s="658"/>
    </row>
    <row r="361">
      <c r="D361" s="310"/>
      <c r="E361" s="311"/>
      <c r="L361" s="658"/>
    </row>
    <row r="362">
      <c r="D362" s="310"/>
      <c r="E362" s="311"/>
      <c r="L362" s="658"/>
    </row>
    <row r="363">
      <c r="D363" s="310"/>
      <c r="E363" s="311"/>
      <c r="L363" s="658"/>
    </row>
    <row r="364">
      <c r="D364" s="310"/>
      <c r="E364" s="311"/>
      <c r="L364" s="658"/>
    </row>
    <row r="365">
      <c r="D365" s="310"/>
      <c r="E365" s="311"/>
      <c r="L365" s="658"/>
    </row>
    <row r="366">
      <c r="D366" s="310"/>
      <c r="E366" s="311"/>
      <c r="L366" s="658"/>
    </row>
    <row r="367">
      <c r="D367" s="310"/>
      <c r="E367" s="311"/>
      <c r="L367" s="658"/>
    </row>
    <row r="368">
      <c r="D368" s="310"/>
      <c r="E368" s="311"/>
      <c r="L368" s="658"/>
    </row>
    <row r="369">
      <c r="D369" s="310"/>
      <c r="E369" s="311"/>
      <c r="L369" s="658"/>
    </row>
    <row r="370">
      <c r="D370" s="310"/>
      <c r="E370" s="311"/>
      <c r="L370" s="658"/>
    </row>
    <row r="371">
      <c r="D371" s="310"/>
      <c r="E371" s="311"/>
      <c r="L371" s="658"/>
    </row>
    <row r="372">
      <c r="D372" s="310"/>
      <c r="E372" s="311"/>
      <c r="L372" s="658"/>
    </row>
    <row r="373">
      <c r="D373" s="310"/>
      <c r="E373" s="311"/>
      <c r="L373" s="658"/>
    </row>
    <row r="374">
      <c r="D374" s="310"/>
      <c r="E374" s="311"/>
      <c r="L374" s="658"/>
    </row>
    <row r="375">
      <c r="D375" s="310"/>
      <c r="E375" s="311"/>
      <c r="L375" s="658"/>
    </row>
    <row r="376">
      <c r="D376" s="310"/>
      <c r="E376" s="311"/>
      <c r="L376" s="658"/>
    </row>
    <row r="377">
      <c r="D377" s="310"/>
      <c r="E377" s="311"/>
      <c r="L377" s="658"/>
    </row>
    <row r="378">
      <c r="D378" s="310"/>
      <c r="E378" s="311"/>
      <c r="L378" s="658"/>
    </row>
    <row r="379">
      <c r="D379" s="310"/>
      <c r="E379" s="311"/>
      <c r="L379" s="658"/>
    </row>
    <row r="380">
      <c r="D380" s="310"/>
      <c r="E380" s="311"/>
      <c r="L380" s="658"/>
    </row>
    <row r="381">
      <c r="D381" s="310"/>
      <c r="E381" s="311"/>
      <c r="L381" s="658"/>
    </row>
    <row r="382">
      <c r="D382" s="310"/>
      <c r="E382" s="311"/>
      <c r="L382" s="658"/>
    </row>
    <row r="383">
      <c r="D383" s="310"/>
      <c r="E383" s="311"/>
      <c r="L383" s="658"/>
    </row>
    <row r="384">
      <c r="D384" s="310"/>
      <c r="E384" s="311"/>
      <c r="L384" s="658"/>
    </row>
    <row r="385">
      <c r="D385" s="310"/>
      <c r="E385" s="311"/>
      <c r="L385" s="658"/>
    </row>
    <row r="386">
      <c r="D386" s="310"/>
      <c r="E386" s="311"/>
      <c r="L386" s="658"/>
    </row>
    <row r="387">
      <c r="D387" s="310"/>
      <c r="E387" s="311"/>
      <c r="L387" s="658"/>
    </row>
    <row r="388">
      <c r="D388" s="310"/>
      <c r="E388" s="311"/>
      <c r="L388" s="658"/>
    </row>
    <row r="389">
      <c r="D389" s="310"/>
      <c r="E389" s="311"/>
      <c r="L389" s="658"/>
    </row>
    <row r="390">
      <c r="D390" s="310"/>
      <c r="E390" s="311"/>
      <c r="L390" s="658"/>
    </row>
    <row r="391">
      <c r="D391" s="310"/>
      <c r="E391" s="311"/>
      <c r="L391" s="658"/>
    </row>
    <row r="392">
      <c r="D392" s="310"/>
      <c r="E392" s="311"/>
      <c r="L392" s="658"/>
    </row>
    <row r="393">
      <c r="D393" s="310"/>
      <c r="E393" s="311"/>
      <c r="L393" s="658"/>
    </row>
    <row r="394">
      <c r="D394" s="310"/>
      <c r="E394" s="311"/>
      <c r="L394" s="658"/>
    </row>
    <row r="395">
      <c r="D395" s="310"/>
      <c r="E395" s="311"/>
      <c r="L395" s="658"/>
    </row>
    <row r="396">
      <c r="D396" s="310"/>
      <c r="E396" s="311"/>
      <c r="L396" s="658"/>
    </row>
    <row r="397">
      <c r="D397" s="310"/>
      <c r="E397" s="311"/>
      <c r="L397" s="658"/>
    </row>
    <row r="398">
      <c r="D398" s="310"/>
      <c r="E398" s="311"/>
      <c r="L398" s="658"/>
    </row>
    <row r="399">
      <c r="D399" s="310"/>
      <c r="E399" s="311"/>
      <c r="L399" s="658"/>
    </row>
    <row r="400">
      <c r="D400" s="310"/>
      <c r="E400" s="311"/>
      <c r="L400" s="658"/>
    </row>
    <row r="401">
      <c r="D401" s="310"/>
      <c r="E401" s="311"/>
      <c r="L401" s="658"/>
    </row>
    <row r="402">
      <c r="D402" s="310"/>
      <c r="E402" s="311"/>
      <c r="L402" s="658"/>
    </row>
    <row r="403">
      <c r="D403" s="310"/>
      <c r="E403" s="311"/>
      <c r="L403" s="658"/>
    </row>
    <row r="404">
      <c r="D404" s="310"/>
      <c r="E404" s="311"/>
      <c r="L404" s="658"/>
    </row>
    <row r="405">
      <c r="D405" s="310"/>
      <c r="E405" s="311"/>
      <c r="L405" s="658"/>
    </row>
    <row r="406">
      <c r="D406" s="310"/>
      <c r="E406" s="311"/>
      <c r="L406" s="658"/>
    </row>
    <row r="407">
      <c r="D407" s="310"/>
      <c r="E407" s="311"/>
      <c r="L407" s="658"/>
    </row>
    <row r="408">
      <c r="D408" s="310"/>
      <c r="E408" s="311"/>
      <c r="L408" s="658"/>
    </row>
    <row r="409">
      <c r="D409" s="310"/>
      <c r="E409" s="311"/>
      <c r="L409" s="658"/>
    </row>
    <row r="410">
      <c r="D410" s="310"/>
      <c r="E410" s="311"/>
      <c r="L410" s="658"/>
    </row>
    <row r="411">
      <c r="D411" s="310"/>
      <c r="E411" s="311"/>
      <c r="L411" s="658"/>
    </row>
    <row r="412">
      <c r="D412" s="310"/>
      <c r="E412" s="311"/>
      <c r="L412" s="658"/>
    </row>
    <row r="413">
      <c r="D413" s="310"/>
      <c r="E413" s="311"/>
      <c r="L413" s="658"/>
    </row>
    <row r="414">
      <c r="D414" s="310"/>
      <c r="E414" s="311"/>
      <c r="L414" s="658"/>
    </row>
    <row r="415">
      <c r="D415" s="310"/>
      <c r="E415" s="311"/>
      <c r="L415" s="658"/>
    </row>
    <row r="416">
      <c r="D416" s="310"/>
      <c r="E416" s="311"/>
      <c r="L416" s="658"/>
    </row>
    <row r="417">
      <c r="D417" s="310"/>
      <c r="E417" s="311"/>
      <c r="L417" s="658"/>
    </row>
    <row r="418">
      <c r="D418" s="310"/>
      <c r="E418" s="311"/>
      <c r="L418" s="658"/>
    </row>
    <row r="419">
      <c r="D419" s="310"/>
      <c r="E419" s="311"/>
      <c r="L419" s="658"/>
    </row>
    <row r="420">
      <c r="D420" s="310"/>
      <c r="E420" s="311"/>
      <c r="L420" s="658"/>
    </row>
    <row r="421">
      <c r="D421" s="310"/>
      <c r="E421" s="311"/>
      <c r="L421" s="658"/>
    </row>
    <row r="422">
      <c r="D422" s="310"/>
      <c r="E422" s="311"/>
      <c r="L422" s="658"/>
    </row>
    <row r="423">
      <c r="D423" s="310"/>
      <c r="E423" s="311"/>
      <c r="L423" s="658"/>
    </row>
    <row r="424">
      <c r="D424" s="310"/>
      <c r="E424" s="311"/>
      <c r="L424" s="658"/>
    </row>
    <row r="425">
      <c r="D425" s="310"/>
      <c r="E425" s="311"/>
      <c r="L425" s="658"/>
    </row>
    <row r="426">
      <c r="D426" s="310"/>
      <c r="E426" s="311"/>
      <c r="L426" s="658"/>
    </row>
    <row r="427">
      <c r="D427" s="310"/>
      <c r="E427" s="311"/>
      <c r="L427" s="658"/>
    </row>
    <row r="428">
      <c r="D428" s="310"/>
      <c r="E428" s="311"/>
      <c r="L428" s="658"/>
    </row>
    <row r="429">
      <c r="D429" s="310"/>
      <c r="E429" s="311"/>
      <c r="L429" s="658"/>
    </row>
    <row r="430">
      <c r="D430" s="310"/>
      <c r="E430" s="311"/>
      <c r="L430" s="658"/>
    </row>
    <row r="431">
      <c r="D431" s="310"/>
      <c r="E431" s="311"/>
      <c r="L431" s="658"/>
    </row>
    <row r="432">
      <c r="D432" s="310"/>
      <c r="E432" s="311"/>
      <c r="L432" s="658"/>
    </row>
    <row r="433">
      <c r="D433" s="310"/>
      <c r="E433" s="311"/>
      <c r="L433" s="658"/>
    </row>
    <row r="434">
      <c r="D434" s="310"/>
      <c r="E434" s="311"/>
      <c r="L434" s="658"/>
    </row>
    <row r="435">
      <c r="D435" s="310"/>
      <c r="E435" s="311"/>
      <c r="L435" s="658"/>
    </row>
    <row r="436">
      <c r="D436" s="310"/>
      <c r="E436" s="311"/>
      <c r="L436" s="658"/>
    </row>
    <row r="437">
      <c r="D437" s="310"/>
      <c r="E437" s="311"/>
      <c r="L437" s="658"/>
    </row>
    <row r="438">
      <c r="D438" s="310"/>
      <c r="E438" s="311"/>
      <c r="L438" s="658"/>
    </row>
    <row r="439">
      <c r="D439" s="310"/>
      <c r="E439" s="311"/>
      <c r="L439" s="658"/>
    </row>
    <row r="440">
      <c r="D440" s="310"/>
      <c r="E440" s="311"/>
      <c r="L440" s="658"/>
    </row>
    <row r="441">
      <c r="D441" s="310"/>
      <c r="E441" s="311"/>
      <c r="L441" s="658"/>
    </row>
    <row r="442">
      <c r="D442" s="310"/>
      <c r="E442" s="311"/>
      <c r="L442" s="658"/>
    </row>
    <row r="443">
      <c r="D443" s="310"/>
      <c r="E443" s="311"/>
      <c r="L443" s="658"/>
    </row>
    <row r="444">
      <c r="D444" s="310"/>
      <c r="E444" s="311"/>
      <c r="L444" s="658"/>
    </row>
    <row r="445">
      <c r="D445" s="310"/>
      <c r="E445" s="311"/>
      <c r="L445" s="658"/>
    </row>
    <row r="446">
      <c r="D446" s="310"/>
      <c r="E446" s="311"/>
      <c r="L446" s="658"/>
    </row>
    <row r="447">
      <c r="D447" s="310"/>
      <c r="E447" s="311"/>
      <c r="L447" s="658"/>
    </row>
    <row r="448">
      <c r="D448" s="310"/>
      <c r="E448" s="311"/>
      <c r="L448" s="658"/>
    </row>
    <row r="449">
      <c r="D449" s="310"/>
      <c r="E449" s="311"/>
      <c r="L449" s="658"/>
    </row>
    <row r="450">
      <c r="D450" s="310"/>
      <c r="E450" s="311"/>
      <c r="L450" s="658"/>
    </row>
    <row r="451">
      <c r="D451" s="310"/>
      <c r="E451" s="311"/>
      <c r="L451" s="658"/>
    </row>
    <row r="452">
      <c r="D452" s="310"/>
      <c r="E452" s="311"/>
      <c r="L452" s="658"/>
    </row>
    <row r="453">
      <c r="D453" s="310"/>
      <c r="E453" s="311"/>
      <c r="L453" s="658"/>
    </row>
    <row r="454">
      <c r="D454" s="310"/>
      <c r="E454" s="311"/>
      <c r="L454" s="658"/>
    </row>
    <row r="455">
      <c r="D455" s="310"/>
      <c r="E455" s="311"/>
      <c r="L455" s="658"/>
    </row>
    <row r="456">
      <c r="D456" s="310"/>
      <c r="E456" s="311"/>
      <c r="L456" s="658"/>
    </row>
    <row r="457">
      <c r="D457" s="310"/>
      <c r="E457" s="311"/>
      <c r="L457" s="658"/>
    </row>
    <row r="458">
      <c r="D458" s="310"/>
      <c r="E458" s="311"/>
      <c r="L458" s="658"/>
    </row>
    <row r="459">
      <c r="D459" s="310"/>
      <c r="E459" s="311"/>
      <c r="L459" s="658"/>
    </row>
    <row r="460">
      <c r="D460" s="310"/>
      <c r="E460" s="311"/>
      <c r="L460" s="658"/>
    </row>
    <row r="461">
      <c r="D461" s="310"/>
      <c r="E461" s="311"/>
      <c r="L461" s="658"/>
    </row>
    <row r="462">
      <c r="D462" s="310"/>
      <c r="E462" s="311"/>
      <c r="L462" s="658"/>
    </row>
    <row r="463">
      <c r="D463" s="310"/>
      <c r="E463" s="311"/>
      <c r="L463" s="658"/>
    </row>
    <row r="464">
      <c r="D464" s="310"/>
      <c r="E464" s="311"/>
      <c r="L464" s="658"/>
    </row>
    <row r="465">
      <c r="D465" s="310"/>
      <c r="E465" s="311"/>
      <c r="L465" s="658"/>
    </row>
    <row r="466">
      <c r="D466" s="310"/>
      <c r="E466" s="311"/>
      <c r="L466" s="658"/>
    </row>
    <row r="467">
      <c r="D467" s="310"/>
      <c r="E467" s="311"/>
      <c r="L467" s="658"/>
    </row>
    <row r="468">
      <c r="D468" s="310"/>
      <c r="E468" s="311"/>
      <c r="L468" s="658"/>
    </row>
    <row r="469">
      <c r="D469" s="310"/>
      <c r="E469" s="311"/>
      <c r="L469" s="658"/>
    </row>
    <row r="470">
      <c r="D470" s="310"/>
      <c r="E470" s="311"/>
      <c r="L470" s="658"/>
    </row>
    <row r="471">
      <c r="D471" s="310"/>
      <c r="E471" s="311"/>
      <c r="L471" s="658"/>
    </row>
    <row r="472">
      <c r="D472" s="310"/>
      <c r="E472" s="311"/>
      <c r="L472" s="658"/>
    </row>
    <row r="473">
      <c r="D473" s="310"/>
      <c r="E473" s="311"/>
      <c r="L473" s="658"/>
    </row>
    <row r="474">
      <c r="D474" s="310"/>
      <c r="E474" s="311"/>
      <c r="L474" s="658"/>
    </row>
    <row r="475">
      <c r="D475" s="310"/>
      <c r="E475" s="311"/>
      <c r="L475" s="658"/>
    </row>
    <row r="476">
      <c r="D476" s="310"/>
      <c r="E476" s="311"/>
      <c r="L476" s="658"/>
    </row>
    <row r="477">
      <c r="D477" s="310"/>
      <c r="E477" s="311"/>
      <c r="L477" s="658"/>
    </row>
    <row r="478">
      <c r="D478" s="310"/>
      <c r="E478" s="311"/>
      <c r="L478" s="658"/>
    </row>
    <row r="479">
      <c r="D479" s="310"/>
      <c r="E479" s="311"/>
      <c r="L479" s="658"/>
    </row>
    <row r="480">
      <c r="D480" s="310"/>
      <c r="E480" s="311"/>
      <c r="L480" s="658"/>
    </row>
    <row r="481">
      <c r="D481" s="310"/>
      <c r="E481" s="311"/>
      <c r="L481" s="658"/>
    </row>
    <row r="482">
      <c r="D482" s="310"/>
      <c r="E482" s="311"/>
      <c r="L482" s="658"/>
    </row>
    <row r="483">
      <c r="D483" s="310"/>
      <c r="E483" s="311"/>
      <c r="L483" s="658"/>
    </row>
    <row r="484">
      <c r="D484" s="310"/>
      <c r="E484" s="311"/>
      <c r="L484" s="658"/>
    </row>
    <row r="485">
      <c r="D485" s="310"/>
      <c r="E485" s="311"/>
      <c r="L485" s="658"/>
    </row>
    <row r="486">
      <c r="D486" s="310"/>
      <c r="E486" s="311"/>
      <c r="L486" s="658"/>
    </row>
    <row r="487">
      <c r="D487" s="310"/>
      <c r="E487" s="311"/>
      <c r="L487" s="658"/>
    </row>
    <row r="488">
      <c r="D488" s="310"/>
      <c r="E488" s="311"/>
      <c r="L488" s="658"/>
    </row>
    <row r="489">
      <c r="D489" s="310"/>
      <c r="E489" s="311"/>
      <c r="L489" s="658"/>
    </row>
    <row r="490">
      <c r="D490" s="310"/>
      <c r="E490" s="311"/>
      <c r="L490" s="658"/>
    </row>
    <row r="491">
      <c r="D491" s="310"/>
      <c r="E491" s="311"/>
      <c r="L491" s="658"/>
    </row>
    <row r="492">
      <c r="D492" s="310"/>
      <c r="E492" s="311"/>
      <c r="L492" s="658"/>
    </row>
    <row r="493">
      <c r="D493" s="310"/>
      <c r="E493" s="311"/>
      <c r="L493" s="658"/>
    </row>
    <row r="494">
      <c r="D494" s="310"/>
      <c r="E494" s="311"/>
      <c r="L494" s="658"/>
    </row>
    <row r="495">
      <c r="D495" s="310"/>
      <c r="E495" s="311"/>
      <c r="L495" s="658"/>
    </row>
    <row r="496">
      <c r="D496" s="310"/>
      <c r="E496" s="311"/>
      <c r="L496" s="658"/>
    </row>
    <row r="497">
      <c r="D497" s="310"/>
      <c r="E497" s="311"/>
      <c r="L497" s="658"/>
    </row>
    <row r="498">
      <c r="D498" s="310"/>
      <c r="E498" s="311"/>
      <c r="L498" s="658"/>
    </row>
    <row r="499">
      <c r="D499" s="310"/>
      <c r="E499" s="311"/>
      <c r="L499" s="658"/>
    </row>
    <row r="500">
      <c r="D500" s="310"/>
      <c r="E500" s="311"/>
      <c r="L500" s="658"/>
    </row>
    <row r="501">
      <c r="D501" s="310"/>
      <c r="E501" s="311"/>
      <c r="L501" s="658"/>
    </row>
    <row r="502">
      <c r="D502" s="310"/>
      <c r="E502" s="311"/>
      <c r="L502" s="658"/>
    </row>
    <row r="503">
      <c r="D503" s="310"/>
      <c r="E503" s="311"/>
      <c r="L503" s="658"/>
    </row>
    <row r="504">
      <c r="D504" s="310"/>
      <c r="E504" s="311"/>
      <c r="L504" s="658"/>
    </row>
    <row r="505">
      <c r="D505" s="310"/>
      <c r="E505" s="311"/>
      <c r="L505" s="658"/>
    </row>
    <row r="506">
      <c r="D506" s="310"/>
      <c r="E506" s="311"/>
      <c r="L506" s="658"/>
    </row>
    <row r="507">
      <c r="D507" s="310"/>
      <c r="E507" s="311"/>
      <c r="L507" s="658"/>
    </row>
    <row r="508">
      <c r="D508" s="310"/>
      <c r="E508" s="311"/>
      <c r="L508" s="658"/>
    </row>
    <row r="509">
      <c r="D509" s="310"/>
      <c r="E509" s="311"/>
      <c r="L509" s="658"/>
    </row>
    <row r="510">
      <c r="D510" s="310"/>
      <c r="E510" s="311"/>
      <c r="L510" s="658"/>
    </row>
    <row r="511">
      <c r="D511" s="310"/>
      <c r="E511" s="311"/>
      <c r="L511" s="658"/>
    </row>
    <row r="512">
      <c r="D512" s="310"/>
      <c r="E512" s="311"/>
      <c r="L512" s="658"/>
    </row>
    <row r="513">
      <c r="D513" s="310"/>
      <c r="E513" s="311"/>
      <c r="L513" s="658"/>
    </row>
    <row r="514">
      <c r="D514" s="310"/>
      <c r="E514" s="311"/>
      <c r="L514" s="658"/>
    </row>
    <row r="515">
      <c r="D515" s="310"/>
      <c r="E515" s="311"/>
      <c r="L515" s="658"/>
    </row>
    <row r="516">
      <c r="D516" s="310"/>
      <c r="E516" s="311"/>
      <c r="L516" s="658"/>
    </row>
    <row r="517">
      <c r="D517" s="310"/>
      <c r="E517" s="311"/>
      <c r="L517" s="658"/>
    </row>
    <row r="518">
      <c r="D518" s="310"/>
      <c r="E518" s="311"/>
      <c r="L518" s="658"/>
    </row>
    <row r="519">
      <c r="D519" s="310"/>
      <c r="E519" s="311"/>
      <c r="L519" s="658"/>
    </row>
    <row r="520">
      <c r="D520" s="310"/>
      <c r="E520" s="311"/>
      <c r="L520" s="658"/>
    </row>
    <row r="521">
      <c r="D521" s="310"/>
      <c r="E521" s="311"/>
      <c r="L521" s="658"/>
    </row>
    <row r="522">
      <c r="D522" s="310"/>
      <c r="E522" s="311"/>
      <c r="L522" s="658"/>
    </row>
    <row r="523">
      <c r="D523" s="310"/>
      <c r="E523" s="311"/>
      <c r="L523" s="658"/>
    </row>
    <row r="524">
      <c r="D524" s="310"/>
      <c r="E524" s="311"/>
      <c r="L524" s="658"/>
    </row>
    <row r="525">
      <c r="D525" s="310"/>
      <c r="E525" s="311"/>
      <c r="L525" s="658"/>
    </row>
    <row r="526">
      <c r="D526" s="310"/>
      <c r="E526" s="311"/>
      <c r="L526" s="658"/>
    </row>
    <row r="527">
      <c r="D527" s="310"/>
      <c r="E527" s="311"/>
      <c r="L527" s="658"/>
    </row>
    <row r="528">
      <c r="D528" s="310"/>
      <c r="E528" s="311"/>
      <c r="L528" s="658"/>
    </row>
    <row r="529">
      <c r="D529" s="310"/>
      <c r="E529" s="311"/>
      <c r="L529" s="658"/>
    </row>
    <row r="530">
      <c r="D530" s="310"/>
      <c r="E530" s="311"/>
      <c r="L530" s="658"/>
    </row>
    <row r="531">
      <c r="D531" s="310"/>
      <c r="E531" s="311"/>
      <c r="L531" s="658"/>
    </row>
    <row r="532">
      <c r="D532" s="310"/>
      <c r="E532" s="311"/>
      <c r="L532" s="658"/>
    </row>
    <row r="533">
      <c r="D533" s="310"/>
      <c r="E533" s="311"/>
      <c r="L533" s="658"/>
    </row>
    <row r="534">
      <c r="D534" s="310"/>
      <c r="E534" s="311"/>
      <c r="L534" s="658"/>
    </row>
    <row r="535">
      <c r="D535" s="310"/>
      <c r="E535" s="311"/>
      <c r="L535" s="658"/>
    </row>
    <row r="536">
      <c r="D536" s="310"/>
      <c r="E536" s="311"/>
      <c r="L536" s="658"/>
    </row>
    <row r="537">
      <c r="D537" s="310"/>
      <c r="E537" s="311"/>
      <c r="L537" s="658"/>
    </row>
    <row r="538">
      <c r="D538" s="310"/>
      <c r="E538" s="311"/>
      <c r="L538" s="658"/>
    </row>
    <row r="539">
      <c r="D539" s="310"/>
      <c r="E539" s="311"/>
      <c r="L539" s="658"/>
    </row>
    <row r="540">
      <c r="D540" s="310"/>
      <c r="E540" s="311"/>
      <c r="L540" s="658"/>
    </row>
    <row r="541">
      <c r="D541" s="310"/>
      <c r="E541" s="311"/>
      <c r="L541" s="658"/>
    </row>
    <row r="542">
      <c r="D542" s="310"/>
      <c r="E542" s="311"/>
      <c r="L542" s="658"/>
    </row>
    <row r="543">
      <c r="D543" s="310"/>
      <c r="E543" s="311"/>
      <c r="L543" s="658"/>
    </row>
    <row r="544">
      <c r="D544" s="310"/>
      <c r="E544" s="311"/>
      <c r="L544" s="658"/>
    </row>
    <row r="545">
      <c r="D545" s="310"/>
      <c r="E545" s="311"/>
      <c r="L545" s="658"/>
    </row>
    <row r="546">
      <c r="D546" s="310"/>
      <c r="E546" s="311"/>
      <c r="L546" s="658"/>
    </row>
    <row r="547">
      <c r="D547" s="310"/>
      <c r="E547" s="311"/>
      <c r="L547" s="658"/>
    </row>
    <row r="548">
      <c r="D548" s="310"/>
      <c r="E548" s="311"/>
      <c r="L548" s="658"/>
    </row>
    <row r="549">
      <c r="D549" s="310"/>
      <c r="E549" s="311"/>
      <c r="L549" s="658"/>
    </row>
    <row r="550">
      <c r="D550" s="310"/>
      <c r="E550" s="311"/>
      <c r="L550" s="658"/>
    </row>
    <row r="551">
      <c r="D551" s="310"/>
      <c r="E551" s="311"/>
      <c r="L551" s="658"/>
    </row>
    <row r="552">
      <c r="D552" s="310"/>
      <c r="E552" s="311"/>
      <c r="L552" s="658"/>
    </row>
    <row r="553">
      <c r="D553" s="310"/>
      <c r="E553" s="311"/>
      <c r="L553" s="658"/>
    </row>
    <row r="554">
      <c r="D554" s="310"/>
      <c r="E554" s="311"/>
      <c r="L554" s="658"/>
    </row>
    <row r="555">
      <c r="D555" s="310"/>
      <c r="E555" s="311"/>
      <c r="L555" s="658"/>
    </row>
    <row r="556">
      <c r="D556" s="310"/>
      <c r="E556" s="311"/>
      <c r="L556" s="658"/>
    </row>
    <row r="557">
      <c r="D557" s="310"/>
      <c r="E557" s="311"/>
      <c r="L557" s="658"/>
    </row>
    <row r="558">
      <c r="D558" s="310"/>
      <c r="E558" s="311"/>
      <c r="L558" s="658"/>
    </row>
    <row r="559">
      <c r="D559" s="310"/>
      <c r="E559" s="311"/>
      <c r="L559" s="658"/>
    </row>
    <row r="560">
      <c r="D560" s="310"/>
      <c r="E560" s="311"/>
      <c r="L560" s="658"/>
    </row>
    <row r="561">
      <c r="D561" s="310"/>
      <c r="E561" s="311"/>
      <c r="L561" s="658"/>
    </row>
    <row r="562">
      <c r="D562" s="310"/>
      <c r="E562" s="311"/>
      <c r="L562" s="658"/>
    </row>
    <row r="563">
      <c r="D563" s="310"/>
      <c r="E563" s="311"/>
      <c r="L563" s="658"/>
    </row>
    <row r="564">
      <c r="D564" s="310"/>
      <c r="E564" s="311"/>
      <c r="L564" s="658"/>
    </row>
    <row r="565">
      <c r="D565" s="310"/>
      <c r="E565" s="311"/>
      <c r="L565" s="658"/>
    </row>
    <row r="566">
      <c r="D566" s="310"/>
      <c r="E566" s="311"/>
      <c r="L566" s="658"/>
    </row>
    <row r="567">
      <c r="D567" s="310"/>
      <c r="E567" s="311"/>
      <c r="L567" s="658"/>
    </row>
    <row r="568">
      <c r="D568" s="310"/>
      <c r="E568" s="311"/>
      <c r="L568" s="658"/>
    </row>
    <row r="569">
      <c r="D569" s="310"/>
      <c r="E569" s="311"/>
      <c r="L569" s="658"/>
    </row>
    <row r="570">
      <c r="D570" s="310"/>
      <c r="E570" s="311"/>
      <c r="L570" s="658"/>
    </row>
    <row r="571">
      <c r="D571" s="310"/>
      <c r="E571" s="311"/>
      <c r="L571" s="658"/>
    </row>
    <row r="572">
      <c r="D572" s="310"/>
      <c r="E572" s="311"/>
      <c r="L572" s="658"/>
    </row>
    <row r="573">
      <c r="D573" s="310"/>
      <c r="E573" s="311"/>
      <c r="L573" s="658"/>
    </row>
    <row r="574">
      <c r="D574" s="310"/>
      <c r="E574" s="311"/>
      <c r="L574" s="658"/>
    </row>
    <row r="575">
      <c r="D575" s="310"/>
      <c r="E575" s="311"/>
      <c r="L575" s="658"/>
    </row>
    <row r="576">
      <c r="D576" s="310"/>
      <c r="E576" s="311"/>
      <c r="L576" s="658"/>
    </row>
    <row r="577">
      <c r="D577" s="310"/>
      <c r="E577" s="311"/>
      <c r="L577" s="658"/>
    </row>
    <row r="578">
      <c r="D578" s="310"/>
      <c r="E578" s="311"/>
      <c r="L578" s="658"/>
    </row>
    <row r="579">
      <c r="D579" s="310"/>
      <c r="E579" s="311"/>
      <c r="L579" s="658"/>
    </row>
    <row r="580">
      <c r="D580" s="310"/>
      <c r="E580" s="311"/>
      <c r="L580" s="658"/>
    </row>
    <row r="581">
      <c r="D581" s="310"/>
      <c r="E581" s="311"/>
      <c r="L581" s="658"/>
    </row>
    <row r="582">
      <c r="D582" s="310"/>
      <c r="E582" s="311"/>
      <c r="L582" s="658"/>
    </row>
    <row r="583">
      <c r="D583" s="310"/>
      <c r="E583" s="311"/>
      <c r="L583" s="658"/>
    </row>
    <row r="584">
      <c r="D584" s="310"/>
      <c r="E584" s="311"/>
      <c r="L584" s="658"/>
    </row>
    <row r="585">
      <c r="D585" s="310"/>
      <c r="E585" s="311"/>
      <c r="L585" s="658"/>
    </row>
    <row r="586">
      <c r="D586" s="310"/>
      <c r="E586" s="311"/>
      <c r="L586" s="658"/>
    </row>
    <row r="587">
      <c r="D587" s="310"/>
      <c r="E587" s="311"/>
      <c r="L587" s="658"/>
    </row>
    <row r="588">
      <c r="D588" s="310"/>
      <c r="E588" s="311"/>
      <c r="L588" s="658"/>
    </row>
    <row r="589">
      <c r="D589" s="310"/>
      <c r="E589" s="311"/>
      <c r="L589" s="658"/>
    </row>
    <row r="590">
      <c r="D590" s="310"/>
      <c r="E590" s="311"/>
      <c r="L590" s="658"/>
    </row>
    <row r="591">
      <c r="D591" s="310"/>
      <c r="E591" s="311"/>
      <c r="L591" s="658"/>
    </row>
    <row r="592">
      <c r="D592" s="310"/>
      <c r="E592" s="311"/>
      <c r="L592" s="658"/>
    </row>
    <row r="593">
      <c r="D593" s="310"/>
      <c r="E593" s="311"/>
      <c r="L593" s="658"/>
    </row>
    <row r="594">
      <c r="D594" s="310"/>
      <c r="E594" s="311"/>
      <c r="L594" s="658"/>
    </row>
    <row r="595">
      <c r="D595" s="310"/>
      <c r="E595" s="311"/>
      <c r="L595" s="658"/>
    </row>
    <row r="596">
      <c r="D596" s="310"/>
      <c r="E596" s="311"/>
      <c r="L596" s="658"/>
    </row>
    <row r="597">
      <c r="D597" s="310"/>
      <c r="E597" s="311"/>
      <c r="L597" s="658"/>
    </row>
    <row r="598">
      <c r="D598" s="310"/>
      <c r="E598" s="311"/>
      <c r="L598" s="658"/>
    </row>
    <row r="599">
      <c r="D599" s="310"/>
      <c r="E599" s="311"/>
      <c r="L599" s="658"/>
    </row>
    <row r="600">
      <c r="D600" s="310"/>
      <c r="E600" s="311"/>
      <c r="L600" s="658"/>
    </row>
    <row r="601">
      <c r="D601" s="310"/>
      <c r="E601" s="311"/>
      <c r="L601" s="658"/>
    </row>
    <row r="602">
      <c r="D602" s="310"/>
      <c r="E602" s="311"/>
      <c r="L602" s="658"/>
    </row>
    <row r="603">
      <c r="D603" s="310"/>
      <c r="E603" s="311"/>
      <c r="L603" s="658"/>
    </row>
    <row r="604">
      <c r="D604" s="310"/>
      <c r="E604" s="311"/>
      <c r="L604" s="658"/>
    </row>
    <row r="605">
      <c r="D605" s="310"/>
      <c r="E605" s="311"/>
      <c r="L605" s="658"/>
    </row>
    <row r="606">
      <c r="D606" s="310"/>
      <c r="E606" s="311"/>
      <c r="L606" s="658"/>
    </row>
    <row r="607">
      <c r="D607" s="310"/>
      <c r="E607" s="311"/>
      <c r="L607" s="658"/>
    </row>
    <row r="608">
      <c r="D608" s="310"/>
      <c r="E608" s="311"/>
      <c r="L608" s="658"/>
    </row>
    <row r="609">
      <c r="D609" s="310"/>
      <c r="E609" s="311"/>
      <c r="L609" s="658"/>
    </row>
    <row r="610">
      <c r="D610" s="310"/>
      <c r="E610" s="311"/>
      <c r="L610" s="658"/>
    </row>
    <row r="611">
      <c r="D611" s="310"/>
      <c r="E611" s="311"/>
      <c r="L611" s="658"/>
    </row>
    <row r="612">
      <c r="D612" s="310"/>
      <c r="E612" s="311"/>
      <c r="L612" s="658"/>
    </row>
    <row r="613">
      <c r="D613" s="310"/>
      <c r="E613" s="311"/>
      <c r="L613" s="658"/>
    </row>
    <row r="614">
      <c r="D614" s="310"/>
      <c r="E614" s="311"/>
      <c r="L614" s="658"/>
    </row>
    <row r="615">
      <c r="D615" s="310"/>
      <c r="E615" s="311"/>
      <c r="L615" s="658"/>
    </row>
    <row r="616">
      <c r="D616" s="310"/>
      <c r="E616" s="311"/>
      <c r="L616" s="658"/>
    </row>
    <row r="617">
      <c r="D617" s="310"/>
      <c r="E617" s="311"/>
      <c r="L617" s="658"/>
    </row>
    <row r="618">
      <c r="D618" s="310"/>
      <c r="E618" s="311"/>
      <c r="L618" s="658"/>
    </row>
    <row r="619">
      <c r="D619" s="310"/>
      <c r="E619" s="311"/>
      <c r="L619" s="658"/>
    </row>
    <row r="620">
      <c r="D620" s="310"/>
      <c r="E620" s="311"/>
      <c r="L620" s="658"/>
    </row>
    <row r="621">
      <c r="D621" s="310"/>
      <c r="E621" s="311"/>
      <c r="L621" s="658"/>
    </row>
    <row r="622">
      <c r="D622" s="310"/>
      <c r="E622" s="311"/>
      <c r="L622" s="658"/>
    </row>
    <row r="623">
      <c r="D623" s="310"/>
      <c r="E623" s="311"/>
      <c r="L623" s="658"/>
    </row>
    <row r="624">
      <c r="D624" s="310"/>
      <c r="E624" s="311"/>
      <c r="L624" s="658"/>
    </row>
    <row r="625">
      <c r="D625" s="310"/>
      <c r="E625" s="311"/>
      <c r="L625" s="658"/>
    </row>
    <row r="626">
      <c r="D626" s="310"/>
      <c r="E626" s="311"/>
      <c r="L626" s="658"/>
    </row>
    <row r="627">
      <c r="D627" s="310"/>
      <c r="E627" s="311"/>
      <c r="L627" s="658"/>
    </row>
    <row r="628">
      <c r="D628" s="310"/>
      <c r="E628" s="311"/>
      <c r="L628" s="658"/>
    </row>
    <row r="629">
      <c r="D629" s="310"/>
      <c r="E629" s="311"/>
      <c r="L629" s="658"/>
    </row>
    <row r="630">
      <c r="D630" s="310"/>
      <c r="E630" s="311"/>
      <c r="L630" s="658"/>
    </row>
    <row r="631">
      <c r="D631" s="310"/>
      <c r="E631" s="311"/>
      <c r="L631" s="658"/>
    </row>
    <row r="632">
      <c r="D632" s="310"/>
      <c r="E632" s="311"/>
      <c r="L632" s="658"/>
    </row>
    <row r="633">
      <c r="D633" s="310"/>
      <c r="E633" s="311"/>
      <c r="L633" s="658"/>
    </row>
    <row r="634">
      <c r="D634" s="310"/>
      <c r="E634" s="311"/>
      <c r="L634" s="658"/>
    </row>
    <row r="635">
      <c r="D635" s="310"/>
      <c r="E635" s="311"/>
      <c r="L635" s="658"/>
    </row>
    <row r="636">
      <c r="D636" s="310"/>
      <c r="E636" s="311"/>
      <c r="L636" s="658"/>
    </row>
    <row r="637">
      <c r="D637" s="310"/>
      <c r="E637" s="311"/>
      <c r="L637" s="658"/>
    </row>
    <row r="638">
      <c r="D638" s="310"/>
      <c r="E638" s="311"/>
      <c r="L638" s="658"/>
    </row>
    <row r="639">
      <c r="D639" s="310"/>
      <c r="E639" s="311"/>
      <c r="L639" s="658"/>
    </row>
    <row r="640">
      <c r="D640" s="310"/>
      <c r="E640" s="311"/>
      <c r="L640" s="658"/>
    </row>
    <row r="641">
      <c r="D641" s="310"/>
      <c r="E641" s="311"/>
      <c r="L641" s="658"/>
    </row>
    <row r="642">
      <c r="D642" s="310"/>
      <c r="E642" s="311"/>
      <c r="L642" s="658"/>
    </row>
    <row r="643">
      <c r="D643" s="310"/>
      <c r="E643" s="311"/>
      <c r="L643" s="658"/>
    </row>
    <row r="644">
      <c r="D644" s="310"/>
      <c r="E644" s="311"/>
      <c r="L644" s="658"/>
    </row>
    <row r="645">
      <c r="D645" s="310"/>
      <c r="E645" s="311"/>
      <c r="L645" s="658"/>
    </row>
    <row r="646">
      <c r="D646" s="310"/>
      <c r="E646" s="311"/>
      <c r="L646" s="658"/>
    </row>
    <row r="647">
      <c r="D647" s="310"/>
      <c r="E647" s="311"/>
      <c r="L647" s="658"/>
    </row>
    <row r="648">
      <c r="D648" s="310"/>
      <c r="E648" s="311"/>
      <c r="L648" s="658"/>
    </row>
    <row r="649">
      <c r="D649" s="310"/>
      <c r="E649" s="311"/>
      <c r="L649" s="658"/>
    </row>
    <row r="650">
      <c r="D650" s="310"/>
      <c r="E650" s="311"/>
      <c r="L650" s="658"/>
    </row>
    <row r="651">
      <c r="D651" s="310"/>
      <c r="E651" s="311"/>
      <c r="L651" s="658"/>
    </row>
    <row r="652">
      <c r="D652" s="310"/>
      <c r="E652" s="311"/>
      <c r="L652" s="658"/>
    </row>
    <row r="653">
      <c r="D653" s="310"/>
      <c r="E653" s="311"/>
      <c r="L653" s="658"/>
    </row>
    <row r="654">
      <c r="D654" s="310"/>
      <c r="E654" s="311"/>
      <c r="L654" s="658"/>
    </row>
    <row r="655">
      <c r="D655" s="310"/>
      <c r="E655" s="311"/>
      <c r="L655" s="658"/>
    </row>
    <row r="656">
      <c r="D656" s="310"/>
      <c r="E656" s="311"/>
      <c r="L656" s="658"/>
    </row>
    <row r="657">
      <c r="D657" s="310"/>
      <c r="E657" s="311"/>
      <c r="L657" s="658"/>
    </row>
    <row r="658">
      <c r="D658" s="310"/>
      <c r="E658" s="311"/>
      <c r="L658" s="658"/>
    </row>
    <row r="659">
      <c r="D659" s="310"/>
      <c r="E659" s="311"/>
      <c r="L659" s="658"/>
    </row>
    <row r="660">
      <c r="D660" s="310"/>
      <c r="E660" s="311"/>
      <c r="L660" s="658"/>
    </row>
    <row r="661">
      <c r="D661" s="310"/>
      <c r="E661" s="311"/>
      <c r="L661" s="658"/>
    </row>
    <row r="662">
      <c r="D662" s="310"/>
      <c r="E662" s="311"/>
      <c r="L662" s="658"/>
    </row>
    <row r="663">
      <c r="D663" s="310"/>
      <c r="E663" s="311"/>
      <c r="L663" s="658"/>
    </row>
    <row r="664">
      <c r="D664" s="310"/>
      <c r="E664" s="311"/>
      <c r="L664" s="658"/>
    </row>
    <row r="665">
      <c r="D665" s="310"/>
      <c r="E665" s="311"/>
      <c r="L665" s="658"/>
    </row>
    <row r="666">
      <c r="D666" s="310"/>
      <c r="E666" s="311"/>
      <c r="L666" s="658"/>
    </row>
    <row r="667">
      <c r="D667" s="310"/>
      <c r="E667" s="311"/>
      <c r="L667" s="658"/>
    </row>
    <row r="668">
      <c r="D668" s="310"/>
      <c r="E668" s="311"/>
      <c r="L668" s="658"/>
    </row>
    <row r="669">
      <c r="D669" s="310"/>
      <c r="E669" s="311"/>
      <c r="L669" s="658"/>
    </row>
    <row r="670">
      <c r="D670" s="310"/>
      <c r="E670" s="311"/>
      <c r="L670" s="658"/>
    </row>
    <row r="671">
      <c r="D671" s="310"/>
      <c r="E671" s="311"/>
      <c r="L671" s="658"/>
    </row>
    <row r="672">
      <c r="D672" s="310"/>
      <c r="E672" s="311"/>
      <c r="L672" s="658"/>
    </row>
    <row r="673">
      <c r="D673" s="310"/>
      <c r="E673" s="311"/>
      <c r="L673" s="658"/>
    </row>
    <row r="674">
      <c r="D674" s="310"/>
      <c r="E674" s="311"/>
      <c r="L674" s="658"/>
    </row>
    <row r="675">
      <c r="D675" s="310"/>
      <c r="E675" s="311"/>
      <c r="L675" s="658"/>
    </row>
    <row r="676">
      <c r="D676" s="310"/>
      <c r="E676" s="311"/>
      <c r="L676" s="658"/>
    </row>
    <row r="677">
      <c r="D677" s="310"/>
      <c r="E677" s="311"/>
      <c r="L677" s="658"/>
    </row>
    <row r="678">
      <c r="D678" s="310"/>
      <c r="E678" s="311"/>
      <c r="L678" s="658"/>
    </row>
    <row r="679">
      <c r="D679" s="310"/>
      <c r="E679" s="311"/>
      <c r="L679" s="658"/>
    </row>
    <row r="680">
      <c r="D680" s="310"/>
      <c r="E680" s="311"/>
      <c r="L680" s="658"/>
    </row>
    <row r="681">
      <c r="D681" s="310"/>
      <c r="E681" s="311"/>
      <c r="L681" s="658"/>
    </row>
    <row r="682">
      <c r="D682" s="310"/>
      <c r="E682" s="311"/>
      <c r="L682" s="658"/>
    </row>
    <row r="683">
      <c r="D683" s="310"/>
      <c r="E683" s="311"/>
      <c r="L683" s="658"/>
    </row>
    <row r="684">
      <c r="D684" s="310"/>
      <c r="E684" s="311"/>
      <c r="L684" s="658"/>
    </row>
    <row r="685">
      <c r="D685" s="310"/>
      <c r="E685" s="311"/>
      <c r="L685" s="658"/>
    </row>
    <row r="686">
      <c r="D686" s="310"/>
      <c r="E686" s="311"/>
      <c r="L686" s="658"/>
    </row>
    <row r="687">
      <c r="D687" s="310"/>
      <c r="E687" s="311"/>
      <c r="L687" s="658"/>
    </row>
    <row r="688">
      <c r="D688" s="310"/>
      <c r="E688" s="311"/>
      <c r="L688" s="658"/>
    </row>
    <row r="689">
      <c r="D689" s="310"/>
      <c r="E689" s="311"/>
      <c r="L689" s="658"/>
    </row>
    <row r="690">
      <c r="D690" s="310"/>
      <c r="E690" s="311"/>
      <c r="L690" s="658"/>
    </row>
    <row r="691">
      <c r="D691" s="310"/>
      <c r="E691" s="311"/>
      <c r="L691" s="658"/>
    </row>
    <row r="692">
      <c r="D692" s="310"/>
      <c r="E692" s="311"/>
      <c r="L692" s="658"/>
    </row>
    <row r="693">
      <c r="D693" s="310"/>
      <c r="E693" s="311"/>
      <c r="L693" s="658"/>
    </row>
    <row r="694">
      <c r="D694" s="310"/>
      <c r="E694" s="311"/>
      <c r="L694" s="658"/>
    </row>
    <row r="695">
      <c r="D695" s="310"/>
      <c r="E695" s="311"/>
      <c r="L695" s="658"/>
    </row>
    <row r="696">
      <c r="D696" s="310"/>
      <c r="E696" s="311"/>
      <c r="L696" s="658"/>
    </row>
    <row r="697">
      <c r="D697" s="310"/>
      <c r="E697" s="311"/>
      <c r="L697" s="658"/>
    </row>
    <row r="698">
      <c r="D698" s="310"/>
      <c r="E698" s="311"/>
      <c r="L698" s="658"/>
    </row>
    <row r="699">
      <c r="D699" s="310"/>
      <c r="E699" s="311"/>
      <c r="L699" s="658"/>
    </row>
    <row r="700">
      <c r="D700" s="310"/>
      <c r="E700" s="311"/>
      <c r="L700" s="658"/>
    </row>
    <row r="701">
      <c r="D701" s="310"/>
      <c r="E701" s="311"/>
      <c r="L701" s="658"/>
    </row>
    <row r="702">
      <c r="D702" s="310"/>
      <c r="E702" s="311"/>
      <c r="L702" s="658"/>
    </row>
    <row r="703">
      <c r="D703" s="310"/>
      <c r="E703" s="311"/>
      <c r="L703" s="658"/>
    </row>
    <row r="704">
      <c r="D704" s="310"/>
      <c r="E704" s="311"/>
      <c r="L704" s="658"/>
    </row>
    <row r="705">
      <c r="D705" s="310"/>
      <c r="E705" s="311"/>
      <c r="L705" s="658"/>
    </row>
    <row r="706">
      <c r="D706" s="310"/>
      <c r="E706" s="311"/>
      <c r="L706" s="658"/>
    </row>
    <row r="707">
      <c r="D707" s="310"/>
      <c r="E707" s="311"/>
      <c r="L707" s="658"/>
    </row>
    <row r="708">
      <c r="D708" s="310"/>
      <c r="E708" s="311"/>
      <c r="L708" s="658"/>
    </row>
    <row r="709">
      <c r="D709" s="310"/>
      <c r="E709" s="311"/>
      <c r="L709" s="658"/>
    </row>
    <row r="710">
      <c r="D710" s="310"/>
      <c r="E710" s="311"/>
      <c r="L710" s="658"/>
    </row>
    <row r="711">
      <c r="D711" s="310"/>
      <c r="E711" s="311"/>
      <c r="L711" s="658"/>
    </row>
    <row r="712">
      <c r="D712" s="310"/>
      <c r="E712" s="311"/>
      <c r="L712" s="658"/>
    </row>
    <row r="713">
      <c r="D713" s="310"/>
      <c r="E713" s="311"/>
      <c r="L713" s="658"/>
    </row>
    <row r="714">
      <c r="D714" s="310"/>
      <c r="E714" s="311"/>
      <c r="L714" s="658"/>
    </row>
    <row r="715">
      <c r="L715" s="658"/>
    </row>
    <row r="716">
      <c r="L716" s="658"/>
    </row>
    <row r="717">
      <c r="L717" s="658"/>
    </row>
    <row r="718">
      <c r="L718" s="658"/>
    </row>
    <row r="719">
      <c r="L719" s="658"/>
    </row>
    <row r="720">
      <c r="L720" s="658"/>
    </row>
    <row r="721">
      <c r="L721" s="658"/>
    </row>
    <row r="722">
      <c r="L722" s="658"/>
    </row>
    <row r="723">
      <c r="L723" s="658"/>
    </row>
    <row r="724">
      <c r="L724" s="658"/>
    </row>
    <row r="725">
      <c r="L725" s="658"/>
    </row>
    <row r="726">
      <c r="L726" s="658"/>
    </row>
    <row r="727">
      <c r="L727" s="658"/>
    </row>
    <row r="728">
      <c r="L728" s="658"/>
    </row>
    <row r="729">
      <c r="L729" s="658"/>
    </row>
    <row r="730">
      <c r="L730" s="658"/>
    </row>
    <row r="731">
      <c r="L731" s="658"/>
    </row>
    <row r="732">
      <c r="L732" s="658"/>
    </row>
    <row r="733">
      <c r="L733" s="658"/>
    </row>
    <row r="734">
      <c r="L734" s="658"/>
    </row>
    <row r="735">
      <c r="L735" s="658"/>
    </row>
    <row r="736">
      <c r="L736" s="658"/>
    </row>
    <row r="737">
      <c r="L737" s="658"/>
    </row>
    <row r="738">
      <c r="L738" s="658"/>
    </row>
    <row r="739">
      <c r="L739" s="658"/>
    </row>
    <row r="740">
      <c r="L740" s="658"/>
    </row>
    <row r="741">
      <c r="L741" s="658"/>
    </row>
    <row r="742">
      <c r="L742" s="658"/>
    </row>
    <row r="743">
      <c r="L743" s="658"/>
    </row>
    <row r="744">
      <c r="L744" s="658"/>
    </row>
    <row r="745">
      <c r="L745" s="658"/>
    </row>
    <row r="746">
      <c r="L746" s="658"/>
    </row>
    <row r="747">
      <c r="L747" s="658"/>
    </row>
    <row r="748">
      <c r="L748" s="658"/>
    </row>
    <row r="749">
      <c r="L749" s="658"/>
    </row>
    <row r="750">
      <c r="L750" s="658"/>
    </row>
    <row r="751">
      <c r="L751" s="658"/>
    </row>
    <row r="752">
      <c r="L752" s="658"/>
    </row>
    <row r="753">
      <c r="L753" s="658"/>
    </row>
    <row r="754">
      <c r="L754" s="658"/>
    </row>
    <row r="755">
      <c r="L755" s="658"/>
    </row>
    <row r="756">
      <c r="L756" s="658"/>
    </row>
    <row r="757">
      <c r="L757" s="658"/>
    </row>
    <row r="758">
      <c r="L758" s="658"/>
    </row>
    <row r="759">
      <c r="L759" s="658"/>
    </row>
    <row r="760">
      <c r="L760" s="658"/>
    </row>
    <row r="761">
      <c r="L761" s="658"/>
    </row>
    <row r="762">
      <c r="L762" s="658"/>
    </row>
    <row r="763">
      <c r="L763" s="658"/>
    </row>
    <row r="764">
      <c r="L764" s="658"/>
    </row>
    <row r="765">
      <c r="L765" s="658"/>
    </row>
    <row r="766">
      <c r="L766" s="658"/>
    </row>
    <row r="767">
      <c r="L767" s="658"/>
    </row>
    <row r="768">
      <c r="L768" s="658"/>
    </row>
    <row r="769">
      <c r="L769" s="658"/>
    </row>
    <row r="770">
      <c r="L770" s="658"/>
    </row>
    <row r="771">
      <c r="L771" s="658"/>
    </row>
    <row r="772">
      <c r="L772" s="658"/>
    </row>
    <row r="773">
      <c r="L773" s="658"/>
    </row>
    <row r="774">
      <c r="L774" s="658"/>
    </row>
  </sheetData>
  <autoFilter ref="$A$1:$Q$93"/>
  <mergeCells count="48">
    <mergeCell ref="G2:H2"/>
    <mergeCell ref="G3:H3"/>
    <mergeCell ref="G5:H5"/>
    <mergeCell ref="G6:H6"/>
    <mergeCell ref="G7:H7"/>
    <mergeCell ref="G8:H8"/>
    <mergeCell ref="G9:H9"/>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8:H28"/>
    <mergeCell ref="G29:H29"/>
    <mergeCell ref="G30:H30"/>
    <mergeCell ref="G31:H31"/>
    <mergeCell ref="G32:H32"/>
    <mergeCell ref="G33:H33"/>
    <mergeCell ref="G34:H34"/>
    <mergeCell ref="G35:H35"/>
    <mergeCell ref="G36:H36"/>
    <mergeCell ref="G37:H37"/>
    <mergeCell ref="G38:H38"/>
    <mergeCell ref="G39:H39"/>
    <mergeCell ref="G40:H40"/>
    <mergeCell ref="G52:H52"/>
    <mergeCell ref="G53:H53"/>
    <mergeCell ref="G54:H54"/>
    <mergeCell ref="G56:H56"/>
    <mergeCell ref="G57:H57"/>
    <mergeCell ref="G58:H58"/>
    <mergeCell ref="G42:H42"/>
    <mergeCell ref="G43:H43"/>
    <mergeCell ref="G45:H45"/>
    <mergeCell ref="G46:H46"/>
    <mergeCell ref="G48:H48"/>
    <mergeCell ref="G50:H50"/>
    <mergeCell ref="G51:H51"/>
  </mergeCells>
  <conditionalFormatting sqref="K1 K94:K774">
    <cfRule type="expression" dxfId="0" priority="1">
      <formula>K1&lt;45748.0</formula>
    </cfRule>
  </conditionalFormatting>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4" max="4" width="23.75"/>
    <col customWidth="1" min="5" max="5" width="38.25"/>
    <col customWidth="1" min="9" max="9" width="21.25"/>
    <col customWidth="1" min="11" max="11" width="14.0"/>
    <col customWidth="1" min="12" max="12" width="18.38"/>
  </cols>
  <sheetData>
    <row r="1">
      <c r="A1" s="366" t="s">
        <v>0</v>
      </c>
      <c r="B1" s="366" t="s">
        <v>1</v>
      </c>
      <c r="C1" s="366" t="s">
        <v>2</v>
      </c>
      <c r="D1" s="366" t="s">
        <v>603</v>
      </c>
      <c r="E1" s="366" t="s">
        <v>604</v>
      </c>
      <c r="F1" s="366" t="s">
        <v>4</v>
      </c>
      <c r="G1" s="366" t="s">
        <v>5</v>
      </c>
      <c r="H1" s="366" t="s">
        <v>6</v>
      </c>
      <c r="I1" s="366" t="s">
        <v>7</v>
      </c>
      <c r="J1" s="366" t="s">
        <v>8</v>
      </c>
      <c r="K1" s="660" t="s">
        <v>9</v>
      </c>
      <c r="L1" s="366" t="s">
        <v>10</v>
      </c>
      <c r="M1" s="366" t="s">
        <v>11</v>
      </c>
      <c r="N1" s="366" t="s">
        <v>12</v>
      </c>
    </row>
    <row r="2">
      <c r="A2" s="661" t="s">
        <v>16</v>
      </c>
      <c r="B2" s="662">
        <v>4320.0</v>
      </c>
      <c r="C2" s="663" t="s">
        <v>763</v>
      </c>
      <c r="D2" s="662">
        <v>0.0</v>
      </c>
      <c r="E2" s="661" t="s">
        <v>785</v>
      </c>
      <c r="F2" s="661" t="s">
        <v>822</v>
      </c>
      <c r="G2" s="661" t="s">
        <v>787</v>
      </c>
      <c r="H2" s="664"/>
      <c r="I2" s="665">
        <v>38089.0</v>
      </c>
      <c r="J2" s="666">
        <v>45789.0</v>
      </c>
      <c r="K2" s="660" t="s">
        <v>947</v>
      </c>
      <c r="L2" s="611">
        <f>iferror(VLOOKUP(E2,'September 2025 Reference AI'!E:R,8,false),0)</f>
        <v>30</v>
      </c>
      <c r="M2" s="667">
        <v>45901.0</v>
      </c>
      <c r="N2" s="667">
        <v>45930.0</v>
      </c>
    </row>
    <row r="3">
      <c r="A3" s="661" t="s">
        <v>16</v>
      </c>
      <c r="B3" s="662">
        <v>4320.0</v>
      </c>
      <c r="C3" s="663" t="s">
        <v>763</v>
      </c>
      <c r="D3" s="662">
        <v>0.0</v>
      </c>
      <c r="E3" s="661" t="s">
        <v>261</v>
      </c>
      <c r="F3" s="661" t="s">
        <v>262</v>
      </c>
      <c r="G3" s="661" t="s">
        <v>263</v>
      </c>
      <c r="H3" s="664"/>
      <c r="I3" s="668">
        <v>36529.0</v>
      </c>
      <c r="J3" s="668">
        <v>45505.0</v>
      </c>
      <c r="K3" s="660">
        <v>45604.0</v>
      </c>
      <c r="L3" s="611">
        <f>iferror(VLOOKUP(E3,'September 2025 Reference AI'!E:R,8,false),0)</f>
        <v>0</v>
      </c>
      <c r="M3" s="667">
        <v>45901.0</v>
      </c>
      <c r="N3" s="667">
        <v>45930.0</v>
      </c>
    </row>
    <row r="4">
      <c r="A4" s="661" t="s">
        <v>16</v>
      </c>
      <c r="B4" s="662">
        <v>4320.0</v>
      </c>
      <c r="C4" s="663" t="s">
        <v>763</v>
      </c>
      <c r="D4" s="662">
        <v>0.0</v>
      </c>
      <c r="E4" s="661" t="s">
        <v>436</v>
      </c>
      <c r="F4" s="661" t="s">
        <v>362</v>
      </c>
      <c r="G4" s="661" t="s">
        <v>363</v>
      </c>
      <c r="H4" s="664"/>
      <c r="I4" s="665">
        <v>37149.0</v>
      </c>
      <c r="J4" s="668">
        <v>45397.0</v>
      </c>
      <c r="K4" s="660" t="s">
        <v>947</v>
      </c>
      <c r="L4" s="611">
        <f>iferror(VLOOKUP(E4,'September 2025 Reference AI'!E:R,8,false),0)</f>
        <v>30</v>
      </c>
      <c r="M4" s="667">
        <v>45901.0</v>
      </c>
      <c r="N4" s="667">
        <v>45930.0</v>
      </c>
    </row>
    <row r="5">
      <c r="A5" s="661" t="s">
        <v>16</v>
      </c>
      <c r="B5" s="662">
        <v>4320.0</v>
      </c>
      <c r="C5" s="663" t="s">
        <v>763</v>
      </c>
      <c r="D5" s="662">
        <v>0.0</v>
      </c>
      <c r="E5" s="661" t="s">
        <v>753</v>
      </c>
      <c r="F5" s="661" t="s">
        <v>754</v>
      </c>
      <c r="G5" s="661" t="s">
        <v>689</v>
      </c>
      <c r="H5" s="664"/>
      <c r="I5" s="665">
        <v>37214.0</v>
      </c>
      <c r="J5" s="668">
        <v>45691.0</v>
      </c>
      <c r="K5" s="660">
        <v>45848.0</v>
      </c>
      <c r="L5" s="611">
        <f>iferror(VLOOKUP(E5,'September 2025 Reference AI'!E:R,8,false),0)</f>
        <v>0</v>
      </c>
      <c r="M5" s="667">
        <v>45901.0</v>
      </c>
      <c r="N5" s="667">
        <v>45930.0</v>
      </c>
    </row>
    <row r="6">
      <c r="A6" s="661" t="s">
        <v>16</v>
      </c>
      <c r="B6" s="662">
        <v>4320.0</v>
      </c>
      <c r="C6" s="663" t="s">
        <v>763</v>
      </c>
      <c r="D6" s="662">
        <v>0.0</v>
      </c>
      <c r="E6" s="661" t="s">
        <v>310</v>
      </c>
      <c r="F6" s="661" t="s">
        <v>311</v>
      </c>
      <c r="G6" s="661" t="s">
        <v>312</v>
      </c>
      <c r="H6" s="664"/>
      <c r="I6" s="665">
        <v>36529.0</v>
      </c>
      <c r="J6" s="665">
        <v>45362.0</v>
      </c>
      <c r="K6" s="660">
        <v>45443.0</v>
      </c>
      <c r="L6" s="611">
        <f>iferror(VLOOKUP(E6,'September 2025 Reference AI'!E:R,8,false),0)</f>
        <v>0</v>
      </c>
      <c r="M6" s="667">
        <v>45901.0</v>
      </c>
      <c r="N6" s="667">
        <v>45930.0</v>
      </c>
    </row>
    <row r="7">
      <c r="A7" s="661" t="s">
        <v>16</v>
      </c>
      <c r="B7" s="662">
        <v>4320.0</v>
      </c>
      <c r="C7" s="663" t="s">
        <v>763</v>
      </c>
      <c r="D7" s="662">
        <v>0.0</v>
      </c>
      <c r="E7" s="669" t="s">
        <v>851</v>
      </c>
      <c r="F7" s="670" t="s">
        <v>852</v>
      </c>
      <c r="G7" s="670" t="s">
        <v>853</v>
      </c>
      <c r="H7" s="671"/>
      <c r="I7" s="672">
        <v>36113.0</v>
      </c>
      <c r="J7" s="672">
        <v>45810.0</v>
      </c>
      <c r="K7" s="660" t="s">
        <v>947</v>
      </c>
      <c r="L7" s="611">
        <f>iferror(VLOOKUP(E7,'September 2025 Reference AI'!E:R,8,false),0)</f>
        <v>30</v>
      </c>
      <c r="M7" s="667">
        <v>45901.0</v>
      </c>
      <c r="N7" s="667">
        <v>45930.0</v>
      </c>
    </row>
    <row r="8">
      <c r="A8" s="661" t="s">
        <v>16</v>
      </c>
      <c r="B8" s="662">
        <v>4320.0</v>
      </c>
      <c r="C8" s="663" t="s">
        <v>763</v>
      </c>
      <c r="D8" s="662">
        <v>0.0</v>
      </c>
      <c r="E8" s="661" t="s">
        <v>437</v>
      </c>
      <c r="F8" s="661" t="s">
        <v>22</v>
      </c>
      <c r="G8" s="661" t="s">
        <v>23</v>
      </c>
      <c r="H8" s="664"/>
      <c r="I8" s="668">
        <v>36358.0</v>
      </c>
      <c r="J8" s="673">
        <v>45027.0</v>
      </c>
      <c r="K8" s="660">
        <v>45603.0</v>
      </c>
      <c r="L8" s="611">
        <f>iferror(VLOOKUP(E8,'September 2025 Reference AI'!E:R,8,false),0)</f>
        <v>0</v>
      </c>
      <c r="M8" s="667">
        <v>45901.0</v>
      </c>
      <c r="N8" s="667">
        <v>45930.0</v>
      </c>
    </row>
    <row r="9">
      <c r="A9" s="661" t="s">
        <v>16</v>
      </c>
      <c r="B9" s="662">
        <v>4320.0</v>
      </c>
      <c r="C9" s="663" t="s">
        <v>763</v>
      </c>
      <c r="D9" s="662">
        <v>0.0</v>
      </c>
      <c r="E9" s="661" t="s">
        <v>561</v>
      </c>
      <c r="F9" s="661" t="s">
        <v>562</v>
      </c>
      <c r="G9" s="661" t="s">
        <v>563</v>
      </c>
      <c r="H9" s="664"/>
      <c r="I9" s="665">
        <v>36879.0</v>
      </c>
      <c r="J9" s="668">
        <v>45670.0</v>
      </c>
      <c r="K9" s="660">
        <v>45762.0</v>
      </c>
      <c r="L9" s="611">
        <f>iferror(VLOOKUP(E9,'September 2025 Reference AI'!E:R,8,false),0)</f>
        <v>0</v>
      </c>
      <c r="M9" s="667">
        <v>45901.0</v>
      </c>
      <c r="N9" s="667">
        <v>45930.0</v>
      </c>
    </row>
    <row r="10">
      <c r="A10" s="661" t="s">
        <v>16</v>
      </c>
      <c r="B10" s="662">
        <v>4320.0</v>
      </c>
      <c r="C10" s="663" t="s">
        <v>763</v>
      </c>
      <c r="D10" s="662">
        <v>0.0</v>
      </c>
      <c r="E10" s="661" t="s">
        <v>791</v>
      </c>
      <c r="F10" s="661" t="s">
        <v>821</v>
      </c>
      <c r="G10" s="661" t="s">
        <v>793</v>
      </c>
      <c r="H10" s="664"/>
      <c r="I10" s="665">
        <v>36197.0</v>
      </c>
      <c r="J10" s="666">
        <v>45782.0</v>
      </c>
      <c r="K10" s="660" t="s">
        <v>947</v>
      </c>
      <c r="L10" s="611">
        <f>iferror(VLOOKUP(E10,'September 2025 Reference AI'!E:R,8,false),0)</f>
        <v>30</v>
      </c>
      <c r="M10" s="667">
        <v>45901.0</v>
      </c>
      <c r="N10" s="667">
        <v>45930.0</v>
      </c>
    </row>
    <row r="11">
      <c r="A11" s="661" t="s">
        <v>16</v>
      </c>
      <c r="B11" s="662">
        <v>4320.0</v>
      </c>
      <c r="C11" s="663" t="s">
        <v>763</v>
      </c>
      <c r="D11" s="662">
        <v>0.0</v>
      </c>
      <c r="E11" s="661" t="s">
        <v>605</v>
      </c>
      <c r="F11" s="661" t="s">
        <v>25</v>
      </c>
      <c r="G11" s="661" t="s">
        <v>26</v>
      </c>
      <c r="H11" s="664"/>
      <c r="I11" s="674">
        <v>36860.0</v>
      </c>
      <c r="J11" s="668">
        <v>45124.0</v>
      </c>
      <c r="K11" s="660">
        <v>45527.0</v>
      </c>
      <c r="L11" s="611">
        <f>iferror(VLOOKUP(E11,'September 2025 Reference AI'!E:R,8,false),0)</f>
        <v>0</v>
      </c>
      <c r="M11" s="667">
        <v>45901.0</v>
      </c>
      <c r="N11" s="667">
        <v>45930.0</v>
      </c>
    </row>
    <row r="12">
      <c r="A12" s="661" t="s">
        <v>16</v>
      </c>
      <c r="B12" s="662">
        <v>4320.0</v>
      </c>
      <c r="C12" s="663" t="s">
        <v>763</v>
      </c>
      <c r="D12" s="662">
        <v>0.0</v>
      </c>
      <c r="E12" s="661" t="s">
        <v>407</v>
      </c>
      <c r="F12" s="661" t="s">
        <v>97</v>
      </c>
      <c r="G12" s="661" t="s">
        <v>98</v>
      </c>
      <c r="H12" s="664"/>
      <c r="I12" s="668">
        <v>36690.0</v>
      </c>
      <c r="J12" s="668">
        <v>44938.0</v>
      </c>
      <c r="K12" s="660" t="s">
        <v>947</v>
      </c>
      <c r="L12" s="611">
        <f>iferror(VLOOKUP(E12,'September 2025 Reference AI'!E:R,8,false),0)</f>
        <v>30</v>
      </c>
      <c r="M12" s="667">
        <v>45901.0</v>
      </c>
      <c r="N12" s="667">
        <v>45930.0</v>
      </c>
    </row>
    <row r="13">
      <c r="A13" s="661" t="s">
        <v>16</v>
      </c>
      <c r="B13" s="662">
        <v>4320.0</v>
      </c>
      <c r="C13" s="663" t="s">
        <v>763</v>
      </c>
      <c r="D13" s="662">
        <v>0.0</v>
      </c>
      <c r="E13" s="661" t="s">
        <v>473</v>
      </c>
      <c r="F13" s="661" t="s">
        <v>530</v>
      </c>
      <c r="G13" s="661" t="s">
        <v>475</v>
      </c>
      <c r="H13" s="664"/>
      <c r="I13" s="668">
        <v>37459.0</v>
      </c>
      <c r="J13" s="665">
        <v>45586.0</v>
      </c>
      <c r="K13" s="660">
        <v>45777.0</v>
      </c>
      <c r="L13" s="611">
        <f>iferror(VLOOKUP(E13,'September 2025 Reference AI'!E:R,8,false),0)</f>
        <v>0</v>
      </c>
      <c r="M13" s="667">
        <v>45901.0</v>
      </c>
      <c r="N13" s="667">
        <v>45930.0</v>
      </c>
    </row>
    <row r="14">
      <c r="A14" s="661" t="s">
        <v>16</v>
      </c>
      <c r="B14" s="662">
        <v>4320.0</v>
      </c>
      <c r="C14" s="663" t="s">
        <v>763</v>
      </c>
      <c r="D14" s="662">
        <v>0.0</v>
      </c>
      <c r="E14" s="661" t="s">
        <v>313</v>
      </c>
      <c r="F14" s="661" t="s">
        <v>314</v>
      </c>
      <c r="G14" s="661" t="s">
        <v>315</v>
      </c>
      <c r="H14" s="664"/>
      <c r="I14" s="668">
        <v>35619.0</v>
      </c>
      <c r="J14" s="665">
        <v>45369.0</v>
      </c>
      <c r="K14" s="660">
        <v>45399.0</v>
      </c>
      <c r="L14" s="611">
        <f>iferror(VLOOKUP(E14,'September 2025 Reference AI'!E:R,8,false),0)</f>
        <v>0</v>
      </c>
      <c r="M14" s="667">
        <v>45901.0</v>
      </c>
      <c r="N14" s="667">
        <v>45930.0</v>
      </c>
    </row>
    <row r="15">
      <c r="A15" s="661" t="s">
        <v>16</v>
      </c>
      <c r="B15" s="662">
        <v>4320.0</v>
      </c>
      <c r="C15" s="663" t="s">
        <v>763</v>
      </c>
      <c r="D15" s="662">
        <v>0.0</v>
      </c>
      <c r="E15" s="661" t="s">
        <v>408</v>
      </c>
      <c r="F15" s="661" t="s">
        <v>409</v>
      </c>
      <c r="G15" s="661" t="s">
        <v>410</v>
      </c>
      <c r="H15" s="664"/>
      <c r="I15" s="665">
        <v>37978.0</v>
      </c>
      <c r="J15" s="668">
        <v>45453.0</v>
      </c>
      <c r="K15" s="660">
        <v>45821.0</v>
      </c>
      <c r="L15" s="611">
        <f>iferror(VLOOKUP(E15,'September 2025 Reference AI'!E:R,8,false),0)</f>
        <v>0</v>
      </c>
      <c r="M15" s="667">
        <v>45901.0</v>
      </c>
      <c r="N15" s="667">
        <v>45930.0</v>
      </c>
    </row>
    <row r="16">
      <c r="A16" s="661" t="s">
        <v>16</v>
      </c>
      <c r="B16" s="662">
        <v>4320.0</v>
      </c>
      <c r="C16" s="663" t="s">
        <v>763</v>
      </c>
      <c r="D16" s="662">
        <v>0.0</v>
      </c>
      <c r="E16" s="663" t="s">
        <v>928</v>
      </c>
      <c r="F16" s="661" t="s">
        <v>731</v>
      </c>
      <c r="G16" s="661" t="s">
        <v>732</v>
      </c>
      <c r="H16" s="664"/>
      <c r="I16" s="665">
        <v>38263.0</v>
      </c>
      <c r="J16" s="665">
        <v>45355.0</v>
      </c>
      <c r="K16" s="660"/>
      <c r="L16" s="611">
        <f>iferror(VLOOKUP(E16,'September 2025 Reference AI'!E:R,8,false),0)</f>
        <v>30</v>
      </c>
      <c r="M16" s="667">
        <v>45901.0</v>
      </c>
      <c r="N16" s="667">
        <v>45930.0</v>
      </c>
    </row>
    <row r="17">
      <c r="A17" s="661" t="s">
        <v>16</v>
      </c>
      <c r="B17" s="662">
        <v>4320.0</v>
      </c>
      <c r="C17" s="663" t="s">
        <v>763</v>
      </c>
      <c r="D17" s="662">
        <v>0.0</v>
      </c>
      <c r="E17" s="661" t="s">
        <v>606</v>
      </c>
      <c r="F17" s="661" t="s">
        <v>607</v>
      </c>
      <c r="G17" s="661" t="s">
        <v>608</v>
      </c>
      <c r="H17" s="664"/>
      <c r="I17" s="665">
        <v>33844.0</v>
      </c>
      <c r="J17" s="666">
        <v>45778.0</v>
      </c>
      <c r="K17" s="660">
        <v>45882.0</v>
      </c>
      <c r="L17" s="611">
        <f>iferror(VLOOKUP(E17,'September 2025 Reference AI'!E:R,8,false),0)</f>
        <v>0</v>
      </c>
      <c r="M17" s="667">
        <v>45901.0</v>
      </c>
      <c r="N17" s="667">
        <v>45930.0</v>
      </c>
    </row>
    <row r="18">
      <c r="A18" s="661" t="s">
        <v>16</v>
      </c>
      <c r="B18" s="662">
        <v>4320.0</v>
      </c>
      <c r="C18" s="663" t="s">
        <v>763</v>
      </c>
      <c r="D18" s="662">
        <v>0.0</v>
      </c>
      <c r="E18" s="661" t="s">
        <v>609</v>
      </c>
      <c r="F18" s="661" t="s">
        <v>31</v>
      </c>
      <c r="G18" s="661" t="s">
        <v>32</v>
      </c>
      <c r="H18" s="664"/>
      <c r="I18" s="668">
        <v>35997.0</v>
      </c>
      <c r="J18" s="666">
        <v>45061.0</v>
      </c>
      <c r="K18" s="660">
        <v>45569.0</v>
      </c>
      <c r="L18" s="611">
        <f>iferror(VLOOKUP(E18,'September 2025 Reference AI'!E:R,8,false),0)</f>
        <v>0</v>
      </c>
      <c r="M18" s="667">
        <v>45901.0</v>
      </c>
      <c r="N18" s="667">
        <v>45930.0</v>
      </c>
    </row>
    <row r="19">
      <c r="A19" s="661" t="s">
        <v>16</v>
      </c>
      <c r="B19" s="662">
        <v>4320.0</v>
      </c>
      <c r="C19" s="663" t="s">
        <v>763</v>
      </c>
      <c r="D19" s="662">
        <v>0.0</v>
      </c>
      <c r="E19" s="661" t="s">
        <v>246</v>
      </c>
      <c r="F19" s="661" t="s">
        <v>247</v>
      </c>
      <c r="G19" s="661" t="s">
        <v>248</v>
      </c>
      <c r="H19" s="664"/>
      <c r="I19" s="668">
        <v>36501.0</v>
      </c>
      <c r="J19" s="665">
        <v>45246.0</v>
      </c>
      <c r="K19" s="660" t="s">
        <v>947</v>
      </c>
      <c r="L19" s="611">
        <f>iferror(VLOOKUP(E19,'September 2025 Reference AI'!E:R,8,false),0)</f>
        <v>30</v>
      </c>
      <c r="M19" s="667">
        <v>45901.0</v>
      </c>
      <c r="N19" s="667">
        <v>45930.0</v>
      </c>
    </row>
    <row r="20">
      <c r="A20" s="661" t="s">
        <v>16</v>
      </c>
      <c r="B20" s="662">
        <v>4320.0</v>
      </c>
      <c r="C20" s="663" t="s">
        <v>763</v>
      </c>
      <c r="D20" s="662">
        <v>0.0</v>
      </c>
      <c r="E20" s="661" t="s">
        <v>380</v>
      </c>
      <c r="F20" s="661" t="s">
        <v>381</v>
      </c>
      <c r="G20" s="661" t="s">
        <v>382</v>
      </c>
      <c r="H20" s="664"/>
      <c r="I20" s="665">
        <v>35669.0</v>
      </c>
      <c r="J20" s="668">
        <v>45418.0</v>
      </c>
      <c r="K20" s="660">
        <v>45481.0</v>
      </c>
      <c r="L20" s="611">
        <f>iferror(VLOOKUP(E20,'September 2025 Reference AI'!E:R,8,false),0)</f>
        <v>0</v>
      </c>
      <c r="M20" s="667">
        <v>45901.0</v>
      </c>
      <c r="N20" s="667">
        <v>45930.0</v>
      </c>
    </row>
    <row r="21">
      <c r="A21" s="661" t="s">
        <v>16</v>
      </c>
      <c r="B21" s="662">
        <v>4320.0</v>
      </c>
      <c r="C21" s="663" t="s">
        <v>763</v>
      </c>
      <c r="D21" s="662">
        <v>0.0</v>
      </c>
      <c r="E21" s="661" t="s">
        <v>610</v>
      </c>
      <c r="F21" s="661" t="s">
        <v>611</v>
      </c>
      <c r="G21" s="661" t="s">
        <v>612</v>
      </c>
      <c r="H21" s="664"/>
      <c r="I21" s="665">
        <v>35400.0</v>
      </c>
      <c r="J21" s="666">
        <v>45061.0</v>
      </c>
      <c r="K21" s="660">
        <v>45503.0</v>
      </c>
      <c r="L21" s="611">
        <f>iferror(VLOOKUP(E21,'September 2025 Reference AI'!E:R,8,false),0)</f>
        <v>0</v>
      </c>
      <c r="M21" s="667">
        <v>45901.0</v>
      </c>
      <c r="N21" s="667">
        <v>45930.0</v>
      </c>
    </row>
    <row r="22">
      <c r="A22" s="661" t="s">
        <v>16</v>
      </c>
      <c r="B22" s="662">
        <v>4320.0</v>
      </c>
      <c r="C22" s="663" t="s">
        <v>763</v>
      </c>
      <c r="D22" s="662">
        <v>0.0</v>
      </c>
      <c r="E22" s="661" t="s">
        <v>613</v>
      </c>
      <c r="F22" s="661" t="s">
        <v>34</v>
      </c>
      <c r="G22" s="661" t="s">
        <v>35</v>
      </c>
      <c r="H22" s="664"/>
      <c r="I22" s="665">
        <v>35053.0</v>
      </c>
      <c r="J22" s="668">
        <v>45173.0</v>
      </c>
      <c r="K22" s="660">
        <v>45322.0</v>
      </c>
      <c r="L22" s="611">
        <f>iferror(VLOOKUP(E22,'September 2025 Reference AI'!E:R,8,false),0)</f>
        <v>0</v>
      </c>
      <c r="M22" s="667">
        <v>45901.0</v>
      </c>
      <c r="N22" s="667">
        <v>45930.0</v>
      </c>
    </row>
    <row r="23">
      <c r="A23" s="661" t="s">
        <v>16</v>
      </c>
      <c r="B23" s="662">
        <v>4320.0</v>
      </c>
      <c r="C23" s="663" t="s">
        <v>763</v>
      </c>
      <c r="D23" s="662">
        <v>0.0</v>
      </c>
      <c r="E23" s="661" t="s">
        <v>564</v>
      </c>
      <c r="F23" s="661" t="s">
        <v>565</v>
      </c>
      <c r="G23" s="661" t="s">
        <v>566</v>
      </c>
      <c r="H23" s="664"/>
      <c r="I23" s="668">
        <v>34799.0</v>
      </c>
      <c r="J23" s="668">
        <v>45670.0</v>
      </c>
      <c r="K23" s="660" t="s">
        <v>947</v>
      </c>
      <c r="L23" s="611">
        <f>iferror(VLOOKUP(E23,'September 2025 Reference AI'!E:R,8,false),0)</f>
        <v>30</v>
      </c>
      <c r="M23" s="667">
        <v>45901.0</v>
      </c>
      <c r="N23" s="667">
        <v>45930.0</v>
      </c>
    </row>
    <row r="24">
      <c r="A24" s="661" t="s">
        <v>16</v>
      </c>
      <c r="B24" s="662">
        <v>4320.0</v>
      </c>
      <c r="C24" s="663" t="s">
        <v>763</v>
      </c>
      <c r="D24" s="662">
        <v>0.0</v>
      </c>
      <c r="E24" s="661" t="s">
        <v>552</v>
      </c>
      <c r="F24" s="661" t="s">
        <v>553</v>
      </c>
      <c r="G24" s="661" t="s">
        <v>554</v>
      </c>
      <c r="H24" s="664"/>
      <c r="I24" s="668">
        <v>36904.0</v>
      </c>
      <c r="J24" s="668">
        <v>45663.0</v>
      </c>
      <c r="K24" s="660">
        <v>45412.0</v>
      </c>
      <c r="L24" s="611">
        <f>iferror(VLOOKUP(E24,'September 2025 Reference AI'!E:R,8,false),0)</f>
        <v>0</v>
      </c>
      <c r="M24" s="667">
        <v>45901.0</v>
      </c>
      <c r="N24" s="667">
        <v>45930.0</v>
      </c>
    </row>
    <row r="25">
      <c r="A25" s="661" t="s">
        <v>16</v>
      </c>
      <c r="B25" s="662">
        <v>4320.0</v>
      </c>
      <c r="C25" s="663" t="s">
        <v>763</v>
      </c>
      <c r="D25" s="662">
        <v>0.0</v>
      </c>
      <c r="E25" s="661" t="s">
        <v>614</v>
      </c>
      <c r="F25" s="661" t="s">
        <v>232</v>
      </c>
      <c r="G25" s="661" t="s">
        <v>233</v>
      </c>
      <c r="H25" s="664"/>
      <c r="I25" s="668">
        <v>36634.0</v>
      </c>
      <c r="J25" s="665">
        <v>45250.0</v>
      </c>
      <c r="K25" s="660">
        <v>45428.0</v>
      </c>
      <c r="L25" s="611">
        <f>iferror(VLOOKUP(E25,'September 2025 Reference AI'!E:R,8,false),0)</f>
        <v>0</v>
      </c>
      <c r="M25" s="667">
        <v>45901.0</v>
      </c>
      <c r="N25" s="667">
        <v>45930.0</v>
      </c>
    </row>
    <row r="26">
      <c r="A26" s="661" t="s">
        <v>16</v>
      </c>
      <c r="B26" s="662">
        <v>4320.0</v>
      </c>
      <c r="C26" s="663" t="s">
        <v>763</v>
      </c>
      <c r="D26" s="662">
        <v>0.0</v>
      </c>
      <c r="E26" s="661" t="s">
        <v>36</v>
      </c>
      <c r="F26" s="661" t="s">
        <v>37</v>
      </c>
      <c r="G26" s="661" t="s">
        <v>38</v>
      </c>
      <c r="H26" s="664"/>
      <c r="I26" s="668">
        <v>33408.0</v>
      </c>
      <c r="J26" s="668">
        <v>45078.0</v>
      </c>
      <c r="K26" s="660">
        <v>45366.0</v>
      </c>
      <c r="L26" s="611">
        <f>iferror(VLOOKUP(E26,'September 2025 Reference AI'!E:R,8,false),0)</f>
        <v>0</v>
      </c>
      <c r="M26" s="667">
        <v>45901.0</v>
      </c>
      <c r="N26" s="667">
        <v>45930.0</v>
      </c>
    </row>
    <row r="27">
      <c r="A27" s="661" t="s">
        <v>16</v>
      </c>
      <c r="B27" s="662">
        <v>4320.0</v>
      </c>
      <c r="C27" s="663" t="s">
        <v>763</v>
      </c>
      <c r="D27" s="662">
        <v>0.0</v>
      </c>
      <c r="E27" s="661" t="s">
        <v>39</v>
      </c>
      <c r="F27" s="661" t="s">
        <v>40</v>
      </c>
      <c r="G27" s="661" t="s">
        <v>41</v>
      </c>
      <c r="H27" s="664"/>
      <c r="I27" s="668">
        <v>35983.0</v>
      </c>
      <c r="J27" s="668">
        <v>45082.0</v>
      </c>
      <c r="K27" s="660">
        <v>45362.0</v>
      </c>
      <c r="L27" s="611">
        <f>iferror(VLOOKUP(E27,'September 2025 Reference AI'!E:R,8,false),0)</f>
        <v>0</v>
      </c>
      <c r="M27" s="667">
        <v>45901.0</v>
      </c>
      <c r="N27" s="667">
        <v>45930.0</v>
      </c>
    </row>
    <row r="28">
      <c r="A28" s="661" t="s">
        <v>16</v>
      </c>
      <c r="B28" s="662">
        <v>4320.0</v>
      </c>
      <c r="C28" s="663" t="s">
        <v>763</v>
      </c>
      <c r="D28" s="662">
        <v>0.0</v>
      </c>
      <c r="E28" s="661" t="s">
        <v>615</v>
      </c>
      <c r="F28" s="661" t="s">
        <v>365</v>
      </c>
      <c r="G28" s="661" t="s">
        <v>366</v>
      </c>
      <c r="H28" s="664"/>
      <c r="I28" s="668">
        <v>36703.0</v>
      </c>
      <c r="J28" s="668">
        <v>45411.0</v>
      </c>
      <c r="K28" s="660">
        <v>45432.0</v>
      </c>
      <c r="L28" s="611">
        <f>iferror(VLOOKUP(E28,'September 2025 Reference AI'!E:R,8,false),0)</f>
        <v>0</v>
      </c>
      <c r="M28" s="667">
        <v>45901.0</v>
      </c>
      <c r="N28" s="667">
        <v>45930.0</v>
      </c>
    </row>
    <row r="29">
      <c r="A29" s="661" t="s">
        <v>16</v>
      </c>
      <c r="B29" s="662">
        <v>4320.0</v>
      </c>
      <c r="C29" s="663" t="s">
        <v>763</v>
      </c>
      <c r="D29" s="662">
        <v>0.0</v>
      </c>
      <c r="E29" s="661" t="s">
        <v>234</v>
      </c>
      <c r="F29" s="661" t="s">
        <v>235</v>
      </c>
      <c r="G29" s="661" t="s">
        <v>236</v>
      </c>
      <c r="H29" s="664"/>
      <c r="I29" s="668">
        <v>33048.0</v>
      </c>
      <c r="J29" s="665">
        <v>45243.0</v>
      </c>
      <c r="K29" s="660">
        <v>45329.0</v>
      </c>
      <c r="L29" s="611">
        <f>iferror(VLOOKUP(E29,'September 2025 Reference AI'!E:R,8,false),0)</f>
        <v>0</v>
      </c>
      <c r="M29" s="667">
        <v>45901.0</v>
      </c>
      <c r="N29" s="667">
        <v>45930.0</v>
      </c>
    </row>
    <row r="30">
      <c r="A30" s="661" t="s">
        <v>16</v>
      </c>
      <c r="B30" s="662">
        <v>4320.0</v>
      </c>
      <c r="C30" s="663" t="s">
        <v>763</v>
      </c>
      <c r="D30" s="662">
        <v>0.0</v>
      </c>
      <c r="E30" s="661" t="s">
        <v>616</v>
      </c>
      <c r="F30" s="661" t="s">
        <v>617</v>
      </c>
      <c r="G30" s="661" t="s">
        <v>618</v>
      </c>
      <c r="H30" s="664"/>
      <c r="I30" s="668">
        <v>35082.0</v>
      </c>
      <c r="J30" s="665">
        <v>45194.0</v>
      </c>
      <c r="K30" s="660">
        <v>45199.0</v>
      </c>
      <c r="L30" s="611">
        <f>iferror(VLOOKUP(E30,'September 2025 Reference AI'!E:R,8,false),0)</f>
        <v>0</v>
      </c>
      <c r="M30" s="667">
        <v>45901.0</v>
      </c>
      <c r="N30" s="667">
        <v>45930.0</v>
      </c>
    </row>
    <row r="31">
      <c r="A31" s="661" t="s">
        <v>16</v>
      </c>
      <c r="B31" s="662">
        <v>4320.0</v>
      </c>
      <c r="C31" s="663" t="s">
        <v>763</v>
      </c>
      <c r="D31" s="662">
        <v>0.0</v>
      </c>
      <c r="E31" s="661" t="s">
        <v>316</v>
      </c>
      <c r="F31" s="661" t="s">
        <v>317</v>
      </c>
      <c r="G31" s="661" t="s">
        <v>318</v>
      </c>
      <c r="H31" s="664"/>
      <c r="I31" s="668">
        <v>37274.0</v>
      </c>
      <c r="J31" s="665">
        <v>45362.0</v>
      </c>
      <c r="K31" s="660">
        <v>45688.0</v>
      </c>
      <c r="L31" s="611">
        <f>iferror(VLOOKUP(E31,'September 2025 Reference AI'!E:R,8,false),0)</f>
        <v>0</v>
      </c>
      <c r="M31" s="667">
        <v>45901.0</v>
      </c>
      <c r="N31" s="667">
        <v>45930.0</v>
      </c>
    </row>
    <row r="32">
      <c r="A32" s="661" t="s">
        <v>16</v>
      </c>
      <c r="B32" s="662">
        <v>4320.0</v>
      </c>
      <c r="C32" s="663" t="s">
        <v>763</v>
      </c>
      <c r="D32" s="662">
        <v>0.0</v>
      </c>
      <c r="E32" s="661" t="s">
        <v>264</v>
      </c>
      <c r="F32" s="661" t="s">
        <v>265</v>
      </c>
      <c r="G32" s="661" t="s">
        <v>266</v>
      </c>
      <c r="H32" s="664"/>
      <c r="I32" s="666">
        <v>37398.0</v>
      </c>
      <c r="J32" s="668">
        <v>45096.0</v>
      </c>
      <c r="K32" s="660" t="s">
        <v>947</v>
      </c>
      <c r="L32" s="611">
        <f>iferror(VLOOKUP(E32,'September 2025 Reference AI'!E:R,8,false),0)</f>
        <v>30</v>
      </c>
      <c r="M32" s="667">
        <v>45901.0</v>
      </c>
      <c r="N32" s="667">
        <v>45930.0</v>
      </c>
    </row>
    <row r="33">
      <c r="A33" s="661" t="s">
        <v>16</v>
      </c>
      <c r="B33" s="662">
        <v>4320.0</v>
      </c>
      <c r="C33" s="663" t="s">
        <v>763</v>
      </c>
      <c r="D33" s="662">
        <v>0.0</v>
      </c>
      <c r="E33" s="661" t="s">
        <v>411</v>
      </c>
      <c r="F33" s="661" t="s">
        <v>412</v>
      </c>
      <c r="G33" s="661" t="s">
        <v>413</v>
      </c>
      <c r="H33" s="664"/>
      <c r="I33" s="665">
        <v>33230.0</v>
      </c>
      <c r="J33" s="668">
        <v>45453.0</v>
      </c>
      <c r="K33" s="660" t="s">
        <v>947</v>
      </c>
      <c r="L33" s="611">
        <f>iferror(VLOOKUP(E33,'September 2025 Reference AI'!E:R,8,false),0)</f>
        <v>30</v>
      </c>
      <c r="M33" s="667">
        <v>45901.0</v>
      </c>
      <c r="N33" s="667">
        <v>45930.0</v>
      </c>
    </row>
    <row r="34">
      <c r="A34" s="661" t="s">
        <v>16</v>
      </c>
      <c r="B34" s="662">
        <v>4320.0</v>
      </c>
      <c r="C34" s="663" t="s">
        <v>763</v>
      </c>
      <c r="D34" s="662">
        <v>0.0</v>
      </c>
      <c r="E34" s="661" t="s">
        <v>800</v>
      </c>
      <c r="F34" s="661" t="s">
        <v>824</v>
      </c>
      <c r="G34" s="661" t="s">
        <v>802</v>
      </c>
      <c r="H34" s="664"/>
      <c r="I34" s="665">
        <v>36939.0</v>
      </c>
      <c r="J34" s="666">
        <v>45789.0</v>
      </c>
      <c r="K34" s="660">
        <v>45915.0</v>
      </c>
      <c r="L34" s="611">
        <f>iferror(VLOOKUP(E34,'September 2025 Reference AI'!E:R,8,false),0)</f>
        <v>15</v>
      </c>
      <c r="M34" s="667">
        <v>45901.0</v>
      </c>
      <c r="N34" s="667">
        <v>45930.0</v>
      </c>
    </row>
    <row r="35">
      <c r="A35" s="661" t="s">
        <v>16</v>
      </c>
      <c r="B35" s="662">
        <v>4320.0</v>
      </c>
      <c r="C35" s="663" t="s">
        <v>763</v>
      </c>
      <c r="D35" s="662">
        <v>0.0</v>
      </c>
      <c r="E35" s="669" t="s">
        <v>845</v>
      </c>
      <c r="F35" s="670" t="s">
        <v>846</v>
      </c>
      <c r="G35" s="670" t="s">
        <v>847</v>
      </c>
      <c r="H35" s="671"/>
      <c r="I35" s="675">
        <v>34794.0</v>
      </c>
      <c r="J35" s="676">
        <v>45809.0</v>
      </c>
      <c r="K35" s="660">
        <v>45896.0</v>
      </c>
      <c r="L35" s="611">
        <f>iferror(VLOOKUP(E35,'September 2025 Reference AI'!E:R,8,false),0)</f>
        <v>0</v>
      </c>
      <c r="M35" s="667">
        <v>45901.0</v>
      </c>
      <c r="N35" s="667">
        <v>45930.0</v>
      </c>
    </row>
    <row r="36">
      <c r="A36" s="661" t="s">
        <v>16</v>
      </c>
      <c r="B36" s="662">
        <v>4320.0</v>
      </c>
      <c r="C36" s="663" t="s">
        <v>763</v>
      </c>
      <c r="D36" s="662">
        <v>0.0</v>
      </c>
      <c r="E36" s="661" t="s">
        <v>690</v>
      </c>
      <c r="F36" s="661" t="s">
        <v>755</v>
      </c>
      <c r="G36" s="661" t="s">
        <v>692</v>
      </c>
      <c r="H36" s="664"/>
      <c r="I36" s="668">
        <v>37137.0</v>
      </c>
      <c r="J36" s="668">
        <v>45691.0</v>
      </c>
      <c r="K36" s="660" t="s">
        <v>947</v>
      </c>
      <c r="L36" s="611">
        <f>iferror(VLOOKUP(E36,'September 2025 Reference AI'!E:R,8,false),0)</f>
        <v>30</v>
      </c>
      <c r="M36" s="667">
        <v>45901.0</v>
      </c>
      <c r="N36" s="667">
        <v>45930.0</v>
      </c>
    </row>
    <row r="37">
      <c r="A37" s="661" t="s">
        <v>16</v>
      </c>
      <c r="B37" s="662">
        <v>4320.0</v>
      </c>
      <c r="C37" s="663" t="s">
        <v>763</v>
      </c>
      <c r="D37" s="662">
        <v>0.0</v>
      </c>
      <c r="E37" s="661" t="s">
        <v>917</v>
      </c>
      <c r="F37" s="661" t="s">
        <v>694</v>
      </c>
      <c r="G37" s="661" t="s">
        <v>695</v>
      </c>
      <c r="H37" s="664"/>
      <c r="I37" s="668">
        <v>35599.0</v>
      </c>
      <c r="J37" s="665">
        <v>45712.0</v>
      </c>
      <c r="K37" s="660" t="s">
        <v>947</v>
      </c>
      <c r="L37" s="611">
        <f>iferror(VLOOKUP(E37,'September 2025 Reference AI'!E:R,8,false),0)</f>
        <v>30</v>
      </c>
      <c r="M37" s="667">
        <v>45901.0</v>
      </c>
      <c r="N37" s="667">
        <v>45930.0</v>
      </c>
    </row>
    <row r="38">
      <c r="A38" s="661" t="s">
        <v>16</v>
      </c>
      <c r="B38" s="662">
        <v>4320.0</v>
      </c>
      <c r="C38" s="663" t="s">
        <v>763</v>
      </c>
      <c r="D38" s="662">
        <v>0.0</v>
      </c>
      <c r="E38" s="661" t="s">
        <v>282</v>
      </c>
      <c r="F38" s="661" t="s">
        <v>283</v>
      </c>
      <c r="G38" s="661" t="s">
        <v>284</v>
      </c>
      <c r="H38" s="664"/>
      <c r="I38" s="665">
        <v>35047.0</v>
      </c>
      <c r="J38" s="665">
        <v>45257.0</v>
      </c>
      <c r="K38" s="660" t="s">
        <v>947</v>
      </c>
      <c r="L38" s="611">
        <f>iferror(VLOOKUP(E38,'September 2025 Reference AI'!E:R,8,false),0)</f>
        <v>30</v>
      </c>
      <c r="M38" s="667">
        <v>45901.0</v>
      </c>
      <c r="N38" s="667">
        <v>45930.0</v>
      </c>
    </row>
    <row r="39">
      <c r="A39" s="661" t="s">
        <v>16</v>
      </c>
      <c r="B39" s="662">
        <v>4320.0</v>
      </c>
      <c r="C39" s="663" t="s">
        <v>763</v>
      </c>
      <c r="D39" s="662">
        <v>0.0</v>
      </c>
      <c r="E39" s="661" t="s">
        <v>481</v>
      </c>
      <c r="F39" s="661" t="s">
        <v>531</v>
      </c>
      <c r="G39" s="661" t="s">
        <v>482</v>
      </c>
      <c r="H39" s="664"/>
      <c r="I39" s="668">
        <v>35096.0</v>
      </c>
      <c r="J39" s="668">
        <v>45602.0</v>
      </c>
      <c r="K39" s="660" t="s">
        <v>947</v>
      </c>
      <c r="L39" s="611">
        <f>iferror(VLOOKUP(E39,'September 2025 Reference AI'!E:R,8,false),0)</f>
        <v>30</v>
      </c>
      <c r="M39" s="667">
        <v>45901.0</v>
      </c>
      <c r="N39" s="667">
        <v>45930.0</v>
      </c>
    </row>
    <row r="40">
      <c r="A40" s="661" t="s">
        <v>16</v>
      </c>
      <c r="B40" s="662">
        <v>4320.0</v>
      </c>
      <c r="C40" s="663" t="s">
        <v>763</v>
      </c>
      <c r="D40" s="662">
        <v>0.0</v>
      </c>
      <c r="E40" s="661" t="s">
        <v>45</v>
      </c>
      <c r="F40" s="661" t="s">
        <v>46</v>
      </c>
      <c r="G40" s="661" t="s">
        <v>47</v>
      </c>
      <c r="H40" s="664"/>
      <c r="I40" s="673">
        <v>37370.0</v>
      </c>
      <c r="J40" s="668">
        <v>44739.0</v>
      </c>
      <c r="K40" s="660" t="s">
        <v>947</v>
      </c>
      <c r="L40" s="611">
        <f>iferror(VLOOKUP(E40,'September 2025 Reference AI'!E:R,8,false),0)</f>
        <v>30</v>
      </c>
      <c r="M40" s="667">
        <v>45901.0</v>
      </c>
      <c r="N40" s="667">
        <v>45930.0</v>
      </c>
    </row>
    <row r="41">
      <c r="A41" s="661" t="s">
        <v>16</v>
      </c>
      <c r="B41" s="662">
        <v>4320.0</v>
      </c>
      <c r="C41" s="663" t="s">
        <v>763</v>
      </c>
      <c r="D41" s="662">
        <v>0.0</v>
      </c>
      <c r="E41" s="661" t="s">
        <v>48</v>
      </c>
      <c r="F41" s="661" t="s">
        <v>49</v>
      </c>
      <c r="G41" s="661" t="s">
        <v>50</v>
      </c>
      <c r="H41" s="664"/>
      <c r="I41" s="665">
        <v>36399.0</v>
      </c>
      <c r="J41" s="665">
        <v>45229.0</v>
      </c>
      <c r="K41" s="660" t="s">
        <v>947</v>
      </c>
      <c r="L41" s="611">
        <f>iferror(VLOOKUP(E41,'September 2025 Reference AI'!E:R,8,false),0)</f>
        <v>30</v>
      </c>
      <c r="M41" s="667">
        <v>45901.0</v>
      </c>
      <c r="N41" s="667">
        <v>45930.0</v>
      </c>
    </row>
    <row r="42">
      <c r="A42" s="661" t="s">
        <v>16</v>
      </c>
      <c r="B42" s="662">
        <v>4320.0</v>
      </c>
      <c r="C42" s="663" t="s">
        <v>763</v>
      </c>
      <c r="D42" s="662">
        <v>0.0</v>
      </c>
      <c r="E42" s="661" t="s">
        <v>444</v>
      </c>
      <c r="F42" s="661" t="s">
        <v>320</v>
      </c>
      <c r="G42" s="661" t="s">
        <v>321</v>
      </c>
      <c r="H42" s="664"/>
      <c r="I42" s="668">
        <v>36360.0</v>
      </c>
      <c r="J42" s="668">
        <v>45355.0</v>
      </c>
      <c r="K42" s="660" t="s">
        <v>947</v>
      </c>
      <c r="L42" s="611">
        <f>iferror(VLOOKUP(E42,'September 2025 Reference AI'!E:R,8,false),0)</f>
        <v>30</v>
      </c>
      <c r="M42" s="667">
        <v>45901.0</v>
      </c>
      <c r="N42" s="667">
        <v>45930.0</v>
      </c>
    </row>
    <row r="43">
      <c r="A43" s="661" t="s">
        <v>16</v>
      </c>
      <c r="B43" s="662">
        <v>4320.0</v>
      </c>
      <c r="C43" s="663" t="s">
        <v>763</v>
      </c>
      <c r="D43" s="662">
        <v>0.0</v>
      </c>
      <c r="E43" s="661" t="s">
        <v>383</v>
      </c>
      <c r="F43" s="661" t="s">
        <v>384</v>
      </c>
      <c r="G43" s="661" t="s">
        <v>385</v>
      </c>
      <c r="H43" s="664"/>
      <c r="I43" s="668">
        <v>36183.0</v>
      </c>
      <c r="J43" s="668">
        <v>45418.0</v>
      </c>
      <c r="K43" s="660" t="s">
        <v>947</v>
      </c>
      <c r="L43" s="611">
        <f>iferror(VLOOKUP(E43,'September 2025 Reference AI'!E:R,8,false),0)</f>
        <v>30</v>
      </c>
      <c r="M43" s="667">
        <v>45901.0</v>
      </c>
      <c r="N43" s="667">
        <v>45930.0</v>
      </c>
    </row>
    <row r="44">
      <c r="A44" s="661" t="s">
        <v>16</v>
      </c>
      <c r="B44" s="662">
        <v>4320.0</v>
      </c>
      <c r="C44" s="663" t="s">
        <v>763</v>
      </c>
      <c r="D44" s="662">
        <v>0.0</v>
      </c>
      <c r="E44" s="661" t="s">
        <v>386</v>
      </c>
      <c r="F44" s="661" t="s">
        <v>387</v>
      </c>
      <c r="G44" s="661" t="s">
        <v>388</v>
      </c>
      <c r="H44" s="664"/>
      <c r="I44" s="665">
        <v>37144.0</v>
      </c>
      <c r="J44" s="668">
        <v>45418.0</v>
      </c>
      <c r="K44" s="660">
        <v>45418.0</v>
      </c>
      <c r="L44" s="611">
        <f>iferror(VLOOKUP(E44,'September 2025 Reference AI'!E:R,8,false),0)</f>
        <v>0</v>
      </c>
      <c r="M44" s="667">
        <v>45901.0</v>
      </c>
      <c r="N44" s="667">
        <v>45930.0</v>
      </c>
    </row>
    <row r="45">
      <c r="A45" s="661" t="s">
        <v>16</v>
      </c>
      <c r="B45" s="662">
        <v>4320.0</v>
      </c>
      <c r="C45" s="663" t="s">
        <v>763</v>
      </c>
      <c r="D45" s="662">
        <v>0.0</v>
      </c>
      <c r="E45" s="661" t="s">
        <v>325</v>
      </c>
      <c r="F45" s="661" t="s">
        <v>326</v>
      </c>
      <c r="G45" s="661" t="s">
        <v>327</v>
      </c>
      <c r="H45" s="664"/>
      <c r="I45" s="665">
        <v>36962.0</v>
      </c>
      <c r="J45" s="665">
        <v>45376.0</v>
      </c>
      <c r="K45" s="660">
        <v>45565.0</v>
      </c>
      <c r="L45" s="611">
        <f>iferror(VLOOKUP(E45,'September 2025 Reference AI'!E:R,8,false),0)</f>
        <v>0</v>
      </c>
      <c r="M45" s="667">
        <v>45901.0</v>
      </c>
      <c r="N45" s="667">
        <v>45930.0</v>
      </c>
    </row>
    <row r="46">
      <c r="A46" s="661" t="s">
        <v>16</v>
      </c>
      <c r="B46" s="662">
        <v>4320.0</v>
      </c>
      <c r="C46" s="663" t="s">
        <v>763</v>
      </c>
      <c r="D46" s="662">
        <v>0.0</v>
      </c>
      <c r="E46" s="661" t="s">
        <v>285</v>
      </c>
      <c r="F46" s="661" t="s">
        <v>286</v>
      </c>
      <c r="G46" s="661" t="s">
        <v>287</v>
      </c>
      <c r="H46" s="664"/>
      <c r="I46" s="668">
        <v>37377.0</v>
      </c>
      <c r="J46" s="665">
        <v>45334.0</v>
      </c>
      <c r="K46" s="660">
        <v>45688.0</v>
      </c>
      <c r="L46" s="611">
        <f>iferror(VLOOKUP(E46,'September 2025 Reference AI'!E:R,8,false),0)</f>
        <v>0</v>
      </c>
      <c r="M46" s="667">
        <v>45901.0</v>
      </c>
      <c r="N46" s="667">
        <v>45930.0</v>
      </c>
    </row>
    <row r="47">
      <c r="A47" s="661" t="s">
        <v>16</v>
      </c>
      <c r="B47" s="662">
        <v>4320.0</v>
      </c>
      <c r="C47" s="663" t="s">
        <v>763</v>
      </c>
      <c r="D47" s="662">
        <v>0.0</v>
      </c>
      <c r="E47" s="661" t="s">
        <v>288</v>
      </c>
      <c r="F47" s="661" t="s">
        <v>289</v>
      </c>
      <c r="G47" s="661" t="s">
        <v>290</v>
      </c>
      <c r="H47" s="664"/>
      <c r="I47" s="668">
        <v>37047.0</v>
      </c>
      <c r="J47" s="665">
        <v>45257.0</v>
      </c>
      <c r="K47" s="660">
        <v>45842.0</v>
      </c>
      <c r="L47" s="611">
        <f>iferror(VLOOKUP(E47,'September 2025 Reference AI'!E:R,8,false),0)</f>
        <v>0</v>
      </c>
      <c r="M47" s="667">
        <v>45901.0</v>
      </c>
      <c r="N47" s="667">
        <v>45930.0</v>
      </c>
    </row>
    <row r="48">
      <c r="A48" s="661" t="s">
        <v>16</v>
      </c>
      <c r="B48" s="662">
        <v>4320.0</v>
      </c>
      <c r="C48" s="663" t="s">
        <v>763</v>
      </c>
      <c r="D48" s="662">
        <v>0.0</v>
      </c>
      <c r="E48" s="661" t="s">
        <v>567</v>
      </c>
      <c r="F48" s="661" t="s">
        <v>568</v>
      </c>
      <c r="G48" s="661" t="s">
        <v>569</v>
      </c>
      <c r="H48" s="664"/>
      <c r="I48" s="668">
        <v>37962.0</v>
      </c>
      <c r="J48" s="668">
        <v>45677.0</v>
      </c>
      <c r="K48" s="660">
        <v>45779.0</v>
      </c>
      <c r="L48" s="611">
        <f>iferror(VLOOKUP(E48,'September 2025 Reference AI'!E:R,8,false),0)</f>
        <v>0</v>
      </c>
      <c r="M48" s="667">
        <v>45901.0</v>
      </c>
      <c r="N48" s="667">
        <v>45930.0</v>
      </c>
    </row>
    <row r="49">
      <c r="A49" s="661" t="s">
        <v>16</v>
      </c>
      <c r="B49" s="662">
        <v>4320.0</v>
      </c>
      <c r="C49" s="663" t="s">
        <v>763</v>
      </c>
      <c r="D49" s="662">
        <v>0.0</v>
      </c>
      <c r="E49" s="661" t="s">
        <v>51</v>
      </c>
      <c r="F49" s="661" t="s">
        <v>52</v>
      </c>
      <c r="G49" s="661" t="s">
        <v>53</v>
      </c>
      <c r="H49" s="664"/>
      <c r="I49" s="665">
        <v>34601.0</v>
      </c>
      <c r="J49" s="668">
        <v>44986.0</v>
      </c>
      <c r="K49" s="660">
        <v>45777.0</v>
      </c>
      <c r="L49" s="611">
        <f>iferror(VLOOKUP(E49,'September 2025 Reference AI'!E:R,8,false),0)</f>
        <v>0</v>
      </c>
      <c r="M49" s="667">
        <v>45901.0</v>
      </c>
      <c r="N49" s="667">
        <v>45930.0</v>
      </c>
    </row>
    <row r="50">
      <c r="A50" s="661" t="s">
        <v>16</v>
      </c>
      <c r="B50" s="662">
        <v>4320.0</v>
      </c>
      <c r="C50" s="663" t="s">
        <v>763</v>
      </c>
      <c r="D50" s="662">
        <v>0.0</v>
      </c>
      <c r="E50" s="661" t="s">
        <v>445</v>
      </c>
      <c r="F50" s="661" t="s">
        <v>510</v>
      </c>
      <c r="G50" s="661" t="s">
        <v>447</v>
      </c>
      <c r="H50" s="664"/>
      <c r="I50" s="673">
        <v>37047.0</v>
      </c>
      <c r="J50" s="668">
        <v>45505.0</v>
      </c>
      <c r="K50" s="660">
        <v>45877.0</v>
      </c>
      <c r="L50" s="611">
        <f>iferror(VLOOKUP(E50,'September 2025 Reference AI'!E:R,8,false),0)</f>
        <v>0</v>
      </c>
      <c r="M50" s="667">
        <v>45901.0</v>
      </c>
      <c r="N50" s="667">
        <v>45930.0</v>
      </c>
    </row>
    <row r="51">
      <c r="A51" s="661" t="s">
        <v>16</v>
      </c>
      <c r="B51" s="662">
        <v>4320.0</v>
      </c>
      <c r="C51" s="663" t="s">
        <v>763</v>
      </c>
      <c r="D51" s="662">
        <v>0.0</v>
      </c>
      <c r="E51" s="661" t="s">
        <v>467</v>
      </c>
      <c r="F51" s="661" t="s">
        <v>511</v>
      </c>
      <c r="G51" s="661" t="s">
        <v>450</v>
      </c>
      <c r="H51" s="664"/>
      <c r="I51" s="668">
        <v>36682.0</v>
      </c>
      <c r="J51" s="668">
        <v>45505.0</v>
      </c>
      <c r="K51" s="660" t="s">
        <v>947</v>
      </c>
      <c r="L51" s="611">
        <f>iferror(VLOOKUP(E51,'September 2025 Reference AI'!E:R,8,false),0)</f>
        <v>30</v>
      </c>
      <c r="M51" s="667">
        <v>45901.0</v>
      </c>
      <c r="N51" s="667">
        <v>45930.0</v>
      </c>
    </row>
    <row r="52">
      <c r="A52" s="661" t="s">
        <v>16</v>
      </c>
      <c r="B52" s="662">
        <v>4320.0</v>
      </c>
      <c r="C52" s="663" t="s">
        <v>763</v>
      </c>
      <c r="D52" s="662">
        <v>0.0</v>
      </c>
      <c r="E52" s="669" t="s">
        <v>848</v>
      </c>
      <c r="F52" s="670" t="s">
        <v>849</v>
      </c>
      <c r="G52" s="670" t="s">
        <v>850</v>
      </c>
      <c r="H52" s="671"/>
      <c r="I52" s="675">
        <v>33637.0</v>
      </c>
      <c r="J52" s="672">
        <v>45809.0</v>
      </c>
      <c r="K52" s="660" t="s">
        <v>947</v>
      </c>
      <c r="L52" s="611">
        <f>iferror(VLOOKUP(E52,'September 2025 Reference AI'!E:R,8,false),0)</f>
        <v>30</v>
      </c>
      <c r="M52" s="667">
        <v>45901.0</v>
      </c>
      <c r="N52" s="667">
        <v>45930.0</v>
      </c>
    </row>
    <row r="53">
      <c r="A53" s="661" t="s">
        <v>16</v>
      </c>
      <c r="B53" s="662">
        <v>4320.0</v>
      </c>
      <c r="C53" s="663" t="s">
        <v>763</v>
      </c>
      <c r="D53" s="662">
        <v>0.0</v>
      </c>
      <c r="E53" s="661" t="s">
        <v>503</v>
      </c>
      <c r="F53" s="661" t="s">
        <v>542</v>
      </c>
      <c r="G53" s="661" t="s">
        <v>504</v>
      </c>
      <c r="H53" s="664"/>
      <c r="I53" s="668">
        <v>37422.0</v>
      </c>
      <c r="J53" s="668">
        <v>45635.0</v>
      </c>
      <c r="K53" s="660" t="s">
        <v>947</v>
      </c>
      <c r="L53" s="611">
        <f>iferror(VLOOKUP(E53,'September 2025 Reference AI'!E:R,8,false),0)</f>
        <v>30</v>
      </c>
      <c r="M53" s="667">
        <v>45901.0</v>
      </c>
      <c r="N53" s="667">
        <v>45930.0</v>
      </c>
    </row>
    <row r="54">
      <c r="A54" s="661" t="s">
        <v>16</v>
      </c>
      <c r="B54" s="662">
        <v>4320.0</v>
      </c>
      <c r="C54" s="663" t="s">
        <v>763</v>
      </c>
      <c r="D54" s="662">
        <v>0.0</v>
      </c>
      <c r="E54" s="661" t="s">
        <v>497</v>
      </c>
      <c r="F54" s="661" t="s">
        <v>539</v>
      </c>
      <c r="G54" s="661" t="s">
        <v>498</v>
      </c>
      <c r="H54" s="664"/>
      <c r="I54" s="666">
        <v>37026.0</v>
      </c>
      <c r="J54" s="668">
        <v>45628.0</v>
      </c>
      <c r="K54" s="660">
        <v>45758.0</v>
      </c>
      <c r="L54" s="611">
        <f>iferror(VLOOKUP(E54,'September 2025 Reference AI'!E:R,8,false),0)</f>
        <v>0</v>
      </c>
      <c r="M54" s="667">
        <v>45901.0</v>
      </c>
      <c r="N54" s="667">
        <v>45930.0</v>
      </c>
    </row>
    <row r="55">
      <c r="A55" s="661" t="s">
        <v>16</v>
      </c>
      <c r="B55" s="662">
        <v>4320.0</v>
      </c>
      <c r="C55" s="663" t="s">
        <v>763</v>
      </c>
      <c r="D55" s="662">
        <v>0.0</v>
      </c>
      <c r="E55" s="661" t="s">
        <v>249</v>
      </c>
      <c r="F55" s="661" t="s">
        <v>250</v>
      </c>
      <c r="G55" s="661" t="s">
        <v>251</v>
      </c>
      <c r="H55" s="664"/>
      <c r="I55" s="668">
        <v>37322.0</v>
      </c>
      <c r="J55" s="668">
        <v>45096.0</v>
      </c>
      <c r="K55" s="660">
        <v>45523.0</v>
      </c>
      <c r="L55" s="611">
        <f>iferror(VLOOKUP(E55,'September 2025 Reference AI'!E:R,8,false),0)</f>
        <v>0</v>
      </c>
      <c r="M55" s="667">
        <v>45901.0</v>
      </c>
      <c r="N55" s="667">
        <v>45930.0</v>
      </c>
    </row>
    <row r="56">
      <c r="A56" s="661" t="s">
        <v>16</v>
      </c>
      <c r="B56" s="662">
        <v>4320.0</v>
      </c>
      <c r="C56" s="663" t="s">
        <v>763</v>
      </c>
      <c r="D56" s="662">
        <v>0.0</v>
      </c>
      <c r="E56" s="661" t="s">
        <v>291</v>
      </c>
      <c r="F56" s="661" t="s">
        <v>292</v>
      </c>
      <c r="G56" s="661" t="s">
        <v>293</v>
      </c>
      <c r="H56" s="664"/>
      <c r="I56" s="665">
        <v>37219.0</v>
      </c>
      <c r="J56" s="665">
        <v>45257.0</v>
      </c>
      <c r="K56" s="660">
        <v>45883.0</v>
      </c>
      <c r="L56" s="611">
        <f>iferror(VLOOKUP(E56,'September 2025 Reference AI'!E:R,8,false),0)</f>
        <v>0</v>
      </c>
      <c r="M56" s="667">
        <v>45901.0</v>
      </c>
      <c r="N56" s="667">
        <v>45930.0</v>
      </c>
    </row>
    <row r="57">
      <c r="A57" s="661" t="s">
        <v>16</v>
      </c>
      <c r="B57" s="662">
        <v>4320.0</v>
      </c>
      <c r="C57" s="663" t="s">
        <v>763</v>
      </c>
      <c r="D57" s="662">
        <v>0.0</v>
      </c>
      <c r="E57" s="661" t="s">
        <v>806</v>
      </c>
      <c r="F57" s="661" t="s">
        <v>825</v>
      </c>
      <c r="G57" s="661" t="s">
        <v>808</v>
      </c>
      <c r="H57" s="664"/>
      <c r="I57" s="665">
        <v>36061.0</v>
      </c>
      <c r="J57" s="666">
        <v>45796.0</v>
      </c>
      <c r="K57" s="660" t="s">
        <v>947</v>
      </c>
      <c r="L57" s="611">
        <f>iferror(VLOOKUP(E57,'September 2025 Reference AI'!E:R,8,false),0)</f>
        <v>30</v>
      </c>
      <c r="M57" s="667">
        <v>45901.0</v>
      </c>
      <c r="N57" s="667">
        <v>45930.0</v>
      </c>
    </row>
    <row r="58">
      <c r="A58" s="661" t="s">
        <v>16</v>
      </c>
      <c r="B58" s="662">
        <v>4320.0</v>
      </c>
      <c r="C58" s="663" t="s">
        <v>763</v>
      </c>
      <c r="D58" s="662">
        <v>0.0</v>
      </c>
      <c r="E58" s="661" t="s">
        <v>619</v>
      </c>
      <c r="F58" s="661" t="s">
        <v>220</v>
      </c>
      <c r="G58" s="661" t="s">
        <v>221</v>
      </c>
      <c r="H58" s="664"/>
      <c r="I58" s="665">
        <v>36408.0</v>
      </c>
      <c r="J58" s="668">
        <v>45173.0</v>
      </c>
      <c r="K58" s="660">
        <v>45412.0</v>
      </c>
      <c r="L58" s="611">
        <f>iferror(VLOOKUP(E58,'September 2025 Reference AI'!E:R,8,false),0)</f>
        <v>0</v>
      </c>
      <c r="M58" s="667">
        <v>45901.0</v>
      </c>
      <c r="N58" s="667">
        <v>45930.0</v>
      </c>
    </row>
    <row r="59">
      <c r="A59" s="661" t="s">
        <v>16</v>
      </c>
      <c r="B59" s="662">
        <v>4320.0</v>
      </c>
      <c r="C59" s="663" t="s">
        <v>763</v>
      </c>
      <c r="D59" s="662">
        <v>0.0</v>
      </c>
      <c r="E59" s="669" t="s">
        <v>854</v>
      </c>
      <c r="F59" s="670" t="s">
        <v>855</v>
      </c>
      <c r="G59" s="670" t="s">
        <v>856</v>
      </c>
      <c r="H59" s="671"/>
      <c r="I59" s="672">
        <v>36059.0</v>
      </c>
      <c r="J59" s="672">
        <v>45810.0</v>
      </c>
      <c r="K59" s="660">
        <v>45912.0</v>
      </c>
      <c r="L59" s="611">
        <f>iferror(VLOOKUP(E59,'September 2025 Reference AI'!E:R,8,false),0)</f>
        <v>12</v>
      </c>
      <c r="M59" s="667">
        <v>45901.0</v>
      </c>
      <c r="N59" s="667">
        <v>45930.0</v>
      </c>
    </row>
    <row r="60">
      <c r="A60" s="661" t="s">
        <v>16</v>
      </c>
      <c r="B60" s="662">
        <v>4320.0</v>
      </c>
      <c r="C60" s="663" t="s">
        <v>763</v>
      </c>
      <c r="D60" s="662">
        <v>0.0</v>
      </c>
      <c r="E60" s="661" t="s">
        <v>367</v>
      </c>
      <c r="F60" s="661" t="s">
        <v>368</v>
      </c>
      <c r="G60" s="661" t="s">
        <v>369</v>
      </c>
      <c r="H60" s="664"/>
      <c r="I60" s="668">
        <v>36718.0</v>
      </c>
      <c r="J60" s="668">
        <v>45397.0</v>
      </c>
      <c r="K60" s="660">
        <v>45485.0</v>
      </c>
      <c r="L60" s="611">
        <f>iferror(VLOOKUP(E60,'September 2025 Reference AI'!E:R,8,false),0)</f>
        <v>0</v>
      </c>
      <c r="M60" s="667">
        <v>45901.0</v>
      </c>
      <c r="N60" s="667">
        <v>45930.0</v>
      </c>
    </row>
    <row r="61">
      <c r="A61" s="661" t="s">
        <v>16</v>
      </c>
      <c r="B61" s="662">
        <v>4320.0</v>
      </c>
      <c r="C61" s="663" t="s">
        <v>763</v>
      </c>
      <c r="D61" s="662">
        <v>0.0</v>
      </c>
      <c r="E61" s="661" t="s">
        <v>594</v>
      </c>
      <c r="F61" s="661" t="s">
        <v>595</v>
      </c>
      <c r="G61" s="661" t="s">
        <v>596</v>
      </c>
      <c r="H61" s="664"/>
      <c r="I61" s="668">
        <v>37809.0</v>
      </c>
      <c r="J61" s="668">
        <v>45684.0</v>
      </c>
      <c r="K61" s="660" t="s">
        <v>947</v>
      </c>
      <c r="L61" s="611">
        <f>iferror(VLOOKUP(E61,'September 2025 Reference AI'!E:R,8,false),0)</f>
        <v>30</v>
      </c>
      <c r="M61" s="667">
        <v>45901.0</v>
      </c>
      <c r="N61" s="667">
        <v>45930.0</v>
      </c>
    </row>
    <row r="62">
      <c r="A62" s="661" t="s">
        <v>16</v>
      </c>
      <c r="B62" s="662">
        <v>4320.0</v>
      </c>
      <c r="C62" s="663" t="s">
        <v>763</v>
      </c>
      <c r="D62" s="662">
        <v>0.0</v>
      </c>
      <c r="E62" s="661" t="s">
        <v>60</v>
      </c>
      <c r="F62" s="661" t="s">
        <v>61</v>
      </c>
      <c r="G62" s="661" t="s">
        <v>62</v>
      </c>
      <c r="H62" s="664"/>
      <c r="I62" s="665">
        <v>36246.0</v>
      </c>
      <c r="J62" s="665">
        <v>44851.0</v>
      </c>
      <c r="K62" s="660">
        <v>45838.0</v>
      </c>
      <c r="L62" s="611">
        <f>iferror(VLOOKUP(E62,'September 2025 Reference AI'!E:R,8,false),0)</f>
        <v>0</v>
      </c>
      <c r="M62" s="667">
        <v>45901.0</v>
      </c>
      <c r="N62" s="667">
        <v>45930.0</v>
      </c>
    </row>
    <row r="63">
      <c r="A63" s="661" t="s">
        <v>16</v>
      </c>
      <c r="B63" s="662">
        <v>4320.0</v>
      </c>
      <c r="C63" s="663" t="s">
        <v>763</v>
      </c>
      <c r="D63" s="662">
        <v>0.0</v>
      </c>
      <c r="E63" s="661" t="s">
        <v>63</v>
      </c>
      <c r="F63" s="661" t="s">
        <v>64</v>
      </c>
      <c r="G63" s="661" t="s">
        <v>65</v>
      </c>
      <c r="H63" s="664"/>
      <c r="I63" s="668">
        <v>35606.0</v>
      </c>
      <c r="J63" s="668">
        <v>44896.0</v>
      </c>
      <c r="K63" s="660" t="s">
        <v>947</v>
      </c>
      <c r="L63" s="611">
        <f>iferror(VLOOKUP(E63,'September 2025 Reference AI'!E:R,8,false),0)</f>
        <v>30</v>
      </c>
      <c r="M63" s="667">
        <v>45901.0</v>
      </c>
      <c r="N63" s="667">
        <v>45930.0</v>
      </c>
    </row>
    <row r="64">
      <c r="A64" s="661" t="s">
        <v>16</v>
      </c>
      <c r="B64" s="662">
        <v>4320.0</v>
      </c>
      <c r="C64" s="663" t="s">
        <v>763</v>
      </c>
      <c r="D64" s="662">
        <v>0.0</v>
      </c>
      <c r="E64" s="661" t="s">
        <v>63</v>
      </c>
      <c r="F64" s="661" t="s">
        <v>543</v>
      </c>
      <c r="G64" s="661" t="s">
        <v>505</v>
      </c>
      <c r="H64" s="664"/>
      <c r="I64" s="668">
        <v>36725.0</v>
      </c>
      <c r="J64" s="668">
        <v>45635.0</v>
      </c>
      <c r="K64" s="660" t="s">
        <v>947</v>
      </c>
      <c r="L64" s="611">
        <f>iferror(VLOOKUP(E64,'September 2025 Reference AI'!E:R,8,false),0)</f>
        <v>30</v>
      </c>
      <c r="M64" s="667">
        <v>45901.0</v>
      </c>
      <c r="N64" s="667">
        <v>45930.0</v>
      </c>
    </row>
    <row r="65">
      <c r="A65" s="661" t="s">
        <v>16</v>
      </c>
      <c r="B65" s="662">
        <v>4320.0</v>
      </c>
      <c r="C65" s="663" t="s">
        <v>763</v>
      </c>
      <c r="D65" s="662">
        <v>0.0</v>
      </c>
      <c r="E65" s="661" t="s">
        <v>744</v>
      </c>
      <c r="F65" s="661" t="s">
        <v>745</v>
      </c>
      <c r="G65" s="661" t="s">
        <v>746</v>
      </c>
      <c r="H65" s="664"/>
      <c r="I65" s="665">
        <v>37479.0</v>
      </c>
      <c r="J65" s="665">
        <v>45726.0</v>
      </c>
      <c r="K65" s="660" t="s">
        <v>947</v>
      </c>
      <c r="L65" s="611">
        <f>iferror(VLOOKUP(E65,'September 2025 Reference AI'!E:R,8,false),0)</f>
        <v>30</v>
      </c>
      <c r="M65" s="667">
        <v>45901.0</v>
      </c>
      <c r="N65" s="667">
        <v>45930.0</v>
      </c>
    </row>
    <row r="66">
      <c r="A66" s="661" t="s">
        <v>16</v>
      </c>
      <c r="B66" s="662">
        <v>4320.0</v>
      </c>
      <c r="C66" s="663" t="s">
        <v>763</v>
      </c>
      <c r="D66" s="662">
        <v>0.0</v>
      </c>
      <c r="E66" s="661" t="s">
        <v>620</v>
      </c>
      <c r="F66" s="661" t="s">
        <v>621</v>
      </c>
      <c r="G66" s="661" t="s">
        <v>622</v>
      </c>
      <c r="H66" s="664"/>
      <c r="I66" s="668">
        <v>37067.0</v>
      </c>
      <c r="J66" s="665">
        <v>45216.0</v>
      </c>
      <c r="K66" s="660">
        <v>45453.0</v>
      </c>
      <c r="L66" s="611">
        <f>iferror(VLOOKUP(E66,'September 2025 Reference AI'!E:R,8,false),0)</f>
        <v>0</v>
      </c>
      <c r="M66" s="667">
        <v>45901.0</v>
      </c>
      <c r="N66" s="667">
        <v>45930.0</v>
      </c>
    </row>
    <row r="67">
      <c r="A67" s="661" t="s">
        <v>16</v>
      </c>
      <c r="B67" s="662">
        <v>4320.0</v>
      </c>
      <c r="C67" s="663" t="s">
        <v>763</v>
      </c>
      <c r="D67" s="662">
        <v>0.0</v>
      </c>
      <c r="E67" s="661" t="s">
        <v>764</v>
      </c>
      <c r="F67" s="661" t="s">
        <v>765</v>
      </c>
      <c r="G67" s="661" t="s">
        <v>766</v>
      </c>
      <c r="H67" s="664"/>
      <c r="I67" s="665">
        <v>36087.0</v>
      </c>
      <c r="J67" s="665">
        <v>45761.0</v>
      </c>
      <c r="K67" s="660" t="s">
        <v>947</v>
      </c>
      <c r="L67" s="611">
        <f>iferror(VLOOKUP(E67,'September 2025 Reference AI'!E:R,8,false),0)</f>
        <v>30</v>
      </c>
      <c r="M67" s="667">
        <v>45901.0</v>
      </c>
      <c r="N67" s="667">
        <v>45930.0</v>
      </c>
    </row>
    <row r="68">
      <c r="A68" s="661" t="s">
        <v>16</v>
      </c>
      <c r="B68" s="662">
        <v>4320.0</v>
      </c>
      <c r="C68" s="663" t="s">
        <v>763</v>
      </c>
      <c r="D68" s="662">
        <v>0.0</v>
      </c>
      <c r="E68" s="661" t="s">
        <v>591</v>
      </c>
      <c r="F68" s="661" t="s">
        <v>592</v>
      </c>
      <c r="G68" s="661" t="s">
        <v>593</v>
      </c>
      <c r="H68" s="664"/>
      <c r="I68" s="666">
        <v>37041.0</v>
      </c>
      <c r="J68" s="668">
        <v>45684.0</v>
      </c>
      <c r="K68" s="660" t="s">
        <v>947</v>
      </c>
      <c r="L68" s="611">
        <f>iferror(VLOOKUP(E68,'September 2025 Reference AI'!E:R,8,false),0)</f>
        <v>30</v>
      </c>
      <c r="M68" s="667">
        <v>45901.0</v>
      </c>
      <c r="N68" s="667">
        <v>45930.0</v>
      </c>
    </row>
    <row r="69">
      <c r="A69" s="661" t="s">
        <v>16</v>
      </c>
      <c r="B69" s="662">
        <v>4320.0</v>
      </c>
      <c r="C69" s="663" t="s">
        <v>763</v>
      </c>
      <c r="D69" s="662">
        <v>0.0</v>
      </c>
      <c r="E69" s="661" t="s">
        <v>597</v>
      </c>
      <c r="F69" s="661" t="s">
        <v>598</v>
      </c>
      <c r="G69" s="661" t="s">
        <v>599</v>
      </c>
      <c r="H69" s="664"/>
      <c r="I69" s="668">
        <v>37265.0</v>
      </c>
      <c r="J69" s="668">
        <v>45684.0</v>
      </c>
      <c r="K69" s="660">
        <v>45853.0</v>
      </c>
      <c r="L69" s="611">
        <f>iferror(VLOOKUP(E69,'September 2025 Reference AI'!E:R,8,false),0)</f>
        <v>0</v>
      </c>
      <c r="M69" s="667">
        <v>45901.0</v>
      </c>
      <c r="N69" s="667">
        <v>45930.0</v>
      </c>
    </row>
    <row r="70">
      <c r="A70" s="661" t="s">
        <v>16</v>
      </c>
      <c r="B70" s="662">
        <v>4320.0</v>
      </c>
      <c r="C70" s="663" t="s">
        <v>763</v>
      </c>
      <c r="D70" s="662">
        <v>0.0</v>
      </c>
      <c r="E70" s="661" t="s">
        <v>66</v>
      </c>
      <c r="F70" s="661" t="s">
        <v>67</v>
      </c>
      <c r="G70" s="661" t="s">
        <v>68</v>
      </c>
      <c r="H70" s="664"/>
      <c r="I70" s="668">
        <v>34973.0</v>
      </c>
      <c r="J70" s="668">
        <v>44986.0</v>
      </c>
      <c r="K70" s="660">
        <v>45562.0</v>
      </c>
      <c r="L70" s="611">
        <f>iferror(VLOOKUP(E70,'September 2025 Reference AI'!E:R,8,false),0)</f>
        <v>0</v>
      </c>
      <c r="M70" s="667">
        <v>45901.0</v>
      </c>
      <c r="N70" s="667">
        <v>45930.0</v>
      </c>
    </row>
    <row r="71">
      <c r="A71" s="661" t="s">
        <v>16</v>
      </c>
      <c r="B71" s="662">
        <v>4320.0</v>
      </c>
      <c r="C71" s="663" t="s">
        <v>763</v>
      </c>
      <c r="D71" s="662">
        <v>0.0</v>
      </c>
      <c r="E71" s="661" t="s">
        <v>267</v>
      </c>
      <c r="F71" s="661" t="s">
        <v>268</v>
      </c>
      <c r="G71" s="661" t="s">
        <v>269</v>
      </c>
      <c r="H71" s="664"/>
      <c r="I71" s="665">
        <v>34590.0</v>
      </c>
      <c r="J71" s="668">
        <v>45313.0</v>
      </c>
      <c r="K71" s="660">
        <v>45882.0</v>
      </c>
      <c r="L71" s="611">
        <f>iferror(VLOOKUP(E71,'September 2025 Reference AI'!E:R,8,false),0)</f>
        <v>0</v>
      </c>
      <c r="M71" s="667">
        <v>45901.0</v>
      </c>
      <c r="N71" s="667">
        <v>45930.0</v>
      </c>
    </row>
    <row r="72">
      <c r="A72" s="661" t="s">
        <v>16</v>
      </c>
      <c r="B72" s="662">
        <v>4320.0</v>
      </c>
      <c r="C72" s="663" t="s">
        <v>763</v>
      </c>
      <c r="D72" s="662">
        <v>0.0</v>
      </c>
      <c r="E72" s="661" t="s">
        <v>69</v>
      </c>
      <c r="F72" s="661" t="s">
        <v>70</v>
      </c>
      <c r="G72" s="661" t="s">
        <v>71</v>
      </c>
      <c r="H72" s="664"/>
      <c r="I72" s="665">
        <v>36891.0</v>
      </c>
      <c r="J72" s="668">
        <v>44739.0</v>
      </c>
      <c r="K72" s="660">
        <v>45838.0</v>
      </c>
      <c r="L72" s="611">
        <f>iferror(VLOOKUP(E72,'September 2025 Reference AI'!E:R,8,false),0)</f>
        <v>0</v>
      </c>
      <c r="M72" s="667">
        <v>45901.0</v>
      </c>
      <c r="N72" s="667">
        <v>45930.0</v>
      </c>
    </row>
    <row r="73">
      <c r="A73" s="661" t="s">
        <v>16</v>
      </c>
      <c r="B73" s="662">
        <v>4320.0</v>
      </c>
      <c r="C73" s="663" t="s">
        <v>763</v>
      </c>
      <c r="D73" s="662">
        <v>0.0</v>
      </c>
      <c r="E73" s="661" t="s">
        <v>252</v>
      </c>
      <c r="F73" s="661" t="s">
        <v>253</v>
      </c>
      <c r="G73" s="661" t="s">
        <v>254</v>
      </c>
      <c r="H73" s="664"/>
      <c r="I73" s="665">
        <v>37516.0</v>
      </c>
      <c r="J73" s="665">
        <v>45159.0</v>
      </c>
      <c r="K73" s="660">
        <v>45450.0</v>
      </c>
      <c r="L73" s="611">
        <f>iferror(VLOOKUP(E73,'September 2025 Reference AI'!E:R,8,false),0)</f>
        <v>0</v>
      </c>
      <c r="M73" s="667">
        <v>45901.0</v>
      </c>
      <c r="N73" s="667">
        <v>45930.0</v>
      </c>
    </row>
    <row r="74">
      <c r="A74" s="661" t="s">
        <v>16</v>
      </c>
      <c r="B74" s="662">
        <v>4320.0</v>
      </c>
      <c r="C74" s="663" t="s">
        <v>763</v>
      </c>
      <c r="D74" s="662">
        <v>0.0</v>
      </c>
      <c r="E74" s="661" t="s">
        <v>468</v>
      </c>
      <c r="F74" s="661" t="s">
        <v>527</v>
      </c>
      <c r="G74" s="661" t="s">
        <v>469</v>
      </c>
      <c r="H74" s="664"/>
      <c r="I74" s="668">
        <v>35986.0</v>
      </c>
      <c r="J74" s="668">
        <v>45537.0</v>
      </c>
      <c r="K74" s="660" t="s">
        <v>947</v>
      </c>
      <c r="L74" s="611">
        <f>iferror(VLOOKUP(E74,'September 2025 Reference AI'!E:R,8,false),0)</f>
        <v>30</v>
      </c>
      <c r="M74" s="667">
        <v>45901.0</v>
      </c>
      <c r="N74" s="667">
        <v>45930.0</v>
      </c>
    </row>
    <row r="75">
      <c r="A75" s="661" t="s">
        <v>16</v>
      </c>
      <c r="B75" s="662">
        <v>4320.0</v>
      </c>
      <c r="C75" s="663" t="s">
        <v>763</v>
      </c>
      <c r="D75" s="662">
        <v>0.0</v>
      </c>
      <c r="E75" s="661" t="s">
        <v>72</v>
      </c>
      <c r="F75" s="661" t="s">
        <v>73</v>
      </c>
      <c r="G75" s="661" t="s">
        <v>74</v>
      </c>
      <c r="H75" s="664"/>
      <c r="I75" s="665">
        <v>37210.0</v>
      </c>
      <c r="J75" s="668">
        <v>44562.0</v>
      </c>
      <c r="K75" s="660">
        <v>45442.0</v>
      </c>
      <c r="L75" s="611">
        <f>iferror(VLOOKUP(E75,'September 2025 Reference AI'!E:R,8,false),0)</f>
        <v>0</v>
      </c>
      <c r="M75" s="667">
        <v>45901.0</v>
      </c>
      <c r="N75" s="667">
        <v>45930.0</v>
      </c>
    </row>
    <row r="76">
      <c r="A76" s="661" t="s">
        <v>16</v>
      </c>
      <c r="B76" s="662">
        <v>4320.0</v>
      </c>
      <c r="C76" s="663" t="s">
        <v>763</v>
      </c>
      <c r="D76" s="662">
        <v>0.0</v>
      </c>
      <c r="E76" s="661" t="s">
        <v>797</v>
      </c>
      <c r="F76" s="661" t="s">
        <v>798</v>
      </c>
      <c r="G76" s="661" t="s">
        <v>799</v>
      </c>
      <c r="H76" s="664"/>
      <c r="I76" s="665">
        <v>37709.0</v>
      </c>
      <c r="J76" s="666">
        <v>45789.0</v>
      </c>
      <c r="K76" s="660" t="s">
        <v>947</v>
      </c>
      <c r="L76" s="611">
        <f>iferror(VLOOKUP(E76,'September 2025 Reference AI'!E:R,8,false),0)</f>
        <v>30</v>
      </c>
      <c r="M76" s="667">
        <v>45901.0</v>
      </c>
      <c r="N76" s="667">
        <v>45930.0</v>
      </c>
    </row>
    <row r="77">
      <c r="A77" s="661" t="s">
        <v>16</v>
      </c>
      <c r="B77" s="662">
        <v>4320.0</v>
      </c>
      <c r="C77" s="663" t="s">
        <v>763</v>
      </c>
      <c r="D77" s="662">
        <v>0.0</v>
      </c>
      <c r="E77" s="661" t="s">
        <v>78</v>
      </c>
      <c r="F77" s="661" t="s">
        <v>79</v>
      </c>
      <c r="G77" s="661" t="s">
        <v>80</v>
      </c>
      <c r="H77" s="664"/>
      <c r="I77" s="665">
        <v>36401.0</v>
      </c>
      <c r="J77" s="668">
        <v>45096.0</v>
      </c>
      <c r="K77" s="660">
        <v>45838.0</v>
      </c>
      <c r="L77" s="611">
        <f>iferror(VLOOKUP(E77,'September 2025 Reference AI'!E:R,8,false),0)</f>
        <v>0</v>
      </c>
      <c r="M77" s="667">
        <v>45901.0</v>
      </c>
      <c r="N77" s="667">
        <v>45930.0</v>
      </c>
    </row>
    <row r="78">
      <c r="A78" s="661" t="s">
        <v>16</v>
      </c>
      <c r="B78" s="662">
        <v>4320.0</v>
      </c>
      <c r="C78" s="663" t="s">
        <v>763</v>
      </c>
      <c r="D78" s="662">
        <v>0.0</v>
      </c>
      <c r="E78" s="661" t="s">
        <v>555</v>
      </c>
      <c r="F78" s="661" t="s">
        <v>556</v>
      </c>
      <c r="G78" s="661" t="s">
        <v>557</v>
      </c>
      <c r="H78" s="664"/>
      <c r="I78" s="668">
        <v>36135.0</v>
      </c>
      <c r="J78" s="668">
        <v>45663.0</v>
      </c>
      <c r="K78" s="660" t="s">
        <v>947</v>
      </c>
      <c r="L78" s="611">
        <f>iferror(VLOOKUP(E78,'September 2025 Reference AI'!E:R,8,false),0)</f>
        <v>30</v>
      </c>
      <c r="M78" s="667">
        <v>45901.0</v>
      </c>
      <c r="N78" s="667">
        <v>45930.0</v>
      </c>
    </row>
    <row r="79">
      <c r="A79" s="661" t="s">
        <v>16</v>
      </c>
      <c r="B79" s="662">
        <v>4320.0</v>
      </c>
      <c r="C79" s="663" t="s">
        <v>763</v>
      </c>
      <c r="D79" s="662">
        <v>0.0</v>
      </c>
      <c r="E79" s="661" t="s">
        <v>483</v>
      </c>
      <c r="F79" s="661" t="s">
        <v>537</v>
      </c>
      <c r="G79" s="661" t="s">
        <v>484</v>
      </c>
      <c r="H79" s="664"/>
      <c r="I79" s="668">
        <v>36286.0</v>
      </c>
      <c r="J79" s="668">
        <v>45602.0</v>
      </c>
      <c r="K79" s="660">
        <v>45723.0</v>
      </c>
      <c r="L79" s="611">
        <f>iferror(VLOOKUP(E79,'September 2025 Reference AI'!E:R,8,false),0)</f>
        <v>0</v>
      </c>
      <c r="M79" s="667">
        <v>45901.0</v>
      </c>
      <c r="N79" s="667">
        <v>45930.0</v>
      </c>
    </row>
    <row r="80">
      <c r="A80" s="661" t="s">
        <v>16</v>
      </c>
      <c r="B80" s="662">
        <v>4320.0</v>
      </c>
      <c r="C80" s="663" t="s">
        <v>763</v>
      </c>
      <c r="D80" s="662">
        <v>0.0</v>
      </c>
      <c r="E80" s="661" t="s">
        <v>81</v>
      </c>
      <c r="F80" s="661" t="s">
        <v>82</v>
      </c>
      <c r="G80" s="661" t="s">
        <v>83</v>
      </c>
      <c r="H80" s="664"/>
      <c r="I80" s="665">
        <v>36113.0</v>
      </c>
      <c r="J80" s="668">
        <v>44866.0</v>
      </c>
      <c r="K80" s="660">
        <v>45299.0</v>
      </c>
      <c r="L80" s="611">
        <f>iferror(VLOOKUP(E80,'September 2025 Reference AI'!E:R,8,false),0)</f>
        <v>0</v>
      </c>
      <c r="M80" s="667">
        <v>45901.0</v>
      </c>
      <c r="N80" s="667">
        <v>45930.0</v>
      </c>
    </row>
    <row r="81">
      <c r="A81" s="661" t="s">
        <v>16</v>
      </c>
      <c r="B81" s="662">
        <v>4320.0</v>
      </c>
      <c r="C81" s="663" t="s">
        <v>763</v>
      </c>
      <c r="D81" s="662">
        <v>0.0</v>
      </c>
      <c r="E81" s="661" t="s">
        <v>485</v>
      </c>
      <c r="F81" s="661" t="s">
        <v>535</v>
      </c>
      <c r="G81" s="661" t="s">
        <v>486</v>
      </c>
      <c r="H81" s="664"/>
      <c r="I81" s="668">
        <v>36994.0</v>
      </c>
      <c r="J81" s="668">
        <v>45602.0</v>
      </c>
      <c r="K81" s="660">
        <v>45786.0</v>
      </c>
      <c r="L81" s="611">
        <f>iferror(VLOOKUP(E81,'September 2025 Reference AI'!E:R,8,false),0)</f>
        <v>0</v>
      </c>
      <c r="M81" s="667">
        <v>45901.0</v>
      </c>
      <c r="N81" s="667">
        <v>45930.0</v>
      </c>
    </row>
    <row r="82">
      <c r="A82" s="661" t="s">
        <v>16</v>
      </c>
      <c r="B82" s="662">
        <v>4320.0</v>
      </c>
      <c r="C82" s="663" t="s">
        <v>763</v>
      </c>
      <c r="D82" s="662">
        <v>0.0</v>
      </c>
      <c r="E82" s="661" t="s">
        <v>331</v>
      </c>
      <c r="F82" s="661" t="s">
        <v>332</v>
      </c>
      <c r="G82" s="661" t="s">
        <v>333</v>
      </c>
      <c r="H82" s="664"/>
      <c r="I82" s="668">
        <v>37958.0</v>
      </c>
      <c r="J82" s="665">
        <v>45369.0</v>
      </c>
      <c r="K82" s="660">
        <v>45884.0</v>
      </c>
      <c r="L82" s="611">
        <f>iferror(VLOOKUP(E82,'September 2025 Reference AI'!E:R,8,false),0)</f>
        <v>0</v>
      </c>
      <c r="M82" s="667">
        <v>45901.0</v>
      </c>
      <c r="N82" s="667">
        <v>45930.0</v>
      </c>
    </row>
    <row r="83">
      <c r="A83" s="661" t="s">
        <v>16</v>
      </c>
      <c r="B83" s="662">
        <v>4320.0</v>
      </c>
      <c r="C83" s="663" t="s">
        <v>763</v>
      </c>
      <c r="D83" s="662">
        <v>0.0</v>
      </c>
      <c r="E83" s="661" t="s">
        <v>392</v>
      </c>
      <c r="F83" s="661" t="s">
        <v>393</v>
      </c>
      <c r="G83" s="661" t="s">
        <v>394</v>
      </c>
      <c r="H83" s="664"/>
      <c r="I83" s="665">
        <v>34922.0</v>
      </c>
      <c r="J83" s="668">
        <v>45418.0</v>
      </c>
      <c r="K83" s="660" t="s">
        <v>947</v>
      </c>
      <c r="L83" s="611">
        <f>iferror(VLOOKUP(E83,'September 2025 Reference AI'!E:R,8,false),0)</f>
        <v>30</v>
      </c>
      <c r="M83" s="667">
        <v>45901.0</v>
      </c>
      <c r="N83" s="667">
        <v>45930.0</v>
      </c>
    </row>
    <row r="84">
      <c r="A84" s="661" t="s">
        <v>16</v>
      </c>
      <c r="B84" s="662">
        <v>4320.0</v>
      </c>
      <c r="C84" s="663" t="s">
        <v>763</v>
      </c>
      <c r="D84" s="662">
        <v>0.0</v>
      </c>
      <c r="E84" s="661" t="s">
        <v>696</v>
      </c>
      <c r="F84" s="661" t="s">
        <v>756</v>
      </c>
      <c r="G84" s="661" t="s">
        <v>698</v>
      </c>
      <c r="H84" s="664"/>
      <c r="I84" s="665">
        <v>36474.0</v>
      </c>
      <c r="J84" s="665">
        <v>45698.0</v>
      </c>
      <c r="K84" s="660" t="s">
        <v>947</v>
      </c>
      <c r="L84" s="611">
        <f>iferror(VLOOKUP(E84,'September 2025 Reference AI'!E:R,8,false),0)</f>
        <v>30</v>
      </c>
      <c r="M84" s="667">
        <v>45901.0</v>
      </c>
      <c r="N84" s="667">
        <v>45930.0</v>
      </c>
    </row>
    <row r="85">
      <c r="A85" s="661" t="s">
        <v>16</v>
      </c>
      <c r="B85" s="662">
        <v>4320.0</v>
      </c>
      <c r="C85" s="663" t="s">
        <v>763</v>
      </c>
      <c r="D85" s="662">
        <v>0.0</v>
      </c>
      <c r="E85" s="661" t="s">
        <v>699</v>
      </c>
      <c r="F85" s="661" t="s">
        <v>757</v>
      </c>
      <c r="G85" s="661" t="s">
        <v>701</v>
      </c>
      <c r="H85" s="664"/>
      <c r="I85" s="665">
        <v>36474.0</v>
      </c>
      <c r="J85" s="665">
        <v>45698.0</v>
      </c>
      <c r="K85" s="660" t="s">
        <v>947</v>
      </c>
      <c r="L85" s="611">
        <f>iferror(VLOOKUP(E85,'September 2025 Reference AI'!E:R,8,false),0)</f>
        <v>30</v>
      </c>
      <c r="M85" s="667">
        <v>45901.0</v>
      </c>
      <c r="N85" s="667">
        <v>45930.0</v>
      </c>
    </row>
    <row r="86">
      <c r="A86" s="661" t="s">
        <v>16</v>
      </c>
      <c r="B86" s="662">
        <v>4320.0</v>
      </c>
      <c r="C86" s="663" t="s">
        <v>763</v>
      </c>
      <c r="D86" s="662">
        <v>0.0</v>
      </c>
      <c r="E86" s="661" t="s">
        <v>576</v>
      </c>
      <c r="F86" s="661" t="s">
        <v>577</v>
      </c>
      <c r="G86" s="661" t="s">
        <v>578</v>
      </c>
      <c r="H86" s="664"/>
      <c r="I86" s="665">
        <v>37944.0</v>
      </c>
      <c r="J86" s="668">
        <v>45677.0</v>
      </c>
      <c r="K86" s="660" t="s">
        <v>947</v>
      </c>
      <c r="L86" s="611">
        <f>iferror(VLOOKUP(E86,'September 2025 Reference AI'!E:R,8,false),0)</f>
        <v>30</v>
      </c>
      <c r="M86" s="667">
        <v>45901.0</v>
      </c>
      <c r="N86" s="667">
        <v>45930.0</v>
      </c>
    </row>
    <row r="87">
      <c r="A87" s="661" t="s">
        <v>16</v>
      </c>
      <c r="B87" s="662">
        <v>4320.0</v>
      </c>
      <c r="C87" s="663" t="s">
        <v>763</v>
      </c>
      <c r="D87" s="662">
        <v>0.0</v>
      </c>
      <c r="E87" s="661" t="s">
        <v>546</v>
      </c>
      <c r="F87" s="661" t="s">
        <v>547</v>
      </c>
      <c r="G87" s="661" t="s">
        <v>548</v>
      </c>
      <c r="H87" s="664"/>
      <c r="I87" s="665">
        <v>38255.0</v>
      </c>
      <c r="J87" s="668">
        <v>45658.0</v>
      </c>
      <c r="K87" s="660" t="s">
        <v>947</v>
      </c>
      <c r="L87" s="611">
        <f>iferror(VLOOKUP(E87,'September 2025 Reference AI'!E:R,8,false),0)</f>
        <v>30</v>
      </c>
      <c r="M87" s="667">
        <v>45901.0</v>
      </c>
      <c r="N87" s="667">
        <v>45930.0</v>
      </c>
    </row>
    <row r="88">
      <c r="A88" s="661" t="s">
        <v>16</v>
      </c>
      <c r="B88" s="662">
        <v>4320.0</v>
      </c>
      <c r="C88" s="663" t="s">
        <v>763</v>
      </c>
      <c r="D88" s="662">
        <v>0.0</v>
      </c>
      <c r="E88" s="661" t="s">
        <v>741</v>
      </c>
      <c r="F88" s="661" t="s">
        <v>742</v>
      </c>
      <c r="G88" s="661" t="s">
        <v>743</v>
      </c>
      <c r="H88" s="664"/>
      <c r="I88" s="665">
        <v>37329.0</v>
      </c>
      <c r="J88" s="668">
        <v>45719.0</v>
      </c>
      <c r="K88" s="660">
        <v>45786.0</v>
      </c>
      <c r="L88" s="611">
        <f>iferror(VLOOKUP(E88,'September 2025 Reference AI'!E:R,8,false),0)</f>
        <v>0</v>
      </c>
      <c r="M88" s="667">
        <v>45901.0</v>
      </c>
      <c r="N88" s="667">
        <v>45930.0</v>
      </c>
    </row>
    <row r="89">
      <c r="A89" s="661" t="s">
        <v>16</v>
      </c>
      <c r="B89" s="662">
        <v>4320.0</v>
      </c>
      <c r="C89" s="663" t="s">
        <v>763</v>
      </c>
      <c r="D89" s="662">
        <v>0.0</v>
      </c>
      <c r="E89" s="661" t="s">
        <v>294</v>
      </c>
      <c r="F89" s="661" t="s">
        <v>295</v>
      </c>
      <c r="G89" s="661" t="s">
        <v>296</v>
      </c>
      <c r="H89" s="664"/>
      <c r="I89" s="668">
        <v>36551.0</v>
      </c>
      <c r="J89" s="665">
        <v>45278.0</v>
      </c>
      <c r="K89" s="660">
        <v>45359.0</v>
      </c>
      <c r="L89" s="611">
        <f>iferror(VLOOKUP(E89,'September 2025 Reference AI'!E:R,8,false),0)</f>
        <v>0</v>
      </c>
      <c r="M89" s="667">
        <v>45901.0</v>
      </c>
      <c r="N89" s="667">
        <v>45930.0</v>
      </c>
    </row>
    <row r="90">
      <c r="A90" s="661" t="s">
        <v>16</v>
      </c>
      <c r="B90" s="662">
        <v>4320.0</v>
      </c>
      <c r="C90" s="663" t="s">
        <v>763</v>
      </c>
      <c r="D90" s="662">
        <v>0.0</v>
      </c>
      <c r="E90" s="661" t="s">
        <v>623</v>
      </c>
      <c r="F90" s="661" t="s">
        <v>624</v>
      </c>
      <c r="G90" s="661" t="s">
        <v>625</v>
      </c>
      <c r="H90" s="664"/>
      <c r="I90" s="665">
        <v>37489.0</v>
      </c>
      <c r="J90" s="668">
        <v>45397.0</v>
      </c>
      <c r="K90" s="660">
        <v>45488.0</v>
      </c>
      <c r="L90" s="611">
        <f>iferror(VLOOKUP(E90,'September 2025 Reference AI'!E:R,8,false),0)</f>
        <v>0</v>
      </c>
      <c r="M90" s="667">
        <v>45901.0</v>
      </c>
      <c r="N90" s="667">
        <v>45930.0</v>
      </c>
    </row>
    <row r="91">
      <c r="A91" s="661" t="s">
        <v>16</v>
      </c>
      <c r="B91" s="662">
        <v>4320.0</v>
      </c>
      <c r="C91" s="663" t="s">
        <v>763</v>
      </c>
      <c r="D91" s="662">
        <v>0.0</v>
      </c>
      <c r="E91" s="663" t="s">
        <v>924</v>
      </c>
      <c r="F91" s="661" t="s">
        <v>627</v>
      </c>
      <c r="G91" s="661" t="s">
        <v>628</v>
      </c>
      <c r="H91" s="664"/>
      <c r="I91" s="665">
        <v>35257.0</v>
      </c>
      <c r="J91" s="666">
        <v>45778.0</v>
      </c>
      <c r="K91" s="660" t="s">
        <v>947</v>
      </c>
      <c r="L91" s="611">
        <f>iferror(VLOOKUP(E91,'September 2025 Reference AI'!E:R,8,false),0)</f>
        <v>30</v>
      </c>
      <c r="M91" s="667">
        <v>45901.0</v>
      </c>
      <c r="N91" s="667">
        <v>45930.0</v>
      </c>
    </row>
    <row r="92">
      <c r="A92" s="661" t="s">
        <v>16</v>
      </c>
      <c r="B92" s="662">
        <v>4320.0</v>
      </c>
      <c r="C92" s="663" t="s">
        <v>763</v>
      </c>
      <c r="D92" s="662">
        <v>0.0</v>
      </c>
      <c r="E92" s="661" t="s">
        <v>629</v>
      </c>
      <c r="F92" s="661" t="s">
        <v>630</v>
      </c>
      <c r="G92" s="661" t="s">
        <v>631</v>
      </c>
      <c r="H92" s="664"/>
      <c r="I92" s="665">
        <v>34807.0</v>
      </c>
      <c r="J92" s="666">
        <v>45778.0</v>
      </c>
      <c r="K92" s="660" t="s">
        <v>947</v>
      </c>
      <c r="L92" s="611">
        <f>iferror(VLOOKUP(E92,'September 2025 Reference AI'!E:R,8,false),0)</f>
        <v>30</v>
      </c>
      <c r="M92" s="667">
        <v>45901.0</v>
      </c>
      <c r="N92" s="667">
        <v>45930.0</v>
      </c>
    </row>
    <row r="93">
      <c r="A93" s="661" t="s">
        <v>16</v>
      </c>
      <c r="B93" s="662">
        <v>4320.0</v>
      </c>
      <c r="C93" s="663" t="s">
        <v>763</v>
      </c>
      <c r="D93" s="662">
        <v>0.0</v>
      </c>
      <c r="E93" s="661" t="s">
        <v>501</v>
      </c>
      <c r="F93" s="661" t="s">
        <v>541</v>
      </c>
      <c r="G93" s="661" t="s">
        <v>502</v>
      </c>
      <c r="H93" s="664"/>
      <c r="I93" s="665">
        <v>36062.0</v>
      </c>
      <c r="J93" s="668">
        <v>45628.0</v>
      </c>
      <c r="K93" s="660">
        <v>45895.0</v>
      </c>
      <c r="L93" s="611">
        <f>iferror(VLOOKUP(E93,'September 2025 Reference AI'!E:R,8,false),0)</f>
        <v>0</v>
      </c>
      <c r="M93" s="667">
        <v>45901.0</v>
      </c>
      <c r="N93" s="667">
        <v>45930.0</v>
      </c>
    </row>
    <row r="94">
      <c r="A94" s="661" t="s">
        <v>16</v>
      </c>
      <c r="B94" s="662">
        <v>4320.0</v>
      </c>
      <c r="C94" s="663" t="s">
        <v>763</v>
      </c>
      <c r="D94" s="662">
        <v>0.0</v>
      </c>
      <c r="E94" s="661" t="s">
        <v>270</v>
      </c>
      <c r="F94" s="661" t="s">
        <v>271</v>
      </c>
      <c r="G94" s="661" t="s">
        <v>272</v>
      </c>
      <c r="H94" s="664"/>
      <c r="I94" s="665">
        <v>36769.0</v>
      </c>
      <c r="J94" s="668">
        <v>45313.0</v>
      </c>
      <c r="K94" s="660">
        <v>45415.0</v>
      </c>
      <c r="L94" s="611">
        <f>iferror(VLOOKUP(E94,'September 2025 Reference AI'!E:R,8,false),0)</f>
        <v>0</v>
      </c>
      <c r="M94" s="667">
        <v>45901.0</v>
      </c>
      <c r="N94" s="667">
        <v>45930.0</v>
      </c>
    </row>
    <row r="95">
      <c r="A95" s="661" t="s">
        <v>16</v>
      </c>
      <c r="B95" s="662">
        <v>4320.0</v>
      </c>
      <c r="C95" s="663" t="s">
        <v>763</v>
      </c>
      <c r="D95" s="662">
        <v>0.0</v>
      </c>
      <c r="E95" s="661" t="s">
        <v>451</v>
      </c>
      <c r="F95" s="661" t="s">
        <v>512</v>
      </c>
      <c r="G95" s="661" t="s">
        <v>415</v>
      </c>
      <c r="H95" s="664"/>
      <c r="I95" s="665">
        <v>36443.0</v>
      </c>
      <c r="J95" s="668">
        <v>45446.0</v>
      </c>
      <c r="K95" s="660" t="s">
        <v>947</v>
      </c>
      <c r="L95" s="611">
        <f>iferror(VLOOKUP(E95,'September 2025 Reference AI'!E:R,8,false),0)</f>
        <v>30</v>
      </c>
      <c r="M95" s="667">
        <v>45901.0</v>
      </c>
      <c r="N95" s="667">
        <v>45930.0</v>
      </c>
    </row>
    <row r="96">
      <c r="A96" s="661" t="s">
        <v>16</v>
      </c>
      <c r="B96" s="662">
        <v>4320.0</v>
      </c>
      <c r="C96" s="663" t="s">
        <v>763</v>
      </c>
      <c r="D96" s="662">
        <v>0.0</v>
      </c>
      <c r="E96" s="661" t="s">
        <v>87</v>
      </c>
      <c r="F96" s="661" t="s">
        <v>88</v>
      </c>
      <c r="G96" s="661" t="s">
        <v>89</v>
      </c>
      <c r="H96" s="664"/>
      <c r="I96" s="666">
        <v>33737.0</v>
      </c>
      <c r="J96" s="668">
        <v>45139.0</v>
      </c>
      <c r="K96" s="660">
        <v>45734.0</v>
      </c>
      <c r="L96" s="611">
        <f>iferror(VLOOKUP(E96,'September 2025 Reference AI'!E:R,8,false),0)</f>
        <v>0</v>
      </c>
      <c r="M96" s="667">
        <v>45901.0</v>
      </c>
      <c r="N96" s="667">
        <v>45930.0</v>
      </c>
    </row>
    <row r="97">
      <c r="A97" s="661" t="s">
        <v>16</v>
      </c>
      <c r="B97" s="662">
        <v>4320.0</v>
      </c>
      <c r="C97" s="663" t="s">
        <v>763</v>
      </c>
      <c r="D97" s="662">
        <v>0.0</v>
      </c>
      <c r="E97" s="661" t="s">
        <v>632</v>
      </c>
      <c r="F97" s="661" t="s">
        <v>633</v>
      </c>
      <c r="G97" s="661" t="s">
        <v>634</v>
      </c>
      <c r="H97" s="664"/>
      <c r="I97" s="665">
        <v>35300.0</v>
      </c>
      <c r="J97" s="668">
        <v>45103.0</v>
      </c>
      <c r="K97" s="660">
        <v>45310.0</v>
      </c>
      <c r="L97" s="611">
        <f>iferror(VLOOKUP(E97,'September 2025 Reference AI'!E:R,8,false),0)</f>
        <v>0</v>
      </c>
      <c r="M97" s="667">
        <v>45901.0</v>
      </c>
      <c r="N97" s="667">
        <v>45930.0</v>
      </c>
    </row>
    <row r="98">
      <c r="A98" s="661" t="s">
        <v>16</v>
      </c>
      <c r="B98" s="662">
        <v>4320.0</v>
      </c>
      <c r="C98" s="663" t="s">
        <v>763</v>
      </c>
      <c r="D98" s="662">
        <v>0.0</v>
      </c>
      <c r="E98" s="661" t="s">
        <v>573</v>
      </c>
      <c r="F98" s="661" t="s">
        <v>574</v>
      </c>
      <c r="G98" s="661" t="s">
        <v>575</v>
      </c>
      <c r="H98" s="664"/>
      <c r="I98" s="665">
        <v>36061.0</v>
      </c>
      <c r="J98" s="668">
        <v>45677.0</v>
      </c>
      <c r="K98" s="660">
        <v>45777.0</v>
      </c>
      <c r="L98" s="611">
        <f>iferror(VLOOKUP(E98,'September 2025 Reference AI'!E:R,8,false),0)</f>
        <v>0</v>
      </c>
      <c r="M98" s="667">
        <v>45901.0</v>
      </c>
      <c r="N98" s="667">
        <v>45930.0</v>
      </c>
    </row>
    <row r="99">
      <c r="A99" s="661" t="s">
        <v>16</v>
      </c>
      <c r="B99" s="662">
        <v>4320.0</v>
      </c>
      <c r="C99" s="663" t="s">
        <v>763</v>
      </c>
      <c r="D99" s="662">
        <v>0.0</v>
      </c>
      <c r="E99" s="661" t="s">
        <v>90</v>
      </c>
      <c r="F99" s="661" t="s">
        <v>91</v>
      </c>
      <c r="G99" s="661" t="s">
        <v>92</v>
      </c>
      <c r="H99" s="664"/>
      <c r="I99" s="677">
        <v>33917.0</v>
      </c>
      <c r="J99" s="665">
        <v>45166.0</v>
      </c>
      <c r="K99" s="660">
        <v>45321.0</v>
      </c>
      <c r="L99" s="611">
        <f>iferror(VLOOKUP(E99,'September 2025 Reference AI'!E:R,8,false),0)</f>
        <v>0</v>
      </c>
      <c r="M99" s="667">
        <v>45901.0</v>
      </c>
      <c r="N99" s="667">
        <v>45930.0</v>
      </c>
    </row>
    <row r="100">
      <c r="A100" s="661" t="s">
        <v>16</v>
      </c>
      <c r="B100" s="662">
        <v>4320.0</v>
      </c>
      <c r="C100" s="663" t="s">
        <v>763</v>
      </c>
      <c r="D100" s="662">
        <v>0.0</v>
      </c>
      <c r="E100" s="661" t="s">
        <v>337</v>
      </c>
      <c r="F100" s="661" t="s">
        <v>338</v>
      </c>
      <c r="G100" s="661" t="s">
        <v>339</v>
      </c>
      <c r="H100" s="664"/>
      <c r="I100" s="665">
        <v>37539.0</v>
      </c>
      <c r="J100" s="665">
        <v>45362.0</v>
      </c>
      <c r="K100" s="660">
        <v>45657.0</v>
      </c>
      <c r="L100" s="611">
        <f>iferror(VLOOKUP(E100,'September 2025 Reference AI'!E:R,8,false),0)</f>
        <v>0</v>
      </c>
      <c r="M100" s="667">
        <v>45901.0</v>
      </c>
      <c r="N100" s="667">
        <v>45930.0</v>
      </c>
    </row>
    <row r="101">
      <c r="A101" s="661" t="s">
        <v>16</v>
      </c>
      <c r="B101" s="662">
        <v>4320.0</v>
      </c>
      <c r="C101" s="663" t="s">
        <v>763</v>
      </c>
      <c r="D101" s="662">
        <v>0.0</v>
      </c>
      <c r="E101" s="661" t="s">
        <v>297</v>
      </c>
      <c r="F101" s="661" t="s">
        <v>298</v>
      </c>
      <c r="G101" s="661" t="s">
        <v>299</v>
      </c>
      <c r="H101" s="664"/>
      <c r="I101" s="668">
        <v>36692.0</v>
      </c>
      <c r="J101" s="665">
        <v>45243.0</v>
      </c>
      <c r="K101" s="660">
        <v>45365.0</v>
      </c>
      <c r="L101" s="611">
        <f>iferror(VLOOKUP(E101,'September 2025 Reference AI'!E:R,8,false),0)</f>
        <v>0</v>
      </c>
      <c r="M101" s="667">
        <v>45901.0</v>
      </c>
      <c r="N101" s="667">
        <v>45930.0</v>
      </c>
    </row>
    <row r="102">
      <c r="A102" s="661" t="s">
        <v>16</v>
      </c>
      <c r="B102" s="662">
        <v>4320.0</v>
      </c>
      <c r="C102" s="663" t="s">
        <v>763</v>
      </c>
      <c r="D102" s="662">
        <v>0.0</v>
      </c>
      <c r="E102" s="661" t="s">
        <v>93</v>
      </c>
      <c r="F102" s="661" t="s">
        <v>94</v>
      </c>
      <c r="G102" s="661" t="s">
        <v>95</v>
      </c>
      <c r="H102" s="664"/>
      <c r="I102" s="668">
        <v>36137.0</v>
      </c>
      <c r="J102" s="668">
        <v>45098.0</v>
      </c>
      <c r="K102" s="660">
        <v>45246.0</v>
      </c>
      <c r="L102" s="611">
        <f>iferror(VLOOKUP(E102,'September 2025 Reference AI'!E:R,8,false),0)</f>
        <v>0</v>
      </c>
      <c r="M102" s="667">
        <v>45901.0</v>
      </c>
      <c r="N102" s="667">
        <v>45930.0</v>
      </c>
    </row>
    <row r="103">
      <c r="A103" s="661" t="s">
        <v>16</v>
      </c>
      <c r="B103" s="662">
        <v>4320.0</v>
      </c>
      <c r="C103" s="663" t="s">
        <v>763</v>
      </c>
      <c r="D103" s="662">
        <v>0.0</v>
      </c>
      <c r="E103" s="661" t="s">
        <v>579</v>
      </c>
      <c r="F103" s="661" t="s">
        <v>580</v>
      </c>
      <c r="G103" s="661" t="s">
        <v>581</v>
      </c>
      <c r="H103" s="664"/>
      <c r="I103" s="665">
        <v>37609.0</v>
      </c>
      <c r="J103" s="668">
        <v>45677.0</v>
      </c>
      <c r="K103" s="660" t="s">
        <v>947</v>
      </c>
      <c r="L103" s="611">
        <f>iferror(VLOOKUP(E103,'September 2025 Reference AI'!E:R,8,false),0)</f>
        <v>30</v>
      </c>
      <c r="M103" s="667">
        <v>45901.0</v>
      </c>
      <c r="N103" s="667">
        <v>45930.0</v>
      </c>
    </row>
    <row r="104">
      <c r="A104" s="661" t="s">
        <v>16</v>
      </c>
      <c r="B104" s="662">
        <v>4320.0</v>
      </c>
      <c r="C104" s="663" t="s">
        <v>763</v>
      </c>
      <c r="D104" s="662">
        <v>0.0</v>
      </c>
      <c r="E104" s="661" t="s">
        <v>817</v>
      </c>
      <c r="F104" s="661" t="s">
        <v>637</v>
      </c>
      <c r="G104" s="661" t="s">
        <v>638</v>
      </c>
      <c r="H104" s="664"/>
      <c r="I104" s="665">
        <v>36720.0</v>
      </c>
      <c r="J104" s="666">
        <v>45778.0</v>
      </c>
      <c r="K104" s="660">
        <v>45882.0</v>
      </c>
      <c r="L104" s="611">
        <f>iferror(VLOOKUP(E104,'September 2025 Reference AI'!E:R,8,false),0)</f>
        <v>0</v>
      </c>
      <c r="M104" s="667">
        <v>45901.0</v>
      </c>
      <c r="N104" s="667">
        <v>45930.0</v>
      </c>
    </row>
    <row r="105">
      <c r="A105" s="661" t="s">
        <v>16</v>
      </c>
      <c r="B105" s="662">
        <v>4320.0</v>
      </c>
      <c r="C105" s="663" t="s">
        <v>763</v>
      </c>
      <c r="D105" s="662">
        <v>0.0</v>
      </c>
      <c r="E105" s="661" t="s">
        <v>452</v>
      </c>
      <c r="F105" s="661" t="s">
        <v>513</v>
      </c>
      <c r="G105" s="661" t="s">
        <v>454</v>
      </c>
      <c r="H105" s="664"/>
      <c r="I105" s="668">
        <v>37834.0</v>
      </c>
      <c r="J105" s="668">
        <v>45505.0</v>
      </c>
      <c r="K105" s="660">
        <v>45667.0</v>
      </c>
      <c r="L105" s="611">
        <f>iferror(VLOOKUP(E105,'September 2025 Reference AI'!E:R,8,false),0)</f>
        <v>0</v>
      </c>
      <c r="M105" s="667">
        <v>45901.0</v>
      </c>
      <c r="N105" s="667">
        <v>45930.0</v>
      </c>
    </row>
    <row r="106">
      <c r="A106" s="661" t="s">
        <v>16</v>
      </c>
      <c r="B106" s="662">
        <v>4320.0</v>
      </c>
      <c r="C106" s="663" t="s">
        <v>763</v>
      </c>
      <c r="D106" s="662">
        <v>0.0</v>
      </c>
      <c r="E106" s="661" t="s">
        <v>99</v>
      </c>
      <c r="F106" s="661" t="s">
        <v>100</v>
      </c>
      <c r="G106" s="661" t="s">
        <v>101</v>
      </c>
      <c r="H106" s="664"/>
      <c r="I106" s="665">
        <v>37240.0</v>
      </c>
      <c r="J106" s="668">
        <v>45176.0</v>
      </c>
      <c r="K106" s="660">
        <v>45535.0</v>
      </c>
      <c r="L106" s="611">
        <f>iferror(VLOOKUP(E106,'September 2025 Reference AI'!E:R,8,false),0)</f>
        <v>0</v>
      </c>
      <c r="M106" s="667">
        <v>45901.0</v>
      </c>
      <c r="N106" s="667">
        <v>45930.0</v>
      </c>
    </row>
    <row r="107">
      <c r="A107" s="661" t="s">
        <v>16</v>
      </c>
      <c r="B107" s="662">
        <v>4320.0</v>
      </c>
      <c r="C107" s="663" t="s">
        <v>763</v>
      </c>
      <c r="D107" s="662">
        <v>0.0</v>
      </c>
      <c r="E107" s="661" t="s">
        <v>476</v>
      </c>
      <c r="F107" s="661" t="s">
        <v>529</v>
      </c>
      <c r="G107" s="661" t="s">
        <v>477</v>
      </c>
      <c r="H107" s="664"/>
      <c r="I107" s="665">
        <v>37220.0</v>
      </c>
      <c r="J107" s="668">
        <v>45572.0</v>
      </c>
      <c r="K107" s="660" t="s">
        <v>947</v>
      </c>
      <c r="L107" s="611">
        <f>iferror(VLOOKUP(E107,'September 2025 Reference AI'!E:R,8,false),0)</f>
        <v>30</v>
      </c>
      <c r="M107" s="667">
        <v>45901.0</v>
      </c>
      <c r="N107" s="667">
        <v>45930.0</v>
      </c>
    </row>
    <row r="108">
      <c r="A108" s="661" t="s">
        <v>16</v>
      </c>
      <c r="B108" s="662">
        <v>4320.0</v>
      </c>
      <c r="C108" s="663" t="s">
        <v>763</v>
      </c>
      <c r="D108" s="662">
        <v>0.0</v>
      </c>
      <c r="E108" s="661" t="s">
        <v>102</v>
      </c>
      <c r="F108" s="661" t="s">
        <v>103</v>
      </c>
      <c r="G108" s="661" t="s">
        <v>104</v>
      </c>
      <c r="H108" s="664"/>
      <c r="I108" s="668">
        <v>33240.0</v>
      </c>
      <c r="J108" s="668">
        <v>44287.0</v>
      </c>
      <c r="K108" s="660" t="s">
        <v>947</v>
      </c>
      <c r="L108" s="611">
        <f>iferror(VLOOKUP(E108,'September 2025 Reference AI'!E:R,8,false),0)</f>
        <v>30</v>
      </c>
      <c r="M108" s="667">
        <v>45901.0</v>
      </c>
      <c r="N108" s="667">
        <v>45930.0</v>
      </c>
    </row>
    <row r="109">
      <c r="A109" s="661" t="s">
        <v>16</v>
      </c>
      <c r="B109" s="662">
        <v>4320.0</v>
      </c>
      <c r="C109" s="663" t="s">
        <v>763</v>
      </c>
      <c r="D109" s="662">
        <v>0.0</v>
      </c>
      <c r="E109" s="661" t="s">
        <v>255</v>
      </c>
      <c r="F109" s="661" t="s">
        <v>256</v>
      </c>
      <c r="G109" s="661" t="s">
        <v>257</v>
      </c>
      <c r="H109" s="664"/>
      <c r="I109" s="668">
        <v>35173.0</v>
      </c>
      <c r="J109" s="668">
        <v>45264.0</v>
      </c>
      <c r="K109" s="660">
        <v>45833.0</v>
      </c>
      <c r="L109" s="611">
        <f>iferror(VLOOKUP(E109,'September 2025 Reference AI'!E:R,8,false),0)</f>
        <v>0</v>
      </c>
      <c r="M109" s="667">
        <v>45901.0</v>
      </c>
      <c r="N109" s="667">
        <v>45930.0</v>
      </c>
    </row>
    <row r="110">
      <c r="A110" s="661" t="s">
        <v>16</v>
      </c>
      <c r="B110" s="662">
        <v>4320.0</v>
      </c>
      <c r="C110" s="663" t="s">
        <v>763</v>
      </c>
      <c r="D110" s="662">
        <v>0.0</v>
      </c>
      <c r="E110" s="661" t="s">
        <v>438</v>
      </c>
      <c r="F110" s="661" t="s">
        <v>341</v>
      </c>
      <c r="G110" s="661" t="s">
        <v>342</v>
      </c>
      <c r="H110" s="664"/>
      <c r="I110" s="668">
        <v>37964.0</v>
      </c>
      <c r="J110" s="668">
        <v>45355.0</v>
      </c>
      <c r="K110" s="660">
        <v>45900.0</v>
      </c>
      <c r="L110" s="611">
        <f>iferror(VLOOKUP(E110,'September 2025 Reference AI'!E:R,8,false),0)</f>
        <v>0</v>
      </c>
      <c r="M110" s="667">
        <v>45901.0</v>
      </c>
      <c r="N110" s="667">
        <v>45930.0</v>
      </c>
    </row>
    <row r="111">
      <c r="A111" s="661" t="s">
        <v>16</v>
      </c>
      <c r="B111" s="662">
        <v>4320.0</v>
      </c>
      <c r="C111" s="663" t="s">
        <v>763</v>
      </c>
      <c r="D111" s="662">
        <v>0.0</v>
      </c>
      <c r="E111" s="661" t="s">
        <v>105</v>
      </c>
      <c r="F111" s="661" t="s">
        <v>106</v>
      </c>
      <c r="G111" s="661" t="s">
        <v>107</v>
      </c>
      <c r="H111" s="664"/>
      <c r="I111" s="668">
        <v>37136.0</v>
      </c>
      <c r="J111" s="665">
        <v>45181.0</v>
      </c>
      <c r="K111" s="660">
        <v>45054.0</v>
      </c>
      <c r="L111" s="611">
        <f>iferror(VLOOKUP(E111,'September 2025 Reference AI'!E:R,8,false),0)</f>
        <v>0</v>
      </c>
      <c r="M111" s="667">
        <v>45901.0</v>
      </c>
      <c r="N111" s="667">
        <v>45930.0</v>
      </c>
    </row>
    <row r="112">
      <c r="A112" s="661" t="s">
        <v>16</v>
      </c>
      <c r="B112" s="662">
        <v>4320.0</v>
      </c>
      <c r="C112" s="663" t="s">
        <v>763</v>
      </c>
      <c r="D112" s="662">
        <v>0.0</v>
      </c>
      <c r="E112" s="678" t="s">
        <v>639</v>
      </c>
      <c r="F112" s="661" t="s">
        <v>323</v>
      </c>
      <c r="G112" s="661" t="s">
        <v>324</v>
      </c>
      <c r="H112" s="664"/>
      <c r="I112" s="668">
        <v>37100.0</v>
      </c>
      <c r="J112" s="665">
        <v>45376.0</v>
      </c>
      <c r="K112" s="660">
        <v>45425.0</v>
      </c>
      <c r="L112" s="611">
        <f>iferror(VLOOKUP(E112,'September 2025 Reference AI'!E:R,8,false),0)</f>
        <v>0</v>
      </c>
      <c r="M112" s="667">
        <v>45901.0</v>
      </c>
      <c r="N112" s="667">
        <v>45930.0</v>
      </c>
    </row>
    <row r="113">
      <c r="A113" s="661" t="s">
        <v>16</v>
      </c>
      <c r="B113" s="662">
        <v>4320.0</v>
      </c>
      <c r="C113" s="663" t="s">
        <v>763</v>
      </c>
      <c r="D113" s="662">
        <v>0.0</v>
      </c>
      <c r="E113" s="679" t="s">
        <v>508</v>
      </c>
      <c r="F113" s="661" t="s">
        <v>545</v>
      </c>
      <c r="G113" s="661" t="s">
        <v>509</v>
      </c>
      <c r="H113" s="664"/>
      <c r="I113" s="668">
        <v>36637.0</v>
      </c>
      <c r="J113" s="665">
        <v>45649.0</v>
      </c>
      <c r="K113" s="660" t="s">
        <v>947</v>
      </c>
      <c r="L113" s="611">
        <f>iferror(VLOOKUP(E113,'September 2025 Reference AI'!E:R,8,false),0)</f>
        <v>30</v>
      </c>
      <c r="M113" s="667">
        <v>45901.0</v>
      </c>
      <c r="N113" s="667">
        <v>45930.0</v>
      </c>
    </row>
    <row r="114">
      <c r="A114" s="661" t="s">
        <v>16</v>
      </c>
      <c r="B114" s="662">
        <v>4320.0</v>
      </c>
      <c r="C114" s="663" t="s">
        <v>763</v>
      </c>
      <c r="D114" s="662">
        <v>0.0</v>
      </c>
      <c r="E114" s="678" t="s">
        <v>395</v>
      </c>
      <c r="F114" s="661" t="s">
        <v>396</v>
      </c>
      <c r="G114" s="661" t="s">
        <v>397</v>
      </c>
      <c r="H114" s="664"/>
      <c r="I114" s="668">
        <v>36557.0</v>
      </c>
      <c r="J114" s="666">
        <v>45432.0</v>
      </c>
      <c r="K114" s="660">
        <v>45807.0</v>
      </c>
      <c r="L114" s="611">
        <f>iferror(VLOOKUP(E114,'September 2025 Reference AI'!E:R,8,false),0)</f>
        <v>0</v>
      </c>
      <c r="M114" s="667">
        <v>45901.0</v>
      </c>
      <c r="N114" s="667">
        <v>45930.0</v>
      </c>
    </row>
    <row r="115">
      <c r="A115" s="661" t="s">
        <v>16</v>
      </c>
      <c r="B115" s="662">
        <v>4320.0</v>
      </c>
      <c r="C115" s="663" t="s">
        <v>763</v>
      </c>
      <c r="D115" s="662">
        <v>0.0</v>
      </c>
      <c r="E115" s="679" t="s">
        <v>370</v>
      </c>
      <c r="F115" s="661" t="s">
        <v>371</v>
      </c>
      <c r="G115" s="661" t="s">
        <v>372</v>
      </c>
      <c r="H115" s="664"/>
      <c r="I115" s="668">
        <v>35551.0</v>
      </c>
      <c r="J115" s="668">
        <v>45383.0</v>
      </c>
      <c r="K115" s="660" t="s">
        <v>947</v>
      </c>
      <c r="L115" s="611">
        <f>iferror(VLOOKUP(E115,'September 2025 Reference AI'!E:R,8,false),0)</f>
        <v>30</v>
      </c>
      <c r="M115" s="667">
        <v>45901.0</v>
      </c>
      <c r="N115" s="667">
        <v>45930.0</v>
      </c>
    </row>
    <row r="116">
      <c r="A116" s="661" t="s">
        <v>16</v>
      </c>
      <c r="B116" s="662">
        <v>4320.0</v>
      </c>
      <c r="C116" s="663" t="s">
        <v>763</v>
      </c>
      <c r="D116" s="662">
        <v>0.0</v>
      </c>
      <c r="E116" s="678" t="s">
        <v>640</v>
      </c>
      <c r="F116" s="661" t="s">
        <v>641</v>
      </c>
      <c r="G116" s="661" t="s">
        <v>642</v>
      </c>
      <c r="H116" s="664"/>
      <c r="I116" s="665">
        <v>35152.0</v>
      </c>
      <c r="J116" s="665">
        <v>45180.0</v>
      </c>
      <c r="K116" s="660">
        <v>45233.0</v>
      </c>
      <c r="L116" s="611">
        <f>iferror(VLOOKUP(E116,'September 2025 Reference AI'!E:R,8,false),0)</f>
        <v>0</v>
      </c>
      <c r="M116" s="667">
        <v>45901.0</v>
      </c>
      <c r="N116" s="667">
        <v>45930.0</v>
      </c>
    </row>
    <row r="117">
      <c r="A117" s="661" t="s">
        <v>16</v>
      </c>
      <c r="B117" s="662">
        <v>4320.0</v>
      </c>
      <c r="C117" s="663" t="s">
        <v>763</v>
      </c>
      <c r="D117" s="662">
        <v>0.0</v>
      </c>
      <c r="E117" s="679" t="s">
        <v>111</v>
      </c>
      <c r="F117" s="661" t="s">
        <v>112</v>
      </c>
      <c r="G117" s="661" t="s">
        <v>113</v>
      </c>
      <c r="H117" s="664"/>
      <c r="I117" s="668">
        <v>36898.0</v>
      </c>
      <c r="J117" s="668">
        <v>44988.0</v>
      </c>
      <c r="K117" s="660">
        <v>45412.0</v>
      </c>
      <c r="L117" s="611">
        <f>iferror(VLOOKUP(E117,'September 2025 Reference AI'!E:R,8,false),0)</f>
        <v>0</v>
      </c>
      <c r="M117" s="667">
        <v>45901.0</v>
      </c>
      <c r="N117" s="667">
        <v>45930.0</v>
      </c>
    </row>
    <row r="118">
      <c r="A118" s="661" t="s">
        <v>16</v>
      </c>
      <c r="B118" s="662">
        <v>4320.0</v>
      </c>
      <c r="C118" s="663" t="s">
        <v>763</v>
      </c>
      <c r="D118" s="662">
        <v>0.0</v>
      </c>
      <c r="E118" s="678" t="s">
        <v>114</v>
      </c>
      <c r="F118" s="661" t="s">
        <v>514</v>
      </c>
      <c r="G118" s="661" t="s">
        <v>456</v>
      </c>
      <c r="H118" s="664"/>
      <c r="I118" s="665">
        <v>35872.0</v>
      </c>
      <c r="J118" s="665">
        <v>45523.0</v>
      </c>
      <c r="K118" s="660" t="s">
        <v>947</v>
      </c>
      <c r="L118" s="611">
        <f>iferror(VLOOKUP(E118,'September 2025 Reference AI'!E:R,8,false),0)</f>
        <v>30</v>
      </c>
      <c r="M118" s="667">
        <v>45901.0</v>
      </c>
      <c r="N118" s="667">
        <v>45930.0</v>
      </c>
    </row>
    <row r="119">
      <c r="A119" s="661" t="s">
        <v>16</v>
      </c>
      <c r="B119" s="662">
        <v>4320.0</v>
      </c>
      <c r="C119" s="663" t="s">
        <v>763</v>
      </c>
      <c r="D119" s="662">
        <v>0.0</v>
      </c>
      <c r="E119" s="679" t="s">
        <v>114</v>
      </c>
      <c r="F119" s="661" t="s">
        <v>115</v>
      </c>
      <c r="G119" s="661" t="s">
        <v>116</v>
      </c>
      <c r="H119" s="664"/>
      <c r="I119" s="668">
        <v>35159.0</v>
      </c>
      <c r="J119" s="668">
        <v>45078.0</v>
      </c>
      <c r="K119" s="660">
        <v>45322.0</v>
      </c>
      <c r="L119" s="251">
        <v>0.0</v>
      </c>
      <c r="M119" s="667">
        <v>45901.0</v>
      </c>
      <c r="N119" s="667">
        <v>45930.0</v>
      </c>
    </row>
    <row r="120">
      <c r="A120" s="661" t="s">
        <v>16</v>
      </c>
      <c r="B120" s="662">
        <v>4320.0</v>
      </c>
      <c r="C120" s="663" t="s">
        <v>763</v>
      </c>
      <c r="D120" s="662">
        <v>0.0</v>
      </c>
      <c r="E120" s="680" t="s">
        <v>857</v>
      </c>
      <c r="F120" s="670" t="s">
        <v>858</v>
      </c>
      <c r="G120" s="670" t="s">
        <v>859</v>
      </c>
      <c r="H120" s="671"/>
      <c r="I120" s="672">
        <v>36087.0</v>
      </c>
      <c r="J120" s="672">
        <v>45810.0</v>
      </c>
      <c r="K120" s="660">
        <v>45853.0</v>
      </c>
      <c r="L120" s="611">
        <f>iferror(VLOOKUP(E120,'September 2025 Reference AI'!E:R,8,false),0)</f>
        <v>0</v>
      </c>
      <c r="M120" s="667">
        <v>45901.0</v>
      </c>
      <c r="N120" s="667">
        <v>45930.0</v>
      </c>
    </row>
    <row r="121">
      <c r="A121" s="661" t="s">
        <v>16</v>
      </c>
      <c r="B121" s="662">
        <v>4320.0</v>
      </c>
      <c r="C121" s="663" t="s">
        <v>763</v>
      </c>
      <c r="D121" s="662">
        <v>0.0</v>
      </c>
      <c r="E121" s="679" t="s">
        <v>457</v>
      </c>
      <c r="F121" s="661" t="s">
        <v>515</v>
      </c>
      <c r="G121" s="661" t="s">
        <v>458</v>
      </c>
      <c r="H121" s="664"/>
      <c r="I121" s="668">
        <v>37061.0</v>
      </c>
      <c r="J121" s="665">
        <v>45505.0</v>
      </c>
      <c r="K121" s="660">
        <v>45808.0</v>
      </c>
      <c r="L121" s="611">
        <f>iferror(VLOOKUP(E121,'September 2025 Reference AI'!E:R,8,false),0)</f>
        <v>0</v>
      </c>
      <c r="M121" s="667">
        <v>45901.0</v>
      </c>
      <c r="N121" s="667">
        <v>45930.0</v>
      </c>
    </row>
    <row r="122">
      <c r="A122" s="661" t="s">
        <v>16</v>
      </c>
      <c r="B122" s="662">
        <v>4320.0</v>
      </c>
      <c r="C122" s="663" t="s">
        <v>763</v>
      </c>
      <c r="D122" s="662">
        <v>0.0</v>
      </c>
      <c r="E122" s="678" t="s">
        <v>439</v>
      </c>
      <c r="F122" s="661" t="s">
        <v>121</v>
      </c>
      <c r="G122" s="661" t="s">
        <v>122</v>
      </c>
      <c r="H122" s="664"/>
      <c r="I122" s="665">
        <v>36794.0</v>
      </c>
      <c r="J122" s="665">
        <v>44915.0</v>
      </c>
      <c r="K122" s="660">
        <v>45709.0</v>
      </c>
      <c r="L122" s="611">
        <f>iferror(VLOOKUP(E122,'September 2025 Reference AI'!E:R,8,false),0)</f>
        <v>0</v>
      </c>
      <c r="M122" s="667">
        <v>45901.0</v>
      </c>
      <c r="N122" s="667">
        <v>45930.0</v>
      </c>
    </row>
    <row r="123">
      <c r="A123" s="661" t="s">
        <v>16</v>
      </c>
      <c r="B123" s="662">
        <v>4320.0</v>
      </c>
      <c r="C123" s="663" t="s">
        <v>763</v>
      </c>
      <c r="D123" s="662">
        <v>0.0</v>
      </c>
      <c r="E123" s="679" t="s">
        <v>643</v>
      </c>
      <c r="F123" s="661" t="s">
        <v>124</v>
      </c>
      <c r="G123" s="661" t="s">
        <v>125</v>
      </c>
      <c r="H123" s="664"/>
      <c r="I123" s="665">
        <v>37149.0</v>
      </c>
      <c r="J123" s="668">
        <v>45124.0</v>
      </c>
      <c r="K123" s="660">
        <v>45453.0</v>
      </c>
      <c r="L123" s="611">
        <f>iferror(VLOOKUP(E123,'September 2025 Reference AI'!E:R,8,false),0)</f>
        <v>0</v>
      </c>
      <c r="M123" s="667">
        <v>45901.0</v>
      </c>
      <c r="N123" s="667">
        <v>45930.0</v>
      </c>
    </row>
    <row r="124">
      <c r="A124" s="661" t="s">
        <v>16</v>
      </c>
      <c r="B124" s="662">
        <v>4320.0</v>
      </c>
      <c r="C124" s="663" t="s">
        <v>763</v>
      </c>
      <c r="D124" s="662">
        <v>0.0</v>
      </c>
      <c r="E124" s="678" t="s">
        <v>237</v>
      </c>
      <c r="F124" s="661" t="s">
        <v>238</v>
      </c>
      <c r="G124" s="661" t="s">
        <v>239</v>
      </c>
      <c r="H124" s="664"/>
      <c r="I124" s="668">
        <v>34503.0</v>
      </c>
      <c r="J124" s="665">
        <v>45251.0</v>
      </c>
      <c r="K124" s="660">
        <v>45338.0</v>
      </c>
      <c r="L124" s="611">
        <f>iferror(VLOOKUP(E124,'September 2025 Reference AI'!E:R,8,false),0)</f>
        <v>0</v>
      </c>
      <c r="M124" s="667">
        <v>45901.0</v>
      </c>
      <c r="N124" s="667">
        <v>45930.0</v>
      </c>
    </row>
    <row r="125">
      <c r="A125" s="661" t="s">
        <v>16</v>
      </c>
      <c r="B125" s="662">
        <v>4320.0</v>
      </c>
      <c r="C125" s="663" t="s">
        <v>763</v>
      </c>
      <c r="D125" s="662">
        <v>0.0</v>
      </c>
      <c r="E125" s="661" t="s">
        <v>506</v>
      </c>
      <c r="F125" s="661" t="s">
        <v>544</v>
      </c>
      <c r="G125" s="661" t="s">
        <v>507</v>
      </c>
      <c r="H125" s="664"/>
      <c r="I125" s="665">
        <v>36981.0</v>
      </c>
      <c r="J125" s="665">
        <v>45642.0</v>
      </c>
      <c r="K125" s="660">
        <v>45900.0</v>
      </c>
      <c r="L125" s="611">
        <f>iferror(VLOOKUP(E125,'September 2025 Reference AI'!E:R,8,false),0)</f>
        <v>0</v>
      </c>
      <c r="M125" s="667">
        <v>45901.0</v>
      </c>
      <c r="N125" s="667">
        <v>45930.0</v>
      </c>
    </row>
    <row r="126">
      <c r="A126" s="661" t="s">
        <v>16</v>
      </c>
      <c r="B126" s="662">
        <v>4320.0</v>
      </c>
      <c r="C126" s="663" t="s">
        <v>763</v>
      </c>
      <c r="D126" s="662">
        <v>0.0</v>
      </c>
      <c r="E126" s="661" t="s">
        <v>788</v>
      </c>
      <c r="F126" s="661" t="s">
        <v>823</v>
      </c>
      <c r="G126" s="661" t="s">
        <v>790</v>
      </c>
      <c r="H126" s="664"/>
      <c r="I126" s="665">
        <v>36459.0</v>
      </c>
      <c r="J126" s="666">
        <v>45789.0</v>
      </c>
      <c r="K126" s="660">
        <v>45873.0</v>
      </c>
      <c r="L126" s="611">
        <f>iferror(VLOOKUP(E126,'September 2025 Reference AI'!E:R,8,false),0)</f>
        <v>0</v>
      </c>
      <c r="M126" s="667">
        <v>45901.0</v>
      </c>
      <c r="N126" s="667">
        <v>45930.0</v>
      </c>
    </row>
    <row r="127">
      <c r="A127" s="661" t="s">
        <v>16</v>
      </c>
      <c r="B127" s="662">
        <v>4320.0</v>
      </c>
      <c r="C127" s="663" t="s">
        <v>763</v>
      </c>
      <c r="D127" s="662">
        <v>0.0</v>
      </c>
      <c r="E127" s="661" t="s">
        <v>487</v>
      </c>
      <c r="F127" s="661" t="s">
        <v>533</v>
      </c>
      <c r="G127" s="661" t="s">
        <v>488</v>
      </c>
      <c r="H127" s="664"/>
      <c r="I127" s="666">
        <v>35195.0</v>
      </c>
      <c r="J127" s="668">
        <v>45602.0</v>
      </c>
      <c r="K127" s="660" t="s">
        <v>947</v>
      </c>
      <c r="L127" s="611">
        <f>iferror(VLOOKUP(E127,'September 2025 Reference AI'!E:R,8,false),0)</f>
        <v>30</v>
      </c>
      <c r="M127" s="667">
        <v>45901.0</v>
      </c>
      <c r="N127" s="667">
        <v>45930.0</v>
      </c>
    </row>
    <row r="128">
      <c r="A128" s="661" t="s">
        <v>16</v>
      </c>
      <c r="B128" s="662">
        <v>4320.0</v>
      </c>
      <c r="C128" s="663" t="s">
        <v>763</v>
      </c>
      <c r="D128" s="662">
        <v>0.0</v>
      </c>
      <c r="E128" s="661" t="s">
        <v>343</v>
      </c>
      <c r="F128" s="661" t="s">
        <v>344</v>
      </c>
      <c r="G128" s="661" t="s">
        <v>345</v>
      </c>
      <c r="H128" s="664"/>
      <c r="I128" s="665">
        <v>36821.0</v>
      </c>
      <c r="J128" s="665">
        <v>45362.0</v>
      </c>
      <c r="K128" s="660" t="s">
        <v>947</v>
      </c>
      <c r="L128" s="611">
        <f>iferror(VLOOKUP(E128,'September 2025 Reference AI'!E:R,8,false),0)</f>
        <v>30</v>
      </c>
      <c r="M128" s="667">
        <v>45901.0</v>
      </c>
      <c r="N128" s="667">
        <v>45930.0</v>
      </c>
    </row>
    <row r="129">
      <c r="A129" s="661" t="s">
        <v>16</v>
      </c>
      <c r="B129" s="662">
        <v>4320.0</v>
      </c>
      <c r="C129" s="663" t="s">
        <v>763</v>
      </c>
      <c r="D129" s="662">
        <v>0.0</v>
      </c>
      <c r="E129" s="661" t="s">
        <v>750</v>
      </c>
      <c r="F129" s="661" t="s">
        <v>751</v>
      </c>
      <c r="G129" s="661" t="s">
        <v>752</v>
      </c>
      <c r="H129" s="664"/>
      <c r="I129" s="665">
        <v>36581.0</v>
      </c>
      <c r="J129" s="665">
        <v>45740.0</v>
      </c>
      <c r="K129" s="660" t="s">
        <v>947</v>
      </c>
      <c r="L129" s="611">
        <f>iferror(VLOOKUP(E129,'September 2025 Reference AI'!E:R,8,false),0)</f>
        <v>30</v>
      </c>
      <c r="M129" s="667">
        <v>45901.0</v>
      </c>
      <c r="N129" s="667">
        <v>45930.0</v>
      </c>
    </row>
    <row r="130">
      <c r="A130" s="661" t="s">
        <v>16</v>
      </c>
      <c r="B130" s="662">
        <v>4320.0</v>
      </c>
      <c r="C130" s="663" t="s">
        <v>763</v>
      </c>
      <c r="D130" s="662">
        <v>0.0</v>
      </c>
      <c r="E130" s="661" t="s">
        <v>129</v>
      </c>
      <c r="F130" s="661" t="s">
        <v>130</v>
      </c>
      <c r="G130" s="661" t="s">
        <v>131</v>
      </c>
      <c r="H130" s="664"/>
      <c r="I130" s="665">
        <v>36207.0</v>
      </c>
      <c r="J130" s="668">
        <v>45054.0</v>
      </c>
      <c r="K130" s="660">
        <v>44960.0</v>
      </c>
      <c r="L130" s="611">
        <f>iferror(VLOOKUP(E130,'September 2025 Reference AI'!E:R,8,false),0)</f>
        <v>0</v>
      </c>
      <c r="M130" s="667">
        <v>45901.0</v>
      </c>
      <c r="N130" s="667">
        <v>45930.0</v>
      </c>
    </row>
    <row r="131">
      <c r="A131" s="661" t="s">
        <v>16</v>
      </c>
      <c r="B131" s="662">
        <v>4320.0</v>
      </c>
      <c r="C131" s="663" t="s">
        <v>763</v>
      </c>
      <c r="D131" s="662">
        <v>0.0</v>
      </c>
      <c r="E131" s="661" t="s">
        <v>429</v>
      </c>
      <c r="F131" s="661" t="s">
        <v>516</v>
      </c>
      <c r="G131" s="661" t="s">
        <v>430</v>
      </c>
      <c r="H131" s="664"/>
      <c r="I131" s="668">
        <v>37257.0</v>
      </c>
      <c r="J131" s="668">
        <v>45481.0</v>
      </c>
      <c r="K131" s="660">
        <v>45900.0</v>
      </c>
      <c r="L131" s="611">
        <f>iferror(VLOOKUP(E131,'September 2025 Reference AI'!E:R,8,false),0)</f>
        <v>0</v>
      </c>
      <c r="M131" s="667">
        <v>45901.0</v>
      </c>
      <c r="N131" s="667">
        <v>45930.0</v>
      </c>
    </row>
    <row r="132">
      <c r="A132" s="661" t="s">
        <v>16</v>
      </c>
      <c r="B132" s="662">
        <v>4320.0</v>
      </c>
      <c r="C132" s="663" t="s">
        <v>763</v>
      </c>
      <c r="D132" s="662">
        <v>0.0</v>
      </c>
      <c r="E132" s="661" t="s">
        <v>489</v>
      </c>
      <c r="F132" s="661" t="s">
        <v>536</v>
      </c>
      <c r="G132" s="661" t="s">
        <v>490</v>
      </c>
      <c r="H132" s="664"/>
      <c r="I132" s="668">
        <v>37105.0</v>
      </c>
      <c r="J132" s="668">
        <v>45602.0</v>
      </c>
      <c r="K132" s="660">
        <v>45881.0</v>
      </c>
      <c r="L132" s="611">
        <f>iferror(VLOOKUP(E132,'September 2025 Reference AI'!E:R,8,false),0)</f>
        <v>0</v>
      </c>
      <c r="M132" s="667">
        <v>45901.0</v>
      </c>
      <c r="N132" s="667">
        <v>45930.0</v>
      </c>
    </row>
    <row r="133">
      <c r="A133" s="661" t="s">
        <v>16</v>
      </c>
      <c r="B133" s="662">
        <v>4320.0</v>
      </c>
      <c r="C133" s="663" t="s">
        <v>763</v>
      </c>
      <c r="D133" s="662">
        <v>0.0</v>
      </c>
      <c r="E133" s="661" t="s">
        <v>644</v>
      </c>
      <c r="F133" s="661" t="s">
        <v>190</v>
      </c>
      <c r="G133" s="661" t="s">
        <v>191</v>
      </c>
      <c r="H133" s="664"/>
      <c r="I133" s="665">
        <v>36421.0</v>
      </c>
      <c r="J133" s="665">
        <v>45166.0</v>
      </c>
      <c r="K133" s="660">
        <v>45535.0</v>
      </c>
      <c r="L133" s="611">
        <f>iferror(VLOOKUP(E133,'September 2025 Reference AI'!E:R,8,false),0)</f>
        <v>0</v>
      </c>
      <c r="M133" s="667">
        <v>45901.0</v>
      </c>
      <c r="N133" s="667">
        <v>45930.0</v>
      </c>
    </row>
    <row r="134">
      <c r="A134" s="661" t="s">
        <v>16</v>
      </c>
      <c r="B134" s="662">
        <v>4320.0</v>
      </c>
      <c r="C134" s="663" t="s">
        <v>763</v>
      </c>
      <c r="D134" s="662">
        <v>0.0</v>
      </c>
      <c r="E134" s="661" t="s">
        <v>645</v>
      </c>
      <c r="F134" s="661" t="s">
        <v>646</v>
      </c>
      <c r="G134" s="661" t="s">
        <v>647</v>
      </c>
      <c r="H134" s="664"/>
      <c r="I134" s="665">
        <v>37123.0</v>
      </c>
      <c r="J134" s="665">
        <v>44984.0</v>
      </c>
      <c r="K134" s="660">
        <v>45199.0</v>
      </c>
      <c r="L134" s="611">
        <f>iferror(VLOOKUP(E134,'September 2025 Reference AI'!E:R,8,false),0)</f>
        <v>0</v>
      </c>
      <c r="M134" s="667">
        <v>45901.0</v>
      </c>
      <c r="N134" s="667">
        <v>45930.0</v>
      </c>
    </row>
    <row r="135">
      <c r="A135" s="661" t="s">
        <v>16</v>
      </c>
      <c r="B135" s="662">
        <v>4320.0</v>
      </c>
      <c r="C135" s="663" t="s">
        <v>763</v>
      </c>
      <c r="D135" s="662">
        <v>0.0</v>
      </c>
      <c r="E135" s="661" t="s">
        <v>416</v>
      </c>
      <c r="F135" s="661" t="s">
        <v>517</v>
      </c>
      <c r="G135" s="661" t="s">
        <v>417</v>
      </c>
      <c r="H135" s="664"/>
      <c r="I135" s="668">
        <v>36346.0</v>
      </c>
      <c r="J135" s="668">
        <v>45453.0</v>
      </c>
      <c r="K135" s="660" t="s">
        <v>947</v>
      </c>
      <c r="L135" s="611">
        <f>iferror(VLOOKUP(E135,'September 2025 Reference AI'!E:R,8,false),0)</f>
        <v>30</v>
      </c>
      <c r="M135" s="667">
        <v>45901.0</v>
      </c>
      <c r="N135" s="667">
        <v>45930.0</v>
      </c>
    </row>
    <row r="136">
      <c r="A136" s="661" t="s">
        <v>16</v>
      </c>
      <c r="B136" s="662">
        <v>4320.0</v>
      </c>
      <c r="C136" s="663" t="s">
        <v>763</v>
      </c>
      <c r="D136" s="662">
        <v>0.0</v>
      </c>
      <c r="E136" s="661" t="s">
        <v>582</v>
      </c>
      <c r="F136" s="661" t="s">
        <v>583</v>
      </c>
      <c r="G136" s="661" t="s">
        <v>584</v>
      </c>
      <c r="H136" s="664"/>
      <c r="I136" s="665">
        <v>37880.0</v>
      </c>
      <c r="J136" s="668">
        <v>45677.0</v>
      </c>
      <c r="K136" s="660">
        <v>45800.0</v>
      </c>
      <c r="L136" s="611">
        <f>iferror(VLOOKUP(E136,'September 2025 Reference AI'!E:R,8,false),0)</f>
        <v>0</v>
      </c>
      <c r="M136" s="667">
        <v>45901.0</v>
      </c>
      <c r="N136" s="667">
        <v>45930.0</v>
      </c>
    </row>
    <row r="137">
      <c r="A137" s="661" t="s">
        <v>16</v>
      </c>
      <c r="B137" s="662">
        <v>4320.0</v>
      </c>
      <c r="C137" s="663" t="s">
        <v>763</v>
      </c>
      <c r="D137" s="662">
        <v>0.0</v>
      </c>
      <c r="E137" s="661" t="s">
        <v>648</v>
      </c>
      <c r="F137" s="661" t="s">
        <v>649</v>
      </c>
      <c r="G137" s="661" t="s">
        <v>650</v>
      </c>
      <c r="H137" s="664"/>
      <c r="I137" s="668">
        <v>35039.0</v>
      </c>
      <c r="J137" s="668">
        <v>44986.0</v>
      </c>
      <c r="K137" s="660">
        <v>45199.0</v>
      </c>
      <c r="L137" s="611">
        <f>iferror(VLOOKUP(E137,'September 2025 Reference AI'!E:R,8,false),0)</f>
        <v>0</v>
      </c>
      <c r="M137" s="667">
        <v>45901.0</v>
      </c>
      <c r="N137" s="667">
        <v>45930.0</v>
      </c>
    </row>
    <row r="138">
      <c r="A138" s="661" t="s">
        <v>16</v>
      </c>
      <c r="B138" s="662">
        <v>4320.0</v>
      </c>
      <c r="C138" s="663" t="s">
        <v>763</v>
      </c>
      <c r="D138" s="662">
        <v>0.0</v>
      </c>
      <c r="E138" s="661" t="s">
        <v>478</v>
      </c>
      <c r="F138" s="661" t="s">
        <v>518</v>
      </c>
      <c r="G138" s="661" t="s">
        <v>426</v>
      </c>
      <c r="H138" s="664"/>
      <c r="I138" s="668">
        <v>36530.0</v>
      </c>
      <c r="J138" s="668">
        <v>45446.0</v>
      </c>
      <c r="K138" s="660" t="s">
        <v>947</v>
      </c>
      <c r="L138" s="611">
        <f>iferror(VLOOKUP(E138,'September 2025 Reference AI'!E:R,8,false),0)</f>
        <v>30</v>
      </c>
      <c r="M138" s="667">
        <v>45901.0</v>
      </c>
      <c r="N138" s="667">
        <v>45930.0</v>
      </c>
    </row>
    <row r="139">
      <c r="A139" s="661" t="s">
        <v>16</v>
      </c>
      <c r="B139" s="662">
        <v>4320.0</v>
      </c>
      <c r="C139" s="663" t="s">
        <v>763</v>
      </c>
      <c r="D139" s="662">
        <v>0.0</v>
      </c>
      <c r="E139" s="661" t="s">
        <v>132</v>
      </c>
      <c r="F139" s="661" t="s">
        <v>519</v>
      </c>
      <c r="G139" s="661" t="s">
        <v>418</v>
      </c>
      <c r="H139" s="664"/>
      <c r="I139" s="665">
        <v>37494.0</v>
      </c>
      <c r="J139" s="668">
        <v>45467.0</v>
      </c>
      <c r="K139" s="660">
        <v>45723.0</v>
      </c>
      <c r="L139" s="611">
        <f>iferror(VLOOKUP(E139,'September 2025 Reference AI'!E:R,8,false),0)</f>
        <v>0</v>
      </c>
      <c r="M139" s="667">
        <v>45901.0</v>
      </c>
      <c r="N139" s="667">
        <v>45930.0</v>
      </c>
    </row>
    <row r="140">
      <c r="A140" s="661" t="s">
        <v>16</v>
      </c>
      <c r="B140" s="662">
        <v>4320.0</v>
      </c>
      <c r="C140" s="663" t="s">
        <v>763</v>
      </c>
      <c r="D140" s="662">
        <v>0.0</v>
      </c>
      <c r="E140" s="661" t="s">
        <v>132</v>
      </c>
      <c r="F140" s="661" t="s">
        <v>347</v>
      </c>
      <c r="G140" s="661" t="s">
        <v>348</v>
      </c>
      <c r="H140" s="664"/>
      <c r="I140" s="668">
        <v>36778.0</v>
      </c>
      <c r="J140" s="665">
        <v>45369.0</v>
      </c>
      <c r="K140" s="660">
        <v>45565.0</v>
      </c>
      <c r="L140" s="611">
        <f>iferror(VLOOKUP(E140,'September 2025 Reference AI'!E:R,8,false),0)</f>
        <v>0</v>
      </c>
      <c r="M140" s="667">
        <v>45901.0</v>
      </c>
      <c r="N140" s="667">
        <v>45930.0</v>
      </c>
    </row>
    <row r="141">
      <c r="A141" s="661" t="s">
        <v>16</v>
      </c>
      <c r="B141" s="662">
        <v>4320.0</v>
      </c>
      <c r="C141" s="663" t="s">
        <v>763</v>
      </c>
      <c r="D141" s="662">
        <v>0.0</v>
      </c>
      <c r="E141" s="661" t="s">
        <v>570</v>
      </c>
      <c r="F141" s="661" t="s">
        <v>571</v>
      </c>
      <c r="G141" s="661" t="s">
        <v>572</v>
      </c>
      <c r="H141" s="664"/>
      <c r="I141" s="668">
        <v>37362.0</v>
      </c>
      <c r="J141" s="668">
        <v>45677.0</v>
      </c>
      <c r="K141" s="660">
        <v>45869.0</v>
      </c>
      <c r="L141" s="611">
        <f>iferror(VLOOKUP(E141,'September 2025 Reference AI'!E:R,8,false),0)</f>
        <v>0</v>
      </c>
      <c r="M141" s="667">
        <v>45901.0</v>
      </c>
      <c r="N141" s="667">
        <v>45930.0</v>
      </c>
    </row>
    <row r="142">
      <c r="A142" s="661" t="s">
        <v>16</v>
      </c>
      <c r="B142" s="662">
        <v>4320.0</v>
      </c>
      <c r="C142" s="663" t="s">
        <v>763</v>
      </c>
      <c r="D142" s="662">
        <v>0.0</v>
      </c>
      <c r="E142" s="661" t="s">
        <v>702</v>
      </c>
      <c r="F142" s="661" t="s">
        <v>703</v>
      </c>
      <c r="G142" s="661" t="s">
        <v>704</v>
      </c>
      <c r="H142" s="664"/>
      <c r="I142" s="665">
        <v>35714.0</v>
      </c>
      <c r="J142" s="665">
        <v>45705.0</v>
      </c>
      <c r="K142" s="660" t="s">
        <v>947</v>
      </c>
      <c r="L142" s="611">
        <f>iferror(VLOOKUP(E142,'September 2025 Reference AI'!E:R,8,false),0)</f>
        <v>30</v>
      </c>
      <c r="M142" s="667">
        <v>45901.0</v>
      </c>
      <c r="N142" s="667">
        <v>45930.0</v>
      </c>
    </row>
    <row r="143">
      <c r="A143" s="661" t="s">
        <v>16</v>
      </c>
      <c r="B143" s="662">
        <v>4320.0</v>
      </c>
      <c r="C143" s="663" t="s">
        <v>763</v>
      </c>
      <c r="D143" s="662">
        <v>0.0</v>
      </c>
      <c r="E143" s="661" t="s">
        <v>491</v>
      </c>
      <c r="F143" s="661" t="s">
        <v>534</v>
      </c>
      <c r="G143" s="661" t="s">
        <v>492</v>
      </c>
      <c r="H143" s="664"/>
      <c r="I143" s="665">
        <v>36849.0</v>
      </c>
      <c r="J143" s="665">
        <v>45602.0</v>
      </c>
      <c r="K143" s="660">
        <v>45700.0</v>
      </c>
      <c r="L143" s="611">
        <f>iferror(VLOOKUP(E143,'September 2025 Reference AI'!E:R,8,false),0)</f>
        <v>0</v>
      </c>
      <c r="M143" s="667">
        <v>45901.0</v>
      </c>
      <c r="N143" s="667">
        <v>45930.0</v>
      </c>
    </row>
    <row r="144">
      <c r="A144" s="661" t="s">
        <v>16</v>
      </c>
      <c r="B144" s="662">
        <v>4320.0</v>
      </c>
      <c r="C144" s="663" t="s">
        <v>763</v>
      </c>
      <c r="D144" s="662">
        <v>0.0</v>
      </c>
      <c r="E144" s="661" t="s">
        <v>767</v>
      </c>
      <c r="F144" s="661" t="s">
        <v>818</v>
      </c>
      <c r="G144" s="661" t="s">
        <v>768</v>
      </c>
      <c r="H144" s="664"/>
      <c r="I144" s="665">
        <v>35792.0</v>
      </c>
      <c r="J144" s="665">
        <v>45754.0</v>
      </c>
      <c r="K144" s="660">
        <v>45819.0</v>
      </c>
      <c r="L144" s="611">
        <f>iferror(VLOOKUP(E144,'September 2025 Reference AI'!E:R,8,false),0)</f>
        <v>0</v>
      </c>
      <c r="M144" s="667">
        <v>45901.0</v>
      </c>
      <c r="N144" s="667">
        <v>45930.0</v>
      </c>
    </row>
    <row r="145">
      <c r="A145" s="661" t="s">
        <v>16</v>
      </c>
      <c r="B145" s="662">
        <v>4320.0</v>
      </c>
      <c r="C145" s="663" t="s">
        <v>763</v>
      </c>
      <c r="D145" s="662">
        <v>0.0</v>
      </c>
      <c r="E145" s="661" t="s">
        <v>651</v>
      </c>
      <c r="F145" s="661" t="s">
        <v>652</v>
      </c>
      <c r="G145" s="661" t="s">
        <v>653</v>
      </c>
      <c r="H145" s="664"/>
      <c r="I145" s="665">
        <v>34748.0</v>
      </c>
      <c r="J145" s="668">
        <v>45033.0</v>
      </c>
      <c r="K145" s="660">
        <v>45381.0</v>
      </c>
      <c r="L145" s="611">
        <f>iferror(VLOOKUP(E145,'September 2025 Reference AI'!E:R,8,false),0)</f>
        <v>0</v>
      </c>
      <c r="M145" s="667">
        <v>45901.0</v>
      </c>
      <c r="N145" s="667">
        <v>45930.0</v>
      </c>
    </row>
    <row r="146">
      <c r="A146" s="661" t="s">
        <v>16</v>
      </c>
      <c r="B146" s="662">
        <v>4320.0</v>
      </c>
      <c r="C146" s="663" t="s">
        <v>763</v>
      </c>
      <c r="D146" s="662">
        <v>0.0</v>
      </c>
      <c r="E146" s="661" t="s">
        <v>459</v>
      </c>
      <c r="F146" s="661" t="s">
        <v>374</v>
      </c>
      <c r="G146" s="661" t="s">
        <v>375</v>
      </c>
      <c r="H146" s="664"/>
      <c r="I146" s="673">
        <v>37085.0</v>
      </c>
      <c r="J146" s="673">
        <v>45400.0</v>
      </c>
      <c r="K146" s="660" t="s">
        <v>947</v>
      </c>
      <c r="L146" s="611">
        <f>iferror(VLOOKUP(E146,'September 2025 Reference AI'!E:R,8,false),0)</f>
        <v>30</v>
      </c>
      <c r="M146" s="667">
        <v>45901.0</v>
      </c>
      <c r="N146" s="667">
        <v>45930.0</v>
      </c>
    </row>
    <row r="147">
      <c r="A147" s="661" t="s">
        <v>16</v>
      </c>
      <c r="B147" s="662">
        <v>4320.0</v>
      </c>
      <c r="C147" s="663" t="s">
        <v>763</v>
      </c>
      <c r="D147" s="662">
        <v>0.0</v>
      </c>
      <c r="E147" s="661" t="s">
        <v>135</v>
      </c>
      <c r="F147" s="661" t="s">
        <v>136</v>
      </c>
      <c r="G147" s="661" t="s">
        <v>137</v>
      </c>
      <c r="H147" s="664"/>
      <c r="I147" s="665">
        <v>36768.0</v>
      </c>
      <c r="J147" s="665">
        <v>44888.0</v>
      </c>
      <c r="K147" s="660">
        <v>45260.0</v>
      </c>
      <c r="L147" s="611">
        <f>iferror(VLOOKUP(E147,'September 2025 Reference AI'!E:R,8,false),0)</f>
        <v>0</v>
      </c>
      <c r="M147" s="667">
        <v>45901.0</v>
      </c>
      <c r="N147" s="667">
        <v>45930.0</v>
      </c>
    </row>
    <row r="148">
      <c r="A148" s="661" t="s">
        <v>16</v>
      </c>
      <c r="B148" s="662">
        <v>4320.0</v>
      </c>
      <c r="C148" s="663" t="s">
        <v>763</v>
      </c>
      <c r="D148" s="662">
        <v>0.0</v>
      </c>
      <c r="E148" s="661" t="s">
        <v>349</v>
      </c>
      <c r="F148" s="661" t="s">
        <v>350</v>
      </c>
      <c r="G148" s="661" t="s">
        <v>351</v>
      </c>
      <c r="H148" s="664"/>
      <c r="I148" s="668">
        <v>37647.0</v>
      </c>
      <c r="J148" s="668">
        <v>45355.0</v>
      </c>
      <c r="K148" s="660">
        <v>45900.0</v>
      </c>
      <c r="L148" s="611">
        <f>iferror(VLOOKUP(E148,'September 2025 Reference AI'!E:R,8,false),0)</f>
        <v>0</v>
      </c>
      <c r="M148" s="667">
        <v>45901.0</v>
      </c>
      <c r="N148" s="667">
        <v>45930.0</v>
      </c>
    </row>
    <row r="149">
      <c r="A149" s="661" t="s">
        <v>16</v>
      </c>
      <c r="B149" s="662">
        <v>4320.0</v>
      </c>
      <c r="C149" s="663" t="s">
        <v>763</v>
      </c>
      <c r="D149" s="662">
        <v>0.0</v>
      </c>
      <c r="E149" s="661" t="s">
        <v>654</v>
      </c>
      <c r="F149" s="661" t="s">
        <v>655</v>
      </c>
      <c r="G149" s="661" t="s">
        <v>656</v>
      </c>
      <c r="H149" s="664"/>
      <c r="I149" s="665">
        <v>34318.0</v>
      </c>
      <c r="J149" s="665">
        <v>45229.0</v>
      </c>
      <c r="K149" s="660">
        <v>45523.0</v>
      </c>
      <c r="L149" s="611">
        <f>iferror(VLOOKUP(E149,'September 2025 Reference AI'!E:R,8,false),0)</f>
        <v>0</v>
      </c>
      <c r="M149" s="667">
        <v>45901.0</v>
      </c>
      <c r="N149" s="667">
        <v>45930.0</v>
      </c>
    </row>
    <row r="150">
      <c r="A150" s="661" t="s">
        <v>16</v>
      </c>
      <c r="B150" s="662">
        <v>4320.0</v>
      </c>
      <c r="C150" s="663" t="s">
        <v>763</v>
      </c>
      <c r="D150" s="662">
        <v>0.0</v>
      </c>
      <c r="E150" s="661" t="s">
        <v>141</v>
      </c>
      <c r="F150" s="661" t="s">
        <v>142</v>
      </c>
      <c r="G150" s="661" t="s">
        <v>143</v>
      </c>
      <c r="H150" s="664"/>
      <c r="I150" s="665">
        <v>34300.0</v>
      </c>
      <c r="J150" s="665">
        <v>45183.0</v>
      </c>
      <c r="K150" s="660">
        <v>45565.0</v>
      </c>
      <c r="L150" s="611">
        <f>iferror(VLOOKUP(E150,'September 2025 Reference AI'!E:R,8,false),0)</f>
        <v>0</v>
      </c>
      <c r="M150" s="667">
        <v>45901.0</v>
      </c>
      <c r="N150" s="667">
        <v>45930.0</v>
      </c>
    </row>
    <row r="151">
      <c r="A151" s="661" t="s">
        <v>16</v>
      </c>
      <c r="B151" s="662">
        <v>4320.0</v>
      </c>
      <c r="C151" s="663" t="s">
        <v>763</v>
      </c>
      <c r="D151" s="662">
        <v>0.0</v>
      </c>
      <c r="E151" s="661" t="s">
        <v>657</v>
      </c>
      <c r="F151" s="661" t="s">
        <v>658</v>
      </c>
      <c r="G151" s="661" t="s">
        <v>659</v>
      </c>
      <c r="H151" s="664"/>
      <c r="I151" s="665">
        <v>35147.0</v>
      </c>
      <c r="J151" s="665">
        <v>44886.0</v>
      </c>
      <c r="K151" s="660">
        <v>45243.0</v>
      </c>
      <c r="L151" s="611">
        <f>iferror(VLOOKUP(E151,'September 2025 Reference AI'!E:R,8,false),0)</f>
        <v>0</v>
      </c>
      <c r="M151" s="667">
        <v>45901.0</v>
      </c>
      <c r="N151" s="667">
        <v>45930.0</v>
      </c>
    </row>
    <row r="152">
      <c r="A152" s="661" t="s">
        <v>16</v>
      </c>
      <c r="B152" s="662">
        <v>4320.0</v>
      </c>
      <c r="C152" s="663" t="s">
        <v>763</v>
      </c>
      <c r="D152" s="662">
        <v>0.0</v>
      </c>
      <c r="E152" s="661" t="s">
        <v>352</v>
      </c>
      <c r="F152" s="661" t="s">
        <v>353</v>
      </c>
      <c r="G152" s="661" t="s">
        <v>354</v>
      </c>
      <c r="H152" s="664"/>
      <c r="I152" s="668">
        <v>36412.0</v>
      </c>
      <c r="J152" s="668">
        <v>45355.0</v>
      </c>
      <c r="K152" s="660" t="s">
        <v>947</v>
      </c>
      <c r="L152" s="611">
        <f>iferror(VLOOKUP(E152,'September 2025 Reference AI'!E:R,8,false),0)</f>
        <v>30</v>
      </c>
      <c r="M152" s="667">
        <v>45901.0</v>
      </c>
      <c r="N152" s="667">
        <v>45930.0</v>
      </c>
    </row>
    <row r="153">
      <c r="A153" s="661" t="s">
        <v>16</v>
      </c>
      <c r="B153" s="662">
        <v>4320.0</v>
      </c>
      <c r="C153" s="663" t="s">
        <v>763</v>
      </c>
      <c r="D153" s="662">
        <v>0.0</v>
      </c>
      <c r="E153" s="661" t="s">
        <v>803</v>
      </c>
      <c r="F153" s="661" t="s">
        <v>804</v>
      </c>
      <c r="G153" s="661" t="s">
        <v>805</v>
      </c>
      <c r="H153" s="664"/>
      <c r="I153" s="665">
        <v>37817.0</v>
      </c>
      <c r="J153" s="666">
        <v>45796.0</v>
      </c>
      <c r="K153" s="660">
        <v>45866.0</v>
      </c>
      <c r="L153" s="611">
        <f>iferror(VLOOKUP(E153,'September 2025 Reference AI'!E:R,8,false),0)</f>
        <v>0</v>
      </c>
      <c r="M153" s="667">
        <v>45901.0</v>
      </c>
      <c r="N153" s="667">
        <v>45930.0</v>
      </c>
    </row>
    <row r="154">
      <c r="A154" s="661" t="s">
        <v>16</v>
      </c>
      <c r="B154" s="662">
        <v>4320.0</v>
      </c>
      <c r="C154" s="663" t="s">
        <v>763</v>
      </c>
      <c r="D154" s="662">
        <v>0.0</v>
      </c>
      <c r="E154" s="661" t="s">
        <v>419</v>
      </c>
      <c r="F154" s="661" t="s">
        <v>520</v>
      </c>
      <c r="G154" s="661" t="s">
        <v>420</v>
      </c>
      <c r="H154" s="664"/>
      <c r="I154" s="668">
        <v>36907.0</v>
      </c>
      <c r="J154" s="673">
        <v>45446.0</v>
      </c>
      <c r="K154" s="660">
        <v>45676.0</v>
      </c>
      <c r="L154" s="611">
        <f>iferror(VLOOKUP(E154,'September 2025 Reference AI'!E:R,8,false),0)</f>
        <v>0</v>
      </c>
      <c r="M154" s="667">
        <v>45901.0</v>
      </c>
      <c r="N154" s="667">
        <v>45930.0</v>
      </c>
    </row>
    <row r="155">
      <c r="A155" s="661" t="s">
        <v>16</v>
      </c>
      <c r="B155" s="662">
        <v>4320.0</v>
      </c>
      <c r="C155" s="663" t="s">
        <v>763</v>
      </c>
      <c r="D155" s="662">
        <v>0.0</v>
      </c>
      <c r="E155" s="661" t="s">
        <v>660</v>
      </c>
      <c r="F155" s="661" t="s">
        <v>127</v>
      </c>
      <c r="G155" s="661" t="s">
        <v>128</v>
      </c>
      <c r="H155" s="664"/>
      <c r="I155" s="668">
        <v>36132.0</v>
      </c>
      <c r="J155" s="668">
        <v>45117.0</v>
      </c>
      <c r="K155" s="660">
        <v>45260.0</v>
      </c>
      <c r="L155" s="611">
        <f>iferror(VLOOKUP(E155,'September 2025 Reference AI'!E:R,8,false),0)</f>
        <v>0</v>
      </c>
      <c r="M155" s="667">
        <v>45901.0</v>
      </c>
      <c r="N155" s="667">
        <v>45930.0</v>
      </c>
    </row>
    <row r="156">
      <c r="A156" s="661" t="s">
        <v>16</v>
      </c>
      <c r="B156" s="662">
        <v>4320.0</v>
      </c>
      <c r="C156" s="663" t="s">
        <v>763</v>
      </c>
      <c r="D156" s="662">
        <v>0.0</v>
      </c>
      <c r="E156" s="661" t="s">
        <v>705</v>
      </c>
      <c r="F156" s="661" t="s">
        <v>758</v>
      </c>
      <c r="G156" s="661" t="s">
        <v>707</v>
      </c>
      <c r="H156" s="664"/>
      <c r="I156" s="668">
        <v>36594.0</v>
      </c>
      <c r="J156" s="665">
        <v>45712.0</v>
      </c>
      <c r="K156" s="660" t="s">
        <v>947</v>
      </c>
      <c r="L156" s="611">
        <f>iferror(VLOOKUP(E156,'September 2025 Reference AI'!E:R,8,false),0)</f>
        <v>30</v>
      </c>
      <c r="M156" s="667">
        <v>45901.0</v>
      </c>
      <c r="N156" s="667">
        <v>45930.0</v>
      </c>
    </row>
    <row r="157">
      <c r="A157" s="661" t="s">
        <v>16</v>
      </c>
      <c r="B157" s="662">
        <v>4320.0</v>
      </c>
      <c r="C157" s="663" t="s">
        <v>763</v>
      </c>
      <c r="D157" s="662">
        <v>0.0</v>
      </c>
      <c r="E157" s="661" t="s">
        <v>398</v>
      </c>
      <c r="F157" s="661" t="s">
        <v>399</v>
      </c>
      <c r="G157" s="661" t="s">
        <v>400</v>
      </c>
      <c r="H157" s="664"/>
      <c r="I157" s="668">
        <v>36655.0</v>
      </c>
      <c r="J157" s="668">
        <v>45418.0</v>
      </c>
      <c r="K157" s="660">
        <v>45539.0</v>
      </c>
      <c r="L157" s="611">
        <f>iferror(VLOOKUP(E157,'September 2025 Reference AI'!E:R,8,false),0)</f>
        <v>0</v>
      </c>
      <c r="M157" s="667">
        <v>45901.0</v>
      </c>
      <c r="N157" s="667">
        <v>45930.0</v>
      </c>
    </row>
    <row r="158">
      <c r="A158" s="661" t="s">
        <v>16</v>
      </c>
      <c r="B158" s="662">
        <v>4320.0</v>
      </c>
      <c r="C158" s="663" t="s">
        <v>763</v>
      </c>
      <c r="D158" s="662">
        <v>0.0</v>
      </c>
      <c r="E158" s="661" t="s">
        <v>661</v>
      </c>
      <c r="F158" s="661" t="s">
        <v>662</v>
      </c>
      <c r="G158" s="661" t="s">
        <v>663</v>
      </c>
      <c r="H158" s="664"/>
      <c r="I158" s="668">
        <v>31262.0</v>
      </c>
      <c r="J158" s="668">
        <v>45048.0</v>
      </c>
      <c r="K158" s="660">
        <v>45199.0</v>
      </c>
      <c r="L158" s="611">
        <f>iferror(VLOOKUP(E158,'September 2025 Reference AI'!E:R,8,false),0)</f>
        <v>0</v>
      </c>
      <c r="M158" s="667">
        <v>45901.0</v>
      </c>
      <c r="N158" s="667">
        <v>45930.0</v>
      </c>
    </row>
    <row r="159">
      <c r="A159" s="661" t="s">
        <v>16</v>
      </c>
      <c r="B159" s="662">
        <v>4320.0</v>
      </c>
      <c r="C159" s="663" t="s">
        <v>763</v>
      </c>
      <c r="D159" s="662">
        <v>0.0</v>
      </c>
      <c r="E159" s="661" t="s">
        <v>147</v>
      </c>
      <c r="F159" s="661" t="s">
        <v>148</v>
      </c>
      <c r="G159" s="661" t="s">
        <v>149</v>
      </c>
      <c r="H159" s="664"/>
      <c r="I159" s="668">
        <v>36541.0</v>
      </c>
      <c r="J159" s="668">
        <v>44755.0</v>
      </c>
      <c r="K159" s="660">
        <v>45386.0</v>
      </c>
      <c r="L159" s="611">
        <f>iferror(VLOOKUP(E159,'September 2025 Reference AI'!E:R,8,false),0)</f>
        <v>0</v>
      </c>
      <c r="M159" s="667">
        <v>45901.0</v>
      </c>
      <c r="N159" s="667">
        <v>45930.0</v>
      </c>
    </row>
    <row r="160">
      <c r="A160" s="661" t="s">
        <v>16</v>
      </c>
      <c r="B160" s="662">
        <v>4320.0</v>
      </c>
      <c r="C160" s="663" t="s">
        <v>763</v>
      </c>
      <c r="D160" s="662">
        <v>0.0</v>
      </c>
      <c r="E160" s="661" t="s">
        <v>150</v>
      </c>
      <c r="F160" s="661" t="s">
        <v>151</v>
      </c>
      <c r="G160" s="661" t="s">
        <v>152</v>
      </c>
      <c r="H160" s="664"/>
      <c r="I160" s="668">
        <v>34335.0</v>
      </c>
      <c r="J160" s="668">
        <v>45078.0</v>
      </c>
      <c r="K160" s="660">
        <v>45400.0</v>
      </c>
      <c r="L160" s="611">
        <f>iferror(VLOOKUP(E160,'September 2025 Reference AI'!E:R,8,false),0)</f>
        <v>0</v>
      </c>
      <c r="M160" s="667">
        <v>45901.0</v>
      </c>
      <c r="N160" s="667">
        <v>45930.0</v>
      </c>
    </row>
    <row r="161">
      <c r="A161" s="661" t="s">
        <v>16</v>
      </c>
      <c r="B161" s="662">
        <v>4320.0</v>
      </c>
      <c r="C161" s="663" t="s">
        <v>763</v>
      </c>
      <c r="D161" s="662">
        <v>0.0</v>
      </c>
      <c r="E161" s="661" t="s">
        <v>153</v>
      </c>
      <c r="F161" s="661" t="s">
        <v>154</v>
      </c>
      <c r="G161" s="661" t="s">
        <v>155</v>
      </c>
      <c r="H161" s="664"/>
      <c r="I161" s="665">
        <v>31014.0</v>
      </c>
      <c r="J161" s="668">
        <v>44805.0</v>
      </c>
      <c r="K161" s="660">
        <v>45199.0</v>
      </c>
      <c r="L161" s="611">
        <f>iferror(VLOOKUP(E161,'September 2025 Reference AI'!E:R,8,false),0)</f>
        <v>0</v>
      </c>
      <c r="M161" s="667">
        <v>45901.0</v>
      </c>
      <c r="N161" s="667">
        <v>45930.0</v>
      </c>
    </row>
    <row r="162">
      <c r="A162" s="661" t="s">
        <v>16</v>
      </c>
      <c r="B162" s="662">
        <v>4320.0</v>
      </c>
      <c r="C162" s="663" t="s">
        <v>763</v>
      </c>
      <c r="D162" s="662">
        <v>0.0</v>
      </c>
      <c r="E162" s="661" t="s">
        <v>794</v>
      </c>
      <c r="F162" s="661" t="s">
        <v>819</v>
      </c>
      <c r="G162" s="661" t="s">
        <v>796</v>
      </c>
      <c r="H162" s="664"/>
      <c r="I162" s="665">
        <v>36857.0</v>
      </c>
      <c r="J162" s="665">
        <v>45775.0</v>
      </c>
      <c r="K162" s="660" t="s">
        <v>947</v>
      </c>
      <c r="L162" s="611">
        <f>iferror(VLOOKUP(E162,'September 2025 Reference AI'!E:R,8,false),0)</f>
        <v>30</v>
      </c>
      <c r="M162" s="667">
        <v>45901.0</v>
      </c>
      <c r="N162" s="667">
        <v>45930.0</v>
      </c>
    </row>
    <row r="163">
      <c r="A163" s="661" t="s">
        <v>16</v>
      </c>
      <c r="B163" s="662">
        <v>4320.0</v>
      </c>
      <c r="C163" s="663" t="s">
        <v>763</v>
      </c>
      <c r="D163" s="662">
        <v>0.0</v>
      </c>
      <c r="E163" s="661" t="s">
        <v>273</v>
      </c>
      <c r="F163" s="661" t="s">
        <v>274</v>
      </c>
      <c r="G163" s="661" t="s">
        <v>275</v>
      </c>
      <c r="H163" s="664"/>
      <c r="I163" s="668">
        <v>34522.0</v>
      </c>
      <c r="J163" s="668">
        <v>45292.0</v>
      </c>
      <c r="K163" s="660">
        <v>45926.0</v>
      </c>
      <c r="L163" s="611">
        <f>iferror(VLOOKUP(E163,'September 2025 Reference AI'!E:R,8,false),0)</f>
        <v>26</v>
      </c>
      <c r="M163" s="667">
        <v>45901.0</v>
      </c>
      <c r="N163" s="667">
        <v>45930.0</v>
      </c>
    </row>
    <row r="164">
      <c r="A164" s="661" t="s">
        <v>16</v>
      </c>
      <c r="B164" s="662">
        <v>4320.0</v>
      </c>
      <c r="C164" s="663" t="s">
        <v>763</v>
      </c>
      <c r="D164" s="662">
        <v>0.0</v>
      </c>
      <c r="E164" s="661" t="s">
        <v>708</v>
      </c>
      <c r="F164" s="661" t="s">
        <v>759</v>
      </c>
      <c r="G164" s="661" t="s">
        <v>710</v>
      </c>
      <c r="H164" s="664"/>
      <c r="I164" s="666">
        <v>37028.0</v>
      </c>
      <c r="J164" s="665">
        <v>45705.0</v>
      </c>
      <c r="K164" s="660">
        <v>45900.0</v>
      </c>
      <c r="L164" s="611">
        <f>iferror(VLOOKUP(E164,'September 2025 Reference AI'!E:R,8,false),0)</f>
        <v>0</v>
      </c>
      <c r="M164" s="667">
        <v>45901.0</v>
      </c>
      <c r="N164" s="667">
        <v>45930.0</v>
      </c>
    </row>
    <row r="165">
      <c r="A165" s="661" t="s">
        <v>16</v>
      </c>
      <c r="B165" s="662">
        <v>4320.0</v>
      </c>
      <c r="C165" s="663" t="s">
        <v>763</v>
      </c>
      <c r="D165" s="662">
        <v>0.0</v>
      </c>
      <c r="E165" s="661" t="s">
        <v>470</v>
      </c>
      <c r="F165" s="661" t="s">
        <v>528</v>
      </c>
      <c r="G165" s="661" t="s">
        <v>472</v>
      </c>
      <c r="H165" s="664"/>
      <c r="I165" s="668">
        <v>37278.0</v>
      </c>
      <c r="J165" s="668">
        <v>45544.0</v>
      </c>
      <c r="K165" s="660">
        <v>45777.0</v>
      </c>
      <c r="L165" s="611">
        <f>iferror(VLOOKUP(E165,'September 2025 Reference AI'!E:R,8,false),0)</f>
        <v>0</v>
      </c>
      <c r="M165" s="667">
        <v>45901.0</v>
      </c>
      <c r="N165" s="667">
        <v>45930.0</v>
      </c>
    </row>
    <row r="166">
      <c r="A166" s="661" t="s">
        <v>16</v>
      </c>
      <c r="B166" s="662">
        <v>4320.0</v>
      </c>
      <c r="C166" s="663" t="s">
        <v>763</v>
      </c>
      <c r="D166" s="662">
        <v>0.0</v>
      </c>
      <c r="E166" s="661" t="s">
        <v>558</v>
      </c>
      <c r="F166" s="661" t="s">
        <v>559</v>
      </c>
      <c r="G166" s="661" t="s">
        <v>560</v>
      </c>
      <c r="H166" s="664"/>
      <c r="I166" s="668">
        <v>33811.0</v>
      </c>
      <c r="J166" s="668">
        <v>45663.0</v>
      </c>
      <c r="K166" s="660">
        <v>45667.0</v>
      </c>
      <c r="L166" s="611">
        <f>iferror(VLOOKUP(E166,'September 2025 Reference AI'!E:R,8,false),0)</f>
        <v>0</v>
      </c>
      <c r="M166" s="667">
        <v>45901.0</v>
      </c>
      <c r="N166" s="667">
        <v>45930.0</v>
      </c>
    </row>
    <row r="167">
      <c r="A167" s="661" t="s">
        <v>16</v>
      </c>
      <c r="B167" s="662">
        <v>4320.0</v>
      </c>
      <c r="C167" s="663" t="s">
        <v>763</v>
      </c>
      <c r="D167" s="662">
        <v>0.0</v>
      </c>
      <c r="E167" s="311" t="s">
        <v>860</v>
      </c>
      <c r="F167" s="251" t="s">
        <v>861</v>
      </c>
      <c r="G167" s="251" t="s">
        <v>862</v>
      </c>
      <c r="I167" s="509">
        <v>36176.0</v>
      </c>
      <c r="J167" s="509">
        <v>45810.0</v>
      </c>
      <c r="K167" s="660" t="s">
        <v>947</v>
      </c>
      <c r="L167" s="611">
        <f>iferror(VLOOKUP(E167,'September 2025 Reference AI'!E:R,8,false),0)</f>
        <v>30</v>
      </c>
      <c r="M167" s="667">
        <v>45901.0</v>
      </c>
      <c r="N167" s="667">
        <v>45930.0</v>
      </c>
    </row>
    <row r="168">
      <c r="A168" s="661" t="s">
        <v>16</v>
      </c>
      <c r="B168" s="662">
        <v>4320.0</v>
      </c>
      <c r="C168" s="663" t="s">
        <v>763</v>
      </c>
      <c r="D168" s="662">
        <v>0.0</v>
      </c>
      <c r="E168" s="661" t="s">
        <v>664</v>
      </c>
      <c r="F168" s="661" t="s">
        <v>157</v>
      </c>
      <c r="G168" s="661" t="s">
        <v>158</v>
      </c>
      <c r="H168" s="664"/>
      <c r="I168" s="665">
        <v>35150.0</v>
      </c>
      <c r="J168" s="668">
        <v>45079.0</v>
      </c>
      <c r="K168" s="660">
        <v>45322.0</v>
      </c>
      <c r="L168" s="611">
        <f>iferror(VLOOKUP(E168,'September 2025 Reference AI'!E:R,8,false),0)</f>
        <v>0</v>
      </c>
      <c r="M168" s="667">
        <v>45901.0</v>
      </c>
      <c r="N168" s="667">
        <v>45930.0</v>
      </c>
    </row>
    <row r="169">
      <c r="A169" s="661" t="s">
        <v>16</v>
      </c>
      <c r="B169" s="662">
        <v>4320.0</v>
      </c>
      <c r="C169" s="663" t="s">
        <v>763</v>
      </c>
      <c r="D169" s="662">
        <v>0.0</v>
      </c>
      <c r="E169" s="661" t="s">
        <v>495</v>
      </c>
      <c r="F169" s="661" t="s">
        <v>538</v>
      </c>
      <c r="G169" s="661" t="s">
        <v>496</v>
      </c>
      <c r="H169" s="664"/>
      <c r="I169" s="668">
        <v>33452.0</v>
      </c>
      <c r="J169" s="668">
        <v>45628.0</v>
      </c>
      <c r="K169" s="660">
        <v>45728.0</v>
      </c>
      <c r="L169" s="611">
        <f>iferror(VLOOKUP(E169,'September 2025 Reference AI'!E:R,8,false),0)</f>
        <v>0</v>
      </c>
      <c r="M169" s="667">
        <v>45901.0</v>
      </c>
      <c r="N169" s="667">
        <v>45930.0</v>
      </c>
    </row>
    <row r="170">
      <c r="A170" s="661" t="s">
        <v>16</v>
      </c>
      <c r="B170" s="662">
        <v>4320.0</v>
      </c>
      <c r="C170" s="663" t="s">
        <v>763</v>
      </c>
      <c r="D170" s="662">
        <v>0.0</v>
      </c>
      <c r="E170" s="661" t="s">
        <v>665</v>
      </c>
      <c r="F170" s="661" t="s">
        <v>160</v>
      </c>
      <c r="G170" s="661" t="s">
        <v>161</v>
      </c>
      <c r="H170" s="664"/>
      <c r="I170" s="665">
        <v>35779.0</v>
      </c>
      <c r="J170" s="668">
        <v>45176.0</v>
      </c>
      <c r="K170" s="660">
        <v>45317.0</v>
      </c>
      <c r="L170" s="611">
        <f>iferror(VLOOKUP(E170,'September 2025 Reference AI'!E:R,8,false),0)</f>
        <v>0</v>
      </c>
      <c r="M170" s="667">
        <v>45901.0</v>
      </c>
      <c r="N170" s="667">
        <v>45930.0</v>
      </c>
    </row>
    <row r="171">
      <c r="A171" s="661" t="s">
        <v>16</v>
      </c>
      <c r="B171" s="662">
        <v>4320.0</v>
      </c>
      <c r="C171" s="663" t="s">
        <v>763</v>
      </c>
      <c r="D171" s="662">
        <v>0.0</v>
      </c>
      <c r="E171" s="661" t="s">
        <v>162</v>
      </c>
      <c r="F171" s="661" t="s">
        <v>163</v>
      </c>
      <c r="G171" s="661" t="s">
        <v>164</v>
      </c>
      <c r="H171" s="664"/>
      <c r="I171" s="665">
        <v>34732.0</v>
      </c>
      <c r="J171" s="668">
        <v>44986.0</v>
      </c>
      <c r="K171" s="660">
        <v>45912.0</v>
      </c>
      <c r="L171" s="611">
        <f>iferror(VLOOKUP(E171,'September 2025 Reference AI'!E:R,8,false),0)</f>
        <v>12</v>
      </c>
      <c r="M171" s="667">
        <v>45901.0</v>
      </c>
      <c r="N171" s="667">
        <v>45930.0</v>
      </c>
    </row>
    <row r="172">
      <c r="A172" s="661" t="s">
        <v>16</v>
      </c>
      <c r="B172" s="662">
        <v>4320.0</v>
      </c>
      <c r="C172" s="663" t="s">
        <v>763</v>
      </c>
      <c r="D172" s="662">
        <v>0.0</v>
      </c>
      <c r="E172" s="661" t="s">
        <v>809</v>
      </c>
      <c r="F172" s="661" t="s">
        <v>810</v>
      </c>
      <c r="G172" s="661" t="s">
        <v>811</v>
      </c>
      <c r="H172" s="664"/>
      <c r="I172" s="665">
        <v>35148.0</v>
      </c>
      <c r="J172" s="665">
        <v>45775.0</v>
      </c>
      <c r="K172" s="660" t="s">
        <v>947</v>
      </c>
      <c r="L172" s="611">
        <f>iferror(VLOOKUP(E172,'September 2025 Reference AI'!E:R,8,false),0)</f>
        <v>30</v>
      </c>
      <c r="M172" s="667">
        <v>45901.0</v>
      </c>
      <c r="N172" s="667">
        <v>45930.0</v>
      </c>
    </row>
    <row r="173">
      <c r="A173" s="661" t="s">
        <v>16</v>
      </c>
      <c r="B173" s="662">
        <v>4320.0</v>
      </c>
      <c r="C173" s="663" t="s">
        <v>763</v>
      </c>
      <c r="D173" s="662">
        <v>0.0</v>
      </c>
      <c r="E173" s="661" t="s">
        <v>549</v>
      </c>
      <c r="F173" s="661" t="s">
        <v>550</v>
      </c>
      <c r="G173" s="661" t="s">
        <v>551</v>
      </c>
      <c r="H173" s="664"/>
      <c r="I173" s="668">
        <v>37636.0</v>
      </c>
      <c r="J173" s="668">
        <v>45663.0</v>
      </c>
      <c r="K173" s="660">
        <v>45869.0</v>
      </c>
      <c r="L173" s="611">
        <f>iferror(VLOOKUP(E173,'September 2025 Reference AI'!E:R,8,false),0)</f>
        <v>0</v>
      </c>
      <c r="M173" s="667">
        <v>45901.0</v>
      </c>
      <c r="N173" s="667">
        <v>45930.0</v>
      </c>
    </row>
    <row r="174">
      <c r="A174" s="661" t="s">
        <v>16</v>
      </c>
      <c r="B174" s="662">
        <v>4320.0</v>
      </c>
      <c r="C174" s="663" t="s">
        <v>763</v>
      </c>
      <c r="D174" s="662">
        <v>0.0</v>
      </c>
      <c r="E174" s="661" t="s">
        <v>240</v>
      </c>
      <c r="F174" s="661" t="s">
        <v>241</v>
      </c>
      <c r="G174" s="661" t="s">
        <v>242</v>
      </c>
      <c r="H174" s="664"/>
      <c r="I174" s="668">
        <v>33762.0</v>
      </c>
      <c r="J174" s="665">
        <v>45222.0</v>
      </c>
      <c r="K174" s="660">
        <v>45046.0</v>
      </c>
      <c r="L174" s="611">
        <f>iferror(VLOOKUP(E174,'September 2025 Reference AI'!E:R,8,false),0)</f>
        <v>0</v>
      </c>
      <c r="M174" s="667">
        <v>45901.0</v>
      </c>
      <c r="N174" s="667">
        <v>45930.0</v>
      </c>
    </row>
    <row r="175">
      <c r="A175" s="661" t="s">
        <v>16</v>
      </c>
      <c r="B175" s="662">
        <v>4320.0</v>
      </c>
      <c r="C175" s="663" t="s">
        <v>763</v>
      </c>
      <c r="D175" s="662">
        <v>0.0</v>
      </c>
      <c r="E175" s="661" t="s">
        <v>168</v>
      </c>
      <c r="F175" s="661" t="s">
        <v>169</v>
      </c>
      <c r="G175" s="661" t="s">
        <v>170</v>
      </c>
      <c r="H175" s="664"/>
      <c r="I175" s="666">
        <v>35931.0</v>
      </c>
      <c r="J175" s="668">
        <v>44958.0</v>
      </c>
      <c r="K175" s="660">
        <v>45322.0</v>
      </c>
      <c r="L175" s="611">
        <f>iferror(VLOOKUP(E175,'September 2025 Reference AI'!E:R,8,false),0)</f>
        <v>0</v>
      </c>
      <c r="M175" s="667">
        <v>45901.0</v>
      </c>
      <c r="N175" s="667">
        <v>45930.0</v>
      </c>
    </row>
    <row r="176">
      <c r="A176" s="661" t="s">
        <v>16</v>
      </c>
      <c r="B176" s="662">
        <v>4320.0</v>
      </c>
      <c r="C176" s="663" t="s">
        <v>763</v>
      </c>
      <c r="D176" s="662">
        <v>0.0</v>
      </c>
      <c r="E176" s="661" t="s">
        <v>711</v>
      </c>
      <c r="F176" s="661" t="s">
        <v>760</v>
      </c>
      <c r="G176" s="661" t="s">
        <v>713</v>
      </c>
      <c r="H176" s="664"/>
      <c r="I176" s="665">
        <v>34694.0</v>
      </c>
      <c r="J176" s="665">
        <v>45712.0</v>
      </c>
      <c r="K176" s="660" t="s">
        <v>947</v>
      </c>
      <c r="L176" s="611">
        <f>iferror(VLOOKUP(E176,'September 2025 Reference AI'!E:R,8,false),0)</f>
        <v>30</v>
      </c>
      <c r="M176" s="667">
        <v>45901.0</v>
      </c>
      <c r="N176" s="667">
        <v>45930.0</v>
      </c>
    </row>
    <row r="177">
      <c r="A177" s="661" t="s">
        <v>16</v>
      </c>
      <c r="B177" s="662">
        <v>4320.0</v>
      </c>
      <c r="C177" s="663" t="s">
        <v>763</v>
      </c>
      <c r="D177" s="662">
        <v>0.0</v>
      </c>
      <c r="E177" s="661" t="s">
        <v>355</v>
      </c>
      <c r="F177" s="661" t="s">
        <v>356</v>
      </c>
      <c r="G177" s="661" t="s">
        <v>357</v>
      </c>
      <c r="H177" s="664"/>
      <c r="I177" s="665">
        <v>35395.0</v>
      </c>
      <c r="J177" s="665">
        <v>45376.0</v>
      </c>
      <c r="K177" s="660">
        <v>45905.0</v>
      </c>
      <c r="L177" s="611">
        <f>iferror(VLOOKUP(E177,'September 2025 Reference AI'!E:R,8,false),0)</f>
        <v>5</v>
      </c>
      <c r="M177" s="667">
        <v>45901.0</v>
      </c>
      <c r="N177" s="667">
        <v>45930.0</v>
      </c>
    </row>
    <row r="178">
      <c r="A178" s="661" t="s">
        <v>16</v>
      </c>
      <c r="B178" s="662">
        <v>4320.0</v>
      </c>
      <c r="C178" s="663" t="s">
        <v>763</v>
      </c>
      <c r="D178" s="662">
        <v>0.0</v>
      </c>
      <c r="E178" s="661" t="s">
        <v>358</v>
      </c>
      <c r="F178" s="661" t="s">
        <v>359</v>
      </c>
      <c r="G178" s="661" t="s">
        <v>360</v>
      </c>
      <c r="H178" s="664"/>
      <c r="I178" s="666">
        <v>37397.0</v>
      </c>
      <c r="J178" s="665">
        <v>45377.0</v>
      </c>
      <c r="K178" s="660">
        <v>45454.0</v>
      </c>
      <c r="L178" s="611">
        <f>iferror(VLOOKUP(E178,'September 2025 Reference AI'!E:R,8,false),0)</f>
        <v>0</v>
      </c>
      <c r="M178" s="667">
        <v>45901.0</v>
      </c>
      <c r="N178" s="667">
        <v>45930.0</v>
      </c>
    </row>
    <row r="179">
      <c r="A179" s="661" t="s">
        <v>16</v>
      </c>
      <c r="B179" s="662">
        <v>4320.0</v>
      </c>
      <c r="C179" s="663" t="s">
        <v>763</v>
      </c>
      <c r="D179" s="662">
        <v>0.0</v>
      </c>
      <c r="E179" s="661" t="s">
        <v>276</v>
      </c>
      <c r="F179" s="661" t="s">
        <v>277</v>
      </c>
      <c r="G179" s="661" t="s">
        <v>278</v>
      </c>
      <c r="H179" s="664"/>
      <c r="I179" s="665">
        <v>37479.0</v>
      </c>
      <c r="J179" s="668">
        <v>45320.0</v>
      </c>
      <c r="K179" s="660">
        <v>45453.0</v>
      </c>
      <c r="L179" s="611">
        <f>iferror(VLOOKUP(E179,'September 2025 Reference AI'!E:R,8,false),0)</f>
        <v>0</v>
      </c>
      <c r="M179" s="667">
        <v>45901.0</v>
      </c>
      <c r="N179" s="667">
        <v>45930.0</v>
      </c>
    </row>
    <row r="180">
      <c r="A180" s="661" t="s">
        <v>16</v>
      </c>
      <c r="B180" s="662">
        <v>4320.0</v>
      </c>
      <c r="C180" s="663" t="s">
        <v>763</v>
      </c>
      <c r="D180" s="662">
        <v>0.0</v>
      </c>
      <c r="E180" s="661" t="s">
        <v>714</v>
      </c>
      <c r="F180" s="661" t="s">
        <v>761</v>
      </c>
      <c r="G180" s="661" t="s">
        <v>716</v>
      </c>
      <c r="H180" s="664"/>
      <c r="I180" s="665">
        <v>36514.0</v>
      </c>
      <c r="J180" s="665">
        <v>45698.0</v>
      </c>
      <c r="K180" s="660">
        <v>45908.0</v>
      </c>
      <c r="L180" s="611">
        <f>iferror(VLOOKUP(E180,'September 2025 Reference AI'!E:R,8,false),0)</f>
        <v>8</v>
      </c>
      <c r="M180" s="667">
        <v>45901.0</v>
      </c>
      <c r="N180" s="667">
        <v>45930.0</v>
      </c>
    </row>
    <row r="181">
      <c r="A181" s="661" t="s">
        <v>16</v>
      </c>
      <c r="B181" s="662">
        <v>4320.0</v>
      </c>
      <c r="C181" s="663" t="s">
        <v>763</v>
      </c>
      <c r="D181" s="662">
        <v>0.0</v>
      </c>
      <c r="E181" s="661" t="s">
        <v>171</v>
      </c>
      <c r="F181" s="661" t="s">
        <v>172</v>
      </c>
      <c r="G181" s="661" t="s">
        <v>173</v>
      </c>
      <c r="H181" s="664"/>
      <c r="I181" s="668">
        <v>37005.0</v>
      </c>
      <c r="J181" s="665">
        <v>44802.0</v>
      </c>
      <c r="K181" s="660">
        <v>45303.0</v>
      </c>
      <c r="L181" s="611">
        <f>iferror(VLOOKUP(E181,'September 2025 Reference AI'!E:R,8,false),0)</f>
        <v>0</v>
      </c>
      <c r="M181" s="667">
        <v>45901.0</v>
      </c>
      <c r="N181" s="667">
        <v>45930.0</v>
      </c>
    </row>
    <row r="182">
      <c r="A182" s="661" t="s">
        <v>16</v>
      </c>
      <c r="B182" s="662">
        <v>4320.0</v>
      </c>
      <c r="C182" s="663" t="s">
        <v>763</v>
      </c>
      <c r="D182" s="662">
        <v>0.0</v>
      </c>
      <c r="E182" s="661" t="s">
        <v>243</v>
      </c>
      <c r="F182" s="661" t="s">
        <v>244</v>
      </c>
      <c r="G182" s="661" t="s">
        <v>245</v>
      </c>
      <c r="H182" s="664"/>
      <c r="I182" s="665">
        <v>36109.0</v>
      </c>
      <c r="J182" s="665">
        <v>45250.0</v>
      </c>
      <c r="K182" s="660">
        <v>45416.0</v>
      </c>
      <c r="L182" s="611">
        <f>iferror(VLOOKUP(E182,'September 2025 Reference AI'!E:R,8,false),0)</f>
        <v>0</v>
      </c>
      <c r="M182" s="667">
        <v>45901.0</v>
      </c>
      <c r="N182" s="667">
        <v>45930.0</v>
      </c>
    </row>
    <row r="183">
      <c r="A183" s="661" t="s">
        <v>16</v>
      </c>
      <c r="B183" s="662">
        <v>4320.0</v>
      </c>
      <c r="C183" s="663" t="s">
        <v>763</v>
      </c>
      <c r="D183" s="662">
        <v>0.0</v>
      </c>
      <c r="E183" s="661" t="s">
        <v>600</v>
      </c>
      <c r="F183" s="661" t="s">
        <v>601</v>
      </c>
      <c r="G183" s="661" t="s">
        <v>602</v>
      </c>
      <c r="H183" s="664"/>
      <c r="I183" s="668">
        <v>29741.0</v>
      </c>
      <c r="J183" s="668">
        <v>45658.0</v>
      </c>
      <c r="K183" s="660">
        <v>45823.0</v>
      </c>
      <c r="L183" s="611">
        <f>iferror(VLOOKUP(E183,'September 2025 Reference AI'!E:R,8,false),0)</f>
        <v>0</v>
      </c>
      <c r="M183" s="667">
        <v>45901.0</v>
      </c>
      <c r="N183" s="667">
        <v>45930.0</v>
      </c>
    </row>
    <row r="184">
      <c r="A184" s="661" t="s">
        <v>16</v>
      </c>
      <c r="B184" s="662">
        <v>4320.0</v>
      </c>
      <c r="C184" s="663" t="s">
        <v>763</v>
      </c>
      <c r="D184" s="662">
        <v>0.0</v>
      </c>
      <c r="E184" s="661" t="s">
        <v>431</v>
      </c>
      <c r="F184" s="661" t="s">
        <v>377</v>
      </c>
      <c r="G184" s="661" t="s">
        <v>378</v>
      </c>
      <c r="H184" s="664"/>
      <c r="I184" s="668">
        <v>36289.0</v>
      </c>
      <c r="J184" s="668">
        <v>45476.0</v>
      </c>
      <c r="K184" s="660">
        <v>45808.0</v>
      </c>
      <c r="L184" s="611">
        <f>iferror(VLOOKUP(E184,'September 2025 Reference AI'!E:R,8,false),0)</f>
        <v>0</v>
      </c>
      <c r="M184" s="667">
        <v>45901.0</v>
      </c>
      <c r="N184" s="667">
        <v>45930.0</v>
      </c>
    </row>
    <row r="185">
      <c r="A185" s="661" t="s">
        <v>16</v>
      </c>
      <c r="B185" s="662">
        <v>4320.0</v>
      </c>
      <c r="C185" s="663" t="s">
        <v>763</v>
      </c>
      <c r="D185" s="662">
        <v>0.0</v>
      </c>
      <c r="E185" s="661" t="s">
        <v>180</v>
      </c>
      <c r="F185" s="661" t="s">
        <v>181</v>
      </c>
      <c r="G185" s="661" t="s">
        <v>182</v>
      </c>
      <c r="H185" s="664"/>
      <c r="I185" s="666">
        <v>36297.0</v>
      </c>
      <c r="J185" s="665">
        <v>45001.0</v>
      </c>
      <c r="K185" s="660">
        <v>45359.0</v>
      </c>
      <c r="L185" s="611">
        <f>iferror(VLOOKUP(E185,'September 2025 Reference AI'!E:R,8,false),0)</f>
        <v>0</v>
      </c>
      <c r="M185" s="667">
        <v>45901.0</v>
      </c>
      <c r="N185" s="667">
        <v>45930.0</v>
      </c>
    </row>
    <row r="186">
      <c r="A186" s="661" t="s">
        <v>16</v>
      </c>
      <c r="B186" s="662">
        <v>4320.0</v>
      </c>
      <c r="C186" s="663" t="s">
        <v>763</v>
      </c>
      <c r="D186" s="662">
        <v>0.0</v>
      </c>
      <c r="E186" s="661" t="s">
        <v>183</v>
      </c>
      <c r="F186" s="661" t="s">
        <v>184</v>
      </c>
      <c r="G186" s="661" t="s">
        <v>185</v>
      </c>
      <c r="H186" s="664"/>
      <c r="I186" s="665">
        <v>36979.0</v>
      </c>
      <c r="J186" s="665">
        <v>44907.0</v>
      </c>
      <c r="K186" s="660" t="s">
        <v>947</v>
      </c>
      <c r="L186" s="611">
        <f>iferror(VLOOKUP(E186,'September 2025 Reference AI'!E:R,8,false),0)</f>
        <v>30</v>
      </c>
      <c r="M186" s="667">
        <v>45901.0</v>
      </c>
      <c r="N186" s="667">
        <v>45930.0</v>
      </c>
    </row>
    <row r="187">
      <c r="A187" s="661" t="s">
        <v>16</v>
      </c>
      <c r="B187" s="662">
        <v>4320.0</v>
      </c>
      <c r="C187" s="663" t="s">
        <v>763</v>
      </c>
      <c r="D187" s="662">
        <v>0.0</v>
      </c>
      <c r="E187" s="661" t="s">
        <v>258</v>
      </c>
      <c r="F187" s="661" t="s">
        <v>259</v>
      </c>
      <c r="G187" s="661" t="s">
        <v>260</v>
      </c>
      <c r="H187" s="664"/>
      <c r="I187" s="668">
        <v>35447.0</v>
      </c>
      <c r="J187" s="665">
        <v>45273.0</v>
      </c>
      <c r="K187" s="660">
        <v>45565.0</v>
      </c>
      <c r="L187" s="611">
        <f>iferror(VLOOKUP(E187,'September 2025 Reference AI'!E:R,8,false),0)</f>
        <v>0</v>
      </c>
      <c r="M187" s="667">
        <v>45901.0</v>
      </c>
      <c r="N187" s="667">
        <v>45930.0</v>
      </c>
    </row>
    <row r="188">
      <c r="A188" s="661" t="s">
        <v>16</v>
      </c>
      <c r="B188" s="662">
        <v>4320.0</v>
      </c>
      <c r="C188" s="663" t="s">
        <v>763</v>
      </c>
      <c r="D188" s="662">
        <v>0.0</v>
      </c>
      <c r="E188" s="661" t="s">
        <v>192</v>
      </c>
      <c r="F188" s="661" t="s">
        <v>193</v>
      </c>
      <c r="G188" s="661" t="s">
        <v>194</v>
      </c>
      <c r="H188" s="664"/>
      <c r="I188" s="668">
        <v>36075.0</v>
      </c>
      <c r="J188" s="665">
        <v>44977.0</v>
      </c>
      <c r="K188" s="660">
        <v>45351.0</v>
      </c>
      <c r="L188" s="611">
        <f>iferror(VLOOKUP(E188,'September 2025 Reference AI'!E:R,8,false),0)</f>
        <v>0</v>
      </c>
      <c r="M188" s="667">
        <v>45901.0</v>
      </c>
      <c r="N188" s="667">
        <v>45930.0</v>
      </c>
    </row>
    <row r="189">
      <c r="A189" s="661" t="s">
        <v>16</v>
      </c>
      <c r="B189" s="662">
        <v>4320.0</v>
      </c>
      <c r="C189" s="663" t="s">
        <v>763</v>
      </c>
      <c r="D189" s="662">
        <v>0.0</v>
      </c>
      <c r="E189" s="661" t="s">
        <v>201</v>
      </c>
      <c r="F189" s="661" t="s">
        <v>202</v>
      </c>
      <c r="G189" s="661" t="s">
        <v>203</v>
      </c>
      <c r="H189" s="664"/>
      <c r="I189" s="665">
        <v>36574.0</v>
      </c>
      <c r="J189" s="665">
        <v>45187.0</v>
      </c>
      <c r="K189" s="660">
        <v>45544.0</v>
      </c>
      <c r="L189" s="611">
        <f>iferror(VLOOKUP(E189,'September 2025 Reference AI'!E:R,8,false),0)</f>
        <v>0</v>
      </c>
      <c r="M189" s="667">
        <v>45901.0</v>
      </c>
      <c r="N189" s="667">
        <v>45930.0</v>
      </c>
    </row>
    <row r="190">
      <c r="A190" s="661" t="s">
        <v>16</v>
      </c>
      <c r="B190" s="662">
        <v>4320.0</v>
      </c>
      <c r="C190" s="663" t="s">
        <v>763</v>
      </c>
      <c r="D190" s="662">
        <v>0.0</v>
      </c>
      <c r="E190" s="661" t="s">
        <v>499</v>
      </c>
      <c r="F190" s="661" t="s">
        <v>540</v>
      </c>
      <c r="G190" s="661" t="s">
        <v>500</v>
      </c>
      <c r="H190" s="664"/>
      <c r="I190" s="665">
        <v>36144.0</v>
      </c>
      <c r="J190" s="668">
        <v>45628.0</v>
      </c>
      <c r="K190" s="660">
        <v>45777.0</v>
      </c>
      <c r="L190" s="611">
        <f>iferror(VLOOKUP(E190,'September 2025 Reference AI'!E:R,8,false),0)</f>
        <v>0</v>
      </c>
      <c r="M190" s="667">
        <v>45901.0</v>
      </c>
      <c r="N190" s="667">
        <v>45930.0</v>
      </c>
    </row>
    <row r="191">
      <c r="A191" s="661" t="s">
        <v>16</v>
      </c>
      <c r="B191" s="662">
        <v>4320.0</v>
      </c>
      <c r="C191" s="663" t="s">
        <v>763</v>
      </c>
      <c r="D191" s="662">
        <v>0.0</v>
      </c>
      <c r="E191" s="661" t="s">
        <v>301</v>
      </c>
      <c r="F191" s="661" t="s">
        <v>302</v>
      </c>
      <c r="G191" s="661" t="s">
        <v>303</v>
      </c>
      <c r="H191" s="664"/>
      <c r="I191" s="668">
        <v>36991.0</v>
      </c>
      <c r="J191" s="668">
        <v>45205.0</v>
      </c>
      <c r="K191" s="660">
        <v>45889.0</v>
      </c>
      <c r="L191" s="611">
        <f>iferror(VLOOKUP(E191,'September 2025 Reference AI'!E:R,8,false),0)</f>
        <v>0</v>
      </c>
      <c r="M191" s="667">
        <v>45901.0</v>
      </c>
      <c r="N191" s="667">
        <v>45930.0</v>
      </c>
    </row>
    <row r="192">
      <c r="A192" s="661" t="s">
        <v>16</v>
      </c>
      <c r="B192" s="662">
        <v>4320.0</v>
      </c>
      <c r="C192" s="663" t="s">
        <v>763</v>
      </c>
      <c r="D192" s="662">
        <v>0.0</v>
      </c>
      <c r="E192" s="661" t="s">
        <v>432</v>
      </c>
      <c r="F192" s="661" t="s">
        <v>521</v>
      </c>
      <c r="G192" s="661" t="s">
        <v>433</v>
      </c>
      <c r="H192" s="664"/>
      <c r="I192" s="668">
        <v>34504.0</v>
      </c>
      <c r="J192" s="668">
        <v>45481.0</v>
      </c>
      <c r="K192" s="660" t="s">
        <v>947</v>
      </c>
      <c r="L192" s="611">
        <f>iferror(VLOOKUP(E192,'September 2025 Reference AI'!E:R,8,false),0)</f>
        <v>30</v>
      </c>
      <c r="M192" s="667">
        <v>45901.0</v>
      </c>
      <c r="N192" s="667">
        <v>45930.0</v>
      </c>
      <c r="P192" s="631"/>
      <c r="Q192" s="631"/>
      <c r="R192" s="631"/>
      <c r="S192" s="631"/>
      <c r="T192" s="631"/>
      <c r="U192" s="631"/>
      <c r="V192" s="631"/>
      <c r="W192" s="631"/>
    </row>
    <row r="193">
      <c r="A193" s="661" t="s">
        <v>16</v>
      </c>
      <c r="B193" s="662">
        <v>4320.0</v>
      </c>
      <c r="C193" s="663" t="s">
        <v>763</v>
      </c>
      <c r="D193" s="662">
        <v>0.0</v>
      </c>
      <c r="E193" s="661" t="s">
        <v>434</v>
      </c>
      <c r="F193" s="661" t="s">
        <v>522</v>
      </c>
      <c r="G193" s="661" t="s">
        <v>435</v>
      </c>
      <c r="H193" s="664"/>
      <c r="I193" s="668">
        <v>37446.0</v>
      </c>
      <c r="J193" s="668">
        <v>45495.0</v>
      </c>
      <c r="K193" s="660">
        <v>45840.0</v>
      </c>
      <c r="L193" s="611">
        <f>iferror(VLOOKUP(E193,'September 2025 Reference AI'!E:R,8,false),0)</f>
        <v>0</v>
      </c>
      <c r="M193" s="667">
        <v>45901.0</v>
      </c>
      <c r="N193" s="667">
        <v>45930.0</v>
      </c>
      <c r="P193" s="631"/>
      <c r="Q193" s="631"/>
      <c r="R193" s="631"/>
      <c r="S193" s="631"/>
      <c r="T193" s="631"/>
      <c r="U193" s="631"/>
      <c r="V193" s="631"/>
      <c r="W193" s="631"/>
    </row>
    <row r="194">
      <c r="A194" s="661" t="s">
        <v>16</v>
      </c>
      <c r="B194" s="662">
        <v>4320.0</v>
      </c>
      <c r="C194" s="663" t="s">
        <v>763</v>
      </c>
      <c r="D194" s="662">
        <v>0.0</v>
      </c>
      <c r="E194" s="661" t="s">
        <v>667</v>
      </c>
      <c r="F194" s="661" t="s">
        <v>668</v>
      </c>
      <c r="G194" s="661" t="s">
        <v>669</v>
      </c>
      <c r="H194" s="664"/>
      <c r="I194" s="665">
        <v>33961.0</v>
      </c>
      <c r="J194" s="665">
        <v>45229.0</v>
      </c>
      <c r="K194" s="660">
        <v>45408.0</v>
      </c>
      <c r="L194" s="611">
        <f>iferror(VLOOKUP(E194,'September 2025 Reference AI'!E:R,8,false),0)</f>
        <v>0</v>
      </c>
      <c r="M194" s="667">
        <v>45901.0</v>
      </c>
      <c r="N194" s="667">
        <v>45930.0</v>
      </c>
      <c r="P194" s="631"/>
      <c r="Q194" s="631"/>
      <c r="R194" s="631"/>
      <c r="S194" s="631"/>
      <c r="T194" s="631"/>
      <c r="U194" s="631"/>
      <c r="V194" s="631"/>
      <c r="W194" s="631"/>
    </row>
    <row r="195">
      <c r="A195" s="661" t="s">
        <v>16</v>
      </c>
      <c r="B195" s="662">
        <v>4320.0</v>
      </c>
      <c r="C195" s="663" t="s">
        <v>763</v>
      </c>
      <c r="D195" s="662">
        <v>0.0</v>
      </c>
      <c r="E195" s="661" t="s">
        <v>670</v>
      </c>
      <c r="F195" s="661" t="s">
        <v>671</v>
      </c>
      <c r="G195" s="661" t="s">
        <v>672</v>
      </c>
      <c r="H195" s="664"/>
      <c r="I195" s="665">
        <v>36386.0</v>
      </c>
      <c r="J195" s="668">
        <v>45111.0</v>
      </c>
      <c r="K195" s="660">
        <v>45394.0</v>
      </c>
      <c r="L195" s="611">
        <f>iferror(VLOOKUP(E195,'September 2025 Reference AI'!E:R,8,false),0)</f>
        <v>0</v>
      </c>
      <c r="M195" s="667">
        <v>45901.0</v>
      </c>
      <c r="N195" s="667">
        <v>45930.0</v>
      </c>
      <c r="P195" s="631"/>
      <c r="Q195" s="631"/>
      <c r="R195" s="631"/>
      <c r="S195" s="631"/>
      <c r="T195" s="631"/>
      <c r="U195" s="631"/>
      <c r="V195" s="631"/>
      <c r="W195" s="631"/>
    </row>
    <row r="196">
      <c r="A196" s="661" t="s">
        <v>16</v>
      </c>
      <c r="B196" s="662">
        <v>4320.0</v>
      </c>
      <c r="C196" s="663" t="s">
        <v>763</v>
      </c>
      <c r="D196" s="662">
        <v>0.0</v>
      </c>
      <c r="E196" s="661" t="s">
        <v>460</v>
      </c>
      <c r="F196" s="661" t="s">
        <v>523</v>
      </c>
      <c r="G196" s="661" t="s">
        <v>461</v>
      </c>
      <c r="H196" s="664"/>
      <c r="I196" s="665">
        <v>36856.0</v>
      </c>
      <c r="J196" s="668">
        <v>45505.0</v>
      </c>
      <c r="K196" s="660" t="s">
        <v>947</v>
      </c>
      <c r="L196" s="611">
        <f>iferror(VLOOKUP(E196,'September 2025 Reference AI'!E:R,8,false),0)</f>
        <v>30</v>
      </c>
      <c r="M196" s="667">
        <v>45901.0</v>
      </c>
      <c r="N196" s="667">
        <v>45930.0</v>
      </c>
      <c r="P196" s="631"/>
      <c r="Q196" s="631"/>
      <c r="R196" s="631"/>
      <c r="S196" s="631"/>
      <c r="T196" s="631"/>
      <c r="U196" s="631"/>
      <c r="V196" s="631"/>
      <c r="W196" s="631"/>
    </row>
    <row r="197">
      <c r="A197" s="661" t="s">
        <v>16</v>
      </c>
      <c r="B197" s="662">
        <v>4320.0</v>
      </c>
      <c r="C197" s="663" t="s">
        <v>763</v>
      </c>
      <c r="D197" s="662">
        <v>0.0</v>
      </c>
      <c r="E197" s="661" t="s">
        <v>462</v>
      </c>
      <c r="F197" s="661" t="s">
        <v>526</v>
      </c>
      <c r="G197" s="661" t="s">
        <v>463</v>
      </c>
      <c r="H197" s="664"/>
      <c r="I197" s="665">
        <v>34588.0</v>
      </c>
      <c r="J197" s="665">
        <v>45530.0</v>
      </c>
      <c r="K197" s="660" t="s">
        <v>947</v>
      </c>
      <c r="L197" s="611">
        <f>iferror(VLOOKUP(E197,'September 2025 Reference AI'!E:R,8,false),0)</f>
        <v>30</v>
      </c>
      <c r="M197" s="667">
        <v>45901.0</v>
      </c>
      <c r="N197" s="667">
        <v>45930.0</v>
      </c>
      <c r="P197" s="631"/>
      <c r="Q197" s="631"/>
      <c r="R197" s="631"/>
      <c r="S197" s="631"/>
      <c r="T197" s="631"/>
      <c r="U197" s="631"/>
      <c r="V197" s="631"/>
      <c r="W197" s="631"/>
    </row>
    <row r="198">
      <c r="A198" s="661" t="s">
        <v>16</v>
      </c>
      <c r="B198" s="662">
        <v>4320.0</v>
      </c>
      <c r="C198" s="663" t="s">
        <v>763</v>
      </c>
      <c r="D198" s="662">
        <v>0.0</v>
      </c>
      <c r="E198" s="661" t="s">
        <v>423</v>
      </c>
      <c r="F198" s="661" t="s">
        <v>524</v>
      </c>
      <c r="G198" s="661" t="s">
        <v>424</v>
      </c>
      <c r="H198" s="664"/>
      <c r="I198" s="668">
        <v>37818.0</v>
      </c>
      <c r="J198" s="668">
        <v>45467.0</v>
      </c>
      <c r="K198" s="660" t="s">
        <v>947</v>
      </c>
      <c r="L198" s="611">
        <f>iferror(VLOOKUP(E198,'September 2025 Reference AI'!E:R,8,false),0)</f>
        <v>30</v>
      </c>
      <c r="M198" s="667">
        <v>45901.0</v>
      </c>
      <c r="N198" s="667">
        <v>45930.0</v>
      </c>
      <c r="P198" s="631"/>
      <c r="Q198" s="631"/>
      <c r="R198" s="631"/>
      <c r="S198" s="631"/>
      <c r="T198" s="631"/>
      <c r="U198" s="631"/>
      <c r="V198" s="631"/>
      <c r="W198" s="631"/>
    </row>
    <row r="199">
      <c r="A199" s="661" t="s">
        <v>16</v>
      </c>
      <c r="B199" s="662">
        <v>4320.0</v>
      </c>
      <c r="C199" s="663" t="s">
        <v>763</v>
      </c>
      <c r="D199" s="662">
        <v>0.0</v>
      </c>
      <c r="E199" s="661" t="s">
        <v>207</v>
      </c>
      <c r="F199" s="661" t="s">
        <v>208</v>
      </c>
      <c r="G199" s="661" t="s">
        <v>209</v>
      </c>
      <c r="H199" s="664"/>
      <c r="I199" s="665">
        <v>33156.0</v>
      </c>
      <c r="J199" s="668">
        <v>44562.0</v>
      </c>
      <c r="K199" s="660">
        <v>45473.0</v>
      </c>
      <c r="L199" s="611">
        <f>iferror(VLOOKUP(E199,'September 2025 Reference AI'!E:R,8,false),0)</f>
        <v>0</v>
      </c>
      <c r="M199" s="667">
        <v>45901.0</v>
      </c>
      <c r="N199" s="667">
        <v>45930.0</v>
      </c>
    </row>
    <row r="200">
      <c r="A200" s="661" t="s">
        <v>16</v>
      </c>
      <c r="B200" s="662">
        <v>4320.0</v>
      </c>
      <c r="C200" s="663" t="s">
        <v>763</v>
      </c>
      <c r="D200" s="662">
        <v>0.0</v>
      </c>
      <c r="E200" s="661" t="s">
        <v>304</v>
      </c>
      <c r="F200" s="661" t="s">
        <v>305</v>
      </c>
      <c r="G200" s="661" t="s">
        <v>306</v>
      </c>
      <c r="H200" s="664"/>
      <c r="I200" s="665">
        <v>35697.0</v>
      </c>
      <c r="J200" s="665">
        <v>45348.0</v>
      </c>
      <c r="K200" s="660">
        <v>45698.0</v>
      </c>
      <c r="L200" s="611">
        <f>iferror(VLOOKUP(E200,'September 2025 Reference AI'!E:R,8,false),0)</f>
        <v>0</v>
      </c>
      <c r="M200" s="667">
        <v>45901.0</v>
      </c>
      <c r="N200" s="667">
        <v>45930.0</v>
      </c>
    </row>
    <row r="201">
      <c r="A201" s="661" t="s">
        <v>16</v>
      </c>
      <c r="B201" s="662">
        <v>4320.0</v>
      </c>
      <c r="C201" s="663" t="s">
        <v>763</v>
      </c>
      <c r="D201" s="662">
        <v>0.0</v>
      </c>
      <c r="E201" s="661" t="s">
        <v>213</v>
      </c>
      <c r="F201" s="661" t="s">
        <v>214</v>
      </c>
      <c r="G201" s="661" t="s">
        <v>215</v>
      </c>
      <c r="H201" s="664"/>
      <c r="I201" s="665">
        <v>36797.0</v>
      </c>
      <c r="J201" s="665">
        <v>44886.0</v>
      </c>
      <c r="K201" s="660">
        <v>45747.0</v>
      </c>
      <c r="L201" s="611">
        <f>iferror(VLOOKUP(E201,'September 2025 Reference AI'!E:R,8,false),0)</f>
        <v>0</v>
      </c>
      <c r="M201" s="667">
        <v>45901.0</v>
      </c>
      <c r="N201" s="667">
        <v>45930.0</v>
      </c>
    </row>
    <row r="202">
      <c r="A202" s="661" t="s">
        <v>16</v>
      </c>
      <c r="B202" s="662">
        <v>4320.0</v>
      </c>
      <c r="C202" s="663" t="s">
        <v>763</v>
      </c>
      <c r="D202" s="662">
        <v>0.0</v>
      </c>
      <c r="E202" s="661" t="s">
        <v>673</v>
      </c>
      <c r="F202" s="661" t="s">
        <v>674</v>
      </c>
      <c r="G202" s="661" t="s">
        <v>675</v>
      </c>
      <c r="H202" s="664"/>
      <c r="I202" s="665">
        <v>36961.0</v>
      </c>
      <c r="J202" s="668">
        <v>44593.0</v>
      </c>
      <c r="K202" s="660">
        <v>45457.0</v>
      </c>
      <c r="L202" s="611">
        <f>iferror(VLOOKUP(E202,'September 2025 Reference AI'!E:R,8,false),0)</f>
        <v>0</v>
      </c>
      <c r="M202" s="667">
        <v>45901.0</v>
      </c>
      <c r="N202" s="667">
        <v>45930.0</v>
      </c>
    </row>
    <row r="203">
      <c r="A203" s="661" t="s">
        <v>16</v>
      </c>
      <c r="B203" s="662">
        <v>4320.0</v>
      </c>
      <c r="C203" s="663" t="s">
        <v>763</v>
      </c>
      <c r="D203" s="662">
        <v>0.0</v>
      </c>
      <c r="E203" s="661" t="s">
        <v>717</v>
      </c>
      <c r="F203" s="661" t="s">
        <v>718</v>
      </c>
      <c r="G203" s="661" t="s">
        <v>719</v>
      </c>
      <c r="H203" s="664"/>
      <c r="I203" s="665">
        <v>36505.0</v>
      </c>
      <c r="J203" s="665">
        <v>45712.0</v>
      </c>
      <c r="K203" s="660" t="s">
        <v>947</v>
      </c>
      <c r="L203" s="611">
        <f>iferror(VLOOKUP(E203,'September 2025 Reference AI'!E:R,8,false),0)</f>
        <v>30</v>
      </c>
      <c r="M203" s="667">
        <v>45901.0</v>
      </c>
      <c r="N203" s="667">
        <v>45930.0</v>
      </c>
    </row>
    <row r="204">
      <c r="A204" s="661" t="s">
        <v>16</v>
      </c>
      <c r="B204" s="662">
        <v>4320.0</v>
      </c>
      <c r="C204" s="663" t="s">
        <v>763</v>
      </c>
      <c r="D204" s="662">
        <v>0.0</v>
      </c>
      <c r="E204" s="661" t="s">
        <v>588</v>
      </c>
      <c r="F204" s="681" t="s">
        <v>589</v>
      </c>
      <c r="G204" s="661" t="s">
        <v>590</v>
      </c>
      <c r="H204" s="664"/>
      <c r="I204" s="668">
        <v>34190.0</v>
      </c>
      <c r="J204" s="668">
        <v>45684.0</v>
      </c>
      <c r="K204" s="660">
        <v>45812.0</v>
      </c>
      <c r="L204" s="611">
        <f>iferror(VLOOKUP(E204,'September 2025 Reference AI'!E:R,8,false),0)</f>
        <v>0</v>
      </c>
      <c r="M204" s="667">
        <v>45901.0</v>
      </c>
      <c r="N204" s="667">
        <v>45930.0</v>
      </c>
    </row>
    <row r="205">
      <c r="A205" s="661" t="s">
        <v>16</v>
      </c>
      <c r="B205" s="662">
        <v>4320.0</v>
      </c>
      <c r="C205" s="663" t="s">
        <v>763</v>
      </c>
      <c r="D205" s="662">
        <v>0.0</v>
      </c>
      <c r="E205" s="661" t="s">
        <v>427</v>
      </c>
      <c r="F205" s="661" t="s">
        <v>525</v>
      </c>
      <c r="G205" s="661" t="s">
        <v>428</v>
      </c>
      <c r="H205" s="664"/>
      <c r="I205" s="665">
        <v>36451.0</v>
      </c>
      <c r="J205" s="668">
        <v>45453.0</v>
      </c>
      <c r="K205" s="660" t="s">
        <v>947</v>
      </c>
      <c r="L205" s="611">
        <f>iferror(VLOOKUP(E205,'September 2025 Reference AI'!E:R,8,false),0)</f>
        <v>30</v>
      </c>
      <c r="M205" s="667">
        <v>45901.0</v>
      </c>
      <c r="N205" s="667">
        <v>45930.0</v>
      </c>
    </row>
    <row r="206">
      <c r="A206" s="661" t="s">
        <v>16</v>
      </c>
      <c r="B206" s="662">
        <v>4320.0</v>
      </c>
      <c r="C206" s="663" t="s">
        <v>763</v>
      </c>
      <c r="D206" s="662">
        <v>0.0</v>
      </c>
      <c r="E206" s="661" t="s">
        <v>493</v>
      </c>
      <c r="F206" s="661" t="s">
        <v>532</v>
      </c>
      <c r="G206" s="661" t="s">
        <v>494</v>
      </c>
      <c r="H206" s="664"/>
      <c r="I206" s="665">
        <v>36208.0</v>
      </c>
      <c r="J206" s="668">
        <v>45602.0</v>
      </c>
      <c r="K206" s="660" t="s">
        <v>947</v>
      </c>
      <c r="L206" s="611">
        <f>iferror(VLOOKUP(E206,'September 2025 Reference AI'!E:R,8,false),0)</f>
        <v>30</v>
      </c>
      <c r="M206" s="667">
        <v>45901.0</v>
      </c>
      <c r="N206" s="667">
        <v>45930.0</v>
      </c>
    </row>
    <row r="207">
      <c r="A207" s="661" t="s">
        <v>16</v>
      </c>
      <c r="B207" s="662">
        <v>4320.0</v>
      </c>
      <c r="C207" s="663" t="s">
        <v>763</v>
      </c>
      <c r="D207" s="662">
        <v>0.0</v>
      </c>
      <c r="E207" s="661" t="s">
        <v>222</v>
      </c>
      <c r="F207" s="661" t="s">
        <v>223</v>
      </c>
      <c r="G207" s="661" t="s">
        <v>224</v>
      </c>
      <c r="H207" s="664"/>
      <c r="I207" s="668">
        <v>35818.0</v>
      </c>
      <c r="J207" s="668">
        <v>45089.0</v>
      </c>
      <c r="K207" s="660">
        <v>45747.0</v>
      </c>
      <c r="L207" s="611">
        <f>iferror(VLOOKUP(E207,'September 2025 Reference AI'!E:R,8,false),0)</f>
        <v>0</v>
      </c>
      <c r="M207" s="667">
        <v>45901.0</v>
      </c>
      <c r="N207" s="667">
        <v>45930.0</v>
      </c>
    </row>
    <row r="208">
      <c r="A208" s="661" t="s">
        <v>16</v>
      </c>
      <c r="B208" s="662">
        <v>4320.0</v>
      </c>
      <c r="C208" s="663" t="s">
        <v>763</v>
      </c>
      <c r="D208" s="662">
        <v>0.0</v>
      </c>
      <c r="E208" s="661" t="s">
        <v>747</v>
      </c>
      <c r="F208" s="661" t="s">
        <v>748</v>
      </c>
      <c r="G208" s="661" t="s">
        <v>749</v>
      </c>
      <c r="H208" s="664"/>
      <c r="I208" s="665">
        <v>37314.0</v>
      </c>
      <c r="J208" s="665">
        <v>45733.0</v>
      </c>
      <c r="K208" s="660" t="s">
        <v>947</v>
      </c>
      <c r="L208" s="611">
        <f>iferror(VLOOKUP(E208,'September 2025 Reference AI'!E:R,8,false),0)</f>
        <v>30</v>
      </c>
      <c r="M208" s="667">
        <v>45901.0</v>
      </c>
      <c r="N208" s="667">
        <v>45930.0</v>
      </c>
    </row>
    <row r="209">
      <c r="A209" s="661" t="s">
        <v>16</v>
      </c>
      <c r="B209" s="662">
        <v>4320.0</v>
      </c>
      <c r="C209" s="663" t="s">
        <v>763</v>
      </c>
      <c r="D209" s="662">
        <v>0.0</v>
      </c>
      <c r="E209" s="661" t="s">
        <v>585</v>
      </c>
      <c r="F209" s="681" t="s">
        <v>586</v>
      </c>
      <c r="G209" s="661" t="s">
        <v>587</v>
      </c>
      <c r="H209" s="664"/>
      <c r="I209" s="668">
        <v>35827.0</v>
      </c>
      <c r="J209" s="668">
        <v>45684.0</v>
      </c>
      <c r="K209" s="660" t="s">
        <v>947</v>
      </c>
      <c r="L209" s="611">
        <f>iferror(VLOOKUP(E209,'September 2025 Reference AI'!E:R,8,false),0)</f>
        <v>30</v>
      </c>
      <c r="M209" s="667">
        <v>45901.0</v>
      </c>
      <c r="N209" s="667">
        <v>45930.0</v>
      </c>
    </row>
    <row r="210">
      <c r="A210" s="661" t="s">
        <v>16</v>
      </c>
      <c r="B210" s="662">
        <v>4320.0</v>
      </c>
      <c r="C210" s="663" t="s">
        <v>763</v>
      </c>
      <c r="D210" s="662">
        <v>0.0</v>
      </c>
      <c r="E210" s="661" t="s">
        <v>225</v>
      </c>
      <c r="F210" s="661" t="s">
        <v>226</v>
      </c>
      <c r="G210" s="661" t="s">
        <v>227</v>
      </c>
      <c r="H210" s="664"/>
      <c r="I210" s="668">
        <v>36177.0</v>
      </c>
      <c r="J210" s="668">
        <v>45320.0</v>
      </c>
      <c r="K210" s="660">
        <v>45826.0</v>
      </c>
      <c r="L210" s="611">
        <f>iferror(VLOOKUP(E210,'September 2025 Reference AI'!E:R,8,false),0)</f>
        <v>0</v>
      </c>
      <c r="M210" s="667">
        <v>45901.0</v>
      </c>
      <c r="N210" s="667">
        <v>45930.0</v>
      </c>
    </row>
    <row r="211">
      <c r="A211" s="661" t="s">
        <v>16</v>
      </c>
      <c r="B211" s="662">
        <v>4320.0</v>
      </c>
      <c r="C211" s="663" t="s">
        <v>763</v>
      </c>
      <c r="D211" s="662">
        <v>0.0</v>
      </c>
      <c r="E211" s="661" t="s">
        <v>676</v>
      </c>
      <c r="F211" s="661" t="s">
        <v>677</v>
      </c>
      <c r="G211" s="661" t="s">
        <v>678</v>
      </c>
      <c r="H211" s="664"/>
      <c r="I211" s="665">
        <v>36107.0</v>
      </c>
      <c r="J211" s="666">
        <v>45778.0</v>
      </c>
      <c r="K211" s="660">
        <v>45882.0</v>
      </c>
      <c r="L211" s="611">
        <f>iferror(VLOOKUP(E211,'September 2025 Reference AI'!E:R,8,false),0)</f>
        <v>0</v>
      </c>
      <c r="M211" s="667">
        <v>45901.0</v>
      </c>
      <c r="N211" s="667">
        <v>45930.0</v>
      </c>
    </row>
    <row r="212">
      <c r="A212" s="661" t="s">
        <v>16</v>
      </c>
      <c r="B212" s="662">
        <v>4320.0</v>
      </c>
      <c r="C212" s="663" t="s">
        <v>763</v>
      </c>
      <c r="D212" s="662">
        <v>0.0</v>
      </c>
      <c r="E212" s="661" t="s">
        <v>812</v>
      </c>
      <c r="F212" s="661" t="s">
        <v>820</v>
      </c>
      <c r="G212" s="661" t="s">
        <v>814</v>
      </c>
      <c r="H212" s="664"/>
      <c r="I212" s="665">
        <v>37940.0</v>
      </c>
      <c r="J212" s="665">
        <v>45775.0</v>
      </c>
      <c r="K212" s="660" t="s">
        <v>947</v>
      </c>
      <c r="L212" s="611">
        <f>iferror(VLOOKUP(E212,'September 2025 Reference AI'!E:R,8,false),0)</f>
        <v>30</v>
      </c>
      <c r="M212" s="667">
        <v>45901.0</v>
      </c>
      <c r="N212" s="667">
        <v>45930.0</v>
      </c>
    </row>
    <row r="213">
      <c r="A213" s="661" t="s">
        <v>16</v>
      </c>
      <c r="B213" s="662">
        <v>4320.0</v>
      </c>
      <c r="C213" s="663" t="s">
        <v>763</v>
      </c>
      <c r="D213" s="662">
        <v>0.0</v>
      </c>
      <c r="E213" s="661" t="s">
        <v>679</v>
      </c>
      <c r="F213" s="661" t="s">
        <v>680</v>
      </c>
      <c r="G213" s="661" t="s">
        <v>681</v>
      </c>
      <c r="H213" s="664"/>
      <c r="I213" s="668">
        <v>34915.0</v>
      </c>
      <c r="J213" s="665">
        <v>45153.0</v>
      </c>
      <c r="K213" s="660">
        <v>45306.0</v>
      </c>
      <c r="L213" s="611">
        <f>iferror(VLOOKUP(E213,'September 2025 Reference AI'!E:R,8,false),0)</f>
        <v>0</v>
      </c>
      <c r="M213" s="667">
        <v>45901.0</v>
      </c>
      <c r="N213" s="667">
        <v>45930.0</v>
      </c>
    </row>
    <row r="214">
      <c r="A214" s="661" t="s">
        <v>16</v>
      </c>
      <c r="B214" s="662">
        <v>4320.0</v>
      </c>
      <c r="C214" s="663" t="s">
        <v>763</v>
      </c>
      <c r="D214" s="662">
        <v>0.0</v>
      </c>
      <c r="E214" s="661" t="s">
        <v>682</v>
      </c>
      <c r="F214" s="661" t="s">
        <v>683</v>
      </c>
      <c r="G214" s="661" t="s">
        <v>684</v>
      </c>
      <c r="H214" s="664"/>
      <c r="I214" s="668">
        <v>36545.0</v>
      </c>
      <c r="J214" s="668">
        <v>44562.0</v>
      </c>
      <c r="K214" s="660">
        <v>45476.0</v>
      </c>
      <c r="L214" s="611">
        <f>iferror(VLOOKUP(E214,'September 2025 Reference AI'!E:R,8,false),0)</f>
        <v>0</v>
      </c>
      <c r="M214" s="667">
        <v>45901.0</v>
      </c>
      <c r="N214" s="667">
        <v>45930.0</v>
      </c>
    </row>
    <row r="215">
      <c r="A215" s="661" t="s">
        <v>16</v>
      </c>
      <c r="B215" s="662">
        <v>4320.0</v>
      </c>
      <c r="C215" s="663" t="s">
        <v>763</v>
      </c>
      <c r="D215" s="662">
        <v>0.0</v>
      </c>
      <c r="E215" s="661" t="s">
        <v>307</v>
      </c>
      <c r="F215" s="661" t="s">
        <v>308</v>
      </c>
      <c r="G215" s="661" t="s">
        <v>309</v>
      </c>
      <c r="H215" s="664"/>
      <c r="I215" s="665">
        <v>36522.0</v>
      </c>
      <c r="J215" s="668">
        <v>45328.0</v>
      </c>
      <c r="K215" s="660">
        <v>45572.0</v>
      </c>
      <c r="L215" s="611">
        <f>iferror(VLOOKUP(E215,'September 2025 Reference AI'!E:R,8,false),0)</f>
        <v>0</v>
      </c>
      <c r="M215" s="667">
        <v>45901.0</v>
      </c>
      <c r="N215" s="667">
        <v>45930.0</v>
      </c>
    </row>
    <row r="216">
      <c r="A216" s="661" t="s">
        <v>16</v>
      </c>
      <c r="B216" s="662">
        <v>4320.0</v>
      </c>
      <c r="C216" s="663" t="s">
        <v>763</v>
      </c>
      <c r="D216" s="662">
        <v>0.0</v>
      </c>
      <c r="E216" s="311" t="s">
        <v>863</v>
      </c>
      <c r="F216" s="251" t="s">
        <v>864</v>
      </c>
      <c r="G216" s="251" t="s">
        <v>865</v>
      </c>
      <c r="I216" s="509">
        <v>36175.0</v>
      </c>
      <c r="J216" s="509">
        <v>45824.0</v>
      </c>
      <c r="K216" s="660" t="s">
        <v>947</v>
      </c>
      <c r="L216" s="611">
        <f>iferror(VLOOKUP(E216,'September 2025 Reference AI'!E:R,8,false),0)</f>
        <v>30</v>
      </c>
      <c r="M216" s="667">
        <v>45901.0</v>
      </c>
      <c r="N216" s="667">
        <v>45930.0</v>
      </c>
    </row>
    <row r="217">
      <c r="A217" s="661" t="s">
        <v>16</v>
      </c>
      <c r="B217" s="662">
        <v>4320.0</v>
      </c>
      <c r="C217" s="663" t="s">
        <v>763</v>
      </c>
      <c r="D217" s="662">
        <v>0.0</v>
      </c>
      <c r="E217" s="311" t="s">
        <v>866</v>
      </c>
      <c r="F217" s="251" t="s">
        <v>867</v>
      </c>
      <c r="G217" s="251" t="s">
        <v>868</v>
      </c>
      <c r="I217" s="509">
        <v>36180.0</v>
      </c>
      <c r="J217" s="509">
        <v>45824.0</v>
      </c>
      <c r="K217" s="660" t="s">
        <v>947</v>
      </c>
      <c r="L217" s="611">
        <f>iferror(VLOOKUP(E217,'September 2025 Reference AI'!E:R,8,false),0)</f>
        <v>30</v>
      </c>
      <c r="M217" s="667">
        <v>45901.0</v>
      </c>
      <c r="N217" s="667">
        <v>45930.0</v>
      </c>
    </row>
    <row r="218">
      <c r="A218" s="661" t="s">
        <v>16</v>
      </c>
      <c r="B218" s="662">
        <v>4320.0</v>
      </c>
      <c r="C218" s="663" t="s">
        <v>763</v>
      </c>
      <c r="D218" s="662">
        <v>0.0</v>
      </c>
      <c r="E218" s="311" t="s">
        <v>869</v>
      </c>
      <c r="F218" s="251" t="s">
        <v>870</v>
      </c>
      <c r="G218" s="251" t="s">
        <v>871</v>
      </c>
      <c r="I218" s="509">
        <v>36585.0</v>
      </c>
      <c r="J218" s="509">
        <v>45824.0</v>
      </c>
      <c r="K218" s="660" t="s">
        <v>947</v>
      </c>
      <c r="L218" s="611">
        <f>iferror(VLOOKUP(E218,'September 2025 Reference AI'!E:R,8,false),0)</f>
        <v>30</v>
      </c>
      <c r="M218" s="667">
        <v>45901.0</v>
      </c>
      <c r="N218" s="667">
        <v>45930.0</v>
      </c>
    </row>
    <row r="219">
      <c r="A219" s="661" t="s">
        <v>16</v>
      </c>
      <c r="B219" s="662">
        <v>4320.0</v>
      </c>
      <c r="C219" s="663" t="s">
        <v>763</v>
      </c>
      <c r="D219" s="662">
        <v>0.0</v>
      </c>
      <c r="E219" s="311" t="s">
        <v>872</v>
      </c>
      <c r="F219" s="251" t="s">
        <v>873</v>
      </c>
      <c r="G219" s="251" t="s">
        <v>874</v>
      </c>
      <c r="I219" s="509">
        <v>35415.0</v>
      </c>
      <c r="J219" s="520">
        <v>45831.0</v>
      </c>
      <c r="K219" s="660" t="s">
        <v>947</v>
      </c>
      <c r="L219" s="611">
        <f>iferror(VLOOKUP(E219,'September 2025 Reference AI'!E:R,8,false),0)</f>
        <v>30</v>
      </c>
      <c r="M219" s="667">
        <v>45901.0</v>
      </c>
      <c r="N219" s="667">
        <v>45930.0</v>
      </c>
    </row>
    <row r="220">
      <c r="A220" s="661" t="s">
        <v>16</v>
      </c>
      <c r="B220" s="662">
        <v>4320.0</v>
      </c>
      <c r="C220" s="663" t="s">
        <v>763</v>
      </c>
      <c r="D220" s="662">
        <v>0.0</v>
      </c>
      <c r="E220" s="311" t="s">
        <v>875</v>
      </c>
      <c r="F220" s="251" t="s">
        <v>876</v>
      </c>
      <c r="G220" s="661" t="s">
        <v>877</v>
      </c>
      <c r="I220" s="509">
        <v>37517.0</v>
      </c>
      <c r="J220" s="520">
        <v>45831.0</v>
      </c>
      <c r="K220" s="660">
        <v>45903.0</v>
      </c>
      <c r="L220" s="611">
        <f>iferror(VLOOKUP(E220,'September 2025 Reference AI'!E:R,8,false),0)</f>
        <v>3</v>
      </c>
      <c r="M220" s="667">
        <v>45901.0</v>
      </c>
      <c r="N220" s="667">
        <v>45930.0</v>
      </c>
    </row>
    <row r="221">
      <c r="A221" s="661" t="s">
        <v>16</v>
      </c>
      <c r="B221" s="662">
        <v>4320.0</v>
      </c>
      <c r="C221" s="663" t="s">
        <v>763</v>
      </c>
      <c r="D221" s="662">
        <v>0.0</v>
      </c>
      <c r="E221" s="311" t="s">
        <v>878</v>
      </c>
      <c r="F221" s="251" t="s">
        <v>879</v>
      </c>
      <c r="G221" s="251" t="s">
        <v>880</v>
      </c>
      <c r="I221" s="509">
        <v>34912.0</v>
      </c>
      <c r="J221" s="520">
        <v>45831.0</v>
      </c>
      <c r="K221" s="660" t="s">
        <v>947</v>
      </c>
      <c r="L221" s="611">
        <f>iferror(VLOOKUP(E221,'September 2025 Reference AI'!E:R,8,false),0)</f>
        <v>30</v>
      </c>
      <c r="M221" s="667">
        <v>45901.0</v>
      </c>
      <c r="N221" s="667">
        <v>45930.0</v>
      </c>
    </row>
    <row r="222">
      <c r="A222" s="661" t="s">
        <v>16</v>
      </c>
      <c r="B222" s="662">
        <v>4320.0</v>
      </c>
      <c r="C222" s="663" t="s">
        <v>763</v>
      </c>
      <c r="D222" s="662">
        <v>0.0</v>
      </c>
      <c r="E222" s="311" t="s">
        <v>881</v>
      </c>
      <c r="F222" s="682" t="s">
        <v>882</v>
      </c>
      <c r="G222" s="251" t="s">
        <v>883</v>
      </c>
      <c r="H222" s="228"/>
      <c r="I222" s="509">
        <v>35887.0</v>
      </c>
      <c r="J222" s="520">
        <v>45809.0</v>
      </c>
      <c r="K222" s="660">
        <v>45869.0</v>
      </c>
      <c r="L222" s="611">
        <f>iferror(VLOOKUP(E222,'September 2025 Reference AI'!E:R,8,false),0)</f>
        <v>0</v>
      </c>
      <c r="M222" s="667">
        <v>45901.0</v>
      </c>
      <c r="N222" s="667">
        <v>45930.0</v>
      </c>
    </row>
    <row r="223">
      <c r="A223" s="661" t="s">
        <v>16</v>
      </c>
      <c r="B223" s="662">
        <v>4320.0</v>
      </c>
      <c r="C223" s="663" t="s">
        <v>763</v>
      </c>
      <c r="D223" s="662">
        <v>0.0</v>
      </c>
      <c r="E223" s="574" t="s">
        <v>915</v>
      </c>
      <c r="F223" s="575" t="s">
        <v>893</v>
      </c>
      <c r="G223" s="228" t="str">
        <f>VLOOKUP(E223,Emp_Directory!B:AQ,16,false)</f>
        <v>13302-9437802-3</v>
      </c>
      <c r="H223" s="228"/>
      <c r="I223" s="509">
        <f>VLOOKUP(E223,Emp_Directory!B:AQ,24,false)</f>
        <v>35207</v>
      </c>
      <c r="J223" s="576">
        <v>45839.0</v>
      </c>
      <c r="K223" s="683">
        <v>45868.0</v>
      </c>
      <c r="L223" s="637">
        <f>iferror(VLOOKUP(E223,'September 2025 Reference AI'!E:R,8,false),0)</f>
        <v>0</v>
      </c>
      <c r="M223" s="684">
        <v>45901.0</v>
      </c>
      <c r="N223" s="684">
        <v>45930.0</v>
      </c>
    </row>
    <row r="224">
      <c r="A224" s="661" t="s">
        <v>16</v>
      </c>
      <c r="B224" s="662">
        <v>4320.0</v>
      </c>
      <c r="C224" s="663" t="s">
        <v>763</v>
      </c>
      <c r="D224" s="662">
        <v>0.0</v>
      </c>
      <c r="E224" s="580" t="s">
        <v>895</v>
      </c>
      <c r="F224" s="581" t="s">
        <v>896</v>
      </c>
      <c r="G224" s="228" t="str">
        <f>VLOOKUP(E224,Emp_Directory!B:AQ,16,false)</f>
        <v>33100-1143058-5</v>
      </c>
      <c r="I224" s="509">
        <f>VLOOKUP(E224,Emp_Directory!B:AQ,24,false)</f>
        <v>36431</v>
      </c>
      <c r="J224" s="582">
        <v>45839.0</v>
      </c>
      <c r="K224" s="685" t="s">
        <v>947</v>
      </c>
      <c r="L224" s="638">
        <f>iferror(VLOOKUP(E224,'September 2025 Reference AI'!E:R,8,false),0)</f>
        <v>30</v>
      </c>
      <c r="M224" s="686">
        <v>45901.0</v>
      </c>
      <c r="N224" s="686">
        <v>45930.0</v>
      </c>
    </row>
    <row r="225">
      <c r="A225" s="661" t="s">
        <v>16</v>
      </c>
      <c r="B225" s="662">
        <v>4320.0</v>
      </c>
      <c r="C225" s="663" t="s">
        <v>763</v>
      </c>
      <c r="D225" s="662">
        <v>0.0</v>
      </c>
      <c r="E225" s="118" t="s">
        <v>898</v>
      </c>
      <c r="F225" s="575" t="s">
        <v>899</v>
      </c>
      <c r="G225" s="228" t="str">
        <f>VLOOKUP(E225,Emp_Directory!B:AQ,16,false)</f>
        <v>38404-8888249-3</v>
      </c>
      <c r="I225" s="509">
        <f>VLOOKUP(E225,Emp_Directory!B:AQ,24,false)</f>
        <v>37642</v>
      </c>
      <c r="J225" s="576">
        <v>45842.0</v>
      </c>
      <c r="K225" s="683" t="s">
        <v>947</v>
      </c>
      <c r="L225" s="637">
        <f>iferror(VLOOKUP(E225,'September 2025 Reference AI'!E:R,8,false),0)</f>
        <v>30</v>
      </c>
      <c r="M225" s="684">
        <v>45901.0</v>
      </c>
      <c r="N225" s="684">
        <v>45930.0</v>
      </c>
    </row>
    <row r="226">
      <c r="A226" s="661" t="s">
        <v>16</v>
      </c>
      <c r="B226" s="662">
        <v>4320.0</v>
      </c>
      <c r="C226" s="663" t="s">
        <v>763</v>
      </c>
      <c r="D226" s="662">
        <v>0.0</v>
      </c>
      <c r="E226" s="587" t="s">
        <v>901</v>
      </c>
      <c r="F226" s="581" t="s">
        <v>902</v>
      </c>
      <c r="G226" s="228" t="str">
        <f>VLOOKUP(E226,Emp_Directory!B:AQ,16,false)</f>
        <v>61101-1316783-5</v>
      </c>
      <c r="I226" s="509">
        <f>VLOOKUP(E226,Emp_Directory!B:AQ,24,false)</f>
        <v>34878</v>
      </c>
      <c r="J226" s="582">
        <v>45845.0</v>
      </c>
      <c r="K226" s="685" t="s">
        <v>947</v>
      </c>
      <c r="L226" s="638">
        <f>iferror(VLOOKUP(E226,'September 2025 Reference AI'!E:R,8,false),0)</f>
        <v>30</v>
      </c>
      <c r="M226" s="686">
        <v>45901.0</v>
      </c>
      <c r="N226" s="686">
        <v>45930.0</v>
      </c>
    </row>
    <row r="227">
      <c r="A227" s="661" t="s">
        <v>16</v>
      </c>
      <c r="B227" s="662">
        <v>4320.0</v>
      </c>
      <c r="C227" s="663" t="s">
        <v>763</v>
      </c>
      <c r="D227" s="662">
        <v>0.0</v>
      </c>
      <c r="E227" s="118" t="s">
        <v>904</v>
      </c>
      <c r="F227" s="575" t="s">
        <v>905</v>
      </c>
      <c r="G227" s="228" t="str">
        <f>VLOOKUP(E227,Emp_Directory!B:AQ,16,false)</f>
        <v>15602-1856910-3</v>
      </c>
      <c r="I227" s="509">
        <f>VLOOKUP(E227,Emp_Directory!B:AQ,24,false)</f>
        <v>37326</v>
      </c>
      <c r="J227" s="576">
        <v>45845.0</v>
      </c>
      <c r="K227" s="683" t="s">
        <v>947</v>
      </c>
      <c r="L227" s="637">
        <f>iferror(VLOOKUP(E227,'September 2025 Reference AI'!E:R,8,false),0)</f>
        <v>30</v>
      </c>
      <c r="M227" s="684">
        <v>45901.0</v>
      </c>
      <c r="N227" s="684">
        <v>45930.0</v>
      </c>
    </row>
    <row r="228">
      <c r="A228" s="661" t="s">
        <v>16</v>
      </c>
      <c r="B228" s="662">
        <v>4320.0</v>
      </c>
      <c r="C228" s="663" t="s">
        <v>763</v>
      </c>
      <c r="D228" s="662">
        <v>0.0</v>
      </c>
      <c r="E228" s="587" t="s">
        <v>907</v>
      </c>
      <c r="F228" s="581" t="s">
        <v>908</v>
      </c>
      <c r="G228" s="228" t="str">
        <f>VLOOKUP(E228,Emp_Directory!B:AQ,16,false)</f>
        <v>37405-5543241-0</v>
      </c>
      <c r="I228" s="509">
        <f>VLOOKUP(E228,Emp_Directory!B:AQ,24,false)</f>
        <v>37465</v>
      </c>
      <c r="J228" s="582">
        <v>45845.0</v>
      </c>
      <c r="K228" s="685" t="s">
        <v>947</v>
      </c>
      <c r="L228" s="638">
        <f>iferror(VLOOKUP(E228,'September 2025 Reference AI'!E:R,8,false),0)</f>
        <v>30</v>
      </c>
      <c r="M228" s="686">
        <v>45901.0</v>
      </c>
      <c r="N228" s="686">
        <v>45930.0</v>
      </c>
    </row>
    <row r="229">
      <c r="A229" s="661" t="s">
        <v>16</v>
      </c>
      <c r="B229" s="662">
        <v>4320.0</v>
      </c>
      <c r="C229" s="663" t="s">
        <v>763</v>
      </c>
      <c r="D229" s="687">
        <v>0.0</v>
      </c>
      <c r="E229" s="118" t="s">
        <v>910</v>
      </c>
      <c r="F229" s="575" t="s">
        <v>911</v>
      </c>
      <c r="G229" s="228" t="str">
        <f>VLOOKUP(E229,Emp_Directory!B:AQ,16,false)</f>
        <v>37405-8046887-1</v>
      </c>
      <c r="I229" s="509">
        <f>VLOOKUP(E229,Emp_Directory!B:AQ,24,false)</f>
        <v>35010</v>
      </c>
      <c r="J229" s="576">
        <v>45860.0</v>
      </c>
      <c r="K229" s="683" t="s">
        <v>947</v>
      </c>
      <c r="L229" s="637">
        <f>iferror(VLOOKUP(E229,'September 2025 Reference AI'!E:R,8,false),0)</f>
        <v>30</v>
      </c>
      <c r="M229" s="684">
        <v>45901.0</v>
      </c>
      <c r="N229" s="684">
        <v>45930.0</v>
      </c>
    </row>
    <row r="230">
      <c r="A230" s="661" t="s">
        <v>16</v>
      </c>
      <c r="B230" s="662">
        <v>4320.0</v>
      </c>
      <c r="C230" s="663" t="s">
        <v>763</v>
      </c>
      <c r="D230" s="687">
        <v>0.0</v>
      </c>
      <c r="E230" s="688" t="s">
        <v>925</v>
      </c>
      <c r="F230" s="581" t="s">
        <v>926</v>
      </c>
      <c r="G230" s="228" t="str">
        <f>VLOOKUP(E230,Emp_Directory!B:AQ,16,false)</f>
        <v>42201-2361860-9</v>
      </c>
      <c r="I230" s="509">
        <f>VLOOKUP(E230,Emp_Directory!B:AQ,24,false)</f>
        <v>35350</v>
      </c>
      <c r="J230" s="689">
        <v>45894.0</v>
      </c>
      <c r="K230" s="685">
        <v>45904.0</v>
      </c>
      <c r="L230" s="638">
        <f>iferror(VLOOKUP(E230,'September 2025 Reference AI'!E:R,8,false),0)</f>
        <v>4</v>
      </c>
      <c r="M230" s="686">
        <v>45901.0</v>
      </c>
      <c r="N230" s="686">
        <v>45930.0</v>
      </c>
    </row>
    <row r="231">
      <c r="A231" s="251" t="s">
        <v>16</v>
      </c>
      <c r="B231" s="251">
        <v>4320.0</v>
      </c>
      <c r="C231" s="251" t="s">
        <v>763</v>
      </c>
      <c r="D231" s="690">
        <v>0.0</v>
      </c>
      <c r="E231" s="600" t="s">
        <v>935</v>
      </c>
      <c r="F231" s="575" t="s">
        <v>936</v>
      </c>
      <c r="G231" s="251" t="s">
        <v>937</v>
      </c>
      <c r="I231" s="508">
        <v>36636.0</v>
      </c>
      <c r="J231" s="691">
        <v>45901.0</v>
      </c>
      <c r="K231" s="683" t="s">
        <v>947</v>
      </c>
      <c r="L231" s="637">
        <f>iferror(VLOOKUP(E231,'September 2025 Reference AI'!E:R,8,false),0)</f>
        <v>30</v>
      </c>
      <c r="M231" s="684">
        <v>45901.0</v>
      </c>
      <c r="N231" s="684">
        <v>45930.0</v>
      </c>
      <c r="O231" s="76"/>
    </row>
    <row r="232">
      <c r="A232" s="251" t="s">
        <v>16</v>
      </c>
      <c r="B232" s="251">
        <v>4320.0</v>
      </c>
      <c r="C232" s="251" t="s">
        <v>763</v>
      </c>
      <c r="D232" s="690">
        <v>0.0</v>
      </c>
      <c r="E232" s="602" t="s">
        <v>938</v>
      </c>
      <c r="F232" s="581" t="s">
        <v>939</v>
      </c>
      <c r="G232" s="251" t="s">
        <v>940</v>
      </c>
      <c r="I232" s="508">
        <v>37056.0</v>
      </c>
      <c r="J232" s="692">
        <v>45922.0</v>
      </c>
      <c r="K232" s="685" t="s">
        <v>947</v>
      </c>
      <c r="L232" s="638">
        <f>iferror(VLOOKUP(E232,'September 2025 Reference AI'!E:R,8,false),0)</f>
        <v>9</v>
      </c>
      <c r="M232" s="686">
        <v>45901.0</v>
      </c>
      <c r="N232" s="686">
        <v>45930.0</v>
      </c>
      <c r="O232" s="641"/>
    </row>
    <row r="233">
      <c r="A233" s="251" t="s">
        <v>16</v>
      </c>
      <c r="B233" s="251">
        <v>4320.0</v>
      </c>
      <c r="C233" s="251" t="s">
        <v>763</v>
      </c>
      <c r="D233" s="690">
        <v>0.0</v>
      </c>
      <c r="E233" s="574" t="s">
        <v>941</v>
      </c>
      <c r="F233" s="575" t="s">
        <v>942</v>
      </c>
      <c r="G233" s="251" t="s">
        <v>943</v>
      </c>
      <c r="I233" s="508">
        <v>36549.0</v>
      </c>
      <c r="J233" s="691">
        <v>45922.0</v>
      </c>
      <c r="K233" s="683" t="s">
        <v>947</v>
      </c>
      <c r="L233" s="611">
        <f>iferror(VLOOKUP(E233,'September 2025 Reference AI'!E:R,8,false),0)</f>
        <v>9</v>
      </c>
      <c r="M233" s="520">
        <v>45901.0</v>
      </c>
      <c r="N233" s="520">
        <v>45930.0</v>
      </c>
    </row>
    <row r="234">
      <c r="A234" s="251" t="s">
        <v>16</v>
      </c>
      <c r="B234" s="251">
        <v>4320.0</v>
      </c>
      <c r="C234" s="251" t="s">
        <v>763</v>
      </c>
      <c r="D234" s="690">
        <v>0.0</v>
      </c>
      <c r="E234" s="602" t="s">
        <v>944</v>
      </c>
      <c r="F234" s="581" t="s">
        <v>945</v>
      </c>
      <c r="G234" s="251" t="s">
        <v>946</v>
      </c>
      <c r="I234" s="508">
        <v>35111.0</v>
      </c>
      <c r="J234" s="692">
        <v>45920.0</v>
      </c>
      <c r="K234" s="685" t="s">
        <v>947</v>
      </c>
      <c r="L234" s="611">
        <f>iferror(VLOOKUP(E234,'September 2025 Reference AI'!E:R,8,false),0)</f>
        <v>11</v>
      </c>
      <c r="M234" s="520">
        <v>45901.0</v>
      </c>
      <c r="N234" s="520">
        <v>45930.0</v>
      </c>
    </row>
    <row r="235">
      <c r="A235" s="228"/>
      <c r="B235" s="228"/>
      <c r="C235" s="228"/>
      <c r="D235" s="310"/>
      <c r="E235" s="311"/>
      <c r="F235" s="228"/>
      <c r="G235" s="228"/>
      <c r="H235" s="228"/>
      <c r="I235" s="228"/>
      <c r="J235" s="228"/>
      <c r="K235" s="660"/>
      <c r="L235" s="228"/>
      <c r="M235" s="228"/>
      <c r="N235" s="228"/>
    </row>
    <row r="236">
      <c r="A236" s="228"/>
      <c r="B236" s="228"/>
      <c r="C236" s="228"/>
      <c r="D236" s="310"/>
      <c r="E236" s="693"/>
      <c r="F236" s="694"/>
      <c r="G236" s="228"/>
      <c r="H236" s="228"/>
      <c r="I236" s="228"/>
      <c r="J236" s="228"/>
      <c r="K236" s="660"/>
      <c r="L236" s="228"/>
      <c r="M236" s="228"/>
      <c r="N236" s="228"/>
    </row>
    <row r="237">
      <c r="A237" s="228"/>
      <c r="B237" s="228"/>
      <c r="C237" s="228"/>
      <c r="D237" s="310"/>
      <c r="E237" s="337"/>
      <c r="F237" s="682"/>
      <c r="G237" s="228"/>
      <c r="H237" s="228"/>
      <c r="I237" s="228"/>
      <c r="J237" s="228"/>
      <c r="K237" s="660"/>
      <c r="L237" s="228"/>
      <c r="M237" s="228"/>
      <c r="N237" s="228"/>
    </row>
    <row r="238">
      <c r="A238" s="228"/>
      <c r="B238" s="228"/>
      <c r="C238" s="228"/>
      <c r="D238" s="310"/>
      <c r="E238" s="695"/>
      <c r="F238" s="694"/>
      <c r="G238" s="228"/>
      <c r="H238" s="228"/>
      <c r="I238" s="228"/>
      <c r="J238" s="228"/>
      <c r="K238" s="660"/>
      <c r="L238" s="228"/>
      <c r="M238" s="228"/>
      <c r="N238" s="228"/>
    </row>
    <row r="239">
      <c r="A239" s="228"/>
      <c r="B239" s="228"/>
      <c r="C239" s="228"/>
      <c r="D239" s="310"/>
      <c r="E239" s="695"/>
      <c r="F239" s="694"/>
      <c r="G239" s="228"/>
      <c r="H239" s="228"/>
      <c r="I239" s="228"/>
      <c r="J239" s="228"/>
      <c r="K239" s="660"/>
      <c r="L239" s="228"/>
      <c r="M239" s="228"/>
      <c r="N239" s="228"/>
    </row>
    <row r="240">
      <c r="A240" s="228"/>
      <c r="B240" s="228"/>
      <c r="C240" s="228"/>
      <c r="D240" s="310"/>
      <c r="E240" s="695"/>
      <c r="F240" s="694"/>
      <c r="G240" s="228"/>
      <c r="H240" s="228"/>
      <c r="I240" s="228"/>
      <c r="J240" s="228"/>
      <c r="K240" s="660"/>
      <c r="L240" s="228"/>
      <c r="M240" s="228"/>
      <c r="N240" s="228"/>
    </row>
    <row r="241">
      <c r="A241" s="228"/>
      <c r="B241" s="228"/>
      <c r="C241" s="228"/>
      <c r="D241" s="310"/>
      <c r="E241" s="695"/>
      <c r="F241" s="694"/>
      <c r="G241" s="228"/>
      <c r="H241" s="228"/>
      <c r="I241" s="228"/>
      <c r="J241" s="228"/>
      <c r="K241" s="660"/>
      <c r="L241" s="228"/>
      <c r="M241" s="228"/>
      <c r="N241" s="228"/>
    </row>
    <row r="242">
      <c r="A242" s="228"/>
      <c r="B242" s="228"/>
      <c r="C242" s="228"/>
      <c r="D242" s="310"/>
      <c r="E242" s="695"/>
      <c r="F242" s="694"/>
      <c r="G242" s="228"/>
      <c r="H242" s="228"/>
      <c r="I242" s="228"/>
      <c r="J242" s="228"/>
      <c r="K242" s="660"/>
      <c r="L242" s="228"/>
      <c r="M242" s="228"/>
      <c r="N242" s="228"/>
    </row>
    <row r="243">
      <c r="A243" s="228"/>
      <c r="B243" s="228"/>
      <c r="C243" s="228"/>
      <c r="D243" s="310"/>
      <c r="E243" s="695"/>
      <c r="F243" s="694"/>
      <c r="G243" s="228"/>
      <c r="H243" s="228"/>
      <c r="I243" s="228"/>
      <c r="J243" s="228"/>
      <c r="K243" s="660"/>
      <c r="L243" s="228"/>
      <c r="M243" s="228"/>
      <c r="N243" s="228"/>
    </row>
    <row r="244">
      <c r="A244" s="228"/>
      <c r="B244" s="228"/>
      <c r="C244" s="228"/>
      <c r="D244" s="310"/>
      <c r="E244" s="311"/>
      <c r="F244" s="228"/>
      <c r="G244" s="228"/>
      <c r="H244" s="228"/>
      <c r="I244" s="228"/>
      <c r="J244" s="228"/>
      <c r="K244" s="660"/>
      <c r="L244" s="228"/>
      <c r="M244" s="228"/>
      <c r="N244" s="228"/>
    </row>
    <row r="245">
      <c r="A245" s="228"/>
      <c r="B245" s="228"/>
      <c r="C245" s="228"/>
      <c r="D245" s="310"/>
      <c r="E245" s="311"/>
      <c r="F245" s="228"/>
      <c r="G245" s="228"/>
      <c r="H245" s="228"/>
      <c r="I245" s="228"/>
      <c r="J245" s="228"/>
      <c r="K245" s="660"/>
      <c r="L245" s="228"/>
      <c r="M245" s="228"/>
      <c r="N245" s="228"/>
    </row>
    <row r="246">
      <c r="A246" s="228"/>
      <c r="B246" s="228"/>
      <c r="C246" s="228"/>
      <c r="D246" s="310"/>
      <c r="E246" s="311"/>
      <c r="F246" s="228"/>
      <c r="G246" s="228"/>
      <c r="H246" s="228"/>
      <c r="I246" s="228"/>
      <c r="J246" s="228"/>
      <c r="K246" s="660"/>
      <c r="L246" s="228"/>
      <c r="M246" s="228"/>
      <c r="N246" s="228"/>
    </row>
    <row r="247">
      <c r="A247" s="228"/>
      <c r="B247" s="228"/>
      <c r="C247" s="228"/>
      <c r="D247" s="310"/>
      <c r="E247" s="311"/>
      <c r="F247" s="228"/>
      <c r="G247" s="228"/>
      <c r="H247" s="228"/>
      <c r="I247" s="228"/>
      <c r="J247" s="228"/>
      <c r="K247" s="660"/>
      <c r="L247" s="228"/>
      <c r="M247" s="228"/>
      <c r="N247" s="228"/>
    </row>
    <row r="248">
      <c r="A248" s="228"/>
      <c r="B248" s="228"/>
      <c r="C248" s="228"/>
      <c r="D248" s="310"/>
      <c r="E248" s="311"/>
      <c r="F248" s="228"/>
      <c r="G248" s="228"/>
      <c r="H248" s="228"/>
      <c r="I248" s="228"/>
      <c r="J248" s="228"/>
      <c r="K248" s="660"/>
      <c r="L248" s="228"/>
      <c r="M248" s="228"/>
      <c r="N248" s="228"/>
    </row>
    <row r="249">
      <c r="A249" s="228"/>
      <c r="B249" s="228"/>
      <c r="C249" s="228"/>
      <c r="D249" s="310"/>
      <c r="E249" s="311"/>
      <c r="F249" s="228"/>
      <c r="G249" s="228"/>
      <c r="H249" s="228"/>
      <c r="I249" s="228"/>
      <c r="J249" s="228"/>
      <c r="K249" s="660"/>
      <c r="L249" s="228"/>
      <c r="M249" s="228"/>
      <c r="N249" s="228"/>
    </row>
    <row r="250">
      <c r="A250" s="228"/>
      <c r="B250" s="228"/>
      <c r="C250" s="228"/>
      <c r="D250" s="310"/>
      <c r="E250" s="311"/>
      <c r="F250" s="228"/>
      <c r="G250" s="228"/>
      <c r="H250" s="228"/>
      <c r="I250" s="228"/>
      <c r="J250" s="228"/>
      <c r="K250" s="660"/>
      <c r="L250" s="228"/>
      <c r="M250" s="228"/>
      <c r="N250" s="228"/>
    </row>
    <row r="251">
      <c r="A251" s="228"/>
      <c r="B251" s="228"/>
      <c r="C251" s="228"/>
      <c r="D251" s="310"/>
      <c r="E251" s="311"/>
      <c r="F251" s="228"/>
      <c r="G251" s="228"/>
      <c r="H251" s="228"/>
      <c r="I251" s="228"/>
      <c r="J251" s="228"/>
      <c r="K251" s="660"/>
      <c r="L251" s="228"/>
      <c r="M251" s="228"/>
      <c r="N251" s="228"/>
    </row>
    <row r="252">
      <c r="A252" s="228"/>
      <c r="B252" s="228"/>
      <c r="C252" s="228"/>
      <c r="D252" s="310"/>
      <c r="E252" s="311"/>
      <c r="F252" s="228"/>
      <c r="G252" s="228"/>
      <c r="H252" s="228"/>
      <c r="I252" s="228"/>
      <c r="J252" s="228"/>
      <c r="K252" s="660"/>
      <c r="L252" s="228"/>
      <c r="M252" s="228"/>
      <c r="N252" s="228"/>
    </row>
    <row r="253">
      <c r="A253" s="228"/>
      <c r="B253" s="228"/>
      <c r="C253" s="228"/>
      <c r="D253" s="310"/>
      <c r="E253" s="311"/>
      <c r="F253" s="228"/>
      <c r="G253" s="228"/>
      <c r="H253" s="228"/>
      <c r="I253" s="228"/>
      <c r="J253" s="228"/>
      <c r="K253" s="660"/>
      <c r="L253" s="228"/>
      <c r="M253" s="228"/>
      <c r="N253" s="228"/>
    </row>
    <row r="254">
      <c r="A254" s="228"/>
      <c r="B254" s="228"/>
      <c r="C254" s="228"/>
      <c r="D254" s="310"/>
      <c r="E254" s="311"/>
      <c r="F254" s="228"/>
      <c r="G254" s="228"/>
      <c r="H254" s="228"/>
      <c r="I254" s="228"/>
      <c r="J254" s="228"/>
      <c r="K254" s="660"/>
      <c r="L254" s="228"/>
      <c r="M254" s="228"/>
      <c r="N254" s="228"/>
    </row>
    <row r="255">
      <c r="A255" s="228"/>
      <c r="B255" s="228"/>
      <c r="C255" s="228"/>
      <c r="D255" s="310"/>
      <c r="E255" s="311"/>
      <c r="F255" s="228"/>
      <c r="G255" s="228"/>
      <c r="H255" s="228"/>
      <c r="I255" s="228"/>
      <c r="J255" s="228"/>
      <c r="K255" s="660"/>
      <c r="L255" s="228"/>
      <c r="M255" s="228"/>
      <c r="N255" s="228"/>
    </row>
    <row r="256">
      <c r="A256" s="228"/>
      <c r="B256" s="228"/>
      <c r="C256" s="228"/>
      <c r="D256" s="310"/>
      <c r="E256" s="311"/>
      <c r="F256" s="228"/>
      <c r="G256" s="228"/>
      <c r="H256" s="228"/>
      <c r="I256" s="228"/>
      <c r="J256" s="228"/>
      <c r="K256" s="660"/>
      <c r="L256" s="228"/>
      <c r="M256" s="228"/>
      <c r="N256" s="228"/>
    </row>
    <row r="257">
      <c r="A257" s="228"/>
      <c r="B257" s="228"/>
      <c r="C257" s="228"/>
      <c r="D257" s="310"/>
      <c r="E257" s="311"/>
      <c r="F257" s="228"/>
      <c r="G257" s="228"/>
      <c r="H257" s="228"/>
      <c r="I257" s="228"/>
      <c r="J257" s="228"/>
      <c r="K257" s="660"/>
      <c r="L257" s="228"/>
      <c r="M257" s="228"/>
      <c r="N257" s="228"/>
    </row>
    <row r="258">
      <c r="A258" s="228"/>
      <c r="B258" s="228"/>
      <c r="C258" s="228"/>
      <c r="D258" s="310"/>
      <c r="E258" s="311"/>
      <c r="F258" s="228"/>
      <c r="G258" s="228"/>
      <c r="H258" s="228"/>
      <c r="I258" s="228"/>
      <c r="J258" s="228"/>
      <c r="K258" s="660"/>
      <c r="L258" s="228"/>
      <c r="M258" s="228"/>
      <c r="N258" s="228"/>
    </row>
    <row r="259">
      <c r="A259" s="228"/>
      <c r="B259" s="228"/>
      <c r="C259" s="228"/>
      <c r="D259" s="310"/>
      <c r="E259" s="311"/>
      <c r="F259" s="228"/>
      <c r="G259" s="228"/>
      <c r="H259" s="228"/>
      <c r="I259" s="228"/>
      <c r="J259" s="228"/>
      <c r="K259" s="660"/>
      <c r="L259" s="228"/>
      <c r="M259" s="228"/>
      <c r="N259" s="228"/>
    </row>
    <row r="260">
      <c r="A260" s="228"/>
      <c r="B260" s="228"/>
      <c r="C260" s="228"/>
      <c r="D260" s="310"/>
      <c r="E260" s="311"/>
      <c r="F260" s="228"/>
      <c r="G260" s="228"/>
      <c r="H260" s="228"/>
      <c r="I260" s="228"/>
      <c r="J260" s="228"/>
      <c r="K260" s="660"/>
      <c r="L260" s="228"/>
      <c r="M260" s="228"/>
      <c r="N260" s="228"/>
    </row>
    <row r="261">
      <c r="A261" s="228"/>
      <c r="B261" s="228"/>
      <c r="C261" s="228"/>
      <c r="D261" s="310"/>
      <c r="E261" s="311"/>
      <c r="F261" s="228"/>
      <c r="G261" s="228"/>
      <c r="H261" s="228"/>
      <c r="I261" s="228"/>
      <c r="J261" s="228"/>
      <c r="K261" s="660"/>
      <c r="L261" s="228"/>
      <c r="M261" s="228"/>
      <c r="N261" s="228"/>
    </row>
    <row r="262">
      <c r="A262" s="228"/>
      <c r="B262" s="228"/>
      <c r="C262" s="228"/>
      <c r="D262" s="310"/>
      <c r="E262" s="311"/>
      <c r="F262" s="228"/>
      <c r="G262" s="228"/>
      <c r="H262" s="228"/>
      <c r="I262" s="228"/>
      <c r="J262" s="228"/>
      <c r="K262" s="660"/>
      <c r="L262" s="228"/>
      <c r="M262" s="228"/>
      <c r="N262" s="228"/>
    </row>
    <row r="263">
      <c r="A263" s="228"/>
      <c r="B263" s="228"/>
      <c r="C263" s="228"/>
      <c r="D263" s="310"/>
      <c r="E263" s="311"/>
      <c r="F263" s="228"/>
      <c r="G263" s="228"/>
      <c r="H263" s="228"/>
      <c r="I263" s="228"/>
      <c r="J263" s="228"/>
      <c r="K263" s="660"/>
      <c r="L263" s="228"/>
      <c r="M263" s="228"/>
      <c r="N263" s="228"/>
    </row>
    <row r="264">
      <c r="A264" s="228"/>
      <c r="B264" s="228"/>
      <c r="C264" s="228"/>
      <c r="D264" s="310"/>
      <c r="E264" s="311"/>
      <c r="F264" s="228"/>
      <c r="G264" s="228"/>
      <c r="H264" s="228"/>
      <c r="I264" s="228"/>
      <c r="J264" s="228"/>
      <c r="K264" s="660"/>
      <c r="L264" s="228"/>
      <c r="M264" s="228"/>
      <c r="N264" s="228"/>
    </row>
    <row r="265">
      <c r="A265" s="228"/>
      <c r="B265" s="228"/>
      <c r="C265" s="228"/>
      <c r="D265" s="310"/>
      <c r="E265" s="311"/>
      <c r="F265" s="228"/>
      <c r="G265" s="228"/>
      <c r="H265" s="228"/>
      <c r="I265" s="228"/>
      <c r="J265" s="228"/>
      <c r="K265" s="660"/>
      <c r="L265" s="228"/>
      <c r="M265" s="228"/>
      <c r="N265" s="228"/>
    </row>
    <row r="266">
      <c r="A266" s="228"/>
      <c r="B266" s="228"/>
      <c r="C266" s="228"/>
      <c r="D266" s="310"/>
      <c r="E266" s="311"/>
      <c r="F266" s="228"/>
      <c r="G266" s="228"/>
      <c r="H266" s="228"/>
      <c r="I266" s="228"/>
      <c r="J266" s="228"/>
      <c r="K266" s="660"/>
      <c r="L266" s="228"/>
      <c r="M266" s="228"/>
      <c r="N266" s="228"/>
    </row>
    <row r="267">
      <c r="A267" s="228"/>
      <c r="B267" s="228"/>
      <c r="C267" s="228"/>
      <c r="D267" s="310"/>
      <c r="E267" s="311"/>
      <c r="F267" s="228"/>
      <c r="G267" s="228"/>
      <c r="H267" s="228"/>
      <c r="I267" s="228"/>
      <c r="J267" s="228"/>
      <c r="K267" s="660"/>
      <c r="L267" s="228"/>
      <c r="M267" s="228"/>
      <c r="N267" s="228"/>
    </row>
    <row r="268">
      <c r="A268" s="228"/>
      <c r="B268" s="228"/>
      <c r="C268" s="228"/>
      <c r="D268" s="310"/>
      <c r="E268" s="311"/>
      <c r="F268" s="228"/>
      <c r="G268" s="228"/>
      <c r="H268" s="228"/>
      <c r="I268" s="228"/>
      <c r="J268" s="228"/>
      <c r="K268" s="660"/>
      <c r="L268" s="228"/>
      <c r="M268" s="228"/>
      <c r="N268" s="228"/>
    </row>
    <row r="269">
      <c r="A269" s="228"/>
      <c r="B269" s="228"/>
      <c r="C269" s="228"/>
      <c r="D269" s="310"/>
      <c r="E269" s="311"/>
      <c r="F269" s="228"/>
      <c r="G269" s="228"/>
      <c r="H269" s="228"/>
      <c r="I269" s="228"/>
      <c r="J269" s="228"/>
      <c r="K269" s="660"/>
      <c r="L269" s="228"/>
      <c r="M269" s="228"/>
      <c r="N269" s="228"/>
    </row>
    <row r="270">
      <c r="A270" s="228"/>
      <c r="B270" s="228"/>
      <c r="C270" s="228"/>
      <c r="D270" s="310"/>
      <c r="E270" s="311"/>
      <c r="F270" s="228"/>
      <c r="G270" s="228"/>
      <c r="H270" s="228"/>
      <c r="I270" s="228"/>
      <c r="J270" s="228"/>
      <c r="K270" s="660"/>
      <c r="L270" s="228"/>
      <c r="M270" s="228"/>
      <c r="N270" s="228"/>
    </row>
    <row r="271">
      <c r="A271" s="228"/>
      <c r="B271" s="228"/>
      <c r="C271" s="228"/>
      <c r="D271" s="310"/>
      <c r="E271" s="311"/>
      <c r="F271" s="228"/>
      <c r="G271" s="228"/>
      <c r="H271" s="228"/>
      <c r="I271" s="228"/>
      <c r="J271" s="228"/>
      <c r="K271" s="660"/>
      <c r="L271" s="228"/>
      <c r="M271" s="228"/>
      <c r="N271" s="228"/>
    </row>
    <row r="272">
      <c r="A272" s="228"/>
      <c r="B272" s="228"/>
      <c r="C272" s="228"/>
      <c r="D272" s="310"/>
      <c r="E272" s="311"/>
      <c r="F272" s="228"/>
      <c r="G272" s="228"/>
      <c r="H272" s="228"/>
      <c r="I272" s="228"/>
      <c r="J272" s="228"/>
      <c r="K272" s="660"/>
      <c r="L272" s="228"/>
      <c r="M272" s="228"/>
      <c r="N272" s="228"/>
    </row>
    <row r="273">
      <c r="A273" s="228"/>
      <c r="B273" s="228"/>
      <c r="C273" s="228"/>
      <c r="D273" s="310"/>
      <c r="E273" s="311"/>
      <c r="F273" s="228"/>
      <c r="G273" s="228"/>
      <c r="H273" s="228"/>
      <c r="I273" s="228"/>
      <c r="J273" s="228"/>
      <c r="K273" s="660"/>
      <c r="L273" s="228"/>
      <c r="M273" s="228"/>
      <c r="N273" s="228"/>
    </row>
    <row r="274">
      <c r="A274" s="228"/>
      <c r="B274" s="228"/>
      <c r="C274" s="228"/>
      <c r="D274" s="310"/>
      <c r="E274" s="311"/>
      <c r="F274" s="228"/>
      <c r="G274" s="228"/>
      <c r="H274" s="228"/>
      <c r="I274" s="228"/>
      <c r="J274" s="228"/>
      <c r="K274" s="660"/>
      <c r="L274" s="228"/>
      <c r="M274" s="228"/>
      <c r="N274" s="228"/>
    </row>
    <row r="275">
      <c r="A275" s="228"/>
      <c r="B275" s="228"/>
      <c r="C275" s="228"/>
      <c r="D275" s="310"/>
      <c r="E275" s="311"/>
      <c r="F275" s="228"/>
      <c r="G275" s="228"/>
      <c r="H275" s="228"/>
      <c r="I275" s="228"/>
      <c r="J275" s="228"/>
      <c r="K275" s="660"/>
      <c r="L275" s="228"/>
      <c r="M275" s="228"/>
      <c r="N275" s="228"/>
    </row>
    <row r="276">
      <c r="A276" s="228"/>
      <c r="B276" s="228"/>
      <c r="C276" s="228"/>
      <c r="D276" s="310"/>
      <c r="E276" s="311"/>
      <c r="F276" s="228"/>
      <c r="G276" s="228"/>
      <c r="H276" s="228"/>
      <c r="I276" s="228"/>
      <c r="J276" s="228"/>
      <c r="K276" s="660"/>
      <c r="L276" s="228"/>
      <c r="M276" s="228"/>
      <c r="N276" s="228"/>
    </row>
    <row r="277">
      <c r="A277" s="228"/>
      <c r="B277" s="228"/>
      <c r="C277" s="228"/>
      <c r="D277" s="310"/>
      <c r="E277" s="311"/>
      <c r="F277" s="228"/>
      <c r="G277" s="228"/>
      <c r="H277" s="228"/>
      <c r="I277" s="228"/>
      <c r="J277" s="228"/>
      <c r="K277" s="660"/>
      <c r="L277" s="228"/>
      <c r="M277" s="228"/>
      <c r="N277" s="228"/>
    </row>
    <row r="278">
      <c r="A278" s="228"/>
      <c r="B278" s="228"/>
      <c r="C278" s="228"/>
      <c r="D278" s="310"/>
      <c r="E278" s="311"/>
      <c r="F278" s="228"/>
      <c r="G278" s="228"/>
      <c r="H278" s="228"/>
      <c r="I278" s="228"/>
      <c r="J278" s="228"/>
      <c r="K278" s="660"/>
      <c r="L278" s="228"/>
      <c r="M278" s="228"/>
      <c r="N278" s="228"/>
    </row>
    <row r="279">
      <c r="A279" s="228"/>
      <c r="B279" s="228"/>
      <c r="C279" s="228"/>
      <c r="D279" s="310"/>
      <c r="E279" s="311"/>
      <c r="F279" s="228"/>
      <c r="G279" s="228"/>
      <c r="H279" s="228"/>
      <c r="I279" s="228"/>
      <c r="J279" s="228"/>
      <c r="K279" s="660"/>
      <c r="L279" s="228"/>
      <c r="M279" s="228"/>
      <c r="N279" s="228"/>
    </row>
    <row r="280">
      <c r="A280" s="228"/>
      <c r="B280" s="228"/>
      <c r="C280" s="228"/>
      <c r="D280" s="310"/>
      <c r="E280" s="311"/>
      <c r="F280" s="228"/>
      <c r="G280" s="228"/>
      <c r="H280" s="228"/>
      <c r="I280" s="228"/>
      <c r="J280" s="228"/>
      <c r="K280" s="660"/>
      <c r="L280" s="228"/>
      <c r="M280" s="228"/>
      <c r="N280" s="228"/>
    </row>
    <row r="281">
      <c r="A281" s="228"/>
      <c r="B281" s="228"/>
      <c r="C281" s="228"/>
      <c r="D281" s="310"/>
      <c r="E281" s="311"/>
      <c r="F281" s="228"/>
      <c r="G281" s="228"/>
      <c r="H281" s="228"/>
      <c r="I281" s="228"/>
      <c r="J281" s="228"/>
      <c r="K281" s="660"/>
      <c r="L281" s="228"/>
      <c r="M281" s="228"/>
      <c r="N281" s="228"/>
    </row>
    <row r="282">
      <c r="A282" s="228"/>
      <c r="B282" s="228"/>
      <c r="C282" s="228"/>
      <c r="D282" s="310"/>
      <c r="E282" s="311"/>
      <c r="F282" s="228"/>
      <c r="G282" s="228"/>
      <c r="H282" s="228"/>
      <c r="I282" s="228"/>
      <c r="J282" s="228"/>
      <c r="K282" s="660"/>
      <c r="L282" s="228"/>
      <c r="M282" s="228"/>
      <c r="N282" s="228"/>
    </row>
    <row r="283">
      <c r="A283" s="228"/>
      <c r="B283" s="228"/>
      <c r="C283" s="228"/>
      <c r="D283" s="310"/>
      <c r="E283" s="311"/>
      <c r="F283" s="228"/>
      <c r="G283" s="228"/>
      <c r="H283" s="228"/>
      <c r="I283" s="228"/>
      <c r="J283" s="228"/>
      <c r="K283" s="660"/>
      <c r="L283" s="228"/>
      <c r="M283" s="228"/>
      <c r="N283" s="228"/>
    </row>
    <row r="284">
      <c r="A284" s="228"/>
      <c r="B284" s="228"/>
      <c r="C284" s="228"/>
      <c r="D284" s="310"/>
      <c r="E284" s="311"/>
      <c r="F284" s="228"/>
      <c r="G284" s="228"/>
      <c r="H284" s="228"/>
      <c r="I284" s="228"/>
      <c r="J284" s="228"/>
      <c r="K284" s="660"/>
      <c r="L284" s="228"/>
      <c r="M284" s="228"/>
      <c r="N284" s="228"/>
    </row>
    <row r="285">
      <c r="A285" s="228"/>
      <c r="B285" s="228"/>
      <c r="C285" s="228"/>
      <c r="D285" s="310"/>
      <c r="E285" s="311"/>
      <c r="F285" s="228"/>
      <c r="G285" s="228"/>
      <c r="H285" s="228"/>
      <c r="I285" s="228"/>
      <c r="J285" s="228"/>
      <c r="K285" s="660"/>
      <c r="L285" s="228"/>
      <c r="M285" s="228"/>
      <c r="N285" s="228"/>
    </row>
    <row r="286">
      <c r="A286" s="228"/>
      <c r="B286" s="228"/>
      <c r="C286" s="228"/>
      <c r="D286" s="310"/>
      <c r="E286" s="311"/>
      <c r="F286" s="228"/>
      <c r="G286" s="228"/>
      <c r="H286" s="228"/>
      <c r="I286" s="228"/>
      <c r="J286" s="228"/>
      <c r="K286" s="660"/>
      <c r="L286" s="228"/>
      <c r="M286" s="228"/>
      <c r="N286" s="228"/>
    </row>
    <row r="287">
      <c r="A287" s="228"/>
      <c r="B287" s="228"/>
      <c r="C287" s="228"/>
      <c r="D287" s="310"/>
      <c r="E287" s="311"/>
      <c r="F287" s="228"/>
      <c r="G287" s="228"/>
      <c r="H287" s="228"/>
      <c r="I287" s="228"/>
      <c r="J287" s="228"/>
      <c r="K287" s="660"/>
      <c r="L287" s="228"/>
      <c r="M287" s="228"/>
      <c r="N287" s="228"/>
    </row>
    <row r="288">
      <c r="A288" s="228"/>
      <c r="B288" s="228"/>
      <c r="C288" s="228"/>
      <c r="D288" s="310"/>
      <c r="E288" s="311"/>
      <c r="F288" s="228"/>
      <c r="G288" s="228"/>
      <c r="H288" s="228"/>
      <c r="I288" s="228"/>
      <c r="J288" s="228"/>
      <c r="K288" s="660"/>
      <c r="L288" s="228"/>
      <c r="M288" s="228"/>
      <c r="N288" s="228"/>
    </row>
    <row r="289">
      <c r="A289" s="228"/>
      <c r="B289" s="228"/>
      <c r="C289" s="228"/>
      <c r="D289" s="310"/>
      <c r="E289" s="311"/>
      <c r="F289" s="228"/>
      <c r="G289" s="228"/>
      <c r="H289" s="228"/>
      <c r="I289" s="228"/>
      <c r="J289" s="228"/>
      <c r="K289" s="660"/>
      <c r="L289" s="228"/>
      <c r="M289" s="228"/>
      <c r="N289" s="228"/>
    </row>
    <row r="290">
      <c r="A290" s="228"/>
      <c r="B290" s="228"/>
      <c r="C290" s="228"/>
      <c r="D290" s="310"/>
      <c r="E290" s="311"/>
      <c r="F290" s="228"/>
      <c r="G290" s="228"/>
      <c r="H290" s="228"/>
      <c r="I290" s="228"/>
      <c r="J290" s="228"/>
      <c r="K290" s="660"/>
      <c r="L290" s="228"/>
      <c r="M290" s="228"/>
      <c r="N290" s="228"/>
    </row>
    <row r="291">
      <c r="A291" s="228"/>
      <c r="B291" s="228"/>
      <c r="C291" s="228"/>
      <c r="D291" s="310"/>
      <c r="E291" s="311"/>
      <c r="F291" s="228"/>
      <c r="G291" s="228"/>
      <c r="H291" s="228"/>
      <c r="I291" s="228"/>
      <c r="J291" s="228"/>
      <c r="K291" s="660"/>
      <c r="L291" s="228"/>
      <c r="M291" s="228"/>
      <c r="N291" s="228"/>
    </row>
    <row r="292">
      <c r="A292" s="228"/>
      <c r="B292" s="228"/>
      <c r="C292" s="228"/>
      <c r="D292" s="310"/>
      <c r="E292" s="311"/>
      <c r="F292" s="228"/>
      <c r="G292" s="228"/>
      <c r="H292" s="228"/>
      <c r="I292" s="228"/>
      <c r="J292" s="228"/>
      <c r="K292" s="660"/>
      <c r="L292" s="228"/>
      <c r="M292" s="228"/>
      <c r="N292" s="228"/>
    </row>
    <row r="293">
      <c r="A293" s="228"/>
      <c r="B293" s="228"/>
      <c r="C293" s="228"/>
      <c r="D293" s="310"/>
      <c r="E293" s="311"/>
      <c r="F293" s="228"/>
      <c r="G293" s="228"/>
      <c r="H293" s="228"/>
      <c r="I293" s="228"/>
      <c r="J293" s="228"/>
      <c r="K293" s="660"/>
      <c r="L293" s="228"/>
      <c r="M293" s="228"/>
      <c r="N293" s="228"/>
    </row>
    <row r="294">
      <c r="A294" s="228"/>
      <c r="B294" s="228"/>
      <c r="C294" s="228"/>
      <c r="D294" s="310"/>
      <c r="E294" s="311"/>
      <c r="F294" s="228"/>
      <c r="G294" s="228"/>
      <c r="H294" s="228"/>
      <c r="I294" s="228"/>
      <c r="J294" s="228"/>
      <c r="K294" s="660"/>
      <c r="L294" s="228"/>
      <c r="M294" s="228"/>
      <c r="N294" s="228"/>
    </row>
    <row r="295">
      <c r="A295" s="228"/>
      <c r="B295" s="228"/>
      <c r="C295" s="228"/>
      <c r="D295" s="310"/>
      <c r="E295" s="311"/>
      <c r="F295" s="228"/>
      <c r="G295" s="228"/>
      <c r="H295" s="228"/>
      <c r="I295" s="228"/>
      <c r="J295" s="228"/>
      <c r="K295" s="660"/>
      <c r="L295" s="228"/>
      <c r="M295" s="228"/>
      <c r="N295" s="228"/>
    </row>
    <row r="296">
      <c r="A296" s="228"/>
      <c r="B296" s="228"/>
      <c r="C296" s="228"/>
      <c r="D296" s="310"/>
      <c r="E296" s="311"/>
      <c r="F296" s="228"/>
      <c r="G296" s="228"/>
      <c r="H296" s="228"/>
      <c r="I296" s="228"/>
      <c r="J296" s="228"/>
      <c r="K296" s="660"/>
      <c r="L296" s="228"/>
      <c r="M296" s="228"/>
      <c r="N296" s="228"/>
    </row>
    <row r="297">
      <c r="A297" s="228"/>
      <c r="B297" s="228"/>
      <c r="C297" s="228"/>
      <c r="D297" s="310"/>
      <c r="E297" s="311"/>
      <c r="F297" s="228"/>
      <c r="G297" s="228"/>
      <c r="H297" s="228"/>
      <c r="I297" s="228"/>
      <c r="J297" s="228"/>
      <c r="K297" s="660"/>
      <c r="L297" s="228"/>
      <c r="M297" s="228"/>
      <c r="N297" s="228"/>
    </row>
    <row r="298">
      <c r="A298" s="228"/>
      <c r="B298" s="228"/>
      <c r="C298" s="228"/>
      <c r="D298" s="310"/>
      <c r="E298" s="311"/>
      <c r="F298" s="228"/>
      <c r="G298" s="228"/>
      <c r="H298" s="228"/>
      <c r="I298" s="228"/>
      <c r="J298" s="228"/>
      <c r="K298" s="660"/>
      <c r="L298" s="228"/>
      <c r="M298" s="228"/>
      <c r="N298" s="228"/>
    </row>
    <row r="299">
      <c r="A299" s="228"/>
      <c r="B299" s="228"/>
      <c r="C299" s="228"/>
      <c r="D299" s="310"/>
      <c r="E299" s="311"/>
      <c r="F299" s="228"/>
      <c r="G299" s="228"/>
      <c r="H299" s="228"/>
      <c r="I299" s="228"/>
      <c r="J299" s="228"/>
      <c r="K299" s="660"/>
      <c r="L299" s="228"/>
      <c r="M299" s="228"/>
      <c r="N299" s="228"/>
    </row>
    <row r="300">
      <c r="A300" s="228"/>
      <c r="B300" s="228"/>
      <c r="C300" s="228"/>
      <c r="D300" s="310"/>
      <c r="E300" s="311"/>
      <c r="F300" s="228"/>
      <c r="G300" s="228"/>
      <c r="H300" s="228"/>
      <c r="I300" s="228"/>
      <c r="J300" s="228"/>
      <c r="K300" s="660"/>
      <c r="L300" s="228"/>
      <c r="M300" s="228"/>
      <c r="N300" s="228"/>
    </row>
    <row r="301">
      <c r="A301" s="228"/>
      <c r="B301" s="228"/>
      <c r="C301" s="228"/>
      <c r="D301" s="310"/>
      <c r="E301" s="311"/>
      <c r="F301" s="228"/>
      <c r="G301" s="228"/>
      <c r="H301" s="228"/>
      <c r="I301" s="228"/>
      <c r="J301" s="228"/>
      <c r="K301" s="660"/>
      <c r="L301" s="228"/>
      <c r="M301" s="228"/>
      <c r="N301" s="228"/>
    </row>
    <row r="302">
      <c r="A302" s="228"/>
      <c r="B302" s="228"/>
      <c r="C302" s="228"/>
      <c r="D302" s="310"/>
      <c r="E302" s="311"/>
      <c r="F302" s="228"/>
      <c r="G302" s="228"/>
      <c r="H302" s="228"/>
      <c r="I302" s="228"/>
      <c r="J302" s="228"/>
      <c r="K302" s="660"/>
      <c r="L302" s="228"/>
      <c r="M302" s="228"/>
      <c r="N302" s="228"/>
    </row>
    <row r="303">
      <c r="A303" s="228"/>
      <c r="B303" s="228"/>
      <c r="C303" s="228"/>
      <c r="D303" s="310"/>
      <c r="E303" s="311"/>
      <c r="F303" s="228"/>
      <c r="G303" s="228"/>
      <c r="H303" s="228"/>
      <c r="I303" s="228"/>
      <c r="J303" s="228"/>
      <c r="K303" s="660"/>
      <c r="L303" s="228"/>
      <c r="M303" s="228"/>
      <c r="N303" s="228"/>
    </row>
    <row r="304">
      <c r="A304" s="228"/>
      <c r="B304" s="228"/>
      <c r="C304" s="228"/>
      <c r="D304" s="310"/>
      <c r="E304" s="311"/>
      <c r="F304" s="228"/>
      <c r="G304" s="228"/>
      <c r="H304" s="228"/>
      <c r="I304" s="228"/>
      <c r="J304" s="228"/>
      <c r="K304" s="660"/>
      <c r="L304" s="228"/>
      <c r="M304" s="228"/>
      <c r="N304" s="228"/>
    </row>
    <row r="305">
      <c r="A305" s="228"/>
      <c r="B305" s="228"/>
      <c r="C305" s="228"/>
      <c r="D305" s="310"/>
      <c r="E305" s="311"/>
      <c r="F305" s="228"/>
      <c r="G305" s="228"/>
      <c r="H305" s="228"/>
      <c r="I305" s="228"/>
      <c r="J305" s="228"/>
      <c r="K305" s="660"/>
      <c r="L305" s="228"/>
      <c r="M305" s="228"/>
      <c r="N305" s="228"/>
    </row>
    <row r="306">
      <c r="A306" s="228"/>
      <c r="B306" s="228"/>
      <c r="C306" s="228"/>
      <c r="D306" s="310"/>
      <c r="E306" s="311"/>
      <c r="F306" s="228"/>
      <c r="G306" s="228"/>
      <c r="H306" s="228"/>
      <c r="I306" s="228"/>
      <c r="J306" s="228"/>
      <c r="K306" s="660"/>
      <c r="L306" s="228"/>
      <c r="M306" s="228"/>
      <c r="N306" s="228"/>
    </row>
    <row r="307">
      <c r="A307" s="228"/>
      <c r="B307" s="228"/>
      <c r="C307" s="228"/>
      <c r="D307" s="310"/>
      <c r="E307" s="311"/>
      <c r="F307" s="228"/>
      <c r="G307" s="228"/>
      <c r="H307" s="228"/>
      <c r="I307" s="228"/>
      <c r="J307" s="228"/>
      <c r="K307" s="660"/>
      <c r="L307" s="228"/>
      <c r="M307" s="228"/>
      <c r="N307" s="228"/>
    </row>
    <row r="308">
      <c r="A308" s="228"/>
      <c r="B308" s="228"/>
      <c r="C308" s="228"/>
      <c r="D308" s="310"/>
      <c r="E308" s="311"/>
      <c r="F308" s="228"/>
      <c r="G308" s="228"/>
      <c r="H308" s="228"/>
      <c r="I308" s="228"/>
      <c r="J308" s="228"/>
      <c r="K308" s="660"/>
      <c r="L308" s="228"/>
      <c r="M308" s="228"/>
      <c r="N308" s="228"/>
    </row>
    <row r="309">
      <c r="A309" s="228"/>
      <c r="B309" s="228"/>
      <c r="C309" s="228"/>
      <c r="D309" s="310"/>
      <c r="E309" s="311"/>
      <c r="F309" s="228"/>
      <c r="G309" s="228"/>
      <c r="H309" s="228"/>
      <c r="I309" s="228"/>
      <c r="J309" s="228"/>
      <c r="K309" s="660"/>
      <c r="L309" s="228"/>
      <c r="M309" s="228"/>
      <c r="N309" s="228"/>
    </row>
    <row r="310">
      <c r="A310" s="228"/>
      <c r="B310" s="228"/>
      <c r="C310" s="228"/>
      <c r="D310" s="310"/>
      <c r="E310" s="311"/>
      <c r="F310" s="228"/>
      <c r="G310" s="228"/>
      <c r="H310" s="228"/>
      <c r="I310" s="228"/>
      <c r="J310" s="228"/>
      <c r="K310" s="660"/>
      <c r="L310" s="228"/>
      <c r="M310" s="228"/>
      <c r="N310" s="228"/>
    </row>
    <row r="311">
      <c r="A311" s="228"/>
      <c r="B311" s="228"/>
      <c r="C311" s="228"/>
      <c r="D311" s="310"/>
      <c r="E311" s="311"/>
      <c r="F311" s="228"/>
      <c r="G311" s="228"/>
      <c r="H311" s="228"/>
      <c r="I311" s="228"/>
      <c r="J311" s="228"/>
      <c r="K311" s="660"/>
      <c r="L311" s="228"/>
      <c r="M311" s="228"/>
      <c r="N311" s="228"/>
    </row>
    <row r="312">
      <c r="A312" s="228"/>
      <c r="B312" s="228"/>
      <c r="C312" s="228"/>
      <c r="D312" s="310"/>
      <c r="E312" s="311"/>
      <c r="F312" s="228"/>
      <c r="G312" s="228"/>
      <c r="H312" s="228"/>
      <c r="I312" s="228"/>
      <c r="J312" s="228"/>
      <c r="K312" s="660"/>
      <c r="L312" s="228"/>
      <c r="M312" s="228"/>
      <c r="N312" s="228"/>
    </row>
    <row r="313">
      <c r="A313" s="228"/>
      <c r="B313" s="228"/>
      <c r="C313" s="228"/>
      <c r="D313" s="310"/>
      <c r="E313" s="311"/>
      <c r="F313" s="228"/>
      <c r="G313" s="228"/>
      <c r="H313" s="228"/>
      <c r="I313" s="228"/>
      <c r="J313" s="228"/>
      <c r="K313" s="660"/>
      <c r="L313" s="228"/>
      <c r="M313" s="228"/>
      <c r="N313" s="228"/>
    </row>
    <row r="314">
      <c r="A314" s="228"/>
      <c r="B314" s="228"/>
      <c r="C314" s="228"/>
      <c r="D314" s="310"/>
      <c r="E314" s="311"/>
      <c r="F314" s="228"/>
      <c r="G314" s="228"/>
      <c r="H314" s="228"/>
      <c r="I314" s="228"/>
      <c r="J314" s="228"/>
      <c r="K314" s="660"/>
      <c r="L314" s="228"/>
      <c r="M314" s="228"/>
      <c r="N314" s="228"/>
    </row>
    <row r="315">
      <c r="A315" s="228"/>
      <c r="B315" s="228"/>
      <c r="C315" s="228"/>
      <c r="D315" s="310"/>
      <c r="E315" s="311"/>
      <c r="F315" s="228"/>
      <c r="G315" s="228"/>
      <c r="H315" s="228"/>
      <c r="I315" s="228"/>
      <c r="J315" s="228"/>
      <c r="K315" s="660"/>
      <c r="L315" s="228"/>
      <c r="M315" s="228"/>
      <c r="N315" s="228"/>
    </row>
    <row r="316">
      <c r="A316" s="228"/>
      <c r="B316" s="228"/>
      <c r="C316" s="228"/>
      <c r="D316" s="310"/>
      <c r="E316" s="311"/>
      <c r="F316" s="228"/>
      <c r="G316" s="228"/>
      <c r="H316" s="228"/>
      <c r="I316" s="228"/>
      <c r="J316" s="228"/>
      <c r="K316" s="660"/>
      <c r="L316" s="228"/>
      <c r="M316" s="228"/>
      <c r="N316" s="228"/>
    </row>
    <row r="317">
      <c r="A317" s="228"/>
      <c r="B317" s="228"/>
      <c r="C317" s="228"/>
      <c r="D317" s="310"/>
      <c r="E317" s="311"/>
      <c r="F317" s="228"/>
      <c r="G317" s="228"/>
      <c r="H317" s="228"/>
      <c r="I317" s="228"/>
      <c r="J317" s="228"/>
      <c r="K317" s="660"/>
      <c r="L317" s="228"/>
      <c r="M317" s="228"/>
      <c r="N317" s="228"/>
    </row>
    <row r="318">
      <c r="A318" s="228"/>
      <c r="B318" s="228"/>
      <c r="C318" s="228"/>
      <c r="D318" s="310"/>
      <c r="E318" s="311"/>
      <c r="F318" s="228"/>
      <c r="G318" s="228"/>
      <c r="H318" s="228"/>
      <c r="I318" s="228"/>
      <c r="J318" s="228"/>
      <c r="K318" s="660"/>
      <c r="L318" s="228"/>
      <c r="M318" s="228"/>
      <c r="N318" s="228"/>
    </row>
    <row r="319">
      <c r="A319" s="228"/>
      <c r="B319" s="228"/>
      <c r="C319" s="228"/>
      <c r="D319" s="310"/>
      <c r="E319" s="311"/>
      <c r="F319" s="228"/>
      <c r="G319" s="228"/>
      <c r="H319" s="228"/>
      <c r="I319" s="228"/>
      <c r="J319" s="228"/>
      <c r="K319" s="660"/>
      <c r="L319" s="228"/>
      <c r="M319" s="228"/>
      <c r="N319" s="228"/>
    </row>
    <row r="320">
      <c r="A320" s="228"/>
      <c r="B320" s="228"/>
      <c r="C320" s="228"/>
      <c r="D320" s="310"/>
      <c r="E320" s="311"/>
      <c r="F320" s="228"/>
      <c r="G320" s="228"/>
      <c r="H320" s="228"/>
      <c r="I320" s="228"/>
      <c r="J320" s="228"/>
      <c r="K320" s="660"/>
      <c r="L320" s="228"/>
      <c r="M320" s="228"/>
      <c r="N320" s="228"/>
    </row>
    <row r="321">
      <c r="A321" s="228"/>
      <c r="B321" s="228"/>
      <c r="C321" s="228"/>
      <c r="D321" s="310"/>
      <c r="E321" s="311"/>
      <c r="F321" s="228"/>
      <c r="G321" s="228"/>
      <c r="H321" s="228"/>
      <c r="I321" s="228"/>
      <c r="J321" s="228"/>
      <c r="K321" s="660"/>
      <c r="L321" s="228"/>
      <c r="M321" s="228"/>
      <c r="N321" s="228"/>
    </row>
    <row r="322">
      <c r="A322" s="228"/>
      <c r="B322" s="228"/>
      <c r="C322" s="228"/>
      <c r="D322" s="310"/>
      <c r="E322" s="311"/>
      <c r="F322" s="228"/>
      <c r="G322" s="228"/>
      <c r="H322" s="228"/>
      <c r="I322" s="228"/>
      <c r="J322" s="228"/>
      <c r="K322" s="660"/>
      <c r="L322" s="228"/>
      <c r="M322" s="228"/>
      <c r="N322" s="228"/>
    </row>
    <row r="323">
      <c r="A323" s="228"/>
      <c r="B323" s="228"/>
      <c r="C323" s="228"/>
      <c r="D323" s="310"/>
      <c r="E323" s="311"/>
      <c r="F323" s="228"/>
      <c r="G323" s="228"/>
      <c r="H323" s="228"/>
      <c r="I323" s="228"/>
      <c r="J323" s="228"/>
      <c r="K323" s="660"/>
      <c r="L323" s="228"/>
      <c r="M323" s="228"/>
      <c r="N323" s="228"/>
    </row>
    <row r="324">
      <c r="A324" s="228"/>
      <c r="B324" s="228"/>
      <c r="C324" s="228"/>
      <c r="D324" s="310"/>
      <c r="E324" s="311"/>
      <c r="F324" s="228"/>
      <c r="G324" s="228"/>
      <c r="H324" s="228"/>
      <c r="I324" s="228"/>
      <c r="J324" s="228"/>
      <c r="K324" s="660"/>
      <c r="L324" s="228"/>
      <c r="M324" s="228"/>
      <c r="N324" s="228"/>
    </row>
    <row r="325">
      <c r="A325" s="228"/>
      <c r="B325" s="228"/>
      <c r="C325" s="228"/>
      <c r="D325" s="310"/>
      <c r="E325" s="311"/>
      <c r="F325" s="228"/>
      <c r="G325" s="228"/>
      <c r="H325" s="228"/>
      <c r="I325" s="228"/>
      <c r="J325" s="228"/>
      <c r="K325" s="660"/>
      <c r="L325" s="228"/>
      <c r="M325" s="228"/>
      <c r="N325" s="228"/>
    </row>
    <row r="326">
      <c r="A326" s="228"/>
      <c r="B326" s="228"/>
      <c r="C326" s="228"/>
      <c r="D326" s="310"/>
      <c r="E326" s="311"/>
      <c r="F326" s="228"/>
      <c r="G326" s="228"/>
      <c r="H326" s="228"/>
      <c r="I326" s="228"/>
      <c r="J326" s="228"/>
      <c r="K326" s="660"/>
      <c r="L326" s="228"/>
      <c r="M326" s="228"/>
      <c r="N326" s="228"/>
    </row>
    <row r="327">
      <c r="A327" s="228"/>
      <c r="B327" s="228"/>
      <c r="C327" s="228"/>
      <c r="D327" s="310"/>
      <c r="E327" s="311"/>
      <c r="F327" s="228"/>
      <c r="G327" s="228"/>
      <c r="H327" s="228"/>
      <c r="I327" s="228"/>
      <c r="J327" s="228"/>
      <c r="K327" s="660"/>
      <c r="L327" s="228"/>
      <c r="M327" s="228"/>
      <c r="N327" s="228"/>
    </row>
    <row r="328">
      <c r="A328" s="228"/>
      <c r="B328" s="228"/>
      <c r="C328" s="228"/>
      <c r="D328" s="310"/>
      <c r="E328" s="311"/>
      <c r="F328" s="228"/>
      <c r="G328" s="228"/>
      <c r="H328" s="228"/>
      <c r="I328" s="228"/>
      <c r="J328" s="228"/>
      <c r="K328" s="660"/>
      <c r="L328" s="228"/>
      <c r="M328" s="228"/>
      <c r="N328" s="228"/>
    </row>
    <row r="329">
      <c r="A329" s="228"/>
      <c r="B329" s="228"/>
      <c r="C329" s="228"/>
      <c r="D329" s="310"/>
      <c r="E329" s="311"/>
      <c r="F329" s="228"/>
      <c r="G329" s="228"/>
      <c r="H329" s="228"/>
      <c r="I329" s="228"/>
      <c r="J329" s="228"/>
      <c r="K329" s="660"/>
      <c r="L329" s="228"/>
      <c r="M329" s="228"/>
      <c r="N329" s="228"/>
    </row>
    <row r="330">
      <c r="A330" s="228"/>
      <c r="B330" s="228"/>
      <c r="C330" s="228"/>
      <c r="D330" s="310"/>
      <c r="E330" s="311"/>
      <c r="F330" s="228"/>
      <c r="G330" s="228"/>
      <c r="H330" s="228"/>
      <c r="I330" s="228"/>
      <c r="J330" s="228"/>
      <c r="K330" s="660"/>
      <c r="L330" s="228"/>
      <c r="M330" s="228"/>
      <c r="N330" s="228"/>
    </row>
    <row r="331">
      <c r="A331" s="228"/>
      <c r="B331" s="228"/>
      <c r="C331" s="228"/>
      <c r="D331" s="310"/>
      <c r="E331" s="311"/>
      <c r="F331" s="228"/>
      <c r="G331" s="228"/>
      <c r="H331" s="228"/>
      <c r="I331" s="228"/>
      <c r="J331" s="228"/>
      <c r="K331" s="660"/>
      <c r="L331" s="228"/>
      <c r="M331" s="228"/>
      <c r="N331" s="228"/>
    </row>
    <row r="332">
      <c r="A332" s="228"/>
      <c r="B332" s="228"/>
      <c r="C332" s="228"/>
      <c r="D332" s="310"/>
      <c r="E332" s="311"/>
      <c r="F332" s="228"/>
      <c r="G332" s="228"/>
      <c r="H332" s="228"/>
      <c r="I332" s="228"/>
      <c r="J332" s="228"/>
      <c r="K332" s="660"/>
      <c r="L332" s="228"/>
      <c r="M332" s="228"/>
      <c r="N332" s="228"/>
    </row>
    <row r="333">
      <c r="A333" s="228"/>
      <c r="B333" s="228"/>
      <c r="C333" s="228"/>
      <c r="D333" s="310"/>
      <c r="E333" s="311"/>
      <c r="F333" s="228"/>
      <c r="G333" s="228"/>
      <c r="H333" s="228"/>
      <c r="I333" s="228"/>
      <c r="J333" s="228"/>
      <c r="K333" s="660"/>
      <c r="L333" s="228"/>
      <c r="M333" s="228"/>
      <c r="N333" s="228"/>
    </row>
    <row r="334">
      <c r="A334" s="228"/>
      <c r="B334" s="228"/>
      <c r="C334" s="228"/>
      <c r="D334" s="310"/>
      <c r="E334" s="311"/>
      <c r="F334" s="228"/>
      <c r="G334" s="228"/>
      <c r="H334" s="228"/>
      <c r="I334" s="228"/>
      <c r="J334" s="228"/>
      <c r="K334" s="660"/>
      <c r="L334" s="228"/>
      <c r="M334" s="228"/>
      <c r="N334" s="228"/>
    </row>
    <row r="335">
      <c r="A335" s="228"/>
      <c r="B335" s="228"/>
      <c r="C335" s="228"/>
      <c r="D335" s="310"/>
      <c r="E335" s="311"/>
      <c r="F335" s="228"/>
      <c r="G335" s="228"/>
      <c r="H335" s="228"/>
      <c r="I335" s="228"/>
      <c r="J335" s="228"/>
      <c r="K335" s="660"/>
      <c r="L335" s="228"/>
      <c r="M335" s="228"/>
      <c r="N335" s="228"/>
    </row>
    <row r="336">
      <c r="A336" s="228"/>
      <c r="B336" s="228"/>
      <c r="C336" s="228"/>
      <c r="D336" s="310"/>
      <c r="E336" s="311"/>
      <c r="F336" s="228"/>
      <c r="G336" s="228"/>
      <c r="H336" s="228"/>
      <c r="I336" s="228"/>
      <c r="J336" s="228"/>
      <c r="K336" s="660"/>
      <c r="L336" s="228"/>
      <c r="M336" s="228"/>
      <c r="N336" s="228"/>
    </row>
    <row r="337">
      <c r="A337" s="228"/>
      <c r="B337" s="228"/>
      <c r="C337" s="228"/>
      <c r="D337" s="310"/>
      <c r="E337" s="311"/>
      <c r="F337" s="228"/>
      <c r="G337" s="228"/>
      <c r="H337" s="228"/>
      <c r="I337" s="228"/>
      <c r="J337" s="228"/>
      <c r="K337" s="660"/>
      <c r="L337" s="228"/>
      <c r="M337" s="228"/>
      <c r="N337" s="228"/>
    </row>
    <row r="338">
      <c r="A338" s="228"/>
      <c r="B338" s="228"/>
      <c r="C338" s="228"/>
      <c r="D338" s="310"/>
      <c r="E338" s="311"/>
      <c r="F338" s="228"/>
      <c r="G338" s="228"/>
      <c r="H338" s="228"/>
      <c r="I338" s="228"/>
      <c r="J338" s="228"/>
      <c r="K338" s="660"/>
      <c r="L338" s="228"/>
      <c r="M338" s="228"/>
      <c r="N338" s="228"/>
    </row>
    <row r="339">
      <c r="A339" s="228"/>
      <c r="B339" s="228"/>
      <c r="C339" s="228"/>
      <c r="D339" s="310"/>
      <c r="E339" s="311"/>
      <c r="F339" s="228"/>
      <c r="G339" s="228"/>
      <c r="H339" s="228"/>
      <c r="I339" s="228"/>
      <c r="J339" s="228"/>
      <c r="K339" s="660"/>
      <c r="L339" s="228"/>
      <c r="M339" s="228"/>
      <c r="N339" s="228"/>
    </row>
    <row r="340">
      <c r="A340" s="228"/>
      <c r="B340" s="228"/>
      <c r="C340" s="228"/>
      <c r="D340" s="310"/>
      <c r="E340" s="311"/>
      <c r="F340" s="228"/>
      <c r="G340" s="228"/>
      <c r="H340" s="228"/>
      <c r="I340" s="228"/>
      <c r="J340" s="228"/>
      <c r="K340" s="660"/>
      <c r="L340" s="228"/>
      <c r="M340" s="228"/>
      <c r="N340" s="228"/>
    </row>
    <row r="341">
      <c r="A341" s="228"/>
      <c r="B341" s="228"/>
      <c r="C341" s="228"/>
      <c r="D341" s="310"/>
      <c r="E341" s="311"/>
      <c r="F341" s="228"/>
      <c r="G341" s="228"/>
      <c r="H341" s="228"/>
      <c r="I341" s="228"/>
      <c r="J341" s="228"/>
      <c r="K341" s="660"/>
      <c r="L341" s="228"/>
      <c r="M341" s="228"/>
      <c r="N341" s="228"/>
    </row>
    <row r="342">
      <c r="A342" s="228"/>
      <c r="B342" s="228"/>
      <c r="C342" s="228"/>
      <c r="D342" s="310"/>
      <c r="E342" s="311"/>
      <c r="F342" s="228"/>
      <c r="G342" s="228"/>
      <c r="H342" s="228"/>
      <c r="I342" s="228"/>
      <c r="J342" s="228"/>
      <c r="K342" s="660"/>
      <c r="L342" s="228"/>
      <c r="M342" s="228"/>
      <c r="N342" s="228"/>
    </row>
    <row r="343">
      <c r="A343" s="228"/>
      <c r="B343" s="228"/>
      <c r="C343" s="228"/>
      <c r="D343" s="310"/>
      <c r="E343" s="311"/>
      <c r="F343" s="228"/>
      <c r="G343" s="228"/>
      <c r="H343" s="228"/>
      <c r="I343" s="228"/>
      <c r="J343" s="228"/>
      <c r="K343" s="660"/>
      <c r="L343" s="228"/>
      <c r="M343" s="228"/>
      <c r="N343" s="228"/>
    </row>
    <row r="344">
      <c r="A344" s="228"/>
      <c r="B344" s="228"/>
      <c r="C344" s="228"/>
      <c r="D344" s="310"/>
      <c r="E344" s="311"/>
      <c r="F344" s="228"/>
      <c r="G344" s="228"/>
      <c r="H344" s="228"/>
      <c r="I344" s="228"/>
      <c r="J344" s="228"/>
      <c r="K344" s="660"/>
      <c r="L344" s="228"/>
      <c r="M344" s="228"/>
      <c r="N344" s="228"/>
    </row>
    <row r="345">
      <c r="A345" s="228"/>
      <c r="B345" s="228"/>
      <c r="C345" s="228"/>
      <c r="D345" s="310"/>
      <c r="E345" s="311"/>
      <c r="F345" s="228"/>
      <c r="G345" s="228"/>
      <c r="H345" s="228"/>
      <c r="I345" s="228"/>
      <c r="J345" s="228"/>
      <c r="K345" s="660"/>
      <c r="L345" s="228"/>
      <c r="M345" s="228"/>
      <c r="N345" s="228"/>
    </row>
    <row r="346">
      <c r="A346" s="228"/>
      <c r="B346" s="228"/>
      <c r="C346" s="228"/>
      <c r="D346" s="310"/>
      <c r="E346" s="311"/>
      <c r="F346" s="228"/>
      <c r="G346" s="228"/>
      <c r="H346" s="228"/>
      <c r="I346" s="228"/>
      <c r="J346" s="228"/>
      <c r="K346" s="660"/>
      <c r="L346" s="228"/>
      <c r="M346" s="228"/>
      <c r="N346" s="228"/>
    </row>
    <row r="347">
      <c r="A347" s="228"/>
      <c r="B347" s="228"/>
      <c r="C347" s="228"/>
      <c r="D347" s="310"/>
      <c r="E347" s="311"/>
      <c r="F347" s="228"/>
      <c r="G347" s="228"/>
      <c r="H347" s="228"/>
      <c r="I347" s="228"/>
      <c r="J347" s="228"/>
      <c r="K347" s="660"/>
      <c r="L347" s="228"/>
      <c r="M347" s="228"/>
      <c r="N347" s="228"/>
    </row>
    <row r="348">
      <c r="A348" s="228"/>
      <c r="B348" s="228"/>
      <c r="C348" s="228"/>
      <c r="D348" s="310"/>
      <c r="E348" s="311"/>
      <c r="F348" s="228"/>
      <c r="G348" s="228"/>
      <c r="H348" s="228"/>
      <c r="I348" s="228"/>
      <c r="J348" s="228"/>
      <c r="K348" s="660"/>
      <c r="L348" s="228"/>
      <c r="M348" s="228"/>
      <c r="N348" s="228"/>
    </row>
    <row r="349">
      <c r="A349" s="228"/>
      <c r="B349" s="228"/>
      <c r="C349" s="228"/>
      <c r="D349" s="310"/>
      <c r="E349" s="311"/>
      <c r="F349" s="228"/>
      <c r="G349" s="228"/>
      <c r="H349" s="228"/>
      <c r="I349" s="228"/>
      <c r="J349" s="228"/>
      <c r="K349" s="660"/>
      <c r="L349" s="228"/>
      <c r="M349" s="228"/>
      <c r="N349" s="228"/>
    </row>
    <row r="350">
      <c r="A350" s="228"/>
      <c r="B350" s="228"/>
      <c r="C350" s="228"/>
      <c r="D350" s="310"/>
      <c r="E350" s="311"/>
      <c r="F350" s="228"/>
      <c r="G350" s="228"/>
      <c r="H350" s="228"/>
      <c r="I350" s="228"/>
      <c r="J350" s="228"/>
      <c r="K350" s="660"/>
      <c r="L350" s="228"/>
      <c r="M350" s="228"/>
      <c r="N350" s="228"/>
    </row>
    <row r="351">
      <c r="A351" s="228"/>
      <c r="B351" s="228"/>
      <c r="C351" s="228"/>
      <c r="D351" s="310"/>
      <c r="E351" s="311"/>
      <c r="F351" s="228"/>
      <c r="G351" s="228"/>
      <c r="H351" s="228"/>
      <c r="I351" s="228"/>
      <c r="J351" s="228"/>
      <c r="K351" s="660"/>
      <c r="L351" s="228"/>
      <c r="M351" s="228"/>
      <c r="N351" s="228"/>
    </row>
    <row r="352">
      <c r="A352" s="228"/>
      <c r="B352" s="228"/>
      <c r="C352" s="228"/>
      <c r="D352" s="310"/>
      <c r="E352" s="311"/>
      <c r="F352" s="228"/>
      <c r="G352" s="228"/>
      <c r="H352" s="228"/>
      <c r="I352" s="228"/>
      <c r="J352" s="228"/>
      <c r="K352" s="660"/>
      <c r="L352" s="228"/>
      <c r="M352" s="228"/>
      <c r="N352" s="228"/>
    </row>
    <row r="353">
      <c r="A353" s="228"/>
      <c r="B353" s="228"/>
      <c r="C353" s="228"/>
      <c r="D353" s="310"/>
      <c r="E353" s="311"/>
      <c r="F353" s="228"/>
      <c r="G353" s="228"/>
      <c r="H353" s="228"/>
      <c r="I353" s="228"/>
      <c r="J353" s="228"/>
      <c r="K353" s="660"/>
      <c r="L353" s="228"/>
      <c r="M353" s="228"/>
      <c r="N353" s="228"/>
    </row>
    <row r="354">
      <c r="A354" s="228"/>
      <c r="B354" s="228"/>
      <c r="C354" s="228"/>
      <c r="D354" s="310"/>
      <c r="E354" s="311"/>
      <c r="F354" s="228"/>
      <c r="G354" s="228"/>
      <c r="H354" s="228"/>
      <c r="I354" s="228"/>
      <c r="J354" s="228"/>
      <c r="K354" s="660"/>
      <c r="L354" s="228"/>
      <c r="M354" s="228"/>
      <c r="N354" s="228"/>
    </row>
    <row r="355">
      <c r="A355" s="228"/>
      <c r="B355" s="228"/>
      <c r="C355" s="228"/>
      <c r="D355" s="310"/>
      <c r="E355" s="311"/>
      <c r="F355" s="228"/>
      <c r="G355" s="228"/>
      <c r="H355" s="228"/>
      <c r="I355" s="228"/>
      <c r="J355" s="228"/>
      <c r="K355" s="660"/>
      <c r="L355" s="228"/>
      <c r="M355" s="228"/>
      <c r="N355" s="228"/>
    </row>
    <row r="356">
      <c r="A356" s="228"/>
      <c r="B356" s="228"/>
      <c r="C356" s="228"/>
      <c r="D356" s="310"/>
      <c r="E356" s="311"/>
      <c r="F356" s="228"/>
      <c r="G356" s="228"/>
      <c r="H356" s="228"/>
      <c r="I356" s="228"/>
      <c r="J356" s="228"/>
      <c r="K356" s="660"/>
      <c r="L356" s="228"/>
      <c r="M356" s="228"/>
      <c r="N356" s="228"/>
    </row>
    <row r="357">
      <c r="A357" s="228"/>
      <c r="B357" s="228"/>
      <c r="C357" s="228"/>
      <c r="D357" s="310"/>
      <c r="E357" s="311"/>
      <c r="F357" s="228"/>
      <c r="G357" s="228"/>
      <c r="H357" s="228"/>
      <c r="I357" s="228"/>
      <c r="J357" s="228"/>
      <c r="K357" s="660"/>
      <c r="L357" s="228"/>
      <c r="M357" s="228"/>
      <c r="N357" s="228"/>
    </row>
    <row r="358">
      <c r="A358" s="228"/>
      <c r="B358" s="228"/>
      <c r="C358" s="228"/>
      <c r="D358" s="310"/>
      <c r="E358" s="311"/>
      <c r="F358" s="228"/>
      <c r="G358" s="228"/>
      <c r="H358" s="228"/>
      <c r="I358" s="228"/>
      <c r="J358" s="228"/>
      <c r="K358" s="660"/>
      <c r="L358" s="228"/>
      <c r="M358" s="228"/>
      <c r="N358" s="228"/>
    </row>
    <row r="359">
      <c r="A359" s="228"/>
      <c r="B359" s="228"/>
      <c r="C359" s="228"/>
      <c r="D359" s="310"/>
      <c r="E359" s="311"/>
      <c r="F359" s="228"/>
      <c r="G359" s="228"/>
      <c r="H359" s="228"/>
      <c r="I359" s="228"/>
      <c r="J359" s="228"/>
      <c r="K359" s="660"/>
      <c r="L359" s="228"/>
      <c r="M359" s="228"/>
      <c r="N359" s="228"/>
    </row>
    <row r="360">
      <c r="A360" s="228"/>
      <c r="B360" s="228"/>
      <c r="C360" s="228"/>
      <c r="D360" s="310"/>
      <c r="E360" s="311"/>
      <c r="F360" s="228"/>
      <c r="G360" s="228"/>
      <c r="H360" s="228"/>
      <c r="I360" s="228"/>
      <c r="J360" s="228"/>
      <c r="K360" s="660"/>
      <c r="L360" s="228"/>
      <c r="M360" s="228"/>
      <c r="N360" s="228"/>
    </row>
    <row r="361">
      <c r="A361" s="228"/>
      <c r="B361" s="228"/>
      <c r="C361" s="228"/>
      <c r="D361" s="310"/>
      <c r="E361" s="311"/>
      <c r="F361" s="228"/>
      <c r="G361" s="228"/>
      <c r="H361" s="228"/>
      <c r="I361" s="228"/>
      <c r="J361" s="228"/>
      <c r="K361" s="660"/>
      <c r="L361" s="228"/>
      <c r="M361" s="228"/>
      <c r="N361" s="228"/>
    </row>
    <row r="362">
      <c r="A362" s="228"/>
      <c r="B362" s="228"/>
      <c r="C362" s="228"/>
      <c r="D362" s="310"/>
      <c r="E362" s="311"/>
      <c r="F362" s="228"/>
      <c r="G362" s="228"/>
      <c r="H362" s="228"/>
      <c r="I362" s="228"/>
      <c r="J362" s="228"/>
      <c r="K362" s="660"/>
      <c r="L362" s="228"/>
      <c r="M362" s="228"/>
      <c r="N362" s="228"/>
    </row>
    <row r="363">
      <c r="A363" s="228"/>
      <c r="B363" s="228"/>
      <c r="C363" s="228"/>
      <c r="D363" s="310"/>
      <c r="E363" s="311"/>
      <c r="F363" s="228"/>
      <c r="G363" s="228"/>
      <c r="H363" s="228"/>
      <c r="I363" s="228"/>
      <c r="J363" s="228"/>
      <c r="K363" s="660"/>
      <c r="L363" s="228"/>
      <c r="M363" s="228"/>
      <c r="N363" s="228"/>
    </row>
    <row r="364">
      <c r="A364" s="228"/>
      <c r="B364" s="228"/>
      <c r="C364" s="228"/>
      <c r="D364" s="310"/>
      <c r="E364" s="311"/>
      <c r="F364" s="228"/>
      <c r="G364" s="228"/>
      <c r="H364" s="228"/>
      <c r="I364" s="228"/>
      <c r="J364" s="228"/>
      <c r="K364" s="660"/>
      <c r="L364" s="228"/>
      <c r="M364" s="228"/>
      <c r="N364" s="228"/>
    </row>
    <row r="365">
      <c r="A365" s="228"/>
      <c r="B365" s="228"/>
      <c r="C365" s="228"/>
      <c r="D365" s="310"/>
      <c r="E365" s="311"/>
      <c r="F365" s="228"/>
      <c r="G365" s="228"/>
      <c r="H365" s="228"/>
      <c r="I365" s="228"/>
      <c r="J365" s="228"/>
      <c r="K365" s="660"/>
      <c r="L365" s="228"/>
      <c r="M365" s="228"/>
      <c r="N365" s="228"/>
    </row>
    <row r="366">
      <c r="A366" s="228"/>
      <c r="B366" s="228"/>
      <c r="C366" s="228"/>
      <c r="D366" s="310"/>
      <c r="E366" s="311"/>
      <c r="F366" s="228"/>
      <c r="G366" s="228"/>
      <c r="H366" s="228"/>
      <c r="I366" s="228"/>
      <c r="J366" s="228"/>
      <c r="K366" s="660"/>
      <c r="L366" s="228"/>
      <c r="M366" s="228"/>
      <c r="N366" s="228"/>
    </row>
    <row r="367">
      <c r="A367" s="228"/>
      <c r="B367" s="228"/>
      <c r="C367" s="228"/>
      <c r="D367" s="310"/>
      <c r="E367" s="311"/>
      <c r="F367" s="228"/>
      <c r="G367" s="228"/>
      <c r="H367" s="228"/>
      <c r="I367" s="228"/>
      <c r="J367" s="228"/>
      <c r="K367" s="660"/>
      <c r="L367" s="228"/>
      <c r="M367" s="228"/>
      <c r="N367" s="228"/>
    </row>
    <row r="368">
      <c r="A368" s="228"/>
      <c r="B368" s="228"/>
      <c r="C368" s="228"/>
      <c r="D368" s="310"/>
      <c r="E368" s="311"/>
      <c r="F368" s="228"/>
      <c r="G368" s="228"/>
      <c r="H368" s="228"/>
      <c r="I368" s="228"/>
      <c r="J368" s="228"/>
      <c r="K368" s="660"/>
      <c r="L368" s="228"/>
      <c r="M368" s="228"/>
      <c r="N368" s="228"/>
    </row>
    <row r="369">
      <c r="A369" s="228"/>
      <c r="B369" s="228"/>
      <c r="C369" s="228"/>
      <c r="D369" s="310"/>
      <c r="E369" s="311"/>
      <c r="F369" s="228"/>
      <c r="G369" s="228"/>
      <c r="H369" s="228"/>
      <c r="I369" s="228"/>
      <c r="J369" s="228"/>
      <c r="K369" s="660"/>
      <c r="L369" s="228"/>
      <c r="M369" s="228"/>
      <c r="N369" s="228"/>
    </row>
    <row r="370">
      <c r="A370" s="228"/>
      <c r="B370" s="228"/>
      <c r="C370" s="228"/>
      <c r="D370" s="310"/>
      <c r="E370" s="311"/>
      <c r="F370" s="228"/>
      <c r="G370" s="228"/>
      <c r="H370" s="228"/>
      <c r="I370" s="228"/>
      <c r="J370" s="228"/>
      <c r="K370" s="660"/>
      <c r="L370" s="228"/>
      <c r="M370" s="228"/>
      <c r="N370" s="228"/>
    </row>
    <row r="371">
      <c r="A371" s="228"/>
      <c r="B371" s="228"/>
      <c r="C371" s="228"/>
      <c r="D371" s="310"/>
      <c r="E371" s="311"/>
      <c r="F371" s="228"/>
      <c r="G371" s="228"/>
      <c r="H371" s="228"/>
      <c r="I371" s="228"/>
      <c r="J371" s="228"/>
      <c r="K371" s="660"/>
      <c r="L371" s="228"/>
      <c r="M371" s="228"/>
      <c r="N371" s="228"/>
    </row>
    <row r="372">
      <c r="A372" s="228"/>
      <c r="B372" s="228"/>
      <c r="C372" s="228"/>
      <c r="D372" s="310"/>
      <c r="E372" s="311"/>
      <c r="F372" s="228"/>
      <c r="G372" s="228"/>
      <c r="H372" s="228"/>
      <c r="I372" s="228"/>
      <c r="J372" s="228"/>
      <c r="K372" s="660"/>
      <c r="L372" s="228"/>
      <c r="M372" s="228"/>
      <c r="N372" s="228"/>
    </row>
    <row r="373">
      <c r="A373" s="228"/>
      <c r="B373" s="228"/>
      <c r="C373" s="228"/>
      <c r="D373" s="310"/>
      <c r="E373" s="311"/>
      <c r="F373" s="228"/>
      <c r="G373" s="228"/>
      <c r="H373" s="228"/>
      <c r="I373" s="228"/>
      <c r="J373" s="228"/>
      <c r="K373" s="660"/>
      <c r="L373" s="228"/>
      <c r="M373" s="228"/>
      <c r="N373" s="228"/>
    </row>
    <row r="374">
      <c r="A374" s="228"/>
      <c r="B374" s="228"/>
      <c r="C374" s="228"/>
      <c r="D374" s="310"/>
      <c r="E374" s="311"/>
      <c r="F374" s="228"/>
      <c r="G374" s="228"/>
      <c r="H374" s="228"/>
      <c r="I374" s="228"/>
      <c r="J374" s="228"/>
      <c r="K374" s="660"/>
      <c r="L374" s="228"/>
      <c r="M374" s="228"/>
      <c r="N374" s="228"/>
    </row>
    <row r="375">
      <c r="A375" s="228"/>
      <c r="B375" s="228"/>
      <c r="C375" s="228"/>
      <c r="D375" s="310"/>
      <c r="E375" s="311"/>
      <c r="F375" s="228"/>
      <c r="G375" s="228"/>
      <c r="H375" s="228"/>
      <c r="I375" s="228"/>
      <c r="J375" s="228"/>
      <c r="K375" s="660"/>
      <c r="L375" s="228"/>
      <c r="M375" s="228"/>
      <c r="N375" s="228"/>
    </row>
    <row r="376">
      <c r="A376" s="228"/>
      <c r="B376" s="228"/>
      <c r="C376" s="228"/>
      <c r="D376" s="310"/>
      <c r="E376" s="311"/>
      <c r="F376" s="228"/>
      <c r="G376" s="228"/>
      <c r="H376" s="228"/>
      <c r="I376" s="228"/>
      <c r="J376" s="228"/>
      <c r="K376" s="660"/>
      <c r="L376" s="228"/>
      <c r="M376" s="228"/>
      <c r="N376" s="228"/>
    </row>
    <row r="377">
      <c r="A377" s="228"/>
      <c r="B377" s="228"/>
      <c r="C377" s="228"/>
      <c r="D377" s="310"/>
      <c r="E377" s="311"/>
      <c r="F377" s="228"/>
      <c r="G377" s="228"/>
      <c r="H377" s="228"/>
      <c r="I377" s="228"/>
      <c r="J377" s="228"/>
      <c r="K377" s="660"/>
      <c r="L377" s="228"/>
      <c r="M377" s="228"/>
      <c r="N377" s="228"/>
    </row>
    <row r="378">
      <c r="A378" s="228"/>
      <c r="B378" s="228"/>
      <c r="C378" s="228"/>
      <c r="D378" s="310"/>
      <c r="E378" s="311"/>
      <c r="F378" s="228"/>
      <c r="G378" s="228"/>
      <c r="H378" s="228"/>
      <c r="I378" s="228"/>
      <c r="J378" s="228"/>
      <c r="K378" s="660"/>
      <c r="L378" s="228"/>
      <c r="M378" s="228"/>
      <c r="N378" s="228"/>
    </row>
    <row r="379">
      <c r="A379" s="228"/>
      <c r="B379" s="228"/>
      <c r="C379" s="228"/>
      <c r="D379" s="310"/>
      <c r="E379" s="311"/>
      <c r="F379" s="228"/>
      <c r="G379" s="228"/>
      <c r="H379" s="228"/>
      <c r="I379" s="228"/>
      <c r="J379" s="228"/>
      <c r="K379" s="660"/>
      <c r="L379" s="228"/>
      <c r="M379" s="228"/>
      <c r="N379" s="228"/>
    </row>
    <row r="380">
      <c r="A380" s="228"/>
      <c r="B380" s="228"/>
      <c r="C380" s="228"/>
      <c r="D380" s="310"/>
      <c r="E380" s="311"/>
      <c r="F380" s="228"/>
      <c r="G380" s="228"/>
      <c r="H380" s="228"/>
      <c r="I380" s="228"/>
      <c r="J380" s="228"/>
      <c r="K380" s="660"/>
      <c r="L380" s="228"/>
      <c r="M380" s="228"/>
      <c r="N380" s="228"/>
    </row>
    <row r="381">
      <c r="A381" s="228"/>
      <c r="B381" s="228"/>
      <c r="C381" s="228"/>
      <c r="D381" s="310"/>
      <c r="E381" s="311"/>
      <c r="F381" s="228"/>
      <c r="G381" s="228"/>
      <c r="H381" s="228"/>
      <c r="I381" s="228"/>
      <c r="J381" s="228"/>
      <c r="K381" s="660"/>
      <c r="L381" s="228"/>
      <c r="M381" s="228"/>
      <c r="N381" s="228"/>
    </row>
    <row r="382">
      <c r="A382" s="228"/>
      <c r="B382" s="228"/>
      <c r="C382" s="228"/>
      <c r="D382" s="310"/>
      <c r="E382" s="311"/>
      <c r="F382" s="228"/>
      <c r="G382" s="228"/>
      <c r="H382" s="228"/>
      <c r="I382" s="228"/>
      <c r="J382" s="228"/>
      <c r="K382" s="660"/>
      <c r="L382" s="228"/>
      <c r="M382" s="228"/>
      <c r="N382" s="228"/>
    </row>
    <row r="383">
      <c r="A383" s="228"/>
      <c r="B383" s="228"/>
      <c r="C383" s="228"/>
      <c r="D383" s="310"/>
      <c r="E383" s="311"/>
      <c r="F383" s="228"/>
      <c r="G383" s="228"/>
      <c r="H383" s="228"/>
      <c r="I383" s="228"/>
      <c r="J383" s="228"/>
      <c r="K383" s="660"/>
      <c r="L383" s="228"/>
      <c r="M383" s="228"/>
      <c r="N383" s="228"/>
    </row>
    <row r="384">
      <c r="A384" s="228"/>
      <c r="B384" s="228"/>
      <c r="C384" s="228"/>
      <c r="D384" s="310"/>
      <c r="E384" s="311"/>
      <c r="F384" s="228"/>
      <c r="G384" s="228"/>
      <c r="H384" s="228"/>
      <c r="I384" s="228"/>
      <c r="J384" s="228"/>
      <c r="K384" s="660"/>
      <c r="L384" s="228"/>
      <c r="M384" s="228"/>
      <c r="N384" s="228"/>
    </row>
    <row r="385">
      <c r="A385" s="228"/>
      <c r="B385" s="228"/>
      <c r="C385" s="228"/>
      <c r="D385" s="310"/>
      <c r="E385" s="311"/>
      <c r="F385" s="228"/>
      <c r="G385" s="228"/>
      <c r="H385" s="228"/>
      <c r="I385" s="228"/>
      <c r="J385" s="228"/>
      <c r="K385" s="660"/>
      <c r="L385" s="228"/>
      <c r="M385" s="228"/>
      <c r="N385" s="228"/>
    </row>
    <row r="386">
      <c r="A386" s="228"/>
      <c r="B386" s="228"/>
      <c r="C386" s="228"/>
      <c r="D386" s="310"/>
      <c r="E386" s="311"/>
      <c r="F386" s="228"/>
      <c r="G386" s="228"/>
      <c r="H386" s="228"/>
      <c r="I386" s="228"/>
      <c r="J386" s="228"/>
      <c r="K386" s="660"/>
      <c r="L386" s="228"/>
      <c r="M386" s="228"/>
      <c r="N386" s="228"/>
    </row>
    <row r="387">
      <c r="A387" s="228"/>
      <c r="B387" s="228"/>
      <c r="C387" s="228"/>
      <c r="D387" s="310"/>
      <c r="E387" s="311"/>
      <c r="F387" s="228"/>
      <c r="G387" s="228"/>
      <c r="H387" s="228"/>
      <c r="I387" s="228"/>
      <c r="J387" s="228"/>
      <c r="K387" s="660"/>
      <c r="L387" s="228"/>
      <c r="M387" s="228"/>
      <c r="N387" s="228"/>
    </row>
    <row r="388">
      <c r="A388" s="228"/>
      <c r="B388" s="228"/>
      <c r="C388" s="228"/>
      <c r="D388" s="310"/>
      <c r="E388" s="311"/>
      <c r="F388" s="228"/>
      <c r="G388" s="228"/>
      <c r="H388" s="228"/>
      <c r="I388" s="228"/>
      <c r="J388" s="228"/>
      <c r="K388" s="660"/>
      <c r="L388" s="228"/>
      <c r="M388" s="228"/>
      <c r="N388" s="228"/>
    </row>
    <row r="389">
      <c r="A389" s="228"/>
      <c r="B389" s="228"/>
      <c r="C389" s="228"/>
      <c r="D389" s="310"/>
      <c r="E389" s="311"/>
      <c r="F389" s="228"/>
      <c r="G389" s="228"/>
      <c r="H389" s="228"/>
      <c r="I389" s="228"/>
      <c r="J389" s="228"/>
      <c r="K389" s="660"/>
      <c r="L389" s="228"/>
      <c r="M389" s="228"/>
      <c r="N389" s="228"/>
    </row>
    <row r="390">
      <c r="A390" s="228"/>
      <c r="B390" s="228"/>
      <c r="C390" s="228"/>
      <c r="D390" s="310"/>
      <c r="E390" s="311"/>
      <c r="F390" s="228"/>
      <c r="G390" s="228"/>
      <c r="H390" s="228"/>
      <c r="I390" s="228"/>
      <c r="J390" s="228"/>
      <c r="K390" s="660"/>
      <c r="L390" s="228"/>
      <c r="M390" s="228"/>
      <c r="N390" s="228"/>
    </row>
    <row r="391">
      <c r="A391" s="228"/>
      <c r="B391" s="228"/>
      <c r="C391" s="228"/>
      <c r="D391" s="310"/>
      <c r="E391" s="311"/>
      <c r="F391" s="228"/>
      <c r="G391" s="228"/>
      <c r="H391" s="228"/>
      <c r="I391" s="228"/>
      <c r="J391" s="228"/>
      <c r="K391" s="660"/>
      <c r="L391" s="228"/>
      <c r="M391" s="228"/>
      <c r="N391" s="228"/>
    </row>
    <row r="392">
      <c r="A392" s="228"/>
      <c r="B392" s="228"/>
      <c r="C392" s="228"/>
      <c r="D392" s="310"/>
      <c r="E392" s="311"/>
      <c r="F392" s="228"/>
      <c r="G392" s="228"/>
      <c r="H392" s="228"/>
      <c r="I392" s="228"/>
      <c r="J392" s="228"/>
      <c r="K392" s="660"/>
      <c r="L392" s="228"/>
      <c r="M392" s="228"/>
      <c r="N392" s="228"/>
    </row>
    <row r="393">
      <c r="A393" s="228"/>
      <c r="B393" s="228"/>
      <c r="C393" s="228"/>
      <c r="D393" s="310"/>
      <c r="E393" s="311"/>
      <c r="F393" s="228"/>
      <c r="G393" s="228"/>
      <c r="H393" s="228"/>
      <c r="I393" s="228"/>
      <c r="J393" s="228"/>
      <c r="K393" s="660"/>
      <c r="L393" s="228"/>
      <c r="M393" s="228"/>
      <c r="N393" s="228"/>
    </row>
    <row r="394">
      <c r="A394" s="228"/>
      <c r="B394" s="228"/>
      <c r="C394" s="228"/>
      <c r="D394" s="310"/>
      <c r="E394" s="311"/>
      <c r="F394" s="228"/>
      <c r="G394" s="228"/>
      <c r="H394" s="228"/>
      <c r="I394" s="228"/>
      <c r="J394" s="228"/>
      <c r="K394" s="660"/>
      <c r="L394" s="228"/>
      <c r="M394" s="228"/>
      <c r="N394" s="228"/>
    </row>
    <row r="395">
      <c r="A395" s="228"/>
      <c r="B395" s="228"/>
      <c r="C395" s="228"/>
      <c r="D395" s="310"/>
      <c r="E395" s="311"/>
      <c r="F395" s="228"/>
      <c r="G395" s="228"/>
      <c r="H395" s="228"/>
      <c r="I395" s="228"/>
      <c r="J395" s="228"/>
      <c r="K395" s="660"/>
      <c r="L395" s="228"/>
      <c r="M395" s="228"/>
      <c r="N395" s="228"/>
    </row>
    <row r="396">
      <c r="A396" s="228"/>
      <c r="B396" s="228"/>
      <c r="C396" s="228"/>
      <c r="D396" s="310"/>
      <c r="E396" s="311"/>
      <c r="F396" s="228"/>
      <c r="G396" s="228"/>
      <c r="H396" s="228"/>
      <c r="I396" s="228"/>
      <c r="J396" s="228"/>
      <c r="K396" s="660"/>
      <c r="L396" s="228"/>
      <c r="M396" s="228"/>
      <c r="N396" s="228"/>
    </row>
    <row r="397">
      <c r="A397" s="228"/>
      <c r="B397" s="228"/>
      <c r="C397" s="228"/>
      <c r="D397" s="310"/>
      <c r="E397" s="311"/>
      <c r="F397" s="228"/>
      <c r="G397" s="228"/>
      <c r="H397" s="228"/>
      <c r="I397" s="228"/>
      <c r="J397" s="228"/>
      <c r="K397" s="660"/>
      <c r="L397" s="228"/>
      <c r="M397" s="228"/>
      <c r="N397" s="228"/>
    </row>
    <row r="398">
      <c r="A398" s="228"/>
      <c r="B398" s="228"/>
      <c r="C398" s="228"/>
      <c r="D398" s="310"/>
      <c r="E398" s="311"/>
      <c r="F398" s="228"/>
      <c r="G398" s="228"/>
      <c r="H398" s="228"/>
      <c r="I398" s="228"/>
      <c r="J398" s="228"/>
      <c r="K398" s="660"/>
      <c r="L398" s="228"/>
      <c r="M398" s="228"/>
      <c r="N398" s="228"/>
    </row>
    <row r="399">
      <c r="A399" s="228"/>
      <c r="B399" s="228"/>
      <c r="C399" s="228"/>
      <c r="D399" s="310"/>
      <c r="E399" s="311"/>
      <c r="F399" s="228"/>
      <c r="G399" s="228"/>
      <c r="H399" s="228"/>
      <c r="I399" s="228"/>
      <c r="J399" s="228"/>
      <c r="K399" s="660"/>
      <c r="L399" s="228"/>
      <c r="M399" s="228"/>
      <c r="N399" s="228"/>
    </row>
    <row r="400">
      <c r="A400" s="228"/>
      <c r="B400" s="228"/>
      <c r="C400" s="228"/>
      <c r="D400" s="310"/>
      <c r="E400" s="311"/>
      <c r="F400" s="228"/>
      <c r="G400" s="228"/>
      <c r="H400" s="228"/>
      <c r="I400" s="228"/>
      <c r="J400" s="228"/>
      <c r="K400" s="660"/>
      <c r="L400" s="228"/>
      <c r="M400" s="228"/>
      <c r="N400" s="228"/>
    </row>
    <row r="401">
      <c r="A401" s="228"/>
      <c r="B401" s="228"/>
      <c r="C401" s="228"/>
      <c r="D401" s="310"/>
      <c r="E401" s="311"/>
      <c r="F401" s="228"/>
      <c r="G401" s="228"/>
      <c r="H401" s="228"/>
      <c r="I401" s="228"/>
      <c r="J401" s="228"/>
      <c r="K401" s="660"/>
      <c r="L401" s="228"/>
      <c r="M401" s="228"/>
      <c r="N401" s="228"/>
    </row>
    <row r="402">
      <c r="A402" s="228"/>
      <c r="B402" s="228"/>
      <c r="C402" s="228"/>
      <c r="D402" s="310"/>
      <c r="E402" s="311"/>
      <c r="F402" s="228"/>
      <c r="G402" s="228"/>
      <c r="H402" s="228"/>
      <c r="I402" s="228"/>
      <c r="J402" s="228"/>
      <c r="K402" s="660"/>
      <c r="L402" s="228"/>
      <c r="M402" s="228"/>
      <c r="N402" s="228"/>
    </row>
    <row r="403">
      <c r="A403" s="228"/>
      <c r="B403" s="228"/>
      <c r="C403" s="228"/>
      <c r="D403" s="310"/>
      <c r="E403" s="311"/>
      <c r="F403" s="228"/>
      <c r="G403" s="228"/>
      <c r="H403" s="228"/>
      <c r="I403" s="228"/>
      <c r="J403" s="228"/>
      <c r="K403" s="660"/>
      <c r="L403" s="228"/>
      <c r="M403" s="228"/>
      <c r="N403" s="228"/>
    </row>
    <row r="404">
      <c r="A404" s="228"/>
      <c r="B404" s="228"/>
      <c r="C404" s="228"/>
      <c r="D404" s="310"/>
      <c r="E404" s="311"/>
      <c r="F404" s="228"/>
      <c r="G404" s="228"/>
      <c r="H404" s="228"/>
      <c r="I404" s="228"/>
      <c r="J404" s="228"/>
      <c r="K404" s="660"/>
      <c r="L404" s="228"/>
      <c r="M404" s="228"/>
      <c r="N404" s="228"/>
    </row>
    <row r="405">
      <c r="A405" s="228"/>
      <c r="B405" s="228"/>
      <c r="C405" s="228"/>
      <c r="D405" s="310"/>
      <c r="E405" s="311"/>
      <c r="F405" s="228"/>
      <c r="G405" s="228"/>
      <c r="H405" s="228"/>
      <c r="I405" s="228"/>
      <c r="J405" s="228"/>
      <c r="K405" s="660"/>
      <c r="L405" s="228"/>
      <c r="M405" s="228"/>
      <c r="N405" s="228"/>
    </row>
    <row r="406">
      <c r="A406" s="228"/>
      <c r="B406" s="228"/>
      <c r="C406" s="228"/>
      <c r="D406" s="310"/>
      <c r="E406" s="311"/>
      <c r="F406" s="228"/>
      <c r="G406" s="228"/>
      <c r="H406" s="228"/>
      <c r="I406" s="228"/>
      <c r="J406" s="228"/>
      <c r="K406" s="660"/>
      <c r="L406" s="228"/>
      <c r="M406" s="228"/>
      <c r="N406" s="228"/>
    </row>
    <row r="407">
      <c r="A407" s="228"/>
      <c r="B407" s="228"/>
      <c r="C407" s="228"/>
      <c r="D407" s="310"/>
      <c r="E407" s="311"/>
      <c r="F407" s="228"/>
      <c r="G407" s="228"/>
      <c r="H407" s="228"/>
      <c r="I407" s="228"/>
      <c r="J407" s="228"/>
      <c r="K407" s="660"/>
      <c r="L407" s="228"/>
      <c r="M407" s="228"/>
      <c r="N407" s="228"/>
    </row>
    <row r="408">
      <c r="A408" s="228"/>
      <c r="B408" s="228"/>
      <c r="C408" s="228"/>
      <c r="D408" s="310"/>
      <c r="E408" s="311"/>
      <c r="F408" s="228"/>
      <c r="G408" s="228"/>
      <c r="H408" s="228"/>
      <c r="I408" s="228"/>
      <c r="J408" s="228"/>
      <c r="K408" s="660"/>
      <c r="L408" s="228"/>
      <c r="M408" s="228"/>
      <c r="N408" s="228"/>
    </row>
    <row r="409">
      <c r="A409" s="228"/>
      <c r="B409" s="228"/>
      <c r="C409" s="228"/>
      <c r="D409" s="310"/>
      <c r="E409" s="311"/>
      <c r="F409" s="228"/>
      <c r="G409" s="228"/>
      <c r="H409" s="228"/>
      <c r="I409" s="228"/>
      <c r="J409" s="228"/>
      <c r="K409" s="660"/>
      <c r="L409" s="228"/>
      <c r="M409" s="228"/>
      <c r="N409" s="228"/>
    </row>
    <row r="410">
      <c r="A410" s="228"/>
      <c r="B410" s="228"/>
      <c r="C410" s="228"/>
      <c r="D410" s="310"/>
      <c r="E410" s="311"/>
      <c r="F410" s="228"/>
      <c r="G410" s="228"/>
      <c r="H410" s="228"/>
      <c r="I410" s="228"/>
      <c r="J410" s="228"/>
      <c r="K410" s="660"/>
      <c r="L410" s="228"/>
      <c r="M410" s="228"/>
      <c r="N410" s="228"/>
    </row>
    <row r="411">
      <c r="A411" s="228"/>
      <c r="B411" s="228"/>
      <c r="C411" s="228"/>
      <c r="D411" s="310"/>
      <c r="E411" s="311"/>
      <c r="F411" s="228"/>
      <c r="G411" s="228"/>
      <c r="H411" s="228"/>
      <c r="I411" s="228"/>
      <c r="J411" s="228"/>
      <c r="K411" s="660"/>
      <c r="L411" s="228"/>
      <c r="M411" s="228"/>
      <c r="N411" s="228"/>
    </row>
    <row r="412">
      <c r="A412" s="228"/>
      <c r="B412" s="228"/>
      <c r="C412" s="228"/>
      <c r="D412" s="310"/>
      <c r="E412" s="311"/>
      <c r="F412" s="228"/>
      <c r="G412" s="228"/>
      <c r="H412" s="228"/>
      <c r="I412" s="228"/>
      <c r="J412" s="228"/>
      <c r="K412" s="660"/>
      <c r="L412" s="228"/>
      <c r="M412" s="228"/>
      <c r="N412" s="228"/>
    </row>
    <row r="413">
      <c r="A413" s="228"/>
      <c r="B413" s="228"/>
      <c r="C413" s="228"/>
      <c r="D413" s="310"/>
      <c r="E413" s="311"/>
      <c r="F413" s="228"/>
      <c r="G413" s="228"/>
      <c r="H413" s="228"/>
      <c r="I413" s="228"/>
      <c r="J413" s="228"/>
      <c r="K413" s="660"/>
      <c r="L413" s="228"/>
      <c r="M413" s="228"/>
      <c r="N413" s="228"/>
    </row>
    <row r="414">
      <c r="A414" s="228"/>
      <c r="B414" s="228"/>
      <c r="C414" s="228"/>
      <c r="D414" s="310"/>
      <c r="E414" s="311"/>
      <c r="F414" s="228"/>
      <c r="G414" s="228"/>
      <c r="H414" s="228"/>
      <c r="I414" s="228"/>
      <c r="J414" s="228"/>
      <c r="K414" s="660"/>
      <c r="L414" s="228"/>
      <c r="M414" s="228"/>
      <c r="N414" s="228"/>
    </row>
    <row r="415">
      <c r="A415" s="228"/>
      <c r="B415" s="228"/>
      <c r="C415" s="228"/>
      <c r="D415" s="310"/>
      <c r="E415" s="311"/>
      <c r="F415" s="228"/>
      <c r="G415" s="228"/>
      <c r="H415" s="228"/>
      <c r="I415" s="228"/>
      <c r="J415" s="228"/>
      <c r="K415" s="660"/>
      <c r="L415" s="228"/>
      <c r="M415" s="228"/>
      <c r="N415" s="228"/>
    </row>
    <row r="416">
      <c r="A416" s="228"/>
      <c r="B416" s="228"/>
      <c r="C416" s="228"/>
      <c r="D416" s="310"/>
      <c r="E416" s="311"/>
      <c r="F416" s="228"/>
      <c r="G416" s="228"/>
      <c r="H416" s="228"/>
      <c r="I416" s="228"/>
      <c r="J416" s="228"/>
      <c r="K416" s="660"/>
      <c r="L416" s="228"/>
      <c r="M416" s="228"/>
      <c r="N416" s="228"/>
    </row>
    <row r="417">
      <c r="A417" s="228"/>
      <c r="B417" s="228"/>
      <c r="C417" s="228"/>
      <c r="D417" s="310"/>
      <c r="E417" s="311"/>
      <c r="F417" s="228"/>
      <c r="G417" s="228"/>
      <c r="H417" s="228"/>
      <c r="I417" s="228"/>
      <c r="J417" s="228"/>
      <c r="K417" s="660"/>
      <c r="L417" s="228"/>
      <c r="M417" s="228"/>
      <c r="N417" s="228"/>
    </row>
    <row r="418">
      <c r="A418" s="228"/>
      <c r="B418" s="228"/>
      <c r="C418" s="228"/>
      <c r="D418" s="310"/>
      <c r="E418" s="311"/>
      <c r="F418" s="228"/>
      <c r="G418" s="228"/>
      <c r="H418" s="228"/>
      <c r="I418" s="228"/>
      <c r="J418" s="228"/>
      <c r="K418" s="660"/>
      <c r="L418" s="228"/>
      <c r="M418" s="228"/>
      <c r="N418" s="228"/>
    </row>
    <row r="419">
      <c r="A419" s="228"/>
      <c r="B419" s="228"/>
      <c r="C419" s="228"/>
      <c r="D419" s="310"/>
      <c r="E419" s="311"/>
      <c r="F419" s="228"/>
      <c r="G419" s="228"/>
      <c r="H419" s="228"/>
      <c r="I419" s="228"/>
      <c r="J419" s="228"/>
      <c r="K419" s="660"/>
      <c r="L419" s="228"/>
      <c r="M419" s="228"/>
      <c r="N419" s="228"/>
    </row>
    <row r="420">
      <c r="A420" s="228"/>
      <c r="B420" s="228"/>
      <c r="C420" s="228"/>
      <c r="D420" s="310"/>
      <c r="E420" s="311"/>
      <c r="F420" s="228"/>
      <c r="G420" s="228"/>
      <c r="H420" s="228"/>
      <c r="I420" s="228"/>
      <c r="J420" s="228"/>
      <c r="K420" s="660"/>
      <c r="L420" s="228"/>
      <c r="M420" s="228"/>
      <c r="N420" s="228"/>
    </row>
    <row r="421">
      <c r="A421" s="228"/>
      <c r="B421" s="228"/>
      <c r="C421" s="228"/>
      <c r="D421" s="310"/>
      <c r="E421" s="311"/>
      <c r="F421" s="228"/>
      <c r="G421" s="228"/>
      <c r="H421" s="228"/>
      <c r="I421" s="228"/>
      <c r="J421" s="228"/>
      <c r="K421" s="660"/>
      <c r="L421" s="228"/>
      <c r="M421" s="228"/>
      <c r="N421" s="228"/>
    </row>
    <row r="422">
      <c r="A422" s="228"/>
      <c r="B422" s="228"/>
      <c r="C422" s="228"/>
      <c r="D422" s="310"/>
      <c r="E422" s="311"/>
      <c r="F422" s="228"/>
      <c r="G422" s="228"/>
      <c r="H422" s="228"/>
      <c r="I422" s="228"/>
      <c r="J422" s="228"/>
      <c r="K422" s="660"/>
      <c r="L422" s="228"/>
      <c r="M422" s="228"/>
      <c r="N422" s="228"/>
    </row>
    <row r="423">
      <c r="A423" s="228"/>
      <c r="B423" s="228"/>
      <c r="C423" s="228"/>
      <c r="D423" s="310"/>
      <c r="E423" s="311"/>
      <c r="F423" s="228"/>
      <c r="G423" s="228"/>
      <c r="H423" s="228"/>
      <c r="I423" s="228"/>
      <c r="J423" s="228"/>
      <c r="K423" s="660"/>
      <c r="L423" s="228"/>
      <c r="M423" s="228"/>
      <c r="N423" s="228"/>
    </row>
    <row r="424">
      <c r="A424" s="228"/>
      <c r="B424" s="228"/>
      <c r="C424" s="228"/>
      <c r="D424" s="310"/>
      <c r="E424" s="311"/>
      <c r="F424" s="228"/>
      <c r="G424" s="228"/>
      <c r="H424" s="228"/>
      <c r="I424" s="228"/>
      <c r="J424" s="228"/>
      <c r="K424" s="660"/>
      <c r="L424" s="228"/>
      <c r="M424" s="228"/>
      <c r="N424" s="228"/>
    </row>
    <row r="425">
      <c r="A425" s="228"/>
      <c r="B425" s="228"/>
      <c r="C425" s="228"/>
      <c r="D425" s="310"/>
      <c r="E425" s="311"/>
      <c r="F425" s="228"/>
      <c r="G425" s="228"/>
      <c r="H425" s="228"/>
      <c r="I425" s="228"/>
      <c r="J425" s="228"/>
      <c r="K425" s="660"/>
      <c r="L425" s="228"/>
      <c r="M425" s="228"/>
      <c r="N425" s="228"/>
    </row>
    <row r="426">
      <c r="A426" s="228"/>
      <c r="B426" s="228"/>
      <c r="C426" s="228"/>
      <c r="D426" s="310"/>
      <c r="E426" s="311"/>
      <c r="F426" s="228"/>
      <c r="G426" s="228"/>
      <c r="H426" s="228"/>
      <c r="I426" s="228"/>
      <c r="J426" s="228"/>
      <c r="K426" s="660"/>
      <c r="L426" s="228"/>
      <c r="M426" s="228"/>
      <c r="N426" s="228"/>
    </row>
    <row r="427">
      <c r="A427" s="228"/>
      <c r="B427" s="228"/>
      <c r="C427" s="228"/>
      <c r="D427" s="310"/>
      <c r="E427" s="311"/>
      <c r="F427" s="228"/>
      <c r="G427" s="228"/>
      <c r="H427" s="228"/>
      <c r="I427" s="228"/>
      <c r="J427" s="228"/>
      <c r="K427" s="660"/>
      <c r="L427" s="228"/>
      <c r="M427" s="228"/>
      <c r="N427" s="228"/>
    </row>
    <row r="428">
      <c r="A428" s="228"/>
      <c r="B428" s="228"/>
      <c r="C428" s="228"/>
      <c r="D428" s="310"/>
      <c r="E428" s="311"/>
      <c r="F428" s="228"/>
      <c r="G428" s="228"/>
      <c r="H428" s="228"/>
      <c r="I428" s="228"/>
      <c r="J428" s="228"/>
      <c r="K428" s="660"/>
      <c r="L428" s="228"/>
      <c r="M428" s="228"/>
      <c r="N428" s="228"/>
    </row>
    <row r="429">
      <c r="A429" s="228"/>
      <c r="B429" s="228"/>
      <c r="C429" s="228"/>
      <c r="D429" s="310"/>
      <c r="E429" s="311"/>
      <c r="F429" s="228"/>
      <c r="G429" s="228"/>
      <c r="H429" s="228"/>
      <c r="I429" s="228"/>
      <c r="J429" s="228"/>
      <c r="K429" s="660"/>
      <c r="L429" s="228"/>
      <c r="M429" s="228"/>
      <c r="N429" s="228"/>
    </row>
    <row r="430">
      <c r="A430" s="228"/>
      <c r="B430" s="228"/>
      <c r="C430" s="228"/>
      <c r="D430" s="310"/>
      <c r="E430" s="311"/>
      <c r="F430" s="228"/>
      <c r="G430" s="228"/>
      <c r="H430" s="228"/>
      <c r="I430" s="228"/>
      <c r="J430" s="228"/>
      <c r="K430" s="660"/>
      <c r="L430" s="228"/>
      <c r="M430" s="228"/>
      <c r="N430" s="228"/>
    </row>
    <row r="431">
      <c r="A431" s="228"/>
      <c r="B431" s="228"/>
      <c r="C431" s="228"/>
      <c r="D431" s="310"/>
      <c r="E431" s="311"/>
      <c r="F431" s="228"/>
      <c r="G431" s="228"/>
      <c r="H431" s="228"/>
      <c r="I431" s="228"/>
      <c r="J431" s="228"/>
      <c r="K431" s="660"/>
      <c r="L431" s="228"/>
      <c r="M431" s="228"/>
      <c r="N431" s="228"/>
    </row>
    <row r="432">
      <c r="A432" s="228"/>
      <c r="B432" s="228"/>
      <c r="C432" s="228"/>
      <c r="D432" s="310"/>
      <c r="E432" s="311"/>
      <c r="F432" s="228"/>
      <c r="G432" s="228"/>
      <c r="H432" s="228"/>
      <c r="I432" s="228"/>
      <c r="J432" s="228"/>
      <c r="K432" s="660"/>
      <c r="L432" s="228"/>
      <c r="M432" s="228"/>
      <c r="N432" s="228"/>
    </row>
    <row r="433">
      <c r="A433" s="228"/>
      <c r="B433" s="228"/>
      <c r="C433" s="228"/>
      <c r="D433" s="310"/>
      <c r="E433" s="311"/>
      <c r="F433" s="228"/>
      <c r="G433" s="228"/>
      <c r="H433" s="228"/>
      <c r="I433" s="228"/>
      <c r="J433" s="228"/>
      <c r="K433" s="660"/>
      <c r="L433" s="228"/>
      <c r="M433" s="228"/>
      <c r="N433" s="228"/>
    </row>
    <row r="434">
      <c r="A434" s="228"/>
      <c r="B434" s="228"/>
      <c r="C434" s="228"/>
      <c r="D434" s="310"/>
      <c r="E434" s="311"/>
      <c r="F434" s="228"/>
      <c r="G434" s="228"/>
      <c r="H434" s="228"/>
      <c r="I434" s="228"/>
      <c r="J434" s="228"/>
      <c r="K434" s="660"/>
      <c r="L434" s="228"/>
      <c r="M434" s="228"/>
      <c r="N434" s="228"/>
    </row>
    <row r="435">
      <c r="A435" s="228"/>
      <c r="B435" s="228"/>
      <c r="C435" s="228"/>
      <c r="D435" s="310"/>
      <c r="E435" s="311"/>
      <c r="F435" s="228"/>
      <c r="G435" s="228"/>
      <c r="H435" s="228"/>
      <c r="I435" s="228"/>
      <c r="J435" s="228"/>
      <c r="K435" s="660"/>
      <c r="L435" s="228"/>
      <c r="M435" s="228"/>
      <c r="N435" s="228"/>
    </row>
    <row r="436">
      <c r="A436" s="228"/>
      <c r="B436" s="228"/>
      <c r="C436" s="228"/>
      <c r="D436" s="310"/>
      <c r="E436" s="311"/>
      <c r="F436" s="228"/>
      <c r="G436" s="228"/>
      <c r="H436" s="228"/>
      <c r="I436" s="228"/>
      <c r="J436" s="228"/>
      <c r="K436" s="660"/>
      <c r="L436" s="228"/>
      <c r="M436" s="228"/>
      <c r="N436" s="228"/>
    </row>
    <row r="437">
      <c r="A437" s="228"/>
      <c r="B437" s="228"/>
      <c r="C437" s="228"/>
      <c r="D437" s="310"/>
      <c r="E437" s="311"/>
      <c r="F437" s="228"/>
      <c r="G437" s="228"/>
      <c r="H437" s="228"/>
      <c r="I437" s="228"/>
      <c r="J437" s="228"/>
      <c r="K437" s="660"/>
      <c r="L437" s="228"/>
      <c r="M437" s="228"/>
      <c r="N437" s="228"/>
    </row>
    <row r="438">
      <c r="A438" s="228"/>
      <c r="B438" s="228"/>
      <c r="C438" s="228"/>
      <c r="D438" s="310"/>
      <c r="E438" s="311"/>
      <c r="F438" s="228"/>
      <c r="G438" s="228"/>
      <c r="H438" s="228"/>
      <c r="I438" s="228"/>
      <c r="J438" s="228"/>
      <c r="K438" s="660"/>
      <c r="L438" s="228"/>
      <c r="M438" s="228"/>
      <c r="N438" s="228"/>
    </row>
    <row r="439">
      <c r="A439" s="228"/>
      <c r="B439" s="228"/>
      <c r="C439" s="228"/>
      <c r="D439" s="310"/>
      <c r="E439" s="311"/>
      <c r="F439" s="228"/>
      <c r="G439" s="228"/>
      <c r="H439" s="228"/>
      <c r="I439" s="228"/>
      <c r="J439" s="228"/>
      <c r="K439" s="660"/>
      <c r="L439" s="228"/>
      <c r="M439" s="228"/>
      <c r="N439" s="228"/>
    </row>
    <row r="440">
      <c r="A440" s="228"/>
      <c r="B440" s="228"/>
      <c r="C440" s="228"/>
      <c r="D440" s="310"/>
      <c r="E440" s="311"/>
      <c r="F440" s="228"/>
      <c r="G440" s="228"/>
      <c r="H440" s="228"/>
      <c r="I440" s="228"/>
      <c r="J440" s="228"/>
      <c r="K440" s="660"/>
      <c r="L440" s="228"/>
      <c r="M440" s="228"/>
      <c r="N440" s="228"/>
    </row>
    <row r="441">
      <c r="A441" s="228"/>
      <c r="B441" s="228"/>
      <c r="C441" s="228"/>
      <c r="D441" s="310"/>
      <c r="E441" s="311"/>
      <c r="F441" s="228"/>
      <c r="G441" s="228"/>
      <c r="H441" s="228"/>
      <c r="I441" s="228"/>
      <c r="J441" s="228"/>
      <c r="K441" s="660"/>
      <c r="L441" s="228"/>
      <c r="M441" s="228"/>
      <c r="N441" s="228"/>
    </row>
    <row r="442">
      <c r="A442" s="228"/>
      <c r="B442" s="228"/>
      <c r="C442" s="228"/>
      <c r="D442" s="310"/>
      <c r="E442" s="311"/>
      <c r="F442" s="228"/>
      <c r="G442" s="228"/>
      <c r="H442" s="228"/>
      <c r="I442" s="228"/>
      <c r="J442" s="228"/>
      <c r="K442" s="660"/>
      <c r="L442" s="228"/>
      <c r="M442" s="228"/>
      <c r="N442" s="228"/>
    </row>
    <row r="443">
      <c r="A443" s="228"/>
      <c r="B443" s="228"/>
      <c r="C443" s="228"/>
      <c r="D443" s="310"/>
      <c r="E443" s="311"/>
      <c r="F443" s="228"/>
      <c r="G443" s="228"/>
      <c r="H443" s="228"/>
      <c r="I443" s="228"/>
      <c r="J443" s="228"/>
      <c r="K443" s="660"/>
      <c r="L443" s="228"/>
      <c r="M443" s="228"/>
      <c r="N443" s="228"/>
    </row>
    <row r="444">
      <c r="A444" s="228"/>
      <c r="B444" s="228"/>
      <c r="C444" s="228"/>
      <c r="D444" s="310"/>
      <c r="E444" s="311"/>
      <c r="F444" s="228"/>
      <c r="G444" s="228"/>
      <c r="H444" s="228"/>
      <c r="I444" s="228"/>
      <c r="J444" s="228"/>
      <c r="K444" s="660"/>
      <c r="L444" s="228"/>
      <c r="M444" s="228"/>
      <c r="N444" s="228"/>
    </row>
    <row r="445">
      <c r="A445" s="228"/>
      <c r="B445" s="228"/>
      <c r="C445" s="228"/>
      <c r="D445" s="310"/>
      <c r="E445" s="311"/>
      <c r="F445" s="228"/>
      <c r="G445" s="228"/>
      <c r="H445" s="228"/>
      <c r="I445" s="228"/>
      <c r="J445" s="228"/>
      <c r="K445" s="660"/>
      <c r="L445" s="228"/>
      <c r="M445" s="228"/>
      <c r="N445" s="228"/>
    </row>
    <row r="446">
      <c r="A446" s="228"/>
      <c r="B446" s="228"/>
      <c r="C446" s="228"/>
      <c r="D446" s="310"/>
      <c r="E446" s="311"/>
      <c r="F446" s="228"/>
      <c r="G446" s="228"/>
      <c r="H446" s="228"/>
      <c r="I446" s="228"/>
      <c r="J446" s="228"/>
      <c r="K446" s="660"/>
      <c r="L446" s="228"/>
      <c r="M446" s="228"/>
      <c r="N446" s="228"/>
    </row>
    <row r="447">
      <c r="A447" s="228"/>
      <c r="B447" s="228"/>
      <c r="C447" s="228"/>
      <c r="D447" s="310"/>
      <c r="E447" s="311"/>
      <c r="F447" s="228"/>
      <c r="G447" s="228"/>
      <c r="H447" s="228"/>
      <c r="I447" s="228"/>
      <c r="J447" s="228"/>
      <c r="K447" s="660"/>
      <c r="L447" s="228"/>
      <c r="M447" s="228"/>
      <c r="N447" s="228"/>
    </row>
    <row r="448">
      <c r="A448" s="228"/>
      <c r="B448" s="228"/>
      <c r="C448" s="228"/>
      <c r="D448" s="310"/>
      <c r="E448" s="311"/>
      <c r="F448" s="228"/>
      <c r="G448" s="228"/>
      <c r="H448" s="228"/>
      <c r="I448" s="228"/>
      <c r="J448" s="228"/>
      <c r="K448" s="660"/>
      <c r="L448" s="228"/>
      <c r="M448" s="228"/>
      <c r="N448" s="228"/>
    </row>
    <row r="449">
      <c r="A449" s="228"/>
      <c r="B449" s="228"/>
      <c r="C449" s="228"/>
      <c r="D449" s="310"/>
      <c r="E449" s="311"/>
      <c r="F449" s="228"/>
      <c r="G449" s="228"/>
      <c r="H449" s="228"/>
      <c r="I449" s="228"/>
      <c r="J449" s="228"/>
      <c r="K449" s="660"/>
      <c r="L449" s="228"/>
      <c r="M449" s="228"/>
      <c r="N449" s="228"/>
    </row>
    <row r="450">
      <c r="A450" s="228"/>
      <c r="B450" s="228"/>
      <c r="C450" s="228"/>
      <c r="D450" s="310"/>
      <c r="E450" s="311"/>
      <c r="F450" s="228"/>
      <c r="G450" s="228"/>
      <c r="H450" s="228"/>
      <c r="I450" s="228"/>
      <c r="J450" s="228"/>
      <c r="K450" s="660"/>
      <c r="L450" s="228"/>
      <c r="M450" s="228"/>
      <c r="N450" s="228"/>
    </row>
    <row r="451">
      <c r="A451" s="228"/>
      <c r="B451" s="228"/>
      <c r="C451" s="228"/>
      <c r="D451" s="310"/>
      <c r="E451" s="311"/>
      <c r="F451" s="228"/>
      <c r="G451" s="228"/>
      <c r="H451" s="228"/>
      <c r="I451" s="228"/>
      <c r="J451" s="228"/>
      <c r="K451" s="660"/>
      <c r="L451" s="228"/>
      <c r="M451" s="228"/>
      <c r="N451" s="228"/>
    </row>
    <row r="452">
      <c r="A452" s="228"/>
      <c r="B452" s="228"/>
      <c r="C452" s="228"/>
      <c r="D452" s="310"/>
      <c r="E452" s="311"/>
      <c r="F452" s="228"/>
      <c r="G452" s="228"/>
      <c r="H452" s="228"/>
      <c r="I452" s="228"/>
      <c r="J452" s="228"/>
      <c r="K452" s="660"/>
      <c r="L452" s="228"/>
      <c r="M452" s="228"/>
      <c r="N452" s="228"/>
    </row>
    <row r="453">
      <c r="A453" s="228"/>
      <c r="B453" s="228"/>
      <c r="C453" s="228"/>
      <c r="D453" s="310"/>
      <c r="E453" s="311"/>
      <c r="F453" s="228"/>
      <c r="G453" s="228"/>
      <c r="H453" s="228"/>
      <c r="I453" s="228"/>
      <c r="J453" s="228"/>
      <c r="K453" s="660"/>
      <c r="L453" s="228"/>
      <c r="M453" s="228"/>
      <c r="N453" s="228"/>
    </row>
    <row r="454">
      <c r="A454" s="228"/>
      <c r="B454" s="228"/>
      <c r="C454" s="228"/>
      <c r="D454" s="310"/>
      <c r="E454" s="311"/>
      <c r="F454" s="228"/>
      <c r="G454" s="228"/>
      <c r="H454" s="228"/>
      <c r="I454" s="228"/>
      <c r="J454" s="228"/>
      <c r="K454" s="660"/>
      <c r="L454" s="228"/>
      <c r="M454" s="228"/>
      <c r="N454" s="228"/>
    </row>
    <row r="455">
      <c r="A455" s="228"/>
      <c r="B455" s="228"/>
      <c r="C455" s="228"/>
      <c r="D455" s="310"/>
      <c r="E455" s="311"/>
      <c r="F455" s="228"/>
      <c r="G455" s="228"/>
      <c r="H455" s="228"/>
      <c r="I455" s="228"/>
      <c r="J455" s="228"/>
      <c r="K455" s="660"/>
      <c r="L455" s="228"/>
      <c r="M455" s="228"/>
      <c r="N455" s="228"/>
    </row>
    <row r="456">
      <c r="A456" s="228"/>
      <c r="B456" s="228"/>
      <c r="C456" s="228"/>
      <c r="D456" s="310"/>
      <c r="E456" s="311"/>
      <c r="F456" s="228"/>
      <c r="G456" s="228"/>
      <c r="H456" s="228"/>
      <c r="I456" s="228"/>
      <c r="J456" s="228"/>
      <c r="K456" s="660"/>
      <c r="L456" s="228"/>
      <c r="M456" s="228"/>
      <c r="N456" s="228"/>
    </row>
    <row r="457">
      <c r="A457" s="228"/>
      <c r="B457" s="228"/>
      <c r="C457" s="228"/>
      <c r="D457" s="310"/>
      <c r="E457" s="311"/>
      <c r="F457" s="228"/>
      <c r="G457" s="228"/>
      <c r="H457" s="228"/>
      <c r="I457" s="228"/>
      <c r="J457" s="228"/>
      <c r="K457" s="660"/>
      <c r="L457" s="228"/>
      <c r="M457" s="228"/>
      <c r="N457" s="228"/>
    </row>
    <row r="458">
      <c r="A458" s="228"/>
      <c r="B458" s="228"/>
      <c r="C458" s="228"/>
      <c r="D458" s="310"/>
      <c r="E458" s="311"/>
      <c r="F458" s="228"/>
      <c r="G458" s="228"/>
      <c r="H458" s="228"/>
      <c r="I458" s="228"/>
      <c r="J458" s="228"/>
      <c r="K458" s="660"/>
      <c r="L458" s="228"/>
      <c r="M458" s="228"/>
      <c r="N458" s="228"/>
    </row>
    <row r="459">
      <c r="A459" s="228"/>
      <c r="B459" s="228"/>
      <c r="C459" s="228"/>
      <c r="D459" s="310"/>
      <c r="E459" s="311"/>
      <c r="F459" s="228"/>
      <c r="G459" s="228"/>
      <c r="H459" s="228"/>
      <c r="I459" s="228"/>
      <c r="J459" s="228"/>
      <c r="K459" s="660"/>
      <c r="L459" s="228"/>
      <c r="M459" s="228"/>
      <c r="N459" s="228"/>
    </row>
    <row r="460">
      <c r="A460" s="228"/>
      <c r="B460" s="228"/>
      <c r="C460" s="228"/>
      <c r="D460" s="310"/>
      <c r="E460" s="311"/>
      <c r="F460" s="228"/>
      <c r="G460" s="228"/>
      <c r="H460" s="228"/>
      <c r="I460" s="228"/>
      <c r="J460" s="228"/>
      <c r="K460" s="660"/>
      <c r="L460" s="228"/>
      <c r="M460" s="228"/>
      <c r="N460" s="228"/>
    </row>
    <row r="461">
      <c r="A461" s="228"/>
      <c r="B461" s="228"/>
      <c r="C461" s="228"/>
      <c r="D461" s="310"/>
      <c r="E461" s="311"/>
      <c r="F461" s="228"/>
      <c r="G461" s="228"/>
      <c r="H461" s="228"/>
      <c r="I461" s="228"/>
      <c r="J461" s="228"/>
      <c r="K461" s="660"/>
      <c r="L461" s="228"/>
      <c r="M461" s="228"/>
      <c r="N461" s="228"/>
    </row>
    <row r="462">
      <c r="A462" s="228"/>
      <c r="B462" s="228"/>
      <c r="C462" s="228"/>
      <c r="D462" s="310"/>
      <c r="E462" s="311"/>
      <c r="F462" s="228"/>
      <c r="G462" s="228"/>
      <c r="H462" s="228"/>
      <c r="I462" s="228"/>
      <c r="J462" s="228"/>
      <c r="K462" s="660"/>
      <c r="L462" s="228"/>
      <c r="M462" s="228"/>
      <c r="N462" s="228"/>
    </row>
    <row r="463">
      <c r="A463" s="228"/>
      <c r="B463" s="228"/>
      <c r="C463" s="228"/>
      <c r="D463" s="310"/>
      <c r="E463" s="311"/>
      <c r="F463" s="228"/>
      <c r="G463" s="228"/>
      <c r="H463" s="228"/>
      <c r="I463" s="228"/>
      <c r="J463" s="228"/>
      <c r="K463" s="660"/>
      <c r="L463" s="228"/>
      <c r="M463" s="228"/>
      <c r="N463" s="228"/>
    </row>
    <row r="464">
      <c r="A464" s="228"/>
      <c r="B464" s="228"/>
      <c r="C464" s="228"/>
      <c r="D464" s="310"/>
      <c r="E464" s="311"/>
      <c r="F464" s="228"/>
      <c r="G464" s="228"/>
      <c r="H464" s="228"/>
      <c r="I464" s="228"/>
      <c r="J464" s="228"/>
      <c r="K464" s="660"/>
      <c r="L464" s="228"/>
      <c r="M464" s="228"/>
      <c r="N464" s="228"/>
    </row>
    <row r="465">
      <c r="A465" s="228"/>
      <c r="B465" s="228"/>
      <c r="C465" s="228"/>
      <c r="D465" s="310"/>
      <c r="E465" s="311"/>
      <c r="F465" s="228"/>
      <c r="G465" s="228"/>
      <c r="H465" s="228"/>
      <c r="I465" s="228"/>
      <c r="J465" s="228"/>
      <c r="K465" s="660"/>
      <c r="L465" s="228"/>
      <c r="M465" s="228"/>
      <c r="N465" s="228"/>
    </row>
    <row r="466">
      <c r="A466" s="228"/>
      <c r="B466" s="228"/>
      <c r="C466" s="228"/>
      <c r="D466" s="310"/>
      <c r="E466" s="311"/>
      <c r="F466" s="228"/>
      <c r="G466" s="228"/>
      <c r="H466" s="228"/>
      <c r="I466" s="228"/>
      <c r="J466" s="228"/>
      <c r="K466" s="660"/>
      <c r="L466" s="228"/>
      <c r="M466" s="228"/>
      <c r="N466" s="228"/>
    </row>
    <row r="467">
      <c r="A467" s="228"/>
      <c r="B467" s="228"/>
      <c r="C467" s="228"/>
      <c r="D467" s="310"/>
      <c r="E467" s="311"/>
      <c r="F467" s="228"/>
      <c r="G467" s="228"/>
      <c r="H467" s="228"/>
      <c r="I467" s="228"/>
      <c r="J467" s="228"/>
      <c r="K467" s="660"/>
      <c r="L467" s="228"/>
      <c r="M467" s="228"/>
      <c r="N467" s="228"/>
    </row>
    <row r="468">
      <c r="A468" s="228"/>
      <c r="B468" s="228"/>
      <c r="C468" s="228"/>
      <c r="D468" s="310"/>
      <c r="E468" s="311"/>
      <c r="F468" s="228"/>
      <c r="G468" s="228"/>
      <c r="H468" s="228"/>
      <c r="I468" s="228"/>
      <c r="J468" s="228"/>
      <c r="K468" s="660"/>
      <c r="L468" s="228"/>
      <c r="M468" s="228"/>
      <c r="N468" s="228"/>
    </row>
    <row r="469">
      <c r="A469" s="228"/>
      <c r="B469" s="228"/>
      <c r="C469" s="228"/>
      <c r="D469" s="310"/>
      <c r="E469" s="311"/>
      <c r="F469" s="228"/>
      <c r="G469" s="228"/>
      <c r="H469" s="228"/>
      <c r="I469" s="228"/>
      <c r="J469" s="228"/>
      <c r="K469" s="660"/>
      <c r="L469" s="228"/>
      <c r="M469" s="228"/>
      <c r="N469" s="228"/>
    </row>
    <row r="470">
      <c r="A470" s="228"/>
      <c r="B470" s="228"/>
      <c r="C470" s="228"/>
      <c r="D470" s="310"/>
      <c r="E470" s="311"/>
      <c r="F470" s="228"/>
      <c r="G470" s="228"/>
      <c r="H470" s="228"/>
      <c r="I470" s="228"/>
      <c r="J470" s="228"/>
      <c r="K470" s="660"/>
      <c r="L470" s="228"/>
      <c r="M470" s="228"/>
      <c r="N470" s="228"/>
    </row>
    <row r="471">
      <c r="A471" s="228"/>
      <c r="B471" s="228"/>
      <c r="C471" s="228"/>
      <c r="D471" s="310"/>
      <c r="E471" s="311"/>
      <c r="F471" s="228"/>
      <c r="G471" s="228"/>
      <c r="H471" s="228"/>
      <c r="I471" s="228"/>
      <c r="J471" s="228"/>
      <c r="K471" s="660"/>
      <c r="L471" s="228"/>
      <c r="M471" s="228"/>
      <c r="N471" s="228"/>
    </row>
    <row r="472">
      <c r="A472" s="228"/>
      <c r="B472" s="228"/>
      <c r="C472" s="228"/>
      <c r="D472" s="310"/>
      <c r="E472" s="311"/>
      <c r="F472" s="228"/>
      <c r="G472" s="228"/>
      <c r="H472" s="228"/>
      <c r="I472" s="228"/>
      <c r="J472" s="228"/>
      <c r="K472" s="660"/>
      <c r="L472" s="228"/>
      <c r="M472" s="228"/>
      <c r="N472" s="228"/>
    </row>
    <row r="473">
      <c r="A473" s="228"/>
      <c r="B473" s="228"/>
      <c r="C473" s="228"/>
      <c r="D473" s="310"/>
      <c r="E473" s="311"/>
      <c r="F473" s="228"/>
      <c r="G473" s="228"/>
      <c r="H473" s="228"/>
      <c r="I473" s="228"/>
      <c r="J473" s="228"/>
      <c r="K473" s="660"/>
      <c r="L473" s="228"/>
      <c r="M473" s="228"/>
      <c r="N473" s="228"/>
    </row>
    <row r="474">
      <c r="A474" s="228"/>
      <c r="B474" s="228"/>
      <c r="C474" s="228"/>
      <c r="D474" s="310"/>
      <c r="E474" s="311"/>
      <c r="F474" s="228"/>
      <c r="G474" s="228"/>
      <c r="H474" s="228"/>
      <c r="I474" s="228"/>
      <c r="J474" s="228"/>
      <c r="K474" s="660"/>
      <c r="L474" s="228"/>
      <c r="M474" s="228"/>
      <c r="N474" s="228"/>
    </row>
    <row r="475">
      <c r="A475" s="228"/>
      <c r="B475" s="228"/>
      <c r="C475" s="228"/>
      <c r="D475" s="310"/>
      <c r="E475" s="311"/>
      <c r="F475" s="228"/>
      <c r="G475" s="228"/>
      <c r="H475" s="228"/>
      <c r="I475" s="228"/>
      <c r="J475" s="228"/>
      <c r="K475" s="660"/>
      <c r="L475" s="228"/>
      <c r="M475" s="228"/>
      <c r="N475" s="228"/>
    </row>
    <row r="476">
      <c r="A476" s="228"/>
      <c r="B476" s="228"/>
      <c r="C476" s="228"/>
      <c r="D476" s="310"/>
      <c r="E476" s="311"/>
      <c r="F476" s="228"/>
      <c r="G476" s="228"/>
      <c r="H476" s="228"/>
      <c r="I476" s="228"/>
      <c r="J476" s="228"/>
      <c r="K476" s="660"/>
      <c r="L476" s="228"/>
      <c r="M476" s="228"/>
      <c r="N476" s="228"/>
    </row>
    <row r="477">
      <c r="A477" s="228"/>
      <c r="B477" s="228"/>
      <c r="C477" s="228"/>
      <c r="D477" s="310"/>
      <c r="E477" s="311"/>
      <c r="F477" s="228"/>
      <c r="G477" s="228"/>
      <c r="H477" s="228"/>
      <c r="I477" s="228"/>
      <c r="J477" s="228"/>
      <c r="K477" s="660"/>
      <c r="L477" s="228"/>
      <c r="M477" s="228"/>
      <c r="N477" s="228"/>
    </row>
    <row r="478">
      <c r="A478" s="228"/>
      <c r="B478" s="228"/>
      <c r="C478" s="228"/>
      <c r="D478" s="310"/>
      <c r="E478" s="311"/>
      <c r="F478" s="228"/>
      <c r="G478" s="228"/>
      <c r="H478" s="228"/>
      <c r="I478" s="228"/>
      <c r="J478" s="228"/>
      <c r="K478" s="660"/>
      <c r="L478" s="228"/>
      <c r="M478" s="228"/>
      <c r="N478" s="228"/>
    </row>
    <row r="479">
      <c r="A479" s="228"/>
      <c r="B479" s="228"/>
      <c r="C479" s="228"/>
      <c r="D479" s="310"/>
      <c r="E479" s="311"/>
      <c r="F479" s="228"/>
      <c r="G479" s="228"/>
      <c r="H479" s="228"/>
      <c r="I479" s="228"/>
      <c r="J479" s="228"/>
      <c r="K479" s="660"/>
      <c r="L479" s="228"/>
      <c r="M479" s="228"/>
      <c r="N479" s="228"/>
    </row>
    <row r="480">
      <c r="A480" s="228"/>
      <c r="B480" s="228"/>
      <c r="C480" s="228"/>
      <c r="D480" s="310"/>
      <c r="E480" s="311"/>
      <c r="F480" s="228"/>
      <c r="G480" s="228"/>
      <c r="H480" s="228"/>
      <c r="I480" s="228"/>
      <c r="J480" s="228"/>
      <c r="K480" s="660"/>
      <c r="L480" s="228"/>
      <c r="M480" s="228"/>
      <c r="N480" s="228"/>
    </row>
    <row r="481">
      <c r="A481" s="228"/>
      <c r="B481" s="228"/>
      <c r="C481" s="228"/>
      <c r="D481" s="310"/>
      <c r="E481" s="311"/>
      <c r="F481" s="228"/>
      <c r="G481" s="228"/>
      <c r="H481" s="228"/>
      <c r="I481" s="228"/>
      <c r="J481" s="228"/>
      <c r="K481" s="660"/>
      <c r="L481" s="228"/>
      <c r="M481" s="228"/>
      <c r="N481" s="228"/>
    </row>
    <row r="482">
      <c r="A482" s="228"/>
      <c r="B482" s="228"/>
      <c r="C482" s="228"/>
      <c r="D482" s="310"/>
      <c r="E482" s="311"/>
      <c r="F482" s="228"/>
      <c r="G482" s="228"/>
      <c r="H482" s="228"/>
      <c r="I482" s="228"/>
      <c r="J482" s="228"/>
      <c r="K482" s="660"/>
      <c r="L482" s="228"/>
      <c r="M482" s="228"/>
      <c r="N482" s="228"/>
    </row>
    <row r="483">
      <c r="A483" s="228"/>
      <c r="B483" s="228"/>
      <c r="C483" s="228"/>
      <c r="D483" s="310"/>
      <c r="E483" s="311"/>
      <c r="F483" s="228"/>
      <c r="G483" s="228"/>
      <c r="H483" s="228"/>
      <c r="I483" s="228"/>
      <c r="J483" s="228"/>
      <c r="K483" s="660"/>
      <c r="L483" s="228"/>
      <c r="M483" s="228"/>
      <c r="N483" s="228"/>
    </row>
    <row r="484">
      <c r="A484" s="228"/>
      <c r="B484" s="228"/>
      <c r="C484" s="228"/>
      <c r="D484" s="310"/>
      <c r="E484" s="311"/>
      <c r="F484" s="228"/>
      <c r="G484" s="228"/>
      <c r="H484" s="228"/>
      <c r="I484" s="228"/>
      <c r="J484" s="228"/>
      <c r="K484" s="660"/>
      <c r="L484" s="228"/>
      <c r="M484" s="228"/>
      <c r="N484" s="228"/>
    </row>
    <row r="485">
      <c r="A485" s="228"/>
      <c r="B485" s="228"/>
      <c r="C485" s="228"/>
      <c r="D485" s="310"/>
      <c r="E485" s="311"/>
      <c r="F485" s="228"/>
      <c r="G485" s="228"/>
      <c r="H485" s="228"/>
      <c r="I485" s="228"/>
      <c r="J485" s="228"/>
      <c r="K485" s="660"/>
      <c r="L485" s="228"/>
      <c r="M485" s="228"/>
      <c r="N485" s="228"/>
    </row>
    <row r="486">
      <c r="A486" s="228"/>
      <c r="B486" s="228"/>
      <c r="C486" s="228"/>
      <c r="D486" s="310"/>
      <c r="E486" s="311"/>
      <c r="F486" s="228"/>
      <c r="G486" s="228"/>
      <c r="H486" s="228"/>
      <c r="I486" s="228"/>
      <c r="J486" s="228"/>
      <c r="K486" s="660"/>
      <c r="L486" s="228"/>
      <c r="M486" s="228"/>
      <c r="N486" s="228"/>
    </row>
    <row r="487">
      <c r="A487" s="228"/>
      <c r="B487" s="228"/>
      <c r="C487" s="228"/>
      <c r="D487" s="310"/>
      <c r="E487" s="311"/>
      <c r="F487" s="228"/>
      <c r="G487" s="228"/>
      <c r="H487" s="228"/>
      <c r="I487" s="228"/>
      <c r="J487" s="228"/>
      <c r="K487" s="660"/>
      <c r="L487" s="228"/>
      <c r="M487" s="228"/>
      <c r="N487" s="228"/>
    </row>
    <row r="488">
      <c r="A488" s="228"/>
      <c r="B488" s="228"/>
      <c r="C488" s="228"/>
      <c r="D488" s="310"/>
      <c r="E488" s="311"/>
      <c r="F488" s="228"/>
      <c r="G488" s="228"/>
      <c r="H488" s="228"/>
      <c r="I488" s="228"/>
      <c r="J488" s="228"/>
      <c r="K488" s="660"/>
      <c r="L488" s="228"/>
      <c r="M488" s="228"/>
      <c r="N488" s="228"/>
    </row>
    <row r="489">
      <c r="A489" s="228"/>
      <c r="B489" s="228"/>
      <c r="C489" s="228"/>
      <c r="D489" s="310"/>
      <c r="E489" s="311"/>
      <c r="F489" s="228"/>
      <c r="G489" s="228"/>
      <c r="H489" s="228"/>
      <c r="I489" s="228"/>
      <c r="J489" s="228"/>
      <c r="K489" s="660"/>
      <c r="L489" s="228"/>
      <c r="M489" s="228"/>
      <c r="N489" s="228"/>
    </row>
    <row r="490">
      <c r="A490" s="228"/>
      <c r="B490" s="228"/>
      <c r="C490" s="228"/>
      <c r="D490" s="310"/>
      <c r="E490" s="311"/>
      <c r="F490" s="228"/>
      <c r="G490" s="228"/>
      <c r="H490" s="228"/>
      <c r="I490" s="228"/>
      <c r="J490" s="228"/>
      <c r="K490" s="660"/>
      <c r="L490" s="228"/>
      <c r="M490" s="228"/>
      <c r="N490" s="228"/>
    </row>
    <row r="491">
      <c r="A491" s="228"/>
      <c r="B491" s="228"/>
      <c r="C491" s="228"/>
      <c r="D491" s="310"/>
      <c r="E491" s="311"/>
      <c r="F491" s="228"/>
      <c r="G491" s="228"/>
      <c r="H491" s="228"/>
      <c r="I491" s="228"/>
      <c r="J491" s="228"/>
      <c r="K491" s="660"/>
      <c r="L491" s="228"/>
      <c r="M491" s="228"/>
      <c r="N491" s="228"/>
    </row>
    <row r="492">
      <c r="A492" s="228"/>
      <c r="B492" s="228"/>
      <c r="C492" s="228"/>
      <c r="D492" s="310"/>
      <c r="E492" s="311"/>
      <c r="F492" s="228"/>
      <c r="G492" s="228"/>
      <c r="H492" s="228"/>
      <c r="I492" s="228"/>
      <c r="J492" s="228"/>
      <c r="K492" s="660"/>
      <c r="L492" s="228"/>
      <c r="M492" s="228"/>
      <c r="N492" s="228"/>
    </row>
    <row r="493">
      <c r="A493" s="228"/>
      <c r="B493" s="228"/>
      <c r="C493" s="228"/>
      <c r="D493" s="310"/>
      <c r="E493" s="311"/>
      <c r="F493" s="228"/>
      <c r="G493" s="228"/>
      <c r="H493" s="228"/>
      <c r="I493" s="228"/>
      <c r="J493" s="228"/>
      <c r="K493" s="660"/>
      <c r="L493" s="228"/>
      <c r="M493" s="228"/>
      <c r="N493" s="228"/>
    </row>
    <row r="494">
      <c r="A494" s="228"/>
      <c r="B494" s="228"/>
      <c r="C494" s="228"/>
      <c r="D494" s="310"/>
      <c r="E494" s="311"/>
      <c r="F494" s="228"/>
      <c r="G494" s="228"/>
      <c r="H494" s="228"/>
      <c r="I494" s="228"/>
      <c r="J494" s="228"/>
      <c r="K494" s="660"/>
      <c r="L494" s="228"/>
      <c r="M494" s="228"/>
      <c r="N494" s="228"/>
    </row>
    <row r="495">
      <c r="A495" s="228"/>
      <c r="B495" s="228"/>
      <c r="C495" s="228"/>
      <c r="D495" s="310"/>
      <c r="E495" s="311"/>
      <c r="F495" s="228"/>
      <c r="G495" s="228"/>
      <c r="H495" s="228"/>
      <c r="I495" s="228"/>
      <c r="J495" s="228"/>
      <c r="K495" s="660"/>
      <c r="L495" s="228"/>
      <c r="M495" s="228"/>
      <c r="N495" s="228"/>
    </row>
    <row r="496">
      <c r="A496" s="228"/>
      <c r="B496" s="228"/>
      <c r="C496" s="228"/>
      <c r="D496" s="310"/>
      <c r="E496" s="311"/>
      <c r="F496" s="228"/>
      <c r="G496" s="228"/>
      <c r="H496" s="228"/>
      <c r="I496" s="228"/>
      <c r="J496" s="228"/>
      <c r="K496" s="660"/>
      <c r="L496" s="228"/>
      <c r="M496" s="228"/>
      <c r="N496" s="228"/>
    </row>
    <row r="497">
      <c r="A497" s="228"/>
      <c r="B497" s="228"/>
      <c r="C497" s="228"/>
      <c r="D497" s="310"/>
      <c r="E497" s="311"/>
      <c r="F497" s="228"/>
      <c r="G497" s="228"/>
      <c r="H497" s="228"/>
      <c r="I497" s="228"/>
      <c r="J497" s="228"/>
      <c r="K497" s="660"/>
      <c r="L497" s="228"/>
      <c r="M497" s="228"/>
      <c r="N497" s="228"/>
    </row>
    <row r="498">
      <c r="A498" s="228"/>
      <c r="B498" s="228"/>
      <c r="C498" s="228"/>
      <c r="D498" s="310"/>
      <c r="E498" s="311"/>
      <c r="F498" s="228"/>
      <c r="G498" s="228"/>
      <c r="H498" s="228"/>
      <c r="I498" s="228"/>
      <c r="J498" s="228"/>
      <c r="K498" s="660"/>
      <c r="L498" s="228"/>
      <c r="M498" s="228"/>
      <c r="N498" s="228"/>
    </row>
    <row r="499">
      <c r="A499" s="228"/>
      <c r="B499" s="228"/>
      <c r="C499" s="228"/>
      <c r="D499" s="310"/>
      <c r="E499" s="311"/>
      <c r="F499" s="228"/>
      <c r="G499" s="228"/>
      <c r="H499" s="228"/>
      <c r="I499" s="228"/>
      <c r="J499" s="228"/>
      <c r="K499" s="660"/>
      <c r="L499" s="228"/>
      <c r="M499" s="228"/>
      <c r="N499" s="228"/>
    </row>
    <row r="500">
      <c r="A500" s="228"/>
      <c r="B500" s="228"/>
      <c r="C500" s="228"/>
      <c r="D500" s="310"/>
      <c r="E500" s="311"/>
      <c r="F500" s="228"/>
      <c r="G500" s="228"/>
      <c r="H500" s="228"/>
      <c r="I500" s="228"/>
      <c r="J500" s="228"/>
      <c r="K500" s="660"/>
      <c r="L500" s="228"/>
      <c r="M500" s="228"/>
      <c r="N500" s="228"/>
    </row>
    <row r="501">
      <c r="A501" s="228"/>
      <c r="B501" s="228"/>
      <c r="C501" s="228"/>
      <c r="D501" s="310"/>
      <c r="E501" s="311"/>
      <c r="F501" s="228"/>
      <c r="G501" s="228"/>
      <c r="H501" s="228"/>
      <c r="I501" s="228"/>
      <c r="J501" s="228"/>
      <c r="K501" s="660"/>
      <c r="L501" s="228"/>
      <c r="M501" s="228"/>
      <c r="N501" s="228"/>
    </row>
    <row r="502">
      <c r="A502" s="228"/>
      <c r="B502" s="228"/>
      <c r="C502" s="228"/>
      <c r="D502" s="310"/>
      <c r="E502" s="311"/>
      <c r="F502" s="228"/>
      <c r="G502" s="228"/>
      <c r="H502" s="228"/>
      <c r="I502" s="228"/>
      <c r="J502" s="228"/>
      <c r="K502" s="660"/>
      <c r="L502" s="228"/>
      <c r="M502" s="228"/>
      <c r="N502" s="228"/>
    </row>
    <row r="503">
      <c r="A503" s="228"/>
      <c r="B503" s="228"/>
      <c r="C503" s="228"/>
      <c r="D503" s="310"/>
      <c r="E503" s="311"/>
      <c r="F503" s="228"/>
      <c r="G503" s="228"/>
      <c r="H503" s="228"/>
      <c r="I503" s="228"/>
      <c r="J503" s="228"/>
      <c r="K503" s="660"/>
      <c r="L503" s="228"/>
      <c r="M503" s="228"/>
      <c r="N503" s="228"/>
    </row>
    <row r="504">
      <c r="A504" s="228"/>
      <c r="B504" s="228"/>
      <c r="C504" s="228"/>
      <c r="D504" s="310"/>
      <c r="E504" s="311"/>
      <c r="F504" s="228"/>
      <c r="G504" s="228"/>
      <c r="H504" s="228"/>
      <c r="I504" s="228"/>
      <c r="J504" s="228"/>
      <c r="K504" s="660"/>
      <c r="L504" s="228"/>
      <c r="M504" s="228"/>
      <c r="N504" s="228"/>
    </row>
    <row r="505">
      <c r="A505" s="228"/>
      <c r="B505" s="228"/>
      <c r="C505" s="228"/>
      <c r="D505" s="310"/>
      <c r="E505" s="311"/>
      <c r="F505" s="228"/>
      <c r="G505" s="228"/>
      <c r="H505" s="228"/>
      <c r="I505" s="228"/>
      <c r="J505" s="228"/>
      <c r="K505" s="660"/>
      <c r="L505" s="228"/>
      <c r="M505" s="228"/>
      <c r="N505" s="228"/>
    </row>
    <row r="506">
      <c r="A506" s="228"/>
      <c r="B506" s="228"/>
      <c r="C506" s="228"/>
      <c r="D506" s="310"/>
      <c r="E506" s="311"/>
      <c r="F506" s="228"/>
      <c r="G506" s="228"/>
      <c r="H506" s="228"/>
      <c r="I506" s="228"/>
      <c r="J506" s="228"/>
      <c r="K506" s="660"/>
      <c r="L506" s="228"/>
      <c r="M506" s="228"/>
      <c r="N506" s="228"/>
    </row>
    <row r="507">
      <c r="A507" s="228"/>
      <c r="B507" s="228"/>
      <c r="C507" s="228"/>
      <c r="D507" s="310"/>
      <c r="E507" s="311"/>
      <c r="F507" s="228"/>
      <c r="G507" s="228"/>
      <c r="H507" s="228"/>
      <c r="I507" s="228"/>
      <c r="J507" s="228"/>
      <c r="K507" s="660"/>
      <c r="L507" s="228"/>
      <c r="M507" s="228"/>
      <c r="N507" s="228"/>
    </row>
    <row r="508">
      <c r="A508" s="228"/>
      <c r="B508" s="228"/>
      <c r="C508" s="228"/>
      <c r="D508" s="310"/>
      <c r="E508" s="311"/>
      <c r="F508" s="228"/>
      <c r="G508" s="228"/>
      <c r="H508" s="228"/>
      <c r="I508" s="228"/>
      <c r="J508" s="228"/>
      <c r="K508" s="660"/>
      <c r="L508" s="228"/>
      <c r="M508" s="228"/>
      <c r="N508" s="228"/>
    </row>
    <row r="509">
      <c r="A509" s="228"/>
      <c r="B509" s="228"/>
      <c r="C509" s="228"/>
      <c r="D509" s="310"/>
      <c r="E509" s="311"/>
      <c r="F509" s="228"/>
      <c r="G509" s="228"/>
      <c r="H509" s="228"/>
      <c r="I509" s="228"/>
      <c r="J509" s="228"/>
      <c r="K509" s="660"/>
      <c r="L509" s="228"/>
      <c r="M509" s="228"/>
      <c r="N509" s="228"/>
    </row>
    <row r="510">
      <c r="A510" s="228"/>
      <c r="B510" s="228"/>
      <c r="C510" s="228"/>
      <c r="D510" s="310"/>
      <c r="E510" s="311"/>
      <c r="F510" s="228"/>
      <c r="G510" s="228"/>
      <c r="H510" s="228"/>
      <c r="I510" s="228"/>
      <c r="J510" s="228"/>
      <c r="K510" s="660"/>
      <c r="L510" s="228"/>
      <c r="M510" s="228"/>
      <c r="N510" s="228"/>
    </row>
    <row r="511">
      <c r="A511" s="228"/>
      <c r="B511" s="228"/>
      <c r="C511" s="228"/>
      <c r="D511" s="310"/>
      <c r="E511" s="311"/>
      <c r="F511" s="228"/>
      <c r="G511" s="228"/>
      <c r="H511" s="228"/>
      <c r="I511" s="228"/>
      <c r="J511" s="228"/>
      <c r="K511" s="660"/>
      <c r="L511" s="228"/>
      <c r="M511" s="228"/>
      <c r="N511" s="228"/>
    </row>
    <row r="512">
      <c r="A512" s="228"/>
      <c r="B512" s="228"/>
      <c r="C512" s="228"/>
      <c r="D512" s="310"/>
      <c r="E512" s="311"/>
      <c r="F512" s="228"/>
      <c r="G512" s="228"/>
      <c r="H512" s="228"/>
      <c r="I512" s="228"/>
      <c r="J512" s="228"/>
      <c r="K512" s="660"/>
      <c r="L512" s="228"/>
      <c r="M512" s="228"/>
      <c r="N512" s="228"/>
    </row>
    <row r="513">
      <c r="A513" s="228"/>
      <c r="B513" s="228"/>
      <c r="C513" s="228"/>
      <c r="D513" s="310"/>
      <c r="E513" s="311"/>
      <c r="F513" s="228"/>
      <c r="G513" s="228"/>
      <c r="H513" s="228"/>
      <c r="I513" s="228"/>
      <c r="J513" s="228"/>
      <c r="K513" s="660"/>
      <c r="L513" s="228"/>
      <c r="M513" s="228"/>
      <c r="N513" s="228"/>
    </row>
    <row r="514">
      <c r="A514" s="228"/>
      <c r="B514" s="228"/>
      <c r="C514" s="228"/>
      <c r="D514" s="310"/>
      <c r="E514" s="311"/>
      <c r="F514" s="228"/>
      <c r="G514" s="228"/>
      <c r="H514" s="228"/>
      <c r="I514" s="228"/>
      <c r="J514" s="228"/>
      <c r="K514" s="660"/>
      <c r="L514" s="228"/>
      <c r="M514" s="228"/>
      <c r="N514" s="228"/>
    </row>
    <row r="515">
      <c r="A515" s="228"/>
      <c r="B515" s="228"/>
      <c r="C515" s="228"/>
      <c r="D515" s="310"/>
      <c r="E515" s="311"/>
      <c r="F515" s="228"/>
      <c r="G515" s="228"/>
      <c r="H515" s="228"/>
      <c r="I515" s="228"/>
      <c r="J515" s="228"/>
      <c r="K515" s="660"/>
      <c r="L515" s="228"/>
      <c r="M515" s="228"/>
      <c r="N515" s="228"/>
    </row>
    <row r="516">
      <c r="A516" s="228"/>
      <c r="B516" s="228"/>
      <c r="C516" s="228"/>
      <c r="D516" s="310"/>
      <c r="E516" s="311"/>
      <c r="F516" s="228"/>
      <c r="G516" s="228"/>
      <c r="H516" s="228"/>
      <c r="I516" s="228"/>
      <c r="J516" s="228"/>
      <c r="K516" s="660"/>
      <c r="L516" s="228"/>
      <c r="M516" s="228"/>
      <c r="N516" s="228"/>
    </row>
    <row r="517">
      <c r="A517" s="228"/>
      <c r="B517" s="228"/>
      <c r="C517" s="228"/>
      <c r="D517" s="310"/>
      <c r="E517" s="311"/>
      <c r="F517" s="228"/>
      <c r="G517" s="228"/>
      <c r="H517" s="228"/>
      <c r="I517" s="228"/>
      <c r="J517" s="228"/>
      <c r="K517" s="660"/>
      <c r="L517" s="228"/>
      <c r="M517" s="228"/>
      <c r="N517" s="228"/>
    </row>
    <row r="518">
      <c r="A518" s="228"/>
      <c r="B518" s="228"/>
      <c r="C518" s="228"/>
      <c r="D518" s="310"/>
      <c r="E518" s="311"/>
      <c r="F518" s="228"/>
      <c r="G518" s="228"/>
      <c r="H518" s="228"/>
      <c r="I518" s="228"/>
      <c r="J518" s="228"/>
      <c r="K518" s="660"/>
      <c r="L518" s="228"/>
      <c r="M518" s="228"/>
      <c r="N518" s="228"/>
    </row>
    <row r="519">
      <c r="A519" s="228"/>
      <c r="B519" s="228"/>
      <c r="C519" s="228"/>
      <c r="D519" s="310"/>
      <c r="E519" s="311"/>
      <c r="F519" s="228"/>
      <c r="G519" s="228"/>
      <c r="H519" s="228"/>
      <c r="I519" s="228"/>
      <c r="J519" s="228"/>
      <c r="K519" s="660"/>
      <c r="L519" s="228"/>
      <c r="M519" s="228"/>
      <c r="N519" s="228"/>
    </row>
    <row r="520">
      <c r="A520" s="228"/>
      <c r="B520" s="228"/>
      <c r="C520" s="228"/>
      <c r="D520" s="310"/>
      <c r="E520" s="311"/>
      <c r="F520" s="228"/>
      <c r="G520" s="228"/>
      <c r="H520" s="228"/>
      <c r="I520" s="228"/>
      <c r="J520" s="228"/>
      <c r="K520" s="660"/>
      <c r="L520" s="228"/>
      <c r="M520" s="228"/>
      <c r="N520" s="228"/>
    </row>
    <row r="521">
      <c r="A521" s="228"/>
      <c r="B521" s="228"/>
      <c r="C521" s="228"/>
      <c r="D521" s="310"/>
      <c r="E521" s="311"/>
      <c r="F521" s="228"/>
      <c r="G521" s="228"/>
      <c r="H521" s="228"/>
      <c r="I521" s="228"/>
      <c r="J521" s="228"/>
      <c r="K521" s="660"/>
      <c r="L521" s="228"/>
      <c r="M521" s="228"/>
      <c r="N521" s="228"/>
    </row>
    <row r="522">
      <c r="A522" s="228"/>
      <c r="B522" s="228"/>
      <c r="C522" s="228"/>
      <c r="D522" s="310"/>
      <c r="E522" s="311"/>
      <c r="F522" s="228"/>
      <c r="G522" s="228"/>
      <c r="H522" s="228"/>
      <c r="I522" s="228"/>
      <c r="J522" s="228"/>
      <c r="K522" s="660"/>
      <c r="L522" s="228"/>
      <c r="M522" s="228"/>
      <c r="N522" s="228"/>
    </row>
    <row r="523">
      <c r="A523" s="228"/>
      <c r="B523" s="228"/>
      <c r="C523" s="228"/>
      <c r="D523" s="310"/>
      <c r="E523" s="311"/>
      <c r="F523" s="228"/>
      <c r="G523" s="228"/>
      <c r="H523" s="228"/>
      <c r="I523" s="228"/>
      <c r="J523" s="228"/>
      <c r="K523" s="660"/>
      <c r="L523" s="228"/>
      <c r="M523" s="228"/>
      <c r="N523" s="228"/>
    </row>
    <row r="524">
      <c r="A524" s="228"/>
      <c r="B524" s="228"/>
      <c r="C524" s="228"/>
      <c r="D524" s="310"/>
      <c r="E524" s="311"/>
      <c r="F524" s="228"/>
      <c r="G524" s="228"/>
      <c r="H524" s="228"/>
      <c r="I524" s="228"/>
      <c r="J524" s="228"/>
      <c r="K524" s="660"/>
      <c r="L524" s="228"/>
      <c r="M524" s="228"/>
      <c r="N524" s="228"/>
    </row>
    <row r="525">
      <c r="A525" s="228"/>
      <c r="B525" s="228"/>
      <c r="C525" s="228"/>
      <c r="D525" s="310"/>
      <c r="E525" s="311"/>
      <c r="F525" s="228"/>
      <c r="G525" s="228"/>
      <c r="H525" s="228"/>
      <c r="I525" s="228"/>
      <c r="J525" s="228"/>
      <c r="K525" s="660"/>
      <c r="L525" s="228"/>
      <c r="M525" s="228"/>
      <c r="N525" s="228"/>
    </row>
    <row r="526">
      <c r="A526" s="228"/>
      <c r="B526" s="228"/>
      <c r="C526" s="228"/>
      <c r="D526" s="310"/>
      <c r="E526" s="311"/>
      <c r="F526" s="228"/>
      <c r="G526" s="228"/>
      <c r="H526" s="228"/>
      <c r="I526" s="228"/>
      <c r="J526" s="228"/>
      <c r="K526" s="660"/>
      <c r="L526" s="228"/>
      <c r="M526" s="228"/>
      <c r="N526" s="228"/>
    </row>
    <row r="527">
      <c r="A527" s="228"/>
      <c r="B527" s="228"/>
      <c r="C527" s="228"/>
      <c r="D527" s="310"/>
      <c r="E527" s="311"/>
      <c r="F527" s="228"/>
      <c r="G527" s="228"/>
      <c r="H527" s="228"/>
      <c r="I527" s="228"/>
      <c r="J527" s="228"/>
      <c r="K527" s="660"/>
      <c r="L527" s="228"/>
      <c r="M527" s="228"/>
      <c r="N527" s="228"/>
    </row>
    <row r="528">
      <c r="A528" s="228"/>
      <c r="B528" s="228"/>
      <c r="C528" s="228"/>
      <c r="D528" s="310"/>
      <c r="E528" s="311"/>
      <c r="F528" s="228"/>
      <c r="G528" s="228"/>
      <c r="H528" s="228"/>
      <c r="I528" s="228"/>
      <c r="J528" s="228"/>
      <c r="K528" s="660"/>
      <c r="L528" s="228"/>
      <c r="M528" s="228"/>
      <c r="N528" s="228"/>
    </row>
    <row r="529">
      <c r="A529" s="228"/>
      <c r="B529" s="228"/>
      <c r="C529" s="228"/>
      <c r="D529" s="310"/>
      <c r="E529" s="311"/>
      <c r="F529" s="228"/>
      <c r="G529" s="228"/>
      <c r="H529" s="228"/>
      <c r="I529" s="228"/>
      <c r="J529" s="228"/>
      <c r="K529" s="660"/>
      <c r="L529" s="228"/>
      <c r="M529" s="228"/>
      <c r="N529" s="228"/>
    </row>
    <row r="530">
      <c r="A530" s="228"/>
      <c r="B530" s="228"/>
      <c r="C530" s="228"/>
      <c r="D530" s="310"/>
      <c r="E530" s="311"/>
      <c r="F530" s="228"/>
      <c r="G530" s="228"/>
      <c r="H530" s="228"/>
      <c r="I530" s="228"/>
      <c r="J530" s="228"/>
      <c r="K530" s="660"/>
      <c r="L530" s="228"/>
      <c r="M530" s="228"/>
      <c r="N530" s="228"/>
    </row>
    <row r="531">
      <c r="A531" s="228"/>
      <c r="B531" s="228"/>
      <c r="C531" s="228"/>
      <c r="D531" s="310"/>
      <c r="E531" s="311"/>
      <c r="F531" s="228"/>
      <c r="G531" s="228"/>
      <c r="H531" s="228"/>
      <c r="I531" s="228"/>
      <c r="J531" s="228"/>
      <c r="K531" s="660"/>
      <c r="L531" s="228"/>
      <c r="M531" s="228"/>
      <c r="N531" s="228"/>
    </row>
    <row r="532">
      <c r="A532" s="228"/>
      <c r="B532" s="228"/>
      <c r="C532" s="228"/>
      <c r="D532" s="310"/>
      <c r="E532" s="311"/>
      <c r="F532" s="228"/>
      <c r="G532" s="228"/>
      <c r="H532" s="228"/>
      <c r="I532" s="228"/>
      <c r="J532" s="228"/>
      <c r="K532" s="660"/>
      <c r="L532" s="228"/>
      <c r="M532" s="228"/>
      <c r="N532" s="228"/>
    </row>
    <row r="533">
      <c r="A533" s="228"/>
      <c r="B533" s="228"/>
      <c r="C533" s="228"/>
      <c r="D533" s="310"/>
      <c r="E533" s="311"/>
      <c r="F533" s="228"/>
      <c r="G533" s="228"/>
      <c r="H533" s="228"/>
      <c r="I533" s="228"/>
      <c r="J533" s="228"/>
      <c r="K533" s="660"/>
      <c r="L533" s="228"/>
      <c r="M533" s="228"/>
      <c r="N533" s="228"/>
    </row>
    <row r="534">
      <c r="A534" s="228"/>
      <c r="B534" s="228"/>
      <c r="C534" s="228"/>
      <c r="D534" s="310"/>
      <c r="E534" s="311"/>
      <c r="F534" s="228"/>
      <c r="G534" s="228"/>
      <c r="H534" s="228"/>
      <c r="I534" s="228"/>
      <c r="J534" s="228"/>
      <c r="K534" s="660"/>
      <c r="L534" s="228"/>
      <c r="M534" s="228"/>
      <c r="N534" s="228"/>
    </row>
    <row r="535">
      <c r="A535" s="228"/>
      <c r="B535" s="228"/>
      <c r="C535" s="228"/>
      <c r="D535" s="310"/>
      <c r="E535" s="311"/>
      <c r="F535" s="228"/>
      <c r="G535" s="228"/>
      <c r="H535" s="228"/>
      <c r="I535" s="228"/>
      <c r="J535" s="228"/>
      <c r="K535" s="660"/>
      <c r="L535" s="228"/>
      <c r="M535" s="228"/>
      <c r="N535" s="228"/>
    </row>
    <row r="536">
      <c r="A536" s="228"/>
      <c r="B536" s="228"/>
      <c r="C536" s="228"/>
      <c r="D536" s="310"/>
      <c r="E536" s="311"/>
      <c r="F536" s="228"/>
      <c r="G536" s="228"/>
      <c r="H536" s="228"/>
      <c r="I536" s="228"/>
      <c r="J536" s="228"/>
      <c r="K536" s="660"/>
      <c r="L536" s="228"/>
      <c r="M536" s="228"/>
      <c r="N536" s="228"/>
    </row>
    <row r="537">
      <c r="A537" s="228"/>
      <c r="B537" s="228"/>
      <c r="C537" s="228"/>
      <c r="D537" s="310"/>
      <c r="E537" s="311"/>
      <c r="F537" s="228"/>
      <c r="G537" s="228"/>
      <c r="H537" s="228"/>
      <c r="I537" s="228"/>
      <c r="J537" s="228"/>
      <c r="K537" s="660"/>
      <c r="L537" s="228"/>
      <c r="M537" s="228"/>
      <c r="N537" s="228"/>
    </row>
    <row r="538">
      <c r="A538" s="228"/>
      <c r="B538" s="228"/>
      <c r="C538" s="228"/>
      <c r="D538" s="310"/>
      <c r="E538" s="311"/>
      <c r="F538" s="228"/>
      <c r="G538" s="228"/>
      <c r="H538" s="228"/>
      <c r="I538" s="228"/>
      <c r="J538" s="228"/>
      <c r="K538" s="660"/>
      <c r="L538" s="228"/>
      <c r="M538" s="228"/>
      <c r="N538" s="228"/>
    </row>
    <row r="539">
      <c r="A539" s="228"/>
      <c r="B539" s="228"/>
      <c r="C539" s="228"/>
      <c r="D539" s="310"/>
      <c r="E539" s="311"/>
      <c r="F539" s="228"/>
      <c r="G539" s="228"/>
      <c r="H539" s="228"/>
      <c r="I539" s="228"/>
      <c r="J539" s="228"/>
      <c r="K539" s="660"/>
      <c r="L539" s="228"/>
      <c r="M539" s="228"/>
      <c r="N539" s="228"/>
    </row>
    <row r="540">
      <c r="A540" s="228"/>
      <c r="B540" s="228"/>
      <c r="C540" s="228"/>
      <c r="D540" s="310"/>
      <c r="E540" s="311"/>
      <c r="F540" s="228"/>
      <c r="G540" s="228"/>
      <c r="H540" s="228"/>
      <c r="I540" s="228"/>
      <c r="J540" s="228"/>
      <c r="K540" s="660"/>
      <c r="L540" s="228"/>
      <c r="M540" s="228"/>
      <c r="N540" s="228"/>
    </row>
    <row r="541">
      <c r="A541" s="228"/>
      <c r="B541" s="228"/>
      <c r="C541" s="228"/>
      <c r="D541" s="310"/>
      <c r="E541" s="311"/>
      <c r="F541" s="228"/>
      <c r="G541" s="228"/>
      <c r="H541" s="228"/>
      <c r="I541" s="228"/>
      <c r="J541" s="228"/>
      <c r="K541" s="660"/>
      <c r="L541" s="228"/>
      <c r="M541" s="228"/>
      <c r="N541" s="228"/>
    </row>
    <row r="542">
      <c r="A542" s="228"/>
      <c r="B542" s="228"/>
      <c r="C542" s="228"/>
      <c r="D542" s="310"/>
      <c r="E542" s="311"/>
      <c r="F542" s="228"/>
      <c r="G542" s="228"/>
      <c r="H542" s="228"/>
      <c r="I542" s="228"/>
      <c r="J542" s="228"/>
      <c r="K542" s="660"/>
      <c r="L542" s="228"/>
      <c r="M542" s="228"/>
      <c r="N542" s="228"/>
    </row>
    <row r="543">
      <c r="A543" s="228"/>
      <c r="B543" s="228"/>
      <c r="C543" s="228"/>
      <c r="D543" s="310"/>
      <c r="E543" s="311"/>
      <c r="F543" s="228"/>
      <c r="G543" s="228"/>
      <c r="H543" s="228"/>
      <c r="I543" s="228"/>
      <c r="J543" s="228"/>
      <c r="K543" s="660"/>
      <c r="L543" s="228"/>
      <c r="M543" s="228"/>
      <c r="N543" s="228"/>
    </row>
    <row r="544">
      <c r="A544" s="228"/>
      <c r="B544" s="228"/>
      <c r="C544" s="228"/>
      <c r="D544" s="310"/>
      <c r="E544" s="311"/>
      <c r="F544" s="228"/>
      <c r="G544" s="228"/>
      <c r="H544" s="228"/>
      <c r="I544" s="228"/>
      <c r="J544" s="228"/>
      <c r="K544" s="660"/>
      <c r="L544" s="228"/>
      <c r="M544" s="228"/>
      <c r="N544" s="228"/>
    </row>
    <row r="545">
      <c r="A545" s="228"/>
      <c r="B545" s="228"/>
      <c r="C545" s="228"/>
      <c r="D545" s="310"/>
      <c r="E545" s="311"/>
      <c r="F545" s="228"/>
      <c r="G545" s="228"/>
      <c r="H545" s="228"/>
      <c r="I545" s="228"/>
      <c r="J545" s="228"/>
      <c r="K545" s="660"/>
      <c r="L545" s="228"/>
      <c r="M545" s="228"/>
      <c r="N545" s="228"/>
    </row>
    <row r="546">
      <c r="A546" s="228"/>
      <c r="B546" s="228"/>
      <c r="C546" s="228"/>
      <c r="D546" s="310"/>
      <c r="E546" s="311"/>
      <c r="F546" s="228"/>
      <c r="G546" s="228"/>
      <c r="H546" s="228"/>
      <c r="I546" s="228"/>
      <c r="J546" s="228"/>
      <c r="K546" s="660"/>
      <c r="L546" s="228"/>
      <c r="M546" s="228"/>
      <c r="N546" s="228"/>
    </row>
    <row r="547">
      <c r="A547" s="228"/>
      <c r="B547" s="228"/>
      <c r="C547" s="228"/>
      <c r="D547" s="310"/>
      <c r="E547" s="311"/>
      <c r="F547" s="228"/>
      <c r="G547" s="228"/>
      <c r="H547" s="228"/>
      <c r="I547" s="228"/>
      <c r="J547" s="228"/>
      <c r="K547" s="660"/>
      <c r="L547" s="228"/>
      <c r="M547" s="228"/>
      <c r="N547" s="228"/>
    </row>
    <row r="548">
      <c r="A548" s="228"/>
      <c r="B548" s="228"/>
      <c r="C548" s="228"/>
      <c r="D548" s="310"/>
      <c r="E548" s="311"/>
      <c r="F548" s="228"/>
      <c r="G548" s="228"/>
      <c r="H548" s="228"/>
      <c r="I548" s="228"/>
      <c r="J548" s="228"/>
      <c r="K548" s="660"/>
      <c r="L548" s="228"/>
      <c r="M548" s="228"/>
      <c r="N548" s="228"/>
    </row>
    <row r="549">
      <c r="A549" s="228"/>
      <c r="B549" s="228"/>
      <c r="C549" s="228"/>
      <c r="D549" s="310"/>
      <c r="E549" s="311"/>
      <c r="F549" s="228"/>
      <c r="G549" s="228"/>
      <c r="H549" s="228"/>
      <c r="I549" s="228"/>
      <c r="J549" s="228"/>
      <c r="K549" s="660"/>
      <c r="L549" s="228"/>
      <c r="M549" s="228"/>
      <c r="N549" s="228"/>
    </row>
    <row r="550">
      <c r="A550" s="228"/>
      <c r="B550" s="228"/>
      <c r="C550" s="228"/>
      <c r="D550" s="310"/>
      <c r="E550" s="311"/>
      <c r="F550" s="228"/>
      <c r="G550" s="228"/>
      <c r="H550" s="228"/>
      <c r="I550" s="228"/>
      <c r="J550" s="228"/>
      <c r="K550" s="660"/>
      <c r="L550" s="228"/>
      <c r="M550" s="228"/>
      <c r="N550" s="228"/>
    </row>
    <row r="551">
      <c r="A551" s="228"/>
      <c r="B551" s="228"/>
      <c r="C551" s="228"/>
      <c r="D551" s="310"/>
      <c r="E551" s="311"/>
      <c r="F551" s="228"/>
      <c r="G551" s="228"/>
      <c r="H551" s="228"/>
      <c r="I551" s="228"/>
      <c r="J551" s="228"/>
      <c r="K551" s="660"/>
      <c r="L551" s="228"/>
      <c r="M551" s="228"/>
      <c r="N551" s="228"/>
    </row>
    <row r="552">
      <c r="A552" s="228"/>
      <c r="B552" s="228"/>
      <c r="C552" s="228"/>
      <c r="D552" s="310"/>
      <c r="E552" s="311"/>
      <c r="F552" s="228"/>
      <c r="G552" s="228"/>
      <c r="H552" s="228"/>
      <c r="I552" s="228"/>
      <c r="J552" s="228"/>
      <c r="K552" s="660"/>
      <c r="L552" s="228"/>
      <c r="M552" s="228"/>
      <c r="N552" s="228"/>
    </row>
    <row r="553">
      <c r="A553" s="228"/>
      <c r="B553" s="228"/>
      <c r="C553" s="228"/>
      <c r="D553" s="310"/>
      <c r="E553" s="311"/>
      <c r="F553" s="228"/>
      <c r="G553" s="228"/>
      <c r="H553" s="228"/>
      <c r="I553" s="228"/>
      <c r="J553" s="228"/>
      <c r="K553" s="660"/>
      <c r="L553" s="228"/>
      <c r="M553" s="228"/>
      <c r="N553" s="228"/>
    </row>
    <row r="554">
      <c r="A554" s="228"/>
      <c r="B554" s="228"/>
      <c r="C554" s="228"/>
      <c r="D554" s="310"/>
      <c r="E554" s="311"/>
      <c r="F554" s="228"/>
      <c r="G554" s="228"/>
      <c r="H554" s="228"/>
      <c r="I554" s="228"/>
      <c r="J554" s="228"/>
      <c r="K554" s="660"/>
      <c r="L554" s="228"/>
      <c r="M554" s="228"/>
      <c r="N554" s="228"/>
    </row>
    <row r="555">
      <c r="A555" s="228"/>
      <c r="B555" s="228"/>
      <c r="C555" s="228"/>
      <c r="D555" s="310"/>
      <c r="E555" s="311"/>
      <c r="F555" s="228"/>
      <c r="G555" s="228"/>
      <c r="H555" s="228"/>
      <c r="I555" s="228"/>
      <c r="J555" s="228"/>
      <c r="K555" s="660"/>
      <c r="L555" s="228"/>
      <c r="M555" s="228"/>
      <c r="N555" s="228"/>
    </row>
    <row r="556">
      <c r="A556" s="228"/>
      <c r="B556" s="228"/>
      <c r="C556" s="228"/>
      <c r="D556" s="310"/>
      <c r="E556" s="311"/>
      <c r="F556" s="228"/>
      <c r="G556" s="228"/>
      <c r="H556" s="228"/>
      <c r="I556" s="228"/>
      <c r="J556" s="228"/>
      <c r="K556" s="660"/>
      <c r="L556" s="228"/>
      <c r="M556" s="228"/>
      <c r="N556" s="228"/>
    </row>
    <row r="557">
      <c r="A557" s="228"/>
      <c r="B557" s="228"/>
      <c r="C557" s="228"/>
      <c r="D557" s="310"/>
      <c r="E557" s="311"/>
      <c r="F557" s="228"/>
      <c r="G557" s="228"/>
      <c r="H557" s="228"/>
      <c r="I557" s="228"/>
      <c r="J557" s="228"/>
      <c r="K557" s="660"/>
      <c r="L557" s="228"/>
      <c r="M557" s="228"/>
      <c r="N557" s="228"/>
    </row>
    <row r="558">
      <c r="A558" s="228"/>
      <c r="B558" s="228"/>
      <c r="C558" s="228"/>
      <c r="D558" s="310"/>
      <c r="E558" s="311"/>
      <c r="F558" s="228"/>
      <c r="G558" s="228"/>
      <c r="H558" s="228"/>
      <c r="I558" s="228"/>
      <c r="J558" s="228"/>
      <c r="K558" s="660"/>
      <c r="L558" s="228"/>
      <c r="M558" s="228"/>
      <c r="N558" s="228"/>
    </row>
    <row r="559">
      <c r="A559" s="228"/>
      <c r="B559" s="228"/>
      <c r="C559" s="228"/>
      <c r="D559" s="310"/>
      <c r="E559" s="311"/>
      <c r="F559" s="228"/>
      <c r="G559" s="228"/>
      <c r="H559" s="228"/>
      <c r="I559" s="228"/>
      <c r="J559" s="228"/>
      <c r="K559" s="660"/>
      <c r="L559" s="228"/>
      <c r="M559" s="228"/>
      <c r="N559" s="228"/>
    </row>
    <row r="560">
      <c r="A560" s="228"/>
      <c r="B560" s="228"/>
      <c r="C560" s="228"/>
      <c r="D560" s="310"/>
      <c r="E560" s="311"/>
      <c r="F560" s="228"/>
      <c r="G560" s="228"/>
      <c r="H560" s="228"/>
      <c r="I560" s="228"/>
      <c r="J560" s="228"/>
      <c r="K560" s="660"/>
      <c r="L560" s="228"/>
      <c r="M560" s="228"/>
      <c r="N560" s="228"/>
    </row>
    <row r="561">
      <c r="A561" s="228"/>
      <c r="B561" s="228"/>
      <c r="C561" s="228"/>
      <c r="D561" s="310"/>
      <c r="E561" s="311"/>
      <c r="F561" s="228"/>
      <c r="G561" s="228"/>
      <c r="H561" s="228"/>
      <c r="I561" s="228"/>
      <c r="J561" s="228"/>
      <c r="K561" s="660"/>
      <c r="L561" s="228"/>
      <c r="M561" s="228"/>
      <c r="N561" s="228"/>
    </row>
    <row r="562">
      <c r="A562" s="228"/>
      <c r="B562" s="228"/>
      <c r="C562" s="228"/>
      <c r="D562" s="310"/>
      <c r="E562" s="311"/>
      <c r="F562" s="228"/>
      <c r="G562" s="228"/>
      <c r="H562" s="228"/>
      <c r="I562" s="228"/>
      <c r="J562" s="228"/>
      <c r="K562" s="660"/>
      <c r="L562" s="228"/>
      <c r="M562" s="228"/>
      <c r="N562" s="228"/>
    </row>
    <row r="563">
      <c r="A563" s="228"/>
      <c r="B563" s="228"/>
      <c r="C563" s="228"/>
      <c r="D563" s="310"/>
      <c r="E563" s="311"/>
      <c r="F563" s="228"/>
      <c r="G563" s="228"/>
      <c r="H563" s="228"/>
      <c r="I563" s="228"/>
      <c r="J563" s="228"/>
      <c r="K563" s="660"/>
      <c r="L563" s="228"/>
      <c r="M563" s="228"/>
      <c r="N563" s="228"/>
    </row>
    <row r="564">
      <c r="A564" s="228"/>
      <c r="B564" s="228"/>
      <c r="C564" s="228"/>
      <c r="D564" s="310"/>
      <c r="E564" s="311"/>
      <c r="F564" s="228"/>
      <c r="G564" s="228"/>
      <c r="H564" s="228"/>
      <c r="I564" s="228"/>
      <c r="J564" s="228"/>
      <c r="K564" s="660"/>
      <c r="L564" s="228"/>
      <c r="M564" s="228"/>
      <c r="N564" s="228"/>
    </row>
    <row r="565">
      <c r="A565" s="228"/>
      <c r="B565" s="228"/>
      <c r="C565" s="228"/>
      <c r="D565" s="310"/>
      <c r="E565" s="311"/>
      <c r="F565" s="228"/>
      <c r="G565" s="228"/>
      <c r="H565" s="228"/>
      <c r="I565" s="228"/>
      <c r="J565" s="228"/>
      <c r="K565" s="660"/>
      <c r="L565" s="228"/>
      <c r="M565" s="228"/>
      <c r="N565" s="228"/>
    </row>
    <row r="566">
      <c r="A566" s="228"/>
      <c r="B566" s="228"/>
      <c r="C566" s="228"/>
      <c r="D566" s="310"/>
      <c r="E566" s="311"/>
      <c r="F566" s="228"/>
      <c r="G566" s="228"/>
      <c r="H566" s="228"/>
      <c r="I566" s="228"/>
      <c r="J566" s="228"/>
      <c r="K566" s="660"/>
      <c r="L566" s="228"/>
      <c r="M566" s="228"/>
      <c r="N566" s="228"/>
    </row>
    <row r="567">
      <c r="A567" s="228"/>
      <c r="B567" s="228"/>
      <c r="C567" s="228"/>
      <c r="D567" s="310"/>
      <c r="E567" s="311"/>
      <c r="F567" s="228"/>
      <c r="G567" s="228"/>
      <c r="H567" s="228"/>
      <c r="I567" s="228"/>
      <c r="J567" s="228"/>
      <c r="K567" s="660"/>
      <c r="L567" s="228"/>
      <c r="M567" s="228"/>
      <c r="N567" s="228"/>
    </row>
    <row r="568">
      <c r="A568" s="228"/>
      <c r="B568" s="228"/>
      <c r="C568" s="228"/>
      <c r="D568" s="310"/>
      <c r="E568" s="311"/>
      <c r="F568" s="228"/>
      <c r="G568" s="228"/>
      <c r="H568" s="228"/>
      <c r="I568" s="228"/>
      <c r="J568" s="228"/>
      <c r="K568" s="660"/>
      <c r="L568" s="228"/>
      <c r="M568" s="228"/>
      <c r="N568" s="228"/>
    </row>
    <row r="569">
      <c r="A569" s="228"/>
      <c r="B569" s="228"/>
      <c r="C569" s="228"/>
      <c r="D569" s="310"/>
      <c r="E569" s="311"/>
      <c r="F569" s="228"/>
      <c r="G569" s="228"/>
      <c r="H569" s="228"/>
      <c r="I569" s="228"/>
      <c r="J569" s="228"/>
      <c r="K569" s="660"/>
      <c r="L569" s="228"/>
      <c r="M569" s="228"/>
      <c r="N569" s="228"/>
    </row>
    <row r="570">
      <c r="A570" s="228"/>
      <c r="B570" s="228"/>
      <c r="C570" s="228"/>
      <c r="D570" s="310"/>
      <c r="E570" s="311"/>
      <c r="F570" s="228"/>
      <c r="G570" s="228"/>
      <c r="H570" s="228"/>
      <c r="I570" s="228"/>
      <c r="J570" s="228"/>
      <c r="K570" s="660"/>
      <c r="L570" s="228"/>
      <c r="M570" s="228"/>
      <c r="N570" s="228"/>
    </row>
    <row r="571">
      <c r="A571" s="228"/>
      <c r="B571" s="228"/>
      <c r="C571" s="228"/>
      <c r="D571" s="310"/>
      <c r="E571" s="311"/>
      <c r="F571" s="228"/>
      <c r="G571" s="228"/>
      <c r="H571" s="228"/>
      <c r="I571" s="228"/>
      <c r="J571" s="228"/>
      <c r="K571" s="660"/>
      <c r="L571" s="228"/>
      <c r="M571" s="228"/>
      <c r="N571" s="228"/>
    </row>
    <row r="572">
      <c r="A572" s="228"/>
      <c r="B572" s="228"/>
      <c r="C572" s="228"/>
      <c r="D572" s="310"/>
      <c r="E572" s="311"/>
      <c r="F572" s="228"/>
      <c r="G572" s="228"/>
      <c r="H572" s="228"/>
      <c r="I572" s="228"/>
      <c r="J572" s="228"/>
      <c r="K572" s="660"/>
      <c r="L572" s="228"/>
      <c r="M572" s="228"/>
      <c r="N572" s="228"/>
    </row>
    <row r="573">
      <c r="A573" s="228"/>
      <c r="B573" s="228"/>
      <c r="C573" s="228"/>
      <c r="D573" s="310"/>
      <c r="E573" s="311"/>
      <c r="F573" s="228"/>
      <c r="G573" s="228"/>
      <c r="H573" s="228"/>
      <c r="I573" s="228"/>
      <c r="J573" s="228"/>
      <c r="K573" s="660"/>
      <c r="L573" s="228"/>
      <c r="M573" s="228"/>
      <c r="N573" s="228"/>
    </row>
    <row r="574">
      <c r="A574" s="228"/>
      <c r="B574" s="228"/>
      <c r="C574" s="228"/>
      <c r="D574" s="310"/>
      <c r="E574" s="311"/>
      <c r="F574" s="228"/>
      <c r="G574" s="228"/>
      <c r="H574" s="228"/>
      <c r="I574" s="228"/>
      <c r="J574" s="228"/>
      <c r="K574" s="660"/>
      <c r="L574" s="228"/>
      <c r="M574" s="228"/>
      <c r="N574" s="228"/>
    </row>
    <row r="575">
      <c r="A575" s="228"/>
      <c r="B575" s="228"/>
      <c r="C575" s="228"/>
      <c r="D575" s="310"/>
      <c r="E575" s="311"/>
      <c r="F575" s="228"/>
      <c r="G575" s="228"/>
      <c r="H575" s="228"/>
      <c r="I575" s="228"/>
      <c r="J575" s="228"/>
      <c r="K575" s="660"/>
      <c r="L575" s="228"/>
      <c r="M575" s="228"/>
      <c r="N575" s="228"/>
    </row>
    <row r="576">
      <c r="A576" s="228"/>
      <c r="B576" s="228"/>
      <c r="C576" s="228"/>
      <c r="D576" s="310"/>
      <c r="E576" s="311"/>
      <c r="F576" s="228"/>
      <c r="G576" s="228"/>
      <c r="H576" s="228"/>
      <c r="I576" s="228"/>
      <c r="J576" s="228"/>
      <c r="K576" s="660"/>
      <c r="L576" s="228"/>
      <c r="M576" s="228"/>
      <c r="N576" s="228"/>
    </row>
    <row r="577">
      <c r="A577" s="228"/>
      <c r="B577" s="228"/>
      <c r="C577" s="228"/>
      <c r="D577" s="310"/>
      <c r="E577" s="311"/>
      <c r="F577" s="228"/>
      <c r="G577" s="228"/>
      <c r="H577" s="228"/>
      <c r="I577" s="228"/>
      <c r="J577" s="228"/>
      <c r="K577" s="660"/>
      <c r="L577" s="228"/>
      <c r="M577" s="228"/>
      <c r="N577" s="228"/>
    </row>
    <row r="578">
      <c r="A578" s="228"/>
      <c r="B578" s="228"/>
      <c r="C578" s="228"/>
      <c r="D578" s="310"/>
      <c r="E578" s="311"/>
      <c r="F578" s="228"/>
      <c r="G578" s="228"/>
      <c r="H578" s="228"/>
      <c r="I578" s="228"/>
      <c r="J578" s="228"/>
      <c r="K578" s="660"/>
      <c r="L578" s="228"/>
      <c r="M578" s="228"/>
      <c r="N578" s="228"/>
    </row>
    <row r="579">
      <c r="A579" s="228"/>
      <c r="B579" s="228"/>
      <c r="C579" s="228"/>
      <c r="D579" s="310"/>
      <c r="E579" s="311"/>
      <c r="F579" s="228"/>
      <c r="G579" s="228"/>
      <c r="H579" s="228"/>
      <c r="I579" s="228"/>
      <c r="J579" s="228"/>
      <c r="K579" s="660"/>
      <c r="L579" s="228"/>
      <c r="M579" s="228"/>
      <c r="N579" s="228"/>
    </row>
    <row r="580">
      <c r="A580" s="228"/>
      <c r="B580" s="228"/>
      <c r="C580" s="228"/>
      <c r="D580" s="310"/>
      <c r="E580" s="311"/>
      <c r="F580" s="228"/>
      <c r="G580" s="228"/>
      <c r="H580" s="228"/>
      <c r="I580" s="228"/>
      <c r="J580" s="228"/>
      <c r="K580" s="660"/>
      <c r="L580" s="228"/>
      <c r="M580" s="228"/>
      <c r="N580" s="228"/>
    </row>
    <row r="581">
      <c r="A581" s="228"/>
      <c r="B581" s="228"/>
      <c r="C581" s="228"/>
      <c r="D581" s="310"/>
      <c r="E581" s="311"/>
      <c r="F581" s="228"/>
      <c r="G581" s="228"/>
      <c r="H581" s="228"/>
      <c r="I581" s="228"/>
      <c r="J581" s="228"/>
      <c r="K581" s="660"/>
      <c r="L581" s="228"/>
      <c r="M581" s="228"/>
      <c r="N581" s="228"/>
    </row>
    <row r="582">
      <c r="A582" s="228"/>
      <c r="B582" s="228"/>
      <c r="C582" s="228"/>
      <c r="D582" s="310"/>
      <c r="E582" s="311"/>
      <c r="F582" s="228"/>
      <c r="G582" s="228"/>
      <c r="H582" s="228"/>
      <c r="I582" s="228"/>
      <c r="J582" s="228"/>
      <c r="K582" s="660"/>
      <c r="L582" s="228"/>
      <c r="M582" s="228"/>
      <c r="N582" s="228"/>
    </row>
    <row r="583">
      <c r="A583" s="228"/>
      <c r="B583" s="228"/>
      <c r="C583" s="228"/>
      <c r="D583" s="310"/>
      <c r="E583" s="311"/>
      <c r="F583" s="228"/>
      <c r="G583" s="228"/>
      <c r="H583" s="228"/>
      <c r="I583" s="228"/>
      <c r="J583" s="228"/>
      <c r="K583" s="660"/>
      <c r="L583" s="228"/>
      <c r="M583" s="228"/>
      <c r="N583" s="228"/>
    </row>
    <row r="584">
      <c r="A584" s="228"/>
      <c r="B584" s="228"/>
      <c r="C584" s="228"/>
      <c r="D584" s="310"/>
      <c r="E584" s="311"/>
      <c r="F584" s="228"/>
      <c r="G584" s="228"/>
      <c r="H584" s="228"/>
      <c r="I584" s="228"/>
      <c r="J584" s="228"/>
      <c r="K584" s="660"/>
      <c r="L584" s="228"/>
      <c r="M584" s="228"/>
      <c r="N584" s="228"/>
    </row>
    <row r="585">
      <c r="A585" s="228"/>
      <c r="B585" s="228"/>
      <c r="C585" s="228"/>
      <c r="D585" s="310"/>
      <c r="E585" s="311"/>
      <c r="F585" s="228"/>
      <c r="G585" s="228"/>
      <c r="H585" s="228"/>
      <c r="I585" s="228"/>
      <c r="J585" s="228"/>
      <c r="K585" s="660"/>
      <c r="L585" s="228"/>
      <c r="M585" s="228"/>
      <c r="N585" s="228"/>
    </row>
    <row r="586">
      <c r="A586" s="228"/>
      <c r="B586" s="228"/>
      <c r="C586" s="228"/>
      <c r="D586" s="310"/>
      <c r="E586" s="311"/>
      <c r="F586" s="228"/>
      <c r="G586" s="228"/>
      <c r="H586" s="228"/>
      <c r="I586" s="228"/>
      <c r="J586" s="228"/>
      <c r="K586" s="660"/>
      <c r="L586" s="228"/>
      <c r="M586" s="228"/>
      <c r="N586" s="228"/>
    </row>
    <row r="587">
      <c r="A587" s="228"/>
      <c r="B587" s="228"/>
      <c r="C587" s="228"/>
      <c r="D587" s="310"/>
      <c r="E587" s="311"/>
      <c r="F587" s="228"/>
      <c r="G587" s="228"/>
      <c r="H587" s="228"/>
      <c r="I587" s="228"/>
      <c r="J587" s="228"/>
      <c r="K587" s="660"/>
      <c r="L587" s="228"/>
      <c r="M587" s="228"/>
      <c r="N587" s="228"/>
    </row>
    <row r="588">
      <c r="A588" s="228"/>
      <c r="B588" s="228"/>
      <c r="C588" s="228"/>
      <c r="D588" s="310"/>
      <c r="E588" s="311"/>
      <c r="F588" s="228"/>
      <c r="G588" s="228"/>
      <c r="H588" s="228"/>
      <c r="I588" s="228"/>
      <c r="J588" s="228"/>
      <c r="K588" s="660"/>
      <c r="L588" s="228"/>
      <c r="M588" s="228"/>
      <c r="N588" s="228"/>
    </row>
    <row r="589">
      <c r="A589" s="228"/>
      <c r="B589" s="228"/>
      <c r="C589" s="228"/>
      <c r="D589" s="310"/>
      <c r="E589" s="311"/>
      <c r="F589" s="228"/>
      <c r="G589" s="228"/>
      <c r="H589" s="228"/>
      <c r="I589" s="228"/>
      <c r="J589" s="228"/>
      <c r="K589" s="660"/>
      <c r="L589" s="228"/>
      <c r="M589" s="228"/>
      <c r="N589" s="228"/>
    </row>
    <row r="590">
      <c r="A590" s="228"/>
      <c r="B590" s="228"/>
      <c r="C590" s="228"/>
      <c r="D590" s="310"/>
      <c r="E590" s="311"/>
      <c r="F590" s="228"/>
      <c r="G590" s="228"/>
      <c r="H590" s="228"/>
      <c r="I590" s="228"/>
      <c r="J590" s="228"/>
      <c r="K590" s="660"/>
      <c r="L590" s="228"/>
      <c r="M590" s="228"/>
      <c r="N590" s="228"/>
    </row>
    <row r="591">
      <c r="A591" s="228"/>
      <c r="B591" s="228"/>
      <c r="C591" s="228"/>
      <c r="D591" s="310"/>
      <c r="E591" s="311"/>
      <c r="F591" s="228"/>
      <c r="G591" s="228"/>
      <c r="H591" s="228"/>
      <c r="I591" s="228"/>
      <c r="J591" s="228"/>
      <c r="K591" s="660"/>
      <c r="L591" s="228"/>
      <c r="M591" s="228"/>
      <c r="N591" s="228"/>
    </row>
    <row r="592">
      <c r="A592" s="228"/>
      <c r="B592" s="228"/>
      <c r="C592" s="228"/>
      <c r="D592" s="310"/>
      <c r="E592" s="311"/>
      <c r="F592" s="228"/>
      <c r="G592" s="228"/>
      <c r="H592" s="228"/>
      <c r="I592" s="228"/>
      <c r="J592" s="228"/>
      <c r="K592" s="660"/>
      <c r="L592" s="228"/>
      <c r="M592" s="228"/>
      <c r="N592" s="228"/>
    </row>
    <row r="593">
      <c r="A593" s="228"/>
      <c r="B593" s="228"/>
      <c r="C593" s="228"/>
      <c r="D593" s="310"/>
      <c r="E593" s="311"/>
      <c r="F593" s="228"/>
      <c r="G593" s="228"/>
      <c r="H593" s="228"/>
      <c r="I593" s="228"/>
      <c r="J593" s="228"/>
      <c r="K593" s="660"/>
      <c r="L593" s="228"/>
      <c r="M593" s="228"/>
      <c r="N593" s="228"/>
    </row>
    <row r="594">
      <c r="A594" s="228"/>
      <c r="B594" s="228"/>
      <c r="C594" s="228"/>
      <c r="D594" s="310"/>
      <c r="E594" s="311"/>
      <c r="F594" s="228"/>
      <c r="G594" s="228"/>
      <c r="H594" s="228"/>
      <c r="I594" s="228"/>
      <c r="J594" s="228"/>
      <c r="K594" s="660"/>
      <c r="L594" s="228"/>
      <c r="M594" s="228"/>
      <c r="N594" s="228"/>
    </row>
    <row r="595">
      <c r="A595" s="228"/>
      <c r="B595" s="228"/>
      <c r="C595" s="228"/>
      <c r="D595" s="310"/>
      <c r="E595" s="311"/>
      <c r="F595" s="228"/>
      <c r="G595" s="228"/>
      <c r="H595" s="228"/>
      <c r="I595" s="228"/>
      <c r="J595" s="228"/>
      <c r="K595" s="660"/>
      <c r="L595" s="228"/>
      <c r="M595" s="228"/>
      <c r="N595" s="228"/>
    </row>
    <row r="596">
      <c r="A596" s="228"/>
      <c r="B596" s="228"/>
      <c r="C596" s="228"/>
      <c r="D596" s="310"/>
      <c r="E596" s="311"/>
      <c r="F596" s="228"/>
      <c r="G596" s="228"/>
      <c r="H596" s="228"/>
      <c r="I596" s="228"/>
      <c r="J596" s="228"/>
      <c r="K596" s="660"/>
      <c r="L596" s="228"/>
      <c r="M596" s="228"/>
      <c r="N596" s="228"/>
    </row>
    <row r="597">
      <c r="A597" s="228"/>
      <c r="B597" s="228"/>
      <c r="C597" s="228"/>
      <c r="D597" s="310"/>
      <c r="E597" s="311"/>
      <c r="F597" s="228"/>
      <c r="G597" s="228"/>
      <c r="H597" s="228"/>
      <c r="I597" s="228"/>
      <c r="J597" s="228"/>
      <c r="K597" s="660"/>
      <c r="L597" s="228"/>
      <c r="M597" s="228"/>
      <c r="N597" s="228"/>
    </row>
    <row r="598">
      <c r="A598" s="228"/>
      <c r="B598" s="228"/>
      <c r="C598" s="228"/>
      <c r="D598" s="310"/>
      <c r="E598" s="311"/>
      <c r="F598" s="228"/>
      <c r="G598" s="228"/>
      <c r="H598" s="228"/>
      <c r="I598" s="228"/>
      <c r="J598" s="228"/>
      <c r="K598" s="660"/>
      <c r="L598" s="228"/>
      <c r="M598" s="228"/>
      <c r="N598" s="228"/>
    </row>
    <row r="599">
      <c r="A599" s="228"/>
      <c r="B599" s="228"/>
      <c r="C599" s="228"/>
      <c r="D599" s="310"/>
      <c r="E599" s="311"/>
      <c r="F599" s="228"/>
      <c r="G599" s="228"/>
      <c r="H599" s="228"/>
      <c r="I599" s="228"/>
      <c r="J599" s="228"/>
      <c r="K599" s="660"/>
      <c r="L599" s="228"/>
      <c r="M599" s="228"/>
      <c r="N599" s="228"/>
    </row>
    <row r="600">
      <c r="A600" s="228"/>
      <c r="B600" s="228"/>
      <c r="C600" s="228"/>
      <c r="D600" s="310"/>
      <c r="E600" s="311"/>
      <c r="F600" s="228"/>
      <c r="G600" s="228"/>
      <c r="H600" s="228"/>
      <c r="I600" s="228"/>
      <c r="J600" s="228"/>
      <c r="K600" s="660"/>
      <c r="L600" s="228"/>
      <c r="M600" s="228"/>
      <c r="N600" s="228"/>
    </row>
    <row r="601">
      <c r="A601" s="228"/>
      <c r="B601" s="228"/>
      <c r="C601" s="228"/>
      <c r="D601" s="310"/>
      <c r="E601" s="311"/>
      <c r="F601" s="228"/>
      <c r="G601" s="228"/>
      <c r="H601" s="228"/>
      <c r="I601" s="228"/>
      <c r="J601" s="228"/>
      <c r="K601" s="660"/>
      <c r="L601" s="228"/>
      <c r="M601" s="228"/>
      <c r="N601" s="228"/>
    </row>
    <row r="602">
      <c r="A602" s="228"/>
      <c r="B602" s="228"/>
      <c r="C602" s="228"/>
      <c r="D602" s="310"/>
      <c r="E602" s="311"/>
      <c r="F602" s="228"/>
      <c r="G602" s="228"/>
      <c r="H602" s="228"/>
      <c r="I602" s="228"/>
      <c r="J602" s="228"/>
      <c r="K602" s="660"/>
      <c r="L602" s="228"/>
      <c r="M602" s="228"/>
      <c r="N602" s="228"/>
    </row>
    <row r="603">
      <c r="A603" s="228"/>
      <c r="B603" s="228"/>
      <c r="C603" s="228"/>
      <c r="D603" s="310"/>
      <c r="E603" s="311"/>
      <c r="F603" s="228"/>
      <c r="G603" s="228"/>
      <c r="H603" s="228"/>
      <c r="I603" s="228"/>
      <c r="J603" s="228"/>
      <c r="K603" s="660"/>
      <c r="L603" s="228"/>
      <c r="M603" s="228"/>
      <c r="N603" s="228"/>
    </row>
    <row r="604">
      <c r="A604" s="228"/>
      <c r="B604" s="228"/>
      <c r="C604" s="228"/>
      <c r="D604" s="310"/>
      <c r="E604" s="311"/>
      <c r="F604" s="228"/>
      <c r="G604" s="228"/>
      <c r="H604" s="228"/>
      <c r="I604" s="228"/>
      <c r="J604" s="228"/>
      <c r="K604" s="660"/>
      <c r="L604" s="228"/>
      <c r="M604" s="228"/>
      <c r="N604" s="228"/>
    </row>
    <row r="605">
      <c r="A605" s="228"/>
      <c r="B605" s="228"/>
      <c r="C605" s="228"/>
      <c r="D605" s="310"/>
      <c r="E605" s="311"/>
      <c r="F605" s="228"/>
      <c r="G605" s="228"/>
      <c r="H605" s="228"/>
      <c r="I605" s="228"/>
      <c r="J605" s="228"/>
      <c r="K605" s="660"/>
      <c r="L605" s="228"/>
      <c r="M605" s="228"/>
      <c r="N605" s="228"/>
    </row>
    <row r="606">
      <c r="A606" s="228"/>
      <c r="B606" s="228"/>
      <c r="C606" s="228"/>
      <c r="D606" s="310"/>
      <c r="E606" s="311"/>
      <c r="F606" s="228"/>
      <c r="G606" s="228"/>
      <c r="H606" s="228"/>
      <c r="I606" s="228"/>
      <c r="J606" s="228"/>
      <c r="K606" s="660"/>
      <c r="L606" s="228"/>
      <c r="M606" s="228"/>
      <c r="N606" s="228"/>
    </row>
    <row r="607">
      <c r="A607" s="228"/>
      <c r="B607" s="228"/>
      <c r="C607" s="228"/>
      <c r="D607" s="310"/>
      <c r="E607" s="311"/>
      <c r="F607" s="228"/>
      <c r="G607" s="228"/>
      <c r="H607" s="228"/>
      <c r="I607" s="228"/>
      <c r="J607" s="228"/>
      <c r="K607" s="660"/>
      <c r="L607" s="228"/>
      <c r="M607" s="228"/>
      <c r="N607" s="228"/>
    </row>
    <row r="608">
      <c r="A608" s="228"/>
      <c r="B608" s="228"/>
      <c r="C608" s="228"/>
      <c r="D608" s="310"/>
      <c r="E608" s="311"/>
      <c r="F608" s="228"/>
      <c r="G608" s="228"/>
      <c r="H608" s="228"/>
      <c r="I608" s="228"/>
      <c r="J608" s="228"/>
      <c r="K608" s="660"/>
      <c r="L608" s="228"/>
      <c r="M608" s="228"/>
      <c r="N608" s="228"/>
    </row>
    <row r="609">
      <c r="A609" s="228"/>
      <c r="B609" s="228"/>
      <c r="C609" s="228"/>
      <c r="D609" s="310"/>
      <c r="E609" s="311"/>
      <c r="F609" s="228"/>
      <c r="G609" s="228"/>
      <c r="H609" s="228"/>
      <c r="I609" s="228"/>
      <c r="J609" s="228"/>
      <c r="K609" s="660"/>
      <c r="L609" s="228"/>
      <c r="M609" s="228"/>
      <c r="N609" s="228"/>
    </row>
    <row r="610">
      <c r="A610" s="228"/>
      <c r="B610" s="228"/>
      <c r="C610" s="228"/>
      <c r="D610" s="310"/>
      <c r="E610" s="311"/>
      <c r="F610" s="228"/>
      <c r="G610" s="228"/>
      <c r="H610" s="228"/>
      <c r="I610" s="228"/>
      <c r="J610" s="228"/>
      <c r="K610" s="660"/>
      <c r="L610" s="228"/>
      <c r="M610" s="228"/>
      <c r="N610" s="228"/>
    </row>
    <row r="611">
      <c r="A611" s="228"/>
      <c r="B611" s="228"/>
      <c r="C611" s="228"/>
      <c r="D611" s="310"/>
      <c r="E611" s="311"/>
      <c r="F611" s="228"/>
      <c r="G611" s="228"/>
      <c r="H611" s="228"/>
      <c r="I611" s="228"/>
      <c r="J611" s="228"/>
      <c r="K611" s="660"/>
      <c r="L611" s="228"/>
      <c r="M611" s="228"/>
      <c r="N611" s="228"/>
    </row>
    <row r="612">
      <c r="A612" s="228"/>
      <c r="B612" s="228"/>
      <c r="C612" s="228"/>
      <c r="D612" s="310"/>
      <c r="E612" s="311"/>
      <c r="F612" s="228"/>
      <c r="G612" s="228"/>
      <c r="H612" s="228"/>
      <c r="I612" s="228"/>
      <c r="J612" s="228"/>
      <c r="K612" s="660"/>
      <c r="L612" s="228"/>
      <c r="M612" s="228"/>
      <c r="N612" s="228"/>
    </row>
    <row r="613">
      <c r="A613" s="228"/>
      <c r="B613" s="228"/>
      <c r="C613" s="228"/>
      <c r="D613" s="310"/>
      <c r="E613" s="311"/>
      <c r="F613" s="228"/>
      <c r="G613" s="228"/>
      <c r="H613" s="228"/>
      <c r="I613" s="228"/>
      <c r="J613" s="228"/>
      <c r="K613" s="660"/>
      <c r="L613" s="228"/>
      <c r="M613" s="228"/>
      <c r="N613" s="228"/>
    </row>
    <row r="614">
      <c r="A614" s="228"/>
      <c r="B614" s="228"/>
      <c r="C614" s="228"/>
      <c r="D614" s="310"/>
      <c r="E614" s="311"/>
      <c r="F614" s="228"/>
      <c r="G614" s="228"/>
      <c r="H614" s="228"/>
      <c r="I614" s="228"/>
      <c r="J614" s="228"/>
      <c r="K614" s="660"/>
      <c r="L614" s="228"/>
      <c r="M614" s="228"/>
      <c r="N614" s="228"/>
    </row>
    <row r="615">
      <c r="A615" s="228"/>
      <c r="B615" s="228"/>
      <c r="C615" s="228"/>
      <c r="D615" s="310"/>
      <c r="E615" s="311"/>
      <c r="F615" s="228"/>
      <c r="G615" s="228"/>
      <c r="H615" s="228"/>
      <c r="I615" s="228"/>
      <c r="J615" s="228"/>
      <c r="K615" s="660"/>
      <c r="L615" s="228"/>
      <c r="M615" s="228"/>
      <c r="N615" s="228"/>
    </row>
    <row r="616">
      <c r="A616" s="228"/>
      <c r="B616" s="228"/>
      <c r="C616" s="228"/>
      <c r="D616" s="310"/>
      <c r="E616" s="311"/>
      <c r="F616" s="228"/>
      <c r="G616" s="228"/>
      <c r="H616" s="228"/>
      <c r="I616" s="228"/>
      <c r="J616" s="228"/>
      <c r="K616" s="660"/>
      <c r="L616" s="228"/>
      <c r="M616" s="228"/>
      <c r="N616" s="228"/>
    </row>
    <row r="617">
      <c r="A617" s="228"/>
      <c r="B617" s="228"/>
      <c r="C617" s="228"/>
      <c r="D617" s="310"/>
      <c r="E617" s="311"/>
      <c r="F617" s="228"/>
      <c r="G617" s="228"/>
      <c r="H617" s="228"/>
      <c r="I617" s="228"/>
      <c r="J617" s="228"/>
      <c r="K617" s="660"/>
      <c r="L617" s="228"/>
      <c r="M617" s="228"/>
      <c r="N617" s="228"/>
    </row>
    <row r="618">
      <c r="A618" s="228"/>
      <c r="B618" s="228"/>
      <c r="C618" s="228"/>
      <c r="D618" s="310"/>
      <c r="E618" s="311"/>
      <c r="F618" s="228"/>
      <c r="G618" s="228"/>
      <c r="H618" s="228"/>
      <c r="I618" s="228"/>
      <c r="J618" s="228"/>
      <c r="K618" s="660"/>
      <c r="L618" s="228"/>
      <c r="M618" s="228"/>
      <c r="N618" s="228"/>
    </row>
    <row r="619">
      <c r="A619" s="228"/>
      <c r="B619" s="228"/>
      <c r="C619" s="228"/>
      <c r="D619" s="310"/>
      <c r="E619" s="311"/>
      <c r="F619" s="228"/>
      <c r="G619" s="228"/>
      <c r="H619" s="228"/>
      <c r="I619" s="228"/>
      <c r="J619" s="228"/>
      <c r="K619" s="660"/>
      <c r="L619" s="228"/>
      <c r="M619" s="228"/>
      <c r="N619" s="228"/>
    </row>
    <row r="620">
      <c r="A620" s="228"/>
      <c r="B620" s="228"/>
      <c r="C620" s="228"/>
      <c r="D620" s="310"/>
      <c r="E620" s="311"/>
      <c r="F620" s="228"/>
      <c r="G620" s="228"/>
      <c r="H620" s="228"/>
      <c r="I620" s="228"/>
      <c r="J620" s="228"/>
      <c r="K620" s="660"/>
      <c r="L620" s="228"/>
      <c r="M620" s="228"/>
      <c r="N620" s="228"/>
    </row>
    <row r="621">
      <c r="A621" s="228"/>
      <c r="B621" s="228"/>
      <c r="C621" s="228"/>
      <c r="D621" s="310"/>
      <c r="E621" s="311"/>
      <c r="F621" s="228"/>
      <c r="G621" s="228"/>
      <c r="H621" s="228"/>
      <c r="I621" s="228"/>
      <c r="J621" s="228"/>
      <c r="K621" s="660"/>
      <c r="L621" s="228"/>
      <c r="M621" s="228"/>
      <c r="N621" s="228"/>
    </row>
    <row r="622">
      <c r="A622" s="228"/>
      <c r="B622" s="228"/>
      <c r="C622" s="228"/>
      <c r="D622" s="310"/>
      <c r="E622" s="311"/>
      <c r="F622" s="228"/>
      <c r="G622" s="228"/>
      <c r="H622" s="228"/>
      <c r="I622" s="228"/>
      <c r="J622" s="228"/>
      <c r="K622" s="660"/>
      <c r="L622" s="228"/>
      <c r="M622" s="228"/>
      <c r="N622" s="228"/>
    </row>
    <row r="623">
      <c r="A623" s="228"/>
      <c r="B623" s="228"/>
      <c r="C623" s="228"/>
      <c r="D623" s="310"/>
      <c r="E623" s="311"/>
      <c r="F623" s="228"/>
      <c r="G623" s="228"/>
      <c r="H623" s="228"/>
      <c r="I623" s="228"/>
      <c r="J623" s="228"/>
      <c r="K623" s="660"/>
      <c r="L623" s="228"/>
      <c r="M623" s="228"/>
      <c r="N623" s="228"/>
    </row>
    <row r="624">
      <c r="A624" s="228"/>
      <c r="B624" s="228"/>
      <c r="C624" s="228"/>
      <c r="D624" s="310"/>
      <c r="E624" s="311"/>
      <c r="F624" s="228"/>
      <c r="G624" s="228"/>
      <c r="H624" s="228"/>
      <c r="I624" s="228"/>
      <c r="J624" s="228"/>
      <c r="K624" s="660"/>
      <c r="L624" s="228"/>
      <c r="M624" s="228"/>
      <c r="N624" s="228"/>
    </row>
    <row r="625">
      <c r="A625" s="228"/>
      <c r="B625" s="228"/>
      <c r="C625" s="228"/>
      <c r="D625" s="310"/>
      <c r="E625" s="311"/>
      <c r="F625" s="228"/>
      <c r="G625" s="228"/>
      <c r="H625" s="228"/>
      <c r="I625" s="228"/>
      <c r="J625" s="228"/>
      <c r="K625" s="660"/>
      <c r="L625" s="228"/>
      <c r="M625" s="228"/>
      <c r="N625" s="228"/>
    </row>
    <row r="626">
      <c r="A626" s="228"/>
      <c r="B626" s="228"/>
      <c r="C626" s="228"/>
      <c r="D626" s="310"/>
      <c r="E626" s="311"/>
      <c r="F626" s="228"/>
      <c r="G626" s="228"/>
      <c r="H626" s="228"/>
      <c r="I626" s="228"/>
      <c r="J626" s="228"/>
      <c r="K626" s="660"/>
      <c r="L626" s="228"/>
      <c r="M626" s="228"/>
      <c r="N626" s="228"/>
    </row>
    <row r="627">
      <c r="A627" s="228"/>
      <c r="B627" s="228"/>
      <c r="C627" s="228"/>
      <c r="D627" s="310"/>
      <c r="E627" s="311"/>
      <c r="F627" s="228"/>
      <c r="G627" s="228"/>
      <c r="H627" s="228"/>
      <c r="I627" s="228"/>
      <c r="J627" s="228"/>
      <c r="K627" s="660"/>
      <c r="L627" s="228"/>
      <c r="M627" s="228"/>
      <c r="N627" s="228"/>
    </row>
    <row r="628">
      <c r="A628" s="228"/>
      <c r="B628" s="228"/>
      <c r="C628" s="228"/>
      <c r="D628" s="310"/>
      <c r="E628" s="311"/>
      <c r="F628" s="228"/>
      <c r="G628" s="228"/>
      <c r="H628" s="228"/>
      <c r="I628" s="228"/>
      <c r="J628" s="228"/>
      <c r="K628" s="660"/>
      <c r="L628" s="228"/>
      <c r="M628" s="228"/>
      <c r="N628" s="228"/>
    </row>
    <row r="629">
      <c r="A629" s="228"/>
      <c r="B629" s="228"/>
      <c r="C629" s="228"/>
      <c r="D629" s="310"/>
      <c r="E629" s="311"/>
      <c r="F629" s="228"/>
      <c r="G629" s="228"/>
      <c r="H629" s="228"/>
      <c r="I629" s="228"/>
      <c r="J629" s="228"/>
      <c r="K629" s="660"/>
      <c r="L629" s="228"/>
      <c r="M629" s="228"/>
      <c r="N629" s="228"/>
    </row>
    <row r="630">
      <c r="A630" s="228"/>
      <c r="B630" s="228"/>
      <c r="C630" s="228"/>
      <c r="D630" s="310"/>
      <c r="E630" s="311"/>
      <c r="F630" s="228"/>
      <c r="G630" s="228"/>
      <c r="H630" s="228"/>
      <c r="I630" s="228"/>
      <c r="J630" s="228"/>
      <c r="K630" s="660"/>
      <c r="L630" s="228"/>
      <c r="M630" s="228"/>
      <c r="N630" s="228"/>
    </row>
    <row r="631">
      <c r="A631" s="228"/>
      <c r="B631" s="228"/>
      <c r="C631" s="228"/>
      <c r="D631" s="310"/>
      <c r="E631" s="311"/>
      <c r="F631" s="228"/>
      <c r="G631" s="228"/>
      <c r="H631" s="228"/>
      <c r="I631" s="228"/>
      <c r="J631" s="228"/>
      <c r="K631" s="660"/>
      <c r="L631" s="228"/>
      <c r="M631" s="228"/>
      <c r="N631" s="228"/>
    </row>
    <row r="632">
      <c r="A632" s="228"/>
      <c r="B632" s="228"/>
      <c r="C632" s="228"/>
      <c r="D632" s="310"/>
      <c r="E632" s="311"/>
      <c r="F632" s="228"/>
      <c r="G632" s="228"/>
      <c r="H632" s="228"/>
      <c r="I632" s="228"/>
      <c r="J632" s="228"/>
      <c r="K632" s="660"/>
      <c r="L632" s="228"/>
      <c r="M632" s="228"/>
      <c r="N632" s="228"/>
    </row>
    <row r="633">
      <c r="A633" s="228"/>
      <c r="B633" s="228"/>
      <c r="C633" s="228"/>
      <c r="D633" s="310"/>
      <c r="E633" s="311"/>
      <c r="F633" s="228"/>
      <c r="G633" s="228"/>
      <c r="H633" s="228"/>
      <c r="I633" s="228"/>
      <c r="J633" s="228"/>
      <c r="K633" s="660"/>
      <c r="L633" s="228"/>
      <c r="M633" s="228"/>
      <c r="N633" s="228"/>
    </row>
    <row r="634">
      <c r="A634" s="228"/>
      <c r="B634" s="228"/>
      <c r="C634" s="228"/>
      <c r="D634" s="310"/>
      <c r="E634" s="311"/>
      <c r="F634" s="228"/>
      <c r="G634" s="228"/>
      <c r="H634" s="228"/>
      <c r="I634" s="228"/>
      <c r="J634" s="228"/>
      <c r="K634" s="660"/>
      <c r="L634" s="228"/>
      <c r="M634" s="228"/>
      <c r="N634" s="228"/>
    </row>
    <row r="635">
      <c r="A635" s="228"/>
      <c r="B635" s="228"/>
      <c r="C635" s="228"/>
      <c r="D635" s="310"/>
      <c r="E635" s="311"/>
      <c r="F635" s="228"/>
      <c r="G635" s="228"/>
      <c r="H635" s="228"/>
      <c r="I635" s="228"/>
      <c r="J635" s="228"/>
      <c r="K635" s="660"/>
      <c r="L635" s="228"/>
      <c r="M635" s="228"/>
      <c r="N635" s="228"/>
    </row>
    <row r="636">
      <c r="A636" s="228"/>
      <c r="B636" s="228"/>
      <c r="C636" s="228"/>
      <c r="D636" s="310"/>
      <c r="E636" s="311"/>
      <c r="F636" s="228"/>
      <c r="G636" s="228"/>
      <c r="H636" s="228"/>
      <c r="I636" s="228"/>
      <c r="J636" s="228"/>
      <c r="K636" s="660"/>
      <c r="L636" s="228"/>
      <c r="M636" s="228"/>
      <c r="N636" s="228"/>
    </row>
    <row r="637">
      <c r="A637" s="228"/>
      <c r="B637" s="228"/>
      <c r="C637" s="228"/>
      <c r="D637" s="310"/>
      <c r="E637" s="311"/>
      <c r="F637" s="228"/>
      <c r="G637" s="228"/>
      <c r="H637" s="228"/>
      <c r="I637" s="228"/>
      <c r="J637" s="228"/>
      <c r="K637" s="660"/>
      <c r="L637" s="228"/>
      <c r="M637" s="228"/>
      <c r="N637" s="228"/>
    </row>
    <row r="638">
      <c r="A638" s="228"/>
      <c r="B638" s="228"/>
      <c r="C638" s="228"/>
      <c r="D638" s="310"/>
      <c r="E638" s="311"/>
      <c r="F638" s="228"/>
      <c r="G638" s="228"/>
      <c r="H638" s="228"/>
      <c r="I638" s="228"/>
      <c r="J638" s="228"/>
      <c r="K638" s="660"/>
      <c r="L638" s="228"/>
      <c r="M638" s="228"/>
      <c r="N638" s="228"/>
    </row>
    <row r="639">
      <c r="A639" s="228"/>
      <c r="B639" s="228"/>
      <c r="C639" s="228"/>
      <c r="D639" s="310"/>
      <c r="E639" s="311"/>
      <c r="F639" s="228"/>
      <c r="G639" s="228"/>
      <c r="H639" s="228"/>
      <c r="I639" s="228"/>
      <c r="J639" s="228"/>
      <c r="K639" s="660"/>
      <c r="L639" s="228"/>
      <c r="M639" s="228"/>
      <c r="N639" s="228"/>
    </row>
    <row r="640">
      <c r="A640" s="228"/>
      <c r="B640" s="228"/>
      <c r="C640" s="228"/>
      <c r="D640" s="310"/>
      <c r="E640" s="311"/>
      <c r="F640" s="228"/>
      <c r="G640" s="228"/>
      <c r="H640" s="228"/>
      <c r="I640" s="228"/>
      <c r="J640" s="228"/>
      <c r="K640" s="660"/>
      <c r="L640" s="228"/>
      <c r="M640" s="228"/>
      <c r="N640" s="228"/>
    </row>
    <row r="641">
      <c r="A641" s="228"/>
      <c r="B641" s="228"/>
      <c r="C641" s="228"/>
      <c r="D641" s="310"/>
      <c r="E641" s="311"/>
      <c r="F641" s="228"/>
      <c r="G641" s="228"/>
      <c r="H641" s="228"/>
      <c r="I641" s="228"/>
      <c r="J641" s="228"/>
      <c r="K641" s="660"/>
      <c r="L641" s="228"/>
      <c r="M641" s="228"/>
      <c r="N641" s="228"/>
    </row>
    <row r="642">
      <c r="A642" s="228"/>
      <c r="B642" s="228"/>
      <c r="C642" s="228"/>
      <c r="D642" s="310"/>
      <c r="E642" s="311"/>
      <c r="F642" s="228"/>
      <c r="G642" s="228"/>
      <c r="H642" s="228"/>
      <c r="I642" s="228"/>
      <c r="J642" s="228"/>
      <c r="K642" s="660"/>
      <c r="L642" s="228"/>
      <c r="M642" s="228"/>
      <c r="N642" s="228"/>
    </row>
    <row r="643">
      <c r="A643" s="228"/>
      <c r="B643" s="228"/>
      <c r="C643" s="228"/>
      <c r="D643" s="310"/>
      <c r="E643" s="311"/>
      <c r="F643" s="228"/>
      <c r="G643" s="228"/>
      <c r="H643" s="228"/>
      <c r="I643" s="228"/>
      <c r="J643" s="228"/>
      <c r="K643" s="660"/>
      <c r="L643" s="228"/>
      <c r="M643" s="228"/>
      <c r="N643" s="228"/>
    </row>
    <row r="644">
      <c r="A644" s="228"/>
      <c r="B644" s="228"/>
      <c r="C644" s="228"/>
      <c r="D644" s="310"/>
      <c r="E644" s="311"/>
      <c r="F644" s="228"/>
      <c r="G644" s="228"/>
      <c r="H644" s="228"/>
      <c r="I644" s="228"/>
      <c r="J644" s="228"/>
      <c r="K644" s="660"/>
      <c r="L644" s="228"/>
      <c r="M644" s="228"/>
      <c r="N644" s="228"/>
    </row>
    <row r="645">
      <c r="A645" s="228"/>
      <c r="B645" s="228"/>
      <c r="C645" s="228"/>
      <c r="D645" s="310"/>
      <c r="E645" s="311"/>
      <c r="F645" s="228"/>
      <c r="G645" s="228"/>
      <c r="H645" s="228"/>
      <c r="I645" s="228"/>
      <c r="J645" s="228"/>
      <c r="K645" s="660"/>
      <c r="L645" s="228"/>
      <c r="M645" s="228"/>
      <c r="N645" s="228"/>
    </row>
    <row r="646">
      <c r="A646" s="228"/>
      <c r="B646" s="228"/>
      <c r="C646" s="228"/>
      <c r="D646" s="310"/>
      <c r="E646" s="311"/>
      <c r="F646" s="228"/>
      <c r="G646" s="228"/>
      <c r="H646" s="228"/>
      <c r="I646" s="228"/>
      <c r="J646" s="228"/>
      <c r="K646" s="660"/>
      <c r="L646" s="228"/>
      <c r="M646" s="228"/>
      <c r="N646" s="228"/>
    </row>
    <row r="647">
      <c r="A647" s="228"/>
      <c r="B647" s="228"/>
      <c r="C647" s="228"/>
      <c r="D647" s="310"/>
      <c r="E647" s="311"/>
      <c r="F647" s="228"/>
      <c r="G647" s="228"/>
      <c r="H647" s="228"/>
      <c r="I647" s="228"/>
      <c r="J647" s="228"/>
      <c r="K647" s="660"/>
      <c r="L647" s="228"/>
      <c r="M647" s="228"/>
      <c r="N647" s="228"/>
    </row>
    <row r="648">
      <c r="A648" s="228"/>
      <c r="B648" s="228"/>
      <c r="C648" s="228"/>
      <c r="D648" s="310"/>
      <c r="E648" s="311"/>
      <c r="F648" s="228"/>
      <c r="G648" s="228"/>
      <c r="H648" s="228"/>
      <c r="I648" s="228"/>
      <c r="J648" s="228"/>
      <c r="K648" s="660"/>
      <c r="L648" s="228"/>
      <c r="M648" s="228"/>
      <c r="N648" s="228"/>
    </row>
    <row r="649">
      <c r="A649" s="228"/>
      <c r="B649" s="228"/>
      <c r="C649" s="228"/>
      <c r="D649" s="310"/>
      <c r="E649" s="311"/>
      <c r="F649" s="228"/>
      <c r="G649" s="228"/>
      <c r="H649" s="228"/>
      <c r="I649" s="228"/>
      <c r="J649" s="228"/>
      <c r="K649" s="660"/>
      <c r="L649" s="228"/>
      <c r="M649" s="228"/>
      <c r="N649" s="228"/>
    </row>
    <row r="650">
      <c r="A650" s="228"/>
      <c r="B650" s="228"/>
      <c r="C650" s="228"/>
      <c r="D650" s="310"/>
      <c r="E650" s="311"/>
      <c r="F650" s="228"/>
      <c r="G650" s="228"/>
      <c r="H650" s="228"/>
      <c r="I650" s="228"/>
      <c r="J650" s="228"/>
      <c r="K650" s="660"/>
      <c r="L650" s="228"/>
      <c r="M650" s="228"/>
      <c r="N650" s="228"/>
    </row>
    <row r="651">
      <c r="A651" s="228"/>
      <c r="B651" s="228"/>
      <c r="C651" s="228"/>
      <c r="D651" s="310"/>
      <c r="E651" s="311"/>
      <c r="F651" s="228"/>
      <c r="G651" s="228"/>
      <c r="H651" s="228"/>
      <c r="I651" s="228"/>
      <c r="J651" s="228"/>
      <c r="K651" s="660"/>
      <c r="L651" s="228"/>
      <c r="M651" s="228"/>
      <c r="N651" s="228"/>
    </row>
    <row r="652">
      <c r="A652" s="228"/>
      <c r="B652" s="228"/>
      <c r="C652" s="228"/>
      <c r="D652" s="310"/>
      <c r="E652" s="311"/>
      <c r="F652" s="228"/>
      <c r="G652" s="228"/>
      <c r="H652" s="228"/>
      <c r="I652" s="228"/>
      <c r="J652" s="228"/>
      <c r="K652" s="660"/>
      <c r="L652" s="228"/>
      <c r="M652" s="228"/>
      <c r="N652" s="228"/>
    </row>
    <row r="653">
      <c r="A653" s="228"/>
      <c r="B653" s="228"/>
      <c r="C653" s="228"/>
      <c r="D653" s="310"/>
      <c r="E653" s="311"/>
      <c r="F653" s="228"/>
      <c r="G653" s="228"/>
      <c r="H653" s="228"/>
      <c r="I653" s="228"/>
      <c r="J653" s="228"/>
      <c r="K653" s="660"/>
      <c r="L653" s="228"/>
      <c r="M653" s="228"/>
      <c r="N653" s="228"/>
    </row>
    <row r="654">
      <c r="A654" s="228"/>
      <c r="B654" s="228"/>
      <c r="C654" s="228"/>
      <c r="D654" s="310"/>
      <c r="E654" s="311"/>
      <c r="F654" s="228"/>
      <c r="G654" s="228"/>
      <c r="H654" s="228"/>
      <c r="I654" s="228"/>
      <c r="J654" s="228"/>
      <c r="K654" s="660"/>
      <c r="L654" s="228"/>
      <c r="M654" s="228"/>
      <c r="N654" s="228"/>
    </row>
    <row r="655">
      <c r="A655" s="228"/>
      <c r="B655" s="228"/>
      <c r="C655" s="228"/>
      <c r="D655" s="310"/>
      <c r="E655" s="311"/>
      <c r="F655" s="228"/>
      <c r="G655" s="228"/>
      <c r="H655" s="228"/>
      <c r="I655" s="228"/>
      <c r="J655" s="228"/>
      <c r="K655" s="660"/>
      <c r="L655" s="228"/>
      <c r="M655" s="228"/>
      <c r="N655" s="228"/>
    </row>
    <row r="656">
      <c r="A656" s="228"/>
      <c r="B656" s="228"/>
      <c r="C656" s="228"/>
      <c r="D656" s="310"/>
      <c r="E656" s="311"/>
      <c r="F656" s="228"/>
      <c r="G656" s="228"/>
      <c r="H656" s="228"/>
      <c r="I656" s="228"/>
      <c r="J656" s="228"/>
      <c r="K656" s="660"/>
      <c r="L656" s="228"/>
      <c r="M656" s="228"/>
      <c r="N656" s="228"/>
    </row>
    <row r="657">
      <c r="A657" s="228"/>
      <c r="B657" s="228"/>
      <c r="C657" s="228"/>
      <c r="D657" s="310"/>
      <c r="E657" s="311"/>
      <c r="F657" s="228"/>
      <c r="G657" s="228"/>
      <c r="H657" s="228"/>
      <c r="I657" s="228"/>
      <c r="J657" s="228"/>
      <c r="K657" s="660"/>
      <c r="L657" s="228"/>
      <c r="M657" s="228"/>
      <c r="N657" s="228"/>
    </row>
    <row r="658">
      <c r="A658" s="228"/>
      <c r="B658" s="228"/>
      <c r="C658" s="228"/>
      <c r="D658" s="310"/>
      <c r="E658" s="311"/>
      <c r="F658" s="228"/>
      <c r="G658" s="228"/>
      <c r="H658" s="228"/>
      <c r="I658" s="228"/>
      <c r="J658" s="228"/>
      <c r="K658" s="660"/>
      <c r="L658" s="228"/>
      <c r="M658" s="228"/>
      <c r="N658" s="228"/>
    </row>
    <row r="659">
      <c r="A659" s="228"/>
      <c r="B659" s="228"/>
      <c r="C659" s="228"/>
      <c r="D659" s="310"/>
      <c r="E659" s="311"/>
      <c r="F659" s="228"/>
      <c r="G659" s="228"/>
      <c r="H659" s="228"/>
      <c r="I659" s="228"/>
      <c r="J659" s="228"/>
      <c r="K659" s="660"/>
      <c r="L659" s="228"/>
      <c r="M659" s="228"/>
      <c r="N659" s="228"/>
    </row>
    <row r="660">
      <c r="A660" s="228"/>
      <c r="B660" s="228"/>
      <c r="C660" s="228"/>
      <c r="D660" s="310"/>
      <c r="E660" s="311"/>
      <c r="F660" s="228"/>
      <c r="G660" s="228"/>
      <c r="H660" s="228"/>
      <c r="I660" s="228"/>
      <c r="J660" s="228"/>
      <c r="K660" s="660"/>
      <c r="L660" s="228"/>
      <c r="M660" s="228"/>
      <c r="N660" s="228"/>
    </row>
    <row r="661">
      <c r="A661" s="228"/>
      <c r="B661" s="228"/>
      <c r="C661" s="228"/>
      <c r="D661" s="310"/>
      <c r="E661" s="311"/>
      <c r="F661" s="228"/>
      <c r="G661" s="228"/>
      <c r="H661" s="228"/>
      <c r="I661" s="228"/>
      <c r="J661" s="228"/>
      <c r="K661" s="660"/>
      <c r="L661" s="228"/>
      <c r="M661" s="228"/>
      <c r="N661" s="228"/>
    </row>
    <row r="662">
      <c r="A662" s="228"/>
      <c r="B662" s="228"/>
      <c r="C662" s="228"/>
      <c r="D662" s="310"/>
      <c r="E662" s="311"/>
      <c r="F662" s="228"/>
      <c r="G662" s="228"/>
      <c r="H662" s="228"/>
      <c r="I662" s="228"/>
      <c r="J662" s="228"/>
      <c r="K662" s="660"/>
      <c r="L662" s="228"/>
      <c r="M662" s="228"/>
      <c r="N662" s="228"/>
    </row>
    <row r="663">
      <c r="A663" s="228"/>
      <c r="B663" s="228"/>
      <c r="C663" s="228"/>
      <c r="D663" s="310"/>
      <c r="E663" s="311"/>
      <c r="F663" s="228"/>
      <c r="G663" s="228"/>
      <c r="H663" s="228"/>
      <c r="I663" s="228"/>
      <c r="J663" s="228"/>
      <c r="K663" s="660"/>
      <c r="L663" s="228"/>
      <c r="M663" s="228"/>
      <c r="N663" s="228"/>
    </row>
    <row r="664">
      <c r="A664" s="228"/>
      <c r="B664" s="228"/>
      <c r="C664" s="228"/>
      <c r="D664" s="310"/>
      <c r="E664" s="311"/>
      <c r="F664" s="228"/>
      <c r="G664" s="228"/>
      <c r="H664" s="228"/>
      <c r="I664" s="228"/>
      <c r="J664" s="228"/>
      <c r="K664" s="660"/>
      <c r="L664" s="228"/>
      <c r="M664" s="228"/>
      <c r="N664" s="228"/>
    </row>
    <row r="665">
      <c r="A665" s="228"/>
      <c r="B665" s="228"/>
      <c r="C665" s="228"/>
      <c r="D665" s="310"/>
      <c r="E665" s="311"/>
      <c r="F665" s="228"/>
      <c r="G665" s="228"/>
      <c r="H665" s="228"/>
      <c r="I665" s="228"/>
      <c r="J665" s="228"/>
      <c r="K665" s="660"/>
      <c r="L665" s="228"/>
      <c r="M665" s="228"/>
      <c r="N665" s="228"/>
    </row>
    <row r="666">
      <c r="A666" s="228"/>
      <c r="B666" s="228"/>
      <c r="C666" s="228"/>
      <c r="D666" s="310"/>
      <c r="E666" s="311"/>
      <c r="F666" s="228"/>
      <c r="G666" s="228"/>
      <c r="H666" s="228"/>
      <c r="I666" s="228"/>
      <c r="J666" s="228"/>
      <c r="K666" s="660"/>
      <c r="L666" s="228"/>
      <c r="M666" s="228"/>
      <c r="N666" s="228"/>
    </row>
    <row r="667">
      <c r="A667" s="228"/>
      <c r="B667" s="228"/>
      <c r="C667" s="228"/>
      <c r="D667" s="310"/>
      <c r="E667" s="311"/>
      <c r="F667" s="228"/>
      <c r="G667" s="228"/>
      <c r="H667" s="228"/>
      <c r="I667" s="228"/>
      <c r="J667" s="228"/>
      <c r="K667" s="660"/>
      <c r="L667" s="228"/>
      <c r="M667" s="228"/>
      <c r="N667" s="228"/>
    </row>
    <row r="668">
      <c r="A668" s="228"/>
      <c r="B668" s="228"/>
      <c r="C668" s="228"/>
      <c r="D668" s="310"/>
      <c r="E668" s="311"/>
      <c r="F668" s="228"/>
      <c r="G668" s="228"/>
      <c r="H668" s="228"/>
      <c r="I668" s="228"/>
      <c r="J668" s="228"/>
      <c r="K668" s="660"/>
      <c r="L668" s="228"/>
      <c r="M668" s="228"/>
      <c r="N668" s="228"/>
    </row>
    <row r="669">
      <c r="A669" s="228"/>
      <c r="B669" s="228"/>
      <c r="C669" s="228"/>
      <c r="D669" s="310"/>
      <c r="E669" s="311"/>
      <c r="F669" s="228"/>
      <c r="G669" s="228"/>
      <c r="H669" s="228"/>
      <c r="I669" s="228"/>
      <c r="J669" s="228"/>
      <c r="K669" s="660"/>
      <c r="L669" s="228"/>
      <c r="M669" s="228"/>
      <c r="N669" s="228"/>
    </row>
    <row r="670">
      <c r="A670" s="228"/>
      <c r="B670" s="228"/>
      <c r="C670" s="228"/>
      <c r="D670" s="310"/>
      <c r="E670" s="311"/>
      <c r="F670" s="228"/>
      <c r="G670" s="228"/>
      <c r="H670" s="228"/>
      <c r="I670" s="228"/>
      <c r="J670" s="228"/>
      <c r="K670" s="660"/>
      <c r="L670" s="228"/>
      <c r="M670" s="228"/>
      <c r="N670" s="228"/>
    </row>
    <row r="671">
      <c r="A671" s="228"/>
      <c r="B671" s="228"/>
      <c r="C671" s="228"/>
      <c r="D671" s="310"/>
      <c r="E671" s="311"/>
      <c r="F671" s="228"/>
      <c r="G671" s="228"/>
      <c r="H671" s="228"/>
      <c r="I671" s="228"/>
      <c r="J671" s="228"/>
      <c r="K671" s="660"/>
      <c r="L671" s="228"/>
      <c r="M671" s="228"/>
      <c r="N671" s="228"/>
    </row>
    <row r="672">
      <c r="A672" s="228"/>
      <c r="B672" s="228"/>
      <c r="C672" s="228"/>
      <c r="D672" s="310"/>
      <c r="E672" s="311"/>
      <c r="F672" s="228"/>
      <c r="G672" s="228"/>
      <c r="H672" s="228"/>
      <c r="I672" s="228"/>
      <c r="J672" s="228"/>
      <c r="K672" s="660"/>
      <c r="L672" s="228"/>
      <c r="M672" s="228"/>
      <c r="N672" s="228"/>
    </row>
    <row r="673">
      <c r="A673" s="228"/>
      <c r="B673" s="228"/>
      <c r="C673" s="228"/>
      <c r="D673" s="310"/>
      <c r="E673" s="311"/>
      <c r="F673" s="228"/>
      <c r="G673" s="228"/>
      <c r="H673" s="228"/>
      <c r="I673" s="228"/>
      <c r="J673" s="228"/>
      <c r="K673" s="660"/>
      <c r="L673" s="228"/>
      <c r="M673" s="228"/>
      <c r="N673" s="228"/>
    </row>
    <row r="674">
      <c r="A674" s="228"/>
      <c r="B674" s="228"/>
      <c r="C674" s="228"/>
      <c r="D674" s="310"/>
      <c r="E674" s="311"/>
      <c r="F674" s="228"/>
      <c r="G674" s="228"/>
      <c r="H674" s="228"/>
      <c r="I674" s="228"/>
      <c r="J674" s="228"/>
      <c r="K674" s="660"/>
      <c r="L674" s="228"/>
      <c r="M674" s="228"/>
      <c r="N674" s="228"/>
    </row>
    <row r="675">
      <c r="A675" s="228"/>
      <c r="B675" s="228"/>
      <c r="C675" s="228"/>
      <c r="D675" s="310"/>
      <c r="E675" s="311"/>
      <c r="F675" s="228"/>
      <c r="G675" s="228"/>
      <c r="H675" s="228"/>
      <c r="I675" s="228"/>
      <c r="J675" s="228"/>
      <c r="K675" s="660"/>
      <c r="L675" s="228"/>
      <c r="M675" s="228"/>
      <c r="N675" s="228"/>
    </row>
    <row r="676">
      <c r="A676" s="228"/>
      <c r="B676" s="228"/>
      <c r="C676" s="228"/>
      <c r="D676" s="310"/>
      <c r="E676" s="311"/>
      <c r="F676" s="228"/>
      <c r="G676" s="228"/>
      <c r="H676" s="228"/>
      <c r="I676" s="228"/>
      <c r="J676" s="228"/>
      <c r="K676" s="660"/>
      <c r="L676" s="228"/>
      <c r="M676" s="228"/>
      <c r="N676" s="228"/>
    </row>
    <row r="677">
      <c r="A677" s="228"/>
      <c r="B677" s="228"/>
      <c r="C677" s="228"/>
      <c r="D677" s="310"/>
      <c r="E677" s="311"/>
      <c r="F677" s="228"/>
      <c r="G677" s="228"/>
      <c r="H677" s="228"/>
      <c r="I677" s="228"/>
      <c r="J677" s="228"/>
      <c r="K677" s="660"/>
      <c r="L677" s="228"/>
      <c r="M677" s="228"/>
      <c r="N677" s="228"/>
    </row>
    <row r="678">
      <c r="A678" s="228"/>
      <c r="B678" s="228"/>
      <c r="C678" s="228"/>
      <c r="D678" s="310"/>
      <c r="E678" s="311"/>
      <c r="F678" s="228"/>
      <c r="G678" s="228"/>
      <c r="H678" s="228"/>
      <c r="I678" s="228"/>
      <c r="J678" s="228"/>
      <c r="K678" s="660"/>
      <c r="L678" s="228"/>
      <c r="M678" s="228"/>
      <c r="N678" s="228"/>
    </row>
    <row r="679">
      <c r="A679" s="228"/>
      <c r="B679" s="228"/>
      <c r="C679" s="228"/>
      <c r="D679" s="310"/>
      <c r="E679" s="311"/>
      <c r="F679" s="228"/>
      <c r="G679" s="228"/>
      <c r="H679" s="228"/>
      <c r="I679" s="228"/>
      <c r="J679" s="228"/>
      <c r="K679" s="660"/>
      <c r="L679" s="228"/>
      <c r="M679" s="228"/>
      <c r="N679" s="228"/>
    </row>
    <row r="680">
      <c r="A680" s="228"/>
      <c r="B680" s="228"/>
      <c r="C680" s="228"/>
      <c r="D680" s="310"/>
      <c r="E680" s="311"/>
      <c r="F680" s="228"/>
      <c r="G680" s="228"/>
      <c r="H680" s="228"/>
      <c r="I680" s="228"/>
      <c r="J680" s="228"/>
      <c r="K680" s="660"/>
      <c r="L680" s="228"/>
      <c r="M680" s="228"/>
      <c r="N680" s="228"/>
    </row>
    <row r="681">
      <c r="A681" s="228"/>
      <c r="B681" s="228"/>
      <c r="C681" s="228"/>
      <c r="D681" s="310"/>
      <c r="E681" s="311"/>
      <c r="F681" s="228"/>
      <c r="G681" s="228"/>
      <c r="H681" s="228"/>
      <c r="I681" s="228"/>
      <c r="J681" s="228"/>
      <c r="K681" s="660"/>
      <c r="L681" s="228"/>
      <c r="M681" s="228"/>
      <c r="N681" s="228"/>
    </row>
    <row r="682">
      <c r="A682" s="228"/>
      <c r="B682" s="228"/>
      <c r="C682" s="228"/>
      <c r="D682" s="310"/>
      <c r="E682" s="311"/>
      <c r="F682" s="228"/>
      <c r="G682" s="228"/>
      <c r="H682" s="228"/>
      <c r="I682" s="228"/>
      <c r="J682" s="228"/>
      <c r="K682" s="660"/>
      <c r="L682" s="228"/>
      <c r="M682" s="228"/>
      <c r="N682" s="228"/>
    </row>
    <row r="683">
      <c r="A683" s="228"/>
      <c r="B683" s="228"/>
      <c r="C683" s="228"/>
      <c r="D683" s="310"/>
      <c r="E683" s="311"/>
      <c r="F683" s="228"/>
      <c r="G683" s="228"/>
      <c r="H683" s="228"/>
      <c r="I683" s="228"/>
      <c r="J683" s="228"/>
      <c r="K683" s="660"/>
      <c r="L683" s="228"/>
      <c r="M683" s="228"/>
      <c r="N683" s="228"/>
    </row>
    <row r="684">
      <c r="A684" s="228"/>
      <c r="B684" s="228"/>
      <c r="C684" s="228"/>
      <c r="D684" s="310"/>
      <c r="E684" s="311"/>
      <c r="F684" s="228"/>
      <c r="G684" s="228"/>
      <c r="H684" s="228"/>
      <c r="I684" s="228"/>
      <c r="J684" s="228"/>
      <c r="K684" s="660"/>
      <c r="L684" s="228"/>
      <c r="M684" s="228"/>
      <c r="N684" s="228"/>
    </row>
    <row r="685">
      <c r="A685" s="228"/>
      <c r="B685" s="228"/>
      <c r="C685" s="228"/>
      <c r="D685" s="310"/>
      <c r="E685" s="311"/>
      <c r="F685" s="228"/>
      <c r="G685" s="228"/>
      <c r="H685" s="228"/>
      <c r="I685" s="228"/>
      <c r="J685" s="228"/>
      <c r="K685" s="660"/>
      <c r="L685" s="228"/>
      <c r="M685" s="228"/>
      <c r="N685" s="228"/>
    </row>
    <row r="686">
      <c r="A686" s="228"/>
      <c r="B686" s="228"/>
      <c r="C686" s="228"/>
      <c r="D686" s="310"/>
      <c r="E686" s="311"/>
      <c r="F686" s="228"/>
      <c r="G686" s="228"/>
      <c r="H686" s="228"/>
      <c r="I686" s="228"/>
      <c r="J686" s="228"/>
      <c r="K686" s="660"/>
      <c r="L686" s="228"/>
      <c r="M686" s="228"/>
      <c r="N686" s="228"/>
    </row>
    <row r="687">
      <c r="A687" s="228"/>
      <c r="B687" s="228"/>
      <c r="C687" s="228"/>
      <c r="D687" s="310"/>
      <c r="E687" s="311"/>
      <c r="F687" s="228"/>
      <c r="G687" s="228"/>
      <c r="H687" s="228"/>
      <c r="I687" s="228"/>
      <c r="J687" s="228"/>
      <c r="K687" s="660"/>
      <c r="L687" s="228"/>
      <c r="M687" s="228"/>
      <c r="N687" s="228"/>
    </row>
    <row r="688">
      <c r="A688" s="228"/>
      <c r="B688" s="228"/>
      <c r="C688" s="228"/>
      <c r="D688" s="310"/>
      <c r="E688" s="311"/>
      <c r="F688" s="228"/>
      <c r="G688" s="228"/>
      <c r="H688" s="228"/>
      <c r="I688" s="228"/>
      <c r="J688" s="228"/>
      <c r="K688" s="660"/>
      <c r="L688" s="228"/>
      <c r="M688" s="228"/>
      <c r="N688" s="228"/>
    </row>
    <row r="689">
      <c r="A689" s="228"/>
      <c r="B689" s="228"/>
      <c r="C689" s="228"/>
      <c r="D689" s="310"/>
      <c r="E689" s="311"/>
      <c r="F689" s="228"/>
      <c r="G689" s="228"/>
      <c r="H689" s="228"/>
      <c r="I689" s="228"/>
      <c r="J689" s="228"/>
      <c r="K689" s="660"/>
      <c r="L689" s="228"/>
      <c r="M689" s="228"/>
      <c r="N689" s="228"/>
    </row>
    <row r="690">
      <c r="A690" s="228"/>
      <c r="B690" s="228"/>
      <c r="C690" s="228"/>
      <c r="D690" s="310"/>
      <c r="E690" s="311"/>
      <c r="F690" s="228"/>
      <c r="G690" s="228"/>
      <c r="H690" s="228"/>
      <c r="I690" s="228"/>
      <c r="J690" s="228"/>
      <c r="K690" s="660"/>
      <c r="L690" s="228"/>
      <c r="M690" s="228"/>
      <c r="N690" s="228"/>
    </row>
    <row r="691">
      <c r="A691" s="228"/>
      <c r="B691" s="228"/>
      <c r="C691" s="228"/>
      <c r="D691" s="310"/>
      <c r="E691" s="311"/>
      <c r="F691" s="228"/>
      <c r="G691" s="228"/>
      <c r="H691" s="228"/>
      <c r="I691" s="228"/>
      <c r="J691" s="228"/>
      <c r="K691" s="660"/>
      <c r="L691" s="228"/>
      <c r="M691" s="228"/>
      <c r="N691" s="228"/>
    </row>
    <row r="692">
      <c r="A692" s="228"/>
      <c r="B692" s="228"/>
      <c r="C692" s="228"/>
      <c r="D692" s="310"/>
      <c r="E692" s="311"/>
      <c r="F692" s="228"/>
      <c r="G692" s="228"/>
      <c r="H692" s="228"/>
      <c r="I692" s="228"/>
      <c r="J692" s="228"/>
      <c r="K692" s="660"/>
      <c r="L692" s="228"/>
      <c r="M692" s="228"/>
      <c r="N692" s="228"/>
    </row>
    <row r="693">
      <c r="A693" s="228"/>
      <c r="B693" s="228"/>
      <c r="C693" s="228"/>
      <c r="D693" s="310"/>
      <c r="E693" s="311"/>
      <c r="F693" s="228"/>
      <c r="G693" s="228"/>
      <c r="H693" s="228"/>
      <c r="I693" s="228"/>
      <c r="J693" s="228"/>
      <c r="K693" s="660"/>
      <c r="L693" s="228"/>
      <c r="M693" s="228"/>
      <c r="N693" s="228"/>
    </row>
    <row r="694">
      <c r="A694" s="228"/>
      <c r="B694" s="228"/>
      <c r="C694" s="228"/>
      <c r="D694" s="310"/>
      <c r="E694" s="311"/>
      <c r="F694" s="228"/>
      <c r="G694" s="228"/>
      <c r="H694" s="228"/>
      <c r="I694" s="228"/>
      <c r="J694" s="228"/>
      <c r="K694" s="660"/>
      <c r="L694" s="228"/>
      <c r="M694" s="228"/>
      <c r="N694" s="228"/>
    </row>
    <row r="695">
      <c r="A695" s="228"/>
      <c r="B695" s="228"/>
      <c r="C695" s="228"/>
      <c r="D695" s="310"/>
      <c r="E695" s="311"/>
      <c r="F695" s="228"/>
      <c r="G695" s="228"/>
      <c r="H695" s="228"/>
      <c r="I695" s="228"/>
      <c r="J695" s="228"/>
      <c r="K695" s="660"/>
      <c r="L695" s="228"/>
      <c r="M695" s="228"/>
      <c r="N695" s="228"/>
    </row>
    <row r="696">
      <c r="A696" s="228"/>
      <c r="B696" s="228"/>
      <c r="C696" s="228"/>
      <c r="D696" s="310"/>
      <c r="E696" s="311"/>
      <c r="F696" s="228"/>
      <c r="G696" s="228"/>
      <c r="H696" s="228"/>
      <c r="I696" s="228"/>
      <c r="J696" s="228"/>
      <c r="K696" s="660"/>
      <c r="L696" s="228"/>
      <c r="M696" s="228"/>
      <c r="N696" s="228"/>
    </row>
    <row r="697">
      <c r="A697" s="228"/>
      <c r="B697" s="228"/>
      <c r="C697" s="228"/>
      <c r="D697" s="310"/>
      <c r="E697" s="311"/>
      <c r="F697" s="228"/>
      <c r="G697" s="228"/>
      <c r="H697" s="228"/>
      <c r="I697" s="228"/>
      <c r="J697" s="228"/>
      <c r="K697" s="660"/>
      <c r="L697" s="228"/>
      <c r="M697" s="228"/>
      <c r="N697" s="228"/>
    </row>
    <row r="698">
      <c r="A698" s="228"/>
      <c r="B698" s="228"/>
      <c r="C698" s="228"/>
      <c r="D698" s="310"/>
      <c r="E698" s="311"/>
      <c r="F698" s="228"/>
      <c r="G698" s="228"/>
      <c r="H698" s="228"/>
      <c r="I698" s="228"/>
      <c r="J698" s="228"/>
      <c r="K698" s="660"/>
      <c r="L698" s="228"/>
      <c r="M698" s="228"/>
      <c r="N698" s="228"/>
    </row>
    <row r="699">
      <c r="A699" s="228"/>
      <c r="B699" s="228"/>
      <c r="C699" s="228"/>
      <c r="D699" s="310"/>
      <c r="E699" s="311"/>
      <c r="F699" s="228"/>
      <c r="G699" s="228"/>
      <c r="H699" s="228"/>
      <c r="I699" s="228"/>
      <c r="J699" s="228"/>
      <c r="K699" s="660"/>
      <c r="L699" s="228"/>
      <c r="M699" s="228"/>
      <c r="N699" s="228"/>
    </row>
    <row r="700">
      <c r="A700" s="228"/>
      <c r="B700" s="228"/>
      <c r="C700" s="228"/>
      <c r="D700" s="310"/>
      <c r="E700" s="311"/>
      <c r="F700" s="228"/>
      <c r="G700" s="228"/>
      <c r="H700" s="228"/>
      <c r="I700" s="228"/>
      <c r="J700" s="228"/>
      <c r="K700" s="660"/>
      <c r="L700" s="228"/>
      <c r="M700" s="228"/>
      <c r="N700" s="228"/>
    </row>
    <row r="701">
      <c r="A701" s="228"/>
      <c r="B701" s="228"/>
      <c r="C701" s="228"/>
      <c r="D701" s="310"/>
      <c r="E701" s="311"/>
      <c r="F701" s="228"/>
      <c r="G701" s="228"/>
      <c r="H701" s="228"/>
      <c r="I701" s="228"/>
      <c r="J701" s="228"/>
      <c r="K701" s="660"/>
      <c r="L701" s="228"/>
      <c r="M701" s="228"/>
      <c r="N701" s="228"/>
    </row>
    <row r="702">
      <c r="A702" s="228"/>
      <c r="B702" s="228"/>
      <c r="C702" s="228"/>
      <c r="D702" s="310"/>
      <c r="E702" s="311"/>
      <c r="F702" s="228"/>
      <c r="G702" s="228"/>
      <c r="H702" s="228"/>
      <c r="I702" s="228"/>
      <c r="J702" s="228"/>
      <c r="K702" s="660"/>
      <c r="L702" s="228"/>
      <c r="M702" s="228"/>
      <c r="N702" s="228"/>
    </row>
    <row r="703">
      <c r="A703" s="228"/>
      <c r="B703" s="228"/>
      <c r="C703" s="228"/>
      <c r="D703" s="310"/>
      <c r="E703" s="311"/>
      <c r="F703" s="228"/>
      <c r="G703" s="228"/>
      <c r="H703" s="228"/>
      <c r="I703" s="228"/>
      <c r="J703" s="228"/>
      <c r="K703" s="660"/>
      <c r="L703" s="228"/>
      <c r="M703" s="228"/>
      <c r="N703" s="228"/>
    </row>
    <row r="704">
      <c r="A704" s="228"/>
      <c r="B704" s="228"/>
      <c r="C704" s="228"/>
      <c r="D704" s="310"/>
      <c r="E704" s="311"/>
      <c r="F704" s="228"/>
      <c r="G704" s="228"/>
      <c r="H704" s="228"/>
      <c r="I704" s="228"/>
      <c r="J704" s="228"/>
      <c r="K704" s="660"/>
      <c r="L704" s="228"/>
      <c r="M704" s="228"/>
      <c r="N704" s="228"/>
    </row>
    <row r="705">
      <c r="A705" s="228"/>
      <c r="B705" s="228"/>
      <c r="C705" s="228"/>
      <c r="D705" s="310"/>
      <c r="E705" s="311"/>
      <c r="F705" s="228"/>
      <c r="G705" s="228"/>
      <c r="H705" s="228"/>
      <c r="I705" s="228"/>
      <c r="J705" s="228"/>
      <c r="K705" s="660"/>
      <c r="L705" s="228"/>
      <c r="M705" s="228"/>
      <c r="N705" s="228"/>
    </row>
    <row r="706">
      <c r="A706" s="228"/>
      <c r="B706" s="228"/>
      <c r="C706" s="228"/>
      <c r="D706" s="310"/>
      <c r="E706" s="311"/>
      <c r="F706" s="228"/>
      <c r="G706" s="228"/>
      <c r="H706" s="228"/>
      <c r="I706" s="228"/>
      <c r="J706" s="228"/>
      <c r="K706" s="660"/>
      <c r="L706" s="228"/>
      <c r="M706" s="228"/>
      <c r="N706" s="228"/>
    </row>
    <row r="707">
      <c r="A707" s="228"/>
      <c r="B707" s="228"/>
      <c r="C707" s="228"/>
      <c r="D707" s="310"/>
      <c r="E707" s="311"/>
      <c r="F707" s="228"/>
      <c r="G707" s="228"/>
      <c r="H707" s="228"/>
      <c r="I707" s="228"/>
      <c r="J707" s="228"/>
      <c r="K707" s="660"/>
      <c r="L707" s="228"/>
      <c r="M707" s="228"/>
      <c r="N707" s="228"/>
    </row>
    <row r="708">
      <c r="A708" s="228"/>
      <c r="B708" s="228"/>
      <c r="C708" s="228"/>
      <c r="D708" s="310"/>
      <c r="E708" s="311"/>
      <c r="F708" s="228"/>
      <c r="G708" s="228"/>
      <c r="H708" s="228"/>
      <c r="I708" s="228"/>
      <c r="J708" s="228"/>
      <c r="K708" s="660"/>
      <c r="L708" s="228"/>
      <c r="M708" s="228"/>
      <c r="N708" s="228"/>
    </row>
    <row r="709">
      <c r="A709" s="228"/>
      <c r="B709" s="228"/>
      <c r="C709" s="228"/>
      <c r="D709" s="310"/>
      <c r="E709" s="311"/>
      <c r="F709" s="228"/>
      <c r="G709" s="228"/>
      <c r="H709" s="228"/>
      <c r="I709" s="228"/>
      <c r="J709" s="228"/>
      <c r="K709" s="660"/>
      <c r="L709" s="228"/>
      <c r="M709" s="228"/>
      <c r="N709" s="228"/>
    </row>
    <row r="710">
      <c r="A710" s="228"/>
      <c r="B710" s="228"/>
      <c r="C710" s="228"/>
      <c r="D710" s="310"/>
      <c r="E710" s="311"/>
      <c r="F710" s="228"/>
      <c r="G710" s="228"/>
      <c r="H710" s="228"/>
      <c r="I710" s="228"/>
      <c r="J710" s="228"/>
      <c r="K710" s="660"/>
      <c r="L710" s="228"/>
      <c r="M710" s="228"/>
      <c r="N710" s="228"/>
    </row>
    <row r="711">
      <c r="A711" s="228"/>
      <c r="B711" s="228"/>
      <c r="C711" s="228"/>
      <c r="D711" s="310"/>
      <c r="E711" s="311"/>
      <c r="F711" s="228"/>
      <c r="G711" s="228"/>
      <c r="H711" s="228"/>
      <c r="I711" s="228"/>
      <c r="J711" s="228"/>
      <c r="K711" s="660"/>
      <c r="L711" s="228"/>
      <c r="M711" s="228"/>
      <c r="N711" s="228"/>
    </row>
    <row r="712">
      <c r="A712" s="228"/>
      <c r="B712" s="228"/>
      <c r="C712" s="228"/>
      <c r="D712" s="310"/>
      <c r="E712" s="311"/>
      <c r="F712" s="228"/>
      <c r="G712" s="228"/>
      <c r="H712" s="228"/>
      <c r="I712" s="228"/>
      <c r="J712" s="228"/>
      <c r="K712" s="660"/>
      <c r="L712" s="228"/>
      <c r="M712" s="228"/>
      <c r="N712" s="228"/>
    </row>
    <row r="713">
      <c r="A713" s="228"/>
      <c r="B713" s="228"/>
      <c r="C713" s="228"/>
      <c r="D713" s="310"/>
      <c r="E713" s="311"/>
      <c r="F713" s="228"/>
      <c r="G713" s="228"/>
      <c r="H713" s="228"/>
      <c r="I713" s="228"/>
      <c r="J713" s="228"/>
      <c r="K713" s="660"/>
      <c r="L713" s="228"/>
      <c r="M713" s="228"/>
      <c r="N713" s="228"/>
    </row>
    <row r="714">
      <c r="A714" s="228"/>
      <c r="B714" s="228"/>
      <c r="C714" s="228"/>
      <c r="D714" s="310"/>
      <c r="E714" s="311"/>
      <c r="F714" s="228"/>
      <c r="G714" s="228"/>
      <c r="H714" s="228"/>
      <c r="I714" s="228"/>
      <c r="J714" s="228"/>
      <c r="K714" s="660"/>
      <c r="L714" s="228"/>
      <c r="M714" s="228"/>
      <c r="N714" s="228"/>
    </row>
    <row r="715">
      <c r="A715" s="228"/>
      <c r="B715" s="228"/>
      <c r="C715" s="228"/>
      <c r="D715" s="310"/>
      <c r="E715" s="311"/>
      <c r="F715" s="228"/>
      <c r="G715" s="228"/>
      <c r="H715" s="228"/>
      <c r="I715" s="228"/>
      <c r="J715" s="228"/>
      <c r="K715" s="660"/>
      <c r="L715" s="228"/>
      <c r="M715" s="228"/>
      <c r="N715" s="228"/>
    </row>
    <row r="716">
      <c r="A716" s="228"/>
      <c r="B716" s="228"/>
      <c r="C716" s="228"/>
      <c r="D716" s="310"/>
      <c r="E716" s="311"/>
      <c r="F716" s="228"/>
      <c r="G716" s="228"/>
      <c r="H716" s="228"/>
      <c r="I716" s="228"/>
      <c r="J716" s="228"/>
      <c r="K716" s="660"/>
      <c r="L716" s="228"/>
      <c r="M716" s="228"/>
      <c r="N716" s="228"/>
    </row>
    <row r="717">
      <c r="A717" s="228"/>
      <c r="B717" s="228"/>
      <c r="C717" s="228"/>
      <c r="D717" s="310"/>
      <c r="E717" s="311"/>
      <c r="F717" s="228"/>
      <c r="G717" s="228"/>
      <c r="H717" s="228"/>
      <c r="I717" s="228"/>
      <c r="J717" s="228"/>
      <c r="K717" s="660"/>
      <c r="L717" s="228"/>
      <c r="M717" s="228"/>
      <c r="N717" s="228"/>
    </row>
    <row r="718">
      <c r="A718" s="228"/>
      <c r="B718" s="228"/>
      <c r="C718" s="228"/>
      <c r="D718" s="310"/>
      <c r="E718" s="311"/>
      <c r="F718" s="228"/>
      <c r="G718" s="228"/>
      <c r="H718" s="228"/>
      <c r="I718" s="228"/>
      <c r="J718" s="228"/>
      <c r="K718" s="660"/>
      <c r="L718" s="228"/>
      <c r="M718" s="228"/>
      <c r="N718" s="228"/>
    </row>
    <row r="719">
      <c r="A719" s="228"/>
      <c r="B719" s="228"/>
      <c r="C719" s="228"/>
      <c r="D719" s="310"/>
      <c r="E719" s="311"/>
      <c r="F719" s="228"/>
      <c r="G719" s="228"/>
      <c r="H719" s="228"/>
      <c r="I719" s="228"/>
      <c r="J719" s="228"/>
      <c r="K719" s="660"/>
      <c r="L719" s="228"/>
      <c r="M719" s="228"/>
      <c r="N719" s="228"/>
    </row>
    <row r="720">
      <c r="A720" s="228"/>
      <c r="B720" s="228"/>
      <c r="C720" s="228"/>
      <c r="D720" s="310"/>
      <c r="E720" s="311"/>
      <c r="F720" s="228"/>
      <c r="G720" s="228"/>
      <c r="H720" s="228"/>
      <c r="I720" s="228"/>
      <c r="J720" s="228"/>
      <c r="K720" s="660"/>
      <c r="L720" s="228"/>
      <c r="M720" s="228"/>
      <c r="N720" s="228"/>
    </row>
    <row r="721">
      <c r="A721" s="228"/>
      <c r="B721" s="228"/>
      <c r="C721" s="228"/>
      <c r="D721" s="310"/>
      <c r="E721" s="311"/>
      <c r="F721" s="228"/>
      <c r="G721" s="228"/>
      <c r="H721" s="228"/>
      <c r="I721" s="228"/>
      <c r="J721" s="228"/>
      <c r="K721" s="660"/>
      <c r="L721" s="228"/>
      <c r="M721" s="228"/>
      <c r="N721" s="228"/>
    </row>
    <row r="722">
      <c r="A722" s="228"/>
      <c r="B722" s="228"/>
      <c r="C722" s="228"/>
      <c r="D722" s="310"/>
      <c r="E722" s="311"/>
      <c r="F722" s="228"/>
      <c r="G722" s="228"/>
      <c r="H722" s="228"/>
      <c r="I722" s="228"/>
      <c r="J722" s="228"/>
      <c r="K722" s="660"/>
      <c r="L722" s="228"/>
      <c r="M722" s="228"/>
      <c r="N722" s="228"/>
    </row>
    <row r="723">
      <c r="A723" s="228"/>
      <c r="B723" s="228"/>
      <c r="C723" s="228"/>
      <c r="D723" s="310"/>
      <c r="E723" s="311"/>
      <c r="F723" s="228"/>
      <c r="G723" s="228"/>
      <c r="H723" s="228"/>
      <c r="I723" s="228"/>
      <c r="J723" s="228"/>
      <c r="K723" s="660"/>
      <c r="L723" s="228"/>
      <c r="M723" s="228"/>
      <c r="N723" s="228"/>
    </row>
    <row r="724">
      <c r="A724" s="228"/>
      <c r="B724" s="228"/>
      <c r="C724" s="228"/>
      <c r="D724" s="310"/>
      <c r="E724" s="311"/>
      <c r="F724" s="228"/>
      <c r="G724" s="228"/>
      <c r="H724" s="228"/>
      <c r="I724" s="228"/>
      <c r="J724" s="228"/>
      <c r="K724" s="660"/>
      <c r="L724" s="228"/>
      <c r="M724" s="228"/>
      <c r="N724" s="228"/>
    </row>
    <row r="725">
      <c r="A725" s="228"/>
      <c r="B725" s="228"/>
      <c r="C725" s="228"/>
      <c r="D725" s="310"/>
      <c r="E725" s="311"/>
      <c r="F725" s="228"/>
      <c r="G725" s="228"/>
      <c r="H725" s="228"/>
      <c r="I725" s="228"/>
      <c r="J725" s="228"/>
      <c r="K725" s="660"/>
      <c r="L725" s="228"/>
      <c r="M725" s="228"/>
      <c r="N725" s="228"/>
    </row>
    <row r="726">
      <c r="A726" s="228"/>
      <c r="B726" s="228"/>
      <c r="C726" s="228"/>
      <c r="D726" s="310"/>
      <c r="E726" s="311"/>
      <c r="F726" s="228"/>
      <c r="G726" s="228"/>
      <c r="H726" s="228"/>
      <c r="I726" s="228"/>
      <c r="J726" s="228"/>
      <c r="K726" s="660"/>
      <c r="L726" s="228"/>
      <c r="M726" s="228"/>
      <c r="N726" s="228"/>
    </row>
    <row r="727">
      <c r="A727" s="228"/>
      <c r="B727" s="228"/>
      <c r="C727" s="228"/>
      <c r="D727" s="310"/>
      <c r="E727" s="311"/>
      <c r="F727" s="228"/>
      <c r="G727" s="228"/>
      <c r="H727" s="228"/>
      <c r="I727" s="228"/>
      <c r="J727" s="228"/>
      <c r="K727" s="660"/>
      <c r="L727" s="228"/>
      <c r="M727" s="228"/>
      <c r="N727" s="228"/>
    </row>
    <row r="728">
      <c r="A728" s="228"/>
      <c r="B728" s="228"/>
      <c r="C728" s="228"/>
      <c r="D728" s="310"/>
      <c r="E728" s="311"/>
      <c r="F728" s="228"/>
      <c r="G728" s="228"/>
      <c r="H728" s="228"/>
      <c r="I728" s="228"/>
      <c r="J728" s="228"/>
      <c r="K728" s="660"/>
      <c r="L728" s="228"/>
      <c r="M728" s="228"/>
      <c r="N728" s="228"/>
    </row>
    <row r="729">
      <c r="A729" s="228"/>
      <c r="B729" s="228"/>
      <c r="C729" s="228"/>
      <c r="D729" s="310"/>
      <c r="E729" s="311"/>
      <c r="F729" s="228"/>
      <c r="G729" s="228"/>
      <c r="H729" s="228"/>
      <c r="I729" s="228"/>
      <c r="J729" s="228"/>
      <c r="K729" s="660"/>
      <c r="L729" s="228"/>
      <c r="M729" s="228"/>
      <c r="N729" s="228"/>
    </row>
    <row r="730">
      <c r="A730" s="228"/>
      <c r="B730" s="228"/>
      <c r="C730" s="228"/>
      <c r="D730" s="310"/>
      <c r="E730" s="311"/>
      <c r="F730" s="228"/>
      <c r="G730" s="228"/>
      <c r="H730" s="228"/>
      <c r="I730" s="228"/>
      <c r="J730" s="228"/>
      <c r="K730" s="660"/>
      <c r="L730" s="228"/>
      <c r="M730" s="228"/>
      <c r="N730" s="228"/>
    </row>
    <row r="731">
      <c r="A731" s="228"/>
      <c r="B731" s="228"/>
      <c r="C731" s="228"/>
      <c r="D731" s="310"/>
      <c r="E731" s="311"/>
      <c r="F731" s="228"/>
      <c r="G731" s="228"/>
      <c r="H731" s="228"/>
      <c r="I731" s="228"/>
      <c r="J731" s="228"/>
      <c r="K731" s="660"/>
      <c r="L731" s="228"/>
      <c r="M731" s="228"/>
      <c r="N731" s="228"/>
    </row>
    <row r="732">
      <c r="A732" s="228"/>
      <c r="B732" s="228"/>
      <c r="C732" s="228"/>
      <c r="D732" s="310"/>
      <c r="E732" s="311"/>
      <c r="F732" s="228"/>
      <c r="G732" s="228"/>
      <c r="H732" s="228"/>
      <c r="I732" s="228"/>
      <c r="J732" s="228"/>
      <c r="K732" s="660"/>
      <c r="L732" s="228"/>
      <c r="M732" s="228"/>
      <c r="N732" s="228"/>
    </row>
    <row r="733">
      <c r="A733" s="228"/>
      <c r="B733" s="228"/>
      <c r="C733" s="228"/>
      <c r="D733" s="310"/>
      <c r="E733" s="311"/>
      <c r="F733" s="228"/>
      <c r="G733" s="228"/>
      <c r="H733" s="228"/>
      <c r="I733" s="228"/>
      <c r="J733" s="228"/>
      <c r="K733" s="660"/>
      <c r="L733" s="228"/>
      <c r="M733" s="228"/>
      <c r="N733" s="228"/>
    </row>
    <row r="734">
      <c r="A734" s="228"/>
      <c r="B734" s="228"/>
      <c r="C734" s="228"/>
      <c r="D734" s="310"/>
      <c r="E734" s="311"/>
      <c r="F734" s="228"/>
      <c r="G734" s="228"/>
      <c r="H734" s="228"/>
      <c r="I734" s="228"/>
      <c r="J734" s="228"/>
      <c r="K734" s="660"/>
      <c r="L734" s="228"/>
      <c r="M734" s="228"/>
      <c r="N734" s="228"/>
    </row>
    <row r="735">
      <c r="A735" s="228"/>
      <c r="B735" s="228"/>
      <c r="C735" s="228"/>
      <c r="D735" s="310"/>
      <c r="E735" s="311"/>
      <c r="F735" s="228"/>
      <c r="G735" s="228"/>
      <c r="H735" s="228"/>
      <c r="I735" s="228"/>
      <c r="J735" s="228"/>
      <c r="K735" s="660"/>
      <c r="L735" s="228"/>
      <c r="M735" s="228"/>
      <c r="N735" s="228"/>
    </row>
    <row r="736">
      <c r="A736" s="228"/>
      <c r="B736" s="228"/>
      <c r="C736" s="228"/>
      <c r="D736" s="310"/>
      <c r="E736" s="311"/>
      <c r="F736" s="228"/>
      <c r="G736" s="228"/>
      <c r="H736" s="228"/>
      <c r="I736" s="228"/>
      <c r="J736" s="228"/>
      <c r="K736" s="660"/>
      <c r="L736" s="228"/>
      <c r="M736" s="228"/>
      <c r="N736" s="228"/>
    </row>
    <row r="737">
      <c r="A737" s="228"/>
      <c r="B737" s="228"/>
      <c r="C737" s="228"/>
      <c r="D737" s="310"/>
      <c r="E737" s="311"/>
      <c r="F737" s="228"/>
      <c r="G737" s="228"/>
      <c r="H737" s="228"/>
      <c r="I737" s="228"/>
      <c r="J737" s="228"/>
      <c r="K737" s="660"/>
      <c r="L737" s="228"/>
      <c r="M737" s="228"/>
      <c r="N737" s="228"/>
    </row>
    <row r="738">
      <c r="A738" s="228"/>
      <c r="B738" s="228"/>
      <c r="C738" s="228"/>
      <c r="D738" s="310"/>
      <c r="E738" s="311"/>
      <c r="F738" s="228"/>
      <c r="G738" s="228"/>
      <c r="H738" s="228"/>
      <c r="I738" s="228"/>
      <c r="J738" s="228"/>
      <c r="K738" s="660"/>
      <c r="L738" s="228"/>
      <c r="M738" s="228"/>
      <c r="N738" s="228"/>
    </row>
    <row r="739">
      <c r="A739" s="228"/>
      <c r="B739" s="228"/>
      <c r="C739" s="228"/>
      <c r="D739" s="310"/>
      <c r="E739" s="311"/>
      <c r="F739" s="228"/>
      <c r="G739" s="228"/>
      <c r="H739" s="228"/>
      <c r="I739" s="228"/>
      <c r="J739" s="228"/>
      <c r="K739" s="660"/>
      <c r="L739" s="228"/>
      <c r="M739" s="228"/>
      <c r="N739" s="228"/>
    </row>
    <row r="740">
      <c r="A740" s="228"/>
      <c r="B740" s="228"/>
      <c r="C740" s="228"/>
      <c r="D740" s="310"/>
      <c r="E740" s="311"/>
      <c r="F740" s="228"/>
      <c r="G740" s="228"/>
      <c r="H740" s="228"/>
      <c r="I740" s="228"/>
      <c r="J740" s="228"/>
      <c r="K740" s="660"/>
      <c r="L740" s="228"/>
      <c r="M740" s="228"/>
      <c r="N740" s="228"/>
    </row>
    <row r="741">
      <c r="A741" s="228"/>
      <c r="B741" s="228"/>
      <c r="C741" s="228"/>
      <c r="D741" s="310"/>
      <c r="E741" s="311"/>
      <c r="F741" s="228"/>
      <c r="G741" s="228"/>
      <c r="H741" s="228"/>
      <c r="I741" s="228"/>
      <c r="J741" s="228"/>
      <c r="K741" s="660"/>
      <c r="L741" s="228"/>
      <c r="M741" s="228"/>
      <c r="N741" s="228"/>
    </row>
    <row r="742">
      <c r="A742" s="228"/>
      <c r="B742" s="228"/>
      <c r="C742" s="228"/>
      <c r="D742" s="310"/>
      <c r="E742" s="311"/>
      <c r="F742" s="228"/>
      <c r="G742" s="228"/>
      <c r="H742" s="228"/>
      <c r="I742" s="228"/>
      <c r="J742" s="228"/>
      <c r="K742" s="660"/>
      <c r="L742" s="228"/>
      <c r="M742" s="228"/>
      <c r="N742" s="228"/>
    </row>
    <row r="743">
      <c r="A743" s="228"/>
      <c r="B743" s="228"/>
      <c r="C743" s="228"/>
      <c r="D743" s="310"/>
      <c r="E743" s="311"/>
      <c r="F743" s="228"/>
      <c r="G743" s="228"/>
      <c r="H743" s="228"/>
      <c r="I743" s="228"/>
      <c r="J743" s="228"/>
      <c r="K743" s="660"/>
      <c r="L743" s="228"/>
      <c r="M743" s="228"/>
      <c r="N743" s="228"/>
    </row>
    <row r="744">
      <c r="A744" s="228"/>
      <c r="B744" s="228"/>
      <c r="C744" s="228"/>
      <c r="D744" s="310"/>
      <c r="E744" s="311"/>
      <c r="F744" s="228"/>
      <c r="G744" s="228"/>
      <c r="H744" s="228"/>
      <c r="I744" s="228"/>
      <c r="J744" s="228"/>
      <c r="K744" s="660"/>
      <c r="L744" s="228"/>
      <c r="M744" s="228"/>
      <c r="N744" s="228"/>
    </row>
    <row r="745">
      <c r="A745" s="228"/>
      <c r="B745" s="228"/>
      <c r="C745" s="228"/>
      <c r="D745" s="310"/>
      <c r="E745" s="311"/>
      <c r="F745" s="228"/>
      <c r="G745" s="228"/>
      <c r="H745" s="228"/>
      <c r="I745" s="228"/>
      <c r="J745" s="228"/>
      <c r="K745" s="660"/>
      <c r="L745" s="228"/>
      <c r="M745" s="228"/>
      <c r="N745" s="228"/>
    </row>
    <row r="746">
      <c r="A746" s="228"/>
      <c r="B746" s="228"/>
      <c r="C746" s="228"/>
      <c r="D746" s="310"/>
      <c r="E746" s="311"/>
      <c r="F746" s="228"/>
      <c r="G746" s="228"/>
      <c r="H746" s="228"/>
      <c r="I746" s="228"/>
      <c r="J746" s="228"/>
      <c r="K746" s="660"/>
      <c r="L746" s="228"/>
      <c r="M746" s="228"/>
      <c r="N746" s="228"/>
    </row>
    <row r="747">
      <c r="A747" s="228"/>
      <c r="B747" s="228"/>
      <c r="C747" s="228"/>
      <c r="D747" s="310"/>
      <c r="E747" s="311"/>
      <c r="F747" s="228"/>
      <c r="G747" s="228"/>
      <c r="H747" s="228"/>
      <c r="I747" s="228"/>
      <c r="J747" s="228"/>
      <c r="K747" s="660"/>
      <c r="L747" s="228"/>
      <c r="M747" s="228"/>
      <c r="N747" s="228"/>
    </row>
    <row r="748">
      <c r="A748" s="228"/>
      <c r="B748" s="228"/>
      <c r="C748" s="228"/>
      <c r="D748" s="310"/>
      <c r="E748" s="311"/>
      <c r="F748" s="228"/>
      <c r="G748" s="228"/>
      <c r="H748" s="228"/>
      <c r="I748" s="228"/>
      <c r="J748" s="228"/>
      <c r="K748" s="660"/>
      <c r="L748" s="228"/>
      <c r="M748" s="228"/>
      <c r="N748" s="228"/>
    </row>
    <row r="749">
      <c r="A749" s="228"/>
      <c r="B749" s="228"/>
      <c r="C749" s="228"/>
      <c r="D749" s="310"/>
      <c r="E749" s="311"/>
      <c r="F749" s="228"/>
      <c r="G749" s="228"/>
      <c r="H749" s="228"/>
      <c r="I749" s="228"/>
      <c r="J749" s="228"/>
      <c r="K749" s="660"/>
      <c r="L749" s="228"/>
      <c r="M749" s="228"/>
      <c r="N749" s="228"/>
    </row>
    <row r="750">
      <c r="A750" s="228"/>
      <c r="B750" s="228"/>
      <c r="C750" s="228"/>
      <c r="D750" s="310"/>
      <c r="E750" s="311"/>
      <c r="F750" s="228"/>
      <c r="G750" s="228"/>
      <c r="H750" s="228"/>
      <c r="I750" s="228"/>
      <c r="J750" s="228"/>
      <c r="K750" s="660"/>
      <c r="L750" s="228"/>
      <c r="M750" s="228"/>
      <c r="N750" s="228"/>
    </row>
    <row r="751">
      <c r="A751" s="228"/>
      <c r="B751" s="228"/>
      <c r="C751" s="228"/>
      <c r="D751" s="310"/>
      <c r="E751" s="311"/>
      <c r="F751" s="228"/>
      <c r="G751" s="228"/>
      <c r="H751" s="228"/>
      <c r="I751" s="228"/>
      <c r="J751" s="228"/>
      <c r="K751" s="660"/>
      <c r="L751" s="228"/>
      <c r="M751" s="228"/>
      <c r="N751" s="228"/>
    </row>
    <row r="752">
      <c r="A752" s="228"/>
      <c r="B752" s="228"/>
      <c r="C752" s="228"/>
      <c r="D752" s="310"/>
      <c r="E752" s="311"/>
      <c r="F752" s="228"/>
      <c r="G752" s="228"/>
      <c r="H752" s="228"/>
      <c r="I752" s="228"/>
      <c r="J752" s="228"/>
      <c r="K752" s="660"/>
      <c r="L752" s="228"/>
      <c r="M752" s="228"/>
      <c r="N752" s="228"/>
    </row>
    <row r="753">
      <c r="A753" s="228"/>
      <c r="B753" s="228"/>
      <c r="C753" s="228"/>
      <c r="D753" s="310"/>
      <c r="E753" s="311"/>
      <c r="F753" s="228"/>
      <c r="G753" s="228"/>
      <c r="H753" s="228"/>
      <c r="I753" s="228"/>
      <c r="J753" s="228"/>
      <c r="K753" s="660"/>
      <c r="L753" s="228"/>
      <c r="M753" s="228"/>
      <c r="N753" s="228"/>
    </row>
    <row r="754">
      <c r="A754" s="228"/>
      <c r="B754" s="228"/>
      <c r="C754" s="228"/>
      <c r="D754" s="310"/>
      <c r="E754" s="311"/>
      <c r="F754" s="228"/>
      <c r="G754" s="228"/>
      <c r="H754" s="228"/>
      <c r="I754" s="228"/>
      <c r="J754" s="228"/>
      <c r="K754" s="660"/>
      <c r="L754" s="228"/>
      <c r="M754" s="228"/>
      <c r="N754" s="228"/>
    </row>
    <row r="755">
      <c r="A755" s="228"/>
      <c r="B755" s="228"/>
      <c r="C755" s="228"/>
      <c r="D755" s="310"/>
      <c r="E755" s="311"/>
      <c r="F755" s="228"/>
      <c r="G755" s="228"/>
      <c r="H755" s="228"/>
      <c r="I755" s="228"/>
      <c r="J755" s="228"/>
      <c r="K755" s="660"/>
      <c r="L755" s="228"/>
      <c r="M755" s="228"/>
      <c r="N755" s="228"/>
    </row>
    <row r="756">
      <c r="A756" s="228"/>
      <c r="B756" s="228"/>
      <c r="C756" s="228"/>
      <c r="D756" s="310"/>
      <c r="E756" s="311"/>
      <c r="F756" s="228"/>
      <c r="G756" s="228"/>
      <c r="H756" s="228"/>
      <c r="I756" s="228"/>
      <c r="J756" s="228"/>
      <c r="K756" s="660"/>
      <c r="L756" s="228"/>
      <c r="M756" s="228"/>
      <c r="N756" s="228"/>
    </row>
    <row r="757">
      <c r="A757" s="228"/>
      <c r="B757" s="228"/>
      <c r="C757" s="228"/>
      <c r="D757" s="310"/>
      <c r="E757" s="311"/>
      <c r="F757" s="228"/>
      <c r="G757" s="228"/>
      <c r="H757" s="228"/>
      <c r="I757" s="228"/>
      <c r="J757" s="228"/>
      <c r="K757" s="660"/>
      <c r="L757" s="228"/>
      <c r="M757" s="228"/>
      <c r="N757" s="228"/>
    </row>
    <row r="758">
      <c r="A758" s="228"/>
      <c r="B758" s="228"/>
      <c r="C758" s="228"/>
      <c r="D758" s="310"/>
      <c r="E758" s="311"/>
      <c r="F758" s="228"/>
      <c r="G758" s="228"/>
      <c r="H758" s="228"/>
      <c r="I758" s="228"/>
      <c r="J758" s="228"/>
      <c r="K758" s="660"/>
      <c r="L758" s="228"/>
      <c r="M758" s="228"/>
      <c r="N758" s="228"/>
    </row>
    <row r="759">
      <c r="A759" s="228"/>
      <c r="B759" s="228"/>
      <c r="C759" s="228"/>
      <c r="D759" s="310"/>
      <c r="E759" s="311"/>
      <c r="F759" s="228"/>
      <c r="G759" s="228"/>
      <c r="H759" s="228"/>
      <c r="I759" s="228"/>
      <c r="J759" s="228"/>
      <c r="K759" s="660"/>
      <c r="L759" s="228"/>
      <c r="M759" s="228"/>
      <c r="N759" s="228"/>
    </row>
    <row r="760">
      <c r="A760" s="228"/>
      <c r="B760" s="228"/>
      <c r="C760" s="228"/>
      <c r="D760" s="310"/>
      <c r="E760" s="311"/>
      <c r="F760" s="228"/>
      <c r="G760" s="228"/>
      <c r="H760" s="228"/>
      <c r="I760" s="228"/>
      <c r="J760" s="228"/>
      <c r="K760" s="660"/>
      <c r="L760" s="228"/>
      <c r="M760" s="228"/>
      <c r="N760" s="228"/>
    </row>
    <row r="761">
      <c r="A761" s="228"/>
      <c r="B761" s="228"/>
      <c r="C761" s="228"/>
      <c r="D761" s="310"/>
      <c r="E761" s="311"/>
      <c r="F761" s="228"/>
      <c r="G761" s="228"/>
      <c r="H761" s="228"/>
      <c r="I761" s="228"/>
      <c r="J761" s="228"/>
      <c r="K761" s="660"/>
      <c r="L761" s="228"/>
      <c r="M761" s="228"/>
      <c r="N761" s="228"/>
    </row>
    <row r="762">
      <c r="A762" s="228"/>
      <c r="B762" s="228"/>
      <c r="C762" s="228"/>
      <c r="D762" s="310"/>
      <c r="E762" s="311"/>
      <c r="F762" s="228"/>
      <c r="G762" s="228"/>
      <c r="H762" s="228"/>
      <c r="I762" s="228"/>
      <c r="J762" s="228"/>
      <c r="K762" s="660"/>
      <c r="L762" s="228"/>
      <c r="M762" s="228"/>
      <c r="N762" s="228"/>
    </row>
    <row r="763">
      <c r="A763" s="228"/>
      <c r="B763" s="228"/>
      <c r="C763" s="228"/>
      <c r="D763" s="310"/>
      <c r="E763" s="311"/>
      <c r="F763" s="228"/>
      <c r="G763" s="228"/>
      <c r="H763" s="228"/>
      <c r="I763" s="228"/>
      <c r="J763" s="228"/>
      <c r="K763" s="660"/>
      <c r="L763" s="228"/>
      <c r="M763" s="228"/>
      <c r="N763" s="228"/>
    </row>
    <row r="764">
      <c r="A764" s="228"/>
      <c r="B764" s="228"/>
      <c r="C764" s="228"/>
      <c r="D764" s="310"/>
      <c r="E764" s="311"/>
      <c r="F764" s="228"/>
      <c r="G764" s="228"/>
      <c r="H764" s="228"/>
      <c r="I764" s="228"/>
      <c r="J764" s="228"/>
      <c r="K764" s="660"/>
      <c r="L764" s="228"/>
      <c r="M764" s="228"/>
      <c r="N764" s="228"/>
    </row>
    <row r="765">
      <c r="A765" s="228"/>
      <c r="B765" s="228"/>
      <c r="C765" s="228"/>
      <c r="D765" s="310"/>
      <c r="E765" s="311"/>
      <c r="F765" s="228"/>
      <c r="G765" s="228"/>
      <c r="H765" s="228"/>
      <c r="I765" s="228"/>
      <c r="J765" s="228"/>
      <c r="K765" s="660"/>
      <c r="L765" s="228"/>
      <c r="M765" s="228"/>
      <c r="N765" s="228"/>
    </row>
    <row r="766">
      <c r="A766" s="228"/>
      <c r="B766" s="228"/>
      <c r="C766" s="228"/>
      <c r="D766" s="310"/>
      <c r="E766" s="311"/>
      <c r="F766" s="228"/>
      <c r="G766" s="228"/>
      <c r="H766" s="228"/>
      <c r="I766" s="228"/>
      <c r="J766" s="228"/>
      <c r="K766" s="660"/>
      <c r="L766" s="228"/>
      <c r="M766" s="228"/>
      <c r="N766" s="228"/>
    </row>
    <row r="767">
      <c r="A767" s="228"/>
      <c r="B767" s="228"/>
      <c r="C767" s="228"/>
      <c r="D767" s="310"/>
      <c r="E767" s="311"/>
      <c r="F767" s="228"/>
      <c r="G767" s="228"/>
      <c r="H767" s="228"/>
      <c r="I767" s="228"/>
      <c r="J767" s="228"/>
      <c r="K767" s="660"/>
      <c r="L767" s="228"/>
      <c r="M767" s="228"/>
      <c r="N767" s="228"/>
    </row>
    <row r="768">
      <c r="A768" s="228"/>
      <c r="B768" s="228"/>
      <c r="C768" s="228"/>
      <c r="D768" s="310"/>
      <c r="E768" s="311"/>
      <c r="F768" s="228"/>
      <c r="G768" s="228"/>
      <c r="H768" s="228"/>
      <c r="I768" s="228"/>
      <c r="J768" s="228"/>
      <c r="K768" s="660"/>
      <c r="L768" s="228"/>
      <c r="M768" s="228"/>
      <c r="N768" s="228"/>
    </row>
    <row r="769">
      <c r="A769" s="228"/>
      <c r="B769" s="228"/>
      <c r="C769" s="228"/>
      <c r="D769" s="310"/>
      <c r="E769" s="311"/>
      <c r="F769" s="228"/>
      <c r="G769" s="228"/>
      <c r="H769" s="228"/>
      <c r="I769" s="228"/>
      <c r="J769" s="228"/>
      <c r="K769" s="660"/>
      <c r="L769" s="228"/>
      <c r="M769" s="228"/>
      <c r="N769" s="228"/>
    </row>
    <row r="770">
      <c r="A770" s="228"/>
      <c r="B770" s="228"/>
      <c r="C770" s="228"/>
      <c r="D770" s="310"/>
      <c r="E770" s="311"/>
      <c r="F770" s="228"/>
      <c r="G770" s="228"/>
      <c r="H770" s="228"/>
      <c r="I770" s="228"/>
      <c r="J770" s="228"/>
      <c r="K770" s="660"/>
      <c r="L770" s="228"/>
      <c r="M770" s="228"/>
      <c r="N770" s="228"/>
    </row>
    <row r="771">
      <c r="A771" s="228"/>
      <c r="B771" s="228"/>
      <c r="C771" s="228"/>
      <c r="D771" s="310"/>
      <c r="E771" s="311"/>
      <c r="F771" s="228"/>
      <c r="G771" s="228"/>
      <c r="H771" s="228"/>
      <c r="I771" s="228"/>
      <c r="J771" s="228"/>
      <c r="K771" s="660"/>
      <c r="L771" s="228"/>
      <c r="M771" s="228"/>
      <c r="N771" s="228"/>
    </row>
    <row r="772">
      <c r="A772" s="228"/>
      <c r="B772" s="228"/>
      <c r="C772" s="228"/>
      <c r="D772" s="310"/>
      <c r="E772" s="311"/>
      <c r="F772" s="228"/>
      <c r="G772" s="228"/>
      <c r="H772" s="228"/>
      <c r="I772" s="228"/>
      <c r="J772" s="228"/>
      <c r="K772" s="660"/>
      <c r="L772" s="228"/>
      <c r="M772" s="228"/>
      <c r="N772" s="228"/>
    </row>
    <row r="773">
      <c r="A773" s="228"/>
      <c r="B773" s="228"/>
      <c r="C773" s="228"/>
      <c r="D773" s="310"/>
      <c r="E773" s="311"/>
      <c r="F773" s="228"/>
      <c r="G773" s="228"/>
      <c r="H773" s="228"/>
      <c r="I773" s="228"/>
      <c r="J773" s="228"/>
      <c r="K773" s="660"/>
      <c r="L773" s="228"/>
      <c r="M773" s="228"/>
      <c r="N773" s="228"/>
    </row>
    <row r="774">
      <c r="A774" s="228"/>
      <c r="B774" s="228"/>
      <c r="C774" s="228"/>
      <c r="D774" s="310"/>
      <c r="E774" s="311"/>
      <c r="F774" s="228"/>
      <c r="G774" s="228"/>
      <c r="H774" s="228"/>
      <c r="I774" s="228"/>
      <c r="J774" s="228"/>
      <c r="K774" s="660"/>
      <c r="L774" s="228"/>
      <c r="M774" s="228"/>
      <c r="N774" s="228"/>
    </row>
    <row r="775">
      <c r="A775" s="228"/>
      <c r="B775" s="228"/>
      <c r="C775" s="228"/>
      <c r="D775" s="310"/>
      <c r="E775" s="311"/>
      <c r="F775" s="228"/>
      <c r="G775" s="228"/>
      <c r="H775" s="228"/>
      <c r="I775" s="228"/>
      <c r="J775" s="228"/>
      <c r="K775" s="660"/>
      <c r="L775" s="228"/>
      <c r="M775" s="228"/>
      <c r="N775" s="228"/>
    </row>
    <row r="776">
      <c r="A776" s="228"/>
      <c r="B776" s="228"/>
      <c r="C776" s="228"/>
      <c r="D776" s="310"/>
      <c r="E776" s="311"/>
      <c r="F776" s="228"/>
      <c r="G776" s="228"/>
      <c r="H776" s="228"/>
      <c r="I776" s="228"/>
      <c r="J776" s="228"/>
      <c r="K776" s="660"/>
      <c r="L776" s="228"/>
      <c r="M776" s="228"/>
      <c r="N776" s="228"/>
    </row>
    <row r="777">
      <c r="A777" s="228"/>
      <c r="B777" s="228"/>
      <c r="C777" s="228"/>
      <c r="D777" s="310"/>
      <c r="E777" s="311"/>
      <c r="F777" s="228"/>
      <c r="G777" s="228"/>
      <c r="H777" s="228"/>
      <c r="I777" s="228"/>
      <c r="J777" s="228"/>
      <c r="K777" s="660"/>
      <c r="L777" s="228"/>
      <c r="M777" s="228"/>
      <c r="N777" s="228"/>
    </row>
    <row r="778">
      <c r="A778" s="228"/>
      <c r="B778" s="228"/>
      <c r="C778" s="228"/>
      <c r="D778" s="310"/>
      <c r="E778" s="311"/>
      <c r="F778" s="228"/>
      <c r="G778" s="228"/>
      <c r="H778" s="228"/>
      <c r="I778" s="228"/>
      <c r="J778" s="228"/>
      <c r="K778" s="660"/>
      <c r="L778" s="228"/>
      <c r="M778" s="228"/>
      <c r="N778" s="228"/>
    </row>
    <row r="779">
      <c r="A779" s="228"/>
      <c r="B779" s="228"/>
      <c r="C779" s="228"/>
      <c r="D779" s="310"/>
      <c r="E779" s="311"/>
      <c r="F779" s="228"/>
      <c r="G779" s="228"/>
      <c r="H779" s="228"/>
      <c r="I779" s="228"/>
      <c r="J779" s="228"/>
      <c r="K779" s="660"/>
      <c r="L779" s="228"/>
      <c r="M779" s="228"/>
      <c r="N779" s="228"/>
    </row>
    <row r="780">
      <c r="A780" s="228"/>
      <c r="B780" s="228"/>
      <c r="C780" s="228"/>
      <c r="D780" s="310"/>
      <c r="E780" s="311"/>
      <c r="F780" s="228"/>
      <c r="G780" s="228"/>
      <c r="H780" s="228"/>
      <c r="I780" s="228"/>
      <c r="J780" s="228"/>
      <c r="K780" s="660"/>
      <c r="L780" s="228"/>
      <c r="M780" s="228"/>
      <c r="N780" s="228"/>
    </row>
    <row r="781">
      <c r="A781" s="228"/>
      <c r="B781" s="228"/>
      <c r="C781" s="228"/>
      <c r="D781" s="310"/>
      <c r="E781" s="311"/>
      <c r="F781" s="228"/>
      <c r="G781" s="228"/>
      <c r="H781" s="228"/>
      <c r="I781" s="228"/>
      <c r="J781" s="228"/>
      <c r="K781" s="660"/>
      <c r="L781" s="228"/>
      <c r="M781" s="228"/>
      <c r="N781" s="228"/>
    </row>
    <row r="782">
      <c r="A782" s="228"/>
      <c r="B782" s="228"/>
      <c r="C782" s="228"/>
      <c r="D782" s="310"/>
      <c r="E782" s="311"/>
      <c r="F782" s="228"/>
      <c r="G782" s="228"/>
      <c r="H782" s="228"/>
      <c r="I782" s="228"/>
      <c r="J782" s="228"/>
      <c r="K782" s="660"/>
      <c r="L782" s="228"/>
      <c r="M782" s="228"/>
      <c r="N782" s="228"/>
    </row>
    <row r="783">
      <c r="A783" s="228"/>
      <c r="B783" s="228"/>
      <c r="C783" s="228"/>
      <c r="D783" s="310"/>
      <c r="E783" s="311"/>
      <c r="F783" s="228"/>
      <c r="G783" s="228"/>
      <c r="H783" s="228"/>
      <c r="I783" s="228"/>
      <c r="J783" s="228"/>
      <c r="K783" s="660"/>
      <c r="L783" s="228"/>
      <c r="M783" s="228"/>
      <c r="N783" s="228"/>
    </row>
    <row r="784">
      <c r="A784" s="228"/>
      <c r="B784" s="228"/>
      <c r="C784" s="228"/>
      <c r="D784" s="310"/>
      <c r="E784" s="311"/>
      <c r="F784" s="228"/>
      <c r="G784" s="228"/>
      <c r="H784" s="228"/>
      <c r="I784" s="228"/>
      <c r="J784" s="228"/>
      <c r="K784" s="660"/>
      <c r="L784" s="228"/>
      <c r="M784" s="228"/>
      <c r="N784" s="228"/>
    </row>
    <row r="785">
      <c r="A785" s="228"/>
      <c r="B785" s="228"/>
      <c r="C785" s="228"/>
      <c r="D785" s="310"/>
      <c r="E785" s="311"/>
      <c r="F785" s="228"/>
      <c r="G785" s="228"/>
      <c r="H785" s="228"/>
      <c r="I785" s="228"/>
      <c r="J785" s="228"/>
      <c r="K785" s="660"/>
      <c r="L785" s="228"/>
      <c r="M785" s="228"/>
      <c r="N785" s="228"/>
    </row>
    <row r="786">
      <c r="A786" s="228"/>
      <c r="B786" s="228"/>
      <c r="C786" s="228"/>
      <c r="D786" s="310"/>
      <c r="E786" s="311"/>
      <c r="F786" s="228"/>
      <c r="G786" s="228"/>
      <c r="H786" s="228"/>
      <c r="I786" s="228"/>
      <c r="J786" s="228"/>
      <c r="K786" s="660"/>
      <c r="L786" s="228"/>
      <c r="M786" s="228"/>
      <c r="N786" s="228"/>
    </row>
    <row r="787">
      <c r="A787" s="228"/>
      <c r="B787" s="228"/>
      <c r="C787" s="228"/>
      <c r="D787" s="310"/>
      <c r="E787" s="311"/>
      <c r="F787" s="228"/>
      <c r="G787" s="228"/>
      <c r="H787" s="228"/>
      <c r="I787" s="228"/>
      <c r="J787" s="228"/>
      <c r="K787" s="660"/>
      <c r="L787" s="228"/>
      <c r="M787" s="228"/>
      <c r="N787" s="228"/>
    </row>
    <row r="788">
      <c r="A788" s="228"/>
      <c r="B788" s="228"/>
      <c r="C788" s="228"/>
      <c r="D788" s="310"/>
      <c r="E788" s="311"/>
      <c r="F788" s="228"/>
      <c r="G788" s="228"/>
      <c r="H788" s="228"/>
      <c r="I788" s="228"/>
      <c r="J788" s="228"/>
      <c r="K788" s="660"/>
      <c r="L788" s="228"/>
      <c r="M788" s="228"/>
      <c r="N788" s="228"/>
    </row>
    <row r="789">
      <c r="A789" s="228"/>
      <c r="B789" s="228"/>
      <c r="C789" s="228"/>
      <c r="D789" s="310"/>
      <c r="E789" s="311"/>
      <c r="F789" s="228"/>
      <c r="G789" s="228"/>
      <c r="H789" s="228"/>
      <c r="I789" s="228"/>
      <c r="J789" s="228"/>
      <c r="K789" s="660"/>
      <c r="L789" s="228"/>
      <c r="M789" s="228"/>
      <c r="N789" s="228"/>
    </row>
    <row r="790">
      <c r="A790" s="228"/>
      <c r="B790" s="228"/>
      <c r="C790" s="228"/>
      <c r="D790" s="310"/>
      <c r="E790" s="311"/>
      <c r="F790" s="228"/>
      <c r="G790" s="228"/>
      <c r="H790" s="228"/>
      <c r="I790" s="228"/>
      <c r="J790" s="228"/>
      <c r="K790" s="660"/>
      <c r="L790" s="228"/>
      <c r="M790" s="228"/>
      <c r="N790" s="228"/>
    </row>
    <row r="791">
      <c r="A791" s="228"/>
      <c r="B791" s="228"/>
      <c r="C791" s="228"/>
      <c r="D791" s="310"/>
      <c r="E791" s="311"/>
      <c r="F791" s="228"/>
      <c r="G791" s="228"/>
      <c r="H791" s="228"/>
      <c r="I791" s="228"/>
      <c r="J791" s="228"/>
      <c r="K791" s="660"/>
      <c r="L791" s="228"/>
      <c r="M791" s="228"/>
      <c r="N791" s="228"/>
    </row>
    <row r="792">
      <c r="A792" s="228"/>
      <c r="B792" s="228"/>
      <c r="C792" s="228"/>
      <c r="D792" s="310"/>
      <c r="E792" s="311"/>
      <c r="F792" s="228"/>
      <c r="G792" s="228"/>
      <c r="H792" s="228"/>
      <c r="I792" s="228"/>
      <c r="J792" s="228"/>
      <c r="K792" s="660"/>
      <c r="L792" s="228"/>
      <c r="M792" s="228"/>
      <c r="N792" s="228"/>
    </row>
    <row r="793">
      <c r="A793" s="228"/>
      <c r="B793" s="228"/>
      <c r="C793" s="228"/>
      <c r="D793" s="310"/>
      <c r="E793" s="311"/>
      <c r="F793" s="228"/>
      <c r="G793" s="228"/>
      <c r="H793" s="228"/>
      <c r="I793" s="228"/>
      <c r="J793" s="228"/>
      <c r="K793" s="660"/>
      <c r="L793" s="228"/>
      <c r="M793" s="228"/>
      <c r="N793" s="228"/>
    </row>
    <row r="794">
      <c r="A794" s="228"/>
      <c r="B794" s="228"/>
      <c r="C794" s="228"/>
      <c r="D794" s="310"/>
      <c r="E794" s="311"/>
      <c r="F794" s="228"/>
      <c r="G794" s="228"/>
      <c r="H794" s="228"/>
      <c r="I794" s="228"/>
      <c r="J794" s="228"/>
      <c r="K794" s="660"/>
      <c r="L794" s="228"/>
      <c r="M794" s="228"/>
      <c r="N794" s="228"/>
    </row>
    <row r="795">
      <c r="A795" s="228"/>
      <c r="B795" s="228"/>
      <c r="C795" s="228"/>
      <c r="D795" s="310"/>
      <c r="E795" s="311"/>
      <c r="F795" s="228"/>
      <c r="G795" s="228"/>
      <c r="H795" s="228"/>
      <c r="I795" s="228"/>
      <c r="J795" s="228"/>
      <c r="K795" s="660"/>
      <c r="L795" s="228"/>
      <c r="M795" s="228"/>
      <c r="N795" s="228"/>
    </row>
    <row r="796">
      <c r="A796" s="228"/>
      <c r="B796" s="228"/>
      <c r="C796" s="228"/>
      <c r="D796" s="310"/>
      <c r="E796" s="311"/>
      <c r="F796" s="228"/>
      <c r="G796" s="228"/>
      <c r="H796" s="228"/>
      <c r="I796" s="228"/>
      <c r="J796" s="228"/>
      <c r="K796" s="660"/>
      <c r="L796" s="228"/>
      <c r="M796" s="228"/>
      <c r="N796" s="228"/>
    </row>
    <row r="797">
      <c r="A797" s="228"/>
      <c r="B797" s="228"/>
      <c r="C797" s="228"/>
      <c r="D797" s="310"/>
      <c r="E797" s="311"/>
      <c r="F797" s="228"/>
      <c r="G797" s="228"/>
      <c r="H797" s="228"/>
      <c r="I797" s="228"/>
      <c r="J797" s="228"/>
      <c r="K797" s="660"/>
      <c r="L797" s="228"/>
      <c r="M797" s="228"/>
      <c r="N797" s="228"/>
    </row>
    <row r="798">
      <c r="A798" s="228"/>
      <c r="B798" s="228"/>
      <c r="C798" s="228"/>
      <c r="D798" s="310"/>
      <c r="E798" s="311"/>
      <c r="F798" s="228"/>
      <c r="G798" s="228"/>
      <c r="H798" s="228"/>
      <c r="I798" s="228"/>
      <c r="J798" s="228"/>
      <c r="K798" s="660"/>
      <c r="L798" s="228"/>
      <c r="M798" s="228"/>
      <c r="N798" s="228"/>
    </row>
    <row r="799">
      <c r="A799" s="228"/>
      <c r="B799" s="228"/>
      <c r="C799" s="228"/>
      <c r="D799" s="310"/>
      <c r="E799" s="311"/>
      <c r="F799" s="228"/>
      <c r="G799" s="228"/>
      <c r="H799" s="228"/>
      <c r="I799" s="228"/>
      <c r="J799" s="228"/>
      <c r="K799" s="660"/>
      <c r="L799" s="228"/>
      <c r="M799" s="228"/>
      <c r="N799" s="228"/>
    </row>
    <row r="800">
      <c r="A800" s="228"/>
      <c r="B800" s="228"/>
      <c r="C800" s="228"/>
      <c r="D800" s="310"/>
      <c r="E800" s="311"/>
      <c r="F800" s="228"/>
      <c r="G800" s="228"/>
      <c r="H800" s="228"/>
      <c r="I800" s="228"/>
      <c r="J800" s="228"/>
      <c r="K800" s="660"/>
      <c r="L800" s="228"/>
      <c r="M800" s="228"/>
      <c r="N800" s="228"/>
    </row>
    <row r="801">
      <c r="A801" s="228"/>
      <c r="B801" s="228"/>
      <c r="C801" s="228"/>
      <c r="D801" s="310"/>
      <c r="E801" s="311"/>
      <c r="F801" s="228"/>
      <c r="G801" s="228"/>
      <c r="H801" s="228"/>
      <c r="I801" s="228"/>
      <c r="J801" s="228"/>
      <c r="K801" s="660"/>
      <c r="L801" s="228"/>
      <c r="M801" s="228"/>
      <c r="N801" s="228"/>
    </row>
    <row r="802">
      <c r="A802" s="228"/>
      <c r="B802" s="228"/>
      <c r="C802" s="228"/>
      <c r="D802" s="310"/>
      <c r="E802" s="311"/>
      <c r="F802" s="228"/>
      <c r="G802" s="228"/>
      <c r="H802" s="228"/>
      <c r="I802" s="228"/>
      <c r="J802" s="228"/>
      <c r="K802" s="660"/>
      <c r="L802" s="228"/>
      <c r="M802" s="228"/>
      <c r="N802" s="228"/>
    </row>
    <row r="803">
      <c r="A803" s="228"/>
      <c r="B803" s="228"/>
      <c r="C803" s="228"/>
      <c r="D803" s="310"/>
      <c r="E803" s="311"/>
      <c r="F803" s="228"/>
      <c r="G803" s="228"/>
      <c r="H803" s="228"/>
      <c r="I803" s="228"/>
      <c r="J803" s="228"/>
      <c r="K803" s="660"/>
      <c r="L803" s="228"/>
      <c r="M803" s="228"/>
      <c r="N803" s="228"/>
    </row>
    <row r="804">
      <c r="A804" s="228"/>
      <c r="B804" s="228"/>
      <c r="C804" s="228"/>
      <c r="D804" s="310"/>
      <c r="E804" s="311"/>
      <c r="F804" s="228"/>
      <c r="G804" s="228"/>
      <c r="H804" s="228"/>
      <c r="I804" s="228"/>
      <c r="J804" s="228"/>
      <c r="K804" s="660"/>
      <c r="L804" s="228"/>
      <c r="M804" s="228"/>
      <c r="N804" s="228"/>
    </row>
    <row r="805">
      <c r="A805" s="228"/>
      <c r="B805" s="228"/>
      <c r="C805" s="228"/>
      <c r="D805" s="310"/>
      <c r="E805" s="311"/>
      <c r="F805" s="228"/>
      <c r="G805" s="228"/>
      <c r="H805" s="228"/>
      <c r="I805" s="228"/>
      <c r="J805" s="228"/>
      <c r="K805" s="660"/>
      <c r="L805" s="228"/>
      <c r="M805" s="228"/>
      <c r="N805" s="228"/>
    </row>
    <row r="806">
      <c r="A806" s="228"/>
      <c r="B806" s="228"/>
      <c r="C806" s="228"/>
      <c r="D806" s="310"/>
      <c r="E806" s="311"/>
      <c r="F806" s="228"/>
      <c r="G806" s="228"/>
      <c r="H806" s="228"/>
      <c r="I806" s="228"/>
      <c r="J806" s="228"/>
      <c r="K806" s="660"/>
      <c r="L806" s="228"/>
      <c r="M806" s="228"/>
      <c r="N806" s="228"/>
    </row>
    <row r="807">
      <c r="A807" s="228"/>
      <c r="B807" s="228"/>
      <c r="C807" s="228"/>
      <c r="D807" s="310"/>
      <c r="E807" s="311"/>
      <c r="F807" s="228"/>
      <c r="G807" s="228"/>
      <c r="H807" s="228"/>
      <c r="I807" s="228"/>
      <c r="J807" s="228"/>
      <c r="K807" s="660"/>
      <c r="L807" s="228"/>
      <c r="M807" s="228"/>
      <c r="N807" s="228"/>
    </row>
    <row r="808">
      <c r="A808" s="228"/>
      <c r="B808" s="228"/>
      <c r="C808" s="228"/>
      <c r="D808" s="310"/>
      <c r="E808" s="311"/>
      <c r="F808" s="228"/>
      <c r="G808" s="228"/>
      <c r="H808" s="228"/>
      <c r="I808" s="228"/>
      <c r="J808" s="228"/>
      <c r="K808" s="660"/>
      <c r="L808" s="228"/>
      <c r="M808" s="228"/>
      <c r="N808" s="228"/>
    </row>
    <row r="809">
      <c r="A809" s="228"/>
      <c r="B809" s="228"/>
      <c r="C809" s="228"/>
      <c r="D809" s="310"/>
      <c r="E809" s="311"/>
      <c r="F809" s="228"/>
      <c r="G809" s="228"/>
      <c r="H809" s="228"/>
      <c r="I809" s="228"/>
      <c r="J809" s="228"/>
      <c r="K809" s="660"/>
      <c r="L809" s="228"/>
      <c r="M809" s="228"/>
      <c r="N809" s="228"/>
    </row>
    <row r="810">
      <c r="A810" s="228"/>
      <c r="B810" s="228"/>
      <c r="C810" s="228"/>
      <c r="D810" s="310"/>
      <c r="E810" s="311"/>
      <c r="F810" s="228"/>
      <c r="G810" s="228"/>
      <c r="H810" s="228"/>
      <c r="I810" s="228"/>
      <c r="J810" s="228"/>
      <c r="K810" s="660"/>
      <c r="L810" s="228"/>
      <c r="M810" s="228"/>
      <c r="N810" s="228"/>
    </row>
    <row r="811">
      <c r="A811" s="228"/>
      <c r="B811" s="228"/>
      <c r="C811" s="228"/>
      <c r="D811" s="310"/>
      <c r="E811" s="311"/>
      <c r="F811" s="228"/>
      <c r="G811" s="228"/>
      <c r="H811" s="228"/>
      <c r="I811" s="228"/>
      <c r="J811" s="228"/>
      <c r="K811" s="660"/>
      <c r="L811" s="228"/>
      <c r="M811" s="228"/>
      <c r="N811" s="228"/>
    </row>
    <row r="812">
      <c r="A812" s="228"/>
      <c r="B812" s="228"/>
      <c r="C812" s="228"/>
      <c r="D812" s="310"/>
      <c r="E812" s="311"/>
      <c r="F812" s="228"/>
      <c r="G812" s="228"/>
      <c r="H812" s="228"/>
      <c r="I812" s="228"/>
      <c r="J812" s="228"/>
      <c r="K812" s="660"/>
      <c r="L812" s="228"/>
      <c r="M812" s="228"/>
      <c r="N812" s="228"/>
    </row>
    <row r="813">
      <c r="A813" s="228"/>
      <c r="B813" s="228"/>
      <c r="C813" s="228"/>
      <c r="D813" s="310"/>
      <c r="E813" s="311"/>
      <c r="F813" s="228"/>
      <c r="G813" s="228"/>
      <c r="H813" s="228"/>
      <c r="I813" s="228"/>
      <c r="J813" s="228"/>
      <c r="K813" s="660"/>
      <c r="L813" s="228"/>
      <c r="M813" s="228"/>
      <c r="N813" s="228"/>
    </row>
    <row r="814">
      <c r="A814" s="228"/>
      <c r="B814" s="228"/>
      <c r="C814" s="228"/>
      <c r="D814" s="310"/>
      <c r="E814" s="311"/>
      <c r="F814" s="228"/>
      <c r="G814" s="228"/>
      <c r="H814" s="228"/>
      <c r="I814" s="228"/>
      <c r="J814" s="228"/>
      <c r="K814" s="660"/>
      <c r="L814" s="228"/>
      <c r="M814" s="228"/>
      <c r="N814" s="228"/>
    </row>
    <row r="815">
      <c r="A815" s="228"/>
      <c r="B815" s="228"/>
      <c r="C815" s="228"/>
      <c r="D815" s="310"/>
      <c r="E815" s="311"/>
      <c r="F815" s="228"/>
      <c r="G815" s="228"/>
      <c r="H815" s="228"/>
      <c r="I815" s="228"/>
      <c r="J815" s="228"/>
      <c r="K815" s="660"/>
      <c r="L815" s="228"/>
      <c r="M815" s="228"/>
      <c r="N815" s="228"/>
    </row>
    <row r="816">
      <c r="A816" s="228"/>
      <c r="B816" s="228"/>
      <c r="C816" s="228"/>
      <c r="D816" s="310"/>
      <c r="E816" s="311"/>
      <c r="F816" s="228"/>
      <c r="G816" s="228"/>
      <c r="H816" s="228"/>
      <c r="I816" s="228"/>
      <c r="J816" s="228"/>
      <c r="K816" s="660"/>
      <c r="L816" s="228"/>
      <c r="M816" s="228"/>
      <c r="N816" s="228"/>
    </row>
    <row r="817">
      <c r="A817" s="228"/>
      <c r="B817" s="228"/>
      <c r="C817" s="228"/>
      <c r="D817" s="310"/>
      <c r="E817" s="311"/>
      <c r="F817" s="228"/>
      <c r="G817" s="228"/>
      <c r="H817" s="228"/>
      <c r="I817" s="228"/>
      <c r="J817" s="228"/>
      <c r="K817" s="660"/>
      <c r="L817" s="228"/>
      <c r="M817" s="228"/>
      <c r="N817" s="228"/>
    </row>
    <row r="818">
      <c r="A818" s="228"/>
      <c r="B818" s="228"/>
      <c r="C818" s="228"/>
      <c r="D818" s="310"/>
      <c r="E818" s="311"/>
      <c r="F818" s="228"/>
      <c r="G818" s="228"/>
      <c r="H818" s="228"/>
      <c r="I818" s="228"/>
      <c r="J818" s="228"/>
      <c r="K818" s="660"/>
      <c r="L818" s="228"/>
      <c r="M818" s="228"/>
      <c r="N818" s="228"/>
    </row>
    <row r="819">
      <c r="A819" s="228"/>
      <c r="B819" s="228"/>
      <c r="C819" s="228"/>
      <c r="D819" s="310"/>
      <c r="E819" s="311"/>
      <c r="F819" s="228"/>
      <c r="G819" s="228"/>
      <c r="H819" s="228"/>
      <c r="I819" s="228"/>
      <c r="J819" s="228"/>
      <c r="K819" s="660"/>
      <c r="L819" s="228"/>
      <c r="M819" s="228"/>
      <c r="N819" s="228"/>
    </row>
    <row r="820">
      <c r="A820" s="228"/>
      <c r="B820" s="228"/>
      <c r="C820" s="228"/>
      <c r="D820" s="310"/>
      <c r="E820" s="311"/>
      <c r="F820" s="228"/>
      <c r="G820" s="228"/>
      <c r="H820" s="228"/>
      <c r="I820" s="228"/>
      <c r="J820" s="228"/>
      <c r="K820" s="660"/>
      <c r="L820" s="228"/>
      <c r="M820" s="228"/>
      <c r="N820" s="228"/>
    </row>
    <row r="821">
      <c r="A821" s="228"/>
      <c r="B821" s="228"/>
      <c r="C821" s="228"/>
      <c r="D821" s="310"/>
      <c r="E821" s="311"/>
      <c r="F821" s="228"/>
      <c r="G821" s="228"/>
      <c r="H821" s="228"/>
      <c r="I821" s="228"/>
      <c r="J821" s="228"/>
      <c r="K821" s="660"/>
      <c r="L821" s="228"/>
      <c r="M821" s="228"/>
      <c r="N821" s="228"/>
    </row>
    <row r="822">
      <c r="A822" s="228"/>
      <c r="B822" s="228"/>
      <c r="C822" s="228"/>
      <c r="D822" s="310"/>
      <c r="E822" s="311"/>
      <c r="F822" s="228"/>
      <c r="G822" s="228"/>
      <c r="H822" s="228"/>
      <c r="I822" s="228"/>
      <c r="J822" s="228"/>
      <c r="K822" s="660"/>
      <c r="L822" s="228"/>
      <c r="M822" s="228"/>
      <c r="N822" s="228"/>
    </row>
    <row r="823">
      <c r="A823" s="228"/>
      <c r="B823" s="228"/>
      <c r="C823" s="228"/>
      <c r="D823" s="310"/>
      <c r="E823" s="311"/>
      <c r="F823" s="228"/>
      <c r="G823" s="228"/>
      <c r="H823" s="228"/>
      <c r="I823" s="228"/>
      <c r="J823" s="228"/>
      <c r="K823" s="660"/>
      <c r="L823" s="228"/>
      <c r="M823" s="228"/>
      <c r="N823" s="228"/>
    </row>
    <row r="824">
      <c r="A824" s="228"/>
      <c r="B824" s="228"/>
      <c r="C824" s="228"/>
      <c r="D824" s="310"/>
      <c r="E824" s="311"/>
      <c r="F824" s="228"/>
      <c r="G824" s="228"/>
      <c r="H824" s="228"/>
      <c r="I824" s="228"/>
      <c r="J824" s="228"/>
      <c r="K824" s="660"/>
      <c r="L824" s="228"/>
      <c r="M824" s="228"/>
      <c r="N824" s="228"/>
    </row>
    <row r="825">
      <c r="A825" s="228"/>
      <c r="B825" s="228"/>
      <c r="C825" s="228"/>
      <c r="D825" s="310"/>
      <c r="E825" s="311"/>
      <c r="F825" s="228"/>
      <c r="G825" s="228"/>
      <c r="H825" s="228"/>
      <c r="I825" s="228"/>
      <c r="J825" s="228"/>
      <c r="K825" s="660"/>
      <c r="L825" s="228"/>
      <c r="M825" s="228"/>
      <c r="N825" s="228"/>
    </row>
    <row r="826">
      <c r="A826" s="228"/>
      <c r="B826" s="228"/>
      <c r="C826" s="228"/>
      <c r="D826" s="310"/>
      <c r="E826" s="311"/>
      <c r="F826" s="228"/>
      <c r="G826" s="228"/>
      <c r="H826" s="228"/>
      <c r="I826" s="228"/>
      <c r="J826" s="228"/>
      <c r="K826" s="660"/>
      <c r="L826" s="228"/>
      <c r="M826" s="228"/>
      <c r="N826" s="228"/>
    </row>
    <row r="827">
      <c r="A827" s="228"/>
      <c r="B827" s="228"/>
      <c r="C827" s="228"/>
      <c r="D827" s="310"/>
      <c r="E827" s="311"/>
      <c r="F827" s="228"/>
      <c r="G827" s="228"/>
      <c r="H827" s="228"/>
      <c r="I827" s="228"/>
      <c r="J827" s="228"/>
      <c r="K827" s="660"/>
      <c r="L827" s="228"/>
      <c r="M827" s="228"/>
      <c r="N827" s="228"/>
    </row>
    <row r="828">
      <c r="A828" s="228"/>
      <c r="B828" s="228"/>
      <c r="C828" s="228"/>
      <c r="D828" s="310"/>
      <c r="E828" s="311"/>
      <c r="F828" s="228"/>
      <c r="G828" s="228"/>
      <c r="H828" s="228"/>
      <c r="I828" s="228"/>
      <c r="J828" s="228"/>
      <c r="K828" s="660"/>
      <c r="L828" s="228"/>
      <c r="M828" s="228"/>
      <c r="N828" s="228"/>
    </row>
    <row r="829">
      <c r="A829" s="228"/>
      <c r="B829" s="228"/>
      <c r="C829" s="228"/>
      <c r="D829" s="310"/>
      <c r="E829" s="311"/>
      <c r="F829" s="228"/>
      <c r="G829" s="228"/>
      <c r="H829" s="228"/>
      <c r="I829" s="228"/>
      <c r="J829" s="228"/>
      <c r="K829" s="660"/>
      <c r="L829" s="228"/>
      <c r="M829" s="228"/>
      <c r="N829" s="228"/>
    </row>
    <row r="830">
      <c r="A830" s="228"/>
      <c r="B830" s="228"/>
      <c r="C830" s="228"/>
      <c r="D830" s="310"/>
      <c r="E830" s="311"/>
      <c r="F830" s="228"/>
      <c r="G830" s="228"/>
      <c r="H830" s="228"/>
      <c r="I830" s="228"/>
      <c r="J830" s="228"/>
      <c r="K830" s="660"/>
      <c r="L830" s="228"/>
      <c r="M830" s="228"/>
      <c r="N830" s="228"/>
    </row>
    <row r="831">
      <c r="A831" s="228"/>
      <c r="B831" s="228"/>
      <c r="C831" s="228"/>
      <c r="D831" s="310"/>
      <c r="E831" s="311"/>
      <c r="F831" s="228"/>
      <c r="G831" s="228"/>
      <c r="H831" s="228"/>
      <c r="I831" s="228"/>
      <c r="J831" s="228"/>
      <c r="K831" s="660"/>
      <c r="L831" s="228"/>
      <c r="M831" s="228"/>
      <c r="N831" s="228"/>
    </row>
    <row r="832">
      <c r="A832" s="228"/>
      <c r="B832" s="228"/>
      <c r="C832" s="228"/>
      <c r="D832" s="310"/>
      <c r="E832" s="311"/>
      <c r="F832" s="228"/>
      <c r="G832" s="228"/>
      <c r="H832" s="228"/>
      <c r="I832" s="228"/>
      <c r="J832" s="228"/>
      <c r="K832" s="660"/>
      <c r="L832" s="228"/>
      <c r="M832" s="228"/>
      <c r="N832" s="228"/>
    </row>
    <row r="833">
      <c r="A833" s="228"/>
      <c r="B833" s="228"/>
      <c r="C833" s="228"/>
      <c r="D833" s="310"/>
      <c r="E833" s="311"/>
      <c r="F833" s="228"/>
      <c r="G833" s="228"/>
      <c r="H833" s="228"/>
      <c r="I833" s="228"/>
      <c r="J833" s="228"/>
      <c r="K833" s="660"/>
      <c r="L833" s="228"/>
      <c r="M833" s="228"/>
      <c r="N833" s="228"/>
    </row>
    <row r="834">
      <c r="A834" s="228"/>
      <c r="B834" s="228"/>
      <c r="C834" s="228"/>
      <c r="D834" s="310"/>
      <c r="E834" s="311"/>
      <c r="F834" s="228"/>
      <c r="G834" s="228"/>
      <c r="H834" s="228"/>
      <c r="I834" s="228"/>
      <c r="J834" s="228"/>
      <c r="K834" s="660"/>
      <c r="L834" s="228"/>
      <c r="M834" s="228"/>
      <c r="N834" s="228"/>
    </row>
    <row r="835">
      <c r="A835" s="228"/>
      <c r="B835" s="228"/>
      <c r="C835" s="228"/>
      <c r="D835" s="310"/>
      <c r="E835" s="311"/>
      <c r="F835" s="228"/>
      <c r="G835" s="228"/>
      <c r="H835" s="228"/>
      <c r="I835" s="228"/>
      <c r="J835" s="228"/>
      <c r="K835" s="660"/>
      <c r="L835" s="228"/>
      <c r="M835" s="228"/>
      <c r="N835" s="228"/>
    </row>
    <row r="836">
      <c r="A836" s="228"/>
      <c r="B836" s="228"/>
      <c r="C836" s="228"/>
      <c r="D836" s="310"/>
      <c r="E836" s="311"/>
      <c r="F836" s="228"/>
      <c r="G836" s="228"/>
      <c r="H836" s="228"/>
      <c r="I836" s="228"/>
      <c r="J836" s="228"/>
      <c r="K836" s="660"/>
      <c r="L836" s="228"/>
      <c r="M836" s="228"/>
      <c r="N836" s="228"/>
    </row>
    <row r="837">
      <c r="A837" s="228"/>
      <c r="B837" s="228"/>
      <c r="C837" s="228"/>
      <c r="D837" s="310"/>
      <c r="E837" s="311"/>
      <c r="F837" s="228"/>
      <c r="G837" s="228"/>
      <c r="H837" s="228"/>
      <c r="I837" s="228"/>
      <c r="J837" s="228"/>
      <c r="K837" s="660"/>
      <c r="L837" s="228"/>
      <c r="M837" s="228"/>
      <c r="N837" s="228"/>
    </row>
    <row r="838">
      <c r="A838" s="228"/>
      <c r="B838" s="228"/>
      <c r="C838" s="228"/>
      <c r="D838" s="310"/>
      <c r="E838" s="311"/>
      <c r="F838" s="228"/>
      <c r="G838" s="228"/>
      <c r="H838" s="228"/>
      <c r="I838" s="228"/>
      <c r="J838" s="228"/>
      <c r="K838" s="660"/>
      <c r="L838" s="228"/>
      <c r="M838" s="228"/>
      <c r="N838" s="228"/>
    </row>
    <row r="839">
      <c r="A839" s="228"/>
      <c r="B839" s="228"/>
      <c r="C839" s="228"/>
      <c r="D839" s="310"/>
      <c r="E839" s="311"/>
      <c r="F839" s="228"/>
      <c r="G839" s="228"/>
      <c r="H839" s="228"/>
      <c r="I839" s="228"/>
      <c r="J839" s="228"/>
      <c r="K839" s="660"/>
      <c r="L839" s="228"/>
      <c r="M839" s="228"/>
      <c r="N839" s="228"/>
    </row>
    <row r="840">
      <c r="A840" s="228"/>
      <c r="B840" s="228"/>
      <c r="C840" s="228"/>
      <c r="D840" s="310"/>
      <c r="E840" s="311"/>
      <c r="F840" s="228"/>
      <c r="G840" s="228"/>
      <c r="H840" s="228"/>
      <c r="I840" s="228"/>
      <c r="J840" s="228"/>
      <c r="K840" s="660"/>
      <c r="L840" s="228"/>
      <c r="M840" s="228"/>
      <c r="N840" s="228"/>
    </row>
    <row r="841">
      <c r="A841" s="228"/>
      <c r="B841" s="228"/>
      <c r="C841" s="228"/>
      <c r="D841" s="310"/>
      <c r="E841" s="311"/>
      <c r="F841" s="228"/>
      <c r="G841" s="228"/>
      <c r="H841" s="228"/>
      <c r="I841" s="228"/>
      <c r="J841" s="228"/>
      <c r="K841" s="660"/>
      <c r="L841" s="228"/>
      <c r="M841" s="228"/>
      <c r="N841" s="228"/>
    </row>
    <row r="842">
      <c r="A842" s="228"/>
      <c r="B842" s="228"/>
      <c r="C842" s="228"/>
      <c r="D842" s="310"/>
      <c r="E842" s="311"/>
      <c r="F842" s="228"/>
      <c r="G842" s="228"/>
      <c r="H842" s="228"/>
      <c r="I842" s="228"/>
      <c r="J842" s="228"/>
      <c r="K842" s="660"/>
      <c r="L842" s="228"/>
      <c r="M842" s="228"/>
      <c r="N842" s="228"/>
    </row>
    <row r="843">
      <c r="A843" s="228"/>
      <c r="B843" s="228"/>
      <c r="C843" s="228"/>
      <c r="D843" s="310"/>
      <c r="E843" s="311"/>
      <c r="F843" s="228"/>
      <c r="G843" s="228"/>
      <c r="H843" s="228"/>
      <c r="I843" s="228"/>
      <c r="J843" s="228"/>
      <c r="K843" s="660"/>
      <c r="L843" s="228"/>
      <c r="M843" s="228"/>
      <c r="N843" s="228"/>
    </row>
    <row r="844">
      <c r="A844" s="228"/>
      <c r="B844" s="228"/>
      <c r="C844" s="228"/>
      <c r="D844" s="310"/>
      <c r="E844" s="311"/>
      <c r="F844" s="228"/>
      <c r="G844" s="228"/>
      <c r="H844" s="228"/>
      <c r="I844" s="228"/>
      <c r="J844" s="228"/>
      <c r="K844" s="660"/>
      <c r="L844" s="228"/>
      <c r="M844" s="228"/>
      <c r="N844" s="228"/>
    </row>
    <row r="845">
      <c r="A845" s="228"/>
      <c r="B845" s="228"/>
      <c r="C845" s="228"/>
      <c r="D845" s="310"/>
      <c r="E845" s="311"/>
      <c r="F845" s="228"/>
      <c r="G845" s="228"/>
      <c r="H845" s="228"/>
      <c r="I845" s="228"/>
      <c r="J845" s="228"/>
      <c r="K845" s="660"/>
      <c r="L845" s="228"/>
      <c r="M845" s="228"/>
      <c r="N845" s="228"/>
    </row>
    <row r="846">
      <c r="A846" s="228"/>
      <c r="B846" s="228"/>
      <c r="C846" s="228"/>
      <c r="D846" s="310"/>
      <c r="E846" s="311"/>
      <c r="F846" s="228"/>
      <c r="G846" s="228"/>
      <c r="H846" s="228"/>
      <c r="I846" s="228"/>
      <c r="J846" s="228"/>
      <c r="K846" s="660"/>
      <c r="L846" s="228"/>
      <c r="M846" s="228"/>
      <c r="N846" s="228"/>
    </row>
    <row r="847">
      <c r="A847" s="228"/>
      <c r="B847" s="228"/>
      <c r="C847" s="228"/>
      <c r="D847" s="310"/>
      <c r="E847" s="311"/>
      <c r="F847" s="228"/>
      <c r="G847" s="228"/>
      <c r="H847" s="228"/>
      <c r="I847" s="228"/>
      <c r="J847" s="228"/>
      <c r="K847" s="660"/>
      <c r="L847" s="228"/>
      <c r="M847" s="228"/>
      <c r="N847" s="228"/>
    </row>
    <row r="848">
      <c r="A848" s="228"/>
      <c r="B848" s="228"/>
      <c r="C848" s="228"/>
      <c r="D848" s="310"/>
      <c r="E848" s="311"/>
      <c r="F848" s="228"/>
      <c r="G848" s="228"/>
      <c r="H848" s="228"/>
      <c r="I848" s="228"/>
      <c r="J848" s="228"/>
      <c r="K848" s="660"/>
      <c r="L848" s="228"/>
      <c r="M848" s="228"/>
      <c r="N848" s="228"/>
    </row>
    <row r="849">
      <c r="A849" s="228"/>
      <c r="B849" s="228"/>
      <c r="C849" s="228"/>
      <c r="D849" s="310"/>
      <c r="E849" s="311"/>
      <c r="F849" s="228"/>
      <c r="G849" s="228"/>
      <c r="H849" s="228"/>
      <c r="I849" s="228"/>
      <c r="J849" s="228"/>
      <c r="K849" s="660"/>
      <c r="L849" s="228"/>
      <c r="M849" s="228"/>
      <c r="N849" s="228"/>
    </row>
    <row r="850">
      <c r="A850" s="228"/>
      <c r="B850" s="228"/>
      <c r="C850" s="228"/>
      <c r="D850" s="310"/>
      <c r="E850" s="311"/>
      <c r="F850" s="228"/>
      <c r="G850" s="228"/>
      <c r="H850" s="228"/>
      <c r="I850" s="228"/>
      <c r="J850" s="228"/>
      <c r="K850" s="660"/>
      <c r="L850" s="228"/>
      <c r="M850" s="228"/>
      <c r="N850" s="228"/>
    </row>
    <row r="851">
      <c r="A851" s="228"/>
      <c r="B851" s="228"/>
      <c r="C851" s="228"/>
      <c r="D851" s="310"/>
      <c r="E851" s="311"/>
      <c r="F851" s="228"/>
      <c r="G851" s="228"/>
      <c r="H851" s="228"/>
      <c r="I851" s="228"/>
      <c r="J851" s="228"/>
      <c r="K851" s="660"/>
      <c r="L851" s="228"/>
      <c r="M851" s="228"/>
      <c r="N851" s="228"/>
    </row>
    <row r="852">
      <c r="A852" s="228"/>
      <c r="B852" s="228"/>
      <c r="C852" s="228"/>
      <c r="D852" s="310"/>
      <c r="E852" s="311"/>
      <c r="F852" s="228"/>
      <c r="G852" s="228"/>
      <c r="H852" s="228"/>
      <c r="I852" s="228"/>
      <c r="J852" s="228"/>
      <c r="K852" s="660"/>
      <c r="L852" s="228"/>
      <c r="M852" s="228"/>
      <c r="N852" s="228"/>
    </row>
    <row r="853">
      <c r="A853" s="228"/>
      <c r="B853" s="228"/>
      <c r="C853" s="228"/>
      <c r="D853" s="310"/>
      <c r="E853" s="311"/>
      <c r="F853" s="228"/>
      <c r="G853" s="228"/>
      <c r="H853" s="228"/>
      <c r="I853" s="228"/>
      <c r="J853" s="228"/>
      <c r="K853" s="660"/>
      <c r="L853" s="228"/>
      <c r="M853" s="228"/>
      <c r="N853" s="228"/>
    </row>
    <row r="854">
      <c r="A854" s="228"/>
      <c r="B854" s="228"/>
      <c r="C854" s="228"/>
      <c r="D854" s="310"/>
      <c r="E854" s="311"/>
      <c r="F854" s="228"/>
      <c r="G854" s="228"/>
      <c r="H854" s="228"/>
      <c r="I854" s="228"/>
      <c r="J854" s="228"/>
      <c r="K854" s="660"/>
      <c r="L854" s="228"/>
      <c r="M854" s="228"/>
      <c r="N854" s="228"/>
    </row>
    <row r="855">
      <c r="A855" s="228"/>
      <c r="B855" s="228"/>
      <c r="C855" s="228"/>
      <c r="D855" s="310"/>
      <c r="E855" s="311"/>
      <c r="F855" s="228"/>
      <c r="G855" s="228"/>
      <c r="H855" s="228"/>
      <c r="I855" s="228"/>
      <c r="J855" s="228"/>
      <c r="K855" s="660"/>
      <c r="L855" s="228"/>
      <c r="M855" s="228"/>
      <c r="N855" s="228"/>
    </row>
    <row r="856">
      <c r="A856" s="228"/>
      <c r="B856" s="228"/>
      <c r="C856" s="228"/>
      <c r="D856" s="310"/>
      <c r="E856" s="311"/>
      <c r="F856" s="228"/>
      <c r="G856" s="228"/>
      <c r="H856" s="228"/>
      <c r="I856" s="228"/>
      <c r="J856" s="228"/>
      <c r="K856" s="660"/>
      <c r="L856" s="228"/>
      <c r="M856" s="228"/>
      <c r="N856" s="228"/>
    </row>
    <row r="857">
      <c r="A857" s="228"/>
      <c r="B857" s="228"/>
      <c r="C857" s="228"/>
      <c r="D857" s="310"/>
      <c r="E857" s="311"/>
      <c r="F857" s="228"/>
      <c r="G857" s="228"/>
      <c r="H857" s="228"/>
      <c r="I857" s="228"/>
      <c r="J857" s="228"/>
      <c r="K857" s="660"/>
      <c r="L857" s="228"/>
      <c r="M857" s="228"/>
      <c r="N857" s="228"/>
    </row>
    <row r="858">
      <c r="A858" s="228"/>
      <c r="B858" s="228"/>
      <c r="C858" s="228"/>
      <c r="D858" s="310"/>
      <c r="E858" s="311"/>
      <c r="F858" s="228"/>
      <c r="G858" s="228"/>
      <c r="H858" s="228"/>
      <c r="I858" s="228"/>
      <c r="J858" s="228"/>
      <c r="K858" s="660"/>
      <c r="L858" s="228"/>
      <c r="M858" s="228"/>
      <c r="N858" s="228"/>
    </row>
    <row r="859">
      <c r="A859" s="228"/>
      <c r="B859" s="228"/>
      <c r="C859" s="228"/>
      <c r="D859" s="310"/>
      <c r="E859" s="311"/>
      <c r="F859" s="228"/>
      <c r="G859" s="228"/>
      <c r="H859" s="228"/>
      <c r="I859" s="228"/>
      <c r="J859" s="228"/>
      <c r="K859" s="660"/>
      <c r="L859" s="228"/>
      <c r="M859" s="228"/>
      <c r="N859" s="228"/>
    </row>
    <row r="860">
      <c r="A860" s="228"/>
      <c r="B860" s="228"/>
      <c r="C860" s="228"/>
      <c r="D860" s="310"/>
      <c r="E860" s="311"/>
      <c r="F860" s="228"/>
      <c r="G860" s="228"/>
      <c r="H860" s="228"/>
      <c r="I860" s="228"/>
      <c r="J860" s="228"/>
      <c r="K860" s="660"/>
      <c r="L860" s="228"/>
      <c r="M860" s="228"/>
      <c r="N860" s="228"/>
    </row>
    <row r="861">
      <c r="A861" s="228"/>
      <c r="B861" s="228"/>
      <c r="C861" s="228"/>
      <c r="D861" s="310"/>
      <c r="E861" s="311"/>
      <c r="F861" s="228"/>
      <c r="G861" s="228"/>
      <c r="H861" s="228"/>
      <c r="I861" s="228"/>
      <c r="J861" s="228"/>
      <c r="K861" s="660"/>
      <c r="L861" s="228"/>
      <c r="M861" s="228"/>
      <c r="N861" s="228"/>
    </row>
    <row r="862">
      <c r="A862" s="228"/>
      <c r="B862" s="228"/>
      <c r="C862" s="228"/>
      <c r="D862" s="310"/>
      <c r="E862" s="311"/>
      <c r="F862" s="228"/>
      <c r="G862" s="228"/>
      <c r="H862" s="228"/>
      <c r="I862" s="228"/>
      <c r="J862" s="228"/>
      <c r="K862" s="660"/>
      <c r="L862" s="228"/>
      <c r="M862" s="228"/>
      <c r="N862" s="228"/>
    </row>
    <row r="863">
      <c r="A863" s="228"/>
      <c r="B863" s="228"/>
      <c r="C863" s="228"/>
      <c r="D863" s="310"/>
      <c r="E863" s="311"/>
      <c r="F863" s="228"/>
      <c r="G863" s="228"/>
      <c r="H863" s="228"/>
      <c r="I863" s="228"/>
      <c r="J863" s="228"/>
      <c r="K863" s="660"/>
      <c r="L863" s="228"/>
      <c r="M863" s="228"/>
      <c r="N863" s="228"/>
    </row>
    <row r="864">
      <c r="A864" s="228"/>
      <c r="B864" s="228"/>
      <c r="C864" s="228"/>
      <c r="D864" s="310"/>
      <c r="E864" s="311"/>
      <c r="F864" s="228"/>
      <c r="G864" s="228"/>
      <c r="H864" s="228"/>
      <c r="I864" s="228"/>
      <c r="J864" s="228"/>
      <c r="K864" s="660"/>
      <c r="L864" s="228"/>
      <c r="M864" s="228"/>
      <c r="N864" s="228"/>
    </row>
    <row r="865">
      <c r="A865" s="228"/>
      <c r="B865" s="228"/>
      <c r="C865" s="228"/>
      <c r="D865" s="310"/>
      <c r="E865" s="311"/>
      <c r="F865" s="228"/>
      <c r="G865" s="228"/>
      <c r="H865" s="228"/>
      <c r="I865" s="228"/>
      <c r="J865" s="228"/>
      <c r="K865" s="660"/>
      <c r="L865" s="228"/>
      <c r="M865" s="228"/>
      <c r="N865" s="228"/>
    </row>
    <row r="866">
      <c r="A866" s="228"/>
      <c r="B866" s="228"/>
      <c r="C866" s="228"/>
      <c r="D866" s="310"/>
      <c r="E866" s="311"/>
      <c r="F866" s="228"/>
      <c r="G866" s="228"/>
      <c r="H866" s="228"/>
      <c r="I866" s="228"/>
      <c r="J866" s="228"/>
      <c r="K866" s="660"/>
      <c r="L866" s="228"/>
      <c r="M866" s="228"/>
      <c r="N866" s="228"/>
    </row>
    <row r="867">
      <c r="A867" s="228"/>
      <c r="B867" s="228"/>
      <c r="C867" s="228"/>
      <c r="D867" s="310"/>
      <c r="E867" s="311"/>
      <c r="F867" s="228"/>
      <c r="G867" s="228"/>
      <c r="H867" s="228"/>
      <c r="I867" s="228"/>
      <c r="J867" s="228"/>
      <c r="K867" s="660"/>
      <c r="L867" s="228"/>
      <c r="M867" s="228"/>
      <c r="N867" s="228"/>
    </row>
    <row r="868">
      <c r="A868" s="228"/>
      <c r="B868" s="228"/>
      <c r="C868" s="228"/>
      <c r="D868" s="310"/>
      <c r="E868" s="311"/>
      <c r="F868" s="228"/>
      <c r="G868" s="228"/>
      <c r="H868" s="228"/>
      <c r="I868" s="228"/>
      <c r="J868" s="228"/>
      <c r="K868" s="660"/>
      <c r="L868" s="228"/>
      <c r="M868" s="228"/>
      <c r="N868" s="228"/>
    </row>
    <row r="869">
      <c r="A869" s="228"/>
      <c r="B869" s="228"/>
      <c r="C869" s="228"/>
      <c r="D869" s="310"/>
      <c r="E869" s="311"/>
      <c r="F869" s="228"/>
      <c r="G869" s="228"/>
      <c r="H869" s="228"/>
      <c r="I869" s="228"/>
      <c r="J869" s="228"/>
      <c r="K869" s="660"/>
      <c r="L869" s="228"/>
      <c r="M869" s="228"/>
      <c r="N869" s="228"/>
    </row>
    <row r="870">
      <c r="A870" s="228"/>
      <c r="B870" s="228"/>
      <c r="C870" s="228"/>
      <c r="D870" s="310"/>
      <c r="E870" s="311"/>
      <c r="F870" s="228"/>
      <c r="G870" s="228"/>
      <c r="H870" s="228"/>
      <c r="I870" s="228"/>
      <c r="J870" s="228"/>
      <c r="K870" s="660"/>
      <c r="L870" s="228"/>
      <c r="M870" s="228"/>
      <c r="N870" s="228"/>
    </row>
    <row r="871">
      <c r="A871" s="228"/>
      <c r="B871" s="228"/>
      <c r="C871" s="228"/>
      <c r="D871" s="310"/>
      <c r="E871" s="311"/>
      <c r="F871" s="228"/>
      <c r="G871" s="228"/>
      <c r="H871" s="228"/>
      <c r="I871" s="228"/>
      <c r="J871" s="228"/>
      <c r="K871" s="660"/>
      <c r="L871" s="228"/>
      <c r="M871" s="228"/>
      <c r="N871" s="228"/>
    </row>
    <row r="872">
      <c r="A872" s="228"/>
      <c r="B872" s="228"/>
      <c r="C872" s="228"/>
      <c r="D872" s="310"/>
      <c r="E872" s="311"/>
      <c r="F872" s="228"/>
      <c r="G872" s="228"/>
      <c r="H872" s="228"/>
      <c r="I872" s="228"/>
      <c r="J872" s="228"/>
      <c r="K872" s="660"/>
      <c r="L872" s="228"/>
      <c r="M872" s="228"/>
      <c r="N872" s="228"/>
    </row>
    <row r="873">
      <c r="A873" s="228"/>
      <c r="B873" s="228"/>
      <c r="C873" s="228"/>
      <c r="D873" s="310"/>
      <c r="E873" s="311"/>
      <c r="F873" s="228"/>
      <c r="G873" s="228"/>
      <c r="H873" s="228"/>
      <c r="I873" s="228"/>
      <c r="J873" s="228"/>
      <c r="K873" s="660"/>
      <c r="L873" s="228"/>
      <c r="M873" s="228"/>
      <c r="N873" s="228"/>
    </row>
    <row r="874">
      <c r="A874" s="228"/>
      <c r="B874" s="228"/>
      <c r="C874" s="228"/>
      <c r="D874" s="310"/>
      <c r="E874" s="311"/>
      <c r="F874" s="228"/>
      <c r="G874" s="228"/>
      <c r="H874" s="228"/>
      <c r="I874" s="228"/>
      <c r="J874" s="228"/>
      <c r="K874" s="660"/>
      <c r="L874" s="228"/>
      <c r="M874" s="228"/>
      <c r="N874" s="228"/>
    </row>
    <row r="875">
      <c r="A875" s="228"/>
      <c r="B875" s="228"/>
      <c r="C875" s="228"/>
      <c r="D875" s="310"/>
      <c r="E875" s="311"/>
      <c r="F875" s="228"/>
      <c r="G875" s="228"/>
      <c r="H875" s="228"/>
      <c r="I875" s="228"/>
      <c r="J875" s="228"/>
      <c r="K875" s="660"/>
      <c r="L875" s="228"/>
      <c r="M875" s="228"/>
      <c r="N875" s="228"/>
    </row>
    <row r="876">
      <c r="A876" s="228"/>
      <c r="B876" s="228"/>
      <c r="C876" s="228"/>
      <c r="D876" s="310"/>
      <c r="E876" s="311"/>
      <c r="F876" s="228"/>
      <c r="G876" s="228"/>
      <c r="H876" s="228"/>
      <c r="I876" s="228"/>
      <c r="J876" s="228"/>
      <c r="K876" s="660"/>
      <c r="L876" s="228"/>
      <c r="M876" s="228"/>
      <c r="N876" s="228"/>
    </row>
    <row r="877">
      <c r="A877" s="228"/>
      <c r="B877" s="228"/>
      <c r="C877" s="228"/>
      <c r="D877" s="310"/>
      <c r="E877" s="311"/>
      <c r="F877" s="228"/>
      <c r="G877" s="228"/>
      <c r="H877" s="228"/>
      <c r="I877" s="228"/>
      <c r="J877" s="228"/>
      <c r="K877" s="660"/>
      <c r="L877" s="228"/>
      <c r="M877" s="228"/>
      <c r="N877" s="228"/>
    </row>
    <row r="878">
      <c r="A878" s="228"/>
      <c r="B878" s="228"/>
      <c r="C878" s="228"/>
      <c r="D878" s="310"/>
      <c r="E878" s="311"/>
      <c r="F878" s="228"/>
      <c r="G878" s="228"/>
      <c r="H878" s="228"/>
      <c r="I878" s="228"/>
      <c r="J878" s="228"/>
      <c r="K878" s="660"/>
      <c r="L878" s="228"/>
      <c r="M878" s="228"/>
      <c r="N878" s="228"/>
    </row>
    <row r="879">
      <c r="A879" s="228"/>
      <c r="B879" s="228"/>
      <c r="C879" s="228"/>
      <c r="D879" s="310"/>
      <c r="E879" s="311"/>
      <c r="F879" s="228"/>
      <c r="G879" s="228"/>
      <c r="H879" s="228"/>
      <c r="I879" s="228"/>
      <c r="J879" s="228"/>
      <c r="K879" s="660"/>
      <c r="L879" s="228"/>
      <c r="M879" s="228"/>
      <c r="N879" s="228"/>
    </row>
    <row r="880">
      <c r="A880" s="228"/>
      <c r="B880" s="228"/>
      <c r="C880" s="228"/>
      <c r="D880" s="310"/>
      <c r="E880" s="311"/>
      <c r="F880" s="228"/>
      <c r="G880" s="228"/>
      <c r="H880" s="228"/>
      <c r="I880" s="228"/>
      <c r="J880" s="228"/>
      <c r="K880" s="660"/>
      <c r="L880" s="228"/>
      <c r="M880" s="228"/>
      <c r="N880" s="228"/>
    </row>
    <row r="881">
      <c r="A881" s="228"/>
      <c r="B881" s="228"/>
      <c r="C881" s="228"/>
      <c r="D881" s="310"/>
      <c r="E881" s="311"/>
      <c r="F881" s="228"/>
      <c r="G881" s="228"/>
      <c r="H881" s="228"/>
      <c r="I881" s="228"/>
      <c r="J881" s="228"/>
      <c r="K881" s="660"/>
      <c r="L881" s="228"/>
      <c r="M881" s="228"/>
      <c r="N881" s="228"/>
    </row>
    <row r="882">
      <c r="A882" s="228"/>
      <c r="B882" s="228"/>
      <c r="C882" s="228"/>
      <c r="D882" s="310"/>
      <c r="E882" s="311"/>
      <c r="F882" s="228"/>
      <c r="G882" s="228"/>
      <c r="H882" s="228"/>
      <c r="I882" s="228"/>
      <c r="J882" s="228"/>
      <c r="K882" s="660"/>
      <c r="L882" s="228"/>
      <c r="M882" s="228"/>
      <c r="N882" s="228"/>
    </row>
    <row r="883">
      <c r="A883" s="228"/>
      <c r="B883" s="228"/>
      <c r="C883" s="228"/>
      <c r="D883" s="310"/>
      <c r="E883" s="311"/>
      <c r="F883" s="228"/>
      <c r="G883" s="228"/>
      <c r="H883" s="228"/>
      <c r="I883" s="228"/>
      <c r="J883" s="228"/>
      <c r="K883" s="660"/>
      <c r="L883" s="228"/>
      <c r="M883" s="228"/>
      <c r="N883" s="228"/>
    </row>
    <row r="884">
      <c r="A884" s="228"/>
      <c r="B884" s="228"/>
      <c r="C884" s="228"/>
      <c r="D884" s="310"/>
      <c r="E884" s="311"/>
      <c r="F884" s="228"/>
      <c r="G884" s="228"/>
      <c r="H884" s="228"/>
      <c r="I884" s="228"/>
      <c r="J884" s="228"/>
      <c r="K884" s="660"/>
      <c r="L884" s="228"/>
      <c r="M884" s="228"/>
      <c r="N884" s="228"/>
    </row>
    <row r="885">
      <c r="A885" s="228"/>
      <c r="B885" s="228"/>
      <c r="C885" s="228"/>
      <c r="D885" s="310"/>
      <c r="E885" s="311"/>
      <c r="F885" s="228"/>
      <c r="G885" s="228"/>
      <c r="H885" s="228"/>
      <c r="I885" s="228"/>
      <c r="J885" s="228"/>
      <c r="K885" s="660"/>
      <c r="L885" s="228"/>
      <c r="M885" s="228"/>
      <c r="N885" s="228"/>
    </row>
    <row r="886">
      <c r="A886" s="228"/>
      <c r="B886" s="228"/>
      <c r="C886" s="228"/>
      <c r="D886" s="310"/>
      <c r="E886" s="311"/>
      <c r="F886" s="228"/>
      <c r="G886" s="228"/>
      <c r="H886" s="228"/>
      <c r="I886" s="228"/>
      <c r="J886" s="228"/>
      <c r="K886" s="660"/>
      <c r="L886" s="228"/>
      <c r="M886" s="228"/>
      <c r="N886" s="228"/>
    </row>
    <row r="887">
      <c r="A887" s="228"/>
      <c r="B887" s="228"/>
      <c r="C887" s="228"/>
      <c r="D887" s="310"/>
      <c r="E887" s="311"/>
      <c r="F887" s="228"/>
      <c r="G887" s="228"/>
      <c r="H887" s="228"/>
      <c r="I887" s="228"/>
      <c r="J887" s="228"/>
      <c r="K887" s="660"/>
      <c r="L887" s="228"/>
      <c r="M887" s="228"/>
      <c r="N887" s="228"/>
    </row>
    <row r="888">
      <c r="A888" s="228"/>
      <c r="B888" s="228"/>
      <c r="C888" s="228"/>
      <c r="D888" s="310"/>
      <c r="E888" s="311"/>
      <c r="F888" s="228"/>
      <c r="G888" s="228"/>
      <c r="H888" s="228"/>
      <c r="I888" s="228"/>
      <c r="J888" s="228"/>
      <c r="K888" s="660"/>
      <c r="L888" s="228"/>
      <c r="M888" s="228"/>
      <c r="N888" s="228"/>
    </row>
    <row r="889">
      <c r="A889" s="228"/>
      <c r="B889" s="228"/>
      <c r="C889" s="228"/>
      <c r="D889" s="310"/>
      <c r="E889" s="311"/>
      <c r="F889" s="228"/>
      <c r="G889" s="228"/>
      <c r="H889" s="228"/>
      <c r="I889" s="228"/>
      <c r="J889" s="228"/>
      <c r="K889" s="660"/>
      <c r="L889" s="228"/>
      <c r="M889" s="228"/>
      <c r="N889" s="228"/>
    </row>
    <row r="890">
      <c r="A890" s="228"/>
      <c r="B890" s="228"/>
      <c r="C890" s="228"/>
      <c r="D890" s="310"/>
      <c r="E890" s="311"/>
      <c r="F890" s="228"/>
      <c r="G890" s="228"/>
      <c r="H890" s="228"/>
      <c r="I890" s="228"/>
      <c r="J890" s="228"/>
      <c r="K890" s="660"/>
      <c r="L890" s="228"/>
      <c r="M890" s="228"/>
      <c r="N890" s="228"/>
    </row>
    <row r="891">
      <c r="A891" s="228"/>
      <c r="B891" s="228"/>
      <c r="C891" s="228"/>
      <c r="D891" s="310"/>
      <c r="E891" s="311"/>
      <c r="F891" s="228"/>
      <c r="G891" s="228"/>
      <c r="H891" s="228"/>
      <c r="I891" s="228"/>
      <c r="J891" s="228"/>
      <c r="K891" s="660"/>
      <c r="L891" s="228"/>
      <c r="M891" s="228"/>
      <c r="N891" s="228"/>
    </row>
    <row r="892">
      <c r="A892" s="228"/>
      <c r="B892" s="228"/>
      <c r="C892" s="228"/>
      <c r="D892" s="310"/>
      <c r="E892" s="311"/>
      <c r="F892" s="228"/>
      <c r="G892" s="228"/>
      <c r="H892" s="228"/>
      <c r="I892" s="228"/>
      <c r="J892" s="228"/>
      <c r="K892" s="660"/>
      <c r="L892" s="228"/>
      <c r="M892" s="228"/>
      <c r="N892" s="228"/>
    </row>
    <row r="893">
      <c r="A893" s="228"/>
      <c r="B893" s="228"/>
      <c r="C893" s="228"/>
      <c r="D893" s="310"/>
      <c r="E893" s="311"/>
      <c r="F893" s="228"/>
      <c r="G893" s="228"/>
      <c r="H893" s="228"/>
      <c r="I893" s="228"/>
      <c r="J893" s="228"/>
      <c r="K893" s="660"/>
      <c r="L893" s="228"/>
      <c r="M893" s="228"/>
      <c r="N893" s="228"/>
    </row>
    <row r="894">
      <c r="A894" s="228"/>
      <c r="B894" s="228"/>
      <c r="C894" s="228"/>
      <c r="D894" s="310"/>
      <c r="E894" s="311"/>
      <c r="F894" s="228"/>
      <c r="G894" s="228"/>
      <c r="H894" s="228"/>
      <c r="I894" s="228"/>
      <c r="J894" s="228"/>
      <c r="K894" s="660"/>
      <c r="L894" s="228"/>
      <c r="M894" s="228"/>
      <c r="N894" s="228"/>
    </row>
    <row r="895">
      <c r="A895" s="228"/>
      <c r="B895" s="228"/>
      <c r="C895" s="228"/>
      <c r="D895" s="310"/>
      <c r="E895" s="311"/>
      <c r="F895" s="228"/>
      <c r="G895" s="228"/>
      <c r="H895" s="228"/>
      <c r="I895" s="228"/>
      <c r="J895" s="228"/>
      <c r="K895" s="660"/>
      <c r="L895" s="228"/>
      <c r="M895" s="228"/>
      <c r="N895" s="228"/>
    </row>
    <row r="896">
      <c r="A896" s="228"/>
      <c r="B896" s="228"/>
      <c r="C896" s="228"/>
      <c r="D896" s="310"/>
      <c r="E896" s="311"/>
      <c r="F896" s="228"/>
      <c r="G896" s="228"/>
      <c r="H896" s="228"/>
      <c r="I896" s="228"/>
      <c r="J896" s="228"/>
      <c r="K896" s="660"/>
      <c r="L896" s="228"/>
      <c r="M896" s="228"/>
      <c r="N896" s="228"/>
    </row>
    <row r="897">
      <c r="A897" s="228"/>
      <c r="B897" s="228"/>
      <c r="C897" s="228"/>
      <c r="D897" s="310"/>
      <c r="E897" s="311"/>
      <c r="F897" s="228"/>
      <c r="G897" s="228"/>
      <c r="H897" s="228"/>
      <c r="I897" s="228"/>
      <c r="J897" s="228"/>
      <c r="K897" s="660"/>
      <c r="L897" s="228"/>
      <c r="M897" s="228"/>
      <c r="N897" s="228"/>
    </row>
    <row r="898">
      <c r="A898" s="228"/>
      <c r="B898" s="228"/>
      <c r="C898" s="228"/>
      <c r="D898" s="310"/>
      <c r="E898" s="311"/>
      <c r="F898" s="228"/>
      <c r="G898" s="228"/>
      <c r="H898" s="228"/>
      <c r="I898" s="228"/>
      <c r="J898" s="228"/>
      <c r="K898" s="660"/>
      <c r="L898" s="228"/>
      <c r="M898" s="228"/>
      <c r="N898" s="228"/>
    </row>
    <row r="899">
      <c r="A899" s="228"/>
      <c r="B899" s="228"/>
      <c r="C899" s="228"/>
      <c r="D899" s="310"/>
      <c r="E899" s="311"/>
      <c r="F899" s="228"/>
      <c r="G899" s="228"/>
      <c r="H899" s="228"/>
      <c r="I899" s="228"/>
      <c r="J899" s="228"/>
      <c r="K899" s="660"/>
      <c r="L899" s="228"/>
      <c r="M899" s="228"/>
      <c r="N899" s="228"/>
    </row>
    <row r="900">
      <c r="A900" s="228"/>
      <c r="B900" s="228"/>
      <c r="C900" s="228"/>
      <c r="D900" s="310"/>
      <c r="E900" s="311"/>
      <c r="F900" s="228"/>
      <c r="G900" s="228"/>
      <c r="H900" s="228"/>
      <c r="I900" s="228"/>
      <c r="J900" s="228"/>
      <c r="K900" s="660"/>
      <c r="L900" s="228"/>
      <c r="M900" s="228"/>
      <c r="N900" s="228"/>
    </row>
    <row r="901">
      <c r="A901" s="228"/>
      <c r="B901" s="228"/>
      <c r="C901" s="228"/>
      <c r="D901" s="310"/>
      <c r="E901" s="311"/>
      <c r="F901" s="228"/>
      <c r="G901" s="228"/>
      <c r="H901" s="228"/>
      <c r="I901" s="228"/>
      <c r="J901" s="228"/>
      <c r="K901" s="660"/>
      <c r="L901" s="228"/>
      <c r="M901" s="228"/>
      <c r="N901" s="228"/>
    </row>
    <row r="902">
      <c r="A902" s="228"/>
      <c r="B902" s="228"/>
      <c r="C902" s="228"/>
      <c r="D902" s="310"/>
      <c r="E902" s="311"/>
      <c r="F902" s="228"/>
      <c r="G902" s="228"/>
      <c r="H902" s="228"/>
      <c r="I902" s="228"/>
      <c r="J902" s="228"/>
      <c r="K902" s="660"/>
      <c r="L902" s="228"/>
      <c r="M902" s="228"/>
      <c r="N902" s="228"/>
    </row>
    <row r="903">
      <c r="A903" s="228"/>
      <c r="B903" s="228"/>
      <c r="C903" s="228"/>
      <c r="D903" s="310"/>
      <c r="E903" s="311"/>
      <c r="F903" s="228"/>
      <c r="G903" s="228"/>
      <c r="H903" s="228"/>
      <c r="I903" s="228"/>
      <c r="J903" s="228"/>
      <c r="K903" s="660"/>
      <c r="L903" s="228"/>
      <c r="M903" s="228"/>
      <c r="N903" s="228"/>
    </row>
    <row r="904">
      <c r="A904" s="228"/>
      <c r="B904" s="228"/>
      <c r="C904" s="228"/>
      <c r="D904" s="310"/>
      <c r="E904" s="311"/>
      <c r="F904" s="228"/>
      <c r="G904" s="228"/>
      <c r="H904" s="228"/>
      <c r="I904" s="228"/>
      <c r="J904" s="228"/>
      <c r="K904" s="660"/>
      <c r="L904" s="228"/>
      <c r="M904" s="228"/>
      <c r="N904" s="228"/>
    </row>
    <row r="905">
      <c r="A905" s="228"/>
      <c r="B905" s="228"/>
      <c r="C905" s="228"/>
      <c r="D905" s="310"/>
      <c r="E905" s="311"/>
      <c r="F905" s="228"/>
      <c r="G905" s="228"/>
      <c r="H905" s="228"/>
      <c r="I905" s="228"/>
      <c r="J905" s="228"/>
      <c r="K905" s="660"/>
      <c r="L905" s="228"/>
      <c r="M905" s="228"/>
      <c r="N905" s="228"/>
    </row>
    <row r="906">
      <c r="A906" s="228"/>
      <c r="B906" s="228"/>
      <c r="C906" s="228"/>
      <c r="D906" s="310"/>
      <c r="E906" s="311"/>
      <c r="F906" s="228"/>
      <c r="G906" s="228"/>
      <c r="H906" s="228"/>
      <c r="I906" s="228"/>
      <c r="J906" s="228"/>
      <c r="K906" s="660"/>
      <c r="L906" s="228"/>
      <c r="M906" s="228"/>
      <c r="N906" s="228"/>
    </row>
    <row r="907">
      <c r="A907" s="228"/>
      <c r="B907" s="228"/>
      <c r="C907" s="228"/>
      <c r="D907" s="310"/>
      <c r="E907" s="311"/>
      <c r="F907" s="228"/>
      <c r="G907" s="228"/>
      <c r="H907" s="228"/>
      <c r="I907" s="228"/>
      <c r="J907" s="228"/>
      <c r="K907" s="660"/>
      <c r="L907" s="228"/>
      <c r="M907" s="228"/>
      <c r="N907" s="228"/>
    </row>
    <row r="908">
      <c r="A908" s="228"/>
      <c r="B908" s="228"/>
      <c r="C908" s="228"/>
      <c r="D908" s="310"/>
      <c r="E908" s="311"/>
      <c r="F908" s="228"/>
      <c r="G908" s="228"/>
      <c r="H908" s="228"/>
      <c r="I908" s="228"/>
      <c r="J908" s="228"/>
      <c r="K908" s="660"/>
      <c r="L908" s="228"/>
      <c r="M908" s="228"/>
      <c r="N908" s="228"/>
    </row>
    <row r="909">
      <c r="A909" s="228"/>
      <c r="B909" s="228"/>
      <c r="C909" s="228"/>
      <c r="D909" s="310"/>
      <c r="E909" s="311"/>
      <c r="F909" s="228"/>
      <c r="G909" s="228"/>
      <c r="H909" s="228"/>
      <c r="I909" s="228"/>
      <c r="J909" s="228"/>
      <c r="K909" s="660"/>
      <c r="L909" s="228"/>
      <c r="M909" s="228"/>
      <c r="N909" s="228"/>
    </row>
    <row r="910">
      <c r="A910" s="228"/>
      <c r="B910" s="228"/>
      <c r="C910" s="228"/>
      <c r="D910" s="310"/>
      <c r="E910" s="311"/>
      <c r="F910" s="228"/>
      <c r="G910" s="228"/>
      <c r="H910" s="228"/>
      <c r="I910" s="228"/>
      <c r="J910" s="228"/>
      <c r="K910" s="660"/>
      <c r="L910" s="228"/>
      <c r="M910" s="228"/>
      <c r="N910" s="228"/>
    </row>
    <row r="911">
      <c r="A911" s="228"/>
      <c r="B911" s="228"/>
      <c r="C911" s="228"/>
      <c r="D911" s="310"/>
      <c r="E911" s="311"/>
      <c r="F911" s="228"/>
      <c r="G911" s="228"/>
      <c r="H911" s="228"/>
      <c r="I911" s="228"/>
      <c r="J911" s="228"/>
      <c r="K911" s="660"/>
      <c r="L911" s="228"/>
      <c r="M911" s="228"/>
      <c r="N911" s="228"/>
    </row>
    <row r="912">
      <c r="A912" s="228"/>
      <c r="B912" s="228"/>
      <c r="C912" s="228"/>
      <c r="D912" s="310"/>
      <c r="E912" s="311"/>
      <c r="F912" s="228"/>
      <c r="G912" s="228"/>
      <c r="H912" s="228"/>
      <c r="I912" s="228"/>
      <c r="J912" s="228"/>
      <c r="K912" s="660"/>
      <c r="L912" s="228"/>
      <c r="M912" s="228"/>
      <c r="N912" s="228"/>
    </row>
    <row r="913">
      <c r="A913" s="228"/>
      <c r="B913" s="228"/>
      <c r="C913" s="228"/>
      <c r="D913" s="310"/>
      <c r="E913" s="311"/>
      <c r="F913" s="228"/>
      <c r="G913" s="228"/>
      <c r="H913" s="228"/>
      <c r="I913" s="228"/>
      <c r="J913" s="228"/>
      <c r="K913" s="660"/>
      <c r="L913" s="228"/>
      <c r="M913" s="228"/>
      <c r="N913" s="228"/>
    </row>
    <row r="914">
      <c r="A914" s="228"/>
      <c r="B914" s="228"/>
      <c r="C914" s="228"/>
      <c r="D914" s="310"/>
      <c r="E914" s="311"/>
      <c r="F914" s="228"/>
      <c r="G914" s="228"/>
      <c r="H914" s="228"/>
      <c r="I914" s="228"/>
      <c r="J914" s="228"/>
      <c r="K914" s="660"/>
      <c r="L914" s="228"/>
      <c r="M914" s="228"/>
      <c r="N914" s="228"/>
    </row>
    <row r="915">
      <c r="A915" s="228"/>
      <c r="B915" s="228"/>
      <c r="C915" s="228"/>
      <c r="D915" s="310"/>
      <c r="E915" s="311"/>
      <c r="F915" s="228"/>
      <c r="G915" s="228"/>
      <c r="H915" s="228"/>
      <c r="I915" s="228"/>
      <c r="J915" s="228"/>
      <c r="K915" s="660"/>
      <c r="L915" s="228"/>
      <c r="M915" s="228"/>
      <c r="N915" s="228"/>
    </row>
    <row r="916">
      <c r="A916" s="228"/>
      <c r="B916" s="228"/>
      <c r="C916" s="228"/>
      <c r="D916" s="310"/>
      <c r="E916" s="311"/>
      <c r="F916" s="228"/>
      <c r="G916" s="228"/>
      <c r="H916" s="228"/>
      <c r="I916" s="228"/>
      <c r="J916" s="228"/>
      <c r="K916" s="660"/>
      <c r="L916" s="228"/>
      <c r="M916" s="228"/>
      <c r="N916" s="228"/>
    </row>
    <row r="917">
      <c r="A917" s="228"/>
      <c r="B917" s="228"/>
      <c r="C917" s="228"/>
      <c r="D917" s="310"/>
      <c r="E917" s="311"/>
      <c r="F917" s="228"/>
      <c r="G917" s="228"/>
      <c r="H917" s="228"/>
      <c r="I917" s="228"/>
      <c r="J917" s="228"/>
      <c r="K917" s="660"/>
      <c r="L917" s="228"/>
      <c r="M917" s="228"/>
      <c r="N917" s="228"/>
    </row>
    <row r="918">
      <c r="A918" s="228"/>
      <c r="B918" s="228"/>
      <c r="C918" s="228"/>
      <c r="D918" s="310"/>
      <c r="E918" s="311"/>
      <c r="F918" s="228"/>
      <c r="G918" s="228"/>
      <c r="H918" s="228"/>
      <c r="I918" s="228"/>
      <c r="J918" s="228"/>
      <c r="K918" s="660"/>
      <c r="L918" s="228"/>
      <c r="M918" s="228"/>
      <c r="N918" s="228"/>
    </row>
    <row r="919">
      <c r="A919" s="228"/>
      <c r="B919" s="228"/>
      <c r="C919" s="228"/>
      <c r="D919" s="310"/>
      <c r="E919" s="311"/>
      <c r="F919" s="228"/>
      <c r="G919" s="228"/>
      <c r="H919" s="228"/>
      <c r="I919" s="228"/>
      <c r="J919" s="228"/>
      <c r="K919" s="660"/>
      <c r="L919" s="228"/>
      <c r="M919" s="228"/>
      <c r="N919" s="228"/>
    </row>
    <row r="920">
      <c r="A920" s="228"/>
      <c r="B920" s="228"/>
      <c r="C920" s="228"/>
      <c r="D920" s="310"/>
      <c r="E920" s="311"/>
      <c r="F920" s="228"/>
      <c r="G920" s="228"/>
      <c r="H920" s="228"/>
      <c r="I920" s="228"/>
      <c r="J920" s="228"/>
      <c r="K920" s="660"/>
      <c r="L920" s="228"/>
      <c r="M920" s="228"/>
      <c r="N920" s="228"/>
    </row>
    <row r="921">
      <c r="A921" s="228"/>
      <c r="B921" s="228"/>
      <c r="C921" s="228"/>
      <c r="D921" s="310"/>
      <c r="E921" s="311"/>
      <c r="F921" s="228"/>
      <c r="G921" s="228"/>
      <c r="H921" s="228"/>
      <c r="I921" s="228"/>
      <c r="J921" s="228"/>
      <c r="K921" s="660"/>
      <c r="L921" s="228"/>
      <c r="M921" s="228"/>
      <c r="N921" s="228"/>
    </row>
    <row r="922">
      <c r="A922" s="228"/>
      <c r="B922" s="228"/>
      <c r="C922" s="228"/>
      <c r="D922" s="310"/>
      <c r="E922" s="311"/>
      <c r="F922" s="228"/>
      <c r="G922" s="228"/>
      <c r="H922" s="228"/>
      <c r="I922" s="228"/>
      <c r="J922" s="228"/>
      <c r="K922" s="660"/>
      <c r="L922" s="228"/>
      <c r="M922" s="228"/>
      <c r="N922" s="228"/>
    </row>
    <row r="923">
      <c r="A923" s="228"/>
      <c r="B923" s="228"/>
      <c r="C923" s="228"/>
      <c r="D923" s="310"/>
      <c r="E923" s="311"/>
      <c r="F923" s="228"/>
      <c r="G923" s="228"/>
      <c r="H923" s="228"/>
      <c r="I923" s="228"/>
      <c r="J923" s="228"/>
      <c r="K923" s="660"/>
      <c r="L923" s="228"/>
      <c r="M923" s="228"/>
      <c r="N923" s="228"/>
    </row>
    <row r="924">
      <c r="A924" s="228"/>
      <c r="B924" s="228"/>
      <c r="C924" s="228"/>
      <c r="D924" s="310"/>
      <c r="E924" s="311"/>
      <c r="F924" s="228"/>
      <c r="G924" s="228"/>
      <c r="H924" s="228"/>
      <c r="I924" s="228"/>
      <c r="J924" s="228"/>
      <c r="K924" s="660"/>
      <c r="L924" s="228"/>
      <c r="M924" s="228"/>
      <c r="N924" s="228"/>
    </row>
    <row r="925">
      <c r="A925" s="228"/>
      <c r="B925" s="228"/>
      <c r="C925" s="228"/>
      <c r="D925" s="310"/>
      <c r="E925" s="311"/>
      <c r="F925" s="228"/>
      <c r="G925" s="228"/>
      <c r="H925" s="228"/>
      <c r="I925" s="228"/>
      <c r="J925" s="228"/>
      <c r="K925" s="660"/>
      <c r="L925" s="228"/>
      <c r="M925" s="228"/>
      <c r="N925" s="228"/>
    </row>
    <row r="926">
      <c r="A926" s="228"/>
      <c r="B926" s="228"/>
      <c r="C926" s="228"/>
      <c r="D926" s="310"/>
      <c r="E926" s="311"/>
      <c r="F926" s="228"/>
      <c r="G926" s="228"/>
      <c r="H926" s="228"/>
      <c r="I926" s="228"/>
      <c r="J926" s="228"/>
      <c r="K926" s="660"/>
      <c r="L926" s="228"/>
      <c r="M926" s="228"/>
      <c r="N926" s="228"/>
    </row>
    <row r="927">
      <c r="A927" s="228"/>
      <c r="B927" s="228"/>
      <c r="C927" s="228"/>
      <c r="D927" s="310"/>
      <c r="E927" s="311"/>
      <c r="F927" s="228"/>
      <c r="G927" s="228"/>
      <c r="H927" s="228"/>
      <c r="I927" s="228"/>
      <c r="J927" s="228"/>
      <c r="K927" s="660"/>
      <c r="L927" s="228"/>
      <c r="M927" s="228"/>
      <c r="N927" s="228"/>
    </row>
    <row r="928">
      <c r="A928" s="228"/>
      <c r="B928" s="228"/>
      <c r="C928" s="228"/>
      <c r="D928" s="310"/>
      <c r="E928" s="311"/>
      <c r="F928" s="228"/>
      <c r="G928" s="228"/>
      <c r="H928" s="228"/>
      <c r="I928" s="228"/>
      <c r="J928" s="228"/>
      <c r="K928" s="660"/>
      <c r="L928" s="228"/>
      <c r="M928" s="228"/>
      <c r="N928" s="228"/>
    </row>
    <row r="929">
      <c r="A929" s="228"/>
      <c r="B929" s="228"/>
      <c r="C929" s="228"/>
      <c r="D929" s="310"/>
      <c r="E929" s="311"/>
      <c r="F929" s="228"/>
      <c r="G929" s="228"/>
      <c r="H929" s="228"/>
      <c r="I929" s="228"/>
      <c r="J929" s="228"/>
      <c r="K929" s="660"/>
      <c r="L929" s="228"/>
      <c r="M929" s="228"/>
      <c r="N929" s="228"/>
    </row>
    <row r="930">
      <c r="A930" s="228"/>
      <c r="B930" s="228"/>
      <c r="C930" s="228"/>
      <c r="D930" s="310"/>
      <c r="E930" s="311"/>
      <c r="F930" s="228"/>
      <c r="G930" s="228"/>
      <c r="H930" s="228"/>
      <c r="I930" s="228"/>
      <c r="J930" s="228"/>
      <c r="K930" s="660"/>
      <c r="L930" s="228"/>
      <c r="M930" s="228"/>
      <c r="N930" s="228"/>
    </row>
    <row r="931">
      <c r="A931" s="228"/>
      <c r="B931" s="228"/>
      <c r="C931" s="228"/>
      <c r="D931" s="310"/>
      <c r="E931" s="311"/>
      <c r="F931" s="228"/>
      <c r="G931" s="228"/>
      <c r="H931" s="228"/>
      <c r="I931" s="228"/>
      <c r="J931" s="228"/>
      <c r="K931" s="660"/>
      <c r="L931" s="228"/>
      <c r="M931" s="228"/>
      <c r="N931" s="228"/>
    </row>
    <row r="932">
      <c r="A932" s="228"/>
      <c r="B932" s="228"/>
      <c r="C932" s="228"/>
      <c r="D932" s="310"/>
      <c r="E932" s="311"/>
      <c r="F932" s="228"/>
      <c r="G932" s="228"/>
      <c r="H932" s="228"/>
      <c r="I932" s="228"/>
      <c r="J932" s="228"/>
      <c r="K932" s="660"/>
      <c r="L932" s="228"/>
      <c r="M932" s="228"/>
      <c r="N932" s="228"/>
    </row>
    <row r="933">
      <c r="A933" s="228"/>
      <c r="B933" s="228"/>
      <c r="C933" s="228"/>
      <c r="D933" s="310"/>
      <c r="E933" s="311"/>
      <c r="F933" s="228"/>
      <c r="G933" s="228"/>
      <c r="H933" s="228"/>
      <c r="I933" s="228"/>
      <c r="J933" s="228"/>
      <c r="K933" s="660"/>
      <c r="L933" s="228"/>
      <c r="M933" s="228"/>
      <c r="N933" s="228"/>
    </row>
    <row r="934">
      <c r="A934" s="228"/>
      <c r="B934" s="228"/>
      <c r="C934" s="228"/>
      <c r="D934" s="310"/>
      <c r="E934" s="311"/>
      <c r="F934" s="228"/>
      <c r="G934" s="228"/>
      <c r="H934" s="228"/>
      <c r="I934" s="228"/>
      <c r="J934" s="228"/>
      <c r="K934" s="660"/>
      <c r="L934" s="228"/>
      <c r="M934" s="228"/>
      <c r="N934" s="228"/>
    </row>
    <row r="935">
      <c r="A935" s="228"/>
      <c r="B935" s="228"/>
      <c r="C935" s="228"/>
      <c r="D935" s="310"/>
      <c r="E935" s="311"/>
      <c r="F935" s="228"/>
      <c r="G935" s="228"/>
      <c r="H935" s="228"/>
      <c r="I935" s="228"/>
      <c r="J935" s="228"/>
      <c r="K935" s="660"/>
      <c r="L935" s="228"/>
      <c r="M935" s="228"/>
      <c r="N935" s="228"/>
    </row>
    <row r="936">
      <c r="A936" s="228"/>
      <c r="B936" s="228"/>
      <c r="C936" s="228"/>
      <c r="D936" s="310"/>
      <c r="E936" s="311"/>
      <c r="F936" s="228"/>
      <c r="G936" s="228"/>
      <c r="H936" s="228"/>
      <c r="I936" s="228"/>
      <c r="J936" s="228"/>
      <c r="K936" s="660"/>
      <c r="L936" s="228"/>
      <c r="M936" s="228"/>
      <c r="N936" s="228"/>
    </row>
    <row r="937">
      <c r="A937" s="228"/>
      <c r="B937" s="228"/>
      <c r="C937" s="228"/>
      <c r="D937" s="310"/>
      <c r="E937" s="311"/>
      <c r="F937" s="228"/>
      <c r="G937" s="228"/>
      <c r="H937" s="228"/>
      <c r="I937" s="228"/>
      <c r="J937" s="228"/>
      <c r="K937" s="660"/>
      <c r="L937" s="228"/>
      <c r="M937" s="228"/>
      <c r="N937" s="228"/>
    </row>
    <row r="938">
      <c r="A938" s="228"/>
      <c r="B938" s="228"/>
      <c r="C938" s="228"/>
      <c r="D938" s="310"/>
      <c r="E938" s="311"/>
      <c r="F938" s="228"/>
      <c r="G938" s="228"/>
      <c r="H938" s="228"/>
      <c r="I938" s="228"/>
      <c r="J938" s="228"/>
      <c r="K938" s="660"/>
      <c r="L938" s="228"/>
      <c r="M938" s="228"/>
      <c r="N938" s="228"/>
    </row>
    <row r="939">
      <c r="A939" s="228"/>
      <c r="B939" s="228"/>
      <c r="C939" s="228"/>
      <c r="D939" s="310"/>
      <c r="E939" s="311"/>
      <c r="F939" s="228"/>
      <c r="G939" s="228"/>
      <c r="H939" s="228"/>
      <c r="I939" s="228"/>
      <c r="J939" s="228"/>
      <c r="K939" s="660"/>
      <c r="L939" s="228"/>
      <c r="M939" s="228"/>
      <c r="N939" s="228"/>
    </row>
    <row r="940">
      <c r="A940" s="228"/>
      <c r="B940" s="228"/>
      <c r="C940" s="228"/>
      <c r="D940" s="310"/>
      <c r="E940" s="311"/>
      <c r="F940" s="228"/>
      <c r="G940" s="228"/>
      <c r="H940" s="228"/>
      <c r="I940" s="228"/>
      <c r="J940" s="228"/>
      <c r="K940" s="660"/>
      <c r="L940" s="228"/>
      <c r="M940" s="228"/>
      <c r="N940" s="228"/>
    </row>
    <row r="941">
      <c r="A941" s="228"/>
      <c r="B941" s="228"/>
      <c r="C941" s="228"/>
      <c r="D941" s="310"/>
      <c r="E941" s="311"/>
      <c r="F941" s="228"/>
      <c r="G941" s="228"/>
      <c r="H941" s="228"/>
      <c r="I941" s="228"/>
      <c r="J941" s="228"/>
      <c r="K941" s="660"/>
      <c r="L941" s="228"/>
      <c r="M941" s="228"/>
      <c r="N941" s="228"/>
    </row>
    <row r="942">
      <c r="A942" s="228"/>
      <c r="B942" s="228"/>
      <c r="C942" s="228"/>
      <c r="D942" s="310"/>
      <c r="E942" s="311"/>
      <c r="F942" s="228"/>
      <c r="G942" s="228"/>
      <c r="H942" s="228"/>
      <c r="I942" s="228"/>
      <c r="J942" s="228"/>
      <c r="K942" s="660"/>
      <c r="L942" s="228"/>
      <c r="M942" s="228"/>
      <c r="N942" s="228"/>
    </row>
    <row r="943">
      <c r="A943" s="228"/>
      <c r="B943" s="228"/>
      <c r="C943" s="228"/>
      <c r="D943" s="310"/>
      <c r="E943" s="311"/>
      <c r="F943" s="228"/>
      <c r="G943" s="228"/>
      <c r="H943" s="228"/>
      <c r="I943" s="228"/>
      <c r="J943" s="228"/>
      <c r="K943" s="660"/>
      <c r="L943" s="228"/>
      <c r="M943" s="228"/>
      <c r="N943" s="228"/>
    </row>
    <row r="944">
      <c r="A944" s="228"/>
      <c r="B944" s="228"/>
      <c r="C944" s="228"/>
      <c r="D944" s="310"/>
      <c r="E944" s="311"/>
      <c r="F944" s="228"/>
      <c r="G944" s="228"/>
      <c r="H944" s="228"/>
      <c r="I944" s="228"/>
      <c r="J944" s="228"/>
      <c r="K944" s="660"/>
      <c r="L944" s="228"/>
      <c r="M944" s="228"/>
      <c r="N944" s="228"/>
    </row>
    <row r="945">
      <c r="A945" s="228"/>
      <c r="B945" s="228"/>
      <c r="C945" s="228"/>
      <c r="D945" s="310"/>
      <c r="E945" s="311"/>
      <c r="F945" s="228"/>
      <c r="G945" s="228"/>
      <c r="H945" s="228"/>
      <c r="I945" s="228"/>
      <c r="J945" s="228"/>
      <c r="K945" s="660"/>
      <c r="L945" s="228"/>
      <c r="M945" s="228"/>
      <c r="N945" s="228"/>
    </row>
    <row r="946">
      <c r="A946" s="228"/>
      <c r="B946" s="228"/>
      <c r="C946" s="228"/>
      <c r="D946" s="310"/>
      <c r="E946" s="311"/>
      <c r="F946" s="228"/>
      <c r="G946" s="228"/>
      <c r="H946" s="228"/>
      <c r="I946" s="228"/>
      <c r="J946" s="228"/>
      <c r="K946" s="660"/>
      <c r="L946" s="228"/>
      <c r="M946" s="228"/>
      <c r="N946" s="228"/>
    </row>
    <row r="947">
      <c r="A947" s="228"/>
      <c r="B947" s="228"/>
      <c r="C947" s="228"/>
      <c r="D947" s="310"/>
      <c r="E947" s="311"/>
      <c r="F947" s="228"/>
      <c r="G947" s="228"/>
      <c r="H947" s="228"/>
      <c r="I947" s="228"/>
      <c r="J947" s="228"/>
      <c r="K947" s="660"/>
      <c r="L947" s="228"/>
      <c r="M947" s="228"/>
      <c r="N947" s="228"/>
    </row>
    <row r="948">
      <c r="A948" s="228"/>
      <c r="B948" s="228"/>
      <c r="C948" s="228"/>
      <c r="D948" s="310"/>
      <c r="E948" s="311"/>
      <c r="F948" s="228"/>
      <c r="G948" s="228"/>
      <c r="H948" s="228"/>
      <c r="I948" s="228"/>
      <c r="J948" s="228"/>
      <c r="K948" s="660"/>
      <c r="L948" s="228"/>
      <c r="M948" s="228"/>
      <c r="N948" s="228"/>
    </row>
    <row r="949">
      <c r="A949" s="228"/>
      <c r="B949" s="228"/>
      <c r="C949" s="228"/>
      <c r="D949" s="310"/>
      <c r="E949" s="311"/>
      <c r="F949" s="228"/>
      <c r="G949" s="228"/>
      <c r="H949" s="228"/>
      <c r="I949" s="228"/>
      <c r="J949" s="228"/>
      <c r="K949" s="660"/>
      <c r="L949" s="228"/>
      <c r="M949" s="228"/>
      <c r="N949" s="228"/>
    </row>
    <row r="950">
      <c r="A950" s="228"/>
      <c r="B950" s="228"/>
      <c r="C950" s="228"/>
      <c r="D950" s="310"/>
      <c r="E950" s="311"/>
      <c r="F950" s="228"/>
      <c r="G950" s="228"/>
      <c r="H950" s="228"/>
      <c r="I950" s="228"/>
      <c r="J950" s="228"/>
      <c r="K950" s="660"/>
      <c r="L950" s="228"/>
      <c r="M950" s="228"/>
      <c r="N950" s="228"/>
    </row>
    <row r="951">
      <c r="A951" s="228"/>
      <c r="B951" s="228"/>
      <c r="C951" s="228"/>
      <c r="D951" s="310"/>
      <c r="E951" s="311"/>
      <c r="F951" s="228"/>
      <c r="G951" s="228"/>
      <c r="H951" s="228"/>
      <c r="I951" s="228"/>
      <c r="J951" s="228"/>
      <c r="K951" s="660"/>
      <c r="L951" s="228"/>
      <c r="M951" s="228"/>
      <c r="N951" s="228"/>
    </row>
    <row r="952">
      <c r="A952" s="228"/>
      <c r="B952" s="228"/>
      <c r="C952" s="228"/>
      <c r="D952" s="310"/>
      <c r="E952" s="311"/>
      <c r="F952" s="228"/>
      <c r="G952" s="228"/>
      <c r="H952" s="228"/>
      <c r="I952" s="228"/>
      <c r="J952" s="228"/>
      <c r="K952" s="660"/>
      <c r="L952" s="228"/>
      <c r="M952" s="228"/>
      <c r="N952" s="228"/>
    </row>
    <row r="953">
      <c r="A953" s="228"/>
      <c r="B953" s="228"/>
      <c r="C953" s="228"/>
      <c r="D953" s="310"/>
      <c r="E953" s="311"/>
      <c r="F953" s="228"/>
      <c r="G953" s="228"/>
      <c r="H953" s="228"/>
      <c r="I953" s="228"/>
      <c r="J953" s="228"/>
      <c r="K953" s="660"/>
      <c r="L953" s="228"/>
      <c r="M953" s="228"/>
      <c r="N953" s="228"/>
    </row>
    <row r="954">
      <c r="A954" s="228"/>
      <c r="B954" s="228"/>
      <c r="C954" s="228"/>
      <c r="D954" s="310"/>
      <c r="E954" s="311"/>
      <c r="F954" s="228"/>
      <c r="G954" s="228"/>
      <c r="H954" s="228"/>
      <c r="I954" s="228"/>
      <c r="J954" s="228"/>
      <c r="K954" s="660"/>
      <c r="L954" s="228"/>
      <c r="M954" s="228"/>
      <c r="N954" s="228"/>
    </row>
    <row r="955">
      <c r="A955" s="228"/>
      <c r="B955" s="228"/>
      <c r="C955" s="228"/>
      <c r="D955" s="310"/>
      <c r="E955" s="311"/>
      <c r="F955" s="228"/>
      <c r="G955" s="228"/>
      <c r="H955" s="228"/>
      <c r="I955" s="228"/>
      <c r="J955" s="228"/>
      <c r="K955" s="660"/>
      <c r="L955" s="228"/>
      <c r="M955" s="228"/>
      <c r="N955" s="228"/>
    </row>
    <row r="956">
      <c r="A956" s="228"/>
      <c r="B956" s="228"/>
      <c r="C956" s="228"/>
      <c r="D956" s="310"/>
      <c r="E956" s="311"/>
      <c r="F956" s="228"/>
      <c r="G956" s="228"/>
      <c r="H956" s="228"/>
      <c r="I956" s="228"/>
      <c r="J956" s="228"/>
      <c r="K956" s="660"/>
      <c r="L956" s="228"/>
      <c r="M956" s="228"/>
      <c r="N956" s="228"/>
    </row>
    <row r="957">
      <c r="A957" s="228"/>
      <c r="B957" s="228"/>
      <c r="C957" s="228"/>
      <c r="D957" s="310"/>
      <c r="E957" s="311"/>
      <c r="F957" s="228"/>
      <c r="G957" s="228"/>
      <c r="H957" s="228"/>
      <c r="I957" s="228"/>
      <c r="J957" s="228"/>
      <c r="K957" s="660"/>
      <c r="L957" s="228"/>
      <c r="M957" s="228"/>
      <c r="N957" s="228"/>
    </row>
    <row r="958">
      <c r="A958" s="228"/>
      <c r="B958" s="228"/>
      <c r="C958" s="228"/>
      <c r="D958" s="310"/>
      <c r="E958" s="311"/>
      <c r="F958" s="228"/>
      <c r="G958" s="228"/>
      <c r="H958" s="228"/>
      <c r="I958" s="228"/>
      <c r="J958" s="228"/>
      <c r="K958" s="660"/>
      <c r="L958" s="228"/>
      <c r="M958" s="228"/>
      <c r="N958" s="228"/>
    </row>
    <row r="959">
      <c r="A959" s="228"/>
      <c r="B959" s="228"/>
      <c r="C959" s="228"/>
      <c r="D959" s="310"/>
      <c r="E959" s="311"/>
      <c r="F959" s="228"/>
      <c r="G959" s="228"/>
      <c r="H959" s="228"/>
      <c r="I959" s="228"/>
      <c r="J959" s="228"/>
      <c r="K959" s="660"/>
      <c r="L959" s="228"/>
      <c r="M959" s="228"/>
      <c r="N959" s="228"/>
    </row>
    <row r="960">
      <c r="A960" s="228"/>
      <c r="B960" s="228"/>
      <c r="C960" s="228"/>
      <c r="D960" s="310"/>
      <c r="E960" s="311"/>
      <c r="F960" s="228"/>
      <c r="G960" s="228"/>
      <c r="H960" s="228"/>
      <c r="I960" s="228"/>
      <c r="J960" s="228"/>
      <c r="K960" s="660"/>
      <c r="L960" s="228"/>
      <c r="M960" s="228"/>
      <c r="N960" s="228"/>
    </row>
    <row r="961">
      <c r="A961" s="228"/>
      <c r="B961" s="228"/>
      <c r="C961" s="228"/>
      <c r="D961" s="310"/>
      <c r="E961" s="311"/>
      <c r="F961" s="228"/>
      <c r="G961" s="228"/>
      <c r="H961" s="228"/>
      <c r="I961" s="228"/>
      <c r="J961" s="228"/>
      <c r="K961" s="660"/>
      <c r="L961" s="228"/>
      <c r="M961" s="228"/>
      <c r="N961" s="228"/>
    </row>
    <row r="962">
      <c r="A962" s="228"/>
      <c r="B962" s="228"/>
      <c r="C962" s="228"/>
      <c r="D962" s="310"/>
      <c r="E962" s="311"/>
      <c r="F962" s="228"/>
      <c r="G962" s="228"/>
      <c r="H962" s="228"/>
      <c r="I962" s="228"/>
      <c r="J962" s="228"/>
      <c r="K962" s="660"/>
      <c r="L962" s="228"/>
      <c r="M962" s="228"/>
      <c r="N962" s="228"/>
    </row>
    <row r="963">
      <c r="A963" s="228"/>
      <c r="B963" s="228"/>
      <c r="C963" s="228"/>
      <c r="D963" s="310"/>
      <c r="E963" s="311"/>
      <c r="F963" s="228"/>
      <c r="G963" s="228"/>
      <c r="H963" s="228"/>
      <c r="I963" s="228"/>
      <c r="J963" s="228"/>
      <c r="K963" s="660"/>
      <c r="L963" s="228"/>
      <c r="M963" s="228"/>
      <c r="N963" s="228"/>
    </row>
    <row r="964">
      <c r="A964" s="228"/>
      <c r="B964" s="228"/>
      <c r="C964" s="228"/>
      <c r="D964" s="310"/>
      <c r="E964" s="311"/>
      <c r="F964" s="228"/>
      <c r="G964" s="228"/>
      <c r="H964" s="228"/>
      <c r="I964" s="228"/>
      <c r="J964" s="228"/>
      <c r="K964" s="660"/>
      <c r="L964" s="228"/>
      <c r="M964" s="228"/>
      <c r="N964" s="228"/>
    </row>
    <row r="965">
      <c r="A965" s="228"/>
      <c r="B965" s="228"/>
      <c r="C965" s="228"/>
      <c r="D965" s="310"/>
      <c r="E965" s="311"/>
      <c r="F965" s="228"/>
      <c r="G965" s="228"/>
      <c r="H965" s="228"/>
      <c r="I965" s="228"/>
      <c r="J965" s="228"/>
      <c r="K965" s="660"/>
      <c r="L965" s="228"/>
      <c r="M965" s="228"/>
      <c r="N965" s="228"/>
    </row>
    <row r="966">
      <c r="A966" s="228"/>
      <c r="B966" s="228"/>
      <c r="C966" s="228"/>
      <c r="D966" s="228"/>
      <c r="E966" s="228"/>
      <c r="F966" s="228"/>
      <c r="G966" s="228"/>
      <c r="H966" s="228"/>
      <c r="I966" s="228"/>
      <c r="J966" s="228"/>
      <c r="K966" s="660"/>
      <c r="L966" s="228"/>
      <c r="M966" s="228"/>
      <c r="N966" s="228"/>
    </row>
    <row r="967">
      <c r="A967" s="228"/>
      <c r="B967" s="228"/>
      <c r="C967" s="228"/>
      <c r="D967" s="228"/>
      <c r="E967" s="228"/>
      <c r="F967" s="228"/>
      <c r="G967" s="228"/>
      <c r="H967" s="228"/>
      <c r="I967" s="228"/>
      <c r="J967" s="228"/>
      <c r="K967" s="660"/>
      <c r="L967" s="228"/>
      <c r="M967" s="228"/>
      <c r="N967" s="228"/>
    </row>
    <row r="968">
      <c r="A968" s="228"/>
      <c r="B968" s="228"/>
      <c r="C968" s="228"/>
      <c r="D968" s="228"/>
      <c r="E968" s="228"/>
      <c r="F968" s="228"/>
      <c r="G968" s="228"/>
      <c r="H968" s="228"/>
      <c r="I968" s="228"/>
      <c r="J968" s="228"/>
      <c r="K968" s="660"/>
      <c r="L968" s="228"/>
      <c r="M968" s="228"/>
      <c r="N968" s="228"/>
    </row>
    <row r="969">
      <c r="A969" s="228"/>
      <c r="B969" s="228"/>
      <c r="C969" s="228"/>
      <c r="D969" s="228"/>
      <c r="E969" s="228"/>
      <c r="F969" s="228"/>
      <c r="G969" s="228"/>
      <c r="H969" s="228"/>
      <c r="I969" s="228"/>
      <c r="J969" s="228"/>
      <c r="K969" s="660"/>
      <c r="L969" s="228"/>
      <c r="M969" s="228"/>
      <c r="N969" s="228"/>
    </row>
    <row r="970">
      <c r="A970" s="228"/>
      <c r="B970" s="228"/>
      <c r="C970" s="228"/>
      <c r="D970" s="228"/>
      <c r="E970" s="228"/>
      <c r="F970" s="228"/>
      <c r="G970" s="228"/>
      <c r="H970" s="228"/>
      <c r="I970" s="228"/>
      <c r="J970" s="228"/>
      <c r="K970" s="660"/>
      <c r="L970" s="228"/>
      <c r="M970" s="228"/>
      <c r="N970" s="228"/>
    </row>
    <row r="971">
      <c r="A971" s="228"/>
      <c r="B971" s="228"/>
      <c r="C971" s="228"/>
      <c r="D971" s="228"/>
      <c r="E971" s="228"/>
      <c r="F971" s="228"/>
      <c r="G971" s="228"/>
      <c r="H971" s="228"/>
      <c r="I971" s="228"/>
      <c r="J971" s="228"/>
      <c r="K971" s="660"/>
      <c r="L971" s="228"/>
      <c r="M971" s="228"/>
      <c r="N971" s="228"/>
    </row>
    <row r="972">
      <c r="A972" s="228"/>
      <c r="B972" s="228"/>
      <c r="C972" s="228"/>
      <c r="D972" s="228"/>
      <c r="E972" s="228"/>
      <c r="F972" s="228"/>
      <c r="G972" s="228"/>
      <c r="H972" s="228"/>
      <c r="I972" s="228"/>
      <c r="J972" s="228"/>
      <c r="K972" s="660"/>
      <c r="L972" s="228"/>
      <c r="M972" s="228"/>
      <c r="N972" s="228"/>
    </row>
    <row r="973">
      <c r="A973" s="228"/>
      <c r="B973" s="228"/>
      <c r="C973" s="228"/>
      <c r="D973" s="228"/>
      <c r="E973" s="228"/>
      <c r="F973" s="228"/>
      <c r="G973" s="228"/>
      <c r="H973" s="228"/>
      <c r="I973" s="228"/>
      <c r="J973" s="228"/>
      <c r="K973" s="660"/>
      <c r="L973" s="228"/>
      <c r="M973" s="228"/>
      <c r="N973" s="228"/>
    </row>
    <row r="974">
      <c r="A974" s="228"/>
      <c r="B974" s="228"/>
      <c r="C974" s="228"/>
      <c r="D974" s="228"/>
      <c r="E974" s="228"/>
      <c r="F974" s="228"/>
      <c r="G974" s="228"/>
      <c r="H974" s="228"/>
      <c r="I974" s="228"/>
      <c r="J974" s="228"/>
      <c r="K974" s="660"/>
      <c r="L974" s="228"/>
      <c r="M974" s="228"/>
      <c r="N974" s="228"/>
    </row>
    <row r="975">
      <c r="A975" s="228"/>
      <c r="B975" s="228"/>
      <c r="C975" s="228"/>
      <c r="D975" s="228"/>
      <c r="E975" s="228"/>
      <c r="F975" s="228"/>
      <c r="G975" s="228"/>
      <c r="H975" s="228"/>
      <c r="I975" s="228"/>
      <c r="J975" s="228"/>
      <c r="K975" s="660"/>
      <c r="L975" s="228"/>
      <c r="M975" s="228"/>
      <c r="N975" s="228"/>
    </row>
    <row r="976">
      <c r="A976" s="228"/>
      <c r="B976" s="228"/>
      <c r="C976" s="228"/>
      <c r="D976" s="228"/>
      <c r="E976" s="228"/>
      <c r="F976" s="228"/>
      <c r="G976" s="228"/>
      <c r="H976" s="228"/>
      <c r="I976" s="228"/>
      <c r="J976" s="228"/>
      <c r="K976" s="660"/>
      <c r="L976" s="228"/>
      <c r="M976" s="228"/>
      <c r="N976" s="228"/>
    </row>
    <row r="977">
      <c r="A977" s="228"/>
      <c r="B977" s="228"/>
      <c r="C977" s="228"/>
      <c r="D977" s="228"/>
      <c r="E977" s="228"/>
      <c r="F977" s="228"/>
      <c r="G977" s="228"/>
      <c r="H977" s="228"/>
      <c r="I977" s="228"/>
      <c r="J977" s="228"/>
      <c r="K977" s="660"/>
      <c r="L977" s="228"/>
      <c r="M977" s="228"/>
      <c r="N977" s="228"/>
    </row>
    <row r="978">
      <c r="A978" s="228"/>
      <c r="B978" s="228"/>
      <c r="C978" s="228"/>
      <c r="D978" s="228"/>
      <c r="E978" s="228"/>
      <c r="F978" s="228"/>
      <c r="G978" s="228"/>
      <c r="H978" s="228"/>
      <c r="I978" s="228"/>
      <c r="J978" s="228"/>
      <c r="K978" s="660"/>
      <c r="L978" s="228"/>
      <c r="M978" s="228"/>
      <c r="N978" s="228"/>
    </row>
    <row r="979">
      <c r="A979" s="228"/>
      <c r="B979" s="228"/>
      <c r="C979" s="228"/>
      <c r="D979" s="228"/>
      <c r="E979" s="228"/>
      <c r="F979" s="228"/>
      <c r="G979" s="228"/>
      <c r="H979" s="228"/>
      <c r="I979" s="228"/>
      <c r="J979" s="228"/>
      <c r="K979" s="660"/>
      <c r="L979" s="228"/>
      <c r="M979" s="228"/>
      <c r="N979" s="228"/>
    </row>
    <row r="980">
      <c r="A980" s="228"/>
      <c r="B980" s="228"/>
      <c r="C980" s="228"/>
      <c r="D980" s="228"/>
      <c r="E980" s="228"/>
      <c r="F980" s="228"/>
      <c r="G980" s="228"/>
      <c r="H980" s="228"/>
      <c r="I980" s="228"/>
      <c r="J980" s="228"/>
      <c r="K980" s="660"/>
      <c r="L980" s="228"/>
      <c r="M980" s="228"/>
      <c r="N980" s="228"/>
    </row>
    <row r="981">
      <c r="A981" s="228"/>
      <c r="B981" s="228"/>
      <c r="C981" s="228"/>
      <c r="D981" s="228"/>
      <c r="E981" s="228"/>
      <c r="F981" s="228"/>
      <c r="G981" s="228"/>
      <c r="H981" s="228"/>
      <c r="I981" s="228"/>
      <c r="J981" s="228"/>
      <c r="K981" s="660"/>
      <c r="L981" s="228"/>
      <c r="M981" s="228"/>
      <c r="N981" s="228"/>
    </row>
    <row r="982">
      <c r="A982" s="228"/>
      <c r="B982" s="228"/>
      <c r="C982" s="228"/>
      <c r="D982" s="228"/>
      <c r="E982" s="228"/>
      <c r="F982" s="228"/>
      <c r="G982" s="228"/>
      <c r="H982" s="228"/>
      <c r="I982" s="228"/>
      <c r="J982" s="228"/>
      <c r="K982" s="660"/>
      <c r="L982" s="228"/>
      <c r="M982" s="228"/>
      <c r="N982" s="228"/>
    </row>
    <row r="983">
      <c r="A983" s="228"/>
      <c r="B983" s="228"/>
      <c r="C983" s="228"/>
      <c r="D983" s="228"/>
      <c r="E983" s="228"/>
      <c r="F983" s="228"/>
      <c r="G983" s="228"/>
      <c r="H983" s="228"/>
      <c r="I983" s="228"/>
      <c r="J983" s="228"/>
      <c r="K983" s="660"/>
      <c r="L983" s="228"/>
      <c r="M983" s="228"/>
      <c r="N983" s="228"/>
    </row>
    <row r="984">
      <c r="A984" s="228"/>
      <c r="B984" s="228"/>
      <c r="C984" s="228"/>
      <c r="D984" s="228"/>
      <c r="E984" s="228"/>
      <c r="F984" s="228"/>
      <c r="G984" s="228"/>
      <c r="H984" s="228"/>
      <c r="I984" s="228"/>
      <c r="J984" s="228"/>
      <c r="K984" s="660"/>
      <c r="L984" s="228"/>
      <c r="M984" s="228"/>
      <c r="N984" s="228"/>
    </row>
    <row r="985">
      <c r="A985" s="228"/>
      <c r="B985" s="228"/>
      <c r="C985" s="228"/>
      <c r="D985" s="228"/>
      <c r="E985" s="228"/>
      <c r="F985" s="228"/>
      <c r="G985" s="228"/>
      <c r="H985" s="228"/>
      <c r="I985" s="228"/>
      <c r="J985" s="228"/>
      <c r="K985" s="660"/>
      <c r="L985" s="228"/>
      <c r="M985" s="228"/>
      <c r="N985" s="228"/>
    </row>
    <row r="986">
      <c r="A986" s="228"/>
      <c r="B986" s="228"/>
      <c r="C986" s="228"/>
      <c r="D986" s="228"/>
      <c r="E986" s="228"/>
      <c r="F986" s="228"/>
      <c r="G986" s="228"/>
      <c r="H986" s="228"/>
      <c r="I986" s="228"/>
      <c r="J986" s="228"/>
      <c r="K986" s="660"/>
      <c r="L986" s="228"/>
      <c r="M986" s="228"/>
      <c r="N986" s="228"/>
    </row>
    <row r="987">
      <c r="A987" s="228"/>
      <c r="B987" s="228"/>
      <c r="C987" s="228"/>
      <c r="D987" s="228"/>
      <c r="E987" s="228"/>
      <c r="F987" s="228"/>
      <c r="G987" s="228"/>
      <c r="H987" s="228"/>
      <c r="I987" s="228"/>
      <c r="J987" s="228"/>
      <c r="K987" s="660"/>
      <c r="L987" s="228"/>
      <c r="M987" s="228"/>
      <c r="N987" s="228"/>
    </row>
    <row r="988">
      <c r="A988" s="228"/>
      <c r="B988" s="228"/>
      <c r="C988" s="228"/>
      <c r="D988" s="228"/>
      <c r="E988" s="228"/>
      <c r="F988" s="228"/>
      <c r="G988" s="228"/>
      <c r="H988" s="228"/>
      <c r="I988" s="228"/>
      <c r="J988" s="228"/>
      <c r="K988" s="660"/>
      <c r="L988" s="228"/>
      <c r="M988" s="228"/>
      <c r="N988" s="228"/>
    </row>
    <row r="989">
      <c r="A989" s="228"/>
      <c r="B989" s="228"/>
      <c r="C989" s="228"/>
      <c r="D989" s="228"/>
      <c r="E989" s="228"/>
      <c r="F989" s="228"/>
      <c r="G989" s="228"/>
      <c r="H989" s="228"/>
      <c r="I989" s="228"/>
      <c r="J989" s="228"/>
      <c r="K989" s="660"/>
      <c r="L989" s="228"/>
      <c r="M989" s="228"/>
      <c r="N989" s="228"/>
    </row>
    <row r="990">
      <c r="A990" s="228"/>
      <c r="B990" s="228"/>
      <c r="C990" s="228"/>
      <c r="D990" s="228"/>
      <c r="E990" s="228"/>
      <c r="F990" s="228"/>
      <c r="G990" s="228"/>
      <c r="H990" s="228"/>
      <c r="I990" s="228"/>
      <c r="J990" s="228"/>
      <c r="K990" s="660"/>
      <c r="L990" s="228"/>
      <c r="M990" s="228"/>
      <c r="N990" s="228"/>
    </row>
    <row r="991">
      <c r="A991" s="228"/>
      <c r="B991" s="228"/>
      <c r="C991" s="228"/>
      <c r="D991" s="228"/>
      <c r="E991" s="228"/>
      <c r="F991" s="228"/>
      <c r="G991" s="228"/>
      <c r="H991" s="228"/>
      <c r="I991" s="228"/>
      <c r="J991" s="228"/>
      <c r="K991" s="660"/>
      <c r="L991" s="228"/>
      <c r="M991" s="228"/>
      <c r="N991" s="228"/>
    </row>
    <row r="992">
      <c r="A992" s="228"/>
      <c r="B992" s="228"/>
      <c r="C992" s="228"/>
      <c r="D992" s="228"/>
      <c r="E992" s="228"/>
      <c r="F992" s="228"/>
      <c r="G992" s="228"/>
      <c r="H992" s="228"/>
      <c r="I992" s="228"/>
      <c r="J992" s="228"/>
      <c r="K992" s="660"/>
      <c r="L992" s="228"/>
      <c r="M992" s="228"/>
      <c r="N992" s="228"/>
    </row>
    <row r="993">
      <c r="A993" s="228"/>
      <c r="B993" s="228"/>
      <c r="C993" s="228"/>
      <c r="D993" s="228"/>
      <c r="E993" s="228"/>
      <c r="F993" s="228"/>
      <c r="G993" s="228"/>
      <c r="H993" s="228"/>
      <c r="I993" s="228"/>
      <c r="J993" s="228"/>
      <c r="K993" s="660"/>
      <c r="L993" s="228"/>
      <c r="M993" s="228"/>
      <c r="N993" s="228"/>
    </row>
    <row r="994">
      <c r="A994" s="228"/>
      <c r="B994" s="228"/>
      <c r="C994" s="228"/>
      <c r="D994" s="228"/>
      <c r="E994" s="228"/>
      <c r="F994" s="228"/>
      <c r="G994" s="228"/>
      <c r="H994" s="228"/>
      <c r="I994" s="228"/>
      <c r="J994" s="228"/>
      <c r="K994" s="660"/>
      <c r="L994" s="228"/>
      <c r="M994" s="228"/>
      <c r="N994" s="228"/>
    </row>
    <row r="995">
      <c r="A995" s="228"/>
      <c r="B995" s="228"/>
      <c r="C995" s="228"/>
      <c r="D995" s="228"/>
      <c r="E995" s="228"/>
      <c r="F995" s="228"/>
      <c r="G995" s="228"/>
      <c r="H995" s="228"/>
      <c r="I995" s="228"/>
      <c r="J995" s="228"/>
      <c r="K995" s="660"/>
      <c r="L995" s="228"/>
      <c r="M995" s="228"/>
      <c r="N995" s="228"/>
    </row>
    <row r="996">
      <c r="A996" s="228"/>
      <c r="B996" s="228"/>
      <c r="C996" s="228"/>
      <c r="D996" s="228"/>
      <c r="E996" s="228"/>
      <c r="F996" s="228"/>
      <c r="G996" s="228"/>
      <c r="H996" s="228"/>
      <c r="I996" s="228"/>
      <c r="J996" s="228"/>
      <c r="K996" s="660"/>
      <c r="L996" s="228"/>
      <c r="M996" s="228"/>
      <c r="N996" s="228"/>
    </row>
    <row r="997">
      <c r="A997" s="228"/>
      <c r="B997" s="228"/>
      <c r="C997" s="228"/>
      <c r="D997" s="228"/>
      <c r="E997" s="228"/>
      <c r="F997" s="228"/>
      <c r="G997" s="228"/>
      <c r="H997" s="228"/>
      <c r="I997" s="228"/>
      <c r="J997" s="228"/>
      <c r="K997" s="660"/>
      <c r="L997" s="228"/>
      <c r="M997" s="228"/>
      <c r="N997" s="228"/>
    </row>
    <row r="998">
      <c r="A998" s="228"/>
      <c r="B998" s="228"/>
      <c r="C998" s="228"/>
      <c r="D998" s="228"/>
      <c r="E998" s="228"/>
      <c r="F998" s="228"/>
      <c r="G998" s="228"/>
      <c r="H998" s="228"/>
      <c r="I998" s="228"/>
      <c r="J998" s="228"/>
      <c r="K998" s="660"/>
      <c r="L998" s="228"/>
      <c r="M998" s="228"/>
      <c r="N998" s="228"/>
    </row>
    <row r="999">
      <c r="A999" s="228"/>
      <c r="B999" s="228"/>
      <c r="C999" s="228"/>
      <c r="D999" s="228"/>
      <c r="E999" s="228"/>
      <c r="F999" s="228"/>
      <c r="G999" s="228"/>
      <c r="H999" s="228"/>
      <c r="I999" s="228"/>
      <c r="J999" s="228"/>
      <c r="K999" s="660"/>
      <c r="L999" s="228"/>
      <c r="M999" s="228"/>
      <c r="N999" s="228"/>
    </row>
    <row r="1000">
      <c r="A1000" s="228"/>
      <c r="B1000" s="228"/>
      <c r="C1000" s="228"/>
      <c r="D1000" s="228"/>
      <c r="E1000" s="228"/>
      <c r="F1000" s="228"/>
      <c r="G1000" s="228"/>
      <c r="H1000" s="228"/>
      <c r="I1000" s="228"/>
      <c r="J1000" s="228"/>
      <c r="K1000" s="660"/>
      <c r="L1000" s="228"/>
      <c r="M1000" s="228"/>
      <c r="N1000" s="228"/>
    </row>
    <row r="1001">
      <c r="A1001" s="228"/>
      <c r="B1001" s="228"/>
      <c r="C1001" s="228"/>
      <c r="D1001" s="228"/>
      <c r="E1001" s="228"/>
      <c r="F1001" s="228"/>
      <c r="G1001" s="228"/>
      <c r="H1001" s="228"/>
      <c r="I1001" s="228"/>
      <c r="J1001" s="228"/>
      <c r="K1001" s="660"/>
      <c r="L1001" s="228"/>
      <c r="M1001" s="228"/>
      <c r="N1001" s="228"/>
    </row>
    <row r="1002">
      <c r="A1002" s="228"/>
      <c r="B1002" s="228"/>
      <c r="C1002" s="228"/>
      <c r="D1002" s="228"/>
      <c r="E1002" s="228"/>
      <c r="F1002" s="228"/>
      <c r="G1002" s="228"/>
      <c r="H1002" s="228"/>
      <c r="I1002" s="228"/>
      <c r="J1002" s="228"/>
      <c r="K1002" s="660"/>
      <c r="L1002" s="228"/>
      <c r="M1002" s="228"/>
      <c r="N1002" s="228"/>
    </row>
    <row r="1003">
      <c r="A1003" s="228"/>
      <c r="B1003" s="228"/>
      <c r="C1003" s="228"/>
      <c r="D1003" s="228"/>
      <c r="E1003" s="228"/>
      <c r="F1003" s="228"/>
      <c r="G1003" s="228"/>
      <c r="H1003" s="228"/>
      <c r="I1003" s="228"/>
      <c r="J1003" s="228"/>
      <c r="K1003" s="660"/>
      <c r="L1003" s="228"/>
      <c r="M1003" s="228"/>
      <c r="N1003" s="228"/>
    </row>
    <row r="1004">
      <c r="A1004" s="228"/>
      <c r="B1004" s="228"/>
      <c r="C1004" s="228"/>
      <c r="D1004" s="228"/>
      <c r="E1004" s="228"/>
      <c r="F1004" s="228"/>
      <c r="G1004" s="228"/>
      <c r="H1004" s="228"/>
      <c r="I1004" s="228"/>
      <c r="J1004" s="228"/>
      <c r="K1004" s="660"/>
      <c r="L1004" s="228"/>
      <c r="M1004" s="228"/>
      <c r="N1004" s="228"/>
    </row>
    <row r="1005">
      <c r="A1005" s="228"/>
      <c r="B1005" s="228"/>
      <c r="C1005" s="228"/>
      <c r="D1005" s="228"/>
      <c r="E1005" s="228"/>
      <c r="F1005" s="228"/>
      <c r="G1005" s="228"/>
      <c r="H1005" s="228"/>
      <c r="I1005" s="228"/>
      <c r="J1005" s="228"/>
      <c r="K1005" s="660"/>
      <c r="L1005" s="228"/>
      <c r="M1005" s="228"/>
      <c r="N1005" s="228"/>
    </row>
    <row r="1006">
      <c r="A1006" s="228"/>
      <c r="B1006" s="228"/>
      <c r="C1006" s="228"/>
      <c r="D1006" s="228"/>
      <c r="E1006" s="228"/>
      <c r="F1006" s="228"/>
      <c r="G1006" s="228"/>
      <c r="H1006" s="228"/>
      <c r="I1006" s="228"/>
      <c r="J1006" s="228"/>
      <c r="K1006" s="660"/>
      <c r="L1006" s="228"/>
      <c r="M1006" s="228"/>
      <c r="N1006" s="228"/>
    </row>
    <row r="1007">
      <c r="A1007" s="228"/>
      <c r="B1007" s="228"/>
      <c r="C1007" s="228"/>
      <c r="D1007" s="228"/>
      <c r="E1007" s="228"/>
      <c r="F1007" s="228"/>
      <c r="G1007" s="228"/>
      <c r="H1007" s="228"/>
      <c r="I1007" s="228"/>
      <c r="J1007" s="228"/>
      <c r="K1007" s="660"/>
      <c r="L1007" s="228"/>
      <c r="M1007" s="228"/>
      <c r="N1007" s="228"/>
    </row>
    <row r="1008">
      <c r="A1008" s="228"/>
      <c r="B1008" s="228"/>
      <c r="C1008" s="228"/>
      <c r="D1008" s="228"/>
      <c r="E1008" s="228"/>
      <c r="F1008" s="228"/>
      <c r="G1008" s="228"/>
      <c r="H1008" s="228"/>
      <c r="I1008" s="228"/>
      <c r="J1008" s="228"/>
      <c r="K1008" s="660"/>
      <c r="L1008" s="228"/>
      <c r="M1008" s="228"/>
      <c r="N1008" s="228"/>
    </row>
    <row r="1009">
      <c r="A1009" s="228"/>
      <c r="B1009" s="228"/>
      <c r="C1009" s="228"/>
      <c r="D1009" s="228"/>
      <c r="E1009" s="228"/>
      <c r="F1009" s="228"/>
      <c r="G1009" s="228"/>
      <c r="H1009" s="228"/>
      <c r="I1009" s="228"/>
      <c r="J1009" s="228"/>
      <c r="K1009" s="660"/>
      <c r="L1009" s="228"/>
      <c r="M1009" s="228"/>
      <c r="N1009" s="228"/>
    </row>
    <row r="1010">
      <c r="A1010" s="228"/>
      <c r="B1010" s="228"/>
      <c r="C1010" s="228"/>
      <c r="D1010" s="228"/>
      <c r="E1010" s="228"/>
      <c r="F1010" s="228"/>
      <c r="G1010" s="228"/>
      <c r="H1010" s="228"/>
      <c r="I1010" s="228"/>
      <c r="J1010" s="228"/>
      <c r="K1010" s="660"/>
      <c r="L1010" s="228"/>
      <c r="M1010" s="228"/>
      <c r="N1010" s="228"/>
    </row>
    <row r="1011">
      <c r="A1011" s="228"/>
      <c r="B1011" s="228"/>
      <c r="C1011" s="228"/>
      <c r="D1011" s="228"/>
      <c r="E1011" s="228"/>
      <c r="F1011" s="228"/>
      <c r="G1011" s="228"/>
      <c r="H1011" s="228"/>
      <c r="I1011" s="228"/>
      <c r="J1011" s="228"/>
      <c r="K1011" s="660"/>
      <c r="L1011" s="228"/>
      <c r="M1011" s="228"/>
      <c r="N1011" s="228"/>
    </row>
    <row r="1012">
      <c r="A1012" s="228"/>
      <c r="B1012" s="228"/>
      <c r="C1012" s="228"/>
      <c r="D1012" s="228"/>
      <c r="E1012" s="228"/>
      <c r="F1012" s="228"/>
      <c r="G1012" s="228"/>
      <c r="H1012" s="228"/>
      <c r="I1012" s="228"/>
      <c r="J1012" s="228"/>
      <c r="K1012" s="660"/>
      <c r="L1012" s="228"/>
      <c r="M1012" s="228"/>
      <c r="N1012" s="228"/>
    </row>
    <row r="1013">
      <c r="A1013" s="228"/>
      <c r="B1013" s="228"/>
      <c r="C1013" s="228"/>
      <c r="D1013" s="228"/>
      <c r="E1013" s="228"/>
      <c r="F1013" s="228"/>
      <c r="G1013" s="228"/>
      <c r="H1013" s="228"/>
      <c r="I1013" s="228"/>
      <c r="J1013" s="228"/>
      <c r="K1013" s="660"/>
      <c r="L1013" s="228"/>
      <c r="M1013" s="228"/>
      <c r="N1013" s="228"/>
    </row>
    <row r="1014">
      <c r="A1014" s="228"/>
      <c r="B1014" s="228"/>
      <c r="C1014" s="228"/>
      <c r="D1014" s="228"/>
      <c r="E1014" s="228"/>
      <c r="F1014" s="228"/>
      <c r="G1014" s="228"/>
      <c r="H1014" s="228"/>
      <c r="I1014" s="228"/>
      <c r="J1014" s="228"/>
      <c r="K1014" s="660"/>
      <c r="L1014" s="228"/>
      <c r="M1014" s="228"/>
      <c r="N1014" s="228"/>
    </row>
    <row r="1015">
      <c r="A1015" s="228"/>
      <c r="B1015" s="228"/>
      <c r="C1015" s="228"/>
      <c r="D1015" s="228"/>
      <c r="E1015" s="228"/>
      <c r="F1015" s="228"/>
      <c r="G1015" s="228"/>
      <c r="H1015" s="228"/>
      <c r="I1015" s="228"/>
      <c r="J1015" s="228"/>
      <c r="K1015" s="660"/>
      <c r="L1015" s="228"/>
      <c r="M1015" s="228"/>
      <c r="N1015" s="228"/>
    </row>
    <row r="1016">
      <c r="A1016" s="228"/>
      <c r="B1016" s="228"/>
      <c r="C1016" s="228"/>
      <c r="D1016" s="228"/>
      <c r="E1016" s="228"/>
      <c r="F1016" s="228"/>
      <c r="G1016" s="228"/>
      <c r="H1016" s="228"/>
      <c r="I1016" s="228"/>
      <c r="J1016" s="228"/>
      <c r="K1016" s="660"/>
      <c r="L1016" s="228"/>
      <c r="M1016" s="228"/>
      <c r="N1016" s="228"/>
    </row>
    <row r="1017">
      <c r="A1017" s="228"/>
      <c r="B1017" s="228"/>
      <c r="C1017" s="228"/>
      <c r="D1017" s="228"/>
      <c r="E1017" s="228"/>
      <c r="F1017" s="228"/>
      <c r="G1017" s="228"/>
      <c r="H1017" s="228"/>
      <c r="I1017" s="228"/>
      <c r="J1017" s="228"/>
      <c r="K1017" s="660"/>
      <c r="L1017" s="228"/>
      <c r="M1017" s="228"/>
      <c r="N1017" s="228"/>
    </row>
  </sheetData>
  <autoFilter ref="$A$1:$N$232"/>
  <conditionalFormatting sqref="K1:K1017 A2:J1017 L2:N1017">
    <cfRule type="expression" dxfId="5" priority="1">
      <formula>$L1=0</formula>
    </cfRule>
  </conditionalFormatting>
  <drawing r:id="rId2"/>
  <legacyDrawing r:id="rId3"/>
  <tableParts count="1">
    <tablePart r:id="rId5"/>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7.25"/>
    <col customWidth="1" min="6" max="6" width="11.5"/>
    <col customWidth="1" min="7" max="7" width="14.25"/>
    <col customWidth="1" min="11" max="11" width="16.13"/>
    <col customWidth="1" min="15" max="15" width="19.25"/>
  </cols>
  <sheetData>
    <row r="1">
      <c r="A1" s="347" t="s">
        <v>0</v>
      </c>
      <c r="B1" s="348" t="s">
        <v>1</v>
      </c>
      <c r="C1" s="281" t="s">
        <v>2</v>
      </c>
      <c r="D1" s="281" t="s">
        <v>603</v>
      </c>
      <c r="E1" s="281" t="s">
        <v>604</v>
      </c>
      <c r="F1" s="281" t="s">
        <v>4</v>
      </c>
      <c r="G1" s="281" t="s">
        <v>5</v>
      </c>
      <c r="H1" s="281" t="s">
        <v>6</v>
      </c>
      <c r="I1" s="281" t="s">
        <v>7</v>
      </c>
      <c r="J1" s="281" t="s">
        <v>8</v>
      </c>
      <c r="K1" s="281" t="s">
        <v>9</v>
      </c>
      <c r="L1" s="642" t="s">
        <v>10</v>
      </c>
      <c r="M1" s="281" t="s">
        <v>11</v>
      </c>
      <c r="N1" s="281" t="s">
        <v>12</v>
      </c>
      <c r="O1" s="281" t="s">
        <v>379</v>
      </c>
      <c r="P1" s="696" t="s">
        <v>948</v>
      </c>
      <c r="Q1" s="281" t="s">
        <v>14</v>
      </c>
      <c r="R1" s="281" t="s">
        <v>15</v>
      </c>
      <c r="S1" s="66"/>
      <c r="T1" s="66"/>
      <c r="U1" s="66"/>
      <c r="V1" s="66"/>
      <c r="W1" s="66"/>
      <c r="X1" s="66"/>
      <c r="Y1" s="66"/>
    </row>
    <row r="2">
      <c r="A2" s="349" t="s">
        <v>16</v>
      </c>
      <c r="B2" s="283">
        <v>4320.0</v>
      </c>
      <c r="C2" s="284"/>
      <c r="D2" s="285">
        <v>0.0</v>
      </c>
      <c r="E2" s="282" t="s">
        <v>436</v>
      </c>
      <c r="F2" s="282" t="s">
        <v>362</v>
      </c>
      <c r="G2" s="286" t="s">
        <v>363</v>
      </c>
      <c r="H2" s="287"/>
      <c r="I2" s="288">
        <v>37149.0</v>
      </c>
      <c r="J2" s="288">
        <v>45397.0</v>
      </c>
      <c r="K2" s="350" t="str">
        <f>IFERROR(__xludf.DUMMYFUNCTION("VLOOKUP(TRIM(E2), ARRAYFORMULA(TRIM(IMPORTRANGE(""1J6TM1lO8a31d96YF89fby9ySWcPcCBlFT37fwLDeDG0"", ""PKR-October 2025!C:Z""))), 5, FALSE)"),"")</f>
        <v/>
      </c>
      <c r="L2" s="643">
        <f>IFERROR(__xludf.DUMMYFUNCTION("value(VLOOKUP(TRIM(E2), ARRAYFORMULA(TRIM(IMPORTRANGE(""1J6TM1lO8a31d96YF89fby9ySWcPcCBlFT37fwLDeDG0"", ""PKR-October 2025!C:Z""))), 6, FALSE))"),31.0)</f>
        <v>31</v>
      </c>
      <c r="M2" s="350">
        <v>45931.0</v>
      </c>
      <c r="N2" s="350">
        <v>45961.0</v>
      </c>
      <c r="O2" s="290">
        <f t="shared" ref="O2:O87" si="1">ROUNDUP(L2/31*370,0)</f>
        <v>370</v>
      </c>
      <c r="P2" s="290">
        <f t="shared" ref="P2:P87" si="2">ROUND((370/31)*L2,0)</f>
        <v>370</v>
      </c>
      <c r="Q2" s="290">
        <f t="shared" ref="Q2:Q87" si="3">P2*5</f>
        <v>1850</v>
      </c>
      <c r="R2" s="290">
        <f t="shared" ref="R2:R87" si="4">P2+Q2</f>
        <v>2220</v>
      </c>
      <c r="T2" s="228" t="str">
        <f>IFERROR(__xludf.DUMMYFUNCTION("trim(IMPORTRANGE(""1J6TM1lO8a31d96YF89fby9ySWcPcCBlFT37fwLDeDG0"",""PKR-August 2025!C:Z""))"),"Employee Name")</f>
        <v>Employee Name</v>
      </c>
    </row>
    <row r="3">
      <c r="A3" s="282" t="s">
        <v>16</v>
      </c>
      <c r="B3" s="283">
        <v>4320.0</v>
      </c>
      <c r="C3" s="284"/>
      <c r="D3" s="285">
        <v>0.0</v>
      </c>
      <c r="E3" s="282" t="s">
        <v>407</v>
      </c>
      <c r="F3" s="282" t="s">
        <v>97</v>
      </c>
      <c r="G3" s="286" t="s">
        <v>98</v>
      </c>
      <c r="H3" s="287"/>
      <c r="I3" s="294">
        <v>36690.0</v>
      </c>
      <c r="J3" s="288">
        <v>44938.0</v>
      </c>
      <c r="K3" s="350" t="str">
        <f>IFERROR(__xludf.DUMMYFUNCTION("VLOOKUP(TRIM(E3), ARRAYFORMULA(TRIM(IMPORTRANGE(""1J6TM1lO8a31d96YF89fby9ySWcPcCBlFT37fwLDeDG0"", ""PKR-October 2025!C:Z""))), 5, FALSE)"),"")</f>
        <v/>
      </c>
      <c r="L3" s="643">
        <f>IFERROR(__xludf.DUMMYFUNCTION("value(VLOOKUP(TRIM(E3), ARRAYFORMULA(TRIM(IMPORTRANGE(""1J6TM1lO8a31d96YF89fby9ySWcPcCBlFT37fwLDeDG0"", ""PKR-October 2025!C:Z""))), 6, FALSE))"),31.0)</f>
        <v>31</v>
      </c>
      <c r="M3" s="350">
        <v>45931.0</v>
      </c>
      <c r="N3" s="350">
        <v>45961.0</v>
      </c>
      <c r="O3" s="290">
        <f t="shared" si="1"/>
        <v>370</v>
      </c>
      <c r="P3" s="290">
        <f t="shared" si="2"/>
        <v>370</v>
      </c>
      <c r="Q3" s="290">
        <f t="shared" si="3"/>
        <v>1850</v>
      </c>
      <c r="R3" s="290">
        <f t="shared" si="4"/>
        <v>2220</v>
      </c>
    </row>
    <row r="4">
      <c r="A4" s="282" t="s">
        <v>16</v>
      </c>
      <c r="B4" s="283">
        <v>4320.0</v>
      </c>
      <c r="C4" s="284"/>
      <c r="D4" s="477">
        <v>36524.0</v>
      </c>
      <c r="E4" s="574" t="s">
        <v>928</v>
      </c>
      <c r="F4" s="352" t="s">
        <v>731</v>
      </c>
      <c r="G4" s="352" t="s">
        <v>732</v>
      </c>
      <c r="H4" s="282"/>
      <c r="I4" s="350">
        <v>38263.0</v>
      </c>
      <c r="J4" s="350">
        <v>45355.0</v>
      </c>
      <c r="K4" s="350" t="str">
        <f>IFERROR(__xludf.DUMMYFUNCTION("VLOOKUP(TRIM(E4), ARRAYFORMULA(TRIM(IMPORTRANGE(""1J6TM1lO8a31d96YF89fby9ySWcPcCBlFT37fwLDeDG0"", ""PKR-October 2025!C:Z""))), 5, FALSE)"),"")</f>
        <v/>
      </c>
      <c r="L4" s="643">
        <f>IFERROR(__xludf.DUMMYFUNCTION("value(VLOOKUP(TRIM(E4), ARRAYFORMULA(TRIM(IMPORTRANGE(""1J6TM1lO8a31d96YF89fby9ySWcPcCBlFT37fwLDeDG0"", ""PKR-October 2025!C:Z""))), 6, FALSE))"),31.0)</f>
        <v>31</v>
      </c>
      <c r="M4" s="350">
        <v>45931.0</v>
      </c>
      <c r="N4" s="350">
        <v>45961.0</v>
      </c>
      <c r="O4" s="290">
        <f t="shared" si="1"/>
        <v>370</v>
      </c>
      <c r="P4" s="290">
        <f t="shared" si="2"/>
        <v>370</v>
      </c>
      <c r="Q4" s="290">
        <f t="shared" si="3"/>
        <v>1850</v>
      </c>
      <c r="R4" s="290">
        <f t="shared" si="4"/>
        <v>2220</v>
      </c>
    </row>
    <row r="5">
      <c r="A5" s="282" t="s">
        <v>16</v>
      </c>
      <c r="B5" s="283">
        <v>4320.0</v>
      </c>
      <c r="C5" s="284"/>
      <c r="D5" s="285">
        <v>0.0</v>
      </c>
      <c r="E5" s="282" t="s">
        <v>246</v>
      </c>
      <c r="F5" s="282" t="s">
        <v>247</v>
      </c>
      <c r="G5" s="286" t="s">
        <v>248</v>
      </c>
      <c r="H5" s="287"/>
      <c r="I5" s="288">
        <v>36501.0</v>
      </c>
      <c r="J5" s="288">
        <v>45246.0</v>
      </c>
      <c r="K5" s="350" t="str">
        <f>IFERROR(__xludf.DUMMYFUNCTION("VLOOKUP(TRIM(E5), ARRAYFORMULA(TRIM(IMPORTRANGE(""1J6TM1lO8a31d96YF89fby9ySWcPcCBlFT37fwLDeDG0"", ""PKR-October 2025!C:Z""))), 5, FALSE)"),"")</f>
        <v/>
      </c>
      <c r="L5" s="643">
        <f>IFERROR(__xludf.DUMMYFUNCTION("value(VLOOKUP(TRIM(E5), ARRAYFORMULA(TRIM(IMPORTRANGE(""1J6TM1lO8a31d96YF89fby9ySWcPcCBlFT37fwLDeDG0"", ""PKR-October 2025!C:Z""))), 6, FALSE))"),31.0)</f>
        <v>31</v>
      </c>
      <c r="M5" s="350">
        <v>45931.0</v>
      </c>
      <c r="N5" s="350">
        <v>45961.0</v>
      </c>
      <c r="O5" s="290">
        <f t="shared" si="1"/>
        <v>370</v>
      </c>
      <c r="P5" s="290">
        <f t="shared" si="2"/>
        <v>370</v>
      </c>
      <c r="Q5" s="290">
        <f t="shared" si="3"/>
        <v>1850</v>
      </c>
      <c r="R5" s="290">
        <f t="shared" si="4"/>
        <v>2220</v>
      </c>
    </row>
    <row r="6">
      <c r="A6" s="282" t="s">
        <v>16</v>
      </c>
      <c r="B6" s="283">
        <v>4320.0</v>
      </c>
      <c r="C6" s="284"/>
      <c r="D6" s="285">
        <v>0.0</v>
      </c>
      <c r="E6" s="282" t="s">
        <v>564</v>
      </c>
      <c r="F6" s="282" t="s">
        <v>565</v>
      </c>
      <c r="G6" s="286" t="s">
        <v>566</v>
      </c>
      <c r="H6" s="287"/>
      <c r="I6" s="288">
        <v>34799.0</v>
      </c>
      <c r="J6" s="288">
        <v>45670.0</v>
      </c>
      <c r="K6" s="350" t="str">
        <f>IFERROR(__xludf.DUMMYFUNCTION("VLOOKUP(TRIM(E6), ARRAYFORMULA(TRIM(IMPORTRANGE(""1J6TM1lO8a31d96YF89fby9ySWcPcCBlFT37fwLDeDG0"", ""PKR-October 2025!C:Z""))), 5, FALSE)"),"")</f>
        <v/>
      </c>
      <c r="L6" s="643">
        <f>IFERROR(__xludf.DUMMYFUNCTION("value(VLOOKUP(TRIM(E6), ARRAYFORMULA(TRIM(IMPORTRANGE(""1J6TM1lO8a31d96YF89fby9ySWcPcCBlFT37fwLDeDG0"", ""PKR-October 2025!C:Z""))), 6, FALSE))"),31.0)</f>
        <v>31</v>
      </c>
      <c r="M6" s="350">
        <v>45931.0</v>
      </c>
      <c r="N6" s="350">
        <v>45961.0</v>
      </c>
      <c r="O6" s="290">
        <f t="shared" si="1"/>
        <v>370</v>
      </c>
      <c r="P6" s="290">
        <f t="shared" si="2"/>
        <v>370</v>
      </c>
      <c r="Q6" s="290">
        <f t="shared" si="3"/>
        <v>1850</v>
      </c>
      <c r="R6" s="290">
        <f t="shared" si="4"/>
        <v>2220</v>
      </c>
    </row>
    <row r="7">
      <c r="A7" s="282" t="s">
        <v>16</v>
      </c>
      <c r="B7" s="283">
        <v>4320.0</v>
      </c>
      <c r="C7" s="284"/>
      <c r="D7" s="285">
        <v>0.0</v>
      </c>
      <c r="E7" s="282" t="s">
        <v>264</v>
      </c>
      <c r="F7" s="282" t="s">
        <v>265</v>
      </c>
      <c r="G7" s="286" t="s">
        <v>266</v>
      </c>
      <c r="H7" s="287"/>
      <c r="I7" s="288">
        <v>37398.0</v>
      </c>
      <c r="J7" s="288">
        <v>45096.0</v>
      </c>
      <c r="K7" s="350" t="str">
        <f>IFERROR(__xludf.DUMMYFUNCTION("VLOOKUP(TRIM(E7), ARRAYFORMULA(TRIM(IMPORTRANGE(""1J6TM1lO8a31d96YF89fby9ySWcPcCBlFT37fwLDeDG0"", ""PKR-October 2025!C:Z""))), 5, FALSE)"),"")</f>
        <v/>
      </c>
      <c r="L7" s="643">
        <f>IFERROR(__xludf.DUMMYFUNCTION("value(VLOOKUP(TRIM(E7), ARRAYFORMULA(TRIM(IMPORTRANGE(""1J6TM1lO8a31d96YF89fby9ySWcPcCBlFT37fwLDeDG0"", ""PKR-October 2025!C:Z""))), 6, FALSE))"),31.0)</f>
        <v>31</v>
      </c>
      <c r="M7" s="350">
        <v>45931.0</v>
      </c>
      <c r="N7" s="350">
        <v>45961.0</v>
      </c>
      <c r="O7" s="290">
        <f t="shared" si="1"/>
        <v>370</v>
      </c>
      <c r="P7" s="290">
        <f t="shared" si="2"/>
        <v>370</v>
      </c>
      <c r="Q7" s="290">
        <f t="shared" si="3"/>
        <v>1850</v>
      </c>
      <c r="R7" s="290">
        <f t="shared" si="4"/>
        <v>2220</v>
      </c>
    </row>
    <row r="8">
      <c r="A8" s="282" t="s">
        <v>16</v>
      </c>
      <c r="B8" s="283">
        <v>4320.0</v>
      </c>
      <c r="C8" s="284"/>
      <c r="D8" s="285">
        <v>0.0</v>
      </c>
      <c r="E8" s="282" t="s">
        <v>411</v>
      </c>
      <c r="F8" s="282" t="s">
        <v>412</v>
      </c>
      <c r="G8" s="286" t="s">
        <v>413</v>
      </c>
      <c r="H8" s="287"/>
      <c r="I8" s="288">
        <v>33230.0</v>
      </c>
      <c r="J8" s="288">
        <v>45453.0</v>
      </c>
      <c r="K8" s="350" t="str">
        <f>IFERROR(__xludf.DUMMYFUNCTION("VLOOKUP(TRIM(E8), ARRAYFORMULA(TRIM(IMPORTRANGE(""1J6TM1lO8a31d96YF89fby9ySWcPcCBlFT37fwLDeDG0"", ""PKR-October 2025!C:Z""))), 5, FALSE)"),"")</f>
        <v/>
      </c>
      <c r="L8" s="643">
        <f>IFERROR(__xludf.DUMMYFUNCTION("value(VLOOKUP(TRIM(E8), ARRAYFORMULA(TRIM(IMPORTRANGE(""1J6TM1lO8a31d96YF89fby9ySWcPcCBlFT37fwLDeDG0"", ""PKR-October 2025!C:Z""))), 6, FALSE))"),31.0)</f>
        <v>31</v>
      </c>
      <c r="M8" s="350">
        <v>45931.0</v>
      </c>
      <c r="N8" s="350">
        <v>45961.0</v>
      </c>
      <c r="O8" s="290">
        <f t="shared" si="1"/>
        <v>370</v>
      </c>
      <c r="P8" s="290">
        <f t="shared" si="2"/>
        <v>370</v>
      </c>
      <c r="Q8" s="290">
        <f t="shared" si="3"/>
        <v>1850</v>
      </c>
      <c r="R8" s="290">
        <f t="shared" si="4"/>
        <v>2220</v>
      </c>
    </row>
    <row r="9">
      <c r="A9" s="282" t="s">
        <v>16</v>
      </c>
      <c r="B9" s="283">
        <v>4320.0</v>
      </c>
      <c r="C9" s="289"/>
      <c r="D9" s="285">
        <v>0.0</v>
      </c>
      <c r="E9" s="291" t="s">
        <v>690</v>
      </c>
      <c r="F9" s="295" t="s">
        <v>949</v>
      </c>
      <c r="G9" s="286" t="s">
        <v>692</v>
      </c>
      <c r="H9" s="287"/>
      <c r="I9" s="288">
        <v>37137.0</v>
      </c>
      <c r="J9" s="288">
        <v>45691.0</v>
      </c>
      <c r="K9" s="350" t="str">
        <f>IFERROR(__xludf.DUMMYFUNCTION("VLOOKUP(TRIM(E9), ARRAYFORMULA(TRIM(IMPORTRANGE(""1J6TM1lO8a31d96YF89fby9ySWcPcCBlFT37fwLDeDG0"", ""PKR-October 2025!C:Z""))), 5, FALSE)"),"")</f>
        <v/>
      </c>
      <c r="L9" s="643">
        <f>IFERROR(__xludf.DUMMYFUNCTION("value(VLOOKUP(TRIM(E9), ARRAYFORMULA(TRIM(IMPORTRANGE(""1J6TM1lO8a31d96YF89fby9ySWcPcCBlFT37fwLDeDG0"", ""PKR-October 2025!C:Z""))), 6, FALSE))"),31.0)</f>
        <v>31</v>
      </c>
      <c r="M9" s="350">
        <v>45931.0</v>
      </c>
      <c r="N9" s="350">
        <v>45961.0</v>
      </c>
      <c r="O9" s="290">
        <f t="shared" si="1"/>
        <v>370</v>
      </c>
      <c r="P9" s="290">
        <f t="shared" si="2"/>
        <v>370</v>
      </c>
      <c r="Q9" s="290">
        <f t="shared" si="3"/>
        <v>1850</v>
      </c>
      <c r="R9" s="290">
        <f t="shared" si="4"/>
        <v>2220</v>
      </c>
    </row>
    <row r="10">
      <c r="A10" s="282" t="s">
        <v>16</v>
      </c>
      <c r="B10" s="283">
        <v>4320.0</v>
      </c>
      <c r="C10" s="289"/>
      <c r="D10" s="285">
        <v>0.0</v>
      </c>
      <c r="E10" s="444" t="s">
        <v>917</v>
      </c>
      <c r="F10" s="478" t="s">
        <v>828</v>
      </c>
      <c r="G10" s="479" t="s">
        <v>829</v>
      </c>
      <c r="H10" s="289"/>
      <c r="I10" s="293">
        <v>35599.0</v>
      </c>
      <c r="J10" s="288">
        <v>45712.0</v>
      </c>
      <c r="K10" s="350" t="str">
        <f>IFERROR(__xludf.DUMMYFUNCTION("VLOOKUP(TRIM(E10), ARRAYFORMULA(TRIM(IMPORTRANGE(""1J6TM1lO8a31d96YF89fby9ySWcPcCBlFT37fwLDeDG0"", ""PKR-October 2025!C:Z""))), 5, FALSE)"),"")</f>
        <v/>
      </c>
      <c r="L10" s="643">
        <f>IFERROR(__xludf.DUMMYFUNCTION("value(VLOOKUP(TRIM(E10), ARRAYFORMULA(TRIM(IMPORTRANGE(""1J6TM1lO8a31d96YF89fby9ySWcPcCBlFT37fwLDeDG0"", ""PKR-October 2025!C:Z""))), 6, FALSE))"),31.0)</f>
        <v>31</v>
      </c>
      <c r="M10" s="350">
        <v>45931.0</v>
      </c>
      <c r="N10" s="350">
        <v>45961.0</v>
      </c>
      <c r="O10" s="290">
        <f t="shared" si="1"/>
        <v>370</v>
      </c>
      <c r="P10" s="290">
        <f t="shared" si="2"/>
        <v>370</v>
      </c>
      <c r="Q10" s="290">
        <f t="shared" si="3"/>
        <v>1850</v>
      </c>
      <c r="R10" s="290">
        <f t="shared" si="4"/>
        <v>2220</v>
      </c>
    </row>
    <row r="11">
      <c r="A11" s="282" t="s">
        <v>16</v>
      </c>
      <c r="B11" s="283">
        <v>4320.0</v>
      </c>
      <c r="C11" s="284"/>
      <c r="D11" s="285">
        <v>0.0</v>
      </c>
      <c r="E11" s="282" t="s">
        <v>282</v>
      </c>
      <c r="F11" s="282" t="s">
        <v>283</v>
      </c>
      <c r="G11" s="286" t="s">
        <v>284</v>
      </c>
      <c r="H11" s="287"/>
      <c r="I11" s="294">
        <v>35047.0</v>
      </c>
      <c r="J11" s="288">
        <v>45257.0</v>
      </c>
      <c r="K11" s="350" t="str">
        <f>IFERROR(__xludf.DUMMYFUNCTION("VLOOKUP(TRIM(E11), ARRAYFORMULA(TRIM(IMPORTRANGE(""1J6TM1lO8a31d96YF89fby9ySWcPcCBlFT37fwLDeDG0"", ""PKR-October 2025!C:Z""))), 5, FALSE)"),"")</f>
        <v/>
      </c>
      <c r="L11" s="643">
        <f>IFERROR(__xludf.DUMMYFUNCTION("value(VLOOKUP(TRIM(E11), ARRAYFORMULA(TRIM(IMPORTRANGE(""1J6TM1lO8a31d96YF89fby9ySWcPcCBlFT37fwLDeDG0"", ""PKR-October 2025!C:Z""))), 6, FALSE))"),31.0)</f>
        <v>31</v>
      </c>
      <c r="M11" s="350">
        <v>45931.0</v>
      </c>
      <c r="N11" s="350">
        <v>45961.0</v>
      </c>
      <c r="O11" s="290">
        <f t="shared" si="1"/>
        <v>370</v>
      </c>
      <c r="P11" s="290">
        <f t="shared" si="2"/>
        <v>370</v>
      </c>
      <c r="Q11" s="290">
        <f t="shared" si="3"/>
        <v>1850</v>
      </c>
      <c r="R11" s="290">
        <f t="shared" si="4"/>
        <v>2220</v>
      </c>
    </row>
    <row r="12">
      <c r="A12" s="421" t="s">
        <v>16</v>
      </c>
      <c r="B12" s="422">
        <v>4320.0</v>
      </c>
      <c r="C12" s="423"/>
      <c r="D12" s="424">
        <v>0.0</v>
      </c>
      <c r="E12" s="421" t="s">
        <v>481</v>
      </c>
      <c r="F12" s="421" t="s">
        <v>531</v>
      </c>
      <c r="G12" s="425" t="s">
        <v>482</v>
      </c>
      <c r="H12" s="287"/>
      <c r="I12" s="426">
        <v>35096.0</v>
      </c>
      <c r="J12" s="426">
        <v>45602.0</v>
      </c>
      <c r="K12" s="350" t="str">
        <f>IFERROR(__xludf.DUMMYFUNCTION("VLOOKUP(TRIM(E12), ARRAYFORMULA(TRIM(IMPORTRANGE(""1J6TM1lO8a31d96YF89fby9ySWcPcCBlFT37fwLDeDG0"", ""PKR-October 2025!C:Z""))), 5, FALSE)"),"​31st October 2025.")</f>
        <v>​31st October 2025.</v>
      </c>
      <c r="L12" s="644">
        <f>IFERROR(__xludf.DUMMYFUNCTION("value(VLOOKUP(TRIM(E12), ARRAYFORMULA(TRIM(IMPORTRANGE(""1J6TM1lO8a31d96YF89fby9ySWcPcCBlFT37fwLDeDG0"", ""PKR-October 2025!C:Z""))), 6, FALSE))"),31.0)</f>
        <v>31</v>
      </c>
      <c r="M12" s="429">
        <v>45931.0</v>
      </c>
      <c r="N12" s="429">
        <v>45961.0</v>
      </c>
      <c r="O12" s="290">
        <f t="shared" si="1"/>
        <v>370</v>
      </c>
      <c r="P12" s="290">
        <f t="shared" si="2"/>
        <v>370</v>
      </c>
      <c r="Q12" s="290">
        <f t="shared" si="3"/>
        <v>1850</v>
      </c>
      <c r="R12" s="290">
        <f t="shared" si="4"/>
        <v>2220</v>
      </c>
      <c r="S12" s="48"/>
      <c r="T12" s="48"/>
      <c r="U12" s="48"/>
      <c r="V12" s="48"/>
      <c r="W12" s="48"/>
      <c r="X12" s="48"/>
      <c r="Y12" s="48"/>
    </row>
    <row r="13">
      <c r="A13" s="282" t="s">
        <v>16</v>
      </c>
      <c r="B13" s="283">
        <v>4320.0</v>
      </c>
      <c r="C13" s="284"/>
      <c r="D13" s="285">
        <v>0.0</v>
      </c>
      <c r="E13" s="282" t="s">
        <v>45</v>
      </c>
      <c r="F13" s="282" t="s">
        <v>46</v>
      </c>
      <c r="G13" s="286" t="s">
        <v>47</v>
      </c>
      <c r="H13" s="287"/>
      <c r="I13" s="288">
        <v>37370.0</v>
      </c>
      <c r="J13" s="288">
        <v>44739.0</v>
      </c>
      <c r="K13" s="350" t="str">
        <f>IFERROR(__xludf.DUMMYFUNCTION("VLOOKUP(TRIM(E13), ARRAYFORMULA(TRIM(IMPORTRANGE(""1J6TM1lO8a31d96YF89fby9ySWcPcCBlFT37fwLDeDG0"", ""PKR-October 2025!C:Z""))), 5, FALSE)"),"")</f>
        <v/>
      </c>
      <c r="L13" s="643">
        <f>IFERROR(__xludf.DUMMYFUNCTION("value(VLOOKUP(TRIM(E13), ARRAYFORMULA(TRIM(IMPORTRANGE(""1J6TM1lO8a31d96YF89fby9ySWcPcCBlFT37fwLDeDG0"", ""PKR-October 2025!C:Z""))), 6, FALSE))"),31.0)</f>
        <v>31</v>
      </c>
      <c r="M13" s="350">
        <v>45931.0</v>
      </c>
      <c r="N13" s="350">
        <v>45961.0</v>
      </c>
      <c r="O13" s="290">
        <f t="shared" si="1"/>
        <v>370</v>
      </c>
      <c r="P13" s="290">
        <f t="shared" si="2"/>
        <v>370</v>
      </c>
      <c r="Q13" s="290">
        <f t="shared" si="3"/>
        <v>1850</v>
      </c>
      <c r="R13" s="290">
        <f t="shared" si="4"/>
        <v>2220</v>
      </c>
    </row>
    <row r="14">
      <c r="A14" s="282" t="s">
        <v>16</v>
      </c>
      <c r="B14" s="283">
        <v>4320.0</v>
      </c>
      <c r="C14" s="284"/>
      <c r="D14" s="285">
        <v>0.0</v>
      </c>
      <c r="E14" s="282" t="s">
        <v>48</v>
      </c>
      <c r="F14" s="282" t="s">
        <v>49</v>
      </c>
      <c r="G14" s="286" t="s">
        <v>50</v>
      </c>
      <c r="H14" s="287"/>
      <c r="I14" s="288">
        <v>36399.0</v>
      </c>
      <c r="J14" s="294">
        <v>45229.0</v>
      </c>
      <c r="K14" s="350" t="str">
        <f>IFERROR(__xludf.DUMMYFUNCTION("VLOOKUP(TRIM(E14), ARRAYFORMULA(TRIM(IMPORTRANGE(""1J6TM1lO8a31d96YF89fby9ySWcPcCBlFT37fwLDeDG0"", ""PKR-October 2025!C:Z""))), 5, FALSE)"),"")</f>
        <v/>
      </c>
      <c r="L14" s="643">
        <f>IFERROR(__xludf.DUMMYFUNCTION("value(VLOOKUP(TRIM(E14), ARRAYFORMULA(TRIM(IMPORTRANGE(""1J6TM1lO8a31d96YF89fby9ySWcPcCBlFT37fwLDeDG0"", ""PKR-October 2025!C:Z""))), 6, FALSE))"),31.0)</f>
        <v>31</v>
      </c>
      <c r="M14" s="350">
        <v>45931.0</v>
      </c>
      <c r="N14" s="350">
        <v>45961.0</v>
      </c>
      <c r="O14" s="290">
        <f t="shared" si="1"/>
        <v>370</v>
      </c>
      <c r="P14" s="290">
        <f t="shared" si="2"/>
        <v>370</v>
      </c>
      <c r="Q14" s="290">
        <f t="shared" si="3"/>
        <v>1850</v>
      </c>
      <c r="R14" s="290">
        <f t="shared" si="4"/>
        <v>2220</v>
      </c>
    </row>
    <row r="15">
      <c r="A15" s="421" t="s">
        <v>16</v>
      </c>
      <c r="B15" s="422">
        <v>4320.0</v>
      </c>
      <c r="C15" s="423"/>
      <c r="D15" s="424">
        <v>0.0</v>
      </c>
      <c r="E15" s="421" t="s">
        <v>444</v>
      </c>
      <c r="F15" s="421" t="s">
        <v>320</v>
      </c>
      <c r="G15" s="425" t="s">
        <v>321</v>
      </c>
      <c r="H15" s="287"/>
      <c r="I15" s="426">
        <v>36360.0</v>
      </c>
      <c r="J15" s="426">
        <v>45355.0</v>
      </c>
      <c r="K15" s="350" t="str">
        <f>IFERROR(__xludf.DUMMYFUNCTION("VLOOKUP(TRIM(E15), ARRAYFORMULA(TRIM(IMPORTRANGE(""1J6TM1lO8a31d96YF89fby9ySWcPcCBlFT37fwLDeDG0"", ""PKR-October 2025!C:Z""))), 5, FALSE)"),"11th October 2025.")</f>
        <v>11th October 2025.</v>
      </c>
      <c r="L15" s="644">
        <f>IFERROR(__xludf.DUMMYFUNCTION("value(VLOOKUP(TRIM(E15), ARRAYFORMULA(TRIM(IMPORTRANGE(""1J6TM1lO8a31d96YF89fby9ySWcPcCBlFT37fwLDeDG0"", ""PKR-October 2025!C:Z""))), 6, FALSE))"),11.0)</f>
        <v>11</v>
      </c>
      <c r="M15" s="429">
        <v>45931.0</v>
      </c>
      <c r="N15" s="429">
        <v>45961.0</v>
      </c>
      <c r="O15" s="290">
        <f t="shared" si="1"/>
        <v>132</v>
      </c>
      <c r="P15" s="290">
        <f t="shared" si="2"/>
        <v>131</v>
      </c>
      <c r="Q15" s="290">
        <f t="shared" si="3"/>
        <v>655</v>
      </c>
      <c r="R15" s="290">
        <f t="shared" si="4"/>
        <v>786</v>
      </c>
      <c r="S15" s="48"/>
      <c r="T15" s="48"/>
      <c r="U15" s="48"/>
      <c r="V15" s="48"/>
      <c r="W15" s="48"/>
      <c r="X15" s="48"/>
      <c r="Y15" s="48"/>
    </row>
    <row r="16">
      <c r="A16" s="282" t="s">
        <v>16</v>
      </c>
      <c r="B16" s="283">
        <v>4320.0</v>
      </c>
      <c r="C16" s="284"/>
      <c r="D16" s="285">
        <v>0.0</v>
      </c>
      <c r="E16" s="282" t="s">
        <v>383</v>
      </c>
      <c r="F16" s="282" t="s">
        <v>384</v>
      </c>
      <c r="G16" s="286" t="s">
        <v>385</v>
      </c>
      <c r="H16" s="287"/>
      <c r="I16" s="294">
        <v>36183.0</v>
      </c>
      <c r="J16" s="288">
        <v>45418.0</v>
      </c>
      <c r="K16" s="350" t="str">
        <f>IFERROR(__xludf.DUMMYFUNCTION("VLOOKUP(TRIM(E16), ARRAYFORMULA(TRIM(IMPORTRANGE(""1J6TM1lO8a31d96YF89fby9ySWcPcCBlFT37fwLDeDG0"", ""PKR-October 2025!C:Z""))), 5, FALSE)"),"")</f>
        <v/>
      </c>
      <c r="L16" s="643">
        <f>IFERROR(__xludf.DUMMYFUNCTION("value(VLOOKUP(TRIM(E16), ARRAYFORMULA(TRIM(IMPORTRANGE(""1J6TM1lO8a31d96YF89fby9ySWcPcCBlFT37fwLDeDG0"", ""PKR-October 2025!C:Z""))), 6, FALSE))"),31.0)</f>
        <v>31</v>
      </c>
      <c r="M16" s="350">
        <v>45931.0</v>
      </c>
      <c r="N16" s="350">
        <v>45961.0</v>
      </c>
      <c r="O16" s="290">
        <f t="shared" si="1"/>
        <v>370</v>
      </c>
      <c r="P16" s="290">
        <f t="shared" si="2"/>
        <v>370</v>
      </c>
      <c r="Q16" s="290">
        <f t="shared" si="3"/>
        <v>1850</v>
      </c>
      <c r="R16" s="290">
        <f t="shared" si="4"/>
        <v>2220</v>
      </c>
    </row>
    <row r="17">
      <c r="A17" s="421" t="s">
        <v>16</v>
      </c>
      <c r="B17" s="422">
        <v>4320.0</v>
      </c>
      <c r="C17" s="423"/>
      <c r="D17" s="424">
        <v>0.0</v>
      </c>
      <c r="E17" s="421" t="s">
        <v>467</v>
      </c>
      <c r="F17" s="421" t="s">
        <v>511</v>
      </c>
      <c r="G17" s="425" t="s">
        <v>450</v>
      </c>
      <c r="H17" s="287"/>
      <c r="I17" s="426">
        <v>36682.0</v>
      </c>
      <c r="J17" s="426">
        <v>45505.0</v>
      </c>
      <c r="K17" s="350" t="str">
        <f>IFERROR(__xludf.DUMMYFUNCTION("VLOOKUP(TRIM(E17), ARRAYFORMULA(TRIM(IMPORTRANGE(""1J6TM1lO8a31d96YF89fby9ySWcPcCBlFT37fwLDeDG0"", ""PKR-October 2025!C:Z""))), 5, FALSE)"),"25th October 2025")</f>
        <v>25th October 2025</v>
      </c>
      <c r="L17" s="644">
        <f>IFERROR(__xludf.DUMMYFUNCTION("value(VLOOKUP(TRIM(E17), ARRAYFORMULA(TRIM(IMPORTRANGE(""1J6TM1lO8a31d96YF89fby9ySWcPcCBlFT37fwLDeDG0"", ""PKR-October 2025!C:Z""))), 6, FALSE))"),25.0)</f>
        <v>25</v>
      </c>
      <c r="M17" s="429">
        <v>45931.0</v>
      </c>
      <c r="N17" s="429">
        <v>45961.0</v>
      </c>
      <c r="O17" s="290">
        <f t="shared" si="1"/>
        <v>299</v>
      </c>
      <c r="P17" s="290">
        <f t="shared" si="2"/>
        <v>298</v>
      </c>
      <c r="Q17" s="290">
        <f t="shared" si="3"/>
        <v>1490</v>
      </c>
      <c r="R17" s="290">
        <f t="shared" si="4"/>
        <v>1788</v>
      </c>
      <c r="S17" s="48"/>
      <c r="T17" s="48"/>
      <c r="U17" s="48"/>
      <c r="V17" s="48"/>
      <c r="W17" s="48"/>
      <c r="X17" s="48"/>
      <c r="Y17" s="48"/>
    </row>
    <row r="18">
      <c r="A18" s="282" t="s">
        <v>16</v>
      </c>
      <c r="B18" s="283">
        <v>4320.0</v>
      </c>
      <c r="C18" s="284"/>
      <c r="D18" s="285">
        <v>0.0</v>
      </c>
      <c r="E18" s="282" t="s">
        <v>503</v>
      </c>
      <c r="F18" s="282" t="s">
        <v>542</v>
      </c>
      <c r="G18" s="286" t="s">
        <v>504</v>
      </c>
      <c r="H18" s="287"/>
      <c r="I18" s="288">
        <v>37422.0</v>
      </c>
      <c r="J18" s="294">
        <v>45635.0</v>
      </c>
      <c r="K18" s="350" t="str">
        <f>IFERROR(__xludf.DUMMYFUNCTION("VLOOKUP(TRIM(E18), ARRAYFORMULA(TRIM(IMPORTRANGE(""1J6TM1lO8a31d96YF89fby9ySWcPcCBlFT37fwLDeDG0"", ""PKR-October 2025!C:Z""))), 5, FALSE)"),"")</f>
        <v/>
      </c>
      <c r="L18" s="643">
        <f>IFERROR(__xludf.DUMMYFUNCTION("value(VLOOKUP(TRIM(E18), ARRAYFORMULA(TRIM(IMPORTRANGE(""1J6TM1lO8a31d96YF89fby9ySWcPcCBlFT37fwLDeDG0"", ""PKR-October 2025!C:Z""))), 6, FALSE))"),31.0)</f>
        <v>31</v>
      </c>
      <c r="M18" s="350">
        <v>45931.0</v>
      </c>
      <c r="N18" s="350">
        <v>45961.0</v>
      </c>
      <c r="O18" s="290">
        <f t="shared" si="1"/>
        <v>370</v>
      </c>
      <c r="P18" s="290">
        <f t="shared" si="2"/>
        <v>370</v>
      </c>
      <c r="Q18" s="290">
        <f t="shared" si="3"/>
        <v>1850</v>
      </c>
      <c r="R18" s="290">
        <f t="shared" si="4"/>
        <v>2220</v>
      </c>
    </row>
    <row r="19">
      <c r="A19" s="282" t="s">
        <v>16</v>
      </c>
      <c r="B19" s="283">
        <v>4320.0</v>
      </c>
      <c r="C19" s="284"/>
      <c r="D19" s="285">
        <v>0.0</v>
      </c>
      <c r="E19" s="282" t="s">
        <v>594</v>
      </c>
      <c r="F19" s="282" t="s">
        <v>595</v>
      </c>
      <c r="G19" s="286" t="s">
        <v>596</v>
      </c>
      <c r="H19" s="287"/>
      <c r="I19" s="288">
        <v>37809.0</v>
      </c>
      <c r="J19" s="288">
        <v>45684.0</v>
      </c>
      <c r="K19" s="350" t="str">
        <f>IFERROR(__xludf.DUMMYFUNCTION("VLOOKUP(TRIM(E19), ARRAYFORMULA(TRIM(IMPORTRANGE(""1J6TM1lO8a31d96YF89fby9ySWcPcCBlFT37fwLDeDG0"", ""PKR-October 2025!C:Z""))), 5, FALSE)"),"")</f>
        <v/>
      </c>
      <c r="L19" s="643">
        <f>IFERROR(__xludf.DUMMYFUNCTION("value(VLOOKUP(TRIM(E19), ARRAYFORMULA(TRIM(IMPORTRANGE(""1J6TM1lO8a31d96YF89fby9ySWcPcCBlFT37fwLDeDG0"", ""PKR-October 2025!C:Z""))), 6, FALSE))"),31.0)</f>
        <v>31</v>
      </c>
      <c r="M19" s="350">
        <v>45931.0</v>
      </c>
      <c r="N19" s="350">
        <v>45961.0</v>
      </c>
      <c r="O19" s="290">
        <f t="shared" si="1"/>
        <v>370</v>
      </c>
      <c r="P19" s="290">
        <f t="shared" si="2"/>
        <v>370</v>
      </c>
      <c r="Q19" s="290">
        <f t="shared" si="3"/>
        <v>1850</v>
      </c>
      <c r="R19" s="290">
        <f t="shared" si="4"/>
        <v>2220</v>
      </c>
    </row>
    <row r="20">
      <c r="A20" s="282" t="s">
        <v>16</v>
      </c>
      <c r="B20" s="283">
        <v>4320.0</v>
      </c>
      <c r="C20" s="284"/>
      <c r="D20" s="285">
        <v>0.0</v>
      </c>
      <c r="E20" s="282" t="s">
        <v>63</v>
      </c>
      <c r="F20" s="282" t="s">
        <v>64</v>
      </c>
      <c r="G20" s="286" t="s">
        <v>65</v>
      </c>
      <c r="H20" s="287"/>
      <c r="I20" s="288">
        <v>35606.0</v>
      </c>
      <c r="J20" s="288">
        <v>44896.0</v>
      </c>
      <c r="K20" s="350" t="str">
        <f>IFERROR(__xludf.DUMMYFUNCTION("VLOOKUP(TRIM(E20), ARRAYFORMULA(TRIM(IMPORTRANGE(""1J6TM1lO8a31d96YF89fby9ySWcPcCBlFT37fwLDeDG0"", ""PKR-October 2025!C:Z""))), 5, FALSE)"),"")</f>
        <v/>
      </c>
      <c r="L20" s="643">
        <f>IFERROR(__xludf.DUMMYFUNCTION("value(VLOOKUP(TRIM(E20), ARRAYFORMULA(TRIM(IMPORTRANGE(""1J6TM1lO8a31d96YF89fby9ySWcPcCBlFT37fwLDeDG0"", ""PKR-October 2025!C:Z""))), 6, FALSE))"),31.0)</f>
        <v>31</v>
      </c>
      <c r="M20" s="350">
        <v>45931.0</v>
      </c>
      <c r="N20" s="350">
        <v>45961.0</v>
      </c>
      <c r="O20" s="290">
        <f t="shared" si="1"/>
        <v>370</v>
      </c>
      <c r="P20" s="290">
        <f t="shared" si="2"/>
        <v>370</v>
      </c>
      <c r="Q20" s="290">
        <f t="shared" si="3"/>
        <v>1850</v>
      </c>
      <c r="R20" s="290">
        <f t="shared" si="4"/>
        <v>2220</v>
      </c>
    </row>
    <row r="21">
      <c r="A21" s="282" t="s">
        <v>16</v>
      </c>
      <c r="B21" s="283">
        <v>4320.0</v>
      </c>
      <c r="C21" s="284"/>
      <c r="D21" s="285">
        <v>0.0</v>
      </c>
      <c r="E21" s="282" t="s">
        <v>63</v>
      </c>
      <c r="F21" s="282" t="s">
        <v>543</v>
      </c>
      <c r="G21" s="286" t="s">
        <v>505</v>
      </c>
      <c r="H21" s="287"/>
      <c r="I21" s="288">
        <v>36725.0</v>
      </c>
      <c r="J21" s="288">
        <v>45635.0</v>
      </c>
      <c r="K21" s="350" t="str">
        <f>IFERROR(__xludf.DUMMYFUNCTION("VLOOKUP(TRIM(E21), ARRAYFORMULA(TRIM(IMPORTRANGE(""1J6TM1lO8a31d96YF89fby9ySWcPcCBlFT37fwLDeDG0"", ""PKR-October 2025!C:Z""))), 5, FALSE)"),"")</f>
        <v/>
      </c>
      <c r="L21" s="643">
        <f>IFERROR(__xludf.DUMMYFUNCTION("value(VLOOKUP(TRIM(E21), ARRAYFORMULA(TRIM(IMPORTRANGE(""1J6TM1lO8a31d96YF89fby9ySWcPcCBlFT37fwLDeDG0"", ""PKR-October 2025!C:Z""))), 6, FALSE))"),31.0)</f>
        <v>31</v>
      </c>
      <c r="M21" s="350">
        <v>45931.0</v>
      </c>
      <c r="N21" s="350">
        <v>45961.0</v>
      </c>
      <c r="O21" s="290">
        <f t="shared" si="1"/>
        <v>370</v>
      </c>
      <c r="P21" s="290">
        <f t="shared" si="2"/>
        <v>370</v>
      </c>
      <c r="Q21" s="290">
        <f t="shared" si="3"/>
        <v>1850</v>
      </c>
      <c r="R21" s="290">
        <f t="shared" si="4"/>
        <v>2220</v>
      </c>
    </row>
    <row r="22">
      <c r="A22" s="282" t="s">
        <v>16</v>
      </c>
      <c r="B22" s="283">
        <v>4320.0</v>
      </c>
      <c r="C22" s="284"/>
      <c r="D22" s="285">
        <v>0.0</v>
      </c>
      <c r="E22" s="298" t="s">
        <v>591</v>
      </c>
      <c r="F22" s="282" t="s">
        <v>592</v>
      </c>
      <c r="G22" s="286" t="s">
        <v>593</v>
      </c>
      <c r="H22" s="287"/>
      <c r="I22" s="288">
        <v>37041.0</v>
      </c>
      <c r="J22" s="288">
        <v>45684.0</v>
      </c>
      <c r="K22" s="350" t="str">
        <f>IFERROR(__xludf.DUMMYFUNCTION("VLOOKUP(TRIM(E22), ARRAYFORMULA(TRIM(IMPORTRANGE(""1J6TM1lO8a31d96YF89fby9ySWcPcCBlFT37fwLDeDG0"", ""PKR-October 2025!C:Z""))), 5, FALSE)"),"")</f>
        <v/>
      </c>
      <c r="L22" s="643">
        <f>IFERROR(__xludf.DUMMYFUNCTION("value(VLOOKUP(TRIM(E22), ARRAYFORMULA(TRIM(IMPORTRANGE(""1J6TM1lO8a31d96YF89fby9ySWcPcCBlFT37fwLDeDG0"", ""PKR-October 2025!C:Z""))), 6, FALSE))"),31.0)</f>
        <v>31</v>
      </c>
      <c r="M22" s="350">
        <v>45931.0</v>
      </c>
      <c r="N22" s="350">
        <v>45961.0</v>
      </c>
      <c r="O22" s="290">
        <f t="shared" si="1"/>
        <v>370</v>
      </c>
      <c r="P22" s="290">
        <f t="shared" si="2"/>
        <v>370</v>
      </c>
      <c r="Q22" s="290">
        <f t="shared" si="3"/>
        <v>1850</v>
      </c>
      <c r="R22" s="290">
        <f t="shared" si="4"/>
        <v>2220</v>
      </c>
    </row>
    <row r="23">
      <c r="A23" s="282" t="s">
        <v>16</v>
      </c>
      <c r="B23" s="283">
        <v>4320.0</v>
      </c>
      <c r="C23" s="284"/>
      <c r="D23" s="285">
        <v>0.0</v>
      </c>
      <c r="E23" s="282" t="s">
        <v>468</v>
      </c>
      <c r="F23" s="282" t="s">
        <v>527</v>
      </c>
      <c r="G23" s="286" t="s">
        <v>469</v>
      </c>
      <c r="H23" s="287"/>
      <c r="I23" s="288">
        <v>35986.0</v>
      </c>
      <c r="J23" s="288">
        <v>45537.0</v>
      </c>
      <c r="K23" s="350" t="str">
        <f>IFERROR(__xludf.DUMMYFUNCTION("VLOOKUP(TRIM(E23), ARRAYFORMULA(TRIM(IMPORTRANGE(""1J6TM1lO8a31d96YF89fby9ySWcPcCBlFT37fwLDeDG0"", ""PKR-October 2025!C:Z""))), 5, FALSE)"),"")</f>
        <v/>
      </c>
      <c r="L23" s="643">
        <f>IFERROR(__xludf.DUMMYFUNCTION("value(VLOOKUP(TRIM(E23), ARRAYFORMULA(TRIM(IMPORTRANGE(""1J6TM1lO8a31d96YF89fby9ySWcPcCBlFT37fwLDeDG0"", ""PKR-October 2025!C:Z""))), 6, FALSE))"),31.0)</f>
        <v>31</v>
      </c>
      <c r="M23" s="350">
        <v>45931.0</v>
      </c>
      <c r="N23" s="350">
        <v>45961.0</v>
      </c>
      <c r="O23" s="290">
        <f t="shared" si="1"/>
        <v>370</v>
      </c>
      <c r="P23" s="290">
        <f t="shared" si="2"/>
        <v>370</v>
      </c>
      <c r="Q23" s="290">
        <f t="shared" si="3"/>
        <v>1850</v>
      </c>
      <c r="R23" s="290">
        <f t="shared" si="4"/>
        <v>2220</v>
      </c>
    </row>
    <row r="24">
      <c r="A24" s="421" t="s">
        <v>16</v>
      </c>
      <c r="B24" s="422">
        <v>4320.0</v>
      </c>
      <c r="C24" s="423"/>
      <c r="D24" s="424">
        <v>0.0</v>
      </c>
      <c r="E24" s="421" t="s">
        <v>555</v>
      </c>
      <c r="F24" s="421" t="s">
        <v>556</v>
      </c>
      <c r="G24" s="425" t="s">
        <v>557</v>
      </c>
      <c r="H24" s="287"/>
      <c r="I24" s="486">
        <v>36135.0</v>
      </c>
      <c r="J24" s="426">
        <v>45663.0</v>
      </c>
      <c r="K24" s="350" t="str">
        <f>IFERROR(__xludf.DUMMYFUNCTION("VLOOKUP(TRIM(E24), ARRAYFORMULA(TRIM(IMPORTRANGE(""1J6TM1lO8a31d96YF89fby9ySWcPcCBlFT37fwLDeDG0"", ""PKR-October 2025!C:Z""))), 5, FALSE)"),"30th October 2025")</f>
        <v>30th October 2025</v>
      </c>
      <c r="L24" s="644">
        <f>IFERROR(__xludf.DUMMYFUNCTION("value(VLOOKUP(TRIM(E24), ARRAYFORMULA(TRIM(IMPORTRANGE(""1J6TM1lO8a31d96YF89fby9ySWcPcCBlFT37fwLDeDG0"", ""PKR-October 2025!C:Z""))), 6, FALSE))"),30.0)</f>
        <v>30</v>
      </c>
      <c r="M24" s="429">
        <v>45931.0</v>
      </c>
      <c r="N24" s="429">
        <v>45961.0</v>
      </c>
      <c r="O24" s="290">
        <f t="shared" si="1"/>
        <v>359</v>
      </c>
      <c r="P24" s="290">
        <f t="shared" si="2"/>
        <v>358</v>
      </c>
      <c r="Q24" s="290">
        <f t="shared" si="3"/>
        <v>1790</v>
      </c>
      <c r="R24" s="290">
        <f t="shared" si="4"/>
        <v>2148</v>
      </c>
      <c r="S24" s="48"/>
      <c r="T24" s="48"/>
      <c r="U24" s="48"/>
      <c r="V24" s="48"/>
      <c r="W24" s="48"/>
      <c r="X24" s="48"/>
      <c r="Y24" s="48"/>
    </row>
    <row r="25">
      <c r="A25" s="282" t="s">
        <v>16</v>
      </c>
      <c r="B25" s="283">
        <v>4320.0</v>
      </c>
      <c r="C25" s="284"/>
      <c r="D25" s="301">
        <v>0.0</v>
      </c>
      <c r="E25" s="282" t="s">
        <v>392</v>
      </c>
      <c r="F25" s="282" t="s">
        <v>393</v>
      </c>
      <c r="G25" s="286" t="s">
        <v>394</v>
      </c>
      <c r="H25" s="287"/>
      <c r="I25" s="288">
        <v>34922.0</v>
      </c>
      <c r="J25" s="294">
        <v>45418.0</v>
      </c>
      <c r="K25" s="350" t="str">
        <f>IFERROR(__xludf.DUMMYFUNCTION("VLOOKUP(TRIM(E25), ARRAYFORMULA(TRIM(IMPORTRANGE(""1J6TM1lO8a31d96YF89fby9ySWcPcCBlFT37fwLDeDG0"", ""PKR-October 2025!C:Z""))), 5, FALSE)"),"")</f>
        <v/>
      </c>
      <c r="L25" s="643">
        <f>IFERROR(__xludf.DUMMYFUNCTION("value(VLOOKUP(TRIM(E25), ARRAYFORMULA(TRIM(IMPORTRANGE(""1J6TM1lO8a31d96YF89fby9ySWcPcCBlFT37fwLDeDG0"", ""PKR-October 2025!C:Z""))), 6, FALSE))"),31.0)</f>
        <v>31</v>
      </c>
      <c r="M25" s="350">
        <v>45931.0</v>
      </c>
      <c r="N25" s="350">
        <v>45961.0</v>
      </c>
      <c r="O25" s="290">
        <f t="shared" si="1"/>
        <v>370</v>
      </c>
      <c r="P25" s="290">
        <f t="shared" si="2"/>
        <v>370</v>
      </c>
      <c r="Q25" s="290">
        <f t="shared" si="3"/>
        <v>1850</v>
      </c>
      <c r="R25" s="290">
        <f t="shared" si="4"/>
        <v>2220</v>
      </c>
    </row>
    <row r="26">
      <c r="A26" s="282" t="s">
        <v>16</v>
      </c>
      <c r="B26" s="283">
        <v>4320.0</v>
      </c>
      <c r="C26" s="289"/>
      <c r="D26" s="285">
        <v>0.0</v>
      </c>
      <c r="E26" s="291" t="s">
        <v>696</v>
      </c>
      <c r="F26" s="292" t="s">
        <v>950</v>
      </c>
      <c r="G26" s="289" t="s">
        <v>698</v>
      </c>
      <c r="H26" s="289"/>
      <c r="I26" s="293">
        <v>36474.0</v>
      </c>
      <c r="J26" s="288">
        <v>45698.0</v>
      </c>
      <c r="K26" s="350" t="str">
        <f>IFERROR(__xludf.DUMMYFUNCTION("VLOOKUP(TRIM(E26), ARRAYFORMULA(TRIM(IMPORTRANGE(""1J6TM1lO8a31d96YF89fby9ySWcPcCBlFT37fwLDeDG0"", ""PKR-October 2025!C:Z""))), 5, FALSE)"),"")</f>
        <v/>
      </c>
      <c r="L26" s="643">
        <f>IFERROR(__xludf.DUMMYFUNCTION("value(VLOOKUP(TRIM(E26), ARRAYFORMULA(TRIM(IMPORTRANGE(""1J6TM1lO8a31d96YF89fby9ySWcPcCBlFT37fwLDeDG0"", ""PKR-October 2025!C:Z""))), 6, FALSE))"),31.0)</f>
        <v>31</v>
      </c>
      <c r="M26" s="350">
        <v>45931.0</v>
      </c>
      <c r="N26" s="350">
        <v>45961.0</v>
      </c>
      <c r="O26" s="290">
        <f t="shared" si="1"/>
        <v>370</v>
      </c>
      <c r="P26" s="290">
        <f t="shared" si="2"/>
        <v>370</v>
      </c>
      <c r="Q26" s="290">
        <f t="shared" si="3"/>
        <v>1850</v>
      </c>
      <c r="R26" s="290">
        <f t="shared" si="4"/>
        <v>2220</v>
      </c>
    </row>
    <row r="27">
      <c r="A27" s="282" t="s">
        <v>16</v>
      </c>
      <c r="B27" s="283">
        <v>4320.0</v>
      </c>
      <c r="C27" s="289"/>
      <c r="D27" s="285">
        <v>0.0</v>
      </c>
      <c r="E27" s="303" t="s">
        <v>699</v>
      </c>
      <c r="F27" s="304" t="s">
        <v>951</v>
      </c>
      <c r="G27" s="289" t="s">
        <v>701</v>
      </c>
      <c r="H27" s="289"/>
      <c r="I27" s="293">
        <v>36474.0</v>
      </c>
      <c r="J27" s="288">
        <v>45698.0</v>
      </c>
      <c r="K27" s="350" t="str">
        <f>IFERROR(__xludf.DUMMYFUNCTION("VLOOKUP(TRIM(E27), ARRAYFORMULA(TRIM(IMPORTRANGE(""1J6TM1lO8a31d96YF89fby9ySWcPcCBlFT37fwLDeDG0"", ""PKR-October 2025!C:Z""))), 5, FALSE)"),"")</f>
        <v/>
      </c>
      <c r="L27" s="643">
        <f>IFERROR(__xludf.DUMMYFUNCTION("value(VLOOKUP(TRIM(E27), ARRAYFORMULA(TRIM(IMPORTRANGE(""1J6TM1lO8a31d96YF89fby9ySWcPcCBlFT37fwLDeDG0"", ""PKR-October 2025!C:Z""))), 6, FALSE))"),31.0)</f>
        <v>31</v>
      </c>
      <c r="M27" s="350">
        <v>45931.0</v>
      </c>
      <c r="N27" s="350">
        <v>45961.0</v>
      </c>
      <c r="O27" s="290">
        <f t="shared" si="1"/>
        <v>370</v>
      </c>
      <c r="P27" s="290">
        <f t="shared" si="2"/>
        <v>370</v>
      </c>
      <c r="Q27" s="290">
        <f t="shared" si="3"/>
        <v>1850</v>
      </c>
      <c r="R27" s="290">
        <f t="shared" si="4"/>
        <v>2220</v>
      </c>
    </row>
    <row r="28">
      <c r="A28" s="282" t="s">
        <v>16</v>
      </c>
      <c r="B28" s="283">
        <v>4320.0</v>
      </c>
      <c r="C28" s="284"/>
      <c r="D28" s="301">
        <v>0.0</v>
      </c>
      <c r="E28" s="282" t="s">
        <v>576</v>
      </c>
      <c r="F28" s="282" t="s">
        <v>577</v>
      </c>
      <c r="G28" s="286" t="s">
        <v>578</v>
      </c>
      <c r="H28" s="287"/>
      <c r="I28" s="288">
        <v>37944.0</v>
      </c>
      <c r="J28" s="288">
        <v>45677.0</v>
      </c>
      <c r="K28" s="350" t="str">
        <f>IFERROR(__xludf.DUMMYFUNCTION("VLOOKUP(TRIM(E28), ARRAYFORMULA(TRIM(IMPORTRANGE(""1J6TM1lO8a31d96YF89fby9ySWcPcCBlFT37fwLDeDG0"", ""PKR-October 2025!C:Z""))), 5, FALSE)"),"")</f>
        <v/>
      </c>
      <c r="L28" s="643">
        <f>IFERROR(__xludf.DUMMYFUNCTION("value(VLOOKUP(TRIM(E28), ARRAYFORMULA(TRIM(IMPORTRANGE(""1J6TM1lO8a31d96YF89fby9ySWcPcCBlFT37fwLDeDG0"", ""PKR-October 2025!C:Z""))), 6, FALSE))"),31.0)</f>
        <v>31</v>
      </c>
      <c r="M28" s="350">
        <v>45931.0</v>
      </c>
      <c r="N28" s="350">
        <v>45961.0</v>
      </c>
      <c r="O28" s="290">
        <f t="shared" si="1"/>
        <v>370</v>
      </c>
      <c r="P28" s="290">
        <f t="shared" si="2"/>
        <v>370</v>
      </c>
      <c r="Q28" s="290">
        <f t="shared" si="3"/>
        <v>1850</v>
      </c>
      <c r="R28" s="290">
        <f t="shared" si="4"/>
        <v>2220</v>
      </c>
    </row>
    <row r="29">
      <c r="A29" s="282" t="s">
        <v>16</v>
      </c>
      <c r="B29" s="283">
        <v>4320.0</v>
      </c>
      <c r="C29" s="284"/>
      <c r="D29" s="301">
        <v>0.0</v>
      </c>
      <c r="E29" s="282" t="s">
        <v>546</v>
      </c>
      <c r="F29" s="282" t="s">
        <v>547</v>
      </c>
      <c r="G29" s="286" t="s">
        <v>548</v>
      </c>
      <c r="H29" s="287"/>
      <c r="I29" s="288">
        <v>38255.0</v>
      </c>
      <c r="J29" s="288">
        <v>45658.0</v>
      </c>
      <c r="K29" s="350" t="str">
        <f>IFERROR(__xludf.DUMMYFUNCTION("VLOOKUP(TRIM(E29), ARRAYFORMULA(TRIM(IMPORTRANGE(""1J6TM1lO8a31d96YF89fby9ySWcPcCBlFT37fwLDeDG0"", ""PKR-October 2025!C:Z""))), 5, FALSE)"),"")</f>
        <v/>
      </c>
      <c r="L29" s="643">
        <f>IFERROR(__xludf.DUMMYFUNCTION("value(VLOOKUP(TRIM(E29), ARRAYFORMULA(TRIM(IMPORTRANGE(""1J6TM1lO8a31d96YF89fby9ySWcPcCBlFT37fwLDeDG0"", ""PKR-October 2025!C:Z""))), 6, FALSE))"),31.0)</f>
        <v>31</v>
      </c>
      <c r="M29" s="350">
        <v>45931.0</v>
      </c>
      <c r="N29" s="350">
        <v>45961.0</v>
      </c>
      <c r="O29" s="290">
        <f t="shared" si="1"/>
        <v>370</v>
      </c>
      <c r="P29" s="290">
        <f t="shared" si="2"/>
        <v>370</v>
      </c>
      <c r="Q29" s="290">
        <f t="shared" si="3"/>
        <v>1850</v>
      </c>
      <c r="R29" s="290">
        <f t="shared" si="4"/>
        <v>2220</v>
      </c>
    </row>
    <row r="30">
      <c r="A30" s="282" t="s">
        <v>16</v>
      </c>
      <c r="B30" s="283">
        <v>4320.0</v>
      </c>
      <c r="C30" s="284"/>
      <c r="D30" s="305">
        <v>0.0</v>
      </c>
      <c r="E30" s="282" t="s">
        <v>451</v>
      </c>
      <c r="F30" s="282" t="s">
        <v>512</v>
      </c>
      <c r="G30" s="286" t="s">
        <v>415</v>
      </c>
      <c r="H30" s="287"/>
      <c r="I30" s="288">
        <v>36443.0</v>
      </c>
      <c r="J30" s="288">
        <v>45446.0</v>
      </c>
      <c r="K30" s="350" t="str">
        <f>IFERROR(__xludf.DUMMYFUNCTION("VLOOKUP(TRIM(E30), ARRAYFORMULA(TRIM(IMPORTRANGE(""1J6TM1lO8a31d96YF89fby9ySWcPcCBlFT37fwLDeDG0"", ""PKR-October 2025!C:Z""))), 5, FALSE)"),"")</f>
        <v/>
      </c>
      <c r="L30" s="643">
        <f>IFERROR(__xludf.DUMMYFUNCTION("value(VLOOKUP(TRIM(E30), ARRAYFORMULA(TRIM(IMPORTRANGE(""1J6TM1lO8a31d96YF89fby9ySWcPcCBlFT37fwLDeDG0"", ""PKR-October 2025!C:Z""))), 6, FALSE))"),31.0)</f>
        <v>31</v>
      </c>
      <c r="M30" s="350">
        <v>45931.0</v>
      </c>
      <c r="N30" s="350">
        <v>45961.0</v>
      </c>
      <c r="O30" s="290">
        <f t="shared" si="1"/>
        <v>370</v>
      </c>
      <c r="P30" s="290">
        <f t="shared" si="2"/>
        <v>370</v>
      </c>
      <c r="Q30" s="290">
        <f t="shared" si="3"/>
        <v>1850</v>
      </c>
      <c r="R30" s="290">
        <f t="shared" si="4"/>
        <v>2220</v>
      </c>
    </row>
    <row r="31">
      <c r="A31" s="282" t="s">
        <v>16</v>
      </c>
      <c r="B31" s="283">
        <v>4320.0</v>
      </c>
      <c r="C31" s="284"/>
      <c r="D31" s="301">
        <v>0.0</v>
      </c>
      <c r="E31" s="282" t="s">
        <v>579</v>
      </c>
      <c r="F31" s="282" t="s">
        <v>580</v>
      </c>
      <c r="G31" s="286" t="s">
        <v>581</v>
      </c>
      <c r="H31" s="287"/>
      <c r="I31" s="288">
        <v>37609.0</v>
      </c>
      <c r="J31" s="288">
        <v>45677.0</v>
      </c>
      <c r="K31" s="350" t="str">
        <f>IFERROR(__xludf.DUMMYFUNCTION("VLOOKUP(TRIM(E31), ARRAYFORMULA(TRIM(IMPORTRANGE(""1J6TM1lO8a31d96YF89fby9ySWcPcCBlFT37fwLDeDG0"", ""PKR-October 2025!C:Z""))), 5, FALSE)"),"")</f>
        <v/>
      </c>
      <c r="L31" s="643">
        <f>IFERROR(__xludf.DUMMYFUNCTION("value(VLOOKUP(TRIM(E31), ARRAYFORMULA(TRIM(IMPORTRANGE(""1J6TM1lO8a31d96YF89fby9ySWcPcCBlFT37fwLDeDG0"", ""PKR-October 2025!C:Z""))), 6, FALSE))"),31.0)</f>
        <v>31</v>
      </c>
      <c r="M31" s="350">
        <v>45931.0</v>
      </c>
      <c r="N31" s="350">
        <v>45961.0</v>
      </c>
      <c r="O31" s="290">
        <f t="shared" si="1"/>
        <v>370</v>
      </c>
      <c r="P31" s="290">
        <f t="shared" si="2"/>
        <v>370</v>
      </c>
      <c r="Q31" s="290">
        <f t="shared" si="3"/>
        <v>1850</v>
      </c>
      <c r="R31" s="290">
        <f t="shared" si="4"/>
        <v>2220</v>
      </c>
    </row>
    <row r="32">
      <c r="A32" s="421" t="s">
        <v>16</v>
      </c>
      <c r="B32" s="422">
        <v>4320.0</v>
      </c>
      <c r="C32" s="423"/>
      <c r="D32" s="484">
        <v>0.0</v>
      </c>
      <c r="E32" s="421" t="s">
        <v>476</v>
      </c>
      <c r="F32" s="421" t="s">
        <v>529</v>
      </c>
      <c r="G32" s="425" t="s">
        <v>477</v>
      </c>
      <c r="H32" s="287"/>
      <c r="I32" s="426">
        <v>37220.0</v>
      </c>
      <c r="J32" s="426">
        <v>45572.0</v>
      </c>
      <c r="K32" s="350" t="str">
        <f>IFERROR(__xludf.DUMMYFUNCTION("VLOOKUP(TRIM(E32), ARRAYFORMULA(TRIM(IMPORTRANGE(""1J6TM1lO8a31d96YF89fby9ySWcPcCBlFT37fwLDeDG0"", ""PKR-October 2025!C:Z""))), 5, FALSE)"),"17th October 2025.")</f>
        <v>17th October 2025.</v>
      </c>
      <c r="L32" s="644">
        <f>IFERROR(__xludf.DUMMYFUNCTION("value(VLOOKUP(TRIM(E32), ARRAYFORMULA(TRIM(IMPORTRANGE(""1J6TM1lO8a31d96YF89fby9ySWcPcCBlFT37fwLDeDG0"", ""PKR-October 2025!C:Z""))), 6, FALSE))"),17.0)</f>
        <v>17</v>
      </c>
      <c r="M32" s="429">
        <v>45931.0</v>
      </c>
      <c r="N32" s="429">
        <v>45961.0</v>
      </c>
      <c r="O32" s="290">
        <f t="shared" si="1"/>
        <v>203</v>
      </c>
      <c r="P32" s="290">
        <f t="shared" si="2"/>
        <v>203</v>
      </c>
      <c r="Q32" s="290">
        <f t="shared" si="3"/>
        <v>1015</v>
      </c>
      <c r="R32" s="290">
        <f t="shared" si="4"/>
        <v>1218</v>
      </c>
      <c r="S32" s="48"/>
      <c r="T32" s="48"/>
      <c r="U32" s="48"/>
      <c r="V32" s="48"/>
      <c r="W32" s="48"/>
      <c r="X32" s="48"/>
      <c r="Y32" s="48"/>
    </row>
    <row r="33">
      <c r="A33" s="282" t="s">
        <v>16</v>
      </c>
      <c r="B33" s="283">
        <v>4320.0</v>
      </c>
      <c r="C33" s="284"/>
      <c r="D33" s="301">
        <v>0.0</v>
      </c>
      <c r="E33" s="282" t="s">
        <v>102</v>
      </c>
      <c r="F33" s="282" t="s">
        <v>103</v>
      </c>
      <c r="G33" s="286" t="s">
        <v>104</v>
      </c>
      <c r="H33" s="287"/>
      <c r="I33" s="288">
        <v>33240.0</v>
      </c>
      <c r="J33" s="288">
        <v>44287.0</v>
      </c>
      <c r="K33" s="350" t="str">
        <f>IFERROR(__xludf.DUMMYFUNCTION("VLOOKUP(TRIM(E33), ARRAYFORMULA(TRIM(IMPORTRANGE(""1J6TM1lO8a31d96YF89fby9ySWcPcCBlFT37fwLDeDG0"", ""PKR-October 2025!C:Z""))), 5, FALSE)"),"")</f>
        <v/>
      </c>
      <c r="L33" s="643">
        <f>IFERROR(__xludf.DUMMYFUNCTION("value(VLOOKUP(TRIM(E33), ARRAYFORMULA(TRIM(IMPORTRANGE(""1J6TM1lO8a31d96YF89fby9ySWcPcCBlFT37fwLDeDG0"", ""PKR-October 2025!C:Z""))), 6, FALSE))"),31.0)</f>
        <v>31</v>
      </c>
      <c r="M33" s="350">
        <v>45931.0</v>
      </c>
      <c r="N33" s="350">
        <v>45961.0</v>
      </c>
      <c r="O33" s="290">
        <f t="shared" si="1"/>
        <v>370</v>
      </c>
      <c r="P33" s="290">
        <f t="shared" si="2"/>
        <v>370</v>
      </c>
      <c r="Q33" s="290">
        <f t="shared" si="3"/>
        <v>1850</v>
      </c>
      <c r="R33" s="290">
        <f t="shared" si="4"/>
        <v>2220</v>
      </c>
    </row>
    <row r="34">
      <c r="A34" s="282" t="s">
        <v>16</v>
      </c>
      <c r="B34" s="283">
        <v>4320.0</v>
      </c>
      <c r="C34" s="284"/>
      <c r="D34" s="305">
        <v>0.0</v>
      </c>
      <c r="E34" s="282" t="s">
        <v>508</v>
      </c>
      <c r="F34" s="282" t="s">
        <v>545</v>
      </c>
      <c r="G34" s="286" t="s">
        <v>509</v>
      </c>
      <c r="H34" s="287"/>
      <c r="I34" s="288">
        <v>36637.0</v>
      </c>
      <c r="J34" s="288">
        <v>45649.0</v>
      </c>
      <c r="K34" s="350" t="str">
        <f>IFERROR(__xludf.DUMMYFUNCTION("VLOOKUP(TRIM(E34), ARRAYFORMULA(TRIM(IMPORTRANGE(""1J6TM1lO8a31d96YF89fby9ySWcPcCBlFT37fwLDeDG0"", ""PKR-October 2025!C:Z""))), 5, FALSE)"),"")</f>
        <v/>
      </c>
      <c r="L34" s="643">
        <f>IFERROR(__xludf.DUMMYFUNCTION("value(VLOOKUP(TRIM(E34), ARRAYFORMULA(TRIM(IMPORTRANGE(""1J6TM1lO8a31d96YF89fby9ySWcPcCBlFT37fwLDeDG0"", ""PKR-October 2025!C:Z""))), 6, FALSE))"),31.0)</f>
        <v>31</v>
      </c>
      <c r="M34" s="350">
        <v>45931.0</v>
      </c>
      <c r="N34" s="350">
        <v>45961.0</v>
      </c>
      <c r="O34" s="290">
        <f t="shared" si="1"/>
        <v>370</v>
      </c>
      <c r="P34" s="290">
        <f t="shared" si="2"/>
        <v>370</v>
      </c>
      <c r="Q34" s="290">
        <f t="shared" si="3"/>
        <v>1850</v>
      </c>
      <c r="R34" s="290">
        <f t="shared" si="4"/>
        <v>2220</v>
      </c>
    </row>
    <row r="35">
      <c r="A35" s="282" t="s">
        <v>16</v>
      </c>
      <c r="B35" s="283">
        <v>4320.0</v>
      </c>
      <c r="C35" s="284"/>
      <c r="D35" s="301">
        <v>0.0</v>
      </c>
      <c r="E35" s="282" t="s">
        <v>370</v>
      </c>
      <c r="F35" s="282" t="s">
        <v>371</v>
      </c>
      <c r="G35" s="286" t="s">
        <v>372</v>
      </c>
      <c r="H35" s="287"/>
      <c r="I35" s="288">
        <v>35551.0</v>
      </c>
      <c r="J35" s="288">
        <v>45383.0</v>
      </c>
      <c r="K35" s="350" t="str">
        <f>IFERROR(__xludf.DUMMYFUNCTION("VLOOKUP(TRIM(E35), ARRAYFORMULA(TRIM(IMPORTRANGE(""1J6TM1lO8a31d96YF89fby9ySWcPcCBlFT37fwLDeDG0"", ""PKR-October 2025!C:Z""))), 5, FALSE)"),"")</f>
        <v/>
      </c>
      <c r="L35" s="643">
        <f>IFERROR(__xludf.DUMMYFUNCTION("value(VLOOKUP(TRIM(E35), ARRAYFORMULA(TRIM(IMPORTRANGE(""1J6TM1lO8a31d96YF89fby9ySWcPcCBlFT37fwLDeDG0"", ""PKR-October 2025!C:Z""))), 6, FALSE))"),31.0)</f>
        <v>31</v>
      </c>
      <c r="M35" s="350">
        <v>45931.0</v>
      </c>
      <c r="N35" s="350">
        <v>45961.0</v>
      </c>
      <c r="O35" s="290">
        <f t="shared" si="1"/>
        <v>370</v>
      </c>
      <c r="P35" s="290">
        <f t="shared" si="2"/>
        <v>370</v>
      </c>
      <c r="Q35" s="290">
        <f t="shared" si="3"/>
        <v>1850</v>
      </c>
      <c r="R35" s="290">
        <f t="shared" si="4"/>
        <v>2220</v>
      </c>
    </row>
    <row r="36">
      <c r="A36" s="282" t="s">
        <v>16</v>
      </c>
      <c r="B36" s="283">
        <v>4320.0</v>
      </c>
      <c r="C36" s="284"/>
      <c r="D36" s="305">
        <v>0.0</v>
      </c>
      <c r="E36" s="282" t="s">
        <v>114</v>
      </c>
      <c r="F36" s="282" t="s">
        <v>514</v>
      </c>
      <c r="G36" s="286" t="s">
        <v>456</v>
      </c>
      <c r="H36" s="287"/>
      <c r="I36" s="288">
        <v>35872.0</v>
      </c>
      <c r="J36" s="288">
        <v>45523.0</v>
      </c>
      <c r="K36" s="350" t="str">
        <f>IFERROR(__xludf.DUMMYFUNCTION("VLOOKUP(TRIM(E36), ARRAYFORMULA(TRIM(IMPORTRANGE(""1J6TM1lO8a31d96YF89fby9ySWcPcCBlFT37fwLDeDG0"", ""PKR-October 2025!C:Z""))), 5, FALSE)"),"")</f>
        <v/>
      </c>
      <c r="L36" s="643">
        <f>IFERROR(__xludf.DUMMYFUNCTION("value(VLOOKUP(TRIM(E36), ARRAYFORMULA(TRIM(IMPORTRANGE(""1J6TM1lO8a31d96YF89fby9ySWcPcCBlFT37fwLDeDG0"", ""PKR-October 2025!C:Z""))), 6, FALSE))"),31.0)</f>
        <v>31</v>
      </c>
      <c r="M36" s="350">
        <v>45931.0</v>
      </c>
      <c r="N36" s="350">
        <v>45961.0</v>
      </c>
      <c r="O36" s="290">
        <f t="shared" si="1"/>
        <v>370</v>
      </c>
      <c r="P36" s="290">
        <f t="shared" si="2"/>
        <v>370</v>
      </c>
      <c r="Q36" s="290">
        <f t="shared" si="3"/>
        <v>1850</v>
      </c>
      <c r="R36" s="290">
        <f t="shared" si="4"/>
        <v>2220</v>
      </c>
    </row>
    <row r="37">
      <c r="A37" s="282" t="s">
        <v>16</v>
      </c>
      <c r="B37" s="283">
        <v>4320.0</v>
      </c>
      <c r="C37" s="289"/>
      <c r="D37" s="305">
        <v>0.0</v>
      </c>
      <c r="E37" s="282" t="s">
        <v>343</v>
      </c>
      <c r="F37" s="282" t="s">
        <v>344</v>
      </c>
      <c r="G37" s="480" t="s">
        <v>835</v>
      </c>
      <c r="H37" s="287"/>
      <c r="I37" s="288">
        <v>36821.0</v>
      </c>
      <c r="J37" s="288">
        <v>45362.0</v>
      </c>
      <c r="K37" s="350" t="str">
        <f>IFERROR(__xludf.DUMMYFUNCTION("VLOOKUP(TRIM(E37), ARRAYFORMULA(TRIM(IMPORTRANGE(""1J6TM1lO8a31d96YF89fby9ySWcPcCBlFT37fwLDeDG0"", ""PKR-October 2025!C:Z""))), 5, FALSE)"),"")</f>
        <v/>
      </c>
      <c r="L37" s="643">
        <f>IFERROR(__xludf.DUMMYFUNCTION("value(VLOOKUP(TRIM(E37), ARRAYFORMULA(TRIM(IMPORTRANGE(""1J6TM1lO8a31d96YF89fby9ySWcPcCBlFT37fwLDeDG0"", ""PKR-October 2025!C:Z""))), 6, FALSE))"),31.0)</f>
        <v>31</v>
      </c>
      <c r="M37" s="350">
        <v>45931.0</v>
      </c>
      <c r="N37" s="350">
        <v>45961.0</v>
      </c>
      <c r="O37" s="290">
        <f t="shared" si="1"/>
        <v>370</v>
      </c>
      <c r="P37" s="290">
        <f t="shared" si="2"/>
        <v>370</v>
      </c>
      <c r="Q37" s="290">
        <f t="shared" si="3"/>
        <v>1850</v>
      </c>
      <c r="R37" s="290">
        <f t="shared" si="4"/>
        <v>2220</v>
      </c>
    </row>
    <row r="38">
      <c r="A38" s="282" t="s">
        <v>16</v>
      </c>
      <c r="B38" s="283">
        <v>4320.0</v>
      </c>
      <c r="C38" s="289"/>
      <c r="D38" s="285">
        <v>0.0</v>
      </c>
      <c r="E38" s="306" t="s">
        <v>416</v>
      </c>
      <c r="F38" s="282" t="s">
        <v>517</v>
      </c>
      <c r="G38" s="286" t="s">
        <v>417</v>
      </c>
      <c r="H38" s="287"/>
      <c r="I38" s="288">
        <v>36346.0</v>
      </c>
      <c r="J38" s="288">
        <v>45453.0</v>
      </c>
      <c r="K38" s="350" t="str">
        <f>IFERROR(__xludf.DUMMYFUNCTION("VLOOKUP(TRIM(E38), ARRAYFORMULA(TRIM(IMPORTRANGE(""1J6TM1lO8a31d96YF89fby9ySWcPcCBlFT37fwLDeDG0"", ""PKR-October 2025!C:Z""))), 5, FALSE)"),"")</f>
        <v/>
      </c>
      <c r="L38" s="643">
        <f>IFERROR(__xludf.DUMMYFUNCTION("value(VLOOKUP(TRIM(E38), ARRAYFORMULA(TRIM(IMPORTRANGE(""1J6TM1lO8a31d96YF89fby9ySWcPcCBlFT37fwLDeDG0"", ""PKR-October 2025!C:Z""))), 6, FALSE))"),31.0)</f>
        <v>31</v>
      </c>
      <c r="M38" s="350">
        <v>45931.0</v>
      </c>
      <c r="N38" s="350">
        <v>45961.0</v>
      </c>
      <c r="O38" s="290">
        <f t="shared" si="1"/>
        <v>370</v>
      </c>
      <c r="P38" s="290">
        <f t="shared" si="2"/>
        <v>370</v>
      </c>
      <c r="Q38" s="290">
        <f t="shared" si="3"/>
        <v>1850</v>
      </c>
      <c r="R38" s="290">
        <f t="shared" si="4"/>
        <v>2220</v>
      </c>
    </row>
    <row r="39">
      <c r="A39" s="282" t="s">
        <v>16</v>
      </c>
      <c r="B39" s="283">
        <v>4320.0</v>
      </c>
      <c r="C39" s="289"/>
      <c r="D39" s="285">
        <v>0.0</v>
      </c>
      <c r="E39" s="306" t="s">
        <v>478</v>
      </c>
      <c r="F39" s="282" t="s">
        <v>518</v>
      </c>
      <c r="G39" s="286" t="s">
        <v>426</v>
      </c>
      <c r="H39" s="287"/>
      <c r="I39" s="288">
        <v>36530.0</v>
      </c>
      <c r="J39" s="288">
        <v>45446.0</v>
      </c>
      <c r="K39" s="350" t="str">
        <f>IFERROR(__xludf.DUMMYFUNCTION("VLOOKUP(TRIM(E39), ARRAYFORMULA(TRIM(IMPORTRANGE(""1J6TM1lO8a31d96YF89fby9ySWcPcCBlFT37fwLDeDG0"", ""PKR-October 2025!C:Z""))), 5, FALSE)"),"")</f>
        <v/>
      </c>
      <c r="L39" s="643">
        <f>IFERROR(__xludf.DUMMYFUNCTION("value(VLOOKUP(TRIM(E39), ARRAYFORMULA(TRIM(IMPORTRANGE(""1J6TM1lO8a31d96YF89fby9ySWcPcCBlFT37fwLDeDG0"", ""PKR-October 2025!C:Z""))), 6, FALSE))"),31.0)</f>
        <v>31</v>
      </c>
      <c r="M39" s="350">
        <v>45931.0</v>
      </c>
      <c r="N39" s="350">
        <v>45961.0</v>
      </c>
      <c r="O39" s="290">
        <f t="shared" si="1"/>
        <v>370</v>
      </c>
      <c r="P39" s="290">
        <f t="shared" si="2"/>
        <v>370</v>
      </c>
      <c r="Q39" s="290">
        <f t="shared" si="3"/>
        <v>1850</v>
      </c>
      <c r="R39" s="290">
        <f t="shared" si="4"/>
        <v>2220</v>
      </c>
    </row>
    <row r="40">
      <c r="A40" s="421" t="s">
        <v>16</v>
      </c>
      <c r="B40" s="422">
        <v>4320.0</v>
      </c>
      <c r="C40" s="427"/>
      <c r="D40" s="424">
        <v>0.0</v>
      </c>
      <c r="E40" s="441" t="s">
        <v>459</v>
      </c>
      <c r="F40" s="421" t="s">
        <v>374</v>
      </c>
      <c r="G40" s="425" t="s">
        <v>375</v>
      </c>
      <c r="H40" s="287"/>
      <c r="I40" s="426">
        <v>37085.0</v>
      </c>
      <c r="J40" s="426">
        <v>45400.0</v>
      </c>
      <c r="K40" s="350" t="str">
        <f>IFERROR(__xludf.DUMMYFUNCTION("VLOOKUP(TRIM(E40), ARRAYFORMULA(TRIM(IMPORTRANGE(""1J6TM1lO8a31d96YF89fby9ySWcPcCBlFT37fwLDeDG0"", ""PKR-October 2025!C:Z""))), 5, FALSE)"),"29th October")</f>
        <v>29th October</v>
      </c>
      <c r="L40" s="644">
        <f>IFERROR(__xludf.DUMMYFUNCTION("value(VLOOKUP(TRIM(E40), ARRAYFORMULA(TRIM(IMPORTRANGE(""1J6TM1lO8a31d96YF89fby9ySWcPcCBlFT37fwLDeDG0"", ""PKR-October 2025!C:Z""))), 6, FALSE))"),29.0)</f>
        <v>29</v>
      </c>
      <c r="M40" s="429">
        <v>45931.0</v>
      </c>
      <c r="N40" s="429">
        <v>45961.0</v>
      </c>
      <c r="O40" s="290">
        <f t="shared" si="1"/>
        <v>347</v>
      </c>
      <c r="P40" s="290">
        <f t="shared" si="2"/>
        <v>346</v>
      </c>
      <c r="Q40" s="290">
        <f t="shared" si="3"/>
        <v>1730</v>
      </c>
      <c r="R40" s="290">
        <f t="shared" si="4"/>
        <v>2076</v>
      </c>
      <c r="S40" s="48"/>
      <c r="T40" s="48"/>
      <c r="U40" s="48"/>
      <c r="V40" s="48"/>
      <c r="W40" s="48"/>
      <c r="X40" s="48"/>
      <c r="Y40" s="48"/>
    </row>
    <row r="41">
      <c r="A41" s="282" t="s">
        <v>16</v>
      </c>
      <c r="B41" s="283">
        <v>4320.0</v>
      </c>
      <c r="C41" s="289"/>
      <c r="D41" s="285">
        <v>0.0</v>
      </c>
      <c r="E41" s="306" t="s">
        <v>352</v>
      </c>
      <c r="F41" s="282" t="s">
        <v>353</v>
      </c>
      <c r="G41" s="286" t="s">
        <v>354</v>
      </c>
      <c r="H41" s="287"/>
      <c r="I41" s="288">
        <v>36412.0</v>
      </c>
      <c r="J41" s="288">
        <v>45355.0</v>
      </c>
      <c r="K41" s="350" t="str">
        <f>IFERROR(__xludf.DUMMYFUNCTION("VLOOKUP(TRIM(E41), ARRAYFORMULA(TRIM(IMPORTRANGE(""1J6TM1lO8a31d96YF89fby9ySWcPcCBlFT37fwLDeDG0"", ""PKR-October 2025!C:Z""))), 5, FALSE)"),"")</f>
        <v/>
      </c>
      <c r="L41" s="643">
        <f>IFERROR(__xludf.DUMMYFUNCTION("value(VLOOKUP(TRIM(E41), ARRAYFORMULA(TRIM(IMPORTRANGE(""1J6TM1lO8a31d96YF89fby9ySWcPcCBlFT37fwLDeDG0"", ""PKR-October 2025!C:Z""))), 6, FALSE))"),31.0)</f>
        <v>31</v>
      </c>
      <c r="M41" s="350">
        <v>45931.0</v>
      </c>
      <c r="N41" s="350">
        <v>45961.0</v>
      </c>
      <c r="O41" s="290">
        <f t="shared" si="1"/>
        <v>370</v>
      </c>
      <c r="P41" s="290">
        <f t="shared" si="2"/>
        <v>370</v>
      </c>
      <c r="Q41" s="290">
        <f t="shared" si="3"/>
        <v>1850</v>
      </c>
      <c r="R41" s="290">
        <f t="shared" si="4"/>
        <v>2220</v>
      </c>
    </row>
    <row r="42">
      <c r="A42" s="282" t="s">
        <v>16</v>
      </c>
      <c r="B42" s="283">
        <v>4320.0</v>
      </c>
      <c r="C42" s="289"/>
      <c r="D42" s="285">
        <v>0.0</v>
      </c>
      <c r="E42" s="303" t="s">
        <v>705</v>
      </c>
      <c r="F42" s="295" t="s">
        <v>952</v>
      </c>
      <c r="G42" s="289" t="s">
        <v>707</v>
      </c>
      <c r="H42" s="289"/>
      <c r="I42" s="293">
        <v>36594.0</v>
      </c>
      <c r="J42" s="288">
        <v>45712.0</v>
      </c>
      <c r="K42" s="350" t="str">
        <f>IFERROR(__xludf.DUMMYFUNCTION("VLOOKUP(TRIM(E42), ARRAYFORMULA(TRIM(IMPORTRANGE(""1J6TM1lO8a31d96YF89fby9ySWcPcCBlFT37fwLDeDG0"", ""PKR-October 2025!C:Z""))), 5, FALSE)"),"")</f>
        <v/>
      </c>
      <c r="L42" s="643">
        <f>IFERROR(__xludf.DUMMYFUNCTION("value(VLOOKUP(TRIM(E42), ARRAYFORMULA(TRIM(IMPORTRANGE(""1J6TM1lO8a31d96YF89fby9ySWcPcCBlFT37fwLDeDG0"", ""PKR-October 2025!C:Z""))), 6, FALSE))"),31.0)</f>
        <v>31</v>
      </c>
      <c r="M42" s="350">
        <v>45931.0</v>
      </c>
      <c r="N42" s="350">
        <v>45961.0</v>
      </c>
      <c r="O42" s="290">
        <f t="shared" si="1"/>
        <v>370</v>
      </c>
      <c r="P42" s="290">
        <f t="shared" si="2"/>
        <v>370</v>
      </c>
      <c r="Q42" s="290">
        <f t="shared" si="3"/>
        <v>1850</v>
      </c>
      <c r="R42" s="290">
        <f t="shared" si="4"/>
        <v>2220</v>
      </c>
    </row>
    <row r="43">
      <c r="A43" s="282" t="s">
        <v>16</v>
      </c>
      <c r="B43" s="283">
        <v>4320.0</v>
      </c>
      <c r="C43" s="289"/>
      <c r="D43" s="285">
        <v>0.0</v>
      </c>
      <c r="E43" s="291" t="s">
        <v>711</v>
      </c>
      <c r="F43" s="295" t="s">
        <v>953</v>
      </c>
      <c r="G43" s="289" t="s">
        <v>713</v>
      </c>
      <c r="H43" s="289"/>
      <c r="I43" s="293">
        <v>34694.0</v>
      </c>
      <c r="J43" s="288">
        <v>45712.0</v>
      </c>
      <c r="K43" s="350" t="str">
        <f>IFERROR(__xludf.DUMMYFUNCTION("VLOOKUP(TRIM(E43), ARRAYFORMULA(TRIM(IMPORTRANGE(""1J6TM1lO8a31d96YF89fby9ySWcPcCBlFT37fwLDeDG0"", ""PKR-October 2025!C:Z""))), 5, FALSE)"),"")</f>
        <v/>
      </c>
      <c r="L43" s="643">
        <f>IFERROR(__xludf.DUMMYFUNCTION("value(VLOOKUP(TRIM(E43), ARRAYFORMULA(TRIM(IMPORTRANGE(""1J6TM1lO8a31d96YF89fby9ySWcPcCBlFT37fwLDeDG0"", ""PKR-October 2025!C:Z""))), 6, FALSE))"),31.0)</f>
        <v>31</v>
      </c>
      <c r="M43" s="350">
        <v>45931.0</v>
      </c>
      <c r="N43" s="350">
        <v>45961.0</v>
      </c>
      <c r="O43" s="290">
        <f t="shared" si="1"/>
        <v>370</v>
      </c>
      <c r="P43" s="290">
        <f t="shared" si="2"/>
        <v>370</v>
      </c>
      <c r="Q43" s="290">
        <f t="shared" si="3"/>
        <v>1850</v>
      </c>
      <c r="R43" s="290">
        <f t="shared" si="4"/>
        <v>2220</v>
      </c>
    </row>
    <row r="44">
      <c r="A44" s="282" t="s">
        <v>16</v>
      </c>
      <c r="B44" s="283">
        <v>4320.0</v>
      </c>
      <c r="C44" s="289"/>
      <c r="D44" s="285">
        <v>0.0</v>
      </c>
      <c r="E44" s="306" t="s">
        <v>183</v>
      </c>
      <c r="F44" s="282" t="s">
        <v>184</v>
      </c>
      <c r="G44" s="286" t="s">
        <v>185</v>
      </c>
      <c r="H44" s="287"/>
      <c r="I44" s="288">
        <v>36979.0</v>
      </c>
      <c r="J44" s="288">
        <v>44907.0</v>
      </c>
      <c r="K44" s="350" t="str">
        <f>IFERROR(__xludf.DUMMYFUNCTION("VLOOKUP(TRIM(E44), ARRAYFORMULA(TRIM(IMPORTRANGE(""1J6TM1lO8a31d96YF89fby9ySWcPcCBlFT37fwLDeDG0"", ""PKR-October 2025!C:Z""))), 5, FALSE)"),"")</f>
        <v/>
      </c>
      <c r="L44" s="643">
        <f>IFERROR(__xludf.DUMMYFUNCTION("value(VLOOKUP(TRIM(E44), ARRAYFORMULA(TRIM(IMPORTRANGE(""1J6TM1lO8a31d96YF89fby9ySWcPcCBlFT37fwLDeDG0"", ""PKR-October 2025!C:Z""))), 6, FALSE))"),31.0)</f>
        <v>31</v>
      </c>
      <c r="M44" s="350">
        <v>45931.0</v>
      </c>
      <c r="N44" s="350">
        <v>45961.0</v>
      </c>
      <c r="O44" s="290">
        <f t="shared" si="1"/>
        <v>370</v>
      </c>
      <c r="P44" s="290">
        <f t="shared" si="2"/>
        <v>370</v>
      </c>
      <c r="Q44" s="290">
        <f t="shared" si="3"/>
        <v>1850</v>
      </c>
      <c r="R44" s="290">
        <f t="shared" si="4"/>
        <v>2220</v>
      </c>
    </row>
    <row r="45">
      <c r="A45" s="282" t="s">
        <v>16</v>
      </c>
      <c r="B45" s="283">
        <v>4320.0</v>
      </c>
      <c r="C45" s="289"/>
      <c r="D45" s="285">
        <v>0.0</v>
      </c>
      <c r="E45" s="306" t="s">
        <v>432</v>
      </c>
      <c r="F45" s="282" t="s">
        <v>521</v>
      </c>
      <c r="G45" s="286" t="s">
        <v>433</v>
      </c>
      <c r="H45" s="287"/>
      <c r="I45" s="288">
        <v>34504.0</v>
      </c>
      <c r="J45" s="288">
        <v>45481.0</v>
      </c>
      <c r="K45" s="350" t="str">
        <f>IFERROR(__xludf.DUMMYFUNCTION("VLOOKUP(TRIM(E45), ARRAYFORMULA(TRIM(IMPORTRANGE(""1J6TM1lO8a31d96YF89fby9ySWcPcCBlFT37fwLDeDG0"", ""PKR-October 2025!C:Z""))), 5, FALSE)"),"")</f>
        <v/>
      </c>
      <c r="L45" s="643">
        <f>IFERROR(__xludf.DUMMYFUNCTION("value(VLOOKUP(TRIM(E45), ARRAYFORMULA(TRIM(IMPORTRANGE(""1J6TM1lO8a31d96YF89fby9ySWcPcCBlFT37fwLDeDG0"", ""PKR-October 2025!C:Z""))), 6, FALSE))"),31.0)</f>
        <v>31</v>
      </c>
      <c r="M45" s="350">
        <v>45931.0</v>
      </c>
      <c r="N45" s="350">
        <v>45961.0</v>
      </c>
      <c r="O45" s="290">
        <f t="shared" si="1"/>
        <v>370</v>
      </c>
      <c r="P45" s="290">
        <f t="shared" si="2"/>
        <v>370</v>
      </c>
      <c r="Q45" s="290">
        <f t="shared" si="3"/>
        <v>1850</v>
      </c>
      <c r="R45" s="290">
        <f t="shared" si="4"/>
        <v>2220</v>
      </c>
    </row>
    <row r="46">
      <c r="A46" s="282" t="s">
        <v>16</v>
      </c>
      <c r="B46" s="283">
        <v>4320.0</v>
      </c>
      <c r="C46" s="289"/>
      <c r="D46" s="285">
        <v>0.0</v>
      </c>
      <c r="E46" s="306" t="s">
        <v>460</v>
      </c>
      <c r="F46" s="282" t="s">
        <v>523</v>
      </c>
      <c r="G46" s="286" t="s">
        <v>461</v>
      </c>
      <c r="H46" s="287"/>
      <c r="I46" s="288">
        <v>36856.0</v>
      </c>
      <c r="J46" s="288">
        <v>45505.0</v>
      </c>
      <c r="K46" s="350" t="str">
        <f>IFERROR(__xludf.DUMMYFUNCTION("VLOOKUP(TRIM(E46), ARRAYFORMULA(TRIM(IMPORTRANGE(""1J6TM1lO8a31d96YF89fby9ySWcPcCBlFT37fwLDeDG0"", ""PKR-October 2025!C:Z""))), 5, FALSE)"),"")</f>
        <v/>
      </c>
      <c r="L46" s="643">
        <f>IFERROR(__xludf.DUMMYFUNCTION("value(VLOOKUP(TRIM(E46), ARRAYFORMULA(TRIM(IMPORTRANGE(""1J6TM1lO8a31d96YF89fby9ySWcPcCBlFT37fwLDeDG0"", ""PKR-October 2025!C:Z""))), 6, FALSE))"),31.0)</f>
        <v>31</v>
      </c>
      <c r="M46" s="350">
        <v>45931.0</v>
      </c>
      <c r="N46" s="350">
        <v>45961.0</v>
      </c>
      <c r="O46" s="290">
        <f t="shared" si="1"/>
        <v>370</v>
      </c>
      <c r="P46" s="290">
        <f t="shared" si="2"/>
        <v>370</v>
      </c>
      <c r="Q46" s="290">
        <f t="shared" si="3"/>
        <v>1850</v>
      </c>
      <c r="R46" s="290">
        <f t="shared" si="4"/>
        <v>2220</v>
      </c>
    </row>
    <row r="47">
      <c r="A47" s="282" t="s">
        <v>16</v>
      </c>
      <c r="B47" s="283">
        <v>4320.0</v>
      </c>
      <c r="C47" s="289"/>
      <c r="D47" s="285">
        <v>0.0</v>
      </c>
      <c r="E47" s="306" t="s">
        <v>462</v>
      </c>
      <c r="F47" s="282" t="s">
        <v>526</v>
      </c>
      <c r="G47" s="286" t="s">
        <v>463</v>
      </c>
      <c r="H47" s="287"/>
      <c r="I47" s="288">
        <v>34588.0</v>
      </c>
      <c r="J47" s="288">
        <v>45530.0</v>
      </c>
      <c r="K47" s="350" t="str">
        <f>IFERROR(__xludf.DUMMYFUNCTION("VLOOKUP(TRIM(E47), ARRAYFORMULA(TRIM(IMPORTRANGE(""1J6TM1lO8a31d96YF89fby9ySWcPcCBlFT37fwLDeDG0"", ""PKR-October 2025!C:Z""))), 5, FALSE)"),"")</f>
        <v/>
      </c>
      <c r="L47" s="643">
        <f>IFERROR(__xludf.DUMMYFUNCTION("value(VLOOKUP(TRIM(E47), ARRAYFORMULA(TRIM(IMPORTRANGE(""1J6TM1lO8a31d96YF89fby9ySWcPcCBlFT37fwLDeDG0"", ""PKR-October 2025!C:Z""))), 6, FALSE))"),31.0)</f>
        <v>31</v>
      </c>
      <c r="M47" s="350">
        <v>45931.0</v>
      </c>
      <c r="N47" s="350">
        <v>45961.0</v>
      </c>
      <c r="O47" s="290">
        <f t="shared" si="1"/>
        <v>370</v>
      </c>
      <c r="P47" s="290">
        <f t="shared" si="2"/>
        <v>370</v>
      </c>
      <c r="Q47" s="290">
        <f t="shared" si="3"/>
        <v>1850</v>
      </c>
      <c r="R47" s="290">
        <f t="shared" si="4"/>
        <v>2220</v>
      </c>
    </row>
    <row r="48">
      <c r="A48" s="282" t="s">
        <v>16</v>
      </c>
      <c r="B48" s="283">
        <v>4320.0</v>
      </c>
      <c r="C48" s="289"/>
      <c r="D48" s="285">
        <v>0.0</v>
      </c>
      <c r="E48" s="306" t="s">
        <v>423</v>
      </c>
      <c r="F48" s="282" t="s">
        <v>524</v>
      </c>
      <c r="G48" s="286" t="s">
        <v>424</v>
      </c>
      <c r="H48" s="287"/>
      <c r="I48" s="288">
        <v>37818.0</v>
      </c>
      <c r="J48" s="288">
        <v>45467.0</v>
      </c>
      <c r="K48" s="350" t="str">
        <f>IFERROR(__xludf.DUMMYFUNCTION("VLOOKUP(TRIM(E48), ARRAYFORMULA(TRIM(IMPORTRANGE(""1J6TM1lO8a31d96YF89fby9ySWcPcCBlFT37fwLDeDG0"", ""PKR-October 2025!C:Z""))), 5, FALSE)"),"")</f>
        <v/>
      </c>
      <c r="L48" s="643">
        <f>IFERROR(__xludf.DUMMYFUNCTION("value(VLOOKUP(TRIM(E48), ARRAYFORMULA(TRIM(IMPORTRANGE(""1J6TM1lO8a31d96YF89fby9ySWcPcCBlFT37fwLDeDG0"", ""PKR-October 2025!C:Z""))), 6, FALSE))"),31.0)</f>
        <v>31</v>
      </c>
      <c r="M48" s="350">
        <v>45931.0</v>
      </c>
      <c r="N48" s="350">
        <v>45961.0</v>
      </c>
      <c r="O48" s="290">
        <f t="shared" si="1"/>
        <v>370</v>
      </c>
      <c r="P48" s="290">
        <f t="shared" si="2"/>
        <v>370</v>
      </c>
      <c r="Q48" s="290">
        <f t="shared" si="3"/>
        <v>1850</v>
      </c>
      <c r="R48" s="290">
        <f t="shared" si="4"/>
        <v>2220</v>
      </c>
    </row>
    <row r="49">
      <c r="A49" s="282" t="s">
        <v>16</v>
      </c>
      <c r="B49" s="283">
        <v>4320.0</v>
      </c>
      <c r="C49" s="289"/>
      <c r="D49" s="285">
        <v>0.0</v>
      </c>
      <c r="E49" s="291" t="s">
        <v>717</v>
      </c>
      <c r="F49" s="292" t="s">
        <v>718</v>
      </c>
      <c r="G49" s="289" t="s">
        <v>719</v>
      </c>
      <c r="H49" s="289"/>
      <c r="I49" s="293">
        <v>36505.0</v>
      </c>
      <c r="J49" s="288">
        <v>45712.0</v>
      </c>
      <c r="K49" s="350" t="str">
        <f>IFERROR(__xludf.DUMMYFUNCTION("VLOOKUP(TRIM(E49), ARRAYFORMULA(TRIM(IMPORTRANGE(""1J6TM1lO8a31d96YF89fby9ySWcPcCBlFT37fwLDeDG0"", ""PKR-October 2025!C:Z""))), 5, FALSE)"),"")</f>
        <v/>
      </c>
      <c r="L49" s="643">
        <f>IFERROR(__xludf.DUMMYFUNCTION("value(VLOOKUP(TRIM(E49), ARRAYFORMULA(TRIM(IMPORTRANGE(""1J6TM1lO8a31d96YF89fby9ySWcPcCBlFT37fwLDeDG0"", ""PKR-October 2025!C:Z""))), 6, FALSE))"),31.0)</f>
        <v>31</v>
      </c>
      <c r="M49" s="350">
        <v>45931.0</v>
      </c>
      <c r="N49" s="350">
        <v>45961.0</v>
      </c>
      <c r="O49" s="290">
        <f t="shared" si="1"/>
        <v>370</v>
      </c>
      <c r="P49" s="290">
        <f t="shared" si="2"/>
        <v>370</v>
      </c>
      <c r="Q49" s="290">
        <f t="shared" si="3"/>
        <v>1850</v>
      </c>
      <c r="R49" s="290">
        <f t="shared" si="4"/>
        <v>2220</v>
      </c>
    </row>
    <row r="50">
      <c r="A50" s="282" t="s">
        <v>16</v>
      </c>
      <c r="B50" s="283">
        <v>4320.0</v>
      </c>
      <c r="C50" s="289"/>
      <c r="D50" s="285">
        <v>0.0</v>
      </c>
      <c r="E50" s="306" t="s">
        <v>427</v>
      </c>
      <c r="F50" s="282" t="s">
        <v>525</v>
      </c>
      <c r="G50" s="286" t="s">
        <v>428</v>
      </c>
      <c r="H50" s="287"/>
      <c r="I50" s="288">
        <v>36451.0</v>
      </c>
      <c r="J50" s="288">
        <v>45453.0</v>
      </c>
      <c r="K50" s="350" t="str">
        <f>IFERROR(__xludf.DUMMYFUNCTION("VLOOKUP(TRIM(E50), ARRAYFORMULA(TRIM(IMPORTRANGE(""1J6TM1lO8a31d96YF89fby9ySWcPcCBlFT37fwLDeDG0"", ""PKR-October 2025!C:Z""))), 5, FALSE)"),"")</f>
        <v/>
      </c>
      <c r="L50" s="643">
        <f>IFERROR(__xludf.DUMMYFUNCTION("value(VLOOKUP(TRIM(E50), ARRAYFORMULA(TRIM(IMPORTRANGE(""1J6TM1lO8a31d96YF89fby9ySWcPcCBlFT37fwLDeDG0"", ""PKR-October 2025!C:Z""))), 6, FALSE))"),31.0)</f>
        <v>31</v>
      </c>
      <c r="M50" s="350">
        <v>45931.0</v>
      </c>
      <c r="N50" s="350">
        <v>45961.0</v>
      </c>
      <c r="O50" s="290">
        <f t="shared" si="1"/>
        <v>370</v>
      </c>
      <c r="P50" s="290">
        <f t="shared" si="2"/>
        <v>370</v>
      </c>
      <c r="Q50" s="290">
        <f t="shared" si="3"/>
        <v>1850</v>
      </c>
      <c r="R50" s="290">
        <f t="shared" si="4"/>
        <v>2220</v>
      </c>
    </row>
    <row r="51">
      <c r="A51" s="421" t="s">
        <v>16</v>
      </c>
      <c r="B51" s="422">
        <v>4320.0</v>
      </c>
      <c r="C51" s="427"/>
      <c r="D51" s="424">
        <v>0.0</v>
      </c>
      <c r="E51" s="441" t="s">
        <v>493</v>
      </c>
      <c r="F51" s="421" t="s">
        <v>532</v>
      </c>
      <c r="G51" s="425" t="s">
        <v>494</v>
      </c>
      <c r="H51" s="287"/>
      <c r="I51" s="426">
        <v>36208.0</v>
      </c>
      <c r="J51" s="426">
        <v>45602.0</v>
      </c>
      <c r="K51" s="350" t="str">
        <f>IFERROR(__xludf.DUMMYFUNCTION("VLOOKUP(TRIM(E51), ARRAYFORMULA(TRIM(IMPORTRANGE(""1J6TM1lO8a31d96YF89fby9ySWcPcCBlFT37fwLDeDG0"", ""PKR-October 2025!C:Z""))), 5, FALSE)"),"17 October 2025")</f>
        <v>17 October 2025</v>
      </c>
      <c r="L51" s="644">
        <f>IFERROR(__xludf.DUMMYFUNCTION("value(VLOOKUP(TRIM(E51), ARRAYFORMULA(TRIM(IMPORTRANGE(""1J6TM1lO8a31d96YF89fby9ySWcPcCBlFT37fwLDeDG0"", ""PKR-October 2025!C:Z""))), 6, FALSE))"),17.0)</f>
        <v>17</v>
      </c>
      <c r="M51" s="429">
        <v>45931.0</v>
      </c>
      <c r="N51" s="429">
        <v>45961.0</v>
      </c>
      <c r="O51" s="290">
        <f t="shared" si="1"/>
        <v>203</v>
      </c>
      <c r="P51" s="290">
        <f t="shared" si="2"/>
        <v>203</v>
      </c>
      <c r="Q51" s="290">
        <f t="shared" si="3"/>
        <v>1015</v>
      </c>
      <c r="R51" s="290">
        <f t="shared" si="4"/>
        <v>1218</v>
      </c>
      <c r="S51" s="48"/>
      <c r="T51" s="48"/>
      <c r="U51" s="48"/>
      <c r="V51" s="48"/>
      <c r="W51" s="48"/>
      <c r="X51" s="48"/>
      <c r="Y51" s="48"/>
    </row>
    <row r="52">
      <c r="A52" s="282" t="s">
        <v>16</v>
      </c>
      <c r="B52" s="283">
        <v>4320.0</v>
      </c>
      <c r="C52" s="289"/>
      <c r="D52" s="285">
        <v>0.0</v>
      </c>
      <c r="E52" s="306" t="s">
        <v>585</v>
      </c>
      <c r="F52" s="282" t="s">
        <v>586</v>
      </c>
      <c r="G52" s="480" t="s">
        <v>841</v>
      </c>
      <c r="H52" s="287"/>
      <c r="I52" s="288">
        <v>35827.0</v>
      </c>
      <c r="J52" s="288">
        <v>45684.0</v>
      </c>
      <c r="K52" s="350" t="str">
        <f>IFERROR(__xludf.DUMMYFUNCTION("VLOOKUP(TRIM(E52), ARRAYFORMULA(TRIM(IMPORTRANGE(""1J6TM1lO8a31d96YF89fby9ySWcPcCBlFT37fwLDeDG0"", ""PKR-October 2025!C:Z""))), 5, FALSE)"),"")</f>
        <v/>
      </c>
      <c r="L52" s="643">
        <f>IFERROR(__xludf.DUMMYFUNCTION("value(VLOOKUP(TRIM(E52), ARRAYFORMULA(TRIM(IMPORTRANGE(""1J6TM1lO8a31d96YF89fby9ySWcPcCBlFT37fwLDeDG0"", ""PKR-October 2025!C:Z""))), 6, FALSE))"),31.0)</f>
        <v>31</v>
      </c>
      <c r="M52" s="350">
        <v>45931.0</v>
      </c>
      <c r="N52" s="350">
        <v>45961.0</v>
      </c>
      <c r="O52" s="290">
        <f t="shared" si="1"/>
        <v>370</v>
      </c>
      <c r="P52" s="290">
        <f t="shared" si="2"/>
        <v>370</v>
      </c>
      <c r="Q52" s="290">
        <f t="shared" si="3"/>
        <v>1850</v>
      </c>
      <c r="R52" s="290">
        <f t="shared" si="4"/>
        <v>2220</v>
      </c>
    </row>
    <row r="53">
      <c r="A53" s="410" t="s">
        <v>16</v>
      </c>
      <c r="B53" s="411">
        <v>4320.0</v>
      </c>
      <c r="C53" s="412"/>
      <c r="D53" s="285">
        <v>0.0</v>
      </c>
      <c r="E53" s="410" t="s">
        <v>744</v>
      </c>
      <c r="F53" s="413" t="s">
        <v>745</v>
      </c>
      <c r="G53" s="410" t="s">
        <v>746</v>
      </c>
      <c r="H53" s="412"/>
      <c r="I53" s="414">
        <v>37479.0</v>
      </c>
      <c r="J53" s="414">
        <v>45726.0</v>
      </c>
      <c r="K53" s="350" t="str">
        <f>IFERROR(__xludf.DUMMYFUNCTION("VLOOKUP(TRIM(E53), ARRAYFORMULA(TRIM(IMPORTRANGE(""1J6TM1lO8a31d96YF89fby9ySWcPcCBlFT37fwLDeDG0"", ""PKR-October 2025!C:Z""))), 5, FALSE)"),"")</f>
        <v/>
      </c>
      <c r="L53" s="643">
        <f>IFERROR(__xludf.DUMMYFUNCTION("value(VLOOKUP(TRIM(E53), ARRAYFORMULA(TRIM(IMPORTRANGE(""1J6TM1lO8a31d96YF89fby9ySWcPcCBlFT37fwLDeDG0"", ""PKR-October 2025!C:Z""))), 6, FALSE))"),31.0)</f>
        <v>31</v>
      </c>
      <c r="M53" s="350">
        <v>45931.0</v>
      </c>
      <c r="N53" s="350">
        <v>45961.0</v>
      </c>
      <c r="O53" s="290">
        <f t="shared" si="1"/>
        <v>370</v>
      </c>
      <c r="P53" s="290">
        <f t="shared" si="2"/>
        <v>370</v>
      </c>
      <c r="Q53" s="290">
        <f t="shared" si="3"/>
        <v>1850</v>
      </c>
      <c r="R53" s="290">
        <f t="shared" si="4"/>
        <v>2220</v>
      </c>
    </row>
    <row r="54">
      <c r="A54" s="410" t="s">
        <v>16</v>
      </c>
      <c r="B54" s="411">
        <v>4320.0</v>
      </c>
      <c r="C54" s="412"/>
      <c r="D54" s="285">
        <v>0.0</v>
      </c>
      <c r="E54" s="410" t="s">
        <v>747</v>
      </c>
      <c r="F54" s="418" t="s">
        <v>748</v>
      </c>
      <c r="G54" s="410" t="s">
        <v>842</v>
      </c>
      <c r="H54" s="412"/>
      <c r="I54" s="414">
        <v>37314.0</v>
      </c>
      <c r="J54" s="414">
        <v>45733.0</v>
      </c>
      <c r="K54" s="350" t="str">
        <f>IFERROR(__xludf.DUMMYFUNCTION("VLOOKUP(TRIM(E54), ARRAYFORMULA(TRIM(IMPORTRANGE(""1J6TM1lO8a31d96YF89fby9ySWcPcCBlFT37fwLDeDG0"", ""PKR-October 2025!C:Z""))), 5, FALSE)"),"")</f>
        <v/>
      </c>
      <c r="L54" s="643">
        <f>IFERROR(__xludf.DUMMYFUNCTION("value(VLOOKUP(TRIM(E54), ARRAYFORMULA(TRIM(IMPORTRANGE(""1J6TM1lO8a31d96YF89fby9ySWcPcCBlFT37fwLDeDG0"", ""PKR-October 2025!C:Z""))), 6, FALSE))"),31.0)</f>
        <v>31</v>
      </c>
      <c r="M54" s="350">
        <v>45931.0</v>
      </c>
      <c r="N54" s="350">
        <v>45961.0</v>
      </c>
      <c r="O54" s="290">
        <f t="shared" si="1"/>
        <v>370</v>
      </c>
      <c r="P54" s="290">
        <f t="shared" si="2"/>
        <v>370</v>
      </c>
      <c r="Q54" s="290">
        <f t="shared" si="3"/>
        <v>1850</v>
      </c>
      <c r="R54" s="290">
        <f t="shared" si="4"/>
        <v>2220</v>
      </c>
    </row>
    <row r="55">
      <c r="A55" s="410" t="s">
        <v>16</v>
      </c>
      <c r="B55" s="411">
        <v>4320.0</v>
      </c>
      <c r="C55" s="412"/>
      <c r="D55" s="285">
        <v>0.0</v>
      </c>
      <c r="E55" s="410" t="s">
        <v>750</v>
      </c>
      <c r="F55" s="418" t="s">
        <v>751</v>
      </c>
      <c r="G55" s="410" t="s">
        <v>752</v>
      </c>
      <c r="H55" s="412"/>
      <c r="I55" s="414">
        <v>36581.0</v>
      </c>
      <c r="J55" s="414">
        <v>45740.0</v>
      </c>
      <c r="K55" s="350" t="str">
        <f>IFERROR(__xludf.DUMMYFUNCTION("VLOOKUP(TRIM(E55), ARRAYFORMULA(TRIM(IMPORTRANGE(""1J6TM1lO8a31d96YF89fby9ySWcPcCBlFT37fwLDeDG0"", ""PKR-October 2025!C:Z""))), 5, FALSE)"),"")</f>
        <v/>
      </c>
      <c r="L55" s="643">
        <f>IFERROR(__xludf.DUMMYFUNCTION("value(VLOOKUP(TRIM(E55), ARRAYFORMULA(TRIM(IMPORTRANGE(""1J6TM1lO8a31d96YF89fby9ySWcPcCBlFT37fwLDeDG0"", ""PKR-October 2025!C:Z""))), 6, FALSE))"),31.0)</f>
        <v>31</v>
      </c>
      <c r="M55" s="350">
        <v>45931.0</v>
      </c>
      <c r="N55" s="350">
        <v>45961.0</v>
      </c>
      <c r="O55" s="290">
        <f t="shared" si="1"/>
        <v>370</v>
      </c>
      <c r="P55" s="290">
        <f t="shared" si="2"/>
        <v>370</v>
      </c>
      <c r="Q55" s="290">
        <f t="shared" si="3"/>
        <v>1850</v>
      </c>
      <c r="R55" s="290">
        <f t="shared" si="4"/>
        <v>2220</v>
      </c>
    </row>
    <row r="56">
      <c r="A56" s="410" t="s">
        <v>16</v>
      </c>
      <c r="B56" s="411">
        <v>4320.0</v>
      </c>
      <c r="C56" s="412"/>
      <c r="D56" s="285">
        <v>0.0</v>
      </c>
      <c r="E56" s="410" t="s">
        <v>764</v>
      </c>
      <c r="F56" s="418" t="s">
        <v>765</v>
      </c>
      <c r="G56" s="410" t="s">
        <v>766</v>
      </c>
      <c r="H56" s="412"/>
      <c r="I56" s="414">
        <v>36087.0</v>
      </c>
      <c r="J56" s="414">
        <v>45761.0</v>
      </c>
      <c r="K56" s="350" t="str">
        <f>IFERROR(__xludf.DUMMYFUNCTION("VLOOKUP(TRIM(E56), ARRAYFORMULA(TRIM(IMPORTRANGE(""1J6TM1lO8a31d96YF89fby9ySWcPcCBlFT37fwLDeDG0"", ""PKR-October 2025!C:Z""))), 5, FALSE)"),"")</f>
        <v/>
      </c>
      <c r="L56" s="643">
        <f>IFERROR(__xludf.DUMMYFUNCTION("value(VLOOKUP(TRIM(E56), ARRAYFORMULA(TRIM(IMPORTRANGE(""1J6TM1lO8a31d96YF89fby9ySWcPcCBlFT37fwLDeDG0"", ""PKR-October 2025!C:Z""))), 6, FALSE))"),31.0)</f>
        <v>31</v>
      </c>
      <c r="M56" s="350">
        <v>45931.0</v>
      </c>
      <c r="N56" s="350">
        <v>45961.0</v>
      </c>
      <c r="O56" s="290">
        <f t="shared" si="1"/>
        <v>370</v>
      </c>
      <c r="P56" s="290">
        <f t="shared" si="2"/>
        <v>370</v>
      </c>
      <c r="Q56" s="290">
        <f t="shared" si="3"/>
        <v>1850</v>
      </c>
      <c r="R56" s="290">
        <f t="shared" si="4"/>
        <v>2220</v>
      </c>
    </row>
    <row r="57">
      <c r="A57" s="410" t="s">
        <v>16</v>
      </c>
      <c r="B57" s="411">
        <v>4320.0</v>
      </c>
      <c r="C57" s="443"/>
      <c r="D57" s="285">
        <v>0.0</v>
      </c>
      <c r="E57" s="444" t="s">
        <v>791</v>
      </c>
      <c r="F57" s="445" t="s">
        <v>792</v>
      </c>
      <c r="G57" s="445" t="s">
        <v>793</v>
      </c>
      <c r="H57" s="443"/>
      <c r="I57" s="446">
        <v>36197.0</v>
      </c>
      <c r="J57" s="447">
        <v>45782.0</v>
      </c>
      <c r="K57" s="350" t="str">
        <f>IFERROR(__xludf.DUMMYFUNCTION("VLOOKUP(TRIM(E57), ARRAYFORMULA(TRIM(IMPORTRANGE(""1J6TM1lO8a31d96YF89fby9ySWcPcCBlFT37fwLDeDG0"", ""PKR-October 2025!C:Z""))), 5, FALSE)"),"")</f>
        <v/>
      </c>
      <c r="L57" s="643">
        <f>IFERROR(__xludf.DUMMYFUNCTION("value(VLOOKUP(TRIM(E57), ARRAYFORMULA(TRIM(IMPORTRANGE(""1J6TM1lO8a31d96YF89fby9ySWcPcCBlFT37fwLDeDG0"", ""PKR-October 2025!C:Z""))), 6, FALSE))"),31.0)</f>
        <v>31</v>
      </c>
      <c r="M57" s="350">
        <v>45931.0</v>
      </c>
      <c r="N57" s="350">
        <v>45961.0</v>
      </c>
      <c r="O57" s="290">
        <f t="shared" si="1"/>
        <v>370</v>
      </c>
      <c r="P57" s="290">
        <f t="shared" si="2"/>
        <v>370</v>
      </c>
      <c r="Q57" s="290">
        <f t="shared" si="3"/>
        <v>1850</v>
      </c>
      <c r="R57" s="290">
        <f t="shared" si="4"/>
        <v>2220</v>
      </c>
    </row>
    <row r="58">
      <c r="A58" s="410" t="s">
        <v>16</v>
      </c>
      <c r="B58" s="411">
        <v>4320.0</v>
      </c>
      <c r="C58" s="443"/>
      <c r="D58" s="285">
        <v>0.0</v>
      </c>
      <c r="E58" s="444" t="s">
        <v>794</v>
      </c>
      <c r="F58" s="445" t="s">
        <v>795</v>
      </c>
      <c r="G58" s="445" t="s">
        <v>796</v>
      </c>
      <c r="H58" s="443"/>
      <c r="I58" s="446">
        <v>36857.0</v>
      </c>
      <c r="J58" s="446">
        <v>45775.0</v>
      </c>
      <c r="K58" s="350" t="str">
        <f>IFERROR(__xludf.DUMMYFUNCTION("VLOOKUP(TRIM(E58), ARRAYFORMULA(TRIM(IMPORTRANGE(""1J6TM1lO8a31d96YF89fby9ySWcPcCBlFT37fwLDeDG0"", ""PKR-October 2025!C:Z""))), 5, FALSE)"),"")</f>
        <v/>
      </c>
      <c r="L58" s="643">
        <f>IFERROR(__xludf.DUMMYFUNCTION("value(VLOOKUP(TRIM(E58), ARRAYFORMULA(TRIM(IMPORTRANGE(""1J6TM1lO8a31d96YF89fby9ySWcPcCBlFT37fwLDeDG0"", ""PKR-October 2025!C:Z""))), 6, FALSE))"),31.0)</f>
        <v>31</v>
      </c>
      <c r="M58" s="350">
        <v>45931.0</v>
      </c>
      <c r="N58" s="350">
        <v>45961.0</v>
      </c>
      <c r="O58" s="290">
        <f t="shared" si="1"/>
        <v>370</v>
      </c>
      <c r="P58" s="290">
        <f t="shared" si="2"/>
        <v>370</v>
      </c>
      <c r="Q58" s="290">
        <f t="shared" si="3"/>
        <v>1850</v>
      </c>
      <c r="R58" s="290">
        <f t="shared" si="4"/>
        <v>2220</v>
      </c>
    </row>
    <row r="59">
      <c r="A59" s="410" t="s">
        <v>16</v>
      </c>
      <c r="B59" s="411">
        <v>4320.0</v>
      </c>
      <c r="C59" s="443"/>
      <c r="D59" s="285">
        <v>0.0</v>
      </c>
      <c r="E59" s="444" t="s">
        <v>797</v>
      </c>
      <c r="F59" s="445" t="s">
        <v>798</v>
      </c>
      <c r="G59" s="445" t="s">
        <v>799</v>
      </c>
      <c r="H59" s="443"/>
      <c r="I59" s="446">
        <v>37709.0</v>
      </c>
      <c r="J59" s="447">
        <v>45789.0</v>
      </c>
      <c r="K59" s="350" t="str">
        <f>IFERROR(__xludf.DUMMYFUNCTION("VLOOKUP(TRIM(E59), ARRAYFORMULA(TRIM(IMPORTRANGE(""1J6TM1lO8a31d96YF89fby9ySWcPcCBlFT37fwLDeDG0"", ""PKR-October 2025!C:Z""))), 5, FALSE)"),"")</f>
        <v/>
      </c>
      <c r="L59" s="643">
        <f>IFERROR(__xludf.DUMMYFUNCTION("value(VLOOKUP(TRIM(E59), ARRAYFORMULA(TRIM(IMPORTRANGE(""1J6TM1lO8a31d96YF89fby9ySWcPcCBlFT37fwLDeDG0"", ""PKR-October 2025!C:Z""))), 6, FALSE))"),31.0)</f>
        <v>31</v>
      </c>
      <c r="M59" s="350">
        <v>45931.0</v>
      </c>
      <c r="N59" s="350">
        <v>45961.0</v>
      </c>
      <c r="O59" s="290">
        <f t="shared" si="1"/>
        <v>370</v>
      </c>
      <c r="P59" s="290">
        <f t="shared" si="2"/>
        <v>370</v>
      </c>
      <c r="Q59" s="290">
        <f t="shared" si="3"/>
        <v>1850</v>
      </c>
      <c r="R59" s="290">
        <f t="shared" si="4"/>
        <v>2220</v>
      </c>
    </row>
    <row r="60">
      <c r="A60" s="410" t="s">
        <v>16</v>
      </c>
      <c r="B60" s="411">
        <v>4320.0</v>
      </c>
      <c r="C60" s="443"/>
      <c r="D60" s="285">
        <v>0.0</v>
      </c>
      <c r="E60" s="444" t="s">
        <v>806</v>
      </c>
      <c r="F60" s="445" t="s">
        <v>807</v>
      </c>
      <c r="G60" s="445" t="s">
        <v>808</v>
      </c>
      <c r="H60" s="443"/>
      <c r="I60" s="446">
        <v>36061.0</v>
      </c>
      <c r="J60" s="447">
        <v>45796.0</v>
      </c>
      <c r="K60" s="350" t="str">
        <f>IFERROR(__xludf.DUMMYFUNCTION("VLOOKUP(TRIM(E60), ARRAYFORMULA(TRIM(IMPORTRANGE(""1J6TM1lO8a31d96YF89fby9ySWcPcCBlFT37fwLDeDG0"", ""PKR-October 2025!C:Z""))), 5, FALSE)"),"")</f>
        <v/>
      </c>
      <c r="L60" s="643">
        <f>IFERROR(__xludf.DUMMYFUNCTION("value(VLOOKUP(TRIM(E60), ARRAYFORMULA(TRIM(IMPORTRANGE(""1J6TM1lO8a31d96YF89fby9ySWcPcCBlFT37fwLDeDG0"", ""PKR-October 2025!C:Z""))), 6, FALSE))"),31.0)</f>
        <v>31</v>
      </c>
      <c r="M60" s="350">
        <v>45931.0</v>
      </c>
      <c r="N60" s="350">
        <v>45961.0</v>
      </c>
      <c r="O60" s="290">
        <f t="shared" si="1"/>
        <v>370</v>
      </c>
      <c r="P60" s="290">
        <f t="shared" si="2"/>
        <v>370</v>
      </c>
      <c r="Q60" s="290">
        <f t="shared" si="3"/>
        <v>1850</v>
      </c>
      <c r="R60" s="290">
        <f t="shared" si="4"/>
        <v>2220</v>
      </c>
    </row>
    <row r="61">
      <c r="A61" s="410" t="s">
        <v>16</v>
      </c>
      <c r="B61" s="411">
        <v>4320.0</v>
      </c>
      <c r="C61" s="443"/>
      <c r="D61" s="285">
        <v>0.0</v>
      </c>
      <c r="E61" s="444" t="s">
        <v>809</v>
      </c>
      <c r="F61" s="445" t="s">
        <v>810</v>
      </c>
      <c r="G61" s="445" t="s">
        <v>811</v>
      </c>
      <c r="H61" s="443"/>
      <c r="I61" s="446">
        <v>35148.0</v>
      </c>
      <c r="J61" s="446">
        <v>45775.0</v>
      </c>
      <c r="K61" s="350" t="str">
        <f>IFERROR(__xludf.DUMMYFUNCTION("VLOOKUP(TRIM(E61), ARRAYFORMULA(TRIM(IMPORTRANGE(""1J6TM1lO8a31d96YF89fby9ySWcPcCBlFT37fwLDeDG0"", ""PKR-October 2025!C:Z""))), 5, FALSE)"),"")</f>
        <v/>
      </c>
      <c r="L61" s="643">
        <f>IFERROR(__xludf.DUMMYFUNCTION("value(VLOOKUP(TRIM(E61), ARRAYFORMULA(TRIM(IMPORTRANGE(""1J6TM1lO8a31d96YF89fby9ySWcPcCBlFT37fwLDeDG0"", ""PKR-October 2025!C:Z""))), 6, FALSE))"),31.0)</f>
        <v>31</v>
      </c>
      <c r="M61" s="350">
        <v>45931.0</v>
      </c>
      <c r="N61" s="350">
        <v>45961.0</v>
      </c>
      <c r="O61" s="290">
        <f t="shared" si="1"/>
        <v>370</v>
      </c>
      <c r="P61" s="290">
        <f t="shared" si="2"/>
        <v>370</v>
      </c>
      <c r="Q61" s="290">
        <f t="shared" si="3"/>
        <v>1850</v>
      </c>
      <c r="R61" s="290">
        <f t="shared" si="4"/>
        <v>2220</v>
      </c>
    </row>
    <row r="62">
      <c r="A62" s="410" t="s">
        <v>16</v>
      </c>
      <c r="B62" s="411">
        <v>4320.0</v>
      </c>
      <c r="C62" s="443"/>
      <c r="D62" s="285">
        <v>0.0</v>
      </c>
      <c r="E62" s="444" t="s">
        <v>812</v>
      </c>
      <c r="F62" s="445" t="s">
        <v>813</v>
      </c>
      <c r="G62" s="445" t="s">
        <v>814</v>
      </c>
      <c r="H62" s="443"/>
      <c r="I62" s="446">
        <v>37940.0</v>
      </c>
      <c r="J62" s="446">
        <v>45775.0</v>
      </c>
      <c r="K62" s="350" t="str">
        <f>IFERROR(__xludf.DUMMYFUNCTION("VLOOKUP(TRIM(E62), ARRAYFORMULA(TRIM(IMPORTRANGE(""1J6TM1lO8a31d96YF89fby9ySWcPcCBlFT37fwLDeDG0"", ""PKR-October 2025!C:Z""))), 5, FALSE)"),"")</f>
        <v/>
      </c>
      <c r="L62" s="643">
        <f>IFERROR(__xludf.DUMMYFUNCTION("value(VLOOKUP(TRIM(E62), ARRAYFORMULA(TRIM(IMPORTRANGE(""1J6TM1lO8a31d96YF89fby9ySWcPcCBlFT37fwLDeDG0"", ""PKR-October 2025!C:Z""))), 6, FALSE))"),31.0)</f>
        <v>31</v>
      </c>
      <c r="M62" s="350">
        <v>45931.0</v>
      </c>
      <c r="N62" s="350">
        <v>45961.0</v>
      </c>
      <c r="O62" s="290">
        <f t="shared" si="1"/>
        <v>370</v>
      </c>
      <c r="P62" s="290">
        <f t="shared" si="2"/>
        <v>370</v>
      </c>
      <c r="Q62" s="290">
        <f t="shared" si="3"/>
        <v>1850</v>
      </c>
      <c r="R62" s="290">
        <f t="shared" si="4"/>
        <v>2220</v>
      </c>
    </row>
    <row r="63">
      <c r="A63" s="410" t="s">
        <v>16</v>
      </c>
      <c r="B63" s="411">
        <v>4320.0</v>
      </c>
      <c r="C63" s="443"/>
      <c r="D63" s="285">
        <v>0.0</v>
      </c>
      <c r="E63" s="444" t="s">
        <v>629</v>
      </c>
      <c r="F63" s="445" t="s">
        <v>815</v>
      </c>
      <c r="G63" s="445" t="s">
        <v>631</v>
      </c>
      <c r="H63" s="445" t="s">
        <v>763</v>
      </c>
      <c r="I63" s="446">
        <v>34807.0</v>
      </c>
      <c r="J63" s="447">
        <v>45778.0</v>
      </c>
      <c r="K63" s="350" t="str">
        <f>IFERROR(__xludf.DUMMYFUNCTION("VLOOKUP(TRIM(E63), ARRAYFORMULA(TRIM(IMPORTRANGE(""1J6TM1lO8a31d96YF89fby9ySWcPcCBlFT37fwLDeDG0"", ""PKR-October 2025!C:Z""))), 5, FALSE)"),"")</f>
        <v/>
      </c>
      <c r="L63" s="643">
        <f>IFERROR(__xludf.DUMMYFUNCTION("value(VLOOKUP(TRIM(E63), ARRAYFORMULA(TRIM(IMPORTRANGE(""1J6TM1lO8a31d96YF89fby9ySWcPcCBlFT37fwLDeDG0"", ""PKR-October 2025!C:Z""))), 6, FALSE))"),31.0)</f>
        <v>31</v>
      </c>
      <c r="M63" s="350">
        <v>45931.0</v>
      </c>
      <c r="N63" s="350">
        <v>45961.0</v>
      </c>
      <c r="O63" s="290">
        <f t="shared" si="1"/>
        <v>370</v>
      </c>
      <c r="P63" s="290">
        <f t="shared" si="2"/>
        <v>370</v>
      </c>
      <c r="Q63" s="290">
        <f t="shared" si="3"/>
        <v>1850</v>
      </c>
      <c r="R63" s="290">
        <f t="shared" si="4"/>
        <v>2220</v>
      </c>
    </row>
    <row r="64">
      <c r="A64" s="410" t="s">
        <v>16</v>
      </c>
      <c r="B64" s="411">
        <v>4320.0</v>
      </c>
      <c r="C64" s="443"/>
      <c r="D64" s="285">
        <v>0.0</v>
      </c>
      <c r="E64" s="444" t="s">
        <v>924</v>
      </c>
      <c r="F64" s="445" t="s">
        <v>627</v>
      </c>
      <c r="G64" s="445" t="s">
        <v>628</v>
      </c>
      <c r="H64" s="443"/>
      <c r="I64" s="446">
        <v>35257.0</v>
      </c>
      <c r="J64" s="447">
        <v>45778.0</v>
      </c>
      <c r="K64" s="350" t="str">
        <f>IFERROR(__xludf.DUMMYFUNCTION("VLOOKUP(TRIM(E64), ARRAYFORMULA(TRIM(IMPORTRANGE(""1J6TM1lO8a31d96YF89fby9ySWcPcCBlFT37fwLDeDG0"", ""PKR-October 2025!C:Z""))), 5, FALSE)"),"")</f>
        <v/>
      </c>
      <c r="L64" s="643">
        <f>IFERROR(__xludf.DUMMYFUNCTION("value(VLOOKUP(TRIM(E64), ARRAYFORMULA(TRIM(IMPORTRANGE(""1J6TM1lO8a31d96YF89fby9ySWcPcCBlFT37fwLDeDG0"", ""PKR-October 2025!C:Z""))), 6, FALSE))"),31.0)</f>
        <v>31</v>
      </c>
      <c r="M64" s="350">
        <v>45931.0</v>
      </c>
      <c r="N64" s="350">
        <v>45961.0</v>
      </c>
      <c r="O64" s="290">
        <f t="shared" si="1"/>
        <v>370</v>
      </c>
      <c r="P64" s="290">
        <f t="shared" si="2"/>
        <v>370</v>
      </c>
      <c r="Q64" s="290">
        <f t="shared" si="3"/>
        <v>1850</v>
      </c>
      <c r="R64" s="290">
        <f t="shared" si="4"/>
        <v>2220</v>
      </c>
    </row>
    <row r="65">
      <c r="A65" s="410" t="s">
        <v>16</v>
      </c>
      <c r="B65" s="411">
        <v>4320.0</v>
      </c>
      <c r="C65" s="443"/>
      <c r="D65" s="285">
        <v>0.0</v>
      </c>
      <c r="E65" s="602" t="s">
        <v>848</v>
      </c>
      <c r="F65" s="580" t="s">
        <v>849</v>
      </c>
      <c r="G65" s="580" t="s">
        <v>850</v>
      </c>
      <c r="I65" s="508">
        <v>33637.0</v>
      </c>
      <c r="J65" s="504">
        <v>45809.0</v>
      </c>
      <c r="K65" s="350" t="str">
        <f>IFERROR(__xludf.DUMMYFUNCTION("VLOOKUP(TRIM(E65), ARRAYFORMULA(TRIM(IMPORTRANGE(""1J6TM1lO8a31d96YF89fby9ySWcPcCBlFT37fwLDeDG0"", ""PKR-October 2025!C:Z""))), 5, FALSE)"),"")</f>
        <v/>
      </c>
      <c r="L65" s="643">
        <f>IFERROR(__xludf.DUMMYFUNCTION("value(VLOOKUP(TRIM(E65), ARRAYFORMULA(TRIM(IMPORTRANGE(""1J6TM1lO8a31d96YF89fby9ySWcPcCBlFT37fwLDeDG0"", ""PKR-October 2025!C:Z""))), 6, FALSE))"),31.0)</f>
        <v>31</v>
      </c>
      <c r="M65" s="350">
        <v>45931.0</v>
      </c>
      <c r="N65" s="350">
        <v>45961.0</v>
      </c>
      <c r="O65" s="290">
        <f t="shared" si="1"/>
        <v>370</v>
      </c>
      <c r="P65" s="290">
        <f t="shared" si="2"/>
        <v>370</v>
      </c>
      <c r="Q65" s="290">
        <f t="shared" si="3"/>
        <v>1850</v>
      </c>
      <c r="R65" s="290">
        <f t="shared" si="4"/>
        <v>2220</v>
      </c>
    </row>
    <row r="66">
      <c r="A66" s="410" t="s">
        <v>16</v>
      </c>
      <c r="B66" s="411">
        <v>4320.0</v>
      </c>
      <c r="C66" s="443"/>
      <c r="D66" s="285">
        <v>0.0</v>
      </c>
      <c r="E66" s="600" t="s">
        <v>851</v>
      </c>
      <c r="F66" s="574" t="s">
        <v>852</v>
      </c>
      <c r="G66" s="574" t="s">
        <v>853</v>
      </c>
      <c r="I66" s="509">
        <v>36113.0</v>
      </c>
      <c r="J66" s="509">
        <v>45810.0</v>
      </c>
      <c r="K66" s="350" t="str">
        <f>IFERROR(__xludf.DUMMYFUNCTION("VLOOKUP(TRIM(E66), ARRAYFORMULA(TRIM(IMPORTRANGE(""1J6TM1lO8a31d96YF89fby9ySWcPcCBlFT37fwLDeDG0"", ""PKR-October 2025!C:Z""))), 5, FALSE)"),"")</f>
        <v/>
      </c>
      <c r="L66" s="643">
        <f>IFERROR(__xludf.DUMMYFUNCTION("value(VLOOKUP(TRIM(E66), ARRAYFORMULA(TRIM(IMPORTRANGE(""1J6TM1lO8a31d96YF89fby9ySWcPcCBlFT37fwLDeDG0"", ""PKR-October 2025!C:Z""))), 6, FALSE))"),31.0)</f>
        <v>31</v>
      </c>
      <c r="M66" s="350">
        <v>45931.0</v>
      </c>
      <c r="N66" s="350">
        <v>45961.0</v>
      </c>
      <c r="O66" s="290">
        <f t="shared" si="1"/>
        <v>370</v>
      </c>
      <c r="P66" s="290">
        <f t="shared" si="2"/>
        <v>370</v>
      </c>
      <c r="Q66" s="290">
        <f t="shared" si="3"/>
        <v>1850</v>
      </c>
      <c r="R66" s="290">
        <f t="shared" si="4"/>
        <v>2220</v>
      </c>
    </row>
    <row r="67">
      <c r="A67" s="490" t="s">
        <v>16</v>
      </c>
      <c r="B67" s="491">
        <v>4320.0</v>
      </c>
      <c r="C67" s="538"/>
      <c r="D67" s="424">
        <v>0.0</v>
      </c>
      <c r="E67" s="539" t="s">
        <v>860</v>
      </c>
      <c r="F67" s="540" t="s">
        <v>861</v>
      </c>
      <c r="G67" s="540" t="s">
        <v>862</v>
      </c>
      <c r="H67" s="48"/>
      <c r="I67" s="541">
        <v>36176.0</v>
      </c>
      <c r="J67" s="541">
        <v>45810.0</v>
      </c>
      <c r="K67" s="350" t="str">
        <f>IFERROR(__xludf.DUMMYFUNCTION("VLOOKUP(TRIM(E67), ARRAYFORMULA(TRIM(IMPORTRANGE(""1J6TM1lO8a31d96YF89fby9ySWcPcCBlFT37fwLDeDG0"", ""PKR-October 2025!C:Z""))), 5, FALSE)"),"​31st October 2025.")</f>
        <v>​31st October 2025.</v>
      </c>
      <c r="L67" s="644">
        <f>IFERROR(__xludf.DUMMYFUNCTION("value(VLOOKUP(TRIM(E67), ARRAYFORMULA(TRIM(IMPORTRANGE(""1J6TM1lO8a31d96YF89fby9ySWcPcCBlFT37fwLDeDG0"", ""PKR-October 2025!C:Z""))), 6, FALSE))"),31.0)</f>
        <v>31</v>
      </c>
      <c r="M67" s="429">
        <v>45931.0</v>
      </c>
      <c r="N67" s="429">
        <v>45961.0</v>
      </c>
      <c r="O67" s="290">
        <f t="shared" si="1"/>
        <v>370</v>
      </c>
      <c r="P67" s="290">
        <f t="shared" si="2"/>
        <v>370</v>
      </c>
      <c r="Q67" s="290">
        <f t="shared" si="3"/>
        <v>1850</v>
      </c>
      <c r="R67" s="290">
        <f t="shared" si="4"/>
        <v>2220</v>
      </c>
      <c r="S67" s="543"/>
      <c r="T67" s="544"/>
      <c r="U67" s="544"/>
      <c r="V67" s="544"/>
      <c r="W67" s="544"/>
      <c r="X67" s="544"/>
      <c r="Y67" s="544"/>
    </row>
    <row r="68">
      <c r="A68" s="410" t="s">
        <v>16</v>
      </c>
      <c r="B68" s="411">
        <v>4320.0</v>
      </c>
      <c r="C68" s="443"/>
      <c r="D68" s="285">
        <v>0.0</v>
      </c>
      <c r="E68" s="600" t="s">
        <v>863</v>
      </c>
      <c r="F68" s="574" t="s">
        <v>864</v>
      </c>
      <c r="G68" s="574" t="s">
        <v>865</v>
      </c>
      <c r="I68" s="509">
        <v>36175.0</v>
      </c>
      <c r="J68" s="509">
        <v>45824.0</v>
      </c>
      <c r="K68" s="350" t="str">
        <f>IFERROR(__xludf.DUMMYFUNCTION("VLOOKUP(TRIM(E68), ARRAYFORMULA(TRIM(IMPORTRANGE(""1J6TM1lO8a31d96YF89fby9ySWcPcCBlFT37fwLDeDG0"", ""PKR-October 2025!C:Z""))), 5, FALSE)"),"")</f>
        <v/>
      </c>
      <c r="L68" s="643">
        <f>IFERROR(__xludf.DUMMYFUNCTION("value(VLOOKUP(TRIM(E68), ARRAYFORMULA(TRIM(IMPORTRANGE(""1J6TM1lO8a31d96YF89fby9ySWcPcCBlFT37fwLDeDG0"", ""PKR-October 2025!C:Z""))), 6, FALSE))"),31.0)</f>
        <v>31</v>
      </c>
      <c r="M68" s="350">
        <v>45931.0</v>
      </c>
      <c r="N68" s="350">
        <v>45961.0</v>
      </c>
      <c r="O68" s="290">
        <f t="shared" si="1"/>
        <v>370</v>
      </c>
      <c r="P68" s="290">
        <f t="shared" si="2"/>
        <v>370</v>
      </c>
      <c r="Q68" s="290">
        <f t="shared" si="3"/>
        <v>1850</v>
      </c>
      <c r="R68" s="290">
        <f t="shared" si="4"/>
        <v>2220</v>
      </c>
      <c r="S68" s="359"/>
      <c r="T68" s="360"/>
      <c r="U68" s="360"/>
      <c r="V68" s="360"/>
      <c r="W68" s="360"/>
      <c r="X68" s="360"/>
      <c r="Y68" s="360"/>
    </row>
    <row r="69">
      <c r="A69" s="410" t="s">
        <v>16</v>
      </c>
      <c r="B69" s="411">
        <v>4320.0</v>
      </c>
      <c r="C69" s="443"/>
      <c r="D69" s="285">
        <v>0.0</v>
      </c>
      <c r="E69" s="602" t="s">
        <v>866</v>
      </c>
      <c r="F69" s="580" t="s">
        <v>867</v>
      </c>
      <c r="G69" s="580" t="s">
        <v>868</v>
      </c>
      <c r="I69" s="509">
        <v>36180.0</v>
      </c>
      <c r="J69" s="509">
        <v>45824.0</v>
      </c>
      <c r="K69" s="350" t="str">
        <f>IFERROR(__xludf.DUMMYFUNCTION("VLOOKUP(TRIM(E69), ARRAYFORMULA(TRIM(IMPORTRANGE(""1J6TM1lO8a31d96YF89fby9ySWcPcCBlFT37fwLDeDG0"", ""PKR-October 2025!C:Z""))), 5, FALSE)"),"")</f>
        <v/>
      </c>
      <c r="L69" s="643">
        <f>IFERROR(__xludf.DUMMYFUNCTION("value(VLOOKUP(TRIM(E69), ARRAYFORMULA(TRIM(IMPORTRANGE(""1J6TM1lO8a31d96YF89fby9ySWcPcCBlFT37fwLDeDG0"", ""PKR-October 2025!C:Z""))), 6, FALSE))"),31.0)</f>
        <v>31</v>
      </c>
      <c r="M69" s="350">
        <v>45931.0</v>
      </c>
      <c r="N69" s="350">
        <v>45961.0</v>
      </c>
      <c r="O69" s="290">
        <f t="shared" si="1"/>
        <v>370</v>
      </c>
      <c r="P69" s="290">
        <f t="shared" si="2"/>
        <v>370</v>
      </c>
      <c r="Q69" s="290">
        <f t="shared" si="3"/>
        <v>1850</v>
      </c>
      <c r="R69" s="290">
        <f t="shared" si="4"/>
        <v>2220</v>
      </c>
      <c r="S69" s="360"/>
      <c r="T69" s="360"/>
      <c r="U69" s="360"/>
      <c r="V69" s="360"/>
      <c r="W69" s="360"/>
      <c r="X69" s="360"/>
      <c r="Y69" s="360"/>
    </row>
    <row r="70">
      <c r="A70" s="410" t="s">
        <v>16</v>
      </c>
      <c r="B70" s="411">
        <v>4320.0</v>
      </c>
      <c r="C70" s="443"/>
      <c r="D70" s="285">
        <v>0.0</v>
      </c>
      <c r="E70" s="600" t="s">
        <v>869</v>
      </c>
      <c r="F70" s="574" t="s">
        <v>870</v>
      </c>
      <c r="G70" s="574" t="s">
        <v>871</v>
      </c>
      <c r="I70" s="509">
        <v>36585.0</v>
      </c>
      <c r="J70" s="509">
        <v>45824.0</v>
      </c>
      <c r="K70" s="350" t="str">
        <f>IFERROR(__xludf.DUMMYFUNCTION("VLOOKUP(TRIM(E70), ARRAYFORMULA(TRIM(IMPORTRANGE(""1J6TM1lO8a31d96YF89fby9ySWcPcCBlFT37fwLDeDG0"", ""PKR-October 2025!C:Z""))), 5, FALSE)"),"")</f>
        <v/>
      </c>
      <c r="L70" s="643">
        <f>IFERROR(__xludf.DUMMYFUNCTION("value(VLOOKUP(TRIM(E70), ARRAYFORMULA(TRIM(IMPORTRANGE(""1J6TM1lO8a31d96YF89fby9ySWcPcCBlFT37fwLDeDG0"", ""PKR-October 2025!C:Z""))), 6, FALSE))"),31.0)</f>
        <v>31</v>
      </c>
      <c r="M70" s="350">
        <v>45931.0</v>
      </c>
      <c r="N70" s="350">
        <v>45961.0</v>
      </c>
      <c r="O70" s="290">
        <f t="shared" si="1"/>
        <v>370</v>
      </c>
      <c r="P70" s="290">
        <f t="shared" si="2"/>
        <v>370</v>
      </c>
      <c r="Q70" s="290">
        <f t="shared" si="3"/>
        <v>1850</v>
      </c>
      <c r="R70" s="290">
        <f t="shared" si="4"/>
        <v>2220</v>
      </c>
      <c r="S70" s="360"/>
      <c r="T70" s="360"/>
      <c r="U70" s="360"/>
      <c r="V70" s="360"/>
      <c r="W70" s="360"/>
      <c r="X70" s="360"/>
      <c r="Y70" s="360"/>
    </row>
    <row r="71">
      <c r="A71" s="410" t="s">
        <v>16</v>
      </c>
      <c r="B71" s="411">
        <v>4320.0</v>
      </c>
      <c r="C71" s="443"/>
      <c r="D71" s="285">
        <v>0.0</v>
      </c>
      <c r="E71" s="602" t="s">
        <v>872</v>
      </c>
      <c r="F71" s="580" t="s">
        <v>873</v>
      </c>
      <c r="G71" s="580" t="s">
        <v>874</v>
      </c>
      <c r="I71" s="509">
        <v>35415.0</v>
      </c>
      <c r="J71" s="509">
        <v>45831.0</v>
      </c>
      <c r="K71" s="350" t="str">
        <f>IFERROR(__xludf.DUMMYFUNCTION("VLOOKUP(TRIM(E71), ARRAYFORMULA(TRIM(IMPORTRANGE(""1J6TM1lO8a31d96YF89fby9ySWcPcCBlFT37fwLDeDG0"", ""PKR-October 2025!C:Z""))), 5, FALSE)"),"")</f>
        <v/>
      </c>
      <c r="L71" s="643">
        <f>IFERROR(__xludf.DUMMYFUNCTION("value(VLOOKUP(TRIM(E71), ARRAYFORMULA(TRIM(IMPORTRANGE(""1J6TM1lO8a31d96YF89fby9ySWcPcCBlFT37fwLDeDG0"", ""PKR-October 2025!C:Z""))), 6, FALSE))"),31.0)</f>
        <v>31</v>
      </c>
      <c r="M71" s="350">
        <v>45931.0</v>
      </c>
      <c r="N71" s="350">
        <v>45961.0</v>
      </c>
      <c r="O71" s="290">
        <f t="shared" si="1"/>
        <v>370</v>
      </c>
      <c r="P71" s="290">
        <f t="shared" si="2"/>
        <v>370</v>
      </c>
      <c r="Q71" s="290">
        <f t="shared" si="3"/>
        <v>1850</v>
      </c>
      <c r="R71" s="290">
        <f t="shared" si="4"/>
        <v>2220</v>
      </c>
    </row>
    <row r="72">
      <c r="A72" s="410" t="s">
        <v>16</v>
      </c>
      <c r="B72" s="411">
        <v>4320.0</v>
      </c>
      <c r="C72" s="443"/>
      <c r="D72" s="285">
        <v>0.0</v>
      </c>
      <c r="E72" s="600" t="s">
        <v>878</v>
      </c>
      <c r="F72" s="574" t="s">
        <v>879</v>
      </c>
      <c r="G72" s="574" t="s">
        <v>880</v>
      </c>
      <c r="H72" s="66"/>
      <c r="I72" s="504">
        <v>34912.0</v>
      </c>
      <c r="J72" s="504">
        <v>45831.0</v>
      </c>
      <c r="K72" s="350" t="str">
        <f>IFERROR(__xludf.DUMMYFUNCTION("VLOOKUP(TRIM(E72), ARRAYFORMULA(TRIM(IMPORTRANGE(""1J6TM1lO8a31d96YF89fby9ySWcPcCBlFT37fwLDeDG0"", ""PKR-October 2025!C:Z""))), 5, FALSE)"),"")</f>
        <v/>
      </c>
      <c r="L72" s="643">
        <f>IFERROR(__xludf.DUMMYFUNCTION("value(VLOOKUP(TRIM(E72), ARRAYFORMULA(TRIM(IMPORTRANGE(""1J6TM1lO8a31d96YF89fby9ySWcPcCBlFT37fwLDeDG0"", ""PKR-October 2025!C:Z""))), 6, FALSE))"),31.0)</f>
        <v>31</v>
      </c>
      <c r="M72" s="350">
        <v>45931.0</v>
      </c>
      <c r="N72" s="350">
        <v>45961.0</v>
      </c>
      <c r="O72" s="290">
        <f t="shared" si="1"/>
        <v>370</v>
      </c>
      <c r="P72" s="290">
        <f t="shared" si="2"/>
        <v>370</v>
      </c>
      <c r="Q72" s="290">
        <f t="shared" si="3"/>
        <v>1850</v>
      </c>
      <c r="R72" s="290">
        <f t="shared" si="4"/>
        <v>2220</v>
      </c>
    </row>
    <row r="73">
      <c r="A73" s="410" t="s">
        <v>16</v>
      </c>
      <c r="B73" s="411">
        <v>4320.0</v>
      </c>
      <c r="C73" s="443"/>
      <c r="D73" s="285">
        <v>0.0</v>
      </c>
      <c r="E73" s="602" t="s">
        <v>895</v>
      </c>
      <c r="F73" s="581" t="s">
        <v>896</v>
      </c>
      <c r="G73" s="581" t="s">
        <v>897</v>
      </c>
      <c r="H73" s="66"/>
      <c r="I73" s="504">
        <v>36431.0</v>
      </c>
      <c r="J73" s="547">
        <v>45839.0</v>
      </c>
      <c r="K73" s="350" t="str">
        <f>IFERROR(__xludf.DUMMYFUNCTION("VLOOKUP(TRIM(E73), ARRAYFORMULA(TRIM(IMPORTRANGE(""1J6TM1lO8a31d96YF89fby9ySWcPcCBlFT37fwLDeDG0"", ""PKR-October 2025!C:Z""))), 5, FALSE)"),"")</f>
        <v/>
      </c>
      <c r="L73" s="643">
        <f>IFERROR(__xludf.DUMMYFUNCTION("value(VLOOKUP(TRIM(E73), ARRAYFORMULA(TRIM(IMPORTRANGE(""1J6TM1lO8a31d96YF89fby9ySWcPcCBlFT37fwLDeDG0"", ""PKR-October 2025!C:Z""))), 6, FALSE))"),31.0)</f>
        <v>31</v>
      </c>
      <c r="M73" s="350">
        <v>45931.0</v>
      </c>
      <c r="N73" s="350">
        <v>45961.0</v>
      </c>
      <c r="O73" s="290">
        <f t="shared" si="1"/>
        <v>370</v>
      </c>
      <c r="P73" s="290">
        <f t="shared" si="2"/>
        <v>370</v>
      </c>
      <c r="Q73" s="290">
        <f t="shared" si="3"/>
        <v>1850</v>
      </c>
      <c r="R73" s="290">
        <f t="shared" si="4"/>
        <v>2220</v>
      </c>
    </row>
    <row r="74">
      <c r="A74" s="410" t="s">
        <v>16</v>
      </c>
      <c r="B74" s="411">
        <v>4320.0</v>
      </c>
      <c r="C74" s="443"/>
      <c r="D74" s="285">
        <v>0.0</v>
      </c>
      <c r="E74" s="600" t="s">
        <v>898</v>
      </c>
      <c r="F74" s="575" t="s">
        <v>899</v>
      </c>
      <c r="G74" s="575" t="s">
        <v>900</v>
      </c>
      <c r="I74" s="509">
        <v>37642.0</v>
      </c>
      <c r="J74" s="550">
        <v>45842.0</v>
      </c>
      <c r="K74" s="350" t="str">
        <f>IFERROR(__xludf.DUMMYFUNCTION("VLOOKUP(TRIM(E74), ARRAYFORMULA(TRIM(IMPORTRANGE(""1J6TM1lO8a31d96YF89fby9ySWcPcCBlFT37fwLDeDG0"", ""PKR-October 2025!C:Z""))), 5, FALSE)"),"")</f>
        <v/>
      </c>
      <c r="L74" s="643">
        <f>IFERROR(__xludf.DUMMYFUNCTION("value(VLOOKUP(TRIM(E74), ARRAYFORMULA(TRIM(IMPORTRANGE(""1J6TM1lO8a31d96YF89fby9ySWcPcCBlFT37fwLDeDG0"", ""PKR-October 2025!C:Z""))), 6, FALSE))"),31.0)</f>
        <v>31</v>
      </c>
      <c r="M74" s="350">
        <v>45931.0</v>
      </c>
      <c r="N74" s="350">
        <v>45961.0</v>
      </c>
      <c r="O74" s="290">
        <f t="shared" si="1"/>
        <v>370</v>
      </c>
      <c r="P74" s="290">
        <f t="shared" si="2"/>
        <v>370</v>
      </c>
      <c r="Q74" s="290">
        <f t="shared" si="3"/>
        <v>1850</v>
      </c>
      <c r="R74" s="290">
        <f t="shared" si="4"/>
        <v>2220</v>
      </c>
    </row>
    <row r="75">
      <c r="A75" s="410" t="s">
        <v>16</v>
      </c>
      <c r="B75" s="411">
        <v>4320.0</v>
      </c>
      <c r="C75" s="443"/>
      <c r="D75" s="285">
        <v>0.0</v>
      </c>
      <c r="E75" s="602" t="s">
        <v>901</v>
      </c>
      <c r="F75" s="581" t="s">
        <v>902</v>
      </c>
      <c r="G75" s="581" t="s">
        <v>903</v>
      </c>
      <c r="I75" s="551">
        <v>34878.0</v>
      </c>
      <c r="J75" s="552">
        <v>45845.0</v>
      </c>
      <c r="K75" s="350" t="str">
        <f>IFERROR(__xludf.DUMMYFUNCTION("VLOOKUP(TRIM(E75), ARRAYFORMULA(TRIM(IMPORTRANGE(""1J6TM1lO8a31d96YF89fby9ySWcPcCBlFT37fwLDeDG0"", ""PKR-October 2025!C:Z""))), 5, FALSE)"),"")</f>
        <v/>
      </c>
      <c r="L75" s="643">
        <f>IFERROR(__xludf.DUMMYFUNCTION("value(VLOOKUP(TRIM(E75), ARRAYFORMULA(TRIM(IMPORTRANGE(""1J6TM1lO8a31d96YF89fby9ySWcPcCBlFT37fwLDeDG0"", ""PKR-October 2025!C:Z""))), 6, FALSE))"),31.0)</f>
        <v>31</v>
      </c>
      <c r="M75" s="350">
        <v>45931.0</v>
      </c>
      <c r="N75" s="350">
        <v>45961.0</v>
      </c>
      <c r="O75" s="290">
        <f t="shared" si="1"/>
        <v>370</v>
      </c>
      <c r="P75" s="290">
        <f t="shared" si="2"/>
        <v>370</v>
      </c>
      <c r="Q75" s="290">
        <f t="shared" si="3"/>
        <v>1850</v>
      </c>
      <c r="R75" s="290">
        <f t="shared" si="4"/>
        <v>2220</v>
      </c>
    </row>
    <row r="76">
      <c r="A76" s="410" t="s">
        <v>16</v>
      </c>
      <c r="B76" s="411">
        <v>4320.0</v>
      </c>
      <c r="C76" s="443"/>
      <c r="D76" s="285">
        <v>0.0</v>
      </c>
      <c r="E76" s="600" t="s">
        <v>904</v>
      </c>
      <c r="F76" s="575" t="s">
        <v>905</v>
      </c>
      <c r="G76" s="575" t="s">
        <v>906</v>
      </c>
      <c r="I76" s="553">
        <f>VLOOKUP(E76,'To be uploaded July 2025'!E:K,5,false)</f>
        <v>37326</v>
      </c>
      <c r="J76" s="554">
        <f>VLOOKUP(E76,'To be uploaded July 2025'!E:K,6,false)</f>
        <v>45845</v>
      </c>
      <c r="K76" s="350" t="str">
        <f>IFERROR(__xludf.DUMMYFUNCTION("VLOOKUP(TRIM(E76), ARRAYFORMULA(TRIM(IMPORTRANGE(""1J6TM1lO8a31d96YF89fby9ySWcPcCBlFT37fwLDeDG0"", ""PKR-October 2025!C:Z""))), 5, FALSE)"),"")</f>
        <v/>
      </c>
      <c r="L76" s="643">
        <f>IFERROR(__xludf.DUMMYFUNCTION("value(VLOOKUP(TRIM(E76), ARRAYFORMULA(TRIM(IMPORTRANGE(""1J6TM1lO8a31d96YF89fby9ySWcPcCBlFT37fwLDeDG0"", ""PKR-October 2025!C:Z""))), 6, FALSE))"),31.0)</f>
        <v>31</v>
      </c>
      <c r="M76" s="350">
        <v>45931.0</v>
      </c>
      <c r="N76" s="350">
        <v>45961.0</v>
      </c>
      <c r="O76" s="290">
        <f t="shared" si="1"/>
        <v>370</v>
      </c>
      <c r="P76" s="290">
        <f t="shared" si="2"/>
        <v>370</v>
      </c>
      <c r="Q76" s="290">
        <f t="shared" si="3"/>
        <v>1850</v>
      </c>
      <c r="R76" s="290">
        <f t="shared" si="4"/>
        <v>2220</v>
      </c>
    </row>
    <row r="77">
      <c r="A77" s="410" t="s">
        <v>16</v>
      </c>
      <c r="B77" s="411">
        <v>4320.0</v>
      </c>
      <c r="C77" s="443"/>
      <c r="D77" s="285">
        <v>0.0</v>
      </c>
      <c r="E77" s="602" t="s">
        <v>907</v>
      </c>
      <c r="F77" s="581" t="s">
        <v>908</v>
      </c>
      <c r="G77" s="581" t="s">
        <v>909</v>
      </c>
      <c r="I77" s="553">
        <f>VLOOKUP(E77,'To be uploaded July 2025'!E:K,5,false)</f>
        <v>37465</v>
      </c>
      <c r="J77" s="554">
        <f>VLOOKUP(E77,'To be uploaded July 2025'!E:K,6,false)</f>
        <v>45845</v>
      </c>
      <c r="K77" s="350" t="str">
        <f>IFERROR(__xludf.DUMMYFUNCTION("VLOOKUP(TRIM(E77), ARRAYFORMULA(TRIM(IMPORTRANGE(""1J6TM1lO8a31d96YF89fby9ySWcPcCBlFT37fwLDeDG0"", ""PKR-October 2025!C:Z""))), 5, FALSE)"),"")</f>
        <v/>
      </c>
      <c r="L77" s="643">
        <f>IFERROR(__xludf.DUMMYFUNCTION("value(VLOOKUP(TRIM(E77), ARRAYFORMULA(TRIM(IMPORTRANGE(""1J6TM1lO8a31d96YF89fby9ySWcPcCBlFT37fwLDeDG0"", ""PKR-October 2025!C:Z""))), 6, FALSE))"),31.0)</f>
        <v>31</v>
      </c>
      <c r="M77" s="350">
        <v>45931.0</v>
      </c>
      <c r="N77" s="350">
        <v>45961.0</v>
      </c>
      <c r="O77" s="290">
        <f t="shared" si="1"/>
        <v>370</v>
      </c>
      <c r="P77" s="290">
        <f t="shared" si="2"/>
        <v>370</v>
      </c>
      <c r="Q77" s="290">
        <f t="shared" si="3"/>
        <v>1850</v>
      </c>
      <c r="R77" s="290">
        <f t="shared" si="4"/>
        <v>2220</v>
      </c>
    </row>
    <row r="78">
      <c r="A78" s="410" t="s">
        <v>16</v>
      </c>
      <c r="B78" s="411">
        <v>4320.0</v>
      </c>
      <c r="C78" s="443"/>
      <c r="D78" s="285">
        <v>0.0</v>
      </c>
      <c r="E78" s="600" t="s">
        <v>910</v>
      </c>
      <c r="F78" s="575" t="s">
        <v>911</v>
      </c>
      <c r="G78" s="575" t="s">
        <v>912</v>
      </c>
      <c r="I78" s="553">
        <f>VLOOKUP(E78,'To be uploaded July 2025'!E:K,5,false)</f>
        <v>35010</v>
      </c>
      <c r="J78" s="554">
        <f>VLOOKUP(E78,'To be uploaded July 2025'!E:K,6,false)</f>
        <v>45860</v>
      </c>
      <c r="K78" s="350" t="str">
        <f>IFERROR(__xludf.DUMMYFUNCTION("VLOOKUP(TRIM(E78), ARRAYFORMULA(TRIM(IMPORTRANGE(""1J6TM1lO8a31d96YF89fby9ySWcPcCBlFT37fwLDeDG0"", ""PKR-October 2025!C:Z""))), 5, FALSE)"),"")</f>
        <v/>
      </c>
      <c r="L78" s="643">
        <f>IFERROR(__xludf.DUMMYFUNCTION("value(VLOOKUP(TRIM(E78), ARRAYFORMULA(TRIM(IMPORTRANGE(""1J6TM1lO8a31d96YF89fby9ySWcPcCBlFT37fwLDeDG0"", ""PKR-October 2025!C:Z""))), 6, FALSE))"),31.0)</f>
        <v>31</v>
      </c>
      <c r="M78" s="350">
        <v>45931.0</v>
      </c>
      <c r="N78" s="350">
        <v>45961.0</v>
      </c>
      <c r="O78" s="290">
        <f t="shared" si="1"/>
        <v>370</v>
      </c>
      <c r="P78" s="290">
        <f t="shared" si="2"/>
        <v>370</v>
      </c>
      <c r="Q78" s="290">
        <f t="shared" si="3"/>
        <v>1850</v>
      </c>
      <c r="R78" s="290">
        <f t="shared" si="4"/>
        <v>2220</v>
      </c>
    </row>
    <row r="79">
      <c r="A79" s="656" t="s">
        <v>16</v>
      </c>
      <c r="B79" s="657">
        <v>4320.0</v>
      </c>
      <c r="C79" s="443"/>
      <c r="D79" s="285">
        <v>0.0</v>
      </c>
      <c r="E79" s="602" t="s">
        <v>935</v>
      </c>
      <c r="F79" s="581" t="s">
        <v>936</v>
      </c>
      <c r="G79" s="581" t="s">
        <v>937</v>
      </c>
      <c r="I79" s="508">
        <v>36636.0</v>
      </c>
      <c r="J79" s="520">
        <v>45901.0</v>
      </c>
      <c r="K79" s="350" t="str">
        <f>IFERROR(__xludf.DUMMYFUNCTION("VLOOKUP(TRIM(E79), ARRAYFORMULA(TRIM(IMPORTRANGE(""1J6TM1lO8a31d96YF89fby9ySWcPcCBlFT37fwLDeDG0"", ""PKR-October 2025!C:Z""))), 5, FALSE)"),"")</f>
        <v/>
      </c>
      <c r="L79" s="643">
        <f>IFERROR(__xludf.DUMMYFUNCTION("value(VLOOKUP(TRIM(E79), ARRAYFORMULA(TRIM(IMPORTRANGE(""1J6TM1lO8a31d96YF89fby9ySWcPcCBlFT37fwLDeDG0"", ""PKR-October 2025!C:Z""))), 6, FALSE))"),31.0)</f>
        <v>31</v>
      </c>
      <c r="M79" s="350">
        <v>45931.0</v>
      </c>
      <c r="N79" s="350">
        <v>45961.0</v>
      </c>
      <c r="O79" s="290">
        <f t="shared" si="1"/>
        <v>370</v>
      </c>
      <c r="P79" s="290">
        <f t="shared" si="2"/>
        <v>370</v>
      </c>
      <c r="Q79" s="290">
        <f t="shared" si="3"/>
        <v>1850</v>
      </c>
      <c r="R79" s="290">
        <f t="shared" si="4"/>
        <v>2220</v>
      </c>
    </row>
    <row r="80">
      <c r="A80" s="656" t="s">
        <v>16</v>
      </c>
      <c r="B80" s="657">
        <v>4320.0</v>
      </c>
      <c r="C80" s="443"/>
      <c r="D80" s="285">
        <v>0.0</v>
      </c>
      <c r="E80" s="600" t="s">
        <v>938</v>
      </c>
      <c r="F80" s="575" t="s">
        <v>939</v>
      </c>
      <c r="G80" s="575" t="s">
        <v>940</v>
      </c>
      <c r="I80" s="508">
        <v>37056.0</v>
      </c>
      <c r="J80" s="520">
        <v>45922.0</v>
      </c>
      <c r="K80" s="350" t="str">
        <f>IFERROR(__xludf.DUMMYFUNCTION("VLOOKUP(TRIM(E80), ARRAYFORMULA(TRIM(IMPORTRANGE(""1J6TM1lO8a31d96YF89fby9ySWcPcCBlFT37fwLDeDG0"", ""PKR-October 2025!C:Z""))), 5, FALSE)"),"")</f>
        <v/>
      </c>
      <c r="L80" s="643">
        <f>IFERROR(__xludf.DUMMYFUNCTION("value(VLOOKUP(TRIM(E80), ARRAYFORMULA(TRIM(IMPORTRANGE(""1J6TM1lO8a31d96YF89fby9ySWcPcCBlFT37fwLDeDG0"", ""PKR-October 2025!C:Z""))), 6, FALSE))"),31.0)</f>
        <v>31</v>
      </c>
      <c r="M80" s="350">
        <v>45931.0</v>
      </c>
      <c r="N80" s="350">
        <v>45961.0</v>
      </c>
      <c r="O80" s="290">
        <f t="shared" si="1"/>
        <v>370</v>
      </c>
      <c r="P80" s="290">
        <f t="shared" si="2"/>
        <v>370</v>
      </c>
      <c r="Q80" s="290">
        <f t="shared" si="3"/>
        <v>1850</v>
      </c>
      <c r="R80" s="290">
        <f t="shared" si="4"/>
        <v>2220</v>
      </c>
    </row>
    <row r="81">
      <c r="A81" s="656" t="s">
        <v>16</v>
      </c>
      <c r="B81" s="657">
        <v>4320.0</v>
      </c>
      <c r="C81" s="443"/>
      <c r="D81" s="285">
        <v>0.0</v>
      </c>
      <c r="E81" s="580" t="s">
        <v>941</v>
      </c>
      <c r="F81" s="581" t="s">
        <v>942</v>
      </c>
      <c r="G81" s="581" t="s">
        <v>943</v>
      </c>
      <c r="I81" s="508">
        <v>36549.0</v>
      </c>
      <c r="J81" s="520">
        <v>45922.0</v>
      </c>
      <c r="K81" s="350" t="str">
        <f>IFERROR(__xludf.DUMMYFUNCTION("VLOOKUP(TRIM(E81), ARRAYFORMULA(TRIM(IMPORTRANGE(""1J6TM1lO8a31d96YF89fby9ySWcPcCBlFT37fwLDeDG0"", ""PKR-October 2025!C:Z""))), 5, FALSE)"),"")</f>
        <v/>
      </c>
      <c r="L81" s="643">
        <f>IFERROR(__xludf.DUMMYFUNCTION("value(VLOOKUP(TRIM(E81), ARRAYFORMULA(TRIM(IMPORTRANGE(""1J6TM1lO8a31d96YF89fby9ySWcPcCBlFT37fwLDeDG0"", ""PKR-October 2025!C:Z""))), 6, FALSE))"),31.0)</f>
        <v>31</v>
      </c>
      <c r="M81" s="350">
        <v>45931.0</v>
      </c>
      <c r="N81" s="350">
        <v>45961.0</v>
      </c>
      <c r="O81" s="290">
        <f t="shared" si="1"/>
        <v>370</v>
      </c>
      <c r="P81" s="290">
        <f t="shared" si="2"/>
        <v>370</v>
      </c>
      <c r="Q81" s="290">
        <f t="shared" si="3"/>
        <v>1850</v>
      </c>
      <c r="R81" s="290">
        <f t="shared" si="4"/>
        <v>2220</v>
      </c>
    </row>
    <row r="82">
      <c r="A82" s="656" t="s">
        <v>16</v>
      </c>
      <c r="B82" s="657">
        <v>4320.0</v>
      </c>
      <c r="C82" s="443"/>
      <c r="D82" s="285">
        <v>0.0</v>
      </c>
      <c r="E82" s="600" t="s">
        <v>944</v>
      </c>
      <c r="F82" s="575" t="s">
        <v>945</v>
      </c>
      <c r="G82" s="575" t="s">
        <v>946</v>
      </c>
      <c r="I82" s="508">
        <v>35111.0</v>
      </c>
      <c r="J82" s="520">
        <v>45920.0</v>
      </c>
      <c r="K82" s="350" t="str">
        <f>IFERROR(__xludf.DUMMYFUNCTION("VLOOKUP(TRIM(E82), ARRAYFORMULA(TRIM(IMPORTRANGE(""1J6TM1lO8a31d96YF89fby9ySWcPcCBlFT37fwLDeDG0"", ""PKR-October 2025!C:Z""))), 5, FALSE)"),"")</f>
        <v/>
      </c>
      <c r="L82" s="643">
        <f>IFERROR(__xludf.DUMMYFUNCTION("value(VLOOKUP(TRIM(E82), ARRAYFORMULA(TRIM(IMPORTRANGE(""1J6TM1lO8a31d96YF89fby9ySWcPcCBlFT37fwLDeDG0"", ""PKR-October 2025!C:Z""))), 6, FALSE))"),31.0)</f>
        <v>31</v>
      </c>
      <c r="M82" s="350">
        <v>45931.0</v>
      </c>
      <c r="N82" s="350">
        <v>45961.0</v>
      </c>
      <c r="O82" s="290">
        <f t="shared" si="1"/>
        <v>370</v>
      </c>
      <c r="P82" s="290">
        <f t="shared" si="2"/>
        <v>370</v>
      </c>
      <c r="Q82" s="290">
        <f t="shared" si="3"/>
        <v>1850</v>
      </c>
      <c r="R82" s="290">
        <f t="shared" si="4"/>
        <v>2220</v>
      </c>
    </row>
    <row r="83">
      <c r="A83" s="656" t="s">
        <v>16</v>
      </c>
      <c r="B83" s="657">
        <v>4320.0</v>
      </c>
      <c r="C83" s="443"/>
      <c r="D83" s="285">
        <v>0.0</v>
      </c>
      <c r="E83" s="580" t="s">
        <v>954</v>
      </c>
      <c r="F83" s="581" t="s">
        <v>955</v>
      </c>
      <c r="G83" s="697" t="s">
        <v>956</v>
      </c>
      <c r="I83" s="698">
        <f>VLOOKUP(E83,Emp_Directory!B:AQ,24,false)</f>
        <v>36465</v>
      </c>
      <c r="J83" s="228" t="str">
        <f>IFERROR(__xludf.DUMMYFUNCTION("VLOOKUP(TRIM(E83), ARRAYFORMULA(TRIM(IMPORTRANGE(""1J6TM1lO8a31d96YF89fby9ySWcPcCBlFT37fwLDeDG0"", ""PKR-October 2025!C:Z""))), 4, FALSE)"),"29-September-25")</f>
        <v>29-September-25</v>
      </c>
      <c r="K83" s="350" t="str">
        <f>IFERROR(__xludf.DUMMYFUNCTION("VLOOKUP(TRIM(E83), ARRAYFORMULA(TRIM(IMPORTRANGE(""1J6TM1lO8a31d96YF89fby9ySWcPcCBlFT37fwLDeDG0"", ""PKR-October 2025!C:Z""))), 5, FALSE)"),"")</f>
        <v/>
      </c>
      <c r="L83" s="643">
        <f>IFERROR(__xludf.DUMMYFUNCTION("value(VLOOKUP(TRIM(E83), ARRAYFORMULA(TRIM(IMPORTRANGE(""1J6TM1lO8a31d96YF89fby9ySWcPcCBlFT37fwLDeDG0"", ""PKR-October 2025!C:Z""))), 6, FALSE))"),31.0)</f>
        <v>31</v>
      </c>
      <c r="M83" s="350">
        <v>45931.0</v>
      </c>
      <c r="N83" s="350">
        <v>45961.0</v>
      </c>
      <c r="O83" s="290">
        <f t="shared" si="1"/>
        <v>370</v>
      </c>
      <c r="P83" s="290">
        <f t="shared" si="2"/>
        <v>370</v>
      </c>
      <c r="Q83" s="290">
        <f t="shared" si="3"/>
        <v>1850</v>
      </c>
      <c r="R83" s="290">
        <f t="shared" si="4"/>
        <v>2220</v>
      </c>
    </row>
    <row r="84">
      <c r="A84" s="656" t="s">
        <v>16</v>
      </c>
      <c r="B84" s="657">
        <v>4320.0</v>
      </c>
      <c r="C84" s="443"/>
      <c r="D84" s="285">
        <v>0.0</v>
      </c>
      <c r="E84" s="574" t="s">
        <v>957</v>
      </c>
      <c r="F84" s="575" t="s">
        <v>958</v>
      </c>
      <c r="G84" s="699" t="s">
        <v>959</v>
      </c>
      <c r="I84" s="698">
        <f>VLOOKUP(E84,Emp_Directory!B:AQ,24,false)</f>
        <v>35952</v>
      </c>
      <c r="J84" s="228" t="str">
        <f>IFERROR(__xludf.DUMMYFUNCTION("VLOOKUP(TRIM(E84), ARRAYFORMULA(TRIM(IMPORTRANGE(""1J6TM1lO8a31d96YF89fby9ySWcPcCBlFT37fwLDeDG0"", ""PKR-October 2025!C:Z""))), 4, FALSE)"),"6-October-25")</f>
        <v>6-October-25</v>
      </c>
      <c r="K84" s="350" t="str">
        <f>IFERROR(__xludf.DUMMYFUNCTION("VLOOKUP(TRIM(E84), ARRAYFORMULA(TRIM(IMPORTRANGE(""1J6TM1lO8a31d96YF89fby9ySWcPcCBlFT37fwLDeDG0"", ""PKR-October 2025!C:Z""))), 5, FALSE)"),"")</f>
        <v/>
      </c>
      <c r="L84" s="643">
        <f>IFERROR(__xludf.DUMMYFUNCTION("value(VLOOKUP(TRIM(E84), ARRAYFORMULA(TRIM(IMPORTRANGE(""1J6TM1lO8a31d96YF89fby9ySWcPcCBlFT37fwLDeDG0"", ""PKR-October 2025!C:Z""))), 6, FALSE))"),26.0)</f>
        <v>26</v>
      </c>
      <c r="M84" s="350">
        <v>45931.0</v>
      </c>
      <c r="N84" s="350">
        <v>45961.0</v>
      </c>
      <c r="O84" s="290">
        <f t="shared" si="1"/>
        <v>311</v>
      </c>
      <c r="P84" s="290">
        <f t="shared" si="2"/>
        <v>310</v>
      </c>
      <c r="Q84" s="290">
        <f t="shared" si="3"/>
        <v>1550</v>
      </c>
      <c r="R84" s="290">
        <f t="shared" si="4"/>
        <v>1860</v>
      </c>
    </row>
    <row r="85">
      <c r="A85" s="490" t="s">
        <v>16</v>
      </c>
      <c r="B85" s="491">
        <v>4320.0</v>
      </c>
      <c r="C85" s="538"/>
      <c r="D85" s="424">
        <v>0.0</v>
      </c>
      <c r="E85" s="540" t="s">
        <v>960</v>
      </c>
      <c r="F85" s="607" t="s">
        <v>961</v>
      </c>
      <c r="G85" s="700" t="s">
        <v>962</v>
      </c>
      <c r="H85" s="48"/>
      <c r="I85" s="698">
        <f>VLOOKUP(E85,Emp_Directory!B:AQ,24,false)</f>
        <v>38372</v>
      </c>
      <c r="J85" s="228" t="str">
        <f>IFERROR(__xludf.DUMMYFUNCTION("VLOOKUP(TRIM(E85), ARRAYFORMULA(TRIM(IMPORTRANGE(""1J6TM1lO8a31d96YF89fby9ySWcPcCBlFT37fwLDeDG0"", ""PKR-October 2025!C:Z""))), 4, FALSE)"),"17-October-25")</f>
        <v>17-October-25</v>
      </c>
      <c r="K85" s="350" t="str">
        <f>IFERROR(__xludf.DUMMYFUNCTION("VLOOKUP(TRIM(E85), ARRAYFORMULA(TRIM(IMPORTRANGE(""1J6TM1lO8a31d96YF89fby9ySWcPcCBlFT37fwLDeDG0"", ""PKR-October 2025!C:Z""))), 5, FALSE)"),"23 October 2025")</f>
        <v>23 October 2025</v>
      </c>
      <c r="L85" s="644">
        <f>IFERROR(__xludf.DUMMYFUNCTION("value(VLOOKUP(TRIM(E85), ARRAYFORMULA(TRIM(IMPORTRANGE(""1J6TM1lO8a31d96YF89fby9ySWcPcCBlFT37fwLDeDG0"", ""PKR-October 2025!C:Z""))), 6, FALSE))"),7.0)</f>
        <v>7</v>
      </c>
      <c r="M85" s="350">
        <v>45931.0</v>
      </c>
      <c r="N85" s="350">
        <v>45961.0</v>
      </c>
      <c r="O85" s="290">
        <f t="shared" si="1"/>
        <v>84</v>
      </c>
      <c r="P85" s="290">
        <f t="shared" si="2"/>
        <v>84</v>
      </c>
      <c r="Q85" s="290">
        <f t="shared" si="3"/>
        <v>420</v>
      </c>
      <c r="R85" s="290">
        <f t="shared" si="4"/>
        <v>504</v>
      </c>
      <c r="S85" s="48"/>
      <c r="T85" s="48"/>
      <c r="U85" s="48"/>
      <c r="V85" s="48"/>
      <c r="W85" s="48"/>
      <c r="X85" s="48"/>
      <c r="Y85" s="48"/>
    </row>
    <row r="86">
      <c r="A86" s="656" t="s">
        <v>16</v>
      </c>
      <c r="B86" s="657">
        <v>4320.0</v>
      </c>
      <c r="C86" s="443"/>
      <c r="D86" s="285">
        <v>0.0</v>
      </c>
      <c r="E86" s="574" t="s">
        <v>963</v>
      </c>
      <c r="F86" s="575" t="s">
        <v>964</v>
      </c>
      <c r="G86" s="699" t="s">
        <v>965</v>
      </c>
      <c r="I86" s="698">
        <f>VLOOKUP(E86,Emp_Directory!B:AQ,24,false)</f>
        <v>37897</v>
      </c>
      <c r="J86" s="228" t="str">
        <f>IFERROR(__xludf.DUMMYFUNCTION("VLOOKUP(TRIM(E86), ARRAYFORMULA(TRIM(IMPORTRANGE(""1J6TM1lO8a31d96YF89fby9ySWcPcCBlFT37fwLDeDG0"", ""PKR-October 2025!C:Z""))), 4, FALSE)"),"20-October-25")</f>
        <v>20-October-25</v>
      </c>
      <c r="K86" s="350" t="str">
        <f>IFERROR(__xludf.DUMMYFUNCTION("VLOOKUP(TRIM(E86), ARRAYFORMULA(TRIM(IMPORTRANGE(""1J6TM1lO8a31d96YF89fby9ySWcPcCBlFT37fwLDeDG0"", ""PKR-October 2025!C:Z""))), 5, FALSE)"),"")</f>
        <v/>
      </c>
      <c r="L86" s="643">
        <f>IFERROR(__xludf.DUMMYFUNCTION("value(VLOOKUP(TRIM(E86), ARRAYFORMULA(TRIM(IMPORTRANGE(""1J6TM1lO8a31d96YF89fby9ySWcPcCBlFT37fwLDeDG0"", ""PKR-October 2025!C:Z""))), 6, FALSE))"),12.0)</f>
        <v>12</v>
      </c>
      <c r="M86" s="350">
        <v>45931.0</v>
      </c>
      <c r="N86" s="350">
        <v>45961.0</v>
      </c>
      <c r="O86" s="290">
        <f t="shared" si="1"/>
        <v>144</v>
      </c>
      <c r="P86" s="290">
        <f t="shared" si="2"/>
        <v>143</v>
      </c>
      <c r="Q86" s="290">
        <f t="shared" si="3"/>
        <v>715</v>
      </c>
      <c r="R86" s="290">
        <f t="shared" si="4"/>
        <v>858</v>
      </c>
    </row>
    <row r="87">
      <c r="A87" s="656" t="s">
        <v>16</v>
      </c>
      <c r="B87" s="657">
        <v>4320.0</v>
      </c>
      <c r="C87" s="443"/>
      <c r="D87" s="285">
        <v>0.0</v>
      </c>
      <c r="E87" s="580" t="s">
        <v>966</v>
      </c>
      <c r="F87" s="581" t="s">
        <v>967</v>
      </c>
      <c r="G87" s="697" t="s">
        <v>968</v>
      </c>
      <c r="I87" s="698">
        <f>VLOOKUP(E87,Emp_Directory!B:AQ,24,false)</f>
        <v>34810</v>
      </c>
      <c r="J87" s="228" t="str">
        <f>IFERROR(__xludf.DUMMYFUNCTION("VLOOKUP(TRIM(E87), ARRAYFORMULA(TRIM(IMPORTRANGE(""1J6TM1lO8a31d96YF89fby9ySWcPcCBlFT37fwLDeDG0"", ""PKR-October 2025!C:Z""))), 4, FALSE)"),"22-October-25")</f>
        <v>22-October-25</v>
      </c>
      <c r="K87" s="350" t="str">
        <f>IFERROR(__xludf.DUMMYFUNCTION("VLOOKUP(TRIM(E87), ARRAYFORMULA(TRIM(IMPORTRANGE(""1J6TM1lO8a31d96YF89fby9ySWcPcCBlFT37fwLDeDG0"", ""PKR-October 2025!C:Z""))), 5, FALSE)"),"")</f>
        <v/>
      </c>
      <c r="L87" s="643">
        <f>IFERROR(__xludf.DUMMYFUNCTION("value(VLOOKUP(TRIM(E87), ARRAYFORMULA(TRIM(IMPORTRANGE(""1J6TM1lO8a31d96YF89fby9ySWcPcCBlFT37fwLDeDG0"", ""PKR-October 2025!C:Z""))), 6, FALSE))"),10.0)</f>
        <v>10</v>
      </c>
      <c r="M87" s="350">
        <v>45931.0</v>
      </c>
      <c r="N87" s="350">
        <v>45961.0</v>
      </c>
      <c r="O87" s="290">
        <f t="shared" si="1"/>
        <v>120</v>
      </c>
      <c r="P87" s="290">
        <f t="shared" si="2"/>
        <v>119</v>
      </c>
      <c r="Q87" s="290">
        <f t="shared" si="3"/>
        <v>595</v>
      </c>
      <c r="R87" s="290">
        <f t="shared" si="4"/>
        <v>714</v>
      </c>
    </row>
    <row r="88">
      <c r="D88" s="310"/>
      <c r="E88" s="311"/>
      <c r="L88" s="658"/>
    </row>
    <row r="89">
      <c r="D89" s="310"/>
      <c r="E89" s="311"/>
      <c r="L89" s="658"/>
      <c r="O89" s="228">
        <f t="shared" ref="O89:R89" si="5">SUM(O2:O87)</f>
        <v>30322</v>
      </c>
      <c r="P89" s="228">
        <f t="shared" si="5"/>
        <v>30315</v>
      </c>
      <c r="Q89" s="228">
        <f t="shared" si="5"/>
        <v>151575</v>
      </c>
      <c r="R89" s="228">
        <f t="shared" si="5"/>
        <v>181890</v>
      </c>
    </row>
    <row r="90">
      <c r="D90" s="310"/>
      <c r="E90" s="311"/>
      <c r="L90" s="658"/>
    </row>
    <row r="91">
      <c r="D91" s="310"/>
      <c r="E91" s="311"/>
      <c r="L91" s="658"/>
    </row>
    <row r="92">
      <c r="D92" s="310"/>
      <c r="E92" s="311"/>
      <c r="L92" s="658"/>
      <c r="O92" s="228">
        <f>ROUND((370/31)*L87,0)</f>
        <v>119</v>
      </c>
    </row>
    <row r="93">
      <c r="D93" s="310"/>
      <c r="E93" s="311"/>
      <c r="L93" s="658"/>
    </row>
    <row r="94">
      <c r="D94" s="310"/>
      <c r="E94" s="311"/>
      <c r="L94" s="658"/>
    </row>
    <row r="95">
      <c r="D95" s="310"/>
      <c r="E95" s="311"/>
      <c r="L95" s="658"/>
    </row>
    <row r="96">
      <c r="D96" s="310"/>
      <c r="E96" s="311"/>
      <c r="L96" s="658"/>
    </row>
    <row r="97">
      <c r="D97" s="310"/>
      <c r="E97" s="311"/>
      <c r="L97" s="658"/>
    </row>
    <row r="98">
      <c r="D98" s="310"/>
      <c r="E98" s="311"/>
      <c r="L98" s="658"/>
    </row>
    <row r="99">
      <c r="D99" s="310"/>
      <c r="E99" s="311"/>
      <c r="L99" s="658"/>
    </row>
    <row r="100">
      <c r="D100" s="310"/>
      <c r="E100" s="311"/>
      <c r="L100" s="658"/>
    </row>
    <row r="101">
      <c r="D101" s="310"/>
      <c r="E101" s="311"/>
      <c r="L101" s="658"/>
    </row>
    <row r="102">
      <c r="D102" s="310"/>
      <c r="E102" s="311"/>
      <c r="L102" s="658"/>
    </row>
    <row r="103">
      <c r="D103" s="310"/>
      <c r="E103" s="311"/>
      <c r="L103" s="658"/>
    </row>
    <row r="104">
      <c r="D104" s="310"/>
      <c r="E104" s="311"/>
      <c r="L104" s="658"/>
    </row>
    <row r="105">
      <c r="D105" s="310"/>
      <c r="E105" s="311"/>
      <c r="L105" s="658"/>
    </row>
    <row r="106">
      <c r="D106" s="310"/>
      <c r="E106" s="311"/>
      <c r="L106" s="658"/>
    </row>
    <row r="107">
      <c r="D107" s="310"/>
      <c r="E107" s="311"/>
      <c r="L107" s="658"/>
    </row>
    <row r="108">
      <c r="D108" s="310"/>
      <c r="E108" s="311"/>
      <c r="L108" s="658"/>
    </row>
    <row r="109">
      <c r="D109" s="310"/>
      <c r="E109" s="311"/>
      <c r="L109" s="658"/>
    </row>
    <row r="110">
      <c r="D110" s="310"/>
      <c r="E110" s="311"/>
      <c r="L110" s="658"/>
    </row>
    <row r="111">
      <c r="D111" s="310"/>
      <c r="E111" s="311"/>
      <c r="L111" s="658"/>
    </row>
    <row r="112">
      <c r="D112" s="310"/>
      <c r="E112" s="311"/>
      <c r="L112" s="658"/>
    </row>
    <row r="113">
      <c r="D113" s="310"/>
      <c r="E113" s="311"/>
      <c r="L113" s="658"/>
    </row>
    <row r="114">
      <c r="D114" s="310"/>
      <c r="E114" s="311"/>
      <c r="L114" s="658"/>
    </row>
    <row r="115">
      <c r="D115" s="310"/>
      <c r="E115" s="311"/>
      <c r="L115" s="658"/>
    </row>
    <row r="116">
      <c r="D116" s="310"/>
      <c r="E116" s="311"/>
      <c r="L116" s="658"/>
    </row>
    <row r="117">
      <c r="D117" s="310"/>
      <c r="E117" s="311"/>
      <c r="L117" s="658"/>
    </row>
    <row r="118">
      <c r="D118" s="310"/>
      <c r="E118" s="311"/>
      <c r="L118" s="658"/>
    </row>
    <row r="119">
      <c r="D119" s="310"/>
      <c r="E119" s="311"/>
      <c r="L119" s="658"/>
    </row>
    <row r="120">
      <c r="D120" s="310"/>
      <c r="E120" s="311"/>
      <c r="L120" s="658"/>
    </row>
    <row r="121">
      <c r="D121" s="310"/>
      <c r="E121" s="311"/>
      <c r="L121" s="658"/>
    </row>
    <row r="122">
      <c r="D122" s="310"/>
      <c r="E122" s="311"/>
      <c r="L122" s="658"/>
    </row>
    <row r="123">
      <c r="D123" s="310"/>
      <c r="E123" s="311"/>
      <c r="L123" s="658"/>
    </row>
    <row r="124">
      <c r="D124" s="310"/>
      <c r="E124" s="311"/>
      <c r="L124" s="658"/>
    </row>
    <row r="125">
      <c r="D125" s="310"/>
      <c r="E125" s="311"/>
      <c r="L125" s="658"/>
    </row>
    <row r="126">
      <c r="D126" s="310"/>
      <c r="E126" s="311"/>
      <c r="L126" s="658"/>
    </row>
    <row r="127">
      <c r="D127" s="310"/>
      <c r="E127" s="311"/>
      <c r="L127" s="658"/>
    </row>
    <row r="128">
      <c r="D128" s="310"/>
      <c r="E128" s="311"/>
      <c r="L128" s="658"/>
    </row>
    <row r="129">
      <c r="D129" s="310"/>
      <c r="E129" s="311"/>
      <c r="L129" s="658"/>
    </row>
    <row r="130">
      <c r="D130" s="310"/>
      <c r="E130" s="311"/>
      <c r="L130" s="658"/>
    </row>
    <row r="131">
      <c r="D131" s="310"/>
      <c r="E131" s="311"/>
      <c r="L131" s="658"/>
    </row>
    <row r="132">
      <c r="D132" s="310"/>
      <c r="E132" s="311"/>
      <c r="L132" s="658"/>
    </row>
    <row r="133">
      <c r="D133" s="310"/>
      <c r="E133" s="311"/>
      <c r="L133" s="658"/>
    </row>
    <row r="134">
      <c r="D134" s="310"/>
      <c r="E134" s="311"/>
      <c r="L134" s="658"/>
    </row>
    <row r="135">
      <c r="D135" s="310"/>
      <c r="E135" s="311"/>
      <c r="L135" s="658"/>
    </row>
    <row r="136">
      <c r="D136" s="310"/>
      <c r="E136" s="311"/>
      <c r="L136" s="658"/>
    </row>
    <row r="137">
      <c r="D137" s="310"/>
      <c r="E137" s="311"/>
      <c r="L137" s="658"/>
    </row>
    <row r="138">
      <c r="D138" s="310"/>
      <c r="E138" s="311"/>
      <c r="L138" s="658"/>
    </row>
    <row r="139">
      <c r="D139" s="310"/>
      <c r="E139" s="311"/>
      <c r="L139" s="658"/>
    </row>
    <row r="140">
      <c r="D140" s="310"/>
      <c r="E140" s="311"/>
      <c r="L140" s="658"/>
    </row>
    <row r="141">
      <c r="D141" s="310"/>
      <c r="E141" s="311"/>
      <c r="L141" s="658"/>
    </row>
    <row r="142">
      <c r="D142" s="310"/>
      <c r="E142" s="311"/>
      <c r="L142" s="658"/>
    </row>
    <row r="143">
      <c r="D143" s="310"/>
      <c r="E143" s="311"/>
      <c r="L143" s="658"/>
    </row>
    <row r="144">
      <c r="D144" s="310"/>
      <c r="E144" s="311"/>
      <c r="L144" s="658"/>
    </row>
    <row r="145">
      <c r="D145" s="310"/>
      <c r="E145" s="311"/>
      <c r="L145" s="658"/>
    </row>
    <row r="146">
      <c r="D146" s="310"/>
      <c r="E146" s="311"/>
      <c r="L146" s="658"/>
    </row>
    <row r="147">
      <c r="D147" s="310"/>
      <c r="E147" s="311"/>
      <c r="L147" s="658"/>
    </row>
    <row r="148">
      <c r="D148" s="310"/>
      <c r="E148" s="311"/>
      <c r="L148" s="658"/>
    </row>
    <row r="149">
      <c r="D149" s="310"/>
      <c r="E149" s="311"/>
      <c r="L149" s="658"/>
    </row>
    <row r="150">
      <c r="D150" s="310"/>
      <c r="E150" s="311"/>
      <c r="L150" s="658"/>
    </row>
    <row r="151">
      <c r="D151" s="310"/>
      <c r="E151" s="311"/>
      <c r="L151" s="658"/>
    </row>
    <row r="152">
      <c r="D152" s="310"/>
      <c r="E152" s="311"/>
      <c r="L152" s="658"/>
    </row>
    <row r="153">
      <c r="D153" s="310"/>
      <c r="E153" s="311"/>
      <c r="L153" s="658"/>
    </row>
    <row r="154">
      <c r="D154" s="310"/>
      <c r="E154" s="311"/>
      <c r="L154" s="658"/>
    </row>
    <row r="155">
      <c r="D155" s="310"/>
      <c r="E155" s="311"/>
      <c r="L155" s="658"/>
    </row>
    <row r="156">
      <c r="D156" s="310"/>
      <c r="E156" s="311"/>
      <c r="L156" s="658"/>
    </row>
    <row r="157">
      <c r="D157" s="310"/>
      <c r="E157" s="311"/>
      <c r="L157" s="658"/>
    </row>
    <row r="158">
      <c r="D158" s="310"/>
      <c r="E158" s="311"/>
      <c r="L158" s="658"/>
    </row>
    <row r="159">
      <c r="D159" s="310"/>
      <c r="E159" s="311"/>
      <c r="L159" s="658"/>
    </row>
    <row r="160">
      <c r="D160" s="310"/>
      <c r="E160" s="311"/>
      <c r="L160" s="658"/>
    </row>
    <row r="161">
      <c r="D161" s="310"/>
      <c r="E161" s="311"/>
      <c r="L161" s="658"/>
    </row>
    <row r="162">
      <c r="D162" s="310"/>
      <c r="E162" s="311"/>
      <c r="L162" s="658"/>
    </row>
    <row r="163">
      <c r="D163" s="310"/>
      <c r="E163" s="311"/>
      <c r="L163" s="658"/>
    </row>
    <row r="164">
      <c r="D164" s="310"/>
      <c r="E164" s="311"/>
      <c r="L164" s="658"/>
    </row>
    <row r="165">
      <c r="D165" s="310"/>
      <c r="E165" s="311"/>
      <c r="L165" s="658"/>
    </row>
    <row r="166">
      <c r="D166" s="310"/>
      <c r="E166" s="311"/>
      <c r="L166" s="658"/>
    </row>
    <row r="167">
      <c r="D167" s="310"/>
      <c r="E167" s="311"/>
      <c r="L167" s="658"/>
    </row>
    <row r="168">
      <c r="D168" s="310"/>
      <c r="E168" s="311"/>
      <c r="L168" s="658"/>
    </row>
    <row r="169">
      <c r="D169" s="310"/>
      <c r="E169" s="311"/>
      <c r="L169" s="658"/>
    </row>
    <row r="170">
      <c r="D170" s="310"/>
      <c r="E170" s="311"/>
      <c r="L170" s="658"/>
    </row>
    <row r="171">
      <c r="D171" s="310"/>
      <c r="E171" s="311"/>
      <c r="L171" s="658"/>
    </row>
    <row r="172">
      <c r="D172" s="310"/>
      <c r="E172" s="311"/>
      <c r="L172" s="658"/>
    </row>
    <row r="173">
      <c r="D173" s="310"/>
      <c r="E173" s="311"/>
      <c r="L173" s="658"/>
    </row>
    <row r="174">
      <c r="D174" s="310"/>
      <c r="E174" s="311"/>
      <c r="L174" s="658"/>
    </row>
    <row r="175">
      <c r="D175" s="310"/>
      <c r="E175" s="311"/>
      <c r="L175" s="658"/>
    </row>
    <row r="176">
      <c r="D176" s="310"/>
      <c r="E176" s="311"/>
      <c r="L176" s="658"/>
    </row>
    <row r="177">
      <c r="D177" s="310"/>
      <c r="E177" s="311"/>
      <c r="L177" s="658"/>
    </row>
    <row r="178">
      <c r="D178" s="310"/>
      <c r="E178" s="311"/>
      <c r="L178" s="658"/>
    </row>
    <row r="179">
      <c r="D179" s="310"/>
      <c r="E179" s="311"/>
      <c r="L179" s="658"/>
    </row>
    <row r="180">
      <c r="D180" s="310"/>
      <c r="E180" s="311"/>
      <c r="L180" s="658"/>
    </row>
    <row r="181">
      <c r="D181" s="310"/>
      <c r="E181" s="311"/>
      <c r="L181" s="658"/>
    </row>
    <row r="182">
      <c r="D182" s="310"/>
      <c r="E182" s="311"/>
      <c r="L182" s="658"/>
    </row>
    <row r="183">
      <c r="D183" s="310"/>
      <c r="E183" s="311"/>
      <c r="L183" s="658"/>
    </row>
    <row r="184">
      <c r="D184" s="310"/>
      <c r="E184" s="311"/>
      <c r="L184" s="658"/>
    </row>
    <row r="185">
      <c r="D185" s="310"/>
      <c r="E185" s="311"/>
      <c r="L185" s="658"/>
    </row>
    <row r="186">
      <c r="D186" s="310"/>
      <c r="E186" s="311"/>
      <c r="L186" s="658"/>
    </row>
    <row r="187">
      <c r="D187" s="310"/>
      <c r="E187" s="311"/>
      <c r="L187" s="658"/>
    </row>
    <row r="188">
      <c r="D188" s="310"/>
      <c r="E188" s="311"/>
      <c r="L188" s="658"/>
    </row>
    <row r="189">
      <c r="D189" s="310"/>
      <c r="E189" s="311"/>
      <c r="L189" s="658"/>
    </row>
    <row r="190">
      <c r="D190" s="310"/>
      <c r="E190" s="311"/>
      <c r="L190" s="658"/>
    </row>
    <row r="191">
      <c r="D191" s="310"/>
      <c r="E191" s="311"/>
      <c r="L191" s="658"/>
    </row>
    <row r="192">
      <c r="D192" s="310"/>
      <c r="E192" s="311"/>
      <c r="L192" s="658"/>
    </row>
    <row r="193">
      <c r="D193" s="310"/>
      <c r="E193" s="311"/>
      <c r="L193" s="658"/>
    </row>
    <row r="194">
      <c r="D194" s="310"/>
      <c r="E194" s="311"/>
      <c r="L194" s="658"/>
    </row>
    <row r="195">
      <c r="D195" s="310"/>
      <c r="E195" s="311"/>
      <c r="L195" s="658"/>
    </row>
    <row r="196">
      <c r="D196" s="310"/>
      <c r="E196" s="311"/>
      <c r="L196" s="658"/>
    </row>
    <row r="197">
      <c r="D197" s="310"/>
      <c r="E197" s="311"/>
      <c r="L197" s="658"/>
    </row>
    <row r="198">
      <c r="D198" s="310"/>
      <c r="E198" s="311"/>
      <c r="L198" s="658"/>
    </row>
    <row r="199">
      <c r="D199" s="310"/>
      <c r="E199" s="311"/>
      <c r="L199" s="658"/>
    </row>
    <row r="200">
      <c r="D200" s="310"/>
      <c r="E200" s="311"/>
      <c r="L200" s="658"/>
    </row>
    <row r="201">
      <c r="D201" s="310"/>
      <c r="E201" s="311"/>
      <c r="L201" s="658"/>
    </row>
    <row r="202">
      <c r="D202" s="310"/>
      <c r="E202" s="311"/>
      <c r="L202" s="658"/>
    </row>
    <row r="203">
      <c r="D203" s="310"/>
      <c r="E203" s="311"/>
      <c r="L203" s="658"/>
    </row>
    <row r="204">
      <c r="D204" s="310"/>
      <c r="E204" s="311"/>
      <c r="L204" s="658"/>
    </row>
    <row r="205">
      <c r="D205" s="310"/>
      <c r="E205" s="311"/>
      <c r="L205" s="658"/>
    </row>
    <row r="206">
      <c r="D206" s="310"/>
      <c r="E206" s="311"/>
      <c r="L206" s="658"/>
    </row>
    <row r="207">
      <c r="D207" s="310"/>
      <c r="E207" s="311"/>
      <c r="L207" s="658"/>
    </row>
    <row r="208">
      <c r="D208" s="310"/>
      <c r="E208" s="311"/>
      <c r="L208" s="658"/>
    </row>
    <row r="209">
      <c r="D209" s="310"/>
      <c r="E209" s="311"/>
      <c r="L209" s="658"/>
    </row>
    <row r="210">
      <c r="D210" s="310"/>
      <c r="E210" s="311"/>
      <c r="L210" s="658"/>
    </row>
    <row r="211">
      <c r="D211" s="310"/>
      <c r="E211" s="311"/>
      <c r="L211" s="658"/>
    </row>
    <row r="212">
      <c r="D212" s="310"/>
      <c r="E212" s="311"/>
      <c r="L212" s="658"/>
    </row>
    <row r="213">
      <c r="D213" s="310"/>
      <c r="E213" s="311"/>
      <c r="L213" s="658"/>
    </row>
    <row r="214">
      <c r="D214" s="310"/>
      <c r="E214" s="311"/>
      <c r="L214" s="658"/>
    </row>
    <row r="215">
      <c r="D215" s="310"/>
      <c r="E215" s="311"/>
      <c r="L215" s="658"/>
    </row>
    <row r="216">
      <c r="D216" s="310"/>
      <c r="E216" s="311"/>
      <c r="L216" s="658"/>
    </row>
    <row r="217">
      <c r="D217" s="310"/>
      <c r="E217" s="311"/>
      <c r="L217" s="658"/>
    </row>
    <row r="218">
      <c r="D218" s="310"/>
      <c r="E218" s="311"/>
      <c r="L218" s="658"/>
    </row>
    <row r="219">
      <c r="D219" s="310"/>
      <c r="E219" s="311"/>
      <c r="L219" s="658"/>
    </row>
    <row r="220">
      <c r="D220" s="310"/>
      <c r="E220" s="311"/>
      <c r="L220" s="658"/>
    </row>
    <row r="221">
      <c r="D221" s="310"/>
      <c r="E221" s="311"/>
      <c r="L221" s="658"/>
    </row>
    <row r="222">
      <c r="D222" s="310"/>
      <c r="E222" s="311"/>
      <c r="L222" s="658"/>
    </row>
    <row r="223">
      <c r="D223" s="310"/>
      <c r="E223" s="311"/>
      <c r="L223" s="658"/>
    </row>
    <row r="224">
      <c r="D224" s="310"/>
      <c r="E224" s="311"/>
      <c r="L224" s="658"/>
    </row>
    <row r="225">
      <c r="D225" s="310"/>
      <c r="E225" s="311"/>
      <c r="L225" s="658"/>
    </row>
    <row r="226">
      <c r="D226" s="310"/>
      <c r="E226" s="311"/>
      <c r="L226" s="658"/>
    </row>
    <row r="227">
      <c r="D227" s="310"/>
      <c r="E227" s="311"/>
      <c r="L227" s="658"/>
    </row>
    <row r="228">
      <c r="D228" s="310"/>
      <c r="E228" s="311"/>
      <c r="L228" s="658"/>
    </row>
    <row r="229">
      <c r="D229" s="310"/>
      <c r="E229" s="311"/>
      <c r="L229" s="658"/>
    </row>
    <row r="230">
      <c r="D230" s="310"/>
      <c r="E230" s="311"/>
      <c r="L230" s="658"/>
    </row>
    <row r="231">
      <c r="D231" s="310"/>
      <c r="E231" s="311"/>
      <c r="L231" s="658"/>
    </row>
    <row r="232">
      <c r="D232" s="310"/>
      <c r="E232" s="311"/>
      <c r="L232" s="658"/>
    </row>
    <row r="233">
      <c r="D233" s="310"/>
      <c r="E233" s="311"/>
      <c r="L233" s="658"/>
    </row>
    <row r="234">
      <c r="D234" s="310"/>
      <c r="E234" s="311"/>
      <c r="L234" s="658"/>
    </row>
    <row r="235">
      <c r="D235" s="310"/>
      <c r="E235" s="311"/>
      <c r="L235" s="658"/>
    </row>
    <row r="236">
      <c r="D236" s="310"/>
      <c r="E236" s="311"/>
      <c r="L236" s="658"/>
    </row>
    <row r="237">
      <c r="D237" s="310"/>
      <c r="E237" s="311"/>
      <c r="L237" s="658"/>
    </row>
    <row r="238">
      <c r="D238" s="310"/>
      <c r="E238" s="311"/>
      <c r="L238" s="658"/>
    </row>
    <row r="239">
      <c r="D239" s="310"/>
      <c r="E239" s="311"/>
      <c r="L239" s="658"/>
    </row>
    <row r="240">
      <c r="D240" s="310"/>
      <c r="E240" s="311"/>
      <c r="L240" s="658"/>
    </row>
    <row r="241">
      <c r="D241" s="310"/>
      <c r="E241" s="311"/>
      <c r="L241" s="658"/>
    </row>
    <row r="242">
      <c r="D242" s="310"/>
      <c r="E242" s="311"/>
      <c r="L242" s="658"/>
    </row>
    <row r="243">
      <c r="D243" s="310"/>
      <c r="E243" s="311"/>
      <c r="L243" s="658"/>
    </row>
    <row r="244">
      <c r="D244" s="310"/>
      <c r="E244" s="311"/>
      <c r="L244" s="658"/>
    </row>
    <row r="245">
      <c r="D245" s="310"/>
      <c r="E245" s="311"/>
      <c r="L245" s="658"/>
    </row>
    <row r="246">
      <c r="D246" s="310"/>
      <c r="E246" s="311"/>
      <c r="L246" s="658"/>
    </row>
    <row r="247">
      <c r="D247" s="310"/>
      <c r="E247" s="311"/>
      <c r="L247" s="658"/>
    </row>
    <row r="248">
      <c r="D248" s="310"/>
      <c r="E248" s="311"/>
      <c r="L248" s="658"/>
    </row>
    <row r="249">
      <c r="D249" s="310"/>
      <c r="E249" s="311"/>
      <c r="L249" s="658"/>
    </row>
    <row r="250">
      <c r="D250" s="310"/>
      <c r="E250" s="311"/>
      <c r="L250" s="658"/>
    </row>
    <row r="251">
      <c r="D251" s="310"/>
      <c r="E251" s="311"/>
      <c r="L251" s="658"/>
    </row>
    <row r="252">
      <c r="D252" s="310"/>
      <c r="E252" s="311"/>
      <c r="L252" s="658"/>
    </row>
    <row r="253">
      <c r="D253" s="310"/>
      <c r="E253" s="311"/>
      <c r="L253" s="658"/>
    </row>
    <row r="254">
      <c r="D254" s="310"/>
      <c r="E254" s="311"/>
      <c r="L254" s="658"/>
    </row>
    <row r="255">
      <c r="D255" s="310"/>
      <c r="E255" s="311"/>
      <c r="L255" s="658"/>
    </row>
    <row r="256">
      <c r="D256" s="310"/>
      <c r="E256" s="311"/>
      <c r="L256" s="658"/>
    </row>
    <row r="257">
      <c r="D257" s="310"/>
      <c r="E257" s="311"/>
      <c r="L257" s="658"/>
    </row>
    <row r="258">
      <c r="D258" s="310"/>
      <c r="E258" s="311"/>
      <c r="L258" s="658"/>
    </row>
    <row r="259">
      <c r="D259" s="310"/>
      <c r="E259" s="311"/>
      <c r="L259" s="658"/>
    </row>
    <row r="260">
      <c r="D260" s="310"/>
      <c r="E260" s="311"/>
      <c r="L260" s="658"/>
    </row>
    <row r="261">
      <c r="D261" s="310"/>
      <c r="E261" s="311"/>
      <c r="L261" s="658"/>
    </row>
    <row r="262">
      <c r="D262" s="310"/>
      <c r="E262" s="311"/>
      <c r="L262" s="658"/>
    </row>
    <row r="263">
      <c r="D263" s="310"/>
      <c r="E263" s="311"/>
      <c r="L263" s="658"/>
    </row>
    <row r="264">
      <c r="D264" s="310"/>
      <c r="E264" s="311"/>
      <c r="L264" s="658"/>
    </row>
    <row r="265">
      <c r="D265" s="310"/>
      <c r="E265" s="311"/>
      <c r="L265" s="658"/>
    </row>
    <row r="266">
      <c r="D266" s="310"/>
      <c r="E266" s="311"/>
      <c r="L266" s="658"/>
    </row>
    <row r="267">
      <c r="D267" s="310"/>
      <c r="E267" s="311"/>
      <c r="L267" s="658"/>
    </row>
    <row r="268">
      <c r="D268" s="310"/>
      <c r="E268" s="311"/>
      <c r="L268" s="658"/>
    </row>
    <row r="269">
      <c r="D269" s="310"/>
      <c r="E269" s="311"/>
      <c r="L269" s="658"/>
    </row>
    <row r="270">
      <c r="D270" s="310"/>
      <c r="E270" s="311"/>
      <c r="L270" s="658"/>
    </row>
    <row r="271">
      <c r="D271" s="310"/>
      <c r="E271" s="311"/>
      <c r="L271" s="658"/>
    </row>
    <row r="272">
      <c r="D272" s="310"/>
      <c r="E272" s="311"/>
      <c r="L272" s="658"/>
    </row>
    <row r="273">
      <c r="D273" s="310"/>
      <c r="E273" s="311"/>
      <c r="L273" s="658"/>
    </row>
    <row r="274">
      <c r="D274" s="310"/>
      <c r="E274" s="311"/>
      <c r="L274" s="658"/>
    </row>
    <row r="275">
      <c r="D275" s="310"/>
      <c r="E275" s="311"/>
      <c r="L275" s="658"/>
    </row>
    <row r="276">
      <c r="D276" s="310"/>
      <c r="E276" s="311"/>
      <c r="L276" s="658"/>
    </row>
    <row r="277">
      <c r="D277" s="310"/>
      <c r="E277" s="311"/>
      <c r="L277" s="658"/>
    </row>
    <row r="278">
      <c r="D278" s="310"/>
      <c r="E278" s="311"/>
      <c r="L278" s="658"/>
    </row>
    <row r="279">
      <c r="D279" s="310"/>
      <c r="E279" s="311"/>
      <c r="L279" s="658"/>
    </row>
    <row r="280">
      <c r="D280" s="310"/>
      <c r="E280" s="311"/>
      <c r="L280" s="658"/>
    </row>
    <row r="281">
      <c r="D281" s="310"/>
      <c r="E281" s="311"/>
      <c r="L281" s="658"/>
    </row>
    <row r="282">
      <c r="D282" s="310"/>
      <c r="E282" s="311"/>
      <c r="L282" s="658"/>
    </row>
    <row r="283">
      <c r="D283" s="310"/>
      <c r="E283" s="311"/>
      <c r="L283" s="658"/>
    </row>
    <row r="284">
      <c r="D284" s="310"/>
      <c r="E284" s="311"/>
      <c r="L284" s="658"/>
    </row>
    <row r="285">
      <c r="D285" s="310"/>
      <c r="E285" s="311"/>
      <c r="L285" s="658"/>
    </row>
    <row r="286">
      <c r="D286" s="310"/>
      <c r="E286" s="311"/>
      <c r="L286" s="658"/>
    </row>
    <row r="287">
      <c r="D287" s="310"/>
      <c r="E287" s="311"/>
      <c r="L287" s="658"/>
    </row>
    <row r="288">
      <c r="D288" s="310"/>
      <c r="E288" s="311"/>
      <c r="L288" s="658"/>
    </row>
    <row r="289">
      <c r="D289" s="310"/>
      <c r="E289" s="311"/>
      <c r="L289" s="658"/>
    </row>
    <row r="290">
      <c r="D290" s="310"/>
      <c r="E290" s="311"/>
      <c r="L290" s="658"/>
    </row>
    <row r="291">
      <c r="D291" s="310"/>
      <c r="E291" s="311"/>
      <c r="L291" s="658"/>
    </row>
    <row r="292">
      <c r="D292" s="310"/>
      <c r="E292" s="311"/>
      <c r="L292" s="658"/>
    </row>
    <row r="293">
      <c r="D293" s="310"/>
      <c r="E293" s="311"/>
      <c r="L293" s="658"/>
    </row>
    <row r="294">
      <c r="D294" s="310"/>
      <c r="E294" s="311"/>
      <c r="L294" s="658"/>
    </row>
    <row r="295">
      <c r="D295" s="310"/>
      <c r="E295" s="311"/>
      <c r="L295" s="658"/>
    </row>
    <row r="296">
      <c r="D296" s="310"/>
      <c r="E296" s="311"/>
      <c r="L296" s="658"/>
    </row>
    <row r="297">
      <c r="D297" s="310"/>
      <c r="E297" s="311"/>
      <c r="L297" s="658"/>
    </row>
    <row r="298">
      <c r="D298" s="310"/>
      <c r="E298" s="311"/>
      <c r="L298" s="658"/>
    </row>
    <row r="299">
      <c r="D299" s="310"/>
      <c r="E299" s="311"/>
      <c r="L299" s="658"/>
    </row>
    <row r="300">
      <c r="D300" s="310"/>
      <c r="E300" s="311"/>
      <c r="L300" s="658"/>
    </row>
    <row r="301">
      <c r="D301" s="310"/>
      <c r="E301" s="311"/>
      <c r="L301" s="658"/>
    </row>
    <row r="302">
      <c r="D302" s="310"/>
      <c r="E302" s="311"/>
      <c r="L302" s="658"/>
    </row>
    <row r="303">
      <c r="D303" s="310"/>
      <c r="E303" s="311"/>
      <c r="L303" s="658"/>
    </row>
    <row r="304">
      <c r="D304" s="310"/>
      <c r="E304" s="311"/>
      <c r="L304" s="658"/>
    </row>
    <row r="305">
      <c r="D305" s="310"/>
      <c r="E305" s="311"/>
      <c r="L305" s="658"/>
    </row>
    <row r="306">
      <c r="D306" s="310"/>
      <c r="E306" s="311"/>
      <c r="L306" s="658"/>
    </row>
    <row r="307">
      <c r="D307" s="310"/>
      <c r="E307" s="311"/>
      <c r="L307" s="658"/>
    </row>
    <row r="308">
      <c r="D308" s="310"/>
      <c r="E308" s="311"/>
      <c r="L308" s="658"/>
    </row>
    <row r="309">
      <c r="D309" s="310"/>
      <c r="E309" s="311"/>
      <c r="L309" s="658"/>
    </row>
    <row r="310">
      <c r="D310" s="310"/>
      <c r="E310" s="311"/>
      <c r="L310" s="658"/>
    </row>
    <row r="311">
      <c r="D311" s="310"/>
      <c r="E311" s="311"/>
      <c r="L311" s="658"/>
    </row>
    <row r="312">
      <c r="D312" s="310"/>
      <c r="E312" s="311"/>
      <c r="L312" s="658"/>
    </row>
    <row r="313">
      <c r="D313" s="310"/>
      <c r="E313" s="311"/>
      <c r="L313" s="658"/>
    </row>
    <row r="314">
      <c r="D314" s="310"/>
      <c r="E314" s="311"/>
      <c r="L314" s="658"/>
    </row>
    <row r="315">
      <c r="D315" s="310"/>
      <c r="E315" s="311"/>
      <c r="L315" s="658"/>
    </row>
    <row r="316">
      <c r="D316" s="310"/>
      <c r="E316" s="311"/>
      <c r="L316" s="658"/>
    </row>
    <row r="317">
      <c r="D317" s="310"/>
      <c r="E317" s="311"/>
      <c r="L317" s="658"/>
    </row>
    <row r="318">
      <c r="D318" s="310"/>
      <c r="E318" s="311"/>
      <c r="L318" s="658"/>
    </row>
    <row r="319">
      <c r="D319" s="310"/>
      <c r="E319" s="311"/>
      <c r="L319" s="658"/>
    </row>
    <row r="320">
      <c r="D320" s="310"/>
      <c r="E320" s="311"/>
      <c r="L320" s="658"/>
    </row>
    <row r="321">
      <c r="D321" s="310"/>
      <c r="E321" s="311"/>
      <c r="L321" s="658"/>
    </row>
    <row r="322">
      <c r="D322" s="310"/>
      <c r="E322" s="311"/>
      <c r="L322" s="658"/>
    </row>
    <row r="323">
      <c r="D323" s="310"/>
      <c r="E323" s="311"/>
      <c r="L323" s="658"/>
    </row>
    <row r="324">
      <c r="D324" s="310"/>
      <c r="E324" s="311"/>
      <c r="L324" s="658"/>
    </row>
    <row r="325">
      <c r="D325" s="310"/>
      <c r="E325" s="311"/>
      <c r="L325" s="658"/>
    </row>
    <row r="326">
      <c r="D326" s="310"/>
      <c r="E326" s="311"/>
      <c r="L326" s="658"/>
    </row>
    <row r="327">
      <c r="D327" s="310"/>
      <c r="E327" s="311"/>
      <c r="L327" s="658"/>
    </row>
    <row r="328">
      <c r="D328" s="310"/>
      <c r="E328" s="311"/>
      <c r="L328" s="658"/>
    </row>
    <row r="329">
      <c r="D329" s="310"/>
      <c r="E329" s="311"/>
      <c r="L329" s="658"/>
    </row>
    <row r="330">
      <c r="D330" s="310"/>
      <c r="E330" s="311"/>
      <c r="L330" s="658"/>
    </row>
    <row r="331">
      <c r="D331" s="310"/>
      <c r="E331" s="311"/>
      <c r="L331" s="658"/>
    </row>
    <row r="332">
      <c r="D332" s="310"/>
      <c r="E332" s="311"/>
      <c r="L332" s="658"/>
    </row>
    <row r="333">
      <c r="D333" s="310"/>
      <c r="E333" s="311"/>
      <c r="L333" s="658"/>
    </row>
    <row r="334">
      <c r="D334" s="310"/>
      <c r="E334" s="311"/>
      <c r="L334" s="658"/>
    </row>
    <row r="335">
      <c r="D335" s="310"/>
      <c r="E335" s="311"/>
      <c r="L335" s="658"/>
    </row>
    <row r="336">
      <c r="D336" s="310"/>
      <c r="E336" s="311"/>
      <c r="L336" s="658"/>
    </row>
    <row r="337">
      <c r="D337" s="310"/>
      <c r="E337" s="311"/>
      <c r="L337" s="658"/>
    </row>
    <row r="338">
      <c r="D338" s="310"/>
      <c r="E338" s="311"/>
      <c r="L338" s="658"/>
    </row>
    <row r="339">
      <c r="D339" s="310"/>
      <c r="E339" s="311"/>
      <c r="L339" s="658"/>
    </row>
    <row r="340">
      <c r="D340" s="310"/>
      <c r="E340" s="311"/>
      <c r="L340" s="658"/>
    </row>
    <row r="341">
      <c r="D341" s="310"/>
      <c r="E341" s="311"/>
      <c r="L341" s="658"/>
    </row>
    <row r="342">
      <c r="D342" s="310"/>
      <c r="E342" s="311"/>
      <c r="L342" s="658"/>
    </row>
    <row r="343">
      <c r="D343" s="310"/>
      <c r="E343" s="311"/>
      <c r="L343" s="658"/>
    </row>
    <row r="344">
      <c r="D344" s="310"/>
      <c r="E344" s="311"/>
      <c r="L344" s="658"/>
    </row>
    <row r="345">
      <c r="D345" s="310"/>
      <c r="E345" s="311"/>
      <c r="L345" s="658"/>
    </row>
    <row r="346">
      <c r="D346" s="310"/>
      <c r="E346" s="311"/>
      <c r="L346" s="658"/>
    </row>
    <row r="347">
      <c r="D347" s="310"/>
      <c r="E347" s="311"/>
      <c r="L347" s="658"/>
    </row>
    <row r="348">
      <c r="D348" s="310"/>
      <c r="E348" s="311"/>
      <c r="L348" s="658"/>
    </row>
    <row r="349">
      <c r="D349" s="310"/>
      <c r="E349" s="311"/>
      <c r="L349" s="658"/>
    </row>
    <row r="350">
      <c r="D350" s="310"/>
      <c r="E350" s="311"/>
      <c r="L350" s="658"/>
    </row>
    <row r="351">
      <c r="D351" s="310"/>
      <c r="E351" s="311"/>
      <c r="L351" s="658"/>
    </row>
    <row r="352">
      <c r="D352" s="310"/>
      <c r="E352" s="311"/>
      <c r="L352" s="658"/>
    </row>
    <row r="353">
      <c r="D353" s="310"/>
      <c r="E353" s="311"/>
      <c r="L353" s="658"/>
    </row>
    <row r="354">
      <c r="D354" s="310"/>
      <c r="E354" s="311"/>
      <c r="L354" s="658"/>
    </row>
    <row r="355">
      <c r="D355" s="310"/>
      <c r="E355" s="311"/>
      <c r="L355" s="658"/>
    </row>
    <row r="356">
      <c r="D356" s="310"/>
      <c r="E356" s="311"/>
      <c r="L356" s="658"/>
    </row>
    <row r="357">
      <c r="D357" s="310"/>
      <c r="E357" s="311"/>
      <c r="L357" s="658"/>
    </row>
    <row r="358">
      <c r="D358" s="310"/>
      <c r="E358" s="311"/>
      <c r="L358" s="658"/>
    </row>
    <row r="359">
      <c r="D359" s="310"/>
      <c r="E359" s="311"/>
      <c r="L359" s="658"/>
    </row>
    <row r="360">
      <c r="D360" s="310"/>
      <c r="E360" s="311"/>
      <c r="L360" s="658"/>
    </row>
    <row r="361">
      <c r="D361" s="310"/>
      <c r="E361" s="311"/>
      <c r="L361" s="658"/>
    </row>
    <row r="362">
      <c r="D362" s="310"/>
      <c r="E362" s="311"/>
      <c r="L362" s="658"/>
    </row>
    <row r="363">
      <c r="D363" s="310"/>
      <c r="E363" s="311"/>
      <c r="L363" s="658"/>
    </row>
    <row r="364">
      <c r="D364" s="310"/>
      <c r="E364" s="311"/>
      <c r="L364" s="658"/>
    </row>
    <row r="365">
      <c r="D365" s="310"/>
      <c r="E365" s="311"/>
      <c r="L365" s="658"/>
    </row>
    <row r="366">
      <c r="D366" s="310"/>
      <c r="E366" s="311"/>
      <c r="L366" s="658"/>
    </row>
    <row r="367">
      <c r="D367" s="310"/>
      <c r="E367" s="311"/>
      <c r="L367" s="658"/>
    </row>
    <row r="368">
      <c r="D368" s="310"/>
      <c r="E368" s="311"/>
      <c r="L368" s="658"/>
    </row>
    <row r="369">
      <c r="D369" s="310"/>
      <c r="E369" s="311"/>
      <c r="L369" s="658"/>
    </row>
    <row r="370">
      <c r="D370" s="310"/>
      <c r="E370" s="311"/>
      <c r="L370" s="658"/>
    </row>
    <row r="371">
      <c r="D371" s="310"/>
      <c r="E371" s="311"/>
      <c r="L371" s="658"/>
    </row>
    <row r="372">
      <c r="D372" s="310"/>
      <c r="E372" s="311"/>
      <c r="L372" s="658"/>
    </row>
    <row r="373">
      <c r="D373" s="310"/>
      <c r="E373" s="311"/>
      <c r="L373" s="658"/>
    </row>
    <row r="374">
      <c r="D374" s="310"/>
      <c r="E374" s="311"/>
      <c r="L374" s="658"/>
    </row>
    <row r="375">
      <c r="D375" s="310"/>
      <c r="E375" s="311"/>
      <c r="L375" s="658"/>
    </row>
    <row r="376">
      <c r="D376" s="310"/>
      <c r="E376" s="311"/>
      <c r="L376" s="658"/>
    </row>
    <row r="377">
      <c r="D377" s="310"/>
      <c r="E377" s="311"/>
      <c r="L377" s="658"/>
    </row>
    <row r="378">
      <c r="D378" s="310"/>
      <c r="E378" s="311"/>
      <c r="L378" s="658"/>
    </row>
    <row r="379">
      <c r="D379" s="310"/>
      <c r="E379" s="311"/>
      <c r="L379" s="658"/>
    </row>
    <row r="380">
      <c r="D380" s="310"/>
      <c r="E380" s="311"/>
      <c r="L380" s="658"/>
    </row>
    <row r="381">
      <c r="D381" s="310"/>
      <c r="E381" s="311"/>
      <c r="L381" s="658"/>
    </row>
    <row r="382">
      <c r="D382" s="310"/>
      <c r="E382" s="311"/>
      <c r="L382" s="658"/>
    </row>
    <row r="383">
      <c r="D383" s="310"/>
      <c r="E383" s="311"/>
      <c r="L383" s="658"/>
    </row>
    <row r="384">
      <c r="D384" s="310"/>
      <c r="E384" s="311"/>
      <c r="L384" s="658"/>
    </row>
    <row r="385">
      <c r="D385" s="310"/>
      <c r="E385" s="311"/>
      <c r="L385" s="658"/>
    </row>
    <row r="386">
      <c r="D386" s="310"/>
      <c r="E386" s="311"/>
      <c r="L386" s="658"/>
    </row>
    <row r="387">
      <c r="D387" s="310"/>
      <c r="E387" s="311"/>
      <c r="L387" s="658"/>
    </row>
    <row r="388">
      <c r="D388" s="310"/>
      <c r="E388" s="311"/>
      <c r="L388" s="658"/>
    </row>
    <row r="389">
      <c r="D389" s="310"/>
      <c r="E389" s="311"/>
      <c r="L389" s="658"/>
    </row>
    <row r="390">
      <c r="D390" s="310"/>
      <c r="E390" s="311"/>
      <c r="L390" s="658"/>
    </row>
    <row r="391">
      <c r="D391" s="310"/>
      <c r="E391" s="311"/>
      <c r="L391" s="658"/>
    </row>
    <row r="392">
      <c r="D392" s="310"/>
      <c r="E392" s="311"/>
      <c r="L392" s="658"/>
    </row>
    <row r="393">
      <c r="D393" s="310"/>
      <c r="E393" s="311"/>
      <c r="L393" s="658"/>
    </row>
    <row r="394">
      <c r="D394" s="310"/>
      <c r="E394" s="311"/>
      <c r="L394" s="658"/>
    </row>
    <row r="395">
      <c r="D395" s="310"/>
      <c r="E395" s="311"/>
      <c r="L395" s="658"/>
    </row>
    <row r="396">
      <c r="D396" s="310"/>
      <c r="E396" s="311"/>
      <c r="L396" s="658"/>
    </row>
    <row r="397">
      <c r="D397" s="310"/>
      <c r="E397" s="311"/>
      <c r="L397" s="658"/>
    </row>
    <row r="398">
      <c r="D398" s="310"/>
      <c r="E398" s="311"/>
      <c r="L398" s="658"/>
    </row>
    <row r="399">
      <c r="D399" s="310"/>
      <c r="E399" s="311"/>
      <c r="L399" s="658"/>
    </row>
    <row r="400">
      <c r="D400" s="310"/>
      <c r="E400" s="311"/>
      <c r="L400" s="658"/>
    </row>
    <row r="401">
      <c r="D401" s="310"/>
      <c r="E401" s="311"/>
      <c r="L401" s="658"/>
    </row>
    <row r="402">
      <c r="D402" s="310"/>
      <c r="E402" s="311"/>
      <c r="L402" s="658"/>
    </row>
    <row r="403">
      <c r="D403" s="310"/>
      <c r="E403" s="311"/>
      <c r="L403" s="658"/>
    </row>
    <row r="404">
      <c r="D404" s="310"/>
      <c r="E404" s="311"/>
      <c r="L404" s="658"/>
    </row>
    <row r="405">
      <c r="D405" s="310"/>
      <c r="E405" s="311"/>
      <c r="L405" s="658"/>
    </row>
    <row r="406">
      <c r="D406" s="310"/>
      <c r="E406" s="311"/>
      <c r="L406" s="658"/>
    </row>
    <row r="407">
      <c r="D407" s="310"/>
      <c r="E407" s="311"/>
      <c r="L407" s="658"/>
    </row>
    <row r="408">
      <c r="D408" s="310"/>
      <c r="E408" s="311"/>
      <c r="L408" s="658"/>
    </row>
    <row r="409">
      <c r="D409" s="310"/>
      <c r="E409" s="311"/>
      <c r="L409" s="658"/>
    </row>
    <row r="410">
      <c r="D410" s="310"/>
      <c r="E410" s="311"/>
      <c r="L410" s="658"/>
    </row>
    <row r="411">
      <c r="D411" s="310"/>
      <c r="E411" s="311"/>
      <c r="L411" s="658"/>
    </row>
    <row r="412">
      <c r="D412" s="310"/>
      <c r="E412" s="311"/>
      <c r="L412" s="658"/>
    </row>
    <row r="413">
      <c r="D413" s="310"/>
      <c r="E413" s="311"/>
      <c r="L413" s="658"/>
    </row>
    <row r="414">
      <c r="D414" s="310"/>
      <c r="E414" s="311"/>
      <c r="L414" s="658"/>
    </row>
    <row r="415">
      <c r="D415" s="310"/>
      <c r="E415" s="311"/>
      <c r="L415" s="658"/>
    </row>
    <row r="416">
      <c r="D416" s="310"/>
      <c r="E416" s="311"/>
      <c r="L416" s="658"/>
    </row>
    <row r="417">
      <c r="D417" s="310"/>
      <c r="E417" s="311"/>
      <c r="L417" s="658"/>
    </row>
    <row r="418">
      <c r="D418" s="310"/>
      <c r="E418" s="311"/>
      <c r="L418" s="658"/>
    </row>
    <row r="419">
      <c r="D419" s="310"/>
      <c r="E419" s="311"/>
      <c r="L419" s="658"/>
    </row>
    <row r="420">
      <c r="D420" s="310"/>
      <c r="E420" s="311"/>
      <c r="L420" s="658"/>
    </row>
    <row r="421">
      <c r="D421" s="310"/>
      <c r="E421" s="311"/>
      <c r="L421" s="658"/>
    </row>
    <row r="422">
      <c r="D422" s="310"/>
      <c r="E422" s="311"/>
      <c r="L422" s="658"/>
    </row>
    <row r="423">
      <c r="D423" s="310"/>
      <c r="E423" s="311"/>
      <c r="L423" s="658"/>
    </row>
    <row r="424">
      <c r="D424" s="310"/>
      <c r="E424" s="311"/>
      <c r="L424" s="658"/>
    </row>
    <row r="425">
      <c r="D425" s="310"/>
      <c r="E425" s="311"/>
      <c r="L425" s="658"/>
    </row>
    <row r="426">
      <c r="D426" s="310"/>
      <c r="E426" s="311"/>
      <c r="L426" s="658"/>
    </row>
    <row r="427">
      <c r="D427" s="310"/>
      <c r="E427" s="311"/>
      <c r="L427" s="658"/>
    </row>
    <row r="428">
      <c r="D428" s="310"/>
      <c r="E428" s="311"/>
      <c r="L428" s="658"/>
    </row>
    <row r="429">
      <c r="D429" s="310"/>
      <c r="E429" s="311"/>
      <c r="L429" s="658"/>
    </row>
    <row r="430">
      <c r="D430" s="310"/>
      <c r="E430" s="311"/>
      <c r="L430" s="658"/>
    </row>
    <row r="431">
      <c r="D431" s="310"/>
      <c r="E431" s="311"/>
      <c r="L431" s="658"/>
    </row>
    <row r="432">
      <c r="D432" s="310"/>
      <c r="E432" s="311"/>
      <c r="L432" s="658"/>
    </row>
    <row r="433">
      <c r="D433" s="310"/>
      <c r="E433" s="311"/>
      <c r="L433" s="658"/>
    </row>
    <row r="434">
      <c r="D434" s="310"/>
      <c r="E434" s="311"/>
      <c r="L434" s="658"/>
    </row>
    <row r="435">
      <c r="D435" s="310"/>
      <c r="E435" s="311"/>
      <c r="L435" s="658"/>
    </row>
    <row r="436">
      <c r="D436" s="310"/>
      <c r="E436" s="311"/>
      <c r="L436" s="658"/>
    </row>
    <row r="437">
      <c r="D437" s="310"/>
      <c r="E437" s="311"/>
      <c r="L437" s="658"/>
    </row>
    <row r="438">
      <c r="D438" s="310"/>
      <c r="E438" s="311"/>
      <c r="L438" s="658"/>
    </row>
    <row r="439">
      <c r="D439" s="310"/>
      <c r="E439" s="311"/>
      <c r="L439" s="658"/>
    </row>
    <row r="440">
      <c r="D440" s="310"/>
      <c r="E440" s="311"/>
      <c r="L440" s="658"/>
    </row>
    <row r="441">
      <c r="D441" s="310"/>
      <c r="E441" s="311"/>
      <c r="L441" s="658"/>
    </row>
    <row r="442">
      <c r="D442" s="310"/>
      <c r="E442" s="311"/>
      <c r="L442" s="658"/>
    </row>
    <row r="443">
      <c r="D443" s="310"/>
      <c r="E443" s="311"/>
      <c r="L443" s="658"/>
    </row>
    <row r="444">
      <c r="D444" s="310"/>
      <c r="E444" s="311"/>
      <c r="L444" s="658"/>
    </row>
    <row r="445">
      <c r="D445" s="310"/>
      <c r="E445" s="311"/>
      <c r="L445" s="658"/>
    </row>
    <row r="446">
      <c r="D446" s="310"/>
      <c r="E446" s="311"/>
      <c r="L446" s="658"/>
    </row>
    <row r="447">
      <c r="D447" s="310"/>
      <c r="E447" s="311"/>
      <c r="L447" s="658"/>
    </row>
    <row r="448">
      <c r="D448" s="310"/>
      <c r="E448" s="311"/>
      <c r="L448" s="658"/>
    </row>
    <row r="449">
      <c r="D449" s="310"/>
      <c r="E449" s="311"/>
      <c r="L449" s="658"/>
    </row>
    <row r="450">
      <c r="D450" s="310"/>
      <c r="E450" s="311"/>
      <c r="L450" s="658"/>
    </row>
    <row r="451">
      <c r="D451" s="310"/>
      <c r="E451" s="311"/>
      <c r="L451" s="658"/>
    </row>
    <row r="452">
      <c r="D452" s="310"/>
      <c r="E452" s="311"/>
      <c r="L452" s="658"/>
    </row>
    <row r="453">
      <c r="D453" s="310"/>
      <c r="E453" s="311"/>
      <c r="L453" s="658"/>
    </row>
    <row r="454">
      <c r="D454" s="310"/>
      <c r="E454" s="311"/>
      <c r="L454" s="658"/>
    </row>
    <row r="455">
      <c r="D455" s="310"/>
      <c r="E455" s="311"/>
      <c r="L455" s="658"/>
    </row>
    <row r="456">
      <c r="D456" s="310"/>
      <c r="E456" s="311"/>
      <c r="L456" s="658"/>
    </row>
    <row r="457">
      <c r="D457" s="310"/>
      <c r="E457" s="311"/>
      <c r="L457" s="658"/>
    </row>
    <row r="458">
      <c r="D458" s="310"/>
      <c r="E458" s="311"/>
      <c r="L458" s="658"/>
    </row>
    <row r="459">
      <c r="D459" s="310"/>
      <c r="E459" s="311"/>
      <c r="L459" s="658"/>
    </row>
    <row r="460">
      <c r="D460" s="310"/>
      <c r="E460" s="311"/>
      <c r="L460" s="658"/>
    </row>
    <row r="461">
      <c r="D461" s="310"/>
      <c r="E461" s="311"/>
      <c r="L461" s="658"/>
    </row>
    <row r="462">
      <c r="D462" s="310"/>
      <c r="E462" s="311"/>
      <c r="L462" s="658"/>
    </row>
    <row r="463">
      <c r="D463" s="310"/>
      <c r="E463" s="311"/>
      <c r="L463" s="658"/>
    </row>
    <row r="464">
      <c r="D464" s="310"/>
      <c r="E464" s="311"/>
      <c r="L464" s="658"/>
    </row>
    <row r="465">
      <c r="D465" s="310"/>
      <c r="E465" s="311"/>
      <c r="L465" s="658"/>
    </row>
    <row r="466">
      <c r="D466" s="310"/>
      <c r="E466" s="311"/>
      <c r="L466" s="658"/>
    </row>
    <row r="467">
      <c r="D467" s="310"/>
      <c r="E467" s="311"/>
      <c r="L467" s="658"/>
    </row>
    <row r="468">
      <c r="D468" s="310"/>
      <c r="E468" s="311"/>
      <c r="L468" s="658"/>
    </row>
    <row r="469">
      <c r="D469" s="310"/>
      <c r="E469" s="311"/>
      <c r="L469" s="658"/>
    </row>
    <row r="470">
      <c r="D470" s="310"/>
      <c r="E470" s="311"/>
      <c r="L470" s="658"/>
    </row>
    <row r="471">
      <c r="D471" s="310"/>
      <c r="E471" s="311"/>
      <c r="L471" s="658"/>
    </row>
    <row r="472">
      <c r="D472" s="310"/>
      <c r="E472" s="311"/>
      <c r="L472" s="658"/>
    </row>
    <row r="473">
      <c r="D473" s="310"/>
      <c r="E473" s="311"/>
      <c r="L473" s="658"/>
    </row>
    <row r="474">
      <c r="D474" s="310"/>
      <c r="E474" s="311"/>
      <c r="L474" s="658"/>
    </row>
    <row r="475">
      <c r="D475" s="310"/>
      <c r="E475" s="311"/>
      <c r="L475" s="658"/>
    </row>
    <row r="476">
      <c r="D476" s="310"/>
      <c r="E476" s="311"/>
      <c r="L476" s="658"/>
    </row>
    <row r="477">
      <c r="D477" s="310"/>
      <c r="E477" s="311"/>
      <c r="L477" s="658"/>
    </row>
    <row r="478">
      <c r="D478" s="310"/>
      <c r="E478" s="311"/>
      <c r="L478" s="658"/>
    </row>
    <row r="479">
      <c r="D479" s="310"/>
      <c r="E479" s="311"/>
      <c r="L479" s="658"/>
    </row>
    <row r="480">
      <c r="D480" s="310"/>
      <c r="E480" s="311"/>
      <c r="L480" s="658"/>
    </row>
    <row r="481">
      <c r="D481" s="310"/>
      <c r="E481" s="311"/>
      <c r="L481" s="658"/>
    </row>
    <row r="482">
      <c r="D482" s="310"/>
      <c r="E482" s="311"/>
      <c r="L482" s="658"/>
    </row>
    <row r="483">
      <c r="D483" s="310"/>
      <c r="E483" s="311"/>
      <c r="L483" s="658"/>
    </row>
    <row r="484">
      <c r="D484" s="310"/>
      <c r="E484" s="311"/>
      <c r="L484" s="658"/>
    </row>
    <row r="485">
      <c r="D485" s="310"/>
      <c r="E485" s="311"/>
      <c r="L485" s="658"/>
    </row>
    <row r="486">
      <c r="D486" s="310"/>
      <c r="E486" s="311"/>
      <c r="L486" s="658"/>
    </row>
    <row r="487">
      <c r="D487" s="310"/>
      <c r="E487" s="311"/>
      <c r="L487" s="658"/>
    </row>
    <row r="488">
      <c r="D488" s="310"/>
      <c r="E488" s="311"/>
      <c r="L488" s="658"/>
    </row>
    <row r="489">
      <c r="D489" s="310"/>
      <c r="E489" s="311"/>
      <c r="L489" s="658"/>
    </row>
    <row r="490">
      <c r="D490" s="310"/>
      <c r="E490" s="311"/>
      <c r="L490" s="658"/>
    </row>
    <row r="491">
      <c r="D491" s="310"/>
      <c r="E491" s="311"/>
      <c r="L491" s="658"/>
    </row>
    <row r="492">
      <c r="D492" s="310"/>
      <c r="E492" s="311"/>
      <c r="L492" s="658"/>
    </row>
    <row r="493">
      <c r="D493" s="310"/>
      <c r="E493" s="311"/>
      <c r="L493" s="658"/>
    </row>
    <row r="494">
      <c r="D494" s="310"/>
      <c r="E494" s="311"/>
      <c r="L494" s="658"/>
    </row>
    <row r="495">
      <c r="D495" s="310"/>
      <c r="E495" s="311"/>
      <c r="L495" s="658"/>
    </row>
    <row r="496">
      <c r="D496" s="310"/>
      <c r="E496" s="311"/>
      <c r="L496" s="658"/>
    </row>
    <row r="497">
      <c r="D497" s="310"/>
      <c r="E497" s="311"/>
      <c r="L497" s="658"/>
    </row>
    <row r="498">
      <c r="D498" s="310"/>
      <c r="E498" s="311"/>
      <c r="L498" s="658"/>
    </row>
    <row r="499">
      <c r="D499" s="310"/>
      <c r="E499" s="311"/>
      <c r="L499" s="658"/>
    </row>
    <row r="500">
      <c r="D500" s="310"/>
      <c r="E500" s="311"/>
      <c r="L500" s="658"/>
    </row>
    <row r="501">
      <c r="D501" s="310"/>
      <c r="E501" s="311"/>
      <c r="L501" s="658"/>
    </row>
    <row r="502">
      <c r="D502" s="310"/>
      <c r="E502" s="311"/>
      <c r="L502" s="658"/>
    </row>
    <row r="503">
      <c r="D503" s="310"/>
      <c r="E503" s="311"/>
      <c r="L503" s="658"/>
    </row>
    <row r="504">
      <c r="D504" s="310"/>
      <c r="E504" s="311"/>
      <c r="L504" s="658"/>
    </row>
    <row r="505">
      <c r="D505" s="310"/>
      <c r="E505" s="311"/>
      <c r="L505" s="658"/>
    </row>
    <row r="506">
      <c r="D506" s="310"/>
      <c r="E506" s="311"/>
      <c r="L506" s="658"/>
    </row>
    <row r="507">
      <c r="D507" s="310"/>
      <c r="E507" s="311"/>
      <c r="L507" s="658"/>
    </row>
    <row r="508">
      <c r="D508" s="310"/>
      <c r="E508" s="311"/>
      <c r="L508" s="658"/>
    </row>
    <row r="509">
      <c r="D509" s="310"/>
      <c r="E509" s="311"/>
      <c r="L509" s="658"/>
    </row>
    <row r="510">
      <c r="D510" s="310"/>
      <c r="E510" s="311"/>
      <c r="L510" s="658"/>
    </row>
    <row r="511">
      <c r="D511" s="310"/>
      <c r="E511" s="311"/>
      <c r="L511" s="658"/>
    </row>
    <row r="512">
      <c r="D512" s="310"/>
      <c r="E512" s="311"/>
      <c r="L512" s="658"/>
    </row>
    <row r="513">
      <c r="D513" s="310"/>
      <c r="E513" s="311"/>
      <c r="L513" s="658"/>
    </row>
    <row r="514">
      <c r="D514" s="310"/>
      <c r="E514" s="311"/>
      <c r="L514" s="658"/>
    </row>
    <row r="515">
      <c r="D515" s="310"/>
      <c r="E515" s="311"/>
      <c r="L515" s="658"/>
    </row>
    <row r="516">
      <c r="D516" s="310"/>
      <c r="E516" s="311"/>
      <c r="L516" s="658"/>
    </row>
    <row r="517">
      <c r="D517" s="310"/>
      <c r="E517" s="311"/>
      <c r="L517" s="658"/>
    </row>
    <row r="518">
      <c r="D518" s="310"/>
      <c r="E518" s="311"/>
      <c r="L518" s="658"/>
    </row>
    <row r="519">
      <c r="D519" s="310"/>
      <c r="E519" s="311"/>
      <c r="L519" s="658"/>
    </row>
    <row r="520">
      <c r="D520" s="310"/>
      <c r="E520" s="311"/>
      <c r="L520" s="658"/>
    </row>
    <row r="521">
      <c r="D521" s="310"/>
      <c r="E521" s="311"/>
      <c r="L521" s="658"/>
    </row>
    <row r="522">
      <c r="D522" s="310"/>
      <c r="E522" s="311"/>
      <c r="L522" s="658"/>
    </row>
    <row r="523">
      <c r="D523" s="310"/>
      <c r="E523" s="311"/>
      <c r="L523" s="658"/>
    </row>
    <row r="524">
      <c r="D524" s="310"/>
      <c r="E524" s="311"/>
      <c r="L524" s="658"/>
    </row>
    <row r="525">
      <c r="D525" s="310"/>
      <c r="E525" s="311"/>
      <c r="L525" s="658"/>
    </row>
    <row r="526">
      <c r="D526" s="310"/>
      <c r="E526" s="311"/>
      <c r="L526" s="658"/>
    </row>
    <row r="527">
      <c r="D527" s="310"/>
      <c r="E527" s="311"/>
      <c r="L527" s="658"/>
    </row>
    <row r="528">
      <c r="D528" s="310"/>
      <c r="E528" s="311"/>
      <c r="L528" s="658"/>
    </row>
    <row r="529">
      <c r="D529" s="310"/>
      <c r="E529" s="311"/>
      <c r="L529" s="658"/>
    </row>
    <row r="530">
      <c r="D530" s="310"/>
      <c r="E530" s="311"/>
      <c r="L530" s="658"/>
    </row>
    <row r="531">
      <c r="D531" s="310"/>
      <c r="E531" s="311"/>
      <c r="L531" s="658"/>
    </row>
    <row r="532">
      <c r="D532" s="310"/>
      <c r="E532" s="311"/>
      <c r="L532" s="658"/>
    </row>
    <row r="533">
      <c r="D533" s="310"/>
      <c r="E533" s="311"/>
      <c r="L533" s="658"/>
    </row>
    <row r="534">
      <c r="D534" s="310"/>
      <c r="E534" s="311"/>
      <c r="L534" s="658"/>
    </row>
    <row r="535">
      <c r="D535" s="310"/>
      <c r="E535" s="311"/>
      <c r="L535" s="658"/>
    </row>
    <row r="536">
      <c r="D536" s="310"/>
      <c r="E536" s="311"/>
      <c r="L536" s="658"/>
    </row>
    <row r="537">
      <c r="D537" s="310"/>
      <c r="E537" s="311"/>
      <c r="L537" s="658"/>
    </row>
    <row r="538">
      <c r="D538" s="310"/>
      <c r="E538" s="311"/>
      <c r="L538" s="658"/>
    </row>
    <row r="539">
      <c r="D539" s="310"/>
      <c r="E539" s="311"/>
      <c r="L539" s="658"/>
    </row>
    <row r="540">
      <c r="D540" s="310"/>
      <c r="E540" s="311"/>
      <c r="L540" s="658"/>
    </row>
    <row r="541">
      <c r="D541" s="310"/>
      <c r="E541" s="311"/>
      <c r="L541" s="658"/>
    </row>
    <row r="542">
      <c r="D542" s="310"/>
      <c r="E542" s="311"/>
      <c r="L542" s="658"/>
    </row>
    <row r="543">
      <c r="D543" s="310"/>
      <c r="E543" s="311"/>
      <c r="L543" s="658"/>
    </row>
    <row r="544">
      <c r="D544" s="310"/>
      <c r="E544" s="311"/>
      <c r="L544" s="658"/>
    </row>
    <row r="545">
      <c r="D545" s="310"/>
      <c r="E545" s="311"/>
      <c r="L545" s="658"/>
    </row>
    <row r="546">
      <c r="D546" s="310"/>
      <c r="E546" s="311"/>
      <c r="L546" s="658"/>
    </row>
    <row r="547">
      <c r="D547" s="310"/>
      <c r="E547" s="311"/>
      <c r="L547" s="658"/>
    </row>
    <row r="548">
      <c r="D548" s="310"/>
      <c r="E548" s="311"/>
      <c r="L548" s="658"/>
    </row>
    <row r="549">
      <c r="D549" s="310"/>
      <c r="E549" s="311"/>
      <c r="L549" s="658"/>
    </row>
    <row r="550">
      <c r="D550" s="310"/>
      <c r="E550" s="311"/>
      <c r="L550" s="658"/>
    </row>
    <row r="551">
      <c r="D551" s="310"/>
      <c r="E551" s="311"/>
      <c r="L551" s="658"/>
    </row>
    <row r="552">
      <c r="D552" s="310"/>
      <c r="E552" s="311"/>
      <c r="L552" s="658"/>
    </row>
    <row r="553">
      <c r="D553" s="310"/>
      <c r="E553" s="311"/>
      <c r="L553" s="658"/>
    </row>
    <row r="554">
      <c r="D554" s="310"/>
      <c r="E554" s="311"/>
      <c r="L554" s="658"/>
    </row>
    <row r="555">
      <c r="D555" s="310"/>
      <c r="E555" s="311"/>
      <c r="L555" s="658"/>
    </row>
    <row r="556">
      <c r="D556" s="310"/>
      <c r="E556" s="311"/>
      <c r="L556" s="658"/>
    </row>
    <row r="557">
      <c r="D557" s="310"/>
      <c r="E557" s="311"/>
      <c r="L557" s="658"/>
    </row>
    <row r="558">
      <c r="D558" s="310"/>
      <c r="E558" s="311"/>
      <c r="L558" s="658"/>
    </row>
    <row r="559">
      <c r="D559" s="310"/>
      <c r="E559" s="311"/>
      <c r="L559" s="658"/>
    </row>
    <row r="560">
      <c r="D560" s="310"/>
      <c r="E560" s="311"/>
      <c r="L560" s="658"/>
    </row>
    <row r="561">
      <c r="D561" s="310"/>
      <c r="E561" s="311"/>
      <c r="L561" s="658"/>
    </row>
    <row r="562">
      <c r="D562" s="310"/>
      <c r="E562" s="311"/>
      <c r="L562" s="658"/>
    </row>
    <row r="563">
      <c r="D563" s="310"/>
      <c r="E563" s="311"/>
      <c r="L563" s="658"/>
    </row>
    <row r="564">
      <c r="D564" s="310"/>
      <c r="E564" s="311"/>
      <c r="L564" s="658"/>
    </row>
    <row r="565">
      <c r="D565" s="310"/>
      <c r="E565" s="311"/>
      <c r="L565" s="658"/>
    </row>
    <row r="566">
      <c r="D566" s="310"/>
      <c r="E566" s="311"/>
      <c r="L566" s="658"/>
    </row>
    <row r="567">
      <c r="D567" s="310"/>
      <c r="E567" s="311"/>
      <c r="L567" s="658"/>
    </row>
    <row r="568">
      <c r="D568" s="310"/>
      <c r="E568" s="311"/>
      <c r="L568" s="658"/>
    </row>
    <row r="569">
      <c r="D569" s="310"/>
      <c r="E569" s="311"/>
      <c r="L569" s="658"/>
    </row>
    <row r="570">
      <c r="D570" s="310"/>
      <c r="E570" s="311"/>
      <c r="L570" s="658"/>
    </row>
    <row r="571">
      <c r="D571" s="310"/>
      <c r="E571" s="311"/>
      <c r="L571" s="658"/>
    </row>
    <row r="572">
      <c r="D572" s="310"/>
      <c r="E572" s="311"/>
      <c r="L572" s="658"/>
    </row>
    <row r="573">
      <c r="D573" s="310"/>
      <c r="E573" s="311"/>
      <c r="L573" s="658"/>
    </row>
    <row r="574">
      <c r="D574" s="310"/>
      <c r="E574" s="311"/>
      <c r="L574" s="658"/>
    </row>
    <row r="575">
      <c r="D575" s="310"/>
      <c r="E575" s="311"/>
      <c r="L575" s="658"/>
    </row>
    <row r="576">
      <c r="D576" s="310"/>
      <c r="E576" s="311"/>
      <c r="L576" s="658"/>
    </row>
    <row r="577">
      <c r="D577" s="310"/>
      <c r="E577" s="311"/>
      <c r="L577" s="658"/>
    </row>
    <row r="578">
      <c r="D578" s="310"/>
      <c r="E578" s="311"/>
      <c r="L578" s="658"/>
    </row>
    <row r="579">
      <c r="D579" s="310"/>
      <c r="E579" s="311"/>
      <c r="L579" s="658"/>
    </row>
    <row r="580">
      <c r="D580" s="310"/>
      <c r="E580" s="311"/>
      <c r="L580" s="658"/>
    </row>
    <row r="581">
      <c r="D581" s="310"/>
      <c r="E581" s="311"/>
      <c r="L581" s="658"/>
    </row>
    <row r="582">
      <c r="D582" s="310"/>
      <c r="E582" s="311"/>
      <c r="L582" s="658"/>
    </row>
    <row r="583">
      <c r="D583" s="310"/>
      <c r="E583" s="311"/>
      <c r="L583" s="658"/>
    </row>
    <row r="584">
      <c r="D584" s="310"/>
      <c r="E584" s="311"/>
      <c r="L584" s="658"/>
    </row>
    <row r="585">
      <c r="D585" s="310"/>
      <c r="E585" s="311"/>
      <c r="L585" s="658"/>
    </row>
    <row r="586">
      <c r="D586" s="310"/>
      <c r="E586" s="311"/>
      <c r="L586" s="658"/>
    </row>
    <row r="587">
      <c r="D587" s="310"/>
      <c r="E587" s="311"/>
      <c r="L587" s="658"/>
    </row>
    <row r="588">
      <c r="D588" s="310"/>
      <c r="E588" s="311"/>
      <c r="L588" s="658"/>
    </row>
    <row r="589">
      <c r="D589" s="310"/>
      <c r="E589" s="311"/>
      <c r="L589" s="658"/>
    </row>
    <row r="590">
      <c r="D590" s="310"/>
      <c r="E590" s="311"/>
      <c r="L590" s="658"/>
    </row>
    <row r="591">
      <c r="D591" s="310"/>
      <c r="E591" s="311"/>
      <c r="L591" s="658"/>
    </row>
    <row r="592">
      <c r="D592" s="310"/>
      <c r="E592" s="311"/>
      <c r="L592" s="658"/>
    </row>
    <row r="593">
      <c r="D593" s="310"/>
      <c r="E593" s="311"/>
      <c r="L593" s="658"/>
    </row>
    <row r="594">
      <c r="D594" s="310"/>
      <c r="E594" s="311"/>
      <c r="L594" s="658"/>
    </row>
    <row r="595">
      <c r="D595" s="310"/>
      <c r="E595" s="311"/>
      <c r="L595" s="658"/>
    </row>
    <row r="596">
      <c r="D596" s="310"/>
      <c r="E596" s="311"/>
      <c r="L596" s="658"/>
    </row>
    <row r="597">
      <c r="D597" s="310"/>
      <c r="E597" s="311"/>
      <c r="L597" s="658"/>
    </row>
    <row r="598">
      <c r="D598" s="310"/>
      <c r="E598" s="311"/>
      <c r="L598" s="658"/>
    </row>
    <row r="599">
      <c r="D599" s="310"/>
      <c r="E599" s="311"/>
      <c r="L599" s="658"/>
    </row>
    <row r="600">
      <c r="D600" s="310"/>
      <c r="E600" s="311"/>
      <c r="L600" s="658"/>
    </row>
    <row r="601">
      <c r="D601" s="310"/>
      <c r="E601" s="311"/>
      <c r="L601" s="658"/>
    </row>
    <row r="602">
      <c r="D602" s="310"/>
      <c r="E602" s="311"/>
      <c r="L602" s="658"/>
    </row>
    <row r="603">
      <c r="D603" s="310"/>
      <c r="E603" s="311"/>
      <c r="L603" s="658"/>
    </row>
    <row r="604">
      <c r="D604" s="310"/>
      <c r="E604" s="311"/>
      <c r="L604" s="658"/>
    </row>
    <row r="605">
      <c r="D605" s="310"/>
      <c r="E605" s="311"/>
      <c r="L605" s="658"/>
    </row>
    <row r="606">
      <c r="D606" s="310"/>
      <c r="E606" s="311"/>
      <c r="L606" s="658"/>
    </row>
    <row r="607">
      <c r="D607" s="310"/>
      <c r="E607" s="311"/>
      <c r="L607" s="658"/>
    </row>
    <row r="608">
      <c r="D608" s="310"/>
      <c r="E608" s="311"/>
      <c r="L608" s="658"/>
    </row>
    <row r="609">
      <c r="D609" s="310"/>
      <c r="E609" s="311"/>
      <c r="L609" s="658"/>
    </row>
    <row r="610">
      <c r="D610" s="310"/>
      <c r="E610" s="311"/>
      <c r="L610" s="658"/>
    </row>
    <row r="611">
      <c r="D611" s="310"/>
      <c r="E611" s="311"/>
      <c r="L611" s="658"/>
    </row>
    <row r="612">
      <c r="D612" s="310"/>
      <c r="E612" s="311"/>
      <c r="L612" s="658"/>
    </row>
    <row r="613">
      <c r="D613" s="310"/>
      <c r="E613" s="311"/>
      <c r="L613" s="658"/>
    </row>
    <row r="614">
      <c r="D614" s="310"/>
      <c r="E614" s="311"/>
      <c r="L614" s="658"/>
    </row>
    <row r="615">
      <c r="D615" s="310"/>
      <c r="E615" s="311"/>
      <c r="L615" s="658"/>
    </row>
    <row r="616">
      <c r="D616" s="310"/>
      <c r="E616" s="311"/>
      <c r="L616" s="658"/>
    </row>
    <row r="617">
      <c r="D617" s="310"/>
      <c r="E617" s="311"/>
      <c r="L617" s="658"/>
    </row>
    <row r="618">
      <c r="D618" s="310"/>
      <c r="E618" s="311"/>
      <c r="L618" s="658"/>
    </row>
    <row r="619">
      <c r="D619" s="310"/>
      <c r="E619" s="311"/>
      <c r="L619" s="658"/>
    </row>
    <row r="620">
      <c r="D620" s="310"/>
      <c r="E620" s="311"/>
      <c r="L620" s="658"/>
    </row>
    <row r="621">
      <c r="D621" s="310"/>
      <c r="E621" s="311"/>
      <c r="L621" s="658"/>
    </row>
    <row r="622">
      <c r="D622" s="310"/>
      <c r="E622" s="311"/>
      <c r="L622" s="658"/>
    </row>
    <row r="623">
      <c r="D623" s="310"/>
      <c r="E623" s="311"/>
      <c r="L623" s="658"/>
    </row>
    <row r="624">
      <c r="D624" s="310"/>
      <c r="E624" s="311"/>
      <c r="L624" s="658"/>
    </row>
    <row r="625">
      <c r="D625" s="310"/>
      <c r="E625" s="311"/>
      <c r="L625" s="658"/>
    </row>
    <row r="626">
      <c r="D626" s="310"/>
      <c r="E626" s="311"/>
      <c r="L626" s="658"/>
    </row>
    <row r="627">
      <c r="D627" s="310"/>
      <c r="E627" s="311"/>
      <c r="L627" s="658"/>
    </row>
    <row r="628">
      <c r="D628" s="310"/>
      <c r="E628" s="311"/>
      <c r="L628" s="658"/>
    </row>
    <row r="629">
      <c r="D629" s="310"/>
      <c r="E629" s="311"/>
      <c r="L629" s="658"/>
    </row>
    <row r="630">
      <c r="D630" s="310"/>
      <c r="E630" s="311"/>
      <c r="L630" s="658"/>
    </row>
    <row r="631">
      <c r="D631" s="310"/>
      <c r="E631" s="311"/>
      <c r="L631" s="658"/>
    </row>
    <row r="632">
      <c r="D632" s="310"/>
      <c r="E632" s="311"/>
      <c r="L632" s="658"/>
    </row>
    <row r="633">
      <c r="D633" s="310"/>
      <c r="E633" s="311"/>
      <c r="L633" s="658"/>
    </row>
    <row r="634">
      <c r="D634" s="310"/>
      <c r="E634" s="311"/>
      <c r="L634" s="658"/>
    </row>
    <row r="635">
      <c r="D635" s="310"/>
      <c r="E635" s="311"/>
      <c r="L635" s="658"/>
    </row>
    <row r="636">
      <c r="D636" s="310"/>
      <c r="E636" s="311"/>
      <c r="L636" s="658"/>
    </row>
    <row r="637">
      <c r="D637" s="310"/>
      <c r="E637" s="311"/>
      <c r="L637" s="658"/>
    </row>
    <row r="638">
      <c r="D638" s="310"/>
      <c r="E638" s="311"/>
      <c r="L638" s="658"/>
    </row>
    <row r="639">
      <c r="D639" s="310"/>
      <c r="E639" s="311"/>
      <c r="L639" s="658"/>
    </row>
    <row r="640">
      <c r="D640" s="310"/>
      <c r="E640" s="311"/>
      <c r="L640" s="658"/>
    </row>
    <row r="641">
      <c r="D641" s="310"/>
      <c r="E641" s="311"/>
      <c r="L641" s="658"/>
    </row>
    <row r="642">
      <c r="D642" s="310"/>
      <c r="E642" s="311"/>
      <c r="L642" s="658"/>
    </row>
    <row r="643">
      <c r="D643" s="310"/>
      <c r="E643" s="311"/>
      <c r="L643" s="658"/>
    </row>
    <row r="644">
      <c r="D644" s="310"/>
      <c r="E644" s="311"/>
      <c r="L644" s="658"/>
    </row>
    <row r="645">
      <c r="D645" s="310"/>
      <c r="E645" s="311"/>
      <c r="L645" s="658"/>
    </row>
    <row r="646">
      <c r="D646" s="310"/>
      <c r="E646" s="311"/>
      <c r="L646" s="658"/>
    </row>
    <row r="647">
      <c r="D647" s="310"/>
      <c r="E647" s="311"/>
      <c r="L647" s="658"/>
    </row>
    <row r="648">
      <c r="D648" s="310"/>
      <c r="E648" s="311"/>
      <c r="L648" s="658"/>
    </row>
    <row r="649">
      <c r="D649" s="310"/>
      <c r="E649" s="311"/>
      <c r="L649" s="658"/>
    </row>
    <row r="650">
      <c r="D650" s="310"/>
      <c r="E650" s="311"/>
      <c r="L650" s="658"/>
    </row>
    <row r="651">
      <c r="D651" s="310"/>
      <c r="E651" s="311"/>
      <c r="L651" s="658"/>
    </row>
    <row r="652">
      <c r="D652" s="310"/>
      <c r="E652" s="311"/>
      <c r="L652" s="658"/>
    </row>
    <row r="653">
      <c r="D653" s="310"/>
      <c r="E653" s="311"/>
      <c r="L653" s="658"/>
    </row>
    <row r="654">
      <c r="D654" s="310"/>
      <c r="E654" s="311"/>
      <c r="L654" s="658"/>
    </row>
    <row r="655">
      <c r="D655" s="310"/>
      <c r="E655" s="311"/>
      <c r="L655" s="658"/>
    </row>
    <row r="656">
      <c r="D656" s="310"/>
      <c r="E656" s="311"/>
      <c r="L656" s="658"/>
    </row>
    <row r="657">
      <c r="D657" s="310"/>
      <c r="E657" s="311"/>
      <c r="L657" s="658"/>
    </row>
    <row r="658">
      <c r="D658" s="310"/>
      <c r="E658" s="311"/>
      <c r="L658" s="658"/>
    </row>
    <row r="659">
      <c r="D659" s="310"/>
      <c r="E659" s="311"/>
      <c r="L659" s="658"/>
    </row>
    <row r="660">
      <c r="D660" s="310"/>
      <c r="E660" s="311"/>
      <c r="L660" s="658"/>
    </row>
    <row r="661">
      <c r="D661" s="310"/>
      <c r="E661" s="311"/>
      <c r="L661" s="658"/>
    </row>
    <row r="662">
      <c r="D662" s="310"/>
      <c r="E662" s="311"/>
      <c r="L662" s="658"/>
    </row>
    <row r="663">
      <c r="D663" s="310"/>
      <c r="E663" s="311"/>
      <c r="L663" s="658"/>
    </row>
    <row r="664">
      <c r="D664" s="310"/>
      <c r="E664" s="311"/>
      <c r="L664" s="658"/>
    </row>
    <row r="665">
      <c r="D665" s="310"/>
      <c r="E665" s="311"/>
      <c r="L665" s="658"/>
    </row>
    <row r="666">
      <c r="D666" s="310"/>
      <c r="E666" s="311"/>
      <c r="L666" s="658"/>
    </row>
    <row r="667">
      <c r="D667" s="310"/>
      <c r="E667" s="311"/>
      <c r="L667" s="658"/>
    </row>
    <row r="668">
      <c r="D668" s="310"/>
      <c r="E668" s="311"/>
      <c r="L668" s="658"/>
    </row>
    <row r="669">
      <c r="D669" s="310"/>
      <c r="E669" s="311"/>
      <c r="L669" s="658"/>
    </row>
    <row r="670">
      <c r="D670" s="310"/>
      <c r="E670" s="311"/>
      <c r="L670" s="658"/>
    </row>
    <row r="671">
      <c r="D671" s="310"/>
      <c r="E671" s="311"/>
      <c r="L671" s="658"/>
    </row>
    <row r="672">
      <c r="D672" s="310"/>
      <c r="E672" s="311"/>
      <c r="L672" s="658"/>
    </row>
    <row r="673">
      <c r="D673" s="310"/>
      <c r="E673" s="311"/>
      <c r="L673" s="658"/>
    </row>
    <row r="674">
      <c r="D674" s="310"/>
      <c r="E674" s="311"/>
      <c r="L674" s="658"/>
    </row>
    <row r="675">
      <c r="D675" s="310"/>
      <c r="E675" s="311"/>
      <c r="L675" s="658"/>
    </row>
    <row r="676">
      <c r="D676" s="310"/>
      <c r="E676" s="311"/>
      <c r="L676" s="658"/>
    </row>
    <row r="677">
      <c r="D677" s="310"/>
      <c r="E677" s="311"/>
      <c r="L677" s="658"/>
    </row>
    <row r="678">
      <c r="D678" s="310"/>
      <c r="E678" s="311"/>
      <c r="L678" s="658"/>
    </row>
    <row r="679">
      <c r="D679" s="310"/>
      <c r="E679" s="311"/>
      <c r="L679" s="658"/>
    </row>
    <row r="680">
      <c r="D680" s="310"/>
      <c r="E680" s="311"/>
      <c r="L680" s="658"/>
    </row>
    <row r="681">
      <c r="D681" s="310"/>
      <c r="E681" s="311"/>
      <c r="L681" s="658"/>
    </row>
    <row r="682">
      <c r="D682" s="310"/>
      <c r="E682" s="311"/>
      <c r="L682" s="658"/>
    </row>
    <row r="683">
      <c r="D683" s="310"/>
      <c r="E683" s="311"/>
      <c r="L683" s="658"/>
    </row>
    <row r="684">
      <c r="D684" s="310"/>
      <c r="E684" s="311"/>
      <c r="L684" s="658"/>
    </row>
    <row r="685">
      <c r="D685" s="310"/>
      <c r="E685" s="311"/>
      <c r="L685" s="658"/>
    </row>
    <row r="686">
      <c r="D686" s="310"/>
      <c r="E686" s="311"/>
      <c r="L686" s="658"/>
    </row>
    <row r="687">
      <c r="D687" s="310"/>
      <c r="E687" s="311"/>
      <c r="L687" s="658"/>
    </row>
    <row r="688">
      <c r="D688" s="310"/>
      <c r="E688" s="311"/>
      <c r="L688" s="658"/>
    </row>
    <row r="689">
      <c r="D689" s="310"/>
      <c r="E689" s="311"/>
      <c r="L689" s="658"/>
    </row>
    <row r="690">
      <c r="D690" s="310"/>
      <c r="E690" s="311"/>
      <c r="L690" s="658"/>
    </row>
    <row r="691">
      <c r="D691" s="310"/>
      <c r="E691" s="311"/>
      <c r="L691" s="658"/>
    </row>
    <row r="692">
      <c r="D692" s="310"/>
      <c r="E692" s="311"/>
      <c r="L692" s="658"/>
    </row>
    <row r="693">
      <c r="D693" s="310"/>
      <c r="E693" s="311"/>
      <c r="L693" s="658"/>
    </row>
    <row r="694">
      <c r="D694" s="310"/>
      <c r="E694" s="311"/>
      <c r="L694" s="658"/>
    </row>
    <row r="695">
      <c r="D695" s="310"/>
      <c r="E695" s="311"/>
      <c r="L695" s="658"/>
    </row>
    <row r="696">
      <c r="D696" s="310"/>
      <c r="E696" s="311"/>
      <c r="L696" s="658"/>
    </row>
    <row r="697">
      <c r="D697" s="310"/>
      <c r="E697" s="311"/>
      <c r="L697" s="658"/>
    </row>
    <row r="698">
      <c r="D698" s="310"/>
      <c r="E698" s="311"/>
      <c r="L698" s="658"/>
    </row>
    <row r="699">
      <c r="D699" s="310"/>
      <c r="E699" s="311"/>
      <c r="L699" s="658"/>
    </row>
    <row r="700">
      <c r="D700" s="310"/>
      <c r="E700" s="311"/>
      <c r="L700" s="658"/>
    </row>
    <row r="701">
      <c r="D701" s="310"/>
      <c r="E701" s="311"/>
      <c r="L701" s="658"/>
    </row>
    <row r="702">
      <c r="D702" s="310"/>
      <c r="E702" s="311"/>
      <c r="L702" s="658"/>
    </row>
    <row r="703">
      <c r="L703" s="658"/>
    </row>
    <row r="704">
      <c r="L704" s="658"/>
    </row>
    <row r="705">
      <c r="L705" s="658"/>
    </row>
    <row r="706">
      <c r="L706" s="658"/>
    </row>
    <row r="707">
      <c r="L707" s="658"/>
    </row>
    <row r="708">
      <c r="L708" s="658"/>
    </row>
    <row r="709">
      <c r="L709" s="658"/>
    </row>
    <row r="710">
      <c r="L710" s="658"/>
    </row>
    <row r="711">
      <c r="L711" s="658"/>
    </row>
    <row r="712">
      <c r="L712" s="658"/>
    </row>
    <row r="713">
      <c r="L713" s="658"/>
    </row>
    <row r="714">
      <c r="L714" s="658"/>
    </row>
    <row r="715">
      <c r="L715" s="658"/>
    </row>
    <row r="716">
      <c r="L716" s="658"/>
    </row>
    <row r="717">
      <c r="L717" s="658"/>
    </row>
    <row r="718">
      <c r="L718" s="658"/>
    </row>
    <row r="719">
      <c r="L719" s="658"/>
    </row>
    <row r="720">
      <c r="L720" s="658"/>
    </row>
    <row r="721">
      <c r="L721" s="658"/>
    </row>
    <row r="722">
      <c r="L722" s="658"/>
    </row>
    <row r="723">
      <c r="L723" s="658"/>
    </row>
    <row r="724">
      <c r="L724" s="658"/>
    </row>
    <row r="725">
      <c r="L725" s="658"/>
    </row>
    <row r="726">
      <c r="L726" s="658"/>
    </row>
    <row r="727">
      <c r="L727" s="658"/>
    </row>
    <row r="728">
      <c r="L728" s="658"/>
    </row>
    <row r="729">
      <c r="L729" s="658"/>
    </row>
    <row r="730">
      <c r="L730" s="658"/>
    </row>
    <row r="731">
      <c r="L731" s="658"/>
    </row>
    <row r="732">
      <c r="L732" s="658"/>
    </row>
    <row r="733">
      <c r="L733" s="658"/>
    </row>
    <row r="734">
      <c r="L734" s="658"/>
    </row>
    <row r="735">
      <c r="L735" s="658"/>
    </row>
    <row r="736">
      <c r="L736" s="658"/>
    </row>
    <row r="737">
      <c r="L737" s="658"/>
    </row>
    <row r="738">
      <c r="L738" s="658"/>
    </row>
    <row r="739">
      <c r="L739" s="658"/>
    </row>
    <row r="740">
      <c r="L740" s="658"/>
    </row>
    <row r="741">
      <c r="L741" s="658"/>
    </row>
    <row r="742">
      <c r="L742" s="658"/>
    </row>
    <row r="743">
      <c r="L743" s="658"/>
    </row>
    <row r="744">
      <c r="L744" s="658"/>
    </row>
    <row r="745">
      <c r="L745" s="658"/>
    </row>
    <row r="746">
      <c r="L746" s="658"/>
    </row>
    <row r="747">
      <c r="L747" s="658"/>
    </row>
    <row r="748">
      <c r="L748" s="658"/>
    </row>
    <row r="749">
      <c r="L749" s="658"/>
    </row>
    <row r="750">
      <c r="L750" s="658"/>
    </row>
    <row r="751">
      <c r="L751" s="658"/>
    </row>
    <row r="752">
      <c r="L752" s="658"/>
    </row>
    <row r="753">
      <c r="L753" s="658"/>
    </row>
    <row r="754">
      <c r="L754" s="658"/>
    </row>
    <row r="755">
      <c r="L755" s="658"/>
    </row>
    <row r="756">
      <c r="L756" s="658"/>
    </row>
    <row r="757">
      <c r="L757" s="658"/>
    </row>
    <row r="758">
      <c r="L758" s="658"/>
    </row>
    <row r="759">
      <c r="L759" s="658"/>
    </row>
    <row r="760">
      <c r="L760" s="658"/>
    </row>
    <row r="761">
      <c r="L761" s="658"/>
    </row>
    <row r="762">
      <c r="L762" s="658"/>
    </row>
  </sheetData>
  <autoFilter ref="$A$1:$R$82"/>
  <mergeCells count="44">
    <mergeCell ref="G2:H2"/>
    <mergeCell ref="G3:H3"/>
    <mergeCell ref="G5:H5"/>
    <mergeCell ref="G6:H6"/>
    <mergeCell ref="G7:H7"/>
    <mergeCell ref="G8:H8"/>
    <mergeCell ref="G9:H9"/>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8:H28"/>
    <mergeCell ref="G29:H29"/>
    <mergeCell ref="G30:H30"/>
    <mergeCell ref="G31:H31"/>
    <mergeCell ref="G32:H32"/>
    <mergeCell ref="G33:H33"/>
    <mergeCell ref="G34:H34"/>
    <mergeCell ref="G35:H35"/>
    <mergeCell ref="G36:H36"/>
    <mergeCell ref="G37:H37"/>
    <mergeCell ref="G38:H38"/>
    <mergeCell ref="G39:H39"/>
    <mergeCell ref="G40:H40"/>
    <mergeCell ref="G51:H51"/>
    <mergeCell ref="G52:H52"/>
    <mergeCell ref="G41:H41"/>
    <mergeCell ref="G44:H44"/>
    <mergeCell ref="G45:H45"/>
    <mergeCell ref="G46:H46"/>
    <mergeCell ref="G47:H47"/>
    <mergeCell ref="G48:H48"/>
    <mergeCell ref="G50:H50"/>
  </mergeCells>
  <conditionalFormatting sqref="I83:I87">
    <cfRule type="expression" dxfId="5" priority="1">
      <formula>$L83=0</formula>
    </cfRule>
  </conditionalFormatting>
  <conditionalFormatting sqref="K1 K88:K762">
    <cfRule type="expression" dxfId="0" priority="2">
      <formula>K1&lt;45748.0</formula>
    </cfRule>
  </conditionalFormatting>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4" max="4" width="23.75"/>
    <col customWidth="1" min="5" max="5" width="38.25"/>
    <col customWidth="1" min="7" max="7" width="15.5"/>
    <col customWidth="1" min="9" max="9" width="21.25"/>
    <col customWidth="1" min="10" max="10" width="15.25"/>
    <col customWidth="1" min="11" max="11" width="14.63"/>
    <col customWidth="1" min="12" max="12" width="18.38"/>
  </cols>
  <sheetData>
    <row r="1">
      <c r="A1" s="366" t="s">
        <v>0</v>
      </c>
      <c r="B1" s="366" t="s">
        <v>1</v>
      </c>
      <c r="C1" s="366" t="s">
        <v>2</v>
      </c>
      <c r="D1" s="366" t="s">
        <v>603</v>
      </c>
      <c r="E1" s="366" t="s">
        <v>604</v>
      </c>
      <c r="F1" s="366" t="s">
        <v>4</v>
      </c>
      <c r="G1" s="366" t="s">
        <v>5</v>
      </c>
      <c r="H1" s="366" t="s">
        <v>6</v>
      </c>
      <c r="I1" s="366" t="s">
        <v>7</v>
      </c>
      <c r="J1" s="366" t="s">
        <v>8</v>
      </c>
      <c r="K1" s="660" t="s">
        <v>9</v>
      </c>
      <c r="L1" s="366" t="s">
        <v>10</v>
      </c>
      <c r="M1" s="366" t="s">
        <v>11</v>
      </c>
      <c r="N1" s="366" t="s">
        <v>12</v>
      </c>
    </row>
    <row r="2">
      <c r="A2" s="661" t="s">
        <v>16</v>
      </c>
      <c r="B2" s="662">
        <v>4320.0</v>
      </c>
      <c r="C2" s="663" t="s">
        <v>763</v>
      </c>
      <c r="D2" s="662">
        <v>0.0</v>
      </c>
      <c r="E2" s="661" t="s">
        <v>785</v>
      </c>
      <c r="F2" s="661" t="s">
        <v>822</v>
      </c>
      <c r="G2" s="661" t="s">
        <v>787</v>
      </c>
      <c r="H2" s="664"/>
      <c r="I2" s="665">
        <v>38089.0</v>
      </c>
      <c r="J2" s="666">
        <v>45789.0</v>
      </c>
      <c r="K2" s="660">
        <v>45930.0</v>
      </c>
      <c r="L2" s="611">
        <f>iferror(VLOOKUP(E2,'October 2025 Reference AI'!E:S,8,false),0)</f>
        <v>0</v>
      </c>
      <c r="M2" s="667">
        <v>45931.0</v>
      </c>
      <c r="N2" s="667">
        <v>45961.0</v>
      </c>
    </row>
    <row r="3">
      <c r="A3" s="661" t="s">
        <v>16</v>
      </c>
      <c r="B3" s="662">
        <v>4320.0</v>
      </c>
      <c r="C3" s="663" t="s">
        <v>763</v>
      </c>
      <c r="D3" s="662">
        <v>0.0</v>
      </c>
      <c r="E3" s="661" t="s">
        <v>261</v>
      </c>
      <c r="F3" s="661" t="s">
        <v>262</v>
      </c>
      <c r="G3" s="661" t="s">
        <v>263</v>
      </c>
      <c r="H3" s="664"/>
      <c r="I3" s="668">
        <v>36529.0</v>
      </c>
      <c r="J3" s="668">
        <v>45505.0</v>
      </c>
      <c r="K3" s="660">
        <v>45604.0</v>
      </c>
      <c r="L3" s="611">
        <f>iferror(VLOOKUP(E3,'October 2025 Reference AI'!E:S,8,false),0)</f>
        <v>0</v>
      </c>
      <c r="M3" s="667">
        <v>45931.0</v>
      </c>
      <c r="N3" s="667">
        <v>45961.0</v>
      </c>
    </row>
    <row r="4">
      <c r="A4" s="661" t="s">
        <v>16</v>
      </c>
      <c r="B4" s="662">
        <v>4320.0</v>
      </c>
      <c r="C4" s="663" t="s">
        <v>763</v>
      </c>
      <c r="D4" s="662">
        <v>0.0</v>
      </c>
      <c r="E4" s="661" t="s">
        <v>436</v>
      </c>
      <c r="F4" s="661" t="s">
        <v>362</v>
      </c>
      <c r="G4" s="661" t="s">
        <v>363</v>
      </c>
      <c r="H4" s="664"/>
      <c r="I4" s="665">
        <v>37149.0</v>
      </c>
      <c r="J4" s="668">
        <v>45397.0</v>
      </c>
      <c r="K4" s="660" t="s">
        <v>947</v>
      </c>
      <c r="L4" s="611">
        <f>iferror(VLOOKUP(E4,'October 2025 Reference AI'!E:S,8,false),0)</f>
        <v>31</v>
      </c>
      <c r="M4" s="667">
        <v>45931.0</v>
      </c>
      <c r="N4" s="667">
        <v>45961.0</v>
      </c>
    </row>
    <row r="5">
      <c r="A5" s="661" t="s">
        <v>16</v>
      </c>
      <c r="B5" s="662">
        <v>4320.0</v>
      </c>
      <c r="C5" s="663" t="s">
        <v>763</v>
      </c>
      <c r="D5" s="662">
        <v>0.0</v>
      </c>
      <c r="E5" s="661" t="s">
        <v>753</v>
      </c>
      <c r="F5" s="661" t="s">
        <v>754</v>
      </c>
      <c r="G5" s="661" t="s">
        <v>689</v>
      </c>
      <c r="H5" s="664"/>
      <c r="I5" s="665">
        <v>37214.0</v>
      </c>
      <c r="J5" s="668">
        <v>45691.0</v>
      </c>
      <c r="K5" s="660">
        <v>45848.0</v>
      </c>
      <c r="L5" s="611">
        <f>iferror(VLOOKUP(E5,'October 2025 Reference AI'!E:S,8,false),0)</f>
        <v>0</v>
      </c>
      <c r="M5" s="667">
        <v>45931.0</v>
      </c>
      <c r="N5" s="667">
        <v>45961.0</v>
      </c>
    </row>
    <row r="6">
      <c r="A6" s="661" t="s">
        <v>16</v>
      </c>
      <c r="B6" s="662">
        <v>4320.0</v>
      </c>
      <c r="C6" s="663" t="s">
        <v>763</v>
      </c>
      <c r="D6" s="662">
        <v>0.0</v>
      </c>
      <c r="E6" s="661" t="s">
        <v>310</v>
      </c>
      <c r="F6" s="661" t="s">
        <v>311</v>
      </c>
      <c r="G6" s="661" t="s">
        <v>312</v>
      </c>
      <c r="H6" s="664"/>
      <c r="I6" s="665">
        <v>36529.0</v>
      </c>
      <c r="J6" s="665">
        <v>45362.0</v>
      </c>
      <c r="K6" s="660">
        <v>45443.0</v>
      </c>
      <c r="L6" s="611">
        <f>iferror(VLOOKUP(E6,'October 2025 Reference AI'!E:S,8,false),0)</f>
        <v>0</v>
      </c>
      <c r="M6" s="667">
        <v>45931.0</v>
      </c>
      <c r="N6" s="667">
        <v>45961.0</v>
      </c>
    </row>
    <row r="7">
      <c r="A7" s="661" t="s">
        <v>16</v>
      </c>
      <c r="B7" s="662">
        <v>4320.0</v>
      </c>
      <c r="C7" s="663" t="s">
        <v>763</v>
      </c>
      <c r="D7" s="662">
        <v>0.0</v>
      </c>
      <c r="E7" s="669" t="s">
        <v>851</v>
      </c>
      <c r="F7" s="670" t="s">
        <v>852</v>
      </c>
      <c r="G7" s="670" t="s">
        <v>853</v>
      </c>
      <c r="H7" s="671"/>
      <c r="I7" s="672">
        <v>36113.0</v>
      </c>
      <c r="J7" s="672">
        <v>45810.0</v>
      </c>
      <c r="K7" s="660" t="s">
        <v>947</v>
      </c>
      <c r="L7" s="611">
        <f>iferror(VLOOKUP(E7,'October 2025 Reference AI'!E:S,8,false),0)</f>
        <v>31</v>
      </c>
      <c r="M7" s="667">
        <v>45931.0</v>
      </c>
      <c r="N7" s="667">
        <v>45961.0</v>
      </c>
    </row>
    <row r="8">
      <c r="A8" s="661" t="s">
        <v>16</v>
      </c>
      <c r="B8" s="662">
        <v>4320.0</v>
      </c>
      <c r="C8" s="663" t="s">
        <v>763</v>
      </c>
      <c r="D8" s="662">
        <v>0.0</v>
      </c>
      <c r="E8" s="661" t="s">
        <v>437</v>
      </c>
      <c r="F8" s="661" t="s">
        <v>22</v>
      </c>
      <c r="G8" s="661" t="s">
        <v>23</v>
      </c>
      <c r="H8" s="664"/>
      <c r="I8" s="668">
        <v>36358.0</v>
      </c>
      <c r="J8" s="673">
        <v>45027.0</v>
      </c>
      <c r="K8" s="660">
        <v>45603.0</v>
      </c>
      <c r="L8" s="611">
        <f>iferror(VLOOKUP(E8,'October 2025 Reference AI'!E:S,8,false),0)</f>
        <v>0</v>
      </c>
      <c r="M8" s="667">
        <v>45931.0</v>
      </c>
      <c r="N8" s="667">
        <v>45961.0</v>
      </c>
    </row>
    <row r="9">
      <c r="A9" s="661" t="s">
        <v>16</v>
      </c>
      <c r="B9" s="662">
        <v>4320.0</v>
      </c>
      <c r="C9" s="663" t="s">
        <v>763</v>
      </c>
      <c r="D9" s="662">
        <v>0.0</v>
      </c>
      <c r="E9" s="661" t="s">
        <v>561</v>
      </c>
      <c r="F9" s="661" t="s">
        <v>562</v>
      </c>
      <c r="G9" s="661" t="s">
        <v>563</v>
      </c>
      <c r="H9" s="664"/>
      <c r="I9" s="665">
        <v>36879.0</v>
      </c>
      <c r="J9" s="668">
        <v>45670.0</v>
      </c>
      <c r="K9" s="660">
        <v>45762.0</v>
      </c>
      <c r="L9" s="611">
        <f>iferror(VLOOKUP(E9,'October 2025 Reference AI'!E:S,8,false),0)</f>
        <v>0</v>
      </c>
      <c r="M9" s="667">
        <v>45931.0</v>
      </c>
      <c r="N9" s="667">
        <v>45961.0</v>
      </c>
    </row>
    <row r="10">
      <c r="A10" s="661" t="s">
        <v>16</v>
      </c>
      <c r="B10" s="662">
        <v>4320.0</v>
      </c>
      <c r="C10" s="663" t="s">
        <v>763</v>
      </c>
      <c r="D10" s="662">
        <v>0.0</v>
      </c>
      <c r="E10" s="661" t="s">
        <v>791</v>
      </c>
      <c r="F10" s="661" t="s">
        <v>821</v>
      </c>
      <c r="G10" s="661" t="s">
        <v>793</v>
      </c>
      <c r="H10" s="664"/>
      <c r="I10" s="665">
        <v>36197.0</v>
      </c>
      <c r="J10" s="666">
        <v>45782.0</v>
      </c>
      <c r="K10" s="660" t="s">
        <v>947</v>
      </c>
      <c r="L10" s="611">
        <f>iferror(VLOOKUP(E10,'October 2025 Reference AI'!E:S,8,false),0)</f>
        <v>31</v>
      </c>
      <c r="M10" s="667">
        <v>45931.0</v>
      </c>
      <c r="N10" s="667">
        <v>45961.0</v>
      </c>
    </row>
    <row r="11">
      <c r="A11" s="661" t="s">
        <v>16</v>
      </c>
      <c r="B11" s="662">
        <v>4320.0</v>
      </c>
      <c r="C11" s="663" t="s">
        <v>763</v>
      </c>
      <c r="D11" s="662">
        <v>0.0</v>
      </c>
      <c r="E11" s="661" t="s">
        <v>605</v>
      </c>
      <c r="F11" s="661" t="s">
        <v>25</v>
      </c>
      <c r="G11" s="661" t="s">
        <v>26</v>
      </c>
      <c r="H11" s="664"/>
      <c r="I11" s="674">
        <v>36860.0</v>
      </c>
      <c r="J11" s="668">
        <v>45124.0</v>
      </c>
      <c r="K11" s="660">
        <v>45527.0</v>
      </c>
      <c r="L11" s="611">
        <f>iferror(VLOOKUP(E11,'October 2025 Reference AI'!E:S,8,false),0)</f>
        <v>0</v>
      </c>
      <c r="M11" s="667">
        <v>45931.0</v>
      </c>
      <c r="N11" s="667">
        <v>45961.0</v>
      </c>
    </row>
    <row r="12">
      <c r="A12" s="661" t="s">
        <v>16</v>
      </c>
      <c r="B12" s="662">
        <v>4320.0</v>
      </c>
      <c r="C12" s="663" t="s">
        <v>763</v>
      </c>
      <c r="D12" s="662">
        <v>0.0</v>
      </c>
      <c r="E12" s="661" t="s">
        <v>407</v>
      </c>
      <c r="F12" s="661" t="s">
        <v>97</v>
      </c>
      <c r="G12" s="661" t="s">
        <v>98</v>
      </c>
      <c r="H12" s="664"/>
      <c r="I12" s="668">
        <v>36690.0</v>
      </c>
      <c r="J12" s="668">
        <v>44938.0</v>
      </c>
      <c r="K12" s="660" t="s">
        <v>947</v>
      </c>
      <c r="L12" s="611">
        <f>iferror(VLOOKUP(E12,'October 2025 Reference AI'!E:S,8,false),0)</f>
        <v>31</v>
      </c>
      <c r="M12" s="667">
        <v>45931.0</v>
      </c>
      <c r="N12" s="667">
        <v>45961.0</v>
      </c>
    </row>
    <row r="13">
      <c r="A13" s="661" t="s">
        <v>16</v>
      </c>
      <c r="B13" s="662">
        <v>4320.0</v>
      </c>
      <c r="C13" s="663" t="s">
        <v>763</v>
      </c>
      <c r="D13" s="662">
        <v>0.0</v>
      </c>
      <c r="E13" s="661" t="s">
        <v>473</v>
      </c>
      <c r="F13" s="661" t="s">
        <v>530</v>
      </c>
      <c r="G13" s="661" t="s">
        <v>475</v>
      </c>
      <c r="H13" s="664"/>
      <c r="I13" s="668">
        <v>37459.0</v>
      </c>
      <c r="J13" s="665">
        <v>45586.0</v>
      </c>
      <c r="K13" s="660">
        <v>45777.0</v>
      </c>
      <c r="L13" s="611">
        <f>iferror(VLOOKUP(E13,'October 2025 Reference AI'!E:S,8,false),0)</f>
        <v>0</v>
      </c>
      <c r="M13" s="667">
        <v>45931.0</v>
      </c>
      <c r="N13" s="667">
        <v>45961.0</v>
      </c>
    </row>
    <row r="14">
      <c r="A14" s="661" t="s">
        <v>16</v>
      </c>
      <c r="B14" s="662">
        <v>4320.0</v>
      </c>
      <c r="C14" s="663" t="s">
        <v>763</v>
      </c>
      <c r="D14" s="662">
        <v>0.0</v>
      </c>
      <c r="E14" s="661" t="s">
        <v>313</v>
      </c>
      <c r="F14" s="661" t="s">
        <v>314</v>
      </c>
      <c r="G14" s="661" t="s">
        <v>315</v>
      </c>
      <c r="H14" s="664"/>
      <c r="I14" s="668">
        <v>35619.0</v>
      </c>
      <c r="J14" s="665">
        <v>45369.0</v>
      </c>
      <c r="K14" s="660">
        <v>45399.0</v>
      </c>
      <c r="L14" s="611">
        <f>iferror(VLOOKUP(E14,'October 2025 Reference AI'!E:S,8,false),0)</f>
        <v>0</v>
      </c>
      <c r="M14" s="667">
        <v>45931.0</v>
      </c>
      <c r="N14" s="667">
        <v>45961.0</v>
      </c>
    </row>
    <row r="15">
      <c r="A15" s="661" t="s">
        <v>16</v>
      </c>
      <c r="B15" s="662">
        <v>4320.0</v>
      </c>
      <c r="C15" s="663" t="s">
        <v>763</v>
      </c>
      <c r="D15" s="662">
        <v>0.0</v>
      </c>
      <c r="E15" s="661" t="s">
        <v>408</v>
      </c>
      <c r="F15" s="661" t="s">
        <v>409</v>
      </c>
      <c r="G15" s="661" t="s">
        <v>410</v>
      </c>
      <c r="H15" s="664"/>
      <c r="I15" s="665">
        <v>37978.0</v>
      </c>
      <c r="J15" s="668">
        <v>45453.0</v>
      </c>
      <c r="K15" s="660">
        <v>45821.0</v>
      </c>
      <c r="L15" s="611">
        <f>iferror(VLOOKUP(E15,'October 2025 Reference AI'!E:S,8,false),0)</f>
        <v>0</v>
      </c>
      <c r="M15" s="667">
        <v>45931.0</v>
      </c>
      <c r="N15" s="667">
        <v>45961.0</v>
      </c>
    </row>
    <row r="16">
      <c r="A16" s="661" t="s">
        <v>16</v>
      </c>
      <c r="B16" s="662">
        <v>4320.0</v>
      </c>
      <c r="C16" s="663" t="s">
        <v>763</v>
      </c>
      <c r="D16" s="662">
        <v>0.0</v>
      </c>
      <c r="E16" s="663" t="s">
        <v>928</v>
      </c>
      <c r="F16" s="661" t="s">
        <v>731</v>
      </c>
      <c r="G16" s="661" t="s">
        <v>732</v>
      </c>
      <c r="H16" s="664"/>
      <c r="I16" s="665">
        <v>38263.0</v>
      </c>
      <c r="J16" s="665">
        <v>45355.0</v>
      </c>
      <c r="K16" s="660"/>
      <c r="L16" s="611">
        <f>iferror(VLOOKUP(E16,'October 2025 Reference AI'!E:S,8,false),0)</f>
        <v>31</v>
      </c>
      <c r="M16" s="667">
        <v>45931.0</v>
      </c>
      <c r="N16" s="667">
        <v>45961.0</v>
      </c>
    </row>
    <row r="17">
      <c r="A17" s="661" t="s">
        <v>16</v>
      </c>
      <c r="B17" s="662">
        <v>4320.0</v>
      </c>
      <c r="C17" s="663" t="s">
        <v>763</v>
      </c>
      <c r="D17" s="662">
        <v>0.0</v>
      </c>
      <c r="E17" s="661" t="s">
        <v>606</v>
      </c>
      <c r="F17" s="661" t="s">
        <v>607</v>
      </c>
      <c r="G17" s="661" t="s">
        <v>608</v>
      </c>
      <c r="H17" s="664"/>
      <c r="I17" s="665">
        <v>33844.0</v>
      </c>
      <c r="J17" s="666">
        <v>45778.0</v>
      </c>
      <c r="K17" s="660">
        <v>45882.0</v>
      </c>
      <c r="L17" s="611">
        <f>iferror(VLOOKUP(E17,'October 2025 Reference AI'!E:S,8,false),0)</f>
        <v>0</v>
      </c>
      <c r="M17" s="667">
        <v>45931.0</v>
      </c>
      <c r="N17" s="667">
        <v>45961.0</v>
      </c>
    </row>
    <row r="18">
      <c r="A18" s="661" t="s">
        <v>16</v>
      </c>
      <c r="B18" s="662">
        <v>4320.0</v>
      </c>
      <c r="C18" s="663" t="s">
        <v>763</v>
      </c>
      <c r="D18" s="662">
        <v>0.0</v>
      </c>
      <c r="E18" s="661" t="s">
        <v>609</v>
      </c>
      <c r="F18" s="661" t="s">
        <v>31</v>
      </c>
      <c r="G18" s="661" t="s">
        <v>32</v>
      </c>
      <c r="H18" s="664"/>
      <c r="I18" s="668">
        <v>35997.0</v>
      </c>
      <c r="J18" s="666">
        <v>45061.0</v>
      </c>
      <c r="K18" s="660">
        <v>45569.0</v>
      </c>
      <c r="L18" s="611">
        <f>iferror(VLOOKUP(E18,'October 2025 Reference AI'!E:S,8,false),0)</f>
        <v>0</v>
      </c>
      <c r="M18" s="667">
        <v>45931.0</v>
      </c>
      <c r="N18" s="667">
        <v>45961.0</v>
      </c>
    </row>
    <row r="19">
      <c r="A19" s="661" t="s">
        <v>16</v>
      </c>
      <c r="B19" s="662">
        <v>4320.0</v>
      </c>
      <c r="C19" s="663" t="s">
        <v>763</v>
      </c>
      <c r="D19" s="662">
        <v>0.0</v>
      </c>
      <c r="E19" s="661" t="s">
        <v>246</v>
      </c>
      <c r="F19" s="661" t="s">
        <v>247</v>
      </c>
      <c r="G19" s="661" t="s">
        <v>248</v>
      </c>
      <c r="H19" s="664"/>
      <c r="I19" s="668">
        <v>36501.0</v>
      </c>
      <c r="J19" s="665">
        <v>45246.0</v>
      </c>
      <c r="K19" s="660" t="s">
        <v>947</v>
      </c>
      <c r="L19" s="611">
        <f>iferror(VLOOKUP(E19,'October 2025 Reference AI'!E:S,8,false),0)</f>
        <v>31</v>
      </c>
      <c r="M19" s="667">
        <v>45931.0</v>
      </c>
      <c r="N19" s="667">
        <v>45961.0</v>
      </c>
    </row>
    <row r="20">
      <c r="A20" s="661" t="s">
        <v>16</v>
      </c>
      <c r="B20" s="662">
        <v>4320.0</v>
      </c>
      <c r="C20" s="663" t="s">
        <v>763</v>
      </c>
      <c r="D20" s="662">
        <v>0.0</v>
      </c>
      <c r="E20" s="661" t="s">
        <v>380</v>
      </c>
      <c r="F20" s="661" t="s">
        <v>381</v>
      </c>
      <c r="G20" s="661" t="s">
        <v>382</v>
      </c>
      <c r="H20" s="664"/>
      <c r="I20" s="665">
        <v>35669.0</v>
      </c>
      <c r="J20" s="668">
        <v>45418.0</v>
      </c>
      <c r="K20" s="660">
        <v>45481.0</v>
      </c>
      <c r="L20" s="611">
        <f>iferror(VLOOKUP(E20,'October 2025 Reference AI'!E:S,8,false),0)</f>
        <v>0</v>
      </c>
      <c r="M20" s="667">
        <v>45931.0</v>
      </c>
      <c r="N20" s="667">
        <v>45961.0</v>
      </c>
    </row>
    <row r="21">
      <c r="A21" s="661" t="s">
        <v>16</v>
      </c>
      <c r="B21" s="662">
        <v>4320.0</v>
      </c>
      <c r="C21" s="663" t="s">
        <v>763</v>
      </c>
      <c r="D21" s="662">
        <v>0.0</v>
      </c>
      <c r="E21" s="661" t="s">
        <v>610</v>
      </c>
      <c r="F21" s="661" t="s">
        <v>611</v>
      </c>
      <c r="G21" s="661" t="s">
        <v>612</v>
      </c>
      <c r="H21" s="664"/>
      <c r="I21" s="665">
        <v>35400.0</v>
      </c>
      <c r="J21" s="666">
        <v>45061.0</v>
      </c>
      <c r="K21" s="660">
        <v>45503.0</v>
      </c>
      <c r="L21" s="611">
        <f>iferror(VLOOKUP(E21,'October 2025 Reference AI'!E:S,8,false),0)</f>
        <v>0</v>
      </c>
      <c r="M21" s="667">
        <v>45931.0</v>
      </c>
      <c r="N21" s="667">
        <v>45961.0</v>
      </c>
    </row>
    <row r="22">
      <c r="A22" s="661" t="s">
        <v>16</v>
      </c>
      <c r="B22" s="662">
        <v>4320.0</v>
      </c>
      <c r="C22" s="663" t="s">
        <v>763</v>
      </c>
      <c r="D22" s="662">
        <v>0.0</v>
      </c>
      <c r="E22" s="661" t="s">
        <v>613</v>
      </c>
      <c r="F22" s="661" t="s">
        <v>34</v>
      </c>
      <c r="G22" s="661" t="s">
        <v>35</v>
      </c>
      <c r="H22" s="664"/>
      <c r="I22" s="665">
        <v>35053.0</v>
      </c>
      <c r="J22" s="668">
        <v>45173.0</v>
      </c>
      <c r="K22" s="660">
        <v>45322.0</v>
      </c>
      <c r="L22" s="611">
        <f>iferror(VLOOKUP(E22,'October 2025 Reference AI'!E:S,8,false),0)</f>
        <v>0</v>
      </c>
      <c r="M22" s="667">
        <v>45931.0</v>
      </c>
      <c r="N22" s="667">
        <v>45961.0</v>
      </c>
    </row>
    <row r="23">
      <c r="A23" s="661" t="s">
        <v>16</v>
      </c>
      <c r="B23" s="662">
        <v>4320.0</v>
      </c>
      <c r="C23" s="663" t="s">
        <v>763</v>
      </c>
      <c r="D23" s="662">
        <v>0.0</v>
      </c>
      <c r="E23" s="661" t="s">
        <v>564</v>
      </c>
      <c r="F23" s="661" t="s">
        <v>565</v>
      </c>
      <c r="G23" s="661" t="s">
        <v>566</v>
      </c>
      <c r="H23" s="664"/>
      <c r="I23" s="668">
        <v>34799.0</v>
      </c>
      <c r="J23" s="668">
        <v>45670.0</v>
      </c>
      <c r="K23" s="660" t="s">
        <v>947</v>
      </c>
      <c r="L23" s="611">
        <f>iferror(VLOOKUP(E23,'October 2025 Reference AI'!E:S,8,false),0)</f>
        <v>31</v>
      </c>
      <c r="M23" s="667">
        <v>45931.0</v>
      </c>
      <c r="N23" s="667">
        <v>45961.0</v>
      </c>
    </row>
    <row r="24">
      <c r="A24" s="661" t="s">
        <v>16</v>
      </c>
      <c r="B24" s="662">
        <v>4320.0</v>
      </c>
      <c r="C24" s="663" t="s">
        <v>763</v>
      </c>
      <c r="D24" s="662">
        <v>0.0</v>
      </c>
      <c r="E24" s="661" t="s">
        <v>552</v>
      </c>
      <c r="F24" s="661" t="s">
        <v>553</v>
      </c>
      <c r="G24" s="661" t="s">
        <v>554</v>
      </c>
      <c r="H24" s="664"/>
      <c r="I24" s="668">
        <v>36904.0</v>
      </c>
      <c r="J24" s="668">
        <v>45663.0</v>
      </c>
      <c r="K24" s="660">
        <v>45412.0</v>
      </c>
      <c r="L24" s="611">
        <f>iferror(VLOOKUP(E24,'October 2025 Reference AI'!E:S,8,false),0)</f>
        <v>0</v>
      </c>
      <c r="M24" s="667">
        <v>45931.0</v>
      </c>
      <c r="N24" s="667">
        <v>45961.0</v>
      </c>
    </row>
    <row r="25">
      <c r="A25" s="661" t="s">
        <v>16</v>
      </c>
      <c r="B25" s="662">
        <v>4320.0</v>
      </c>
      <c r="C25" s="663" t="s">
        <v>763</v>
      </c>
      <c r="D25" s="662">
        <v>0.0</v>
      </c>
      <c r="E25" s="661" t="s">
        <v>614</v>
      </c>
      <c r="F25" s="661" t="s">
        <v>232</v>
      </c>
      <c r="G25" s="661" t="s">
        <v>233</v>
      </c>
      <c r="H25" s="664"/>
      <c r="I25" s="668">
        <v>36634.0</v>
      </c>
      <c r="J25" s="665">
        <v>45250.0</v>
      </c>
      <c r="K25" s="660">
        <v>45428.0</v>
      </c>
      <c r="L25" s="611">
        <f>iferror(VLOOKUP(E25,'October 2025 Reference AI'!E:S,8,false),0)</f>
        <v>0</v>
      </c>
      <c r="M25" s="667">
        <v>45931.0</v>
      </c>
      <c r="N25" s="667">
        <v>45961.0</v>
      </c>
    </row>
    <row r="26">
      <c r="A26" s="661" t="s">
        <v>16</v>
      </c>
      <c r="B26" s="662">
        <v>4320.0</v>
      </c>
      <c r="C26" s="663" t="s">
        <v>763</v>
      </c>
      <c r="D26" s="662">
        <v>0.0</v>
      </c>
      <c r="E26" s="661" t="s">
        <v>36</v>
      </c>
      <c r="F26" s="661" t="s">
        <v>37</v>
      </c>
      <c r="G26" s="661" t="s">
        <v>38</v>
      </c>
      <c r="H26" s="664"/>
      <c r="I26" s="668">
        <v>33408.0</v>
      </c>
      <c r="J26" s="668">
        <v>45078.0</v>
      </c>
      <c r="K26" s="660">
        <v>45366.0</v>
      </c>
      <c r="L26" s="611">
        <f>iferror(VLOOKUP(E26,'October 2025 Reference AI'!E:S,8,false),0)</f>
        <v>0</v>
      </c>
      <c r="M26" s="667">
        <v>45931.0</v>
      </c>
      <c r="N26" s="667">
        <v>45961.0</v>
      </c>
    </row>
    <row r="27">
      <c r="A27" s="661" t="s">
        <v>16</v>
      </c>
      <c r="B27" s="662">
        <v>4320.0</v>
      </c>
      <c r="C27" s="663" t="s">
        <v>763</v>
      </c>
      <c r="D27" s="662">
        <v>0.0</v>
      </c>
      <c r="E27" s="661" t="s">
        <v>39</v>
      </c>
      <c r="F27" s="661" t="s">
        <v>40</v>
      </c>
      <c r="G27" s="661" t="s">
        <v>41</v>
      </c>
      <c r="H27" s="664"/>
      <c r="I27" s="668">
        <v>35983.0</v>
      </c>
      <c r="J27" s="668">
        <v>45082.0</v>
      </c>
      <c r="K27" s="660">
        <v>45362.0</v>
      </c>
      <c r="L27" s="611">
        <f>iferror(VLOOKUP(E27,'October 2025 Reference AI'!E:S,8,false),0)</f>
        <v>0</v>
      </c>
      <c r="M27" s="667">
        <v>45931.0</v>
      </c>
      <c r="N27" s="667">
        <v>45961.0</v>
      </c>
    </row>
    <row r="28">
      <c r="A28" s="661" t="s">
        <v>16</v>
      </c>
      <c r="B28" s="662">
        <v>4320.0</v>
      </c>
      <c r="C28" s="663" t="s">
        <v>763</v>
      </c>
      <c r="D28" s="662">
        <v>0.0</v>
      </c>
      <c r="E28" s="661" t="s">
        <v>615</v>
      </c>
      <c r="F28" s="661" t="s">
        <v>365</v>
      </c>
      <c r="G28" s="661" t="s">
        <v>366</v>
      </c>
      <c r="H28" s="664"/>
      <c r="I28" s="668">
        <v>36703.0</v>
      </c>
      <c r="J28" s="668">
        <v>45411.0</v>
      </c>
      <c r="K28" s="660">
        <v>45432.0</v>
      </c>
      <c r="L28" s="611">
        <f>iferror(VLOOKUP(E28,'October 2025 Reference AI'!E:S,8,false),0)</f>
        <v>0</v>
      </c>
      <c r="M28" s="667">
        <v>45931.0</v>
      </c>
      <c r="N28" s="667">
        <v>45961.0</v>
      </c>
    </row>
    <row r="29">
      <c r="A29" s="661" t="s">
        <v>16</v>
      </c>
      <c r="B29" s="662">
        <v>4320.0</v>
      </c>
      <c r="C29" s="663" t="s">
        <v>763</v>
      </c>
      <c r="D29" s="662">
        <v>0.0</v>
      </c>
      <c r="E29" s="661" t="s">
        <v>234</v>
      </c>
      <c r="F29" s="661" t="s">
        <v>235</v>
      </c>
      <c r="G29" s="661" t="s">
        <v>236</v>
      </c>
      <c r="H29" s="664"/>
      <c r="I29" s="668">
        <v>33048.0</v>
      </c>
      <c r="J29" s="665">
        <v>45243.0</v>
      </c>
      <c r="K29" s="660">
        <v>45329.0</v>
      </c>
      <c r="L29" s="611">
        <f>iferror(VLOOKUP(E29,'October 2025 Reference AI'!E:S,8,false),0)</f>
        <v>0</v>
      </c>
      <c r="M29" s="667">
        <v>45931.0</v>
      </c>
      <c r="N29" s="667">
        <v>45961.0</v>
      </c>
    </row>
    <row r="30">
      <c r="A30" s="661" t="s">
        <v>16</v>
      </c>
      <c r="B30" s="662">
        <v>4320.0</v>
      </c>
      <c r="C30" s="663" t="s">
        <v>763</v>
      </c>
      <c r="D30" s="662">
        <v>0.0</v>
      </c>
      <c r="E30" s="661" t="s">
        <v>616</v>
      </c>
      <c r="F30" s="661" t="s">
        <v>617</v>
      </c>
      <c r="G30" s="661" t="s">
        <v>618</v>
      </c>
      <c r="H30" s="664"/>
      <c r="I30" s="668">
        <v>35082.0</v>
      </c>
      <c r="J30" s="665">
        <v>45194.0</v>
      </c>
      <c r="K30" s="660">
        <v>45199.0</v>
      </c>
      <c r="L30" s="611">
        <f>iferror(VLOOKUP(E30,'October 2025 Reference AI'!E:S,8,false),0)</f>
        <v>0</v>
      </c>
      <c r="M30" s="667">
        <v>45931.0</v>
      </c>
      <c r="N30" s="667">
        <v>45961.0</v>
      </c>
    </row>
    <row r="31">
      <c r="A31" s="661" t="s">
        <v>16</v>
      </c>
      <c r="B31" s="662">
        <v>4320.0</v>
      </c>
      <c r="C31" s="663" t="s">
        <v>763</v>
      </c>
      <c r="D31" s="662">
        <v>0.0</v>
      </c>
      <c r="E31" s="661" t="s">
        <v>316</v>
      </c>
      <c r="F31" s="661" t="s">
        <v>317</v>
      </c>
      <c r="G31" s="661" t="s">
        <v>318</v>
      </c>
      <c r="H31" s="664"/>
      <c r="I31" s="668">
        <v>37274.0</v>
      </c>
      <c r="J31" s="665">
        <v>45362.0</v>
      </c>
      <c r="K31" s="660">
        <v>45688.0</v>
      </c>
      <c r="L31" s="611">
        <f>iferror(VLOOKUP(E31,'October 2025 Reference AI'!E:S,8,false),0)</f>
        <v>0</v>
      </c>
      <c r="M31" s="667">
        <v>45931.0</v>
      </c>
      <c r="N31" s="667">
        <v>45961.0</v>
      </c>
    </row>
    <row r="32">
      <c r="A32" s="661" t="s">
        <v>16</v>
      </c>
      <c r="B32" s="662">
        <v>4320.0</v>
      </c>
      <c r="C32" s="663" t="s">
        <v>763</v>
      </c>
      <c r="D32" s="662">
        <v>0.0</v>
      </c>
      <c r="E32" s="661" t="s">
        <v>264</v>
      </c>
      <c r="F32" s="661" t="s">
        <v>265</v>
      </c>
      <c r="G32" s="661" t="s">
        <v>266</v>
      </c>
      <c r="H32" s="664"/>
      <c r="I32" s="666">
        <v>37398.0</v>
      </c>
      <c r="J32" s="668">
        <v>45096.0</v>
      </c>
      <c r="K32" s="660" t="s">
        <v>947</v>
      </c>
      <c r="L32" s="611">
        <f>iferror(VLOOKUP(E32,'October 2025 Reference AI'!E:S,8,false),0)</f>
        <v>31</v>
      </c>
      <c r="M32" s="667">
        <v>45931.0</v>
      </c>
      <c r="N32" s="667">
        <v>45961.0</v>
      </c>
    </row>
    <row r="33">
      <c r="A33" s="661" t="s">
        <v>16</v>
      </c>
      <c r="B33" s="662">
        <v>4320.0</v>
      </c>
      <c r="C33" s="663" t="s">
        <v>763</v>
      </c>
      <c r="D33" s="662">
        <v>0.0</v>
      </c>
      <c r="E33" s="661" t="s">
        <v>411</v>
      </c>
      <c r="F33" s="661" t="s">
        <v>412</v>
      </c>
      <c r="G33" s="661" t="s">
        <v>413</v>
      </c>
      <c r="H33" s="664"/>
      <c r="I33" s="665">
        <v>33230.0</v>
      </c>
      <c r="J33" s="668">
        <v>45453.0</v>
      </c>
      <c r="K33" s="660" t="s">
        <v>947</v>
      </c>
      <c r="L33" s="611">
        <f>iferror(VLOOKUP(E33,'October 2025 Reference AI'!E:S,8,false),0)</f>
        <v>31</v>
      </c>
      <c r="M33" s="667">
        <v>45931.0</v>
      </c>
      <c r="N33" s="667">
        <v>45961.0</v>
      </c>
    </row>
    <row r="34">
      <c r="A34" s="661" t="s">
        <v>16</v>
      </c>
      <c r="B34" s="662">
        <v>4320.0</v>
      </c>
      <c r="C34" s="663" t="s">
        <v>763</v>
      </c>
      <c r="D34" s="662">
        <v>0.0</v>
      </c>
      <c r="E34" s="661" t="s">
        <v>800</v>
      </c>
      <c r="F34" s="661" t="s">
        <v>824</v>
      </c>
      <c r="G34" s="661" t="s">
        <v>802</v>
      </c>
      <c r="H34" s="664"/>
      <c r="I34" s="665">
        <v>36939.0</v>
      </c>
      <c r="J34" s="666">
        <v>45789.0</v>
      </c>
      <c r="K34" s="660">
        <v>45915.0</v>
      </c>
      <c r="L34" s="611">
        <f>iferror(VLOOKUP(E34,'October 2025 Reference AI'!E:S,8,false),0)</f>
        <v>0</v>
      </c>
      <c r="M34" s="667">
        <v>45931.0</v>
      </c>
      <c r="N34" s="667">
        <v>45961.0</v>
      </c>
    </row>
    <row r="35">
      <c r="A35" s="661" t="s">
        <v>16</v>
      </c>
      <c r="B35" s="662">
        <v>4320.0</v>
      </c>
      <c r="C35" s="663" t="s">
        <v>763</v>
      </c>
      <c r="D35" s="662">
        <v>0.0</v>
      </c>
      <c r="E35" s="669" t="s">
        <v>845</v>
      </c>
      <c r="F35" s="670" t="s">
        <v>846</v>
      </c>
      <c r="G35" s="670" t="s">
        <v>847</v>
      </c>
      <c r="H35" s="671"/>
      <c r="I35" s="675">
        <v>34794.0</v>
      </c>
      <c r="J35" s="676">
        <v>45809.0</v>
      </c>
      <c r="K35" s="660">
        <v>45896.0</v>
      </c>
      <c r="L35" s="611">
        <f>iferror(VLOOKUP(E35,'October 2025 Reference AI'!E:S,8,false),0)</f>
        <v>0</v>
      </c>
      <c r="M35" s="667">
        <v>45931.0</v>
      </c>
      <c r="N35" s="667">
        <v>45961.0</v>
      </c>
    </row>
    <row r="36">
      <c r="A36" s="661" t="s">
        <v>16</v>
      </c>
      <c r="B36" s="662">
        <v>4320.0</v>
      </c>
      <c r="C36" s="663" t="s">
        <v>763</v>
      </c>
      <c r="D36" s="662">
        <v>0.0</v>
      </c>
      <c r="E36" s="661" t="s">
        <v>690</v>
      </c>
      <c r="F36" s="661" t="s">
        <v>755</v>
      </c>
      <c r="G36" s="661" t="s">
        <v>692</v>
      </c>
      <c r="H36" s="664"/>
      <c r="I36" s="668">
        <v>37137.0</v>
      </c>
      <c r="J36" s="668">
        <v>45691.0</v>
      </c>
      <c r="K36" s="660" t="s">
        <v>947</v>
      </c>
      <c r="L36" s="611">
        <f>iferror(VLOOKUP(E36,'October 2025 Reference AI'!E:S,8,false),0)</f>
        <v>31</v>
      </c>
      <c r="M36" s="667">
        <v>45931.0</v>
      </c>
      <c r="N36" s="667">
        <v>45961.0</v>
      </c>
    </row>
    <row r="37">
      <c r="A37" s="661" t="s">
        <v>16</v>
      </c>
      <c r="B37" s="662">
        <v>4320.0</v>
      </c>
      <c r="C37" s="663" t="s">
        <v>763</v>
      </c>
      <c r="D37" s="662">
        <v>0.0</v>
      </c>
      <c r="E37" s="661" t="s">
        <v>917</v>
      </c>
      <c r="F37" s="661" t="s">
        <v>694</v>
      </c>
      <c r="G37" s="661" t="s">
        <v>695</v>
      </c>
      <c r="H37" s="664"/>
      <c r="I37" s="668">
        <v>35599.0</v>
      </c>
      <c r="J37" s="665">
        <v>45712.0</v>
      </c>
      <c r="K37" s="660" t="s">
        <v>947</v>
      </c>
      <c r="L37" s="611">
        <f>iferror(VLOOKUP(E37,'October 2025 Reference AI'!E:S,8,false),0)</f>
        <v>31</v>
      </c>
      <c r="M37" s="667">
        <v>45931.0</v>
      </c>
      <c r="N37" s="667">
        <v>45961.0</v>
      </c>
    </row>
    <row r="38">
      <c r="A38" s="661" t="s">
        <v>16</v>
      </c>
      <c r="B38" s="662">
        <v>4320.0</v>
      </c>
      <c r="C38" s="663" t="s">
        <v>763</v>
      </c>
      <c r="D38" s="662">
        <v>0.0</v>
      </c>
      <c r="E38" s="661" t="s">
        <v>282</v>
      </c>
      <c r="F38" s="661" t="s">
        <v>283</v>
      </c>
      <c r="G38" s="661" t="s">
        <v>284</v>
      </c>
      <c r="H38" s="664"/>
      <c r="I38" s="665">
        <v>35047.0</v>
      </c>
      <c r="J38" s="665">
        <v>45257.0</v>
      </c>
      <c r="K38" s="660" t="s">
        <v>947</v>
      </c>
      <c r="L38" s="611">
        <f>iferror(VLOOKUP(E38,'October 2025 Reference AI'!E:S,8,false),0)</f>
        <v>31</v>
      </c>
      <c r="M38" s="667">
        <v>45931.0</v>
      </c>
      <c r="N38" s="667">
        <v>45961.0</v>
      </c>
    </row>
    <row r="39">
      <c r="A39" s="661" t="s">
        <v>16</v>
      </c>
      <c r="B39" s="662">
        <v>4320.0</v>
      </c>
      <c r="C39" s="663" t="s">
        <v>763</v>
      </c>
      <c r="D39" s="662">
        <v>0.0</v>
      </c>
      <c r="E39" s="661" t="s">
        <v>481</v>
      </c>
      <c r="F39" s="661" t="s">
        <v>531</v>
      </c>
      <c r="G39" s="661" t="s">
        <v>482</v>
      </c>
      <c r="H39" s="664"/>
      <c r="I39" s="668">
        <v>35096.0</v>
      </c>
      <c r="J39" s="668">
        <v>45602.0</v>
      </c>
      <c r="K39" s="660" t="s">
        <v>947</v>
      </c>
      <c r="L39" s="611">
        <f>iferror(VLOOKUP(E39,'October 2025 Reference AI'!E:S,8,false),0)</f>
        <v>31</v>
      </c>
      <c r="M39" s="667">
        <v>45931.0</v>
      </c>
      <c r="N39" s="667">
        <v>45961.0</v>
      </c>
    </row>
    <row r="40">
      <c r="A40" s="661" t="s">
        <v>16</v>
      </c>
      <c r="B40" s="662">
        <v>4320.0</v>
      </c>
      <c r="C40" s="663" t="s">
        <v>763</v>
      </c>
      <c r="D40" s="662">
        <v>0.0</v>
      </c>
      <c r="E40" s="661" t="s">
        <v>45</v>
      </c>
      <c r="F40" s="661" t="s">
        <v>46</v>
      </c>
      <c r="G40" s="661" t="s">
        <v>47</v>
      </c>
      <c r="H40" s="664"/>
      <c r="I40" s="673">
        <v>37370.0</v>
      </c>
      <c r="J40" s="668">
        <v>44739.0</v>
      </c>
      <c r="K40" s="660" t="s">
        <v>947</v>
      </c>
      <c r="L40" s="611">
        <f>iferror(VLOOKUP(E40,'October 2025 Reference AI'!E:S,8,false),0)</f>
        <v>31</v>
      </c>
      <c r="M40" s="667">
        <v>45931.0</v>
      </c>
      <c r="N40" s="667">
        <v>45961.0</v>
      </c>
    </row>
    <row r="41">
      <c r="A41" s="661" t="s">
        <v>16</v>
      </c>
      <c r="B41" s="662">
        <v>4320.0</v>
      </c>
      <c r="C41" s="663" t="s">
        <v>763</v>
      </c>
      <c r="D41" s="662">
        <v>0.0</v>
      </c>
      <c r="E41" s="661" t="s">
        <v>48</v>
      </c>
      <c r="F41" s="661" t="s">
        <v>49</v>
      </c>
      <c r="G41" s="661" t="s">
        <v>50</v>
      </c>
      <c r="H41" s="664"/>
      <c r="I41" s="665">
        <v>36399.0</v>
      </c>
      <c r="J41" s="665">
        <v>45229.0</v>
      </c>
      <c r="K41" s="660" t="s">
        <v>947</v>
      </c>
      <c r="L41" s="611">
        <f>iferror(VLOOKUP(E41,'October 2025 Reference AI'!E:S,8,false),0)</f>
        <v>31</v>
      </c>
      <c r="M41" s="667">
        <v>45931.0</v>
      </c>
      <c r="N41" s="667">
        <v>45961.0</v>
      </c>
    </row>
    <row r="42">
      <c r="A42" s="661" t="s">
        <v>16</v>
      </c>
      <c r="B42" s="662">
        <v>4320.0</v>
      </c>
      <c r="C42" s="663" t="s">
        <v>763</v>
      </c>
      <c r="D42" s="662">
        <v>0.0</v>
      </c>
      <c r="E42" s="661" t="s">
        <v>444</v>
      </c>
      <c r="F42" s="661" t="s">
        <v>320</v>
      </c>
      <c r="G42" s="661" t="s">
        <v>321</v>
      </c>
      <c r="H42" s="664"/>
      <c r="I42" s="668">
        <v>36360.0</v>
      </c>
      <c r="J42" s="668">
        <v>45355.0</v>
      </c>
      <c r="K42" s="701">
        <v>45941.0</v>
      </c>
      <c r="L42" s="611">
        <f>iferror(VLOOKUP(E42,'October 2025 Reference AI'!E:S,8,false),0)</f>
        <v>11</v>
      </c>
      <c r="M42" s="667">
        <v>45931.0</v>
      </c>
      <c r="N42" s="667">
        <v>45961.0</v>
      </c>
    </row>
    <row r="43">
      <c r="A43" s="661" t="s">
        <v>16</v>
      </c>
      <c r="B43" s="662">
        <v>4320.0</v>
      </c>
      <c r="C43" s="663" t="s">
        <v>763</v>
      </c>
      <c r="D43" s="662">
        <v>0.0</v>
      </c>
      <c r="E43" s="661" t="s">
        <v>383</v>
      </c>
      <c r="F43" s="661" t="s">
        <v>384</v>
      </c>
      <c r="G43" s="661" t="s">
        <v>385</v>
      </c>
      <c r="H43" s="664"/>
      <c r="I43" s="668">
        <v>36183.0</v>
      </c>
      <c r="J43" s="668">
        <v>45418.0</v>
      </c>
      <c r="K43" s="660" t="s">
        <v>947</v>
      </c>
      <c r="L43" s="611">
        <f>iferror(VLOOKUP(E43,'October 2025 Reference AI'!E:S,8,false),0)</f>
        <v>31</v>
      </c>
      <c r="M43" s="667">
        <v>45931.0</v>
      </c>
      <c r="N43" s="667">
        <v>45961.0</v>
      </c>
    </row>
    <row r="44">
      <c r="A44" s="661" t="s">
        <v>16</v>
      </c>
      <c r="B44" s="662">
        <v>4320.0</v>
      </c>
      <c r="C44" s="663" t="s">
        <v>763</v>
      </c>
      <c r="D44" s="662">
        <v>0.0</v>
      </c>
      <c r="E44" s="661" t="s">
        <v>386</v>
      </c>
      <c r="F44" s="661" t="s">
        <v>387</v>
      </c>
      <c r="G44" s="661" t="s">
        <v>388</v>
      </c>
      <c r="H44" s="664"/>
      <c r="I44" s="665">
        <v>37144.0</v>
      </c>
      <c r="J44" s="668">
        <v>45418.0</v>
      </c>
      <c r="K44" s="660">
        <v>45418.0</v>
      </c>
      <c r="L44" s="611">
        <f>iferror(VLOOKUP(E44,'October 2025 Reference AI'!E:S,8,false),0)</f>
        <v>0</v>
      </c>
      <c r="M44" s="667">
        <v>45931.0</v>
      </c>
      <c r="N44" s="667">
        <v>45961.0</v>
      </c>
    </row>
    <row r="45">
      <c r="A45" s="661" t="s">
        <v>16</v>
      </c>
      <c r="B45" s="662">
        <v>4320.0</v>
      </c>
      <c r="C45" s="663" t="s">
        <v>763</v>
      </c>
      <c r="D45" s="662">
        <v>0.0</v>
      </c>
      <c r="E45" s="661" t="s">
        <v>325</v>
      </c>
      <c r="F45" s="661" t="s">
        <v>326</v>
      </c>
      <c r="G45" s="661" t="s">
        <v>327</v>
      </c>
      <c r="H45" s="664"/>
      <c r="I45" s="665">
        <v>36962.0</v>
      </c>
      <c r="J45" s="665">
        <v>45376.0</v>
      </c>
      <c r="K45" s="660">
        <v>45565.0</v>
      </c>
      <c r="L45" s="611">
        <f>iferror(VLOOKUP(E45,'October 2025 Reference AI'!E:S,8,false),0)</f>
        <v>0</v>
      </c>
      <c r="M45" s="667">
        <v>45931.0</v>
      </c>
      <c r="N45" s="667">
        <v>45961.0</v>
      </c>
    </row>
    <row r="46">
      <c r="A46" s="661" t="s">
        <v>16</v>
      </c>
      <c r="B46" s="662">
        <v>4320.0</v>
      </c>
      <c r="C46" s="663" t="s">
        <v>763</v>
      </c>
      <c r="D46" s="662">
        <v>0.0</v>
      </c>
      <c r="E46" s="661" t="s">
        <v>285</v>
      </c>
      <c r="F46" s="661" t="s">
        <v>286</v>
      </c>
      <c r="G46" s="661" t="s">
        <v>287</v>
      </c>
      <c r="H46" s="664"/>
      <c r="I46" s="668">
        <v>37377.0</v>
      </c>
      <c r="J46" s="665">
        <v>45334.0</v>
      </c>
      <c r="K46" s="660">
        <v>45688.0</v>
      </c>
      <c r="L46" s="611">
        <f>iferror(VLOOKUP(E46,'October 2025 Reference AI'!E:S,8,false),0)</f>
        <v>0</v>
      </c>
      <c r="M46" s="667">
        <v>45931.0</v>
      </c>
      <c r="N46" s="667">
        <v>45961.0</v>
      </c>
    </row>
    <row r="47">
      <c r="A47" s="661" t="s">
        <v>16</v>
      </c>
      <c r="B47" s="662">
        <v>4320.0</v>
      </c>
      <c r="C47" s="663" t="s">
        <v>763</v>
      </c>
      <c r="D47" s="662">
        <v>0.0</v>
      </c>
      <c r="E47" s="661" t="s">
        <v>288</v>
      </c>
      <c r="F47" s="661" t="s">
        <v>289</v>
      </c>
      <c r="G47" s="661" t="s">
        <v>290</v>
      </c>
      <c r="H47" s="664"/>
      <c r="I47" s="668">
        <v>37047.0</v>
      </c>
      <c r="J47" s="665">
        <v>45257.0</v>
      </c>
      <c r="K47" s="660">
        <v>45842.0</v>
      </c>
      <c r="L47" s="611">
        <f>iferror(VLOOKUP(E47,'October 2025 Reference AI'!E:S,8,false),0)</f>
        <v>0</v>
      </c>
      <c r="M47" s="667">
        <v>45931.0</v>
      </c>
      <c r="N47" s="667">
        <v>45961.0</v>
      </c>
    </row>
    <row r="48">
      <c r="A48" s="661" t="s">
        <v>16</v>
      </c>
      <c r="B48" s="662">
        <v>4320.0</v>
      </c>
      <c r="C48" s="663" t="s">
        <v>763</v>
      </c>
      <c r="D48" s="662">
        <v>0.0</v>
      </c>
      <c r="E48" s="661" t="s">
        <v>567</v>
      </c>
      <c r="F48" s="661" t="s">
        <v>568</v>
      </c>
      <c r="G48" s="661" t="s">
        <v>569</v>
      </c>
      <c r="H48" s="664"/>
      <c r="I48" s="668">
        <v>37962.0</v>
      </c>
      <c r="J48" s="668">
        <v>45677.0</v>
      </c>
      <c r="K48" s="660">
        <v>45779.0</v>
      </c>
      <c r="L48" s="611">
        <f>iferror(VLOOKUP(E48,'October 2025 Reference AI'!E:S,8,false),0)</f>
        <v>0</v>
      </c>
      <c r="M48" s="667">
        <v>45931.0</v>
      </c>
      <c r="N48" s="667">
        <v>45961.0</v>
      </c>
    </row>
    <row r="49">
      <c r="A49" s="661" t="s">
        <v>16</v>
      </c>
      <c r="B49" s="662">
        <v>4320.0</v>
      </c>
      <c r="C49" s="663" t="s">
        <v>763</v>
      </c>
      <c r="D49" s="662">
        <v>0.0</v>
      </c>
      <c r="E49" s="661" t="s">
        <v>51</v>
      </c>
      <c r="F49" s="661" t="s">
        <v>52</v>
      </c>
      <c r="G49" s="661" t="s">
        <v>53</v>
      </c>
      <c r="H49" s="664"/>
      <c r="I49" s="665">
        <v>34601.0</v>
      </c>
      <c r="J49" s="668">
        <v>44986.0</v>
      </c>
      <c r="K49" s="660">
        <v>45777.0</v>
      </c>
      <c r="L49" s="611">
        <f>iferror(VLOOKUP(E49,'October 2025 Reference AI'!E:S,8,false),0)</f>
        <v>0</v>
      </c>
      <c r="M49" s="667">
        <v>45931.0</v>
      </c>
      <c r="N49" s="667">
        <v>45961.0</v>
      </c>
    </row>
    <row r="50">
      <c r="A50" s="661" t="s">
        <v>16</v>
      </c>
      <c r="B50" s="662">
        <v>4320.0</v>
      </c>
      <c r="C50" s="663" t="s">
        <v>763</v>
      </c>
      <c r="D50" s="662">
        <v>0.0</v>
      </c>
      <c r="E50" s="661" t="s">
        <v>445</v>
      </c>
      <c r="F50" s="661" t="s">
        <v>510</v>
      </c>
      <c r="G50" s="661" t="s">
        <v>447</v>
      </c>
      <c r="H50" s="664"/>
      <c r="I50" s="673">
        <v>37047.0</v>
      </c>
      <c r="J50" s="668">
        <v>45505.0</v>
      </c>
      <c r="K50" s="660">
        <v>45877.0</v>
      </c>
      <c r="L50" s="611">
        <f>iferror(VLOOKUP(E50,'October 2025 Reference AI'!E:S,8,false),0)</f>
        <v>0</v>
      </c>
      <c r="M50" s="667">
        <v>45931.0</v>
      </c>
      <c r="N50" s="667">
        <v>45961.0</v>
      </c>
    </row>
    <row r="51">
      <c r="A51" s="661" t="s">
        <v>16</v>
      </c>
      <c r="B51" s="662">
        <v>4320.0</v>
      </c>
      <c r="C51" s="663" t="s">
        <v>763</v>
      </c>
      <c r="D51" s="662">
        <v>0.0</v>
      </c>
      <c r="E51" s="661" t="s">
        <v>467</v>
      </c>
      <c r="F51" s="661" t="s">
        <v>511</v>
      </c>
      <c r="G51" s="661" t="s">
        <v>450</v>
      </c>
      <c r="H51" s="664"/>
      <c r="I51" s="668">
        <v>36682.0</v>
      </c>
      <c r="J51" s="668">
        <v>45505.0</v>
      </c>
      <c r="K51" s="701">
        <v>45955.0</v>
      </c>
      <c r="L51" s="611">
        <f>iferror(VLOOKUP(E51,'October 2025 Reference AI'!E:S,8,false),0)</f>
        <v>25</v>
      </c>
      <c r="M51" s="667">
        <v>45931.0</v>
      </c>
      <c r="N51" s="667">
        <v>45961.0</v>
      </c>
    </row>
    <row r="52">
      <c r="A52" s="661" t="s">
        <v>16</v>
      </c>
      <c r="B52" s="662">
        <v>4320.0</v>
      </c>
      <c r="C52" s="663" t="s">
        <v>763</v>
      </c>
      <c r="D52" s="662">
        <v>0.0</v>
      </c>
      <c r="E52" s="669" t="s">
        <v>848</v>
      </c>
      <c r="F52" s="670" t="s">
        <v>849</v>
      </c>
      <c r="G52" s="670" t="s">
        <v>850</v>
      </c>
      <c r="H52" s="671"/>
      <c r="I52" s="675">
        <v>33637.0</v>
      </c>
      <c r="J52" s="672">
        <v>45809.0</v>
      </c>
      <c r="K52" s="660" t="s">
        <v>947</v>
      </c>
      <c r="L52" s="611">
        <f>iferror(VLOOKUP(E52,'October 2025 Reference AI'!E:S,8,false),0)</f>
        <v>31</v>
      </c>
      <c r="M52" s="667">
        <v>45931.0</v>
      </c>
      <c r="N52" s="667">
        <v>45961.0</v>
      </c>
    </row>
    <row r="53">
      <c r="A53" s="661" t="s">
        <v>16</v>
      </c>
      <c r="B53" s="662">
        <v>4320.0</v>
      </c>
      <c r="C53" s="663" t="s">
        <v>763</v>
      </c>
      <c r="D53" s="662">
        <v>0.0</v>
      </c>
      <c r="E53" s="661" t="s">
        <v>503</v>
      </c>
      <c r="F53" s="661" t="s">
        <v>542</v>
      </c>
      <c r="G53" s="661" t="s">
        <v>504</v>
      </c>
      <c r="H53" s="664"/>
      <c r="I53" s="668">
        <v>37422.0</v>
      </c>
      <c r="J53" s="668">
        <v>45635.0</v>
      </c>
      <c r="K53" s="660" t="s">
        <v>947</v>
      </c>
      <c r="L53" s="611">
        <f>iferror(VLOOKUP(E53,'October 2025 Reference AI'!E:S,8,false),0)</f>
        <v>31</v>
      </c>
      <c r="M53" s="667">
        <v>45931.0</v>
      </c>
      <c r="N53" s="667">
        <v>45961.0</v>
      </c>
    </row>
    <row r="54">
      <c r="A54" s="661" t="s">
        <v>16</v>
      </c>
      <c r="B54" s="662">
        <v>4320.0</v>
      </c>
      <c r="C54" s="663" t="s">
        <v>763</v>
      </c>
      <c r="D54" s="662">
        <v>0.0</v>
      </c>
      <c r="E54" s="661" t="s">
        <v>497</v>
      </c>
      <c r="F54" s="661" t="s">
        <v>539</v>
      </c>
      <c r="G54" s="661" t="s">
        <v>498</v>
      </c>
      <c r="H54" s="664"/>
      <c r="I54" s="666">
        <v>37026.0</v>
      </c>
      <c r="J54" s="668">
        <v>45628.0</v>
      </c>
      <c r="K54" s="660">
        <v>45758.0</v>
      </c>
      <c r="L54" s="611">
        <f>iferror(VLOOKUP(E54,'October 2025 Reference AI'!E:S,8,false),0)</f>
        <v>0</v>
      </c>
      <c r="M54" s="667">
        <v>45931.0</v>
      </c>
      <c r="N54" s="667">
        <v>45961.0</v>
      </c>
    </row>
    <row r="55">
      <c r="A55" s="661" t="s">
        <v>16</v>
      </c>
      <c r="B55" s="662">
        <v>4320.0</v>
      </c>
      <c r="C55" s="663" t="s">
        <v>763</v>
      </c>
      <c r="D55" s="662">
        <v>0.0</v>
      </c>
      <c r="E55" s="661" t="s">
        <v>249</v>
      </c>
      <c r="F55" s="661" t="s">
        <v>250</v>
      </c>
      <c r="G55" s="661" t="s">
        <v>251</v>
      </c>
      <c r="H55" s="664"/>
      <c r="I55" s="668">
        <v>37322.0</v>
      </c>
      <c r="J55" s="668">
        <v>45096.0</v>
      </c>
      <c r="K55" s="660">
        <v>45523.0</v>
      </c>
      <c r="L55" s="611">
        <f>iferror(VLOOKUP(E55,'October 2025 Reference AI'!E:S,8,false),0)</f>
        <v>0</v>
      </c>
      <c r="M55" s="667">
        <v>45931.0</v>
      </c>
      <c r="N55" s="667">
        <v>45961.0</v>
      </c>
    </row>
    <row r="56">
      <c r="A56" s="661" t="s">
        <v>16</v>
      </c>
      <c r="B56" s="662">
        <v>4320.0</v>
      </c>
      <c r="C56" s="663" t="s">
        <v>763</v>
      </c>
      <c r="D56" s="662">
        <v>0.0</v>
      </c>
      <c r="E56" s="661" t="s">
        <v>291</v>
      </c>
      <c r="F56" s="661" t="s">
        <v>292</v>
      </c>
      <c r="G56" s="661" t="s">
        <v>293</v>
      </c>
      <c r="H56" s="664"/>
      <c r="I56" s="665">
        <v>37219.0</v>
      </c>
      <c r="J56" s="665">
        <v>45257.0</v>
      </c>
      <c r="K56" s="660">
        <v>45883.0</v>
      </c>
      <c r="L56" s="611">
        <f>iferror(VLOOKUP(E56,'October 2025 Reference AI'!E:S,8,false),0)</f>
        <v>0</v>
      </c>
      <c r="M56" s="667">
        <v>45931.0</v>
      </c>
      <c r="N56" s="667">
        <v>45961.0</v>
      </c>
    </row>
    <row r="57">
      <c r="A57" s="661" t="s">
        <v>16</v>
      </c>
      <c r="B57" s="662">
        <v>4320.0</v>
      </c>
      <c r="C57" s="663" t="s">
        <v>763</v>
      </c>
      <c r="D57" s="662">
        <v>0.0</v>
      </c>
      <c r="E57" s="661" t="s">
        <v>806</v>
      </c>
      <c r="F57" s="661" t="s">
        <v>825</v>
      </c>
      <c r="G57" s="661" t="s">
        <v>808</v>
      </c>
      <c r="H57" s="664"/>
      <c r="I57" s="665">
        <v>36061.0</v>
      </c>
      <c r="J57" s="666">
        <v>45796.0</v>
      </c>
      <c r="K57" s="660" t="s">
        <v>947</v>
      </c>
      <c r="L57" s="611">
        <f>iferror(VLOOKUP(E57,'October 2025 Reference AI'!E:S,8,false),0)</f>
        <v>31</v>
      </c>
      <c r="M57" s="667">
        <v>45931.0</v>
      </c>
      <c r="N57" s="667">
        <v>45961.0</v>
      </c>
    </row>
    <row r="58">
      <c r="A58" s="661" t="s">
        <v>16</v>
      </c>
      <c r="B58" s="662">
        <v>4320.0</v>
      </c>
      <c r="C58" s="663" t="s">
        <v>763</v>
      </c>
      <c r="D58" s="662">
        <v>0.0</v>
      </c>
      <c r="E58" s="661" t="s">
        <v>619</v>
      </c>
      <c r="F58" s="661" t="s">
        <v>220</v>
      </c>
      <c r="G58" s="661" t="s">
        <v>221</v>
      </c>
      <c r="H58" s="664"/>
      <c r="I58" s="665">
        <v>36408.0</v>
      </c>
      <c r="J58" s="668">
        <v>45173.0</v>
      </c>
      <c r="K58" s="660">
        <v>45412.0</v>
      </c>
      <c r="L58" s="611">
        <f>iferror(VLOOKUP(E58,'October 2025 Reference AI'!E:S,8,false),0)</f>
        <v>0</v>
      </c>
      <c r="M58" s="667">
        <v>45931.0</v>
      </c>
      <c r="N58" s="667">
        <v>45961.0</v>
      </c>
    </row>
    <row r="59">
      <c r="A59" s="661" t="s">
        <v>16</v>
      </c>
      <c r="B59" s="662">
        <v>4320.0</v>
      </c>
      <c r="C59" s="663" t="s">
        <v>763</v>
      </c>
      <c r="D59" s="662">
        <v>0.0</v>
      </c>
      <c r="E59" s="669" t="s">
        <v>854</v>
      </c>
      <c r="F59" s="670" t="s">
        <v>855</v>
      </c>
      <c r="G59" s="670" t="s">
        <v>856</v>
      </c>
      <c r="H59" s="671"/>
      <c r="I59" s="672">
        <v>36059.0</v>
      </c>
      <c r="J59" s="672">
        <v>45810.0</v>
      </c>
      <c r="K59" s="660">
        <v>45912.0</v>
      </c>
      <c r="L59" s="611">
        <f>iferror(VLOOKUP(E59,'October 2025 Reference AI'!E:S,8,false),0)</f>
        <v>0</v>
      </c>
      <c r="M59" s="667">
        <v>45931.0</v>
      </c>
      <c r="N59" s="667">
        <v>45961.0</v>
      </c>
    </row>
    <row r="60">
      <c r="A60" s="661" t="s">
        <v>16</v>
      </c>
      <c r="B60" s="662">
        <v>4320.0</v>
      </c>
      <c r="C60" s="663" t="s">
        <v>763</v>
      </c>
      <c r="D60" s="662">
        <v>0.0</v>
      </c>
      <c r="E60" s="661" t="s">
        <v>367</v>
      </c>
      <c r="F60" s="661" t="s">
        <v>368</v>
      </c>
      <c r="G60" s="661" t="s">
        <v>369</v>
      </c>
      <c r="H60" s="664"/>
      <c r="I60" s="668">
        <v>36718.0</v>
      </c>
      <c r="J60" s="668">
        <v>45397.0</v>
      </c>
      <c r="K60" s="660">
        <v>45485.0</v>
      </c>
      <c r="L60" s="611">
        <f>iferror(VLOOKUP(E60,'October 2025 Reference AI'!E:S,8,false),0)</f>
        <v>0</v>
      </c>
      <c r="M60" s="667">
        <v>45931.0</v>
      </c>
      <c r="N60" s="667">
        <v>45961.0</v>
      </c>
    </row>
    <row r="61">
      <c r="A61" s="661" t="s">
        <v>16</v>
      </c>
      <c r="B61" s="662">
        <v>4320.0</v>
      </c>
      <c r="C61" s="663" t="s">
        <v>763</v>
      </c>
      <c r="D61" s="662">
        <v>0.0</v>
      </c>
      <c r="E61" s="661" t="s">
        <v>594</v>
      </c>
      <c r="F61" s="661" t="s">
        <v>595</v>
      </c>
      <c r="G61" s="661" t="s">
        <v>596</v>
      </c>
      <c r="H61" s="664"/>
      <c r="I61" s="668">
        <v>37809.0</v>
      </c>
      <c r="J61" s="668">
        <v>45684.0</v>
      </c>
      <c r="K61" s="660" t="s">
        <v>947</v>
      </c>
      <c r="L61" s="611">
        <f>iferror(VLOOKUP(E61,'October 2025 Reference AI'!E:S,8,false),0)</f>
        <v>31</v>
      </c>
      <c r="M61" s="667">
        <v>45931.0</v>
      </c>
      <c r="N61" s="667">
        <v>45961.0</v>
      </c>
    </row>
    <row r="62">
      <c r="A62" s="661" t="s">
        <v>16</v>
      </c>
      <c r="B62" s="662">
        <v>4320.0</v>
      </c>
      <c r="C62" s="663" t="s">
        <v>763</v>
      </c>
      <c r="D62" s="662">
        <v>0.0</v>
      </c>
      <c r="E62" s="661" t="s">
        <v>60</v>
      </c>
      <c r="F62" s="661" t="s">
        <v>61</v>
      </c>
      <c r="G62" s="661" t="s">
        <v>62</v>
      </c>
      <c r="H62" s="664"/>
      <c r="I62" s="665">
        <v>36246.0</v>
      </c>
      <c r="J62" s="665">
        <v>44851.0</v>
      </c>
      <c r="K62" s="660">
        <v>45838.0</v>
      </c>
      <c r="L62" s="611">
        <f>iferror(VLOOKUP(E62,'October 2025 Reference AI'!E:S,8,false),0)</f>
        <v>0</v>
      </c>
      <c r="M62" s="667">
        <v>45931.0</v>
      </c>
      <c r="N62" s="667">
        <v>45961.0</v>
      </c>
    </row>
    <row r="63">
      <c r="A63" s="661" t="s">
        <v>16</v>
      </c>
      <c r="B63" s="662">
        <v>4320.0</v>
      </c>
      <c r="C63" s="663" t="s">
        <v>763</v>
      </c>
      <c r="D63" s="662">
        <v>0.0</v>
      </c>
      <c r="E63" s="661" t="s">
        <v>63</v>
      </c>
      <c r="F63" s="661" t="s">
        <v>64</v>
      </c>
      <c r="G63" s="661" t="s">
        <v>65</v>
      </c>
      <c r="H63" s="664"/>
      <c r="I63" s="668">
        <v>35606.0</v>
      </c>
      <c r="J63" s="668">
        <v>44896.0</v>
      </c>
      <c r="K63" s="660" t="s">
        <v>947</v>
      </c>
      <c r="L63" s="611">
        <f>iferror(VLOOKUP(E63,'October 2025 Reference AI'!E:S,8,false),0)</f>
        <v>31</v>
      </c>
      <c r="M63" s="667">
        <v>45931.0</v>
      </c>
      <c r="N63" s="667">
        <v>45961.0</v>
      </c>
    </row>
    <row r="64">
      <c r="A64" s="661" t="s">
        <v>16</v>
      </c>
      <c r="B64" s="662">
        <v>4320.0</v>
      </c>
      <c r="C64" s="663" t="s">
        <v>763</v>
      </c>
      <c r="D64" s="662">
        <v>0.0</v>
      </c>
      <c r="E64" s="661" t="s">
        <v>63</v>
      </c>
      <c r="F64" s="661" t="s">
        <v>543</v>
      </c>
      <c r="G64" s="661" t="s">
        <v>505</v>
      </c>
      <c r="H64" s="664"/>
      <c r="I64" s="668">
        <v>36725.0</v>
      </c>
      <c r="J64" s="668">
        <v>45635.0</v>
      </c>
      <c r="K64" s="660" t="s">
        <v>947</v>
      </c>
      <c r="L64" s="611">
        <f>iferror(VLOOKUP(E64,'October 2025 Reference AI'!E:S,8,false),0)</f>
        <v>31</v>
      </c>
      <c r="M64" s="667">
        <v>45931.0</v>
      </c>
      <c r="N64" s="667">
        <v>45961.0</v>
      </c>
    </row>
    <row r="65">
      <c r="A65" s="661" t="s">
        <v>16</v>
      </c>
      <c r="B65" s="662">
        <v>4320.0</v>
      </c>
      <c r="C65" s="663" t="s">
        <v>763</v>
      </c>
      <c r="D65" s="662">
        <v>0.0</v>
      </c>
      <c r="E65" s="661" t="s">
        <v>744</v>
      </c>
      <c r="F65" s="661" t="s">
        <v>745</v>
      </c>
      <c r="G65" s="661" t="s">
        <v>746</v>
      </c>
      <c r="H65" s="664"/>
      <c r="I65" s="665">
        <v>37479.0</v>
      </c>
      <c r="J65" s="665">
        <v>45726.0</v>
      </c>
      <c r="K65" s="660" t="s">
        <v>947</v>
      </c>
      <c r="L65" s="611">
        <f>iferror(VLOOKUP(E65,'October 2025 Reference AI'!E:S,8,false),0)</f>
        <v>31</v>
      </c>
      <c r="M65" s="667">
        <v>45931.0</v>
      </c>
      <c r="N65" s="667">
        <v>45961.0</v>
      </c>
    </row>
    <row r="66">
      <c r="A66" s="661" t="s">
        <v>16</v>
      </c>
      <c r="B66" s="662">
        <v>4320.0</v>
      </c>
      <c r="C66" s="663" t="s">
        <v>763</v>
      </c>
      <c r="D66" s="662">
        <v>0.0</v>
      </c>
      <c r="E66" s="661" t="s">
        <v>620</v>
      </c>
      <c r="F66" s="661" t="s">
        <v>621</v>
      </c>
      <c r="G66" s="661" t="s">
        <v>622</v>
      </c>
      <c r="H66" s="664"/>
      <c r="I66" s="668">
        <v>37067.0</v>
      </c>
      <c r="J66" s="665">
        <v>45216.0</v>
      </c>
      <c r="K66" s="660">
        <v>45453.0</v>
      </c>
      <c r="L66" s="611">
        <f>iferror(VLOOKUP(E66,'October 2025 Reference AI'!E:S,8,false),0)</f>
        <v>0</v>
      </c>
      <c r="M66" s="667">
        <v>45931.0</v>
      </c>
      <c r="N66" s="667">
        <v>45961.0</v>
      </c>
    </row>
    <row r="67">
      <c r="A67" s="661" t="s">
        <v>16</v>
      </c>
      <c r="B67" s="662">
        <v>4320.0</v>
      </c>
      <c r="C67" s="663" t="s">
        <v>763</v>
      </c>
      <c r="D67" s="662">
        <v>0.0</v>
      </c>
      <c r="E67" s="661" t="s">
        <v>764</v>
      </c>
      <c r="F67" s="661" t="s">
        <v>765</v>
      </c>
      <c r="G67" s="661" t="s">
        <v>766</v>
      </c>
      <c r="H67" s="664"/>
      <c r="I67" s="665">
        <v>36087.0</v>
      </c>
      <c r="J67" s="665">
        <v>45761.0</v>
      </c>
      <c r="K67" s="660" t="s">
        <v>947</v>
      </c>
      <c r="L67" s="611">
        <f>iferror(VLOOKUP(E67,'October 2025 Reference AI'!E:S,8,false),0)</f>
        <v>31</v>
      </c>
      <c r="M67" s="667">
        <v>45931.0</v>
      </c>
      <c r="N67" s="667">
        <v>45961.0</v>
      </c>
    </row>
    <row r="68">
      <c r="A68" s="661" t="s">
        <v>16</v>
      </c>
      <c r="B68" s="662">
        <v>4320.0</v>
      </c>
      <c r="C68" s="663" t="s">
        <v>763</v>
      </c>
      <c r="D68" s="662">
        <v>0.0</v>
      </c>
      <c r="E68" s="661" t="s">
        <v>591</v>
      </c>
      <c r="F68" s="661" t="s">
        <v>592</v>
      </c>
      <c r="G68" s="661" t="s">
        <v>593</v>
      </c>
      <c r="H68" s="664"/>
      <c r="I68" s="666">
        <v>37041.0</v>
      </c>
      <c r="J68" s="668">
        <v>45684.0</v>
      </c>
      <c r="K68" s="660" t="s">
        <v>947</v>
      </c>
      <c r="L68" s="611">
        <f>iferror(VLOOKUP(E68,'October 2025 Reference AI'!E:S,8,false),0)</f>
        <v>31</v>
      </c>
      <c r="M68" s="667">
        <v>45931.0</v>
      </c>
      <c r="N68" s="667">
        <v>45961.0</v>
      </c>
    </row>
    <row r="69">
      <c r="A69" s="661" t="s">
        <v>16</v>
      </c>
      <c r="B69" s="662">
        <v>4320.0</v>
      </c>
      <c r="C69" s="663" t="s">
        <v>763</v>
      </c>
      <c r="D69" s="662">
        <v>0.0</v>
      </c>
      <c r="E69" s="661" t="s">
        <v>597</v>
      </c>
      <c r="F69" s="661" t="s">
        <v>598</v>
      </c>
      <c r="G69" s="661" t="s">
        <v>599</v>
      </c>
      <c r="H69" s="664"/>
      <c r="I69" s="668">
        <v>37265.0</v>
      </c>
      <c r="J69" s="668">
        <v>45684.0</v>
      </c>
      <c r="K69" s="660">
        <v>45853.0</v>
      </c>
      <c r="L69" s="611">
        <f>iferror(VLOOKUP(E69,'October 2025 Reference AI'!E:S,8,false),0)</f>
        <v>0</v>
      </c>
      <c r="M69" s="667">
        <v>45931.0</v>
      </c>
      <c r="N69" s="667">
        <v>45961.0</v>
      </c>
    </row>
    <row r="70">
      <c r="A70" s="661" t="s">
        <v>16</v>
      </c>
      <c r="B70" s="662">
        <v>4320.0</v>
      </c>
      <c r="C70" s="663" t="s">
        <v>763</v>
      </c>
      <c r="D70" s="662">
        <v>0.0</v>
      </c>
      <c r="E70" s="661" t="s">
        <v>66</v>
      </c>
      <c r="F70" s="661" t="s">
        <v>67</v>
      </c>
      <c r="G70" s="661" t="s">
        <v>68</v>
      </c>
      <c r="H70" s="664"/>
      <c r="I70" s="668">
        <v>34973.0</v>
      </c>
      <c r="J70" s="668">
        <v>44986.0</v>
      </c>
      <c r="K70" s="660">
        <v>45562.0</v>
      </c>
      <c r="L70" s="611">
        <f>iferror(VLOOKUP(E70,'October 2025 Reference AI'!E:S,8,false),0)</f>
        <v>0</v>
      </c>
      <c r="M70" s="667">
        <v>45931.0</v>
      </c>
      <c r="N70" s="667">
        <v>45961.0</v>
      </c>
    </row>
    <row r="71">
      <c r="A71" s="661" t="s">
        <v>16</v>
      </c>
      <c r="B71" s="662">
        <v>4320.0</v>
      </c>
      <c r="C71" s="663" t="s">
        <v>763</v>
      </c>
      <c r="D71" s="662">
        <v>0.0</v>
      </c>
      <c r="E71" s="661" t="s">
        <v>267</v>
      </c>
      <c r="F71" s="661" t="s">
        <v>268</v>
      </c>
      <c r="G71" s="661" t="s">
        <v>269</v>
      </c>
      <c r="H71" s="664"/>
      <c r="I71" s="665">
        <v>34590.0</v>
      </c>
      <c r="J71" s="668">
        <v>45313.0</v>
      </c>
      <c r="K71" s="660">
        <v>45882.0</v>
      </c>
      <c r="L71" s="611">
        <f>iferror(VLOOKUP(E71,'October 2025 Reference AI'!E:S,8,false),0)</f>
        <v>0</v>
      </c>
      <c r="M71" s="667">
        <v>45931.0</v>
      </c>
      <c r="N71" s="667">
        <v>45961.0</v>
      </c>
    </row>
    <row r="72">
      <c r="A72" s="661" t="s">
        <v>16</v>
      </c>
      <c r="B72" s="662">
        <v>4320.0</v>
      </c>
      <c r="C72" s="663" t="s">
        <v>763</v>
      </c>
      <c r="D72" s="662">
        <v>0.0</v>
      </c>
      <c r="E72" s="661" t="s">
        <v>69</v>
      </c>
      <c r="F72" s="661" t="s">
        <v>70</v>
      </c>
      <c r="G72" s="661" t="s">
        <v>71</v>
      </c>
      <c r="H72" s="664"/>
      <c r="I72" s="665">
        <v>36891.0</v>
      </c>
      <c r="J72" s="668">
        <v>44739.0</v>
      </c>
      <c r="K72" s="660">
        <v>45838.0</v>
      </c>
      <c r="L72" s="611">
        <f>iferror(VLOOKUP(E72,'October 2025 Reference AI'!E:S,8,false),0)</f>
        <v>0</v>
      </c>
      <c r="M72" s="667">
        <v>45931.0</v>
      </c>
      <c r="N72" s="667">
        <v>45961.0</v>
      </c>
    </row>
    <row r="73">
      <c r="A73" s="661" t="s">
        <v>16</v>
      </c>
      <c r="B73" s="662">
        <v>4320.0</v>
      </c>
      <c r="C73" s="663" t="s">
        <v>763</v>
      </c>
      <c r="D73" s="662">
        <v>0.0</v>
      </c>
      <c r="E73" s="661" t="s">
        <v>252</v>
      </c>
      <c r="F73" s="661" t="s">
        <v>253</v>
      </c>
      <c r="G73" s="661" t="s">
        <v>254</v>
      </c>
      <c r="H73" s="664"/>
      <c r="I73" s="665">
        <v>37516.0</v>
      </c>
      <c r="J73" s="665">
        <v>45159.0</v>
      </c>
      <c r="K73" s="660">
        <v>45450.0</v>
      </c>
      <c r="L73" s="611">
        <f>iferror(VLOOKUP(E73,'October 2025 Reference AI'!E:S,8,false),0)</f>
        <v>0</v>
      </c>
      <c r="M73" s="667">
        <v>45931.0</v>
      </c>
      <c r="N73" s="667">
        <v>45961.0</v>
      </c>
    </row>
    <row r="74">
      <c r="A74" s="661" t="s">
        <v>16</v>
      </c>
      <c r="B74" s="662">
        <v>4320.0</v>
      </c>
      <c r="C74" s="663" t="s">
        <v>763</v>
      </c>
      <c r="D74" s="662">
        <v>0.0</v>
      </c>
      <c r="E74" s="661" t="s">
        <v>468</v>
      </c>
      <c r="F74" s="661" t="s">
        <v>527</v>
      </c>
      <c r="G74" s="661" t="s">
        <v>469</v>
      </c>
      <c r="H74" s="664"/>
      <c r="I74" s="668">
        <v>35986.0</v>
      </c>
      <c r="J74" s="668">
        <v>45537.0</v>
      </c>
      <c r="K74" s="660" t="s">
        <v>947</v>
      </c>
      <c r="L74" s="611">
        <f>iferror(VLOOKUP(E74,'October 2025 Reference AI'!E:S,8,false),0)</f>
        <v>31</v>
      </c>
      <c r="M74" s="667">
        <v>45931.0</v>
      </c>
      <c r="N74" s="667">
        <v>45961.0</v>
      </c>
    </row>
    <row r="75">
      <c r="A75" s="661" t="s">
        <v>16</v>
      </c>
      <c r="B75" s="662">
        <v>4320.0</v>
      </c>
      <c r="C75" s="663" t="s">
        <v>763</v>
      </c>
      <c r="D75" s="662">
        <v>0.0</v>
      </c>
      <c r="E75" s="661" t="s">
        <v>72</v>
      </c>
      <c r="F75" s="661" t="s">
        <v>73</v>
      </c>
      <c r="G75" s="661" t="s">
        <v>74</v>
      </c>
      <c r="H75" s="664"/>
      <c r="I75" s="665">
        <v>37210.0</v>
      </c>
      <c r="J75" s="668">
        <v>44562.0</v>
      </c>
      <c r="K75" s="660">
        <v>45442.0</v>
      </c>
      <c r="L75" s="611">
        <f>iferror(VLOOKUP(E75,'October 2025 Reference AI'!E:S,8,false),0)</f>
        <v>0</v>
      </c>
      <c r="M75" s="667">
        <v>45931.0</v>
      </c>
      <c r="N75" s="667">
        <v>45961.0</v>
      </c>
    </row>
    <row r="76">
      <c r="A76" s="661" t="s">
        <v>16</v>
      </c>
      <c r="B76" s="662">
        <v>4320.0</v>
      </c>
      <c r="C76" s="663" t="s">
        <v>763</v>
      </c>
      <c r="D76" s="662">
        <v>0.0</v>
      </c>
      <c r="E76" s="661" t="s">
        <v>797</v>
      </c>
      <c r="F76" s="661" t="s">
        <v>798</v>
      </c>
      <c r="G76" s="661" t="s">
        <v>799</v>
      </c>
      <c r="H76" s="664"/>
      <c r="I76" s="665">
        <v>37709.0</v>
      </c>
      <c r="J76" s="666">
        <v>45789.0</v>
      </c>
      <c r="K76" s="660" t="s">
        <v>947</v>
      </c>
      <c r="L76" s="611">
        <f>iferror(VLOOKUP(E76,'October 2025 Reference AI'!E:S,8,false),0)</f>
        <v>31</v>
      </c>
      <c r="M76" s="667">
        <v>45931.0</v>
      </c>
      <c r="N76" s="667">
        <v>45961.0</v>
      </c>
    </row>
    <row r="77">
      <c r="A77" s="661" t="s">
        <v>16</v>
      </c>
      <c r="B77" s="662">
        <v>4320.0</v>
      </c>
      <c r="C77" s="663" t="s">
        <v>763</v>
      </c>
      <c r="D77" s="662">
        <v>0.0</v>
      </c>
      <c r="E77" s="661" t="s">
        <v>78</v>
      </c>
      <c r="F77" s="661" t="s">
        <v>79</v>
      </c>
      <c r="G77" s="661" t="s">
        <v>80</v>
      </c>
      <c r="H77" s="664"/>
      <c r="I77" s="665">
        <v>36401.0</v>
      </c>
      <c r="J77" s="668">
        <v>45096.0</v>
      </c>
      <c r="K77" s="660">
        <v>45838.0</v>
      </c>
      <c r="L77" s="611">
        <f>iferror(VLOOKUP(E77,'October 2025 Reference AI'!E:S,8,false),0)</f>
        <v>0</v>
      </c>
      <c r="M77" s="667">
        <v>45931.0</v>
      </c>
      <c r="N77" s="667">
        <v>45961.0</v>
      </c>
    </row>
    <row r="78">
      <c r="A78" s="661" t="s">
        <v>16</v>
      </c>
      <c r="B78" s="662">
        <v>4320.0</v>
      </c>
      <c r="C78" s="663" t="s">
        <v>763</v>
      </c>
      <c r="D78" s="662">
        <v>0.0</v>
      </c>
      <c r="E78" s="661" t="s">
        <v>555</v>
      </c>
      <c r="F78" s="661" t="s">
        <v>556</v>
      </c>
      <c r="G78" s="661" t="s">
        <v>557</v>
      </c>
      <c r="H78" s="664"/>
      <c r="I78" s="668">
        <v>36135.0</v>
      </c>
      <c r="J78" s="668">
        <v>45663.0</v>
      </c>
      <c r="K78" s="660">
        <v>45960.0</v>
      </c>
      <c r="L78" s="611">
        <f>iferror(VLOOKUP(E78,'October 2025 Reference AI'!E:S,8,false),0)</f>
        <v>30</v>
      </c>
      <c r="M78" s="667">
        <v>45931.0</v>
      </c>
      <c r="N78" s="667">
        <v>45961.0</v>
      </c>
    </row>
    <row r="79">
      <c r="A79" s="661" t="s">
        <v>16</v>
      </c>
      <c r="B79" s="662">
        <v>4320.0</v>
      </c>
      <c r="C79" s="663" t="s">
        <v>763</v>
      </c>
      <c r="D79" s="662">
        <v>0.0</v>
      </c>
      <c r="E79" s="661" t="s">
        <v>483</v>
      </c>
      <c r="F79" s="661" t="s">
        <v>537</v>
      </c>
      <c r="G79" s="661" t="s">
        <v>484</v>
      </c>
      <c r="H79" s="664"/>
      <c r="I79" s="668">
        <v>36286.0</v>
      </c>
      <c r="J79" s="668">
        <v>45602.0</v>
      </c>
      <c r="K79" s="660">
        <v>45723.0</v>
      </c>
      <c r="L79" s="611">
        <f>iferror(VLOOKUP(E79,'October 2025 Reference AI'!E:S,8,false),0)</f>
        <v>0</v>
      </c>
      <c r="M79" s="667">
        <v>45931.0</v>
      </c>
      <c r="N79" s="667">
        <v>45961.0</v>
      </c>
    </row>
    <row r="80">
      <c r="A80" s="661" t="s">
        <v>16</v>
      </c>
      <c r="B80" s="662">
        <v>4320.0</v>
      </c>
      <c r="C80" s="663" t="s">
        <v>763</v>
      </c>
      <c r="D80" s="662">
        <v>0.0</v>
      </c>
      <c r="E80" s="661" t="s">
        <v>81</v>
      </c>
      <c r="F80" s="661" t="s">
        <v>82</v>
      </c>
      <c r="G80" s="661" t="s">
        <v>83</v>
      </c>
      <c r="H80" s="664"/>
      <c r="I80" s="665">
        <v>36113.0</v>
      </c>
      <c r="J80" s="668">
        <v>44866.0</v>
      </c>
      <c r="K80" s="660">
        <v>45299.0</v>
      </c>
      <c r="L80" s="611">
        <f>iferror(VLOOKUP(E80,'October 2025 Reference AI'!E:S,8,false),0)</f>
        <v>0</v>
      </c>
      <c r="M80" s="667">
        <v>45931.0</v>
      </c>
      <c r="N80" s="667">
        <v>45961.0</v>
      </c>
    </row>
    <row r="81">
      <c r="A81" s="661" t="s">
        <v>16</v>
      </c>
      <c r="B81" s="662">
        <v>4320.0</v>
      </c>
      <c r="C81" s="663" t="s">
        <v>763</v>
      </c>
      <c r="D81" s="662">
        <v>0.0</v>
      </c>
      <c r="E81" s="661" t="s">
        <v>485</v>
      </c>
      <c r="F81" s="661" t="s">
        <v>535</v>
      </c>
      <c r="G81" s="661" t="s">
        <v>486</v>
      </c>
      <c r="H81" s="664"/>
      <c r="I81" s="668">
        <v>36994.0</v>
      </c>
      <c r="J81" s="668">
        <v>45602.0</v>
      </c>
      <c r="K81" s="660">
        <v>45786.0</v>
      </c>
      <c r="L81" s="611">
        <f>iferror(VLOOKUP(E81,'October 2025 Reference AI'!E:S,8,false),0)</f>
        <v>0</v>
      </c>
      <c r="M81" s="667">
        <v>45931.0</v>
      </c>
      <c r="N81" s="667">
        <v>45961.0</v>
      </c>
    </row>
    <row r="82">
      <c r="A82" s="661" t="s">
        <v>16</v>
      </c>
      <c r="B82" s="662">
        <v>4320.0</v>
      </c>
      <c r="C82" s="663" t="s">
        <v>763</v>
      </c>
      <c r="D82" s="662">
        <v>0.0</v>
      </c>
      <c r="E82" s="661" t="s">
        <v>331</v>
      </c>
      <c r="F82" s="661" t="s">
        <v>332</v>
      </c>
      <c r="G82" s="661" t="s">
        <v>333</v>
      </c>
      <c r="H82" s="664"/>
      <c r="I82" s="668">
        <v>37958.0</v>
      </c>
      <c r="J82" s="665">
        <v>45369.0</v>
      </c>
      <c r="K82" s="660">
        <v>45884.0</v>
      </c>
      <c r="L82" s="611">
        <f>iferror(VLOOKUP(E82,'October 2025 Reference AI'!E:S,8,false),0)</f>
        <v>0</v>
      </c>
      <c r="M82" s="667">
        <v>45931.0</v>
      </c>
      <c r="N82" s="667">
        <v>45961.0</v>
      </c>
    </row>
    <row r="83">
      <c r="A83" s="661" t="s">
        <v>16</v>
      </c>
      <c r="B83" s="662">
        <v>4320.0</v>
      </c>
      <c r="C83" s="663" t="s">
        <v>763</v>
      </c>
      <c r="D83" s="662">
        <v>0.0</v>
      </c>
      <c r="E83" s="661" t="s">
        <v>392</v>
      </c>
      <c r="F83" s="661" t="s">
        <v>393</v>
      </c>
      <c r="G83" s="661" t="s">
        <v>394</v>
      </c>
      <c r="H83" s="664"/>
      <c r="I83" s="665">
        <v>34922.0</v>
      </c>
      <c r="J83" s="668">
        <v>45418.0</v>
      </c>
      <c r="K83" s="660" t="s">
        <v>947</v>
      </c>
      <c r="L83" s="611">
        <f>iferror(VLOOKUP(E83,'October 2025 Reference AI'!E:S,8,false),0)</f>
        <v>31</v>
      </c>
      <c r="M83" s="667">
        <v>45931.0</v>
      </c>
      <c r="N83" s="667">
        <v>45961.0</v>
      </c>
    </row>
    <row r="84">
      <c r="A84" s="661" t="s">
        <v>16</v>
      </c>
      <c r="B84" s="662">
        <v>4320.0</v>
      </c>
      <c r="C84" s="663" t="s">
        <v>763</v>
      </c>
      <c r="D84" s="662">
        <v>0.0</v>
      </c>
      <c r="E84" s="661" t="s">
        <v>696</v>
      </c>
      <c r="F84" s="661" t="s">
        <v>756</v>
      </c>
      <c r="G84" s="661" t="s">
        <v>698</v>
      </c>
      <c r="H84" s="664"/>
      <c r="I84" s="665">
        <v>36474.0</v>
      </c>
      <c r="J84" s="665">
        <v>45698.0</v>
      </c>
      <c r="K84" s="660" t="s">
        <v>947</v>
      </c>
      <c r="L84" s="611">
        <f>iferror(VLOOKUP(E84,'October 2025 Reference AI'!E:S,8,false),0)</f>
        <v>31</v>
      </c>
      <c r="M84" s="667">
        <v>45931.0</v>
      </c>
      <c r="N84" s="667">
        <v>45961.0</v>
      </c>
    </row>
    <row r="85">
      <c r="A85" s="661" t="s">
        <v>16</v>
      </c>
      <c r="B85" s="662">
        <v>4320.0</v>
      </c>
      <c r="C85" s="663" t="s">
        <v>763</v>
      </c>
      <c r="D85" s="662">
        <v>0.0</v>
      </c>
      <c r="E85" s="661" t="s">
        <v>699</v>
      </c>
      <c r="F85" s="661" t="s">
        <v>757</v>
      </c>
      <c r="G85" s="661" t="s">
        <v>701</v>
      </c>
      <c r="H85" s="664"/>
      <c r="I85" s="665">
        <v>36474.0</v>
      </c>
      <c r="J85" s="665">
        <v>45698.0</v>
      </c>
      <c r="K85" s="660" t="s">
        <v>947</v>
      </c>
      <c r="L85" s="611">
        <f>iferror(VLOOKUP(E85,'October 2025 Reference AI'!E:S,8,false),0)</f>
        <v>31</v>
      </c>
      <c r="M85" s="667">
        <v>45931.0</v>
      </c>
      <c r="N85" s="667">
        <v>45961.0</v>
      </c>
    </row>
    <row r="86">
      <c r="A86" s="661" t="s">
        <v>16</v>
      </c>
      <c r="B86" s="662">
        <v>4320.0</v>
      </c>
      <c r="C86" s="663" t="s">
        <v>763</v>
      </c>
      <c r="D86" s="662">
        <v>0.0</v>
      </c>
      <c r="E86" s="661" t="s">
        <v>576</v>
      </c>
      <c r="F86" s="661" t="s">
        <v>577</v>
      </c>
      <c r="G86" s="661" t="s">
        <v>578</v>
      </c>
      <c r="H86" s="664"/>
      <c r="I86" s="665">
        <v>37944.0</v>
      </c>
      <c r="J86" s="668">
        <v>45677.0</v>
      </c>
      <c r="K86" s="660" t="s">
        <v>947</v>
      </c>
      <c r="L86" s="611">
        <f>iferror(VLOOKUP(E86,'October 2025 Reference AI'!E:S,8,false),0)</f>
        <v>31</v>
      </c>
      <c r="M86" s="667">
        <v>45931.0</v>
      </c>
      <c r="N86" s="667">
        <v>45961.0</v>
      </c>
    </row>
    <row r="87">
      <c r="A87" s="661" t="s">
        <v>16</v>
      </c>
      <c r="B87" s="662">
        <v>4320.0</v>
      </c>
      <c r="C87" s="663" t="s">
        <v>763</v>
      </c>
      <c r="D87" s="662">
        <v>0.0</v>
      </c>
      <c r="E87" s="661" t="s">
        <v>546</v>
      </c>
      <c r="F87" s="661" t="s">
        <v>547</v>
      </c>
      <c r="G87" s="661" t="s">
        <v>548</v>
      </c>
      <c r="H87" s="664"/>
      <c r="I87" s="665">
        <v>38255.0</v>
      </c>
      <c r="J87" s="668">
        <v>45658.0</v>
      </c>
      <c r="K87" s="660" t="s">
        <v>947</v>
      </c>
      <c r="L87" s="611">
        <f>iferror(VLOOKUP(E87,'October 2025 Reference AI'!E:S,8,false),0)</f>
        <v>31</v>
      </c>
      <c r="M87" s="667">
        <v>45931.0</v>
      </c>
      <c r="N87" s="667">
        <v>45961.0</v>
      </c>
    </row>
    <row r="88">
      <c r="A88" s="661" t="s">
        <v>16</v>
      </c>
      <c r="B88" s="662">
        <v>4320.0</v>
      </c>
      <c r="C88" s="663" t="s">
        <v>763</v>
      </c>
      <c r="D88" s="662">
        <v>0.0</v>
      </c>
      <c r="E88" s="661" t="s">
        <v>741</v>
      </c>
      <c r="F88" s="661" t="s">
        <v>742</v>
      </c>
      <c r="G88" s="661" t="s">
        <v>743</v>
      </c>
      <c r="H88" s="664"/>
      <c r="I88" s="665">
        <v>37329.0</v>
      </c>
      <c r="J88" s="668">
        <v>45719.0</v>
      </c>
      <c r="K88" s="660">
        <v>45786.0</v>
      </c>
      <c r="L88" s="611">
        <f>iferror(VLOOKUP(E88,'October 2025 Reference AI'!E:S,8,false),0)</f>
        <v>0</v>
      </c>
      <c r="M88" s="667">
        <v>45931.0</v>
      </c>
      <c r="N88" s="667">
        <v>45961.0</v>
      </c>
    </row>
    <row r="89">
      <c r="A89" s="661" t="s">
        <v>16</v>
      </c>
      <c r="B89" s="662">
        <v>4320.0</v>
      </c>
      <c r="C89" s="663" t="s">
        <v>763</v>
      </c>
      <c r="D89" s="662">
        <v>0.0</v>
      </c>
      <c r="E89" s="661" t="s">
        <v>294</v>
      </c>
      <c r="F89" s="661" t="s">
        <v>295</v>
      </c>
      <c r="G89" s="661" t="s">
        <v>296</v>
      </c>
      <c r="H89" s="664"/>
      <c r="I89" s="668">
        <v>36551.0</v>
      </c>
      <c r="J89" s="665">
        <v>45278.0</v>
      </c>
      <c r="K89" s="660">
        <v>45359.0</v>
      </c>
      <c r="L89" s="611">
        <f>iferror(VLOOKUP(E89,'October 2025 Reference AI'!E:S,8,false),0)</f>
        <v>0</v>
      </c>
      <c r="M89" s="667">
        <v>45931.0</v>
      </c>
      <c r="N89" s="667">
        <v>45961.0</v>
      </c>
    </row>
    <row r="90">
      <c r="A90" s="661" t="s">
        <v>16</v>
      </c>
      <c r="B90" s="662">
        <v>4320.0</v>
      </c>
      <c r="C90" s="663" t="s">
        <v>763</v>
      </c>
      <c r="D90" s="662">
        <v>0.0</v>
      </c>
      <c r="E90" s="661" t="s">
        <v>623</v>
      </c>
      <c r="F90" s="661" t="s">
        <v>624</v>
      </c>
      <c r="G90" s="661" t="s">
        <v>625</v>
      </c>
      <c r="H90" s="664"/>
      <c r="I90" s="665">
        <v>37489.0</v>
      </c>
      <c r="J90" s="668">
        <v>45397.0</v>
      </c>
      <c r="K90" s="660">
        <v>45488.0</v>
      </c>
      <c r="L90" s="611">
        <f>iferror(VLOOKUP(E90,'October 2025 Reference AI'!E:S,8,false),0)</f>
        <v>0</v>
      </c>
      <c r="M90" s="667">
        <v>45931.0</v>
      </c>
      <c r="N90" s="667">
        <v>45961.0</v>
      </c>
    </row>
    <row r="91">
      <c r="A91" s="661" t="s">
        <v>16</v>
      </c>
      <c r="B91" s="662">
        <v>4320.0</v>
      </c>
      <c r="C91" s="663" t="s">
        <v>763</v>
      </c>
      <c r="D91" s="662">
        <v>0.0</v>
      </c>
      <c r="E91" s="663" t="s">
        <v>924</v>
      </c>
      <c r="F91" s="661" t="s">
        <v>627</v>
      </c>
      <c r="G91" s="661" t="s">
        <v>628</v>
      </c>
      <c r="H91" s="664"/>
      <c r="I91" s="665">
        <v>35257.0</v>
      </c>
      <c r="J91" s="666">
        <v>45778.0</v>
      </c>
      <c r="K91" s="660" t="s">
        <v>947</v>
      </c>
      <c r="L91" s="611">
        <f>iferror(VLOOKUP(E91,'October 2025 Reference AI'!E:S,8,false),0)</f>
        <v>31</v>
      </c>
      <c r="M91" s="667">
        <v>45931.0</v>
      </c>
      <c r="N91" s="667">
        <v>45961.0</v>
      </c>
    </row>
    <row r="92">
      <c r="A92" s="661" t="s">
        <v>16</v>
      </c>
      <c r="B92" s="662">
        <v>4320.0</v>
      </c>
      <c r="C92" s="663" t="s">
        <v>763</v>
      </c>
      <c r="D92" s="662">
        <v>0.0</v>
      </c>
      <c r="E92" s="661" t="s">
        <v>629</v>
      </c>
      <c r="F92" s="661" t="s">
        <v>630</v>
      </c>
      <c r="G92" s="661" t="s">
        <v>631</v>
      </c>
      <c r="H92" s="664"/>
      <c r="I92" s="665">
        <v>34807.0</v>
      </c>
      <c r="J92" s="666">
        <v>45778.0</v>
      </c>
      <c r="K92" s="660" t="s">
        <v>947</v>
      </c>
      <c r="L92" s="611">
        <f>iferror(VLOOKUP(E92,'October 2025 Reference AI'!E:S,8,false),0)</f>
        <v>31</v>
      </c>
      <c r="M92" s="667">
        <v>45931.0</v>
      </c>
      <c r="N92" s="667">
        <v>45961.0</v>
      </c>
    </row>
    <row r="93">
      <c r="A93" s="661" t="s">
        <v>16</v>
      </c>
      <c r="B93" s="662">
        <v>4320.0</v>
      </c>
      <c r="C93" s="663" t="s">
        <v>763</v>
      </c>
      <c r="D93" s="662">
        <v>0.0</v>
      </c>
      <c r="E93" s="661" t="s">
        <v>501</v>
      </c>
      <c r="F93" s="661" t="s">
        <v>541</v>
      </c>
      <c r="G93" s="661" t="s">
        <v>502</v>
      </c>
      <c r="H93" s="664"/>
      <c r="I93" s="665">
        <v>36062.0</v>
      </c>
      <c r="J93" s="668">
        <v>45628.0</v>
      </c>
      <c r="K93" s="660">
        <v>45895.0</v>
      </c>
      <c r="L93" s="611">
        <f>iferror(VLOOKUP(E93,'October 2025 Reference AI'!E:S,8,false),0)</f>
        <v>0</v>
      </c>
      <c r="M93" s="667">
        <v>45931.0</v>
      </c>
      <c r="N93" s="667">
        <v>45961.0</v>
      </c>
    </row>
    <row r="94">
      <c r="A94" s="661" t="s">
        <v>16</v>
      </c>
      <c r="B94" s="662">
        <v>4320.0</v>
      </c>
      <c r="C94" s="663" t="s">
        <v>763</v>
      </c>
      <c r="D94" s="662">
        <v>0.0</v>
      </c>
      <c r="E94" s="661" t="s">
        <v>270</v>
      </c>
      <c r="F94" s="661" t="s">
        <v>271</v>
      </c>
      <c r="G94" s="661" t="s">
        <v>272</v>
      </c>
      <c r="H94" s="664"/>
      <c r="I94" s="665">
        <v>36769.0</v>
      </c>
      <c r="J94" s="668">
        <v>45313.0</v>
      </c>
      <c r="K94" s="660">
        <v>45415.0</v>
      </c>
      <c r="L94" s="611">
        <f>iferror(VLOOKUP(E94,'October 2025 Reference AI'!E:S,8,false),0)</f>
        <v>0</v>
      </c>
      <c r="M94" s="667">
        <v>45931.0</v>
      </c>
      <c r="N94" s="667">
        <v>45961.0</v>
      </c>
    </row>
    <row r="95">
      <c r="A95" s="661" t="s">
        <v>16</v>
      </c>
      <c r="B95" s="662">
        <v>4320.0</v>
      </c>
      <c r="C95" s="663" t="s">
        <v>763</v>
      </c>
      <c r="D95" s="662">
        <v>0.0</v>
      </c>
      <c r="E95" s="661" t="s">
        <v>451</v>
      </c>
      <c r="F95" s="661" t="s">
        <v>512</v>
      </c>
      <c r="G95" s="661" t="s">
        <v>415</v>
      </c>
      <c r="H95" s="664"/>
      <c r="I95" s="665">
        <v>36443.0</v>
      </c>
      <c r="J95" s="668">
        <v>45446.0</v>
      </c>
      <c r="K95" s="660" t="s">
        <v>947</v>
      </c>
      <c r="L95" s="611">
        <f>iferror(VLOOKUP(E95,'October 2025 Reference AI'!E:S,8,false),0)</f>
        <v>31</v>
      </c>
      <c r="M95" s="667">
        <v>45931.0</v>
      </c>
      <c r="N95" s="667">
        <v>45961.0</v>
      </c>
    </row>
    <row r="96">
      <c r="A96" s="661" t="s">
        <v>16</v>
      </c>
      <c r="B96" s="662">
        <v>4320.0</v>
      </c>
      <c r="C96" s="663" t="s">
        <v>763</v>
      </c>
      <c r="D96" s="662">
        <v>0.0</v>
      </c>
      <c r="E96" s="661" t="s">
        <v>87</v>
      </c>
      <c r="F96" s="661" t="s">
        <v>88</v>
      </c>
      <c r="G96" s="661" t="s">
        <v>89</v>
      </c>
      <c r="H96" s="664"/>
      <c r="I96" s="666">
        <v>33737.0</v>
      </c>
      <c r="J96" s="668">
        <v>45139.0</v>
      </c>
      <c r="K96" s="660">
        <v>45734.0</v>
      </c>
      <c r="L96" s="611">
        <f>iferror(VLOOKUP(E96,'October 2025 Reference AI'!E:S,8,false),0)</f>
        <v>0</v>
      </c>
      <c r="M96" s="667">
        <v>45931.0</v>
      </c>
      <c r="N96" s="667">
        <v>45961.0</v>
      </c>
    </row>
    <row r="97">
      <c r="A97" s="661" t="s">
        <v>16</v>
      </c>
      <c r="B97" s="662">
        <v>4320.0</v>
      </c>
      <c r="C97" s="663" t="s">
        <v>763</v>
      </c>
      <c r="D97" s="662">
        <v>0.0</v>
      </c>
      <c r="E97" s="661" t="s">
        <v>632</v>
      </c>
      <c r="F97" s="661" t="s">
        <v>633</v>
      </c>
      <c r="G97" s="661" t="s">
        <v>634</v>
      </c>
      <c r="H97" s="664"/>
      <c r="I97" s="665">
        <v>35300.0</v>
      </c>
      <c r="J97" s="668">
        <v>45103.0</v>
      </c>
      <c r="K97" s="660">
        <v>45310.0</v>
      </c>
      <c r="L97" s="611">
        <f>iferror(VLOOKUP(E97,'October 2025 Reference AI'!E:S,8,false),0)</f>
        <v>0</v>
      </c>
      <c r="M97" s="667">
        <v>45931.0</v>
      </c>
      <c r="N97" s="667">
        <v>45961.0</v>
      </c>
    </row>
    <row r="98">
      <c r="A98" s="661" t="s">
        <v>16</v>
      </c>
      <c r="B98" s="662">
        <v>4320.0</v>
      </c>
      <c r="C98" s="663" t="s">
        <v>763</v>
      </c>
      <c r="D98" s="662">
        <v>0.0</v>
      </c>
      <c r="E98" s="661" t="s">
        <v>573</v>
      </c>
      <c r="F98" s="661" t="s">
        <v>574</v>
      </c>
      <c r="G98" s="661" t="s">
        <v>575</v>
      </c>
      <c r="H98" s="664"/>
      <c r="I98" s="665">
        <v>36061.0</v>
      </c>
      <c r="J98" s="668">
        <v>45677.0</v>
      </c>
      <c r="K98" s="660">
        <v>45777.0</v>
      </c>
      <c r="L98" s="611">
        <f>iferror(VLOOKUP(E98,'October 2025 Reference AI'!E:S,8,false),0)</f>
        <v>0</v>
      </c>
      <c r="M98" s="667">
        <v>45931.0</v>
      </c>
      <c r="N98" s="667">
        <v>45961.0</v>
      </c>
    </row>
    <row r="99">
      <c r="A99" s="661" t="s">
        <v>16</v>
      </c>
      <c r="B99" s="662">
        <v>4320.0</v>
      </c>
      <c r="C99" s="663" t="s">
        <v>763</v>
      </c>
      <c r="D99" s="662">
        <v>0.0</v>
      </c>
      <c r="E99" s="661" t="s">
        <v>90</v>
      </c>
      <c r="F99" s="661" t="s">
        <v>91</v>
      </c>
      <c r="G99" s="661" t="s">
        <v>92</v>
      </c>
      <c r="H99" s="664"/>
      <c r="I99" s="677">
        <v>33917.0</v>
      </c>
      <c r="J99" s="665">
        <v>45166.0</v>
      </c>
      <c r="K99" s="660">
        <v>45321.0</v>
      </c>
      <c r="L99" s="611">
        <f>iferror(VLOOKUP(E99,'October 2025 Reference AI'!E:S,8,false),0)</f>
        <v>0</v>
      </c>
      <c r="M99" s="667">
        <v>45931.0</v>
      </c>
      <c r="N99" s="667">
        <v>45961.0</v>
      </c>
    </row>
    <row r="100">
      <c r="A100" s="661" t="s">
        <v>16</v>
      </c>
      <c r="B100" s="662">
        <v>4320.0</v>
      </c>
      <c r="C100" s="663" t="s">
        <v>763</v>
      </c>
      <c r="D100" s="662">
        <v>0.0</v>
      </c>
      <c r="E100" s="661" t="s">
        <v>337</v>
      </c>
      <c r="F100" s="661" t="s">
        <v>338</v>
      </c>
      <c r="G100" s="661" t="s">
        <v>339</v>
      </c>
      <c r="H100" s="664"/>
      <c r="I100" s="665">
        <v>37539.0</v>
      </c>
      <c r="J100" s="665">
        <v>45362.0</v>
      </c>
      <c r="K100" s="660">
        <v>45657.0</v>
      </c>
      <c r="L100" s="611">
        <f>iferror(VLOOKUP(E100,'October 2025 Reference AI'!E:S,8,false),0)</f>
        <v>0</v>
      </c>
      <c r="M100" s="667">
        <v>45931.0</v>
      </c>
      <c r="N100" s="667">
        <v>45961.0</v>
      </c>
    </row>
    <row r="101">
      <c r="A101" s="661" t="s">
        <v>16</v>
      </c>
      <c r="B101" s="662">
        <v>4320.0</v>
      </c>
      <c r="C101" s="663" t="s">
        <v>763</v>
      </c>
      <c r="D101" s="662">
        <v>0.0</v>
      </c>
      <c r="E101" s="661" t="s">
        <v>297</v>
      </c>
      <c r="F101" s="661" t="s">
        <v>298</v>
      </c>
      <c r="G101" s="661" t="s">
        <v>299</v>
      </c>
      <c r="H101" s="664"/>
      <c r="I101" s="668">
        <v>36692.0</v>
      </c>
      <c r="J101" s="665">
        <v>45243.0</v>
      </c>
      <c r="K101" s="660">
        <v>45365.0</v>
      </c>
      <c r="L101" s="611">
        <f>iferror(VLOOKUP(E101,'October 2025 Reference AI'!E:S,8,false),0)</f>
        <v>0</v>
      </c>
      <c r="M101" s="667">
        <v>45931.0</v>
      </c>
      <c r="N101" s="667">
        <v>45961.0</v>
      </c>
    </row>
    <row r="102">
      <c r="A102" s="661" t="s">
        <v>16</v>
      </c>
      <c r="B102" s="662">
        <v>4320.0</v>
      </c>
      <c r="C102" s="663" t="s">
        <v>763</v>
      </c>
      <c r="D102" s="662">
        <v>0.0</v>
      </c>
      <c r="E102" s="661" t="s">
        <v>93</v>
      </c>
      <c r="F102" s="661" t="s">
        <v>94</v>
      </c>
      <c r="G102" s="661" t="s">
        <v>95</v>
      </c>
      <c r="H102" s="664"/>
      <c r="I102" s="668">
        <v>36137.0</v>
      </c>
      <c r="J102" s="668">
        <v>45098.0</v>
      </c>
      <c r="K102" s="660">
        <v>45246.0</v>
      </c>
      <c r="L102" s="611">
        <f>iferror(VLOOKUP(E102,'October 2025 Reference AI'!E:S,8,false),0)</f>
        <v>0</v>
      </c>
      <c r="M102" s="667">
        <v>45931.0</v>
      </c>
      <c r="N102" s="667">
        <v>45961.0</v>
      </c>
    </row>
    <row r="103">
      <c r="A103" s="661" t="s">
        <v>16</v>
      </c>
      <c r="B103" s="662">
        <v>4320.0</v>
      </c>
      <c r="C103" s="663" t="s">
        <v>763</v>
      </c>
      <c r="D103" s="662">
        <v>0.0</v>
      </c>
      <c r="E103" s="661" t="s">
        <v>579</v>
      </c>
      <c r="F103" s="661" t="s">
        <v>580</v>
      </c>
      <c r="G103" s="661" t="s">
        <v>581</v>
      </c>
      <c r="H103" s="664"/>
      <c r="I103" s="665">
        <v>37609.0</v>
      </c>
      <c r="J103" s="668">
        <v>45677.0</v>
      </c>
      <c r="K103" s="660" t="s">
        <v>947</v>
      </c>
      <c r="L103" s="611">
        <f>iferror(VLOOKUP(E103,'October 2025 Reference AI'!E:S,8,false),0)</f>
        <v>31</v>
      </c>
      <c r="M103" s="667">
        <v>45931.0</v>
      </c>
      <c r="N103" s="667">
        <v>45961.0</v>
      </c>
    </row>
    <row r="104">
      <c r="A104" s="661" t="s">
        <v>16</v>
      </c>
      <c r="B104" s="662">
        <v>4320.0</v>
      </c>
      <c r="C104" s="663" t="s">
        <v>763</v>
      </c>
      <c r="D104" s="662">
        <v>0.0</v>
      </c>
      <c r="E104" s="661" t="s">
        <v>817</v>
      </c>
      <c r="F104" s="661" t="s">
        <v>637</v>
      </c>
      <c r="G104" s="661" t="s">
        <v>638</v>
      </c>
      <c r="H104" s="664"/>
      <c r="I104" s="665">
        <v>36720.0</v>
      </c>
      <c r="J104" s="666">
        <v>45778.0</v>
      </c>
      <c r="K104" s="660">
        <v>45882.0</v>
      </c>
      <c r="L104" s="611">
        <f>iferror(VLOOKUP(E104,'October 2025 Reference AI'!E:S,8,false),0)</f>
        <v>0</v>
      </c>
      <c r="M104" s="667">
        <v>45931.0</v>
      </c>
      <c r="N104" s="667">
        <v>45961.0</v>
      </c>
    </row>
    <row r="105">
      <c r="A105" s="661" t="s">
        <v>16</v>
      </c>
      <c r="B105" s="662">
        <v>4320.0</v>
      </c>
      <c r="C105" s="663" t="s">
        <v>763</v>
      </c>
      <c r="D105" s="662">
        <v>0.0</v>
      </c>
      <c r="E105" s="661" t="s">
        <v>452</v>
      </c>
      <c r="F105" s="661" t="s">
        <v>513</v>
      </c>
      <c r="G105" s="661" t="s">
        <v>454</v>
      </c>
      <c r="H105" s="664"/>
      <c r="I105" s="668">
        <v>37834.0</v>
      </c>
      <c r="J105" s="668">
        <v>45505.0</v>
      </c>
      <c r="K105" s="660">
        <v>45667.0</v>
      </c>
      <c r="L105" s="611">
        <f>iferror(VLOOKUP(E105,'October 2025 Reference AI'!E:S,8,false),0)</f>
        <v>0</v>
      </c>
      <c r="M105" s="667">
        <v>45931.0</v>
      </c>
      <c r="N105" s="667">
        <v>45961.0</v>
      </c>
    </row>
    <row r="106">
      <c r="A106" s="661" t="s">
        <v>16</v>
      </c>
      <c r="B106" s="662">
        <v>4320.0</v>
      </c>
      <c r="C106" s="663" t="s">
        <v>763</v>
      </c>
      <c r="D106" s="662">
        <v>0.0</v>
      </c>
      <c r="E106" s="661" t="s">
        <v>99</v>
      </c>
      <c r="F106" s="661" t="s">
        <v>100</v>
      </c>
      <c r="G106" s="661" t="s">
        <v>101</v>
      </c>
      <c r="H106" s="664"/>
      <c r="I106" s="665">
        <v>37240.0</v>
      </c>
      <c r="J106" s="668">
        <v>45176.0</v>
      </c>
      <c r="K106" s="660">
        <v>45535.0</v>
      </c>
      <c r="L106" s="611">
        <f>iferror(VLOOKUP(E106,'October 2025 Reference AI'!E:S,8,false),0)</f>
        <v>0</v>
      </c>
      <c r="M106" s="667">
        <v>45931.0</v>
      </c>
      <c r="N106" s="667">
        <v>45961.0</v>
      </c>
    </row>
    <row r="107">
      <c r="A107" s="661" t="s">
        <v>16</v>
      </c>
      <c r="B107" s="662">
        <v>4320.0</v>
      </c>
      <c r="C107" s="663" t="s">
        <v>763</v>
      </c>
      <c r="D107" s="662">
        <v>0.0</v>
      </c>
      <c r="E107" s="661" t="s">
        <v>476</v>
      </c>
      <c r="F107" s="661" t="s">
        <v>529</v>
      </c>
      <c r="G107" s="661" t="s">
        <v>477</v>
      </c>
      <c r="H107" s="664"/>
      <c r="I107" s="665">
        <v>37220.0</v>
      </c>
      <c r="J107" s="668">
        <v>45572.0</v>
      </c>
      <c r="K107" s="701">
        <v>45947.0</v>
      </c>
      <c r="L107" s="611">
        <f>iferror(VLOOKUP(E107,'October 2025 Reference AI'!E:S,8,false),0)</f>
        <v>17</v>
      </c>
      <c r="M107" s="667">
        <v>45931.0</v>
      </c>
      <c r="N107" s="667">
        <v>45961.0</v>
      </c>
    </row>
    <row r="108">
      <c r="A108" s="661" t="s">
        <v>16</v>
      </c>
      <c r="B108" s="662">
        <v>4320.0</v>
      </c>
      <c r="C108" s="663" t="s">
        <v>763</v>
      </c>
      <c r="D108" s="662">
        <v>0.0</v>
      </c>
      <c r="E108" s="661" t="s">
        <v>102</v>
      </c>
      <c r="F108" s="661" t="s">
        <v>103</v>
      </c>
      <c r="G108" s="661" t="s">
        <v>104</v>
      </c>
      <c r="H108" s="664"/>
      <c r="I108" s="668">
        <v>33240.0</v>
      </c>
      <c r="J108" s="668">
        <v>44287.0</v>
      </c>
      <c r="K108" s="660" t="s">
        <v>947</v>
      </c>
      <c r="L108" s="611">
        <f>iferror(VLOOKUP(E108,'October 2025 Reference AI'!E:S,8,false),0)</f>
        <v>31</v>
      </c>
      <c r="M108" s="667">
        <v>45931.0</v>
      </c>
      <c r="N108" s="667">
        <v>45961.0</v>
      </c>
    </row>
    <row r="109">
      <c r="A109" s="661" t="s">
        <v>16</v>
      </c>
      <c r="B109" s="662">
        <v>4320.0</v>
      </c>
      <c r="C109" s="663" t="s">
        <v>763</v>
      </c>
      <c r="D109" s="662">
        <v>0.0</v>
      </c>
      <c r="E109" s="661" t="s">
        <v>255</v>
      </c>
      <c r="F109" s="661" t="s">
        <v>256</v>
      </c>
      <c r="G109" s="661" t="s">
        <v>257</v>
      </c>
      <c r="H109" s="664"/>
      <c r="I109" s="668">
        <v>35173.0</v>
      </c>
      <c r="J109" s="668">
        <v>45264.0</v>
      </c>
      <c r="K109" s="660">
        <v>45833.0</v>
      </c>
      <c r="L109" s="611">
        <f>iferror(VLOOKUP(E109,'October 2025 Reference AI'!E:S,8,false),0)</f>
        <v>0</v>
      </c>
      <c r="M109" s="667">
        <v>45931.0</v>
      </c>
      <c r="N109" s="667">
        <v>45961.0</v>
      </c>
    </row>
    <row r="110">
      <c r="A110" s="661" t="s">
        <v>16</v>
      </c>
      <c r="B110" s="662">
        <v>4320.0</v>
      </c>
      <c r="C110" s="663" t="s">
        <v>763</v>
      </c>
      <c r="D110" s="662">
        <v>0.0</v>
      </c>
      <c r="E110" s="661" t="s">
        <v>438</v>
      </c>
      <c r="F110" s="661" t="s">
        <v>341</v>
      </c>
      <c r="G110" s="661" t="s">
        <v>342</v>
      </c>
      <c r="H110" s="664"/>
      <c r="I110" s="668">
        <v>37964.0</v>
      </c>
      <c r="J110" s="668">
        <v>45355.0</v>
      </c>
      <c r="K110" s="660">
        <v>45900.0</v>
      </c>
      <c r="L110" s="611">
        <f>iferror(VLOOKUP(E110,'October 2025 Reference AI'!E:S,8,false),0)</f>
        <v>0</v>
      </c>
      <c r="M110" s="667">
        <v>45931.0</v>
      </c>
      <c r="N110" s="667">
        <v>45961.0</v>
      </c>
    </row>
    <row r="111">
      <c r="A111" s="661" t="s">
        <v>16</v>
      </c>
      <c r="B111" s="662">
        <v>4320.0</v>
      </c>
      <c r="C111" s="663" t="s">
        <v>763</v>
      </c>
      <c r="D111" s="662">
        <v>0.0</v>
      </c>
      <c r="E111" s="661" t="s">
        <v>105</v>
      </c>
      <c r="F111" s="661" t="s">
        <v>106</v>
      </c>
      <c r="G111" s="661" t="s">
        <v>107</v>
      </c>
      <c r="H111" s="664"/>
      <c r="I111" s="668">
        <v>37136.0</v>
      </c>
      <c r="J111" s="665">
        <v>45181.0</v>
      </c>
      <c r="K111" s="660">
        <v>45054.0</v>
      </c>
      <c r="L111" s="611">
        <f>iferror(VLOOKUP(E111,'October 2025 Reference AI'!E:S,8,false),0)</f>
        <v>0</v>
      </c>
      <c r="M111" s="667">
        <v>45931.0</v>
      </c>
      <c r="N111" s="667">
        <v>45961.0</v>
      </c>
    </row>
    <row r="112">
      <c r="A112" s="661" t="s">
        <v>16</v>
      </c>
      <c r="B112" s="662">
        <v>4320.0</v>
      </c>
      <c r="C112" s="663" t="s">
        <v>763</v>
      </c>
      <c r="D112" s="662">
        <v>0.0</v>
      </c>
      <c r="E112" s="678" t="s">
        <v>639</v>
      </c>
      <c r="F112" s="661" t="s">
        <v>323</v>
      </c>
      <c r="G112" s="661" t="s">
        <v>324</v>
      </c>
      <c r="H112" s="664"/>
      <c r="I112" s="668">
        <v>37100.0</v>
      </c>
      <c r="J112" s="665">
        <v>45376.0</v>
      </c>
      <c r="K112" s="660">
        <v>45425.0</v>
      </c>
      <c r="L112" s="611">
        <f>iferror(VLOOKUP(E112,'October 2025 Reference AI'!E:S,8,false),0)</f>
        <v>0</v>
      </c>
      <c r="M112" s="667">
        <v>45931.0</v>
      </c>
      <c r="N112" s="667">
        <v>45961.0</v>
      </c>
    </row>
    <row r="113">
      <c r="A113" s="661" t="s">
        <v>16</v>
      </c>
      <c r="B113" s="662">
        <v>4320.0</v>
      </c>
      <c r="C113" s="663" t="s">
        <v>763</v>
      </c>
      <c r="D113" s="662">
        <v>0.0</v>
      </c>
      <c r="E113" s="679" t="s">
        <v>508</v>
      </c>
      <c r="F113" s="661" t="s">
        <v>545</v>
      </c>
      <c r="G113" s="661" t="s">
        <v>509</v>
      </c>
      <c r="H113" s="664"/>
      <c r="I113" s="668">
        <v>36637.0</v>
      </c>
      <c r="J113" s="665">
        <v>45649.0</v>
      </c>
      <c r="K113" s="660" t="s">
        <v>947</v>
      </c>
      <c r="L113" s="611">
        <f>iferror(VLOOKUP(E113,'October 2025 Reference AI'!E:S,8,false),0)</f>
        <v>31</v>
      </c>
      <c r="M113" s="667">
        <v>45931.0</v>
      </c>
      <c r="N113" s="667">
        <v>45961.0</v>
      </c>
    </row>
    <row r="114">
      <c r="A114" s="661" t="s">
        <v>16</v>
      </c>
      <c r="B114" s="662">
        <v>4320.0</v>
      </c>
      <c r="C114" s="663" t="s">
        <v>763</v>
      </c>
      <c r="D114" s="662">
        <v>0.0</v>
      </c>
      <c r="E114" s="678" t="s">
        <v>395</v>
      </c>
      <c r="F114" s="661" t="s">
        <v>396</v>
      </c>
      <c r="G114" s="661" t="s">
        <v>397</v>
      </c>
      <c r="H114" s="664"/>
      <c r="I114" s="668">
        <v>36557.0</v>
      </c>
      <c r="J114" s="666">
        <v>45432.0</v>
      </c>
      <c r="K114" s="660">
        <v>45807.0</v>
      </c>
      <c r="L114" s="611">
        <f>iferror(VLOOKUP(E114,'October 2025 Reference AI'!E:S,8,false),0)</f>
        <v>0</v>
      </c>
      <c r="M114" s="667">
        <v>45931.0</v>
      </c>
      <c r="N114" s="667">
        <v>45961.0</v>
      </c>
    </row>
    <row r="115">
      <c r="A115" s="661" t="s">
        <v>16</v>
      </c>
      <c r="B115" s="662">
        <v>4320.0</v>
      </c>
      <c r="C115" s="663" t="s">
        <v>763</v>
      </c>
      <c r="D115" s="662">
        <v>0.0</v>
      </c>
      <c r="E115" s="679" t="s">
        <v>370</v>
      </c>
      <c r="F115" s="661" t="s">
        <v>371</v>
      </c>
      <c r="G115" s="661" t="s">
        <v>372</v>
      </c>
      <c r="H115" s="664"/>
      <c r="I115" s="668">
        <v>35551.0</v>
      </c>
      <c r="J115" s="668">
        <v>45383.0</v>
      </c>
      <c r="K115" s="660" t="s">
        <v>947</v>
      </c>
      <c r="L115" s="611">
        <f>iferror(VLOOKUP(E115,'October 2025 Reference AI'!E:S,8,false),0)</f>
        <v>31</v>
      </c>
      <c r="M115" s="667">
        <v>45931.0</v>
      </c>
      <c r="N115" s="667">
        <v>45961.0</v>
      </c>
    </row>
    <row r="116">
      <c r="A116" s="661" t="s">
        <v>16</v>
      </c>
      <c r="B116" s="662">
        <v>4320.0</v>
      </c>
      <c r="C116" s="663" t="s">
        <v>763</v>
      </c>
      <c r="D116" s="662">
        <v>0.0</v>
      </c>
      <c r="E116" s="678" t="s">
        <v>640</v>
      </c>
      <c r="F116" s="661" t="s">
        <v>641</v>
      </c>
      <c r="G116" s="661" t="s">
        <v>642</v>
      </c>
      <c r="H116" s="664"/>
      <c r="I116" s="665">
        <v>35152.0</v>
      </c>
      <c r="J116" s="665">
        <v>45180.0</v>
      </c>
      <c r="K116" s="660">
        <v>45233.0</v>
      </c>
      <c r="L116" s="611">
        <f>iferror(VLOOKUP(E116,'October 2025 Reference AI'!E:S,8,false),0)</f>
        <v>0</v>
      </c>
      <c r="M116" s="667">
        <v>45931.0</v>
      </c>
      <c r="N116" s="667">
        <v>45961.0</v>
      </c>
    </row>
    <row r="117">
      <c r="A117" s="661" t="s">
        <v>16</v>
      </c>
      <c r="B117" s="662">
        <v>4320.0</v>
      </c>
      <c r="C117" s="663" t="s">
        <v>763</v>
      </c>
      <c r="D117" s="662">
        <v>0.0</v>
      </c>
      <c r="E117" s="679" t="s">
        <v>111</v>
      </c>
      <c r="F117" s="661" t="s">
        <v>112</v>
      </c>
      <c r="G117" s="661" t="s">
        <v>113</v>
      </c>
      <c r="H117" s="664"/>
      <c r="I117" s="668">
        <v>36898.0</v>
      </c>
      <c r="J117" s="668">
        <v>44988.0</v>
      </c>
      <c r="K117" s="660">
        <v>45412.0</v>
      </c>
      <c r="L117" s="611">
        <f>iferror(VLOOKUP(E117,'October 2025 Reference AI'!E:S,8,false),0)</f>
        <v>0</v>
      </c>
      <c r="M117" s="667">
        <v>45931.0</v>
      </c>
      <c r="N117" s="667">
        <v>45961.0</v>
      </c>
    </row>
    <row r="118">
      <c r="A118" s="661" t="s">
        <v>16</v>
      </c>
      <c r="B118" s="662">
        <v>4320.0</v>
      </c>
      <c r="C118" s="663" t="s">
        <v>763</v>
      </c>
      <c r="D118" s="662">
        <v>0.0</v>
      </c>
      <c r="E118" s="678" t="s">
        <v>114</v>
      </c>
      <c r="F118" s="661" t="s">
        <v>514</v>
      </c>
      <c r="G118" s="661" t="s">
        <v>456</v>
      </c>
      <c r="H118" s="664"/>
      <c r="I118" s="665">
        <v>35872.0</v>
      </c>
      <c r="J118" s="665">
        <v>45523.0</v>
      </c>
      <c r="K118" s="660" t="s">
        <v>947</v>
      </c>
      <c r="L118" s="611">
        <f>iferror(VLOOKUP(E118,'October 2025 Reference AI'!E:S,8,false),0)</f>
        <v>31</v>
      </c>
      <c r="M118" s="667">
        <v>45931.0</v>
      </c>
      <c r="N118" s="667">
        <v>45961.0</v>
      </c>
    </row>
    <row r="119">
      <c r="A119" s="661" t="s">
        <v>16</v>
      </c>
      <c r="B119" s="662">
        <v>4320.0</v>
      </c>
      <c r="C119" s="663" t="s">
        <v>763</v>
      </c>
      <c r="D119" s="662">
        <v>0.0</v>
      </c>
      <c r="E119" s="679" t="s">
        <v>114</v>
      </c>
      <c r="F119" s="661" t="s">
        <v>115</v>
      </c>
      <c r="G119" s="661" t="s">
        <v>116</v>
      </c>
      <c r="H119" s="664"/>
      <c r="I119" s="668">
        <v>35159.0</v>
      </c>
      <c r="J119" s="668">
        <v>45078.0</v>
      </c>
      <c r="K119" s="660">
        <v>45322.0</v>
      </c>
      <c r="L119" s="251">
        <v>0.0</v>
      </c>
      <c r="M119" s="667">
        <v>45931.0</v>
      </c>
      <c r="N119" s="667">
        <v>45961.0</v>
      </c>
    </row>
    <row r="120">
      <c r="A120" s="661" t="s">
        <v>16</v>
      </c>
      <c r="B120" s="662">
        <v>4320.0</v>
      </c>
      <c r="C120" s="663" t="s">
        <v>763</v>
      </c>
      <c r="D120" s="662">
        <v>0.0</v>
      </c>
      <c r="E120" s="680" t="s">
        <v>857</v>
      </c>
      <c r="F120" s="670" t="s">
        <v>858</v>
      </c>
      <c r="G120" s="670" t="s">
        <v>859</v>
      </c>
      <c r="H120" s="671"/>
      <c r="I120" s="672">
        <v>36087.0</v>
      </c>
      <c r="J120" s="672">
        <v>45810.0</v>
      </c>
      <c r="K120" s="660">
        <v>45853.0</v>
      </c>
      <c r="L120" s="611">
        <f>iferror(VLOOKUP(E120,'October 2025 Reference AI'!E:S,8,false),0)</f>
        <v>0</v>
      </c>
      <c r="M120" s="667">
        <v>45931.0</v>
      </c>
      <c r="N120" s="667">
        <v>45961.0</v>
      </c>
    </row>
    <row r="121">
      <c r="A121" s="661" t="s">
        <v>16</v>
      </c>
      <c r="B121" s="662">
        <v>4320.0</v>
      </c>
      <c r="C121" s="663" t="s">
        <v>763</v>
      </c>
      <c r="D121" s="662">
        <v>0.0</v>
      </c>
      <c r="E121" s="679" t="s">
        <v>457</v>
      </c>
      <c r="F121" s="661" t="s">
        <v>515</v>
      </c>
      <c r="G121" s="661" t="s">
        <v>458</v>
      </c>
      <c r="H121" s="664"/>
      <c r="I121" s="668">
        <v>37061.0</v>
      </c>
      <c r="J121" s="665">
        <v>45505.0</v>
      </c>
      <c r="K121" s="660">
        <v>45808.0</v>
      </c>
      <c r="L121" s="611">
        <f>iferror(VLOOKUP(E121,'October 2025 Reference AI'!E:S,8,false),0)</f>
        <v>0</v>
      </c>
      <c r="M121" s="667">
        <v>45931.0</v>
      </c>
      <c r="N121" s="667">
        <v>45961.0</v>
      </c>
    </row>
    <row r="122">
      <c r="A122" s="661" t="s">
        <v>16</v>
      </c>
      <c r="B122" s="662">
        <v>4320.0</v>
      </c>
      <c r="C122" s="663" t="s">
        <v>763</v>
      </c>
      <c r="D122" s="662">
        <v>0.0</v>
      </c>
      <c r="E122" s="678" t="s">
        <v>439</v>
      </c>
      <c r="F122" s="661" t="s">
        <v>121</v>
      </c>
      <c r="G122" s="661" t="s">
        <v>122</v>
      </c>
      <c r="H122" s="664"/>
      <c r="I122" s="665">
        <v>36794.0</v>
      </c>
      <c r="J122" s="665">
        <v>44915.0</v>
      </c>
      <c r="K122" s="660">
        <v>45709.0</v>
      </c>
      <c r="L122" s="611">
        <f>iferror(VLOOKUP(E122,'October 2025 Reference AI'!E:S,8,false),0)</f>
        <v>0</v>
      </c>
      <c r="M122" s="667">
        <v>45931.0</v>
      </c>
      <c r="N122" s="667">
        <v>45961.0</v>
      </c>
    </row>
    <row r="123">
      <c r="A123" s="661" t="s">
        <v>16</v>
      </c>
      <c r="B123" s="662">
        <v>4320.0</v>
      </c>
      <c r="C123" s="663" t="s">
        <v>763</v>
      </c>
      <c r="D123" s="662">
        <v>0.0</v>
      </c>
      <c r="E123" s="679" t="s">
        <v>643</v>
      </c>
      <c r="F123" s="661" t="s">
        <v>124</v>
      </c>
      <c r="G123" s="661" t="s">
        <v>125</v>
      </c>
      <c r="H123" s="664"/>
      <c r="I123" s="665">
        <v>37149.0</v>
      </c>
      <c r="J123" s="668">
        <v>45124.0</v>
      </c>
      <c r="K123" s="660">
        <v>45453.0</v>
      </c>
      <c r="L123" s="611">
        <f>iferror(VLOOKUP(E123,'October 2025 Reference AI'!E:S,8,false),0)</f>
        <v>0</v>
      </c>
      <c r="M123" s="667">
        <v>45931.0</v>
      </c>
      <c r="N123" s="667">
        <v>45961.0</v>
      </c>
    </row>
    <row r="124">
      <c r="A124" s="661" t="s">
        <v>16</v>
      </c>
      <c r="B124" s="662">
        <v>4320.0</v>
      </c>
      <c r="C124" s="663" t="s">
        <v>763</v>
      </c>
      <c r="D124" s="662">
        <v>0.0</v>
      </c>
      <c r="E124" s="678" t="s">
        <v>237</v>
      </c>
      <c r="F124" s="661" t="s">
        <v>238</v>
      </c>
      <c r="G124" s="661" t="s">
        <v>239</v>
      </c>
      <c r="H124" s="664"/>
      <c r="I124" s="668">
        <v>34503.0</v>
      </c>
      <c r="J124" s="665">
        <v>45251.0</v>
      </c>
      <c r="K124" s="660">
        <v>45338.0</v>
      </c>
      <c r="L124" s="611">
        <f>iferror(VLOOKUP(E124,'October 2025 Reference AI'!E:S,8,false),0)</f>
        <v>0</v>
      </c>
      <c r="M124" s="667">
        <v>45931.0</v>
      </c>
      <c r="N124" s="667">
        <v>45961.0</v>
      </c>
    </row>
    <row r="125">
      <c r="A125" s="661" t="s">
        <v>16</v>
      </c>
      <c r="B125" s="662">
        <v>4320.0</v>
      </c>
      <c r="C125" s="663" t="s">
        <v>763</v>
      </c>
      <c r="D125" s="662">
        <v>0.0</v>
      </c>
      <c r="E125" s="661" t="s">
        <v>506</v>
      </c>
      <c r="F125" s="661" t="s">
        <v>544</v>
      </c>
      <c r="G125" s="661" t="s">
        <v>507</v>
      </c>
      <c r="H125" s="664"/>
      <c r="I125" s="665">
        <v>36981.0</v>
      </c>
      <c r="J125" s="665">
        <v>45642.0</v>
      </c>
      <c r="K125" s="660">
        <v>45900.0</v>
      </c>
      <c r="L125" s="611">
        <f>iferror(VLOOKUP(E125,'October 2025 Reference AI'!E:S,8,false),0)</f>
        <v>0</v>
      </c>
      <c r="M125" s="667">
        <v>45931.0</v>
      </c>
      <c r="N125" s="667">
        <v>45961.0</v>
      </c>
    </row>
    <row r="126">
      <c r="A126" s="661" t="s">
        <v>16</v>
      </c>
      <c r="B126" s="662">
        <v>4320.0</v>
      </c>
      <c r="C126" s="663" t="s">
        <v>763</v>
      </c>
      <c r="D126" s="662">
        <v>0.0</v>
      </c>
      <c r="E126" s="661" t="s">
        <v>788</v>
      </c>
      <c r="F126" s="661" t="s">
        <v>823</v>
      </c>
      <c r="G126" s="661" t="s">
        <v>790</v>
      </c>
      <c r="H126" s="664"/>
      <c r="I126" s="665">
        <v>36459.0</v>
      </c>
      <c r="J126" s="666">
        <v>45789.0</v>
      </c>
      <c r="K126" s="660">
        <v>45873.0</v>
      </c>
      <c r="L126" s="611">
        <f>iferror(VLOOKUP(E126,'October 2025 Reference AI'!E:S,8,false),0)</f>
        <v>0</v>
      </c>
      <c r="M126" s="667">
        <v>45931.0</v>
      </c>
      <c r="N126" s="667">
        <v>45961.0</v>
      </c>
    </row>
    <row r="127">
      <c r="A127" s="661" t="s">
        <v>16</v>
      </c>
      <c r="B127" s="662">
        <v>4320.0</v>
      </c>
      <c r="C127" s="663" t="s">
        <v>763</v>
      </c>
      <c r="D127" s="662">
        <v>0.0</v>
      </c>
      <c r="E127" s="661" t="s">
        <v>487</v>
      </c>
      <c r="F127" s="661" t="s">
        <v>533</v>
      </c>
      <c r="G127" s="661" t="s">
        <v>488</v>
      </c>
      <c r="H127" s="664"/>
      <c r="I127" s="666">
        <v>35195.0</v>
      </c>
      <c r="J127" s="668">
        <v>45602.0</v>
      </c>
      <c r="K127" s="660">
        <v>45930.0</v>
      </c>
      <c r="L127" s="611">
        <f>iferror(VLOOKUP(E127,'October 2025 Reference AI'!E:S,8,false),0)</f>
        <v>0</v>
      </c>
      <c r="M127" s="667">
        <v>45931.0</v>
      </c>
      <c r="N127" s="667">
        <v>45961.0</v>
      </c>
    </row>
    <row r="128">
      <c r="A128" s="661" t="s">
        <v>16</v>
      </c>
      <c r="B128" s="662">
        <v>4320.0</v>
      </c>
      <c r="C128" s="663" t="s">
        <v>763</v>
      </c>
      <c r="D128" s="662">
        <v>0.0</v>
      </c>
      <c r="E128" s="661" t="s">
        <v>343</v>
      </c>
      <c r="F128" s="661" t="s">
        <v>344</v>
      </c>
      <c r="G128" s="661" t="s">
        <v>345</v>
      </c>
      <c r="H128" s="664"/>
      <c r="I128" s="665">
        <v>36821.0</v>
      </c>
      <c r="J128" s="665">
        <v>45362.0</v>
      </c>
      <c r="K128" s="660" t="s">
        <v>947</v>
      </c>
      <c r="L128" s="611">
        <f>iferror(VLOOKUP(E128,'October 2025 Reference AI'!E:S,8,false),0)</f>
        <v>31</v>
      </c>
      <c r="M128" s="667">
        <v>45931.0</v>
      </c>
      <c r="N128" s="667">
        <v>45961.0</v>
      </c>
    </row>
    <row r="129">
      <c r="A129" s="661" t="s">
        <v>16</v>
      </c>
      <c r="B129" s="662">
        <v>4320.0</v>
      </c>
      <c r="C129" s="663" t="s">
        <v>763</v>
      </c>
      <c r="D129" s="662">
        <v>0.0</v>
      </c>
      <c r="E129" s="661" t="s">
        <v>750</v>
      </c>
      <c r="F129" s="661" t="s">
        <v>751</v>
      </c>
      <c r="G129" s="661" t="s">
        <v>752</v>
      </c>
      <c r="H129" s="664"/>
      <c r="I129" s="665">
        <v>36581.0</v>
      </c>
      <c r="J129" s="665">
        <v>45740.0</v>
      </c>
      <c r="K129" s="660" t="s">
        <v>947</v>
      </c>
      <c r="L129" s="611">
        <f>iferror(VLOOKUP(E129,'October 2025 Reference AI'!E:S,8,false),0)</f>
        <v>31</v>
      </c>
      <c r="M129" s="667">
        <v>45931.0</v>
      </c>
      <c r="N129" s="667">
        <v>45961.0</v>
      </c>
    </row>
    <row r="130">
      <c r="A130" s="661" t="s">
        <v>16</v>
      </c>
      <c r="B130" s="662">
        <v>4320.0</v>
      </c>
      <c r="C130" s="663" t="s">
        <v>763</v>
      </c>
      <c r="D130" s="662">
        <v>0.0</v>
      </c>
      <c r="E130" s="661" t="s">
        <v>129</v>
      </c>
      <c r="F130" s="661" t="s">
        <v>130</v>
      </c>
      <c r="G130" s="661" t="s">
        <v>131</v>
      </c>
      <c r="H130" s="664"/>
      <c r="I130" s="665">
        <v>36207.0</v>
      </c>
      <c r="J130" s="668">
        <v>45054.0</v>
      </c>
      <c r="K130" s="660">
        <v>44960.0</v>
      </c>
      <c r="L130" s="611">
        <f>iferror(VLOOKUP(E130,'October 2025 Reference AI'!E:S,8,false),0)</f>
        <v>0</v>
      </c>
      <c r="M130" s="667">
        <v>45931.0</v>
      </c>
      <c r="N130" s="667">
        <v>45961.0</v>
      </c>
    </row>
    <row r="131">
      <c r="A131" s="661" t="s">
        <v>16</v>
      </c>
      <c r="B131" s="662">
        <v>4320.0</v>
      </c>
      <c r="C131" s="663" t="s">
        <v>763</v>
      </c>
      <c r="D131" s="662">
        <v>0.0</v>
      </c>
      <c r="E131" s="661" t="s">
        <v>429</v>
      </c>
      <c r="F131" s="661" t="s">
        <v>516</v>
      </c>
      <c r="G131" s="661" t="s">
        <v>430</v>
      </c>
      <c r="H131" s="664"/>
      <c r="I131" s="668">
        <v>37257.0</v>
      </c>
      <c r="J131" s="668">
        <v>45481.0</v>
      </c>
      <c r="K131" s="660">
        <v>45900.0</v>
      </c>
      <c r="L131" s="611">
        <f>iferror(VLOOKUP(E131,'October 2025 Reference AI'!E:S,8,false),0)</f>
        <v>0</v>
      </c>
      <c r="M131" s="667">
        <v>45931.0</v>
      </c>
      <c r="N131" s="667">
        <v>45961.0</v>
      </c>
    </row>
    <row r="132">
      <c r="A132" s="661" t="s">
        <v>16</v>
      </c>
      <c r="B132" s="662">
        <v>4320.0</v>
      </c>
      <c r="C132" s="663" t="s">
        <v>763</v>
      </c>
      <c r="D132" s="662">
        <v>0.0</v>
      </c>
      <c r="E132" s="661" t="s">
        <v>489</v>
      </c>
      <c r="F132" s="661" t="s">
        <v>536</v>
      </c>
      <c r="G132" s="661" t="s">
        <v>490</v>
      </c>
      <c r="H132" s="664"/>
      <c r="I132" s="668">
        <v>37105.0</v>
      </c>
      <c r="J132" s="668">
        <v>45602.0</v>
      </c>
      <c r="K132" s="660">
        <v>45881.0</v>
      </c>
      <c r="L132" s="611">
        <f>iferror(VLOOKUP(E132,'October 2025 Reference AI'!E:S,8,false),0)</f>
        <v>0</v>
      </c>
      <c r="M132" s="667">
        <v>45931.0</v>
      </c>
      <c r="N132" s="667">
        <v>45961.0</v>
      </c>
    </row>
    <row r="133">
      <c r="A133" s="661" t="s">
        <v>16</v>
      </c>
      <c r="B133" s="662">
        <v>4320.0</v>
      </c>
      <c r="C133" s="663" t="s">
        <v>763</v>
      </c>
      <c r="D133" s="662">
        <v>0.0</v>
      </c>
      <c r="E133" s="661" t="s">
        <v>644</v>
      </c>
      <c r="F133" s="661" t="s">
        <v>190</v>
      </c>
      <c r="G133" s="661" t="s">
        <v>191</v>
      </c>
      <c r="H133" s="664"/>
      <c r="I133" s="665">
        <v>36421.0</v>
      </c>
      <c r="J133" s="665">
        <v>45166.0</v>
      </c>
      <c r="K133" s="660">
        <v>45535.0</v>
      </c>
      <c r="L133" s="611">
        <f>iferror(VLOOKUP(E133,'October 2025 Reference AI'!E:S,8,false),0)</f>
        <v>0</v>
      </c>
      <c r="M133" s="667">
        <v>45931.0</v>
      </c>
      <c r="N133" s="667">
        <v>45961.0</v>
      </c>
    </row>
    <row r="134">
      <c r="A134" s="661" t="s">
        <v>16</v>
      </c>
      <c r="B134" s="662">
        <v>4320.0</v>
      </c>
      <c r="C134" s="663" t="s">
        <v>763</v>
      </c>
      <c r="D134" s="662">
        <v>0.0</v>
      </c>
      <c r="E134" s="661" t="s">
        <v>645</v>
      </c>
      <c r="F134" s="661" t="s">
        <v>646</v>
      </c>
      <c r="G134" s="661" t="s">
        <v>647</v>
      </c>
      <c r="H134" s="664"/>
      <c r="I134" s="665">
        <v>37123.0</v>
      </c>
      <c r="J134" s="665">
        <v>44984.0</v>
      </c>
      <c r="K134" s="660">
        <v>45199.0</v>
      </c>
      <c r="L134" s="611">
        <f>iferror(VLOOKUP(E134,'October 2025 Reference AI'!E:S,8,false),0)</f>
        <v>0</v>
      </c>
      <c r="M134" s="667">
        <v>45931.0</v>
      </c>
      <c r="N134" s="667">
        <v>45961.0</v>
      </c>
    </row>
    <row r="135">
      <c r="A135" s="661" t="s">
        <v>16</v>
      </c>
      <c r="B135" s="662">
        <v>4320.0</v>
      </c>
      <c r="C135" s="663" t="s">
        <v>763</v>
      </c>
      <c r="D135" s="662">
        <v>0.0</v>
      </c>
      <c r="E135" s="661" t="s">
        <v>416</v>
      </c>
      <c r="F135" s="661" t="s">
        <v>517</v>
      </c>
      <c r="G135" s="661" t="s">
        <v>417</v>
      </c>
      <c r="H135" s="664"/>
      <c r="I135" s="668">
        <v>36346.0</v>
      </c>
      <c r="J135" s="668">
        <v>45453.0</v>
      </c>
      <c r="K135" s="660" t="s">
        <v>947</v>
      </c>
      <c r="L135" s="611">
        <f>iferror(VLOOKUP(E135,'October 2025 Reference AI'!E:S,8,false),0)</f>
        <v>31</v>
      </c>
      <c r="M135" s="667">
        <v>45931.0</v>
      </c>
      <c r="N135" s="667">
        <v>45961.0</v>
      </c>
    </row>
    <row r="136">
      <c r="A136" s="661" t="s">
        <v>16</v>
      </c>
      <c r="B136" s="662">
        <v>4320.0</v>
      </c>
      <c r="C136" s="663" t="s">
        <v>763</v>
      </c>
      <c r="D136" s="662">
        <v>0.0</v>
      </c>
      <c r="E136" s="661" t="s">
        <v>582</v>
      </c>
      <c r="F136" s="661" t="s">
        <v>583</v>
      </c>
      <c r="G136" s="661" t="s">
        <v>584</v>
      </c>
      <c r="H136" s="664"/>
      <c r="I136" s="665">
        <v>37880.0</v>
      </c>
      <c r="J136" s="668">
        <v>45677.0</v>
      </c>
      <c r="K136" s="660">
        <v>45800.0</v>
      </c>
      <c r="L136" s="611">
        <f>iferror(VLOOKUP(E136,'October 2025 Reference AI'!E:S,8,false),0)</f>
        <v>0</v>
      </c>
      <c r="M136" s="667">
        <v>45931.0</v>
      </c>
      <c r="N136" s="667">
        <v>45961.0</v>
      </c>
    </row>
    <row r="137">
      <c r="A137" s="661" t="s">
        <v>16</v>
      </c>
      <c r="B137" s="662">
        <v>4320.0</v>
      </c>
      <c r="C137" s="663" t="s">
        <v>763</v>
      </c>
      <c r="D137" s="662">
        <v>0.0</v>
      </c>
      <c r="E137" s="661" t="s">
        <v>648</v>
      </c>
      <c r="F137" s="661" t="s">
        <v>649</v>
      </c>
      <c r="G137" s="661" t="s">
        <v>650</v>
      </c>
      <c r="H137" s="664"/>
      <c r="I137" s="668">
        <v>35039.0</v>
      </c>
      <c r="J137" s="668">
        <v>44986.0</v>
      </c>
      <c r="K137" s="660">
        <v>45199.0</v>
      </c>
      <c r="L137" s="611">
        <f>iferror(VLOOKUP(E137,'October 2025 Reference AI'!E:S,8,false),0)</f>
        <v>0</v>
      </c>
      <c r="M137" s="667">
        <v>45931.0</v>
      </c>
      <c r="N137" s="667">
        <v>45961.0</v>
      </c>
    </row>
    <row r="138">
      <c r="A138" s="661" t="s">
        <v>16</v>
      </c>
      <c r="B138" s="662">
        <v>4320.0</v>
      </c>
      <c r="C138" s="663" t="s">
        <v>763</v>
      </c>
      <c r="D138" s="662">
        <v>0.0</v>
      </c>
      <c r="E138" s="661" t="s">
        <v>478</v>
      </c>
      <c r="F138" s="661" t="s">
        <v>518</v>
      </c>
      <c r="G138" s="661" t="s">
        <v>426</v>
      </c>
      <c r="H138" s="664"/>
      <c r="I138" s="668">
        <v>36530.0</v>
      </c>
      <c r="J138" s="668">
        <v>45446.0</v>
      </c>
      <c r="K138" s="660" t="s">
        <v>947</v>
      </c>
      <c r="L138" s="611">
        <f>iferror(VLOOKUP(E138,'October 2025 Reference AI'!E:S,8,false),0)</f>
        <v>31</v>
      </c>
      <c r="M138" s="667">
        <v>45931.0</v>
      </c>
      <c r="N138" s="667">
        <v>45961.0</v>
      </c>
    </row>
    <row r="139">
      <c r="A139" s="661" t="s">
        <v>16</v>
      </c>
      <c r="B139" s="662">
        <v>4320.0</v>
      </c>
      <c r="C139" s="663" t="s">
        <v>763</v>
      </c>
      <c r="D139" s="662">
        <v>0.0</v>
      </c>
      <c r="E139" s="661" t="s">
        <v>132</v>
      </c>
      <c r="F139" s="661" t="s">
        <v>519</v>
      </c>
      <c r="G139" s="661" t="s">
        <v>418</v>
      </c>
      <c r="H139" s="664"/>
      <c r="I139" s="665">
        <v>37494.0</v>
      </c>
      <c r="J139" s="668">
        <v>45467.0</v>
      </c>
      <c r="K139" s="660">
        <v>45723.0</v>
      </c>
      <c r="L139" s="611">
        <f>iferror(VLOOKUP(E139,'October 2025 Reference AI'!E:S,8,false),0)</f>
        <v>0</v>
      </c>
      <c r="M139" s="667">
        <v>45931.0</v>
      </c>
      <c r="N139" s="667">
        <v>45961.0</v>
      </c>
    </row>
    <row r="140">
      <c r="A140" s="661" t="s">
        <v>16</v>
      </c>
      <c r="B140" s="662">
        <v>4320.0</v>
      </c>
      <c r="C140" s="663" t="s">
        <v>763</v>
      </c>
      <c r="D140" s="662">
        <v>0.0</v>
      </c>
      <c r="E140" s="661" t="s">
        <v>132</v>
      </c>
      <c r="F140" s="661" t="s">
        <v>347</v>
      </c>
      <c r="G140" s="661" t="s">
        <v>348</v>
      </c>
      <c r="H140" s="664"/>
      <c r="I140" s="668">
        <v>36778.0</v>
      </c>
      <c r="J140" s="665">
        <v>45369.0</v>
      </c>
      <c r="K140" s="660">
        <v>45565.0</v>
      </c>
      <c r="L140" s="611">
        <f>iferror(VLOOKUP(E140,'October 2025 Reference AI'!E:S,8,false),0)</f>
        <v>0</v>
      </c>
      <c r="M140" s="667">
        <v>45931.0</v>
      </c>
      <c r="N140" s="667">
        <v>45961.0</v>
      </c>
    </row>
    <row r="141">
      <c r="A141" s="661" t="s">
        <v>16</v>
      </c>
      <c r="B141" s="662">
        <v>4320.0</v>
      </c>
      <c r="C141" s="663" t="s">
        <v>763</v>
      </c>
      <c r="D141" s="662">
        <v>0.0</v>
      </c>
      <c r="E141" s="661" t="s">
        <v>570</v>
      </c>
      <c r="F141" s="661" t="s">
        <v>571</v>
      </c>
      <c r="G141" s="661" t="s">
        <v>572</v>
      </c>
      <c r="H141" s="664"/>
      <c r="I141" s="668">
        <v>37362.0</v>
      </c>
      <c r="J141" s="668">
        <v>45677.0</v>
      </c>
      <c r="K141" s="660">
        <v>45869.0</v>
      </c>
      <c r="L141" s="611">
        <f>iferror(VLOOKUP(E141,'October 2025 Reference AI'!E:S,8,false),0)</f>
        <v>0</v>
      </c>
      <c r="M141" s="667">
        <v>45931.0</v>
      </c>
      <c r="N141" s="667">
        <v>45961.0</v>
      </c>
    </row>
    <row r="142">
      <c r="A142" s="661" t="s">
        <v>16</v>
      </c>
      <c r="B142" s="662">
        <v>4320.0</v>
      </c>
      <c r="C142" s="663" t="s">
        <v>763</v>
      </c>
      <c r="D142" s="662">
        <v>0.0</v>
      </c>
      <c r="E142" s="661" t="s">
        <v>702</v>
      </c>
      <c r="F142" s="661" t="s">
        <v>703</v>
      </c>
      <c r="G142" s="661" t="s">
        <v>704</v>
      </c>
      <c r="H142" s="664"/>
      <c r="I142" s="665">
        <v>35714.0</v>
      </c>
      <c r="J142" s="665">
        <v>45705.0</v>
      </c>
      <c r="K142" s="660">
        <v>45930.0</v>
      </c>
      <c r="L142" s="611">
        <f>iferror(VLOOKUP(E142,'October 2025 Reference AI'!E:S,8,false),0)</f>
        <v>0</v>
      </c>
      <c r="M142" s="667">
        <v>45931.0</v>
      </c>
      <c r="N142" s="667">
        <v>45961.0</v>
      </c>
    </row>
    <row r="143">
      <c r="A143" s="661" t="s">
        <v>16</v>
      </c>
      <c r="B143" s="662">
        <v>4320.0</v>
      </c>
      <c r="C143" s="663" t="s">
        <v>763</v>
      </c>
      <c r="D143" s="662">
        <v>0.0</v>
      </c>
      <c r="E143" s="661" t="s">
        <v>491</v>
      </c>
      <c r="F143" s="661" t="s">
        <v>534</v>
      </c>
      <c r="G143" s="661" t="s">
        <v>492</v>
      </c>
      <c r="H143" s="664"/>
      <c r="I143" s="665">
        <v>36849.0</v>
      </c>
      <c r="J143" s="665">
        <v>45602.0</v>
      </c>
      <c r="K143" s="660">
        <v>45700.0</v>
      </c>
      <c r="L143" s="611">
        <f>iferror(VLOOKUP(E143,'October 2025 Reference AI'!E:S,8,false),0)</f>
        <v>0</v>
      </c>
      <c r="M143" s="667">
        <v>45931.0</v>
      </c>
      <c r="N143" s="667">
        <v>45961.0</v>
      </c>
    </row>
    <row r="144">
      <c r="A144" s="661" t="s">
        <v>16</v>
      </c>
      <c r="B144" s="662">
        <v>4320.0</v>
      </c>
      <c r="C144" s="663" t="s">
        <v>763</v>
      </c>
      <c r="D144" s="662">
        <v>0.0</v>
      </c>
      <c r="E144" s="661" t="s">
        <v>767</v>
      </c>
      <c r="F144" s="661" t="s">
        <v>818</v>
      </c>
      <c r="G144" s="661" t="s">
        <v>768</v>
      </c>
      <c r="H144" s="664"/>
      <c r="I144" s="665">
        <v>35792.0</v>
      </c>
      <c r="J144" s="665">
        <v>45754.0</v>
      </c>
      <c r="K144" s="660">
        <v>45819.0</v>
      </c>
      <c r="L144" s="611">
        <f>iferror(VLOOKUP(E144,'October 2025 Reference AI'!E:S,8,false),0)</f>
        <v>0</v>
      </c>
      <c r="M144" s="667">
        <v>45931.0</v>
      </c>
      <c r="N144" s="667">
        <v>45961.0</v>
      </c>
    </row>
    <row r="145">
      <c r="A145" s="661" t="s">
        <v>16</v>
      </c>
      <c r="B145" s="662">
        <v>4320.0</v>
      </c>
      <c r="C145" s="663" t="s">
        <v>763</v>
      </c>
      <c r="D145" s="662">
        <v>0.0</v>
      </c>
      <c r="E145" s="661" t="s">
        <v>651</v>
      </c>
      <c r="F145" s="661" t="s">
        <v>652</v>
      </c>
      <c r="G145" s="661" t="s">
        <v>653</v>
      </c>
      <c r="H145" s="664"/>
      <c r="I145" s="665">
        <v>34748.0</v>
      </c>
      <c r="J145" s="668">
        <v>45033.0</v>
      </c>
      <c r="K145" s="660">
        <v>45381.0</v>
      </c>
      <c r="L145" s="611">
        <f>iferror(VLOOKUP(E145,'October 2025 Reference AI'!E:S,8,false),0)</f>
        <v>0</v>
      </c>
      <c r="M145" s="667">
        <v>45931.0</v>
      </c>
      <c r="N145" s="667">
        <v>45961.0</v>
      </c>
    </row>
    <row r="146">
      <c r="A146" s="661" t="s">
        <v>16</v>
      </c>
      <c r="B146" s="662">
        <v>4320.0</v>
      </c>
      <c r="C146" s="663" t="s">
        <v>763</v>
      </c>
      <c r="D146" s="662">
        <v>0.0</v>
      </c>
      <c r="E146" s="661" t="s">
        <v>459</v>
      </c>
      <c r="F146" s="661" t="s">
        <v>374</v>
      </c>
      <c r="G146" s="661" t="s">
        <v>375</v>
      </c>
      <c r="H146" s="664"/>
      <c r="I146" s="673">
        <v>37085.0</v>
      </c>
      <c r="J146" s="673">
        <v>45400.0</v>
      </c>
      <c r="K146" s="701">
        <v>45959.0</v>
      </c>
      <c r="L146" s="611">
        <f>iferror(VLOOKUP(E146,'October 2025 Reference AI'!E:S,8,false),0)</f>
        <v>29</v>
      </c>
      <c r="M146" s="667">
        <v>45931.0</v>
      </c>
      <c r="N146" s="667">
        <v>45961.0</v>
      </c>
    </row>
    <row r="147">
      <c r="A147" s="661" t="s">
        <v>16</v>
      </c>
      <c r="B147" s="662">
        <v>4320.0</v>
      </c>
      <c r="C147" s="663" t="s">
        <v>763</v>
      </c>
      <c r="D147" s="662">
        <v>0.0</v>
      </c>
      <c r="E147" s="661" t="s">
        <v>135</v>
      </c>
      <c r="F147" s="661" t="s">
        <v>136</v>
      </c>
      <c r="G147" s="661" t="s">
        <v>137</v>
      </c>
      <c r="H147" s="664"/>
      <c r="I147" s="665">
        <v>36768.0</v>
      </c>
      <c r="J147" s="665">
        <v>44888.0</v>
      </c>
      <c r="K147" s="660">
        <v>45260.0</v>
      </c>
      <c r="L147" s="611">
        <f>iferror(VLOOKUP(E147,'October 2025 Reference AI'!E:S,8,false),0)</f>
        <v>0</v>
      </c>
      <c r="M147" s="667">
        <v>45931.0</v>
      </c>
      <c r="N147" s="667">
        <v>45961.0</v>
      </c>
    </row>
    <row r="148">
      <c r="A148" s="661" t="s">
        <v>16</v>
      </c>
      <c r="B148" s="662">
        <v>4320.0</v>
      </c>
      <c r="C148" s="663" t="s">
        <v>763</v>
      </c>
      <c r="D148" s="662">
        <v>0.0</v>
      </c>
      <c r="E148" s="661" t="s">
        <v>349</v>
      </c>
      <c r="F148" s="661" t="s">
        <v>350</v>
      </c>
      <c r="G148" s="661" t="s">
        <v>351</v>
      </c>
      <c r="H148" s="664"/>
      <c r="I148" s="668">
        <v>37647.0</v>
      </c>
      <c r="J148" s="668">
        <v>45355.0</v>
      </c>
      <c r="K148" s="660">
        <v>45900.0</v>
      </c>
      <c r="L148" s="611">
        <f>iferror(VLOOKUP(E148,'October 2025 Reference AI'!E:S,8,false),0)</f>
        <v>0</v>
      </c>
      <c r="M148" s="667">
        <v>45931.0</v>
      </c>
      <c r="N148" s="667">
        <v>45961.0</v>
      </c>
    </row>
    <row r="149">
      <c r="A149" s="661" t="s">
        <v>16</v>
      </c>
      <c r="B149" s="662">
        <v>4320.0</v>
      </c>
      <c r="C149" s="663" t="s">
        <v>763</v>
      </c>
      <c r="D149" s="662">
        <v>0.0</v>
      </c>
      <c r="E149" s="661" t="s">
        <v>654</v>
      </c>
      <c r="F149" s="661" t="s">
        <v>655</v>
      </c>
      <c r="G149" s="661" t="s">
        <v>656</v>
      </c>
      <c r="H149" s="664"/>
      <c r="I149" s="665">
        <v>34318.0</v>
      </c>
      <c r="J149" s="665">
        <v>45229.0</v>
      </c>
      <c r="K149" s="660">
        <v>45523.0</v>
      </c>
      <c r="L149" s="611">
        <f>iferror(VLOOKUP(E149,'October 2025 Reference AI'!E:S,8,false),0)</f>
        <v>0</v>
      </c>
      <c r="M149" s="667">
        <v>45931.0</v>
      </c>
      <c r="N149" s="667">
        <v>45961.0</v>
      </c>
    </row>
    <row r="150">
      <c r="A150" s="661" t="s">
        <v>16</v>
      </c>
      <c r="B150" s="662">
        <v>4320.0</v>
      </c>
      <c r="C150" s="663" t="s">
        <v>763</v>
      </c>
      <c r="D150" s="662">
        <v>0.0</v>
      </c>
      <c r="E150" s="661" t="s">
        <v>141</v>
      </c>
      <c r="F150" s="661" t="s">
        <v>142</v>
      </c>
      <c r="G150" s="661" t="s">
        <v>143</v>
      </c>
      <c r="H150" s="664"/>
      <c r="I150" s="665">
        <v>34300.0</v>
      </c>
      <c r="J150" s="665">
        <v>45183.0</v>
      </c>
      <c r="K150" s="660">
        <v>45565.0</v>
      </c>
      <c r="L150" s="611">
        <f>iferror(VLOOKUP(E150,'October 2025 Reference AI'!E:S,8,false),0)</f>
        <v>0</v>
      </c>
      <c r="M150" s="667">
        <v>45931.0</v>
      </c>
      <c r="N150" s="667">
        <v>45961.0</v>
      </c>
    </row>
    <row r="151">
      <c r="A151" s="661" t="s">
        <v>16</v>
      </c>
      <c r="B151" s="662">
        <v>4320.0</v>
      </c>
      <c r="C151" s="663" t="s">
        <v>763</v>
      </c>
      <c r="D151" s="662">
        <v>0.0</v>
      </c>
      <c r="E151" s="661" t="s">
        <v>657</v>
      </c>
      <c r="F151" s="661" t="s">
        <v>658</v>
      </c>
      <c r="G151" s="661" t="s">
        <v>659</v>
      </c>
      <c r="H151" s="664"/>
      <c r="I151" s="665">
        <v>35147.0</v>
      </c>
      <c r="J151" s="665">
        <v>44886.0</v>
      </c>
      <c r="K151" s="660">
        <v>45243.0</v>
      </c>
      <c r="L151" s="611">
        <f>iferror(VLOOKUP(E151,'October 2025 Reference AI'!E:S,8,false),0)</f>
        <v>0</v>
      </c>
      <c r="M151" s="667">
        <v>45931.0</v>
      </c>
      <c r="N151" s="667">
        <v>45961.0</v>
      </c>
    </row>
    <row r="152">
      <c r="A152" s="661" t="s">
        <v>16</v>
      </c>
      <c r="B152" s="662">
        <v>4320.0</v>
      </c>
      <c r="C152" s="663" t="s">
        <v>763</v>
      </c>
      <c r="D152" s="662">
        <v>0.0</v>
      </c>
      <c r="E152" s="661" t="s">
        <v>352</v>
      </c>
      <c r="F152" s="661" t="s">
        <v>353</v>
      </c>
      <c r="G152" s="661" t="s">
        <v>354</v>
      </c>
      <c r="H152" s="664"/>
      <c r="I152" s="668">
        <v>36412.0</v>
      </c>
      <c r="J152" s="668">
        <v>45355.0</v>
      </c>
      <c r="K152" s="660" t="s">
        <v>947</v>
      </c>
      <c r="L152" s="611">
        <f>iferror(VLOOKUP(E152,'October 2025 Reference AI'!E:S,8,false),0)</f>
        <v>31</v>
      </c>
      <c r="M152" s="667">
        <v>45931.0</v>
      </c>
      <c r="N152" s="667">
        <v>45961.0</v>
      </c>
    </row>
    <row r="153">
      <c r="A153" s="661" t="s">
        <v>16</v>
      </c>
      <c r="B153" s="662">
        <v>4320.0</v>
      </c>
      <c r="C153" s="663" t="s">
        <v>763</v>
      </c>
      <c r="D153" s="662">
        <v>0.0</v>
      </c>
      <c r="E153" s="661" t="s">
        <v>803</v>
      </c>
      <c r="F153" s="661" t="s">
        <v>804</v>
      </c>
      <c r="G153" s="661" t="s">
        <v>805</v>
      </c>
      <c r="H153" s="664"/>
      <c r="I153" s="665">
        <v>37817.0</v>
      </c>
      <c r="J153" s="666">
        <v>45796.0</v>
      </c>
      <c r="K153" s="660">
        <v>45866.0</v>
      </c>
      <c r="L153" s="611">
        <f>iferror(VLOOKUP(E153,'October 2025 Reference AI'!E:S,8,false),0)</f>
        <v>0</v>
      </c>
      <c r="M153" s="667">
        <v>45931.0</v>
      </c>
      <c r="N153" s="667">
        <v>45961.0</v>
      </c>
    </row>
    <row r="154">
      <c r="A154" s="661" t="s">
        <v>16</v>
      </c>
      <c r="B154" s="662">
        <v>4320.0</v>
      </c>
      <c r="C154" s="663" t="s">
        <v>763</v>
      </c>
      <c r="D154" s="662">
        <v>0.0</v>
      </c>
      <c r="E154" s="661" t="s">
        <v>419</v>
      </c>
      <c r="F154" s="661" t="s">
        <v>520</v>
      </c>
      <c r="G154" s="661" t="s">
        <v>420</v>
      </c>
      <c r="H154" s="664"/>
      <c r="I154" s="668">
        <v>36907.0</v>
      </c>
      <c r="J154" s="673">
        <v>45446.0</v>
      </c>
      <c r="K154" s="660">
        <v>45676.0</v>
      </c>
      <c r="L154" s="611">
        <f>iferror(VLOOKUP(E154,'October 2025 Reference AI'!E:S,8,false),0)</f>
        <v>0</v>
      </c>
      <c r="M154" s="667">
        <v>45931.0</v>
      </c>
      <c r="N154" s="667">
        <v>45961.0</v>
      </c>
    </row>
    <row r="155">
      <c r="A155" s="661" t="s">
        <v>16</v>
      </c>
      <c r="B155" s="662">
        <v>4320.0</v>
      </c>
      <c r="C155" s="663" t="s">
        <v>763</v>
      </c>
      <c r="D155" s="662">
        <v>0.0</v>
      </c>
      <c r="E155" s="661" t="s">
        <v>660</v>
      </c>
      <c r="F155" s="661" t="s">
        <v>127</v>
      </c>
      <c r="G155" s="661" t="s">
        <v>128</v>
      </c>
      <c r="H155" s="664"/>
      <c r="I155" s="668">
        <v>36132.0</v>
      </c>
      <c r="J155" s="668">
        <v>45117.0</v>
      </c>
      <c r="K155" s="660">
        <v>45260.0</v>
      </c>
      <c r="L155" s="611">
        <f>iferror(VLOOKUP(E155,'October 2025 Reference AI'!E:S,8,false),0)</f>
        <v>0</v>
      </c>
      <c r="M155" s="667">
        <v>45931.0</v>
      </c>
      <c r="N155" s="667">
        <v>45961.0</v>
      </c>
    </row>
    <row r="156">
      <c r="A156" s="661" t="s">
        <v>16</v>
      </c>
      <c r="B156" s="662">
        <v>4320.0</v>
      </c>
      <c r="C156" s="663" t="s">
        <v>763</v>
      </c>
      <c r="D156" s="662">
        <v>0.0</v>
      </c>
      <c r="E156" s="661" t="s">
        <v>705</v>
      </c>
      <c r="F156" s="661" t="s">
        <v>758</v>
      </c>
      <c r="G156" s="661" t="s">
        <v>707</v>
      </c>
      <c r="H156" s="664"/>
      <c r="I156" s="668">
        <v>36594.0</v>
      </c>
      <c r="J156" s="665">
        <v>45712.0</v>
      </c>
      <c r="K156" s="660" t="s">
        <v>947</v>
      </c>
      <c r="L156" s="611">
        <f>iferror(VLOOKUP(E156,'October 2025 Reference AI'!E:S,8,false),0)</f>
        <v>31</v>
      </c>
      <c r="M156" s="667">
        <v>45931.0</v>
      </c>
      <c r="N156" s="667">
        <v>45961.0</v>
      </c>
    </row>
    <row r="157">
      <c r="A157" s="661" t="s">
        <v>16</v>
      </c>
      <c r="B157" s="662">
        <v>4320.0</v>
      </c>
      <c r="C157" s="663" t="s">
        <v>763</v>
      </c>
      <c r="D157" s="662">
        <v>0.0</v>
      </c>
      <c r="E157" s="661" t="s">
        <v>398</v>
      </c>
      <c r="F157" s="661" t="s">
        <v>399</v>
      </c>
      <c r="G157" s="661" t="s">
        <v>400</v>
      </c>
      <c r="H157" s="664"/>
      <c r="I157" s="668">
        <v>36655.0</v>
      </c>
      <c r="J157" s="668">
        <v>45418.0</v>
      </c>
      <c r="K157" s="660">
        <v>45539.0</v>
      </c>
      <c r="L157" s="611">
        <f>iferror(VLOOKUP(E157,'October 2025 Reference AI'!E:S,8,false),0)</f>
        <v>0</v>
      </c>
      <c r="M157" s="667">
        <v>45931.0</v>
      </c>
      <c r="N157" s="667">
        <v>45961.0</v>
      </c>
    </row>
    <row r="158">
      <c r="A158" s="661" t="s">
        <v>16</v>
      </c>
      <c r="B158" s="662">
        <v>4320.0</v>
      </c>
      <c r="C158" s="663" t="s">
        <v>763</v>
      </c>
      <c r="D158" s="662">
        <v>0.0</v>
      </c>
      <c r="E158" s="661" t="s">
        <v>661</v>
      </c>
      <c r="F158" s="661" t="s">
        <v>662</v>
      </c>
      <c r="G158" s="661" t="s">
        <v>663</v>
      </c>
      <c r="H158" s="664"/>
      <c r="I158" s="668">
        <v>31262.0</v>
      </c>
      <c r="J158" s="668">
        <v>45048.0</v>
      </c>
      <c r="K158" s="660">
        <v>45199.0</v>
      </c>
      <c r="L158" s="611">
        <f>iferror(VLOOKUP(E158,'October 2025 Reference AI'!E:S,8,false),0)</f>
        <v>0</v>
      </c>
      <c r="M158" s="667">
        <v>45931.0</v>
      </c>
      <c r="N158" s="667">
        <v>45961.0</v>
      </c>
    </row>
    <row r="159">
      <c r="A159" s="661" t="s">
        <v>16</v>
      </c>
      <c r="B159" s="662">
        <v>4320.0</v>
      </c>
      <c r="C159" s="663" t="s">
        <v>763</v>
      </c>
      <c r="D159" s="662">
        <v>0.0</v>
      </c>
      <c r="E159" s="661" t="s">
        <v>147</v>
      </c>
      <c r="F159" s="661" t="s">
        <v>148</v>
      </c>
      <c r="G159" s="661" t="s">
        <v>149</v>
      </c>
      <c r="H159" s="664"/>
      <c r="I159" s="668">
        <v>36541.0</v>
      </c>
      <c r="J159" s="668">
        <v>44755.0</v>
      </c>
      <c r="K159" s="660">
        <v>45386.0</v>
      </c>
      <c r="L159" s="611">
        <f>iferror(VLOOKUP(E159,'October 2025 Reference AI'!E:S,8,false),0)</f>
        <v>0</v>
      </c>
      <c r="M159" s="667">
        <v>45931.0</v>
      </c>
      <c r="N159" s="667">
        <v>45961.0</v>
      </c>
    </row>
    <row r="160">
      <c r="A160" s="661" t="s">
        <v>16</v>
      </c>
      <c r="B160" s="662">
        <v>4320.0</v>
      </c>
      <c r="C160" s="663" t="s">
        <v>763</v>
      </c>
      <c r="D160" s="662">
        <v>0.0</v>
      </c>
      <c r="E160" s="661" t="s">
        <v>150</v>
      </c>
      <c r="F160" s="661" t="s">
        <v>151</v>
      </c>
      <c r="G160" s="661" t="s">
        <v>152</v>
      </c>
      <c r="H160" s="664"/>
      <c r="I160" s="668">
        <v>34335.0</v>
      </c>
      <c r="J160" s="668">
        <v>45078.0</v>
      </c>
      <c r="K160" s="660">
        <v>45400.0</v>
      </c>
      <c r="L160" s="611">
        <f>iferror(VLOOKUP(E160,'October 2025 Reference AI'!E:S,8,false),0)</f>
        <v>0</v>
      </c>
      <c r="M160" s="667">
        <v>45931.0</v>
      </c>
      <c r="N160" s="667">
        <v>45961.0</v>
      </c>
    </row>
    <row r="161">
      <c r="A161" s="661" t="s">
        <v>16</v>
      </c>
      <c r="B161" s="662">
        <v>4320.0</v>
      </c>
      <c r="C161" s="663" t="s">
        <v>763</v>
      </c>
      <c r="D161" s="662">
        <v>0.0</v>
      </c>
      <c r="E161" s="661" t="s">
        <v>153</v>
      </c>
      <c r="F161" s="661" t="s">
        <v>154</v>
      </c>
      <c r="G161" s="661" t="s">
        <v>155</v>
      </c>
      <c r="H161" s="664"/>
      <c r="I161" s="665">
        <v>31014.0</v>
      </c>
      <c r="J161" s="668">
        <v>44805.0</v>
      </c>
      <c r="K161" s="660">
        <v>45199.0</v>
      </c>
      <c r="L161" s="611">
        <f>iferror(VLOOKUP(E161,'October 2025 Reference AI'!E:S,8,false),0)</f>
        <v>0</v>
      </c>
      <c r="M161" s="667">
        <v>45931.0</v>
      </c>
      <c r="N161" s="667">
        <v>45961.0</v>
      </c>
    </row>
    <row r="162">
      <c r="A162" s="661" t="s">
        <v>16</v>
      </c>
      <c r="B162" s="662">
        <v>4320.0</v>
      </c>
      <c r="C162" s="663" t="s">
        <v>763</v>
      </c>
      <c r="D162" s="662">
        <v>0.0</v>
      </c>
      <c r="E162" s="661" t="s">
        <v>794</v>
      </c>
      <c r="F162" s="661" t="s">
        <v>819</v>
      </c>
      <c r="G162" s="661" t="s">
        <v>796</v>
      </c>
      <c r="H162" s="664"/>
      <c r="I162" s="665">
        <v>36857.0</v>
      </c>
      <c r="J162" s="665">
        <v>45775.0</v>
      </c>
      <c r="K162" s="660" t="s">
        <v>947</v>
      </c>
      <c r="L162" s="611">
        <f>iferror(VLOOKUP(E162,'October 2025 Reference AI'!E:S,8,false),0)</f>
        <v>31</v>
      </c>
      <c r="M162" s="667">
        <v>45931.0</v>
      </c>
      <c r="N162" s="667">
        <v>45961.0</v>
      </c>
    </row>
    <row r="163">
      <c r="A163" s="661" t="s">
        <v>16</v>
      </c>
      <c r="B163" s="662">
        <v>4320.0</v>
      </c>
      <c r="C163" s="663" t="s">
        <v>763</v>
      </c>
      <c r="D163" s="662">
        <v>0.0</v>
      </c>
      <c r="E163" s="661" t="s">
        <v>273</v>
      </c>
      <c r="F163" s="661" t="s">
        <v>274</v>
      </c>
      <c r="G163" s="661" t="s">
        <v>275</v>
      </c>
      <c r="H163" s="664"/>
      <c r="I163" s="668">
        <v>34522.0</v>
      </c>
      <c r="J163" s="668">
        <v>45292.0</v>
      </c>
      <c r="K163" s="660">
        <v>45926.0</v>
      </c>
      <c r="L163" s="611">
        <f>iferror(VLOOKUP(E163,'October 2025 Reference AI'!E:S,8,false),0)</f>
        <v>0</v>
      </c>
      <c r="M163" s="667">
        <v>45931.0</v>
      </c>
      <c r="N163" s="667">
        <v>45961.0</v>
      </c>
    </row>
    <row r="164">
      <c r="A164" s="661" t="s">
        <v>16</v>
      </c>
      <c r="B164" s="662">
        <v>4320.0</v>
      </c>
      <c r="C164" s="663" t="s">
        <v>763</v>
      </c>
      <c r="D164" s="662">
        <v>0.0</v>
      </c>
      <c r="E164" s="661" t="s">
        <v>708</v>
      </c>
      <c r="F164" s="661" t="s">
        <v>759</v>
      </c>
      <c r="G164" s="661" t="s">
        <v>710</v>
      </c>
      <c r="H164" s="664"/>
      <c r="I164" s="666">
        <v>37028.0</v>
      </c>
      <c r="J164" s="665">
        <v>45705.0</v>
      </c>
      <c r="K164" s="660">
        <v>45900.0</v>
      </c>
      <c r="L164" s="611">
        <f>iferror(VLOOKUP(E164,'October 2025 Reference AI'!E:S,8,false),0)</f>
        <v>0</v>
      </c>
      <c r="M164" s="667">
        <v>45931.0</v>
      </c>
      <c r="N164" s="667">
        <v>45961.0</v>
      </c>
    </row>
    <row r="165">
      <c r="A165" s="661" t="s">
        <v>16</v>
      </c>
      <c r="B165" s="662">
        <v>4320.0</v>
      </c>
      <c r="C165" s="663" t="s">
        <v>763</v>
      </c>
      <c r="D165" s="662">
        <v>0.0</v>
      </c>
      <c r="E165" s="661" t="s">
        <v>470</v>
      </c>
      <c r="F165" s="661" t="s">
        <v>528</v>
      </c>
      <c r="G165" s="661" t="s">
        <v>472</v>
      </c>
      <c r="H165" s="664"/>
      <c r="I165" s="668">
        <v>37278.0</v>
      </c>
      <c r="J165" s="668">
        <v>45544.0</v>
      </c>
      <c r="K165" s="660">
        <v>45777.0</v>
      </c>
      <c r="L165" s="611">
        <f>iferror(VLOOKUP(E165,'October 2025 Reference AI'!E:S,8,false),0)</f>
        <v>0</v>
      </c>
      <c r="M165" s="667">
        <v>45931.0</v>
      </c>
      <c r="N165" s="667">
        <v>45961.0</v>
      </c>
    </row>
    <row r="166">
      <c r="A166" s="661" t="s">
        <v>16</v>
      </c>
      <c r="B166" s="662">
        <v>4320.0</v>
      </c>
      <c r="C166" s="663" t="s">
        <v>763</v>
      </c>
      <c r="D166" s="662">
        <v>0.0</v>
      </c>
      <c r="E166" s="661" t="s">
        <v>558</v>
      </c>
      <c r="F166" s="661" t="s">
        <v>559</v>
      </c>
      <c r="G166" s="661" t="s">
        <v>560</v>
      </c>
      <c r="H166" s="664"/>
      <c r="I166" s="668">
        <v>33811.0</v>
      </c>
      <c r="J166" s="668">
        <v>45663.0</v>
      </c>
      <c r="K166" s="660">
        <v>45667.0</v>
      </c>
      <c r="L166" s="611">
        <f>iferror(VLOOKUP(E166,'October 2025 Reference AI'!E:S,8,false),0)</f>
        <v>0</v>
      </c>
      <c r="M166" s="667">
        <v>45931.0</v>
      </c>
      <c r="N166" s="667">
        <v>45961.0</v>
      </c>
    </row>
    <row r="167">
      <c r="A167" s="661" t="s">
        <v>16</v>
      </c>
      <c r="B167" s="662">
        <v>4320.0</v>
      </c>
      <c r="C167" s="663" t="s">
        <v>763</v>
      </c>
      <c r="D167" s="662">
        <v>0.0</v>
      </c>
      <c r="E167" s="311" t="s">
        <v>860</v>
      </c>
      <c r="F167" s="251" t="s">
        <v>861</v>
      </c>
      <c r="G167" s="251" t="s">
        <v>862</v>
      </c>
      <c r="I167" s="509">
        <v>36176.0</v>
      </c>
      <c r="J167" s="509">
        <v>45810.0</v>
      </c>
      <c r="K167" s="660" t="s">
        <v>947</v>
      </c>
      <c r="L167" s="611">
        <f>iferror(VLOOKUP(E167,'October 2025 Reference AI'!E:S,8,false),0)</f>
        <v>31</v>
      </c>
      <c r="M167" s="667">
        <v>45931.0</v>
      </c>
      <c r="N167" s="667">
        <v>45961.0</v>
      </c>
    </row>
    <row r="168">
      <c r="A168" s="661" t="s">
        <v>16</v>
      </c>
      <c r="B168" s="662">
        <v>4320.0</v>
      </c>
      <c r="C168" s="663" t="s">
        <v>763</v>
      </c>
      <c r="D168" s="662">
        <v>0.0</v>
      </c>
      <c r="E168" s="661" t="s">
        <v>664</v>
      </c>
      <c r="F168" s="661" t="s">
        <v>157</v>
      </c>
      <c r="G168" s="661" t="s">
        <v>158</v>
      </c>
      <c r="H168" s="664"/>
      <c r="I168" s="665">
        <v>35150.0</v>
      </c>
      <c r="J168" s="668">
        <v>45079.0</v>
      </c>
      <c r="K168" s="660">
        <v>45322.0</v>
      </c>
      <c r="L168" s="611">
        <f>iferror(VLOOKUP(E168,'October 2025 Reference AI'!E:S,8,false),0)</f>
        <v>0</v>
      </c>
      <c r="M168" s="667">
        <v>45931.0</v>
      </c>
      <c r="N168" s="667">
        <v>45961.0</v>
      </c>
    </row>
    <row r="169">
      <c r="A169" s="661" t="s">
        <v>16</v>
      </c>
      <c r="B169" s="662">
        <v>4320.0</v>
      </c>
      <c r="C169" s="663" t="s">
        <v>763</v>
      </c>
      <c r="D169" s="662">
        <v>0.0</v>
      </c>
      <c r="E169" s="661" t="s">
        <v>495</v>
      </c>
      <c r="F169" s="661" t="s">
        <v>538</v>
      </c>
      <c r="G169" s="661" t="s">
        <v>496</v>
      </c>
      <c r="H169" s="664"/>
      <c r="I169" s="668">
        <v>33452.0</v>
      </c>
      <c r="J169" s="668">
        <v>45628.0</v>
      </c>
      <c r="K169" s="660">
        <v>45728.0</v>
      </c>
      <c r="L169" s="611">
        <f>iferror(VLOOKUP(E169,'October 2025 Reference AI'!E:S,8,false),0)</f>
        <v>0</v>
      </c>
      <c r="M169" s="667">
        <v>45931.0</v>
      </c>
      <c r="N169" s="667">
        <v>45961.0</v>
      </c>
    </row>
    <row r="170">
      <c r="A170" s="661" t="s">
        <v>16</v>
      </c>
      <c r="B170" s="662">
        <v>4320.0</v>
      </c>
      <c r="C170" s="663" t="s">
        <v>763</v>
      </c>
      <c r="D170" s="662">
        <v>0.0</v>
      </c>
      <c r="E170" s="661" t="s">
        <v>665</v>
      </c>
      <c r="F170" s="661" t="s">
        <v>160</v>
      </c>
      <c r="G170" s="661" t="s">
        <v>161</v>
      </c>
      <c r="H170" s="664"/>
      <c r="I170" s="665">
        <v>35779.0</v>
      </c>
      <c r="J170" s="668">
        <v>45176.0</v>
      </c>
      <c r="K170" s="660">
        <v>45317.0</v>
      </c>
      <c r="L170" s="611">
        <f>iferror(VLOOKUP(E170,'October 2025 Reference AI'!E:S,8,false),0)</f>
        <v>0</v>
      </c>
      <c r="M170" s="667">
        <v>45931.0</v>
      </c>
      <c r="N170" s="667">
        <v>45961.0</v>
      </c>
    </row>
    <row r="171">
      <c r="A171" s="661" t="s">
        <v>16</v>
      </c>
      <c r="B171" s="662">
        <v>4320.0</v>
      </c>
      <c r="C171" s="663" t="s">
        <v>763</v>
      </c>
      <c r="D171" s="662">
        <v>0.0</v>
      </c>
      <c r="E171" s="661" t="s">
        <v>162</v>
      </c>
      <c r="F171" s="661" t="s">
        <v>163</v>
      </c>
      <c r="G171" s="661" t="s">
        <v>164</v>
      </c>
      <c r="H171" s="664"/>
      <c r="I171" s="665">
        <v>34732.0</v>
      </c>
      <c r="J171" s="668">
        <v>44986.0</v>
      </c>
      <c r="K171" s="660">
        <v>45912.0</v>
      </c>
      <c r="L171" s="611">
        <f>iferror(VLOOKUP(E171,'October 2025 Reference AI'!E:S,8,false),0)</f>
        <v>0</v>
      </c>
      <c r="M171" s="667">
        <v>45931.0</v>
      </c>
      <c r="N171" s="667">
        <v>45961.0</v>
      </c>
    </row>
    <row r="172">
      <c r="A172" s="661" t="s">
        <v>16</v>
      </c>
      <c r="B172" s="662">
        <v>4320.0</v>
      </c>
      <c r="C172" s="663" t="s">
        <v>763</v>
      </c>
      <c r="D172" s="662">
        <v>0.0</v>
      </c>
      <c r="E172" s="661" t="s">
        <v>809</v>
      </c>
      <c r="F172" s="661" t="s">
        <v>810</v>
      </c>
      <c r="G172" s="661" t="s">
        <v>811</v>
      </c>
      <c r="H172" s="664"/>
      <c r="I172" s="665">
        <v>35148.0</v>
      </c>
      <c r="J172" s="665">
        <v>45775.0</v>
      </c>
      <c r="K172" s="660" t="s">
        <v>947</v>
      </c>
      <c r="L172" s="611">
        <f>iferror(VLOOKUP(E172,'October 2025 Reference AI'!E:S,8,false),0)</f>
        <v>31</v>
      </c>
      <c r="M172" s="667">
        <v>45931.0</v>
      </c>
      <c r="N172" s="667">
        <v>45961.0</v>
      </c>
    </row>
    <row r="173">
      <c r="A173" s="661" t="s">
        <v>16</v>
      </c>
      <c r="B173" s="662">
        <v>4320.0</v>
      </c>
      <c r="C173" s="663" t="s">
        <v>763</v>
      </c>
      <c r="D173" s="662">
        <v>0.0</v>
      </c>
      <c r="E173" s="661" t="s">
        <v>549</v>
      </c>
      <c r="F173" s="661" t="s">
        <v>550</v>
      </c>
      <c r="G173" s="661" t="s">
        <v>551</v>
      </c>
      <c r="H173" s="664"/>
      <c r="I173" s="668">
        <v>37636.0</v>
      </c>
      <c r="J173" s="668">
        <v>45663.0</v>
      </c>
      <c r="K173" s="660">
        <v>45869.0</v>
      </c>
      <c r="L173" s="611">
        <f>iferror(VLOOKUP(E173,'October 2025 Reference AI'!E:S,8,false),0)</f>
        <v>0</v>
      </c>
      <c r="M173" s="667">
        <v>45931.0</v>
      </c>
      <c r="N173" s="667">
        <v>45961.0</v>
      </c>
    </row>
    <row r="174">
      <c r="A174" s="661" t="s">
        <v>16</v>
      </c>
      <c r="B174" s="662">
        <v>4320.0</v>
      </c>
      <c r="C174" s="663" t="s">
        <v>763</v>
      </c>
      <c r="D174" s="662">
        <v>0.0</v>
      </c>
      <c r="E174" s="661" t="s">
        <v>240</v>
      </c>
      <c r="F174" s="661" t="s">
        <v>241</v>
      </c>
      <c r="G174" s="661" t="s">
        <v>242</v>
      </c>
      <c r="H174" s="664"/>
      <c r="I174" s="668">
        <v>33762.0</v>
      </c>
      <c r="J174" s="665">
        <v>45222.0</v>
      </c>
      <c r="K174" s="660">
        <v>45046.0</v>
      </c>
      <c r="L174" s="611">
        <f>iferror(VLOOKUP(E174,'October 2025 Reference AI'!E:S,8,false),0)</f>
        <v>0</v>
      </c>
      <c r="M174" s="667">
        <v>45931.0</v>
      </c>
      <c r="N174" s="667">
        <v>45961.0</v>
      </c>
    </row>
    <row r="175">
      <c r="A175" s="661" t="s">
        <v>16</v>
      </c>
      <c r="B175" s="662">
        <v>4320.0</v>
      </c>
      <c r="C175" s="663" t="s">
        <v>763</v>
      </c>
      <c r="D175" s="662">
        <v>0.0</v>
      </c>
      <c r="E175" s="661" t="s">
        <v>168</v>
      </c>
      <c r="F175" s="661" t="s">
        <v>169</v>
      </c>
      <c r="G175" s="661" t="s">
        <v>170</v>
      </c>
      <c r="H175" s="664"/>
      <c r="I175" s="666">
        <v>35931.0</v>
      </c>
      <c r="J175" s="668">
        <v>44958.0</v>
      </c>
      <c r="K175" s="660">
        <v>45322.0</v>
      </c>
      <c r="L175" s="611">
        <f>iferror(VLOOKUP(E175,'October 2025 Reference AI'!E:S,8,false),0)</f>
        <v>0</v>
      </c>
      <c r="M175" s="667">
        <v>45931.0</v>
      </c>
      <c r="N175" s="667">
        <v>45961.0</v>
      </c>
    </row>
    <row r="176">
      <c r="A176" s="661" t="s">
        <v>16</v>
      </c>
      <c r="B176" s="662">
        <v>4320.0</v>
      </c>
      <c r="C176" s="663" t="s">
        <v>763</v>
      </c>
      <c r="D176" s="662">
        <v>0.0</v>
      </c>
      <c r="E176" s="661" t="s">
        <v>711</v>
      </c>
      <c r="F176" s="661" t="s">
        <v>760</v>
      </c>
      <c r="G176" s="661" t="s">
        <v>713</v>
      </c>
      <c r="H176" s="664"/>
      <c r="I176" s="665">
        <v>34694.0</v>
      </c>
      <c r="J176" s="665">
        <v>45712.0</v>
      </c>
      <c r="K176" s="660" t="s">
        <v>947</v>
      </c>
      <c r="L176" s="611">
        <f>iferror(VLOOKUP(E176,'October 2025 Reference AI'!E:S,8,false),0)</f>
        <v>31</v>
      </c>
      <c r="M176" s="667">
        <v>45931.0</v>
      </c>
      <c r="N176" s="667">
        <v>45961.0</v>
      </c>
    </row>
    <row r="177">
      <c r="A177" s="661" t="s">
        <v>16</v>
      </c>
      <c r="B177" s="662">
        <v>4320.0</v>
      </c>
      <c r="C177" s="663" t="s">
        <v>763</v>
      </c>
      <c r="D177" s="662">
        <v>0.0</v>
      </c>
      <c r="E177" s="661" t="s">
        <v>355</v>
      </c>
      <c r="F177" s="661" t="s">
        <v>356</v>
      </c>
      <c r="G177" s="661" t="s">
        <v>357</v>
      </c>
      <c r="H177" s="664"/>
      <c r="I177" s="665">
        <v>35395.0</v>
      </c>
      <c r="J177" s="665">
        <v>45376.0</v>
      </c>
      <c r="K177" s="660">
        <v>45905.0</v>
      </c>
      <c r="L177" s="611">
        <f>iferror(VLOOKUP(E177,'October 2025 Reference AI'!E:S,8,false),0)</f>
        <v>0</v>
      </c>
      <c r="M177" s="667">
        <v>45931.0</v>
      </c>
      <c r="N177" s="667">
        <v>45961.0</v>
      </c>
    </row>
    <row r="178">
      <c r="A178" s="661" t="s">
        <v>16</v>
      </c>
      <c r="B178" s="662">
        <v>4320.0</v>
      </c>
      <c r="C178" s="663" t="s">
        <v>763</v>
      </c>
      <c r="D178" s="662">
        <v>0.0</v>
      </c>
      <c r="E178" s="661" t="s">
        <v>358</v>
      </c>
      <c r="F178" s="661" t="s">
        <v>359</v>
      </c>
      <c r="G178" s="661" t="s">
        <v>360</v>
      </c>
      <c r="H178" s="664"/>
      <c r="I178" s="666">
        <v>37397.0</v>
      </c>
      <c r="J178" s="665">
        <v>45377.0</v>
      </c>
      <c r="K178" s="660">
        <v>45454.0</v>
      </c>
      <c r="L178" s="611">
        <f>iferror(VLOOKUP(E178,'October 2025 Reference AI'!E:S,8,false),0)</f>
        <v>0</v>
      </c>
      <c r="M178" s="667">
        <v>45931.0</v>
      </c>
      <c r="N178" s="667">
        <v>45961.0</v>
      </c>
    </row>
    <row r="179">
      <c r="A179" s="661" t="s">
        <v>16</v>
      </c>
      <c r="B179" s="662">
        <v>4320.0</v>
      </c>
      <c r="C179" s="663" t="s">
        <v>763</v>
      </c>
      <c r="D179" s="662">
        <v>0.0</v>
      </c>
      <c r="E179" s="661" t="s">
        <v>276</v>
      </c>
      <c r="F179" s="661" t="s">
        <v>277</v>
      </c>
      <c r="G179" s="661" t="s">
        <v>278</v>
      </c>
      <c r="H179" s="664"/>
      <c r="I179" s="665">
        <v>37479.0</v>
      </c>
      <c r="J179" s="668">
        <v>45320.0</v>
      </c>
      <c r="K179" s="660">
        <v>45453.0</v>
      </c>
      <c r="L179" s="611">
        <f>iferror(VLOOKUP(E179,'October 2025 Reference AI'!E:S,8,false),0)</f>
        <v>0</v>
      </c>
      <c r="M179" s="667">
        <v>45931.0</v>
      </c>
      <c r="N179" s="667">
        <v>45961.0</v>
      </c>
    </row>
    <row r="180">
      <c r="A180" s="661" t="s">
        <v>16</v>
      </c>
      <c r="B180" s="662">
        <v>4320.0</v>
      </c>
      <c r="C180" s="663" t="s">
        <v>763</v>
      </c>
      <c r="D180" s="662">
        <v>0.0</v>
      </c>
      <c r="E180" s="661" t="s">
        <v>714</v>
      </c>
      <c r="F180" s="661" t="s">
        <v>761</v>
      </c>
      <c r="G180" s="661" t="s">
        <v>716</v>
      </c>
      <c r="H180" s="664"/>
      <c r="I180" s="665">
        <v>36514.0</v>
      </c>
      <c r="J180" s="665">
        <v>45698.0</v>
      </c>
      <c r="K180" s="660">
        <v>45908.0</v>
      </c>
      <c r="L180" s="611">
        <f>iferror(VLOOKUP(E180,'October 2025 Reference AI'!E:S,8,false),0)</f>
        <v>0</v>
      </c>
      <c r="M180" s="667">
        <v>45931.0</v>
      </c>
      <c r="N180" s="667">
        <v>45961.0</v>
      </c>
    </row>
    <row r="181">
      <c r="A181" s="661" t="s">
        <v>16</v>
      </c>
      <c r="B181" s="662">
        <v>4320.0</v>
      </c>
      <c r="C181" s="663" t="s">
        <v>763</v>
      </c>
      <c r="D181" s="662">
        <v>0.0</v>
      </c>
      <c r="E181" s="661" t="s">
        <v>171</v>
      </c>
      <c r="F181" s="661" t="s">
        <v>172</v>
      </c>
      <c r="G181" s="661" t="s">
        <v>173</v>
      </c>
      <c r="H181" s="664"/>
      <c r="I181" s="668">
        <v>37005.0</v>
      </c>
      <c r="J181" s="665">
        <v>44802.0</v>
      </c>
      <c r="K181" s="660">
        <v>45303.0</v>
      </c>
      <c r="L181" s="611">
        <f>iferror(VLOOKUP(E181,'October 2025 Reference AI'!E:S,8,false),0)</f>
        <v>0</v>
      </c>
      <c r="M181" s="667">
        <v>45931.0</v>
      </c>
      <c r="N181" s="667">
        <v>45961.0</v>
      </c>
    </row>
    <row r="182">
      <c r="A182" s="661" t="s">
        <v>16</v>
      </c>
      <c r="B182" s="662">
        <v>4320.0</v>
      </c>
      <c r="C182" s="663" t="s">
        <v>763</v>
      </c>
      <c r="D182" s="662">
        <v>0.0</v>
      </c>
      <c r="E182" s="661" t="s">
        <v>243</v>
      </c>
      <c r="F182" s="661" t="s">
        <v>244</v>
      </c>
      <c r="G182" s="661" t="s">
        <v>245</v>
      </c>
      <c r="H182" s="664"/>
      <c r="I182" s="665">
        <v>36109.0</v>
      </c>
      <c r="J182" s="665">
        <v>45250.0</v>
      </c>
      <c r="K182" s="660">
        <v>45416.0</v>
      </c>
      <c r="L182" s="611">
        <f>iferror(VLOOKUP(E182,'October 2025 Reference AI'!E:S,8,false),0)</f>
        <v>0</v>
      </c>
      <c r="M182" s="667">
        <v>45931.0</v>
      </c>
      <c r="N182" s="667">
        <v>45961.0</v>
      </c>
    </row>
    <row r="183">
      <c r="A183" s="661" t="s">
        <v>16</v>
      </c>
      <c r="B183" s="662">
        <v>4320.0</v>
      </c>
      <c r="C183" s="663" t="s">
        <v>763</v>
      </c>
      <c r="D183" s="662">
        <v>0.0</v>
      </c>
      <c r="E183" s="661" t="s">
        <v>600</v>
      </c>
      <c r="F183" s="661" t="s">
        <v>601</v>
      </c>
      <c r="G183" s="661" t="s">
        <v>602</v>
      </c>
      <c r="H183" s="664"/>
      <c r="I183" s="668">
        <v>29741.0</v>
      </c>
      <c r="J183" s="668">
        <v>45658.0</v>
      </c>
      <c r="K183" s="660">
        <v>45823.0</v>
      </c>
      <c r="L183" s="611">
        <f>iferror(VLOOKUP(E183,'October 2025 Reference AI'!E:S,8,false),0)</f>
        <v>0</v>
      </c>
      <c r="M183" s="667">
        <v>45931.0</v>
      </c>
      <c r="N183" s="667">
        <v>45961.0</v>
      </c>
    </row>
    <row r="184">
      <c r="A184" s="661" t="s">
        <v>16</v>
      </c>
      <c r="B184" s="662">
        <v>4320.0</v>
      </c>
      <c r="C184" s="663" t="s">
        <v>763</v>
      </c>
      <c r="D184" s="662">
        <v>0.0</v>
      </c>
      <c r="E184" s="661" t="s">
        <v>431</v>
      </c>
      <c r="F184" s="661" t="s">
        <v>377</v>
      </c>
      <c r="G184" s="661" t="s">
        <v>378</v>
      </c>
      <c r="H184" s="664"/>
      <c r="I184" s="668">
        <v>36289.0</v>
      </c>
      <c r="J184" s="668">
        <v>45476.0</v>
      </c>
      <c r="K184" s="660">
        <v>45808.0</v>
      </c>
      <c r="L184" s="611">
        <f>iferror(VLOOKUP(E184,'October 2025 Reference AI'!E:S,8,false),0)</f>
        <v>0</v>
      </c>
      <c r="M184" s="667">
        <v>45931.0</v>
      </c>
      <c r="N184" s="667">
        <v>45961.0</v>
      </c>
    </row>
    <row r="185">
      <c r="A185" s="661" t="s">
        <v>16</v>
      </c>
      <c r="B185" s="662">
        <v>4320.0</v>
      </c>
      <c r="C185" s="663" t="s">
        <v>763</v>
      </c>
      <c r="D185" s="662">
        <v>0.0</v>
      </c>
      <c r="E185" s="661" t="s">
        <v>180</v>
      </c>
      <c r="F185" s="661" t="s">
        <v>181</v>
      </c>
      <c r="G185" s="661" t="s">
        <v>182</v>
      </c>
      <c r="H185" s="664"/>
      <c r="I185" s="666">
        <v>36297.0</v>
      </c>
      <c r="J185" s="665">
        <v>45001.0</v>
      </c>
      <c r="K185" s="660">
        <v>45359.0</v>
      </c>
      <c r="L185" s="611">
        <f>iferror(VLOOKUP(E185,'October 2025 Reference AI'!E:S,8,false),0)</f>
        <v>0</v>
      </c>
      <c r="M185" s="667">
        <v>45931.0</v>
      </c>
      <c r="N185" s="667">
        <v>45961.0</v>
      </c>
    </row>
    <row r="186">
      <c r="A186" s="661" t="s">
        <v>16</v>
      </c>
      <c r="B186" s="662">
        <v>4320.0</v>
      </c>
      <c r="C186" s="663" t="s">
        <v>763</v>
      </c>
      <c r="D186" s="662">
        <v>0.0</v>
      </c>
      <c r="E186" s="661" t="s">
        <v>183</v>
      </c>
      <c r="F186" s="661" t="s">
        <v>184</v>
      </c>
      <c r="G186" s="661" t="s">
        <v>185</v>
      </c>
      <c r="H186" s="664"/>
      <c r="I186" s="665">
        <v>36979.0</v>
      </c>
      <c r="J186" s="665">
        <v>44907.0</v>
      </c>
      <c r="K186" s="660" t="s">
        <v>947</v>
      </c>
      <c r="L186" s="611">
        <f>iferror(VLOOKUP(E186,'October 2025 Reference AI'!E:S,8,false),0)</f>
        <v>31</v>
      </c>
      <c r="M186" s="667">
        <v>45931.0</v>
      </c>
      <c r="N186" s="667">
        <v>45961.0</v>
      </c>
    </row>
    <row r="187">
      <c r="A187" s="661" t="s">
        <v>16</v>
      </c>
      <c r="B187" s="662">
        <v>4320.0</v>
      </c>
      <c r="C187" s="663" t="s">
        <v>763</v>
      </c>
      <c r="D187" s="662">
        <v>0.0</v>
      </c>
      <c r="E187" s="661" t="s">
        <v>258</v>
      </c>
      <c r="F187" s="661" t="s">
        <v>259</v>
      </c>
      <c r="G187" s="661" t="s">
        <v>260</v>
      </c>
      <c r="H187" s="664"/>
      <c r="I187" s="668">
        <v>35447.0</v>
      </c>
      <c r="J187" s="665">
        <v>45273.0</v>
      </c>
      <c r="K187" s="660">
        <v>45565.0</v>
      </c>
      <c r="L187" s="611">
        <f>iferror(VLOOKUP(E187,'October 2025 Reference AI'!E:S,8,false),0)</f>
        <v>0</v>
      </c>
      <c r="M187" s="667">
        <v>45931.0</v>
      </c>
      <c r="N187" s="667">
        <v>45961.0</v>
      </c>
    </row>
    <row r="188">
      <c r="A188" s="661" t="s">
        <v>16</v>
      </c>
      <c r="B188" s="662">
        <v>4320.0</v>
      </c>
      <c r="C188" s="663" t="s">
        <v>763</v>
      </c>
      <c r="D188" s="662">
        <v>0.0</v>
      </c>
      <c r="E188" s="661" t="s">
        <v>192</v>
      </c>
      <c r="F188" s="661" t="s">
        <v>193</v>
      </c>
      <c r="G188" s="661" t="s">
        <v>194</v>
      </c>
      <c r="H188" s="664"/>
      <c r="I188" s="668">
        <v>36075.0</v>
      </c>
      <c r="J188" s="665">
        <v>44977.0</v>
      </c>
      <c r="K188" s="660">
        <v>45351.0</v>
      </c>
      <c r="L188" s="611">
        <f>iferror(VLOOKUP(E188,'October 2025 Reference AI'!E:S,8,false),0)</f>
        <v>0</v>
      </c>
      <c r="M188" s="667">
        <v>45931.0</v>
      </c>
      <c r="N188" s="667">
        <v>45961.0</v>
      </c>
    </row>
    <row r="189">
      <c r="A189" s="661" t="s">
        <v>16</v>
      </c>
      <c r="B189" s="662">
        <v>4320.0</v>
      </c>
      <c r="C189" s="663" t="s">
        <v>763</v>
      </c>
      <c r="D189" s="662">
        <v>0.0</v>
      </c>
      <c r="E189" s="661" t="s">
        <v>201</v>
      </c>
      <c r="F189" s="661" t="s">
        <v>202</v>
      </c>
      <c r="G189" s="661" t="s">
        <v>203</v>
      </c>
      <c r="H189" s="664"/>
      <c r="I189" s="665">
        <v>36574.0</v>
      </c>
      <c r="J189" s="665">
        <v>45187.0</v>
      </c>
      <c r="K189" s="660">
        <v>45544.0</v>
      </c>
      <c r="L189" s="611">
        <f>iferror(VLOOKUP(E189,'October 2025 Reference AI'!E:S,8,false),0)</f>
        <v>0</v>
      </c>
      <c r="M189" s="667">
        <v>45931.0</v>
      </c>
      <c r="N189" s="667">
        <v>45961.0</v>
      </c>
    </row>
    <row r="190">
      <c r="A190" s="661" t="s">
        <v>16</v>
      </c>
      <c r="B190" s="662">
        <v>4320.0</v>
      </c>
      <c r="C190" s="663" t="s">
        <v>763</v>
      </c>
      <c r="D190" s="662">
        <v>0.0</v>
      </c>
      <c r="E190" s="661" t="s">
        <v>499</v>
      </c>
      <c r="F190" s="661" t="s">
        <v>540</v>
      </c>
      <c r="G190" s="661" t="s">
        <v>500</v>
      </c>
      <c r="H190" s="664"/>
      <c r="I190" s="665">
        <v>36144.0</v>
      </c>
      <c r="J190" s="668">
        <v>45628.0</v>
      </c>
      <c r="K190" s="660">
        <v>45777.0</v>
      </c>
      <c r="L190" s="611">
        <f>iferror(VLOOKUP(E190,'October 2025 Reference AI'!E:S,8,false),0)</f>
        <v>0</v>
      </c>
      <c r="M190" s="667">
        <v>45931.0</v>
      </c>
      <c r="N190" s="667">
        <v>45961.0</v>
      </c>
    </row>
    <row r="191">
      <c r="A191" s="661" t="s">
        <v>16</v>
      </c>
      <c r="B191" s="662">
        <v>4320.0</v>
      </c>
      <c r="C191" s="663" t="s">
        <v>763</v>
      </c>
      <c r="D191" s="662">
        <v>0.0</v>
      </c>
      <c r="E191" s="661" t="s">
        <v>301</v>
      </c>
      <c r="F191" s="661" t="s">
        <v>302</v>
      </c>
      <c r="G191" s="661" t="s">
        <v>303</v>
      </c>
      <c r="H191" s="664"/>
      <c r="I191" s="668">
        <v>36991.0</v>
      </c>
      <c r="J191" s="668">
        <v>45205.0</v>
      </c>
      <c r="K191" s="660">
        <v>45889.0</v>
      </c>
      <c r="L191" s="611">
        <f>iferror(VLOOKUP(E191,'October 2025 Reference AI'!E:S,8,false),0)</f>
        <v>0</v>
      </c>
      <c r="M191" s="667">
        <v>45931.0</v>
      </c>
      <c r="N191" s="667">
        <v>45961.0</v>
      </c>
    </row>
    <row r="192">
      <c r="A192" s="661" t="s">
        <v>16</v>
      </c>
      <c r="B192" s="662">
        <v>4320.0</v>
      </c>
      <c r="C192" s="663" t="s">
        <v>763</v>
      </c>
      <c r="D192" s="662">
        <v>0.0</v>
      </c>
      <c r="E192" s="661" t="s">
        <v>432</v>
      </c>
      <c r="F192" s="661" t="s">
        <v>521</v>
      </c>
      <c r="G192" s="661" t="s">
        <v>433</v>
      </c>
      <c r="H192" s="664"/>
      <c r="I192" s="668">
        <v>34504.0</v>
      </c>
      <c r="J192" s="668">
        <v>45481.0</v>
      </c>
      <c r="K192" s="660" t="s">
        <v>947</v>
      </c>
      <c r="L192" s="611">
        <f>iferror(VLOOKUP(E192,'October 2025 Reference AI'!E:S,8,false),0)</f>
        <v>31</v>
      </c>
      <c r="M192" s="667">
        <v>45931.0</v>
      </c>
      <c r="N192" s="667">
        <v>45961.0</v>
      </c>
      <c r="P192" s="631"/>
      <c r="Q192" s="631"/>
      <c r="R192" s="631"/>
      <c r="S192" s="631"/>
      <c r="T192" s="631"/>
      <c r="U192" s="631"/>
      <c r="V192" s="631"/>
      <c r="W192" s="631"/>
    </row>
    <row r="193">
      <c r="A193" s="661" t="s">
        <v>16</v>
      </c>
      <c r="B193" s="662">
        <v>4320.0</v>
      </c>
      <c r="C193" s="663" t="s">
        <v>763</v>
      </c>
      <c r="D193" s="662">
        <v>0.0</v>
      </c>
      <c r="E193" s="661" t="s">
        <v>434</v>
      </c>
      <c r="F193" s="661" t="s">
        <v>522</v>
      </c>
      <c r="G193" s="661" t="s">
        <v>435</v>
      </c>
      <c r="H193" s="664"/>
      <c r="I193" s="668">
        <v>37446.0</v>
      </c>
      <c r="J193" s="668">
        <v>45495.0</v>
      </c>
      <c r="K193" s="660">
        <v>45840.0</v>
      </c>
      <c r="L193" s="611">
        <f>iferror(VLOOKUP(E193,'October 2025 Reference AI'!E:S,8,false),0)</f>
        <v>0</v>
      </c>
      <c r="M193" s="667">
        <v>45931.0</v>
      </c>
      <c r="N193" s="667">
        <v>45961.0</v>
      </c>
      <c r="P193" s="631"/>
      <c r="Q193" s="631"/>
      <c r="R193" s="631"/>
      <c r="S193" s="631"/>
      <c r="T193" s="631"/>
      <c r="U193" s="631"/>
      <c r="V193" s="631"/>
      <c r="W193" s="631"/>
    </row>
    <row r="194">
      <c r="A194" s="661" t="s">
        <v>16</v>
      </c>
      <c r="B194" s="662">
        <v>4320.0</v>
      </c>
      <c r="C194" s="663" t="s">
        <v>763</v>
      </c>
      <c r="D194" s="662">
        <v>0.0</v>
      </c>
      <c r="E194" s="661" t="s">
        <v>667</v>
      </c>
      <c r="F194" s="661" t="s">
        <v>668</v>
      </c>
      <c r="G194" s="661" t="s">
        <v>669</v>
      </c>
      <c r="H194" s="664"/>
      <c r="I194" s="665">
        <v>33961.0</v>
      </c>
      <c r="J194" s="665">
        <v>45229.0</v>
      </c>
      <c r="K194" s="660">
        <v>45408.0</v>
      </c>
      <c r="L194" s="611">
        <f>iferror(VLOOKUP(E194,'October 2025 Reference AI'!E:S,8,false),0)</f>
        <v>0</v>
      </c>
      <c r="M194" s="667">
        <v>45931.0</v>
      </c>
      <c r="N194" s="667">
        <v>45961.0</v>
      </c>
      <c r="P194" s="631"/>
      <c r="Q194" s="631"/>
      <c r="R194" s="631"/>
      <c r="S194" s="631"/>
      <c r="T194" s="631"/>
      <c r="U194" s="631"/>
      <c r="V194" s="631"/>
      <c r="W194" s="631"/>
    </row>
    <row r="195">
      <c r="A195" s="661" t="s">
        <v>16</v>
      </c>
      <c r="B195" s="662">
        <v>4320.0</v>
      </c>
      <c r="C195" s="663" t="s">
        <v>763</v>
      </c>
      <c r="D195" s="662">
        <v>0.0</v>
      </c>
      <c r="E195" s="661" t="s">
        <v>670</v>
      </c>
      <c r="F195" s="661" t="s">
        <v>671</v>
      </c>
      <c r="G195" s="661" t="s">
        <v>672</v>
      </c>
      <c r="H195" s="664"/>
      <c r="I195" s="665">
        <v>36386.0</v>
      </c>
      <c r="J195" s="668">
        <v>45111.0</v>
      </c>
      <c r="K195" s="660">
        <v>45394.0</v>
      </c>
      <c r="L195" s="611">
        <f>iferror(VLOOKUP(E195,'October 2025 Reference AI'!E:S,8,false),0)</f>
        <v>0</v>
      </c>
      <c r="M195" s="667">
        <v>45931.0</v>
      </c>
      <c r="N195" s="667">
        <v>45961.0</v>
      </c>
      <c r="P195" s="631"/>
      <c r="Q195" s="631"/>
      <c r="R195" s="631"/>
      <c r="S195" s="631"/>
      <c r="T195" s="631"/>
      <c r="U195" s="631"/>
      <c r="V195" s="631"/>
      <c r="W195" s="631"/>
    </row>
    <row r="196">
      <c r="A196" s="661" t="s">
        <v>16</v>
      </c>
      <c r="B196" s="662">
        <v>4320.0</v>
      </c>
      <c r="C196" s="663" t="s">
        <v>763</v>
      </c>
      <c r="D196" s="662">
        <v>0.0</v>
      </c>
      <c r="E196" s="661" t="s">
        <v>460</v>
      </c>
      <c r="F196" s="661" t="s">
        <v>523</v>
      </c>
      <c r="G196" s="661" t="s">
        <v>461</v>
      </c>
      <c r="H196" s="664"/>
      <c r="I196" s="665">
        <v>36856.0</v>
      </c>
      <c r="J196" s="668">
        <v>45505.0</v>
      </c>
      <c r="K196" s="660" t="s">
        <v>947</v>
      </c>
      <c r="L196" s="611">
        <f>iferror(VLOOKUP(E196,'October 2025 Reference AI'!E:S,8,false),0)</f>
        <v>31</v>
      </c>
      <c r="M196" s="667">
        <v>45931.0</v>
      </c>
      <c r="N196" s="667">
        <v>45961.0</v>
      </c>
      <c r="P196" s="631"/>
      <c r="Q196" s="631"/>
      <c r="R196" s="631"/>
      <c r="S196" s="631"/>
      <c r="T196" s="631"/>
      <c r="U196" s="631"/>
      <c r="V196" s="631"/>
      <c r="W196" s="631"/>
    </row>
    <row r="197">
      <c r="A197" s="661" t="s">
        <v>16</v>
      </c>
      <c r="B197" s="662">
        <v>4320.0</v>
      </c>
      <c r="C197" s="663" t="s">
        <v>763</v>
      </c>
      <c r="D197" s="662">
        <v>0.0</v>
      </c>
      <c r="E197" s="661" t="s">
        <v>462</v>
      </c>
      <c r="F197" s="661" t="s">
        <v>526</v>
      </c>
      <c r="G197" s="661" t="s">
        <v>463</v>
      </c>
      <c r="H197" s="664"/>
      <c r="I197" s="665">
        <v>34588.0</v>
      </c>
      <c r="J197" s="665">
        <v>45530.0</v>
      </c>
      <c r="K197" s="660" t="s">
        <v>947</v>
      </c>
      <c r="L197" s="611">
        <f>iferror(VLOOKUP(E197,'October 2025 Reference AI'!E:S,8,false),0)</f>
        <v>31</v>
      </c>
      <c r="M197" s="667">
        <v>45931.0</v>
      </c>
      <c r="N197" s="667">
        <v>45961.0</v>
      </c>
      <c r="P197" s="631"/>
      <c r="Q197" s="631"/>
      <c r="R197" s="631"/>
      <c r="S197" s="631"/>
      <c r="T197" s="631"/>
      <c r="U197" s="631"/>
      <c r="V197" s="631"/>
      <c r="W197" s="631"/>
    </row>
    <row r="198">
      <c r="A198" s="661" t="s">
        <v>16</v>
      </c>
      <c r="B198" s="662">
        <v>4320.0</v>
      </c>
      <c r="C198" s="663" t="s">
        <v>763</v>
      </c>
      <c r="D198" s="662">
        <v>0.0</v>
      </c>
      <c r="E198" s="661" t="s">
        <v>423</v>
      </c>
      <c r="F198" s="661" t="s">
        <v>524</v>
      </c>
      <c r="G198" s="661" t="s">
        <v>424</v>
      </c>
      <c r="H198" s="664"/>
      <c r="I198" s="668">
        <v>37818.0</v>
      </c>
      <c r="J198" s="668">
        <v>45467.0</v>
      </c>
      <c r="K198" s="660" t="s">
        <v>947</v>
      </c>
      <c r="L198" s="611">
        <f>iferror(VLOOKUP(E198,'October 2025 Reference AI'!E:S,8,false),0)</f>
        <v>31</v>
      </c>
      <c r="M198" s="667">
        <v>45931.0</v>
      </c>
      <c r="N198" s="667">
        <v>45961.0</v>
      </c>
      <c r="P198" s="631"/>
      <c r="Q198" s="631"/>
      <c r="R198" s="631"/>
      <c r="S198" s="631"/>
      <c r="T198" s="631"/>
      <c r="U198" s="631"/>
      <c r="V198" s="631"/>
      <c r="W198" s="631"/>
    </row>
    <row r="199">
      <c r="A199" s="661" t="s">
        <v>16</v>
      </c>
      <c r="B199" s="662">
        <v>4320.0</v>
      </c>
      <c r="C199" s="663" t="s">
        <v>763</v>
      </c>
      <c r="D199" s="662">
        <v>0.0</v>
      </c>
      <c r="E199" s="661" t="s">
        <v>207</v>
      </c>
      <c r="F199" s="661" t="s">
        <v>208</v>
      </c>
      <c r="G199" s="661" t="s">
        <v>209</v>
      </c>
      <c r="H199" s="664"/>
      <c r="I199" s="665">
        <v>33156.0</v>
      </c>
      <c r="J199" s="668">
        <v>44562.0</v>
      </c>
      <c r="K199" s="660">
        <v>45473.0</v>
      </c>
      <c r="L199" s="611">
        <f>iferror(VLOOKUP(E199,'October 2025 Reference AI'!E:S,8,false),0)</f>
        <v>0</v>
      </c>
      <c r="M199" s="667">
        <v>45931.0</v>
      </c>
      <c r="N199" s="667">
        <v>45961.0</v>
      </c>
    </row>
    <row r="200">
      <c r="A200" s="661" t="s">
        <v>16</v>
      </c>
      <c r="B200" s="662">
        <v>4320.0</v>
      </c>
      <c r="C200" s="663" t="s">
        <v>763</v>
      </c>
      <c r="D200" s="662">
        <v>0.0</v>
      </c>
      <c r="E200" s="661" t="s">
        <v>304</v>
      </c>
      <c r="F200" s="661" t="s">
        <v>305</v>
      </c>
      <c r="G200" s="661" t="s">
        <v>306</v>
      </c>
      <c r="H200" s="664"/>
      <c r="I200" s="665">
        <v>35697.0</v>
      </c>
      <c r="J200" s="665">
        <v>45348.0</v>
      </c>
      <c r="K200" s="660">
        <v>45698.0</v>
      </c>
      <c r="L200" s="611">
        <f>iferror(VLOOKUP(E200,'October 2025 Reference AI'!E:S,8,false),0)</f>
        <v>0</v>
      </c>
      <c r="M200" s="667">
        <v>45931.0</v>
      </c>
      <c r="N200" s="667">
        <v>45961.0</v>
      </c>
    </row>
    <row r="201">
      <c r="A201" s="661" t="s">
        <v>16</v>
      </c>
      <c r="B201" s="662">
        <v>4320.0</v>
      </c>
      <c r="C201" s="663" t="s">
        <v>763</v>
      </c>
      <c r="D201" s="662">
        <v>0.0</v>
      </c>
      <c r="E201" s="661" t="s">
        <v>213</v>
      </c>
      <c r="F201" s="661" t="s">
        <v>214</v>
      </c>
      <c r="G201" s="661" t="s">
        <v>215</v>
      </c>
      <c r="H201" s="664"/>
      <c r="I201" s="665">
        <v>36797.0</v>
      </c>
      <c r="J201" s="665">
        <v>44886.0</v>
      </c>
      <c r="K201" s="660">
        <v>45747.0</v>
      </c>
      <c r="L201" s="611">
        <f>iferror(VLOOKUP(E201,'October 2025 Reference AI'!E:S,8,false),0)</f>
        <v>0</v>
      </c>
      <c r="M201" s="667">
        <v>45931.0</v>
      </c>
      <c r="N201" s="667">
        <v>45961.0</v>
      </c>
    </row>
    <row r="202">
      <c r="A202" s="661" t="s">
        <v>16</v>
      </c>
      <c r="B202" s="662">
        <v>4320.0</v>
      </c>
      <c r="C202" s="663" t="s">
        <v>763</v>
      </c>
      <c r="D202" s="662">
        <v>0.0</v>
      </c>
      <c r="E202" s="661" t="s">
        <v>673</v>
      </c>
      <c r="F202" s="661" t="s">
        <v>674</v>
      </c>
      <c r="G202" s="661" t="s">
        <v>675</v>
      </c>
      <c r="H202" s="664"/>
      <c r="I202" s="665">
        <v>36961.0</v>
      </c>
      <c r="J202" s="668">
        <v>44593.0</v>
      </c>
      <c r="K202" s="660">
        <v>45457.0</v>
      </c>
      <c r="L202" s="611">
        <f>iferror(VLOOKUP(E202,'October 2025 Reference AI'!E:S,8,false),0)</f>
        <v>0</v>
      </c>
      <c r="M202" s="667">
        <v>45931.0</v>
      </c>
      <c r="N202" s="667">
        <v>45961.0</v>
      </c>
    </row>
    <row r="203">
      <c r="A203" s="661" t="s">
        <v>16</v>
      </c>
      <c r="B203" s="662">
        <v>4320.0</v>
      </c>
      <c r="C203" s="663" t="s">
        <v>763</v>
      </c>
      <c r="D203" s="662">
        <v>0.0</v>
      </c>
      <c r="E203" s="661" t="s">
        <v>717</v>
      </c>
      <c r="F203" s="661" t="s">
        <v>718</v>
      </c>
      <c r="G203" s="661" t="s">
        <v>719</v>
      </c>
      <c r="H203" s="664"/>
      <c r="I203" s="665">
        <v>36505.0</v>
      </c>
      <c r="J203" s="665">
        <v>45712.0</v>
      </c>
      <c r="K203" s="660" t="s">
        <v>947</v>
      </c>
      <c r="L203" s="611">
        <f>iferror(VLOOKUP(E203,'October 2025 Reference AI'!E:S,8,false),0)</f>
        <v>31</v>
      </c>
      <c r="M203" s="667">
        <v>45931.0</v>
      </c>
      <c r="N203" s="667">
        <v>45961.0</v>
      </c>
    </row>
    <row r="204">
      <c r="A204" s="661" t="s">
        <v>16</v>
      </c>
      <c r="B204" s="662">
        <v>4320.0</v>
      </c>
      <c r="C204" s="663" t="s">
        <v>763</v>
      </c>
      <c r="D204" s="662">
        <v>0.0</v>
      </c>
      <c r="E204" s="661" t="s">
        <v>588</v>
      </c>
      <c r="F204" s="681" t="s">
        <v>589</v>
      </c>
      <c r="G204" s="661" t="s">
        <v>590</v>
      </c>
      <c r="H204" s="664"/>
      <c r="I204" s="668">
        <v>34190.0</v>
      </c>
      <c r="J204" s="668">
        <v>45684.0</v>
      </c>
      <c r="K204" s="660">
        <v>45812.0</v>
      </c>
      <c r="L204" s="611">
        <f>iferror(VLOOKUP(E204,'October 2025 Reference AI'!E:S,8,false),0)</f>
        <v>0</v>
      </c>
      <c r="M204" s="667">
        <v>45931.0</v>
      </c>
      <c r="N204" s="667">
        <v>45961.0</v>
      </c>
    </row>
    <row r="205">
      <c r="A205" s="661" t="s">
        <v>16</v>
      </c>
      <c r="B205" s="662">
        <v>4320.0</v>
      </c>
      <c r="C205" s="663" t="s">
        <v>763</v>
      </c>
      <c r="D205" s="662">
        <v>0.0</v>
      </c>
      <c r="E205" s="661" t="s">
        <v>427</v>
      </c>
      <c r="F205" s="661" t="s">
        <v>525</v>
      </c>
      <c r="G205" s="661" t="s">
        <v>428</v>
      </c>
      <c r="H205" s="664"/>
      <c r="I205" s="665">
        <v>36451.0</v>
      </c>
      <c r="J205" s="668">
        <v>45453.0</v>
      </c>
      <c r="K205" s="660" t="s">
        <v>947</v>
      </c>
      <c r="L205" s="611">
        <f>iferror(VLOOKUP(E205,'October 2025 Reference AI'!E:S,8,false),0)</f>
        <v>31</v>
      </c>
      <c r="M205" s="667">
        <v>45931.0</v>
      </c>
      <c r="N205" s="667">
        <v>45961.0</v>
      </c>
    </row>
    <row r="206">
      <c r="A206" s="661" t="s">
        <v>16</v>
      </c>
      <c r="B206" s="662">
        <v>4320.0</v>
      </c>
      <c r="C206" s="663" t="s">
        <v>763</v>
      </c>
      <c r="D206" s="662">
        <v>0.0</v>
      </c>
      <c r="E206" s="661" t="s">
        <v>493</v>
      </c>
      <c r="F206" s="661" t="s">
        <v>532</v>
      </c>
      <c r="G206" s="661" t="s">
        <v>494</v>
      </c>
      <c r="H206" s="664"/>
      <c r="I206" s="665">
        <v>36208.0</v>
      </c>
      <c r="J206" s="668">
        <v>45602.0</v>
      </c>
      <c r="K206" s="701">
        <v>45947.0</v>
      </c>
      <c r="L206" s="611">
        <f>iferror(VLOOKUP(E206,'October 2025 Reference AI'!E:S,8,false),0)</f>
        <v>17</v>
      </c>
      <c r="M206" s="667">
        <v>45931.0</v>
      </c>
      <c r="N206" s="667">
        <v>45961.0</v>
      </c>
    </row>
    <row r="207">
      <c r="A207" s="661" t="s">
        <v>16</v>
      </c>
      <c r="B207" s="662">
        <v>4320.0</v>
      </c>
      <c r="C207" s="663" t="s">
        <v>763</v>
      </c>
      <c r="D207" s="662">
        <v>0.0</v>
      </c>
      <c r="E207" s="661" t="s">
        <v>222</v>
      </c>
      <c r="F207" s="661" t="s">
        <v>223</v>
      </c>
      <c r="G207" s="661" t="s">
        <v>224</v>
      </c>
      <c r="H207" s="664"/>
      <c r="I207" s="668">
        <v>35818.0</v>
      </c>
      <c r="J207" s="668">
        <v>45089.0</v>
      </c>
      <c r="K207" s="660">
        <v>45747.0</v>
      </c>
      <c r="L207" s="611">
        <f>iferror(VLOOKUP(E207,'October 2025 Reference AI'!E:S,8,false),0)</f>
        <v>0</v>
      </c>
      <c r="M207" s="667">
        <v>45931.0</v>
      </c>
      <c r="N207" s="667">
        <v>45961.0</v>
      </c>
    </row>
    <row r="208">
      <c r="A208" s="661" t="s">
        <v>16</v>
      </c>
      <c r="B208" s="662">
        <v>4320.0</v>
      </c>
      <c r="C208" s="663" t="s">
        <v>763</v>
      </c>
      <c r="D208" s="662">
        <v>0.0</v>
      </c>
      <c r="E208" s="661" t="s">
        <v>747</v>
      </c>
      <c r="F208" s="661" t="s">
        <v>748</v>
      </c>
      <c r="G208" s="661" t="s">
        <v>749</v>
      </c>
      <c r="H208" s="664"/>
      <c r="I208" s="665">
        <v>37314.0</v>
      </c>
      <c r="J208" s="665">
        <v>45733.0</v>
      </c>
      <c r="K208" s="660" t="s">
        <v>947</v>
      </c>
      <c r="L208" s="611">
        <f>iferror(VLOOKUP(E208,'October 2025 Reference AI'!E:S,8,false),0)</f>
        <v>31</v>
      </c>
      <c r="M208" s="667">
        <v>45931.0</v>
      </c>
      <c r="N208" s="667">
        <v>45961.0</v>
      </c>
    </row>
    <row r="209">
      <c r="A209" s="661" t="s">
        <v>16</v>
      </c>
      <c r="B209" s="662">
        <v>4320.0</v>
      </c>
      <c r="C209" s="663" t="s">
        <v>763</v>
      </c>
      <c r="D209" s="662">
        <v>0.0</v>
      </c>
      <c r="E209" s="661" t="s">
        <v>585</v>
      </c>
      <c r="F209" s="681" t="s">
        <v>586</v>
      </c>
      <c r="G209" s="661" t="s">
        <v>587</v>
      </c>
      <c r="H209" s="664"/>
      <c r="I209" s="668">
        <v>35827.0</v>
      </c>
      <c r="J209" s="668">
        <v>45684.0</v>
      </c>
      <c r="K209" s="660" t="s">
        <v>947</v>
      </c>
      <c r="L209" s="611">
        <f>iferror(VLOOKUP(E209,'October 2025 Reference AI'!E:S,8,false),0)</f>
        <v>31</v>
      </c>
      <c r="M209" s="667">
        <v>45931.0</v>
      </c>
      <c r="N209" s="667">
        <v>45961.0</v>
      </c>
    </row>
    <row r="210">
      <c r="A210" s="661" t="s">
        <v>16</v>
      </c>
      <c r="B210" s="662">
        <v>4320.0</v>
      </c>
      <c r="C210" s="663" t="s">
        <v>763</v>
      </c>
      <c r="D210" s="662">
        <v>0.0</v>
      </c>
      <c r="E210" s="661" t="s">
        <v>225</v>
      </c>
      <c r="F210" s="661" t="s">
        <v>226</v>
      </c>
      <c r="G210" s="661" t="s">
        <v>227</v>
      </c>
      <c r="H210" s="664"/>
      <c r="I210" s="668">
        <v>36177.0</v>
      </c>
      <c r="J210" s="668">
        <v>45320.0</v>
      </c>
      <c r="K210" s="660">
        <v>45826.0</v>
      </c>
      <c r="L210" s="611">
        <f>iferror(VLOOKUP(E210,'October 2025 Reference AI'!E:S,8,false),0)</f>
        <v>0</v>
      </c>
      <c r="M210" s="667">
        <v>45931.0</v>
      </c>
      <c r="N210" s="667">
        <v>45961.0</v>
      </c>
    </row>
    <row r="211">
      <c r="A211" s="661" t="s">
        <v>16</v>
      </c>
      <c r="B211" s="662">
        <v>4320.0</v>
      </c>
      <c r="C211" s="663" t="s">
        <v>763</v>
      </c>
      <c r="D211" s="662">
        <v>0.0</v>
      </c>
      <c r="E211" s="661" t="s">
        <v>676</v>
      </c>
      <c r="F211" s="661" t="s">
        <v>677</v>
      </c>
      <c r="G211" s="661" t="s">
        <v>678</v>
      </c>
      <c r="H211" s="664"/>
      <c r="I211" s="665">
        <v>36107.0</v>
      </c>
      <c r="J211" s="666">
        <v>45778.0</v>
      </c>
      <c r="K211" s="660">
        <v>45882.0</v>
      </c>
      <c r="L211" s="611">
        <f>iferror(VLOOKUP(E211,'October 2025 Reference AI'!E:S,8,false),0)</f>
        <v>0</v>
      </c>
      <c r="M211" s="667">
        <v>45931.0</v>
      </c>
      <c r="N211" s="667">
        <v>45961.0</v>
      </c>
    </row>
    <row r="212">
      <c r="A212" s="661" t="s">
        <v>16</v>
      </c>
      <c r="B212" s="662">
        <v>4320.0</v>
      </c>
      <c r="C212" s="663" t="s">
        <v>763</v>
      </c>
      <c r="D212" s="662">
        <v>0.0</v>
      </c>
      <c r="E212" s="661" t="s">
        <v>812</v>
      </c>
      <c r="F212" s="661" t="s">
        <v>820</v>
      </c>
      <c r="G212" s="661" t="s">
        <v>814</v>
      </c>
      <c r="H212" s="664"/>
      <c r="I212" s="665">
        <v>37940.0</v>
      </c>
      <c r="J212" s="665">
        <v>45775.0</v>
      </c>
      <c r="K212" s="660" t="s">
        <v>947</v>
      </c>
      <c r="L212" s="611">
        <f>iferror(VLOOKUP(E212,'October 2025 Reference AI'!E:S,8,false),0)</f>
        <v>31</v>
      </c>
      <c r="M212" s="667">
        <v>45931.0</v>
      </c>
      <c r="N212" s="667">
        <v>45961.0</v>
      </c>
    </row>
    <row r="213">
      <c r="A213" s="661" t="s">
        <v>16</v>
      </c>
      <c r="B213" s="662">
        <v>4320.0</v>
      </c>
      <c r="C213" s="663" t="s">
        <v>763</v>
      </c>
      <c r="D213" s="662">
        <v>0.0</v>
      </c>
      <c r="E213" s="661" t="s">
        <v>679</v>
      </c>
      <c r="F213" s="661" t="s">
        <v>680</v>
      </c>
      <c r="G213" s="661" t="s">
        <v>681</v>
      </c>
      <c r="H213" s="664"/>
      <c r="I213" s="668">
        <v>34915.0</v>
      </c>
      <c r="J213" s="665">
        <v>45153.0</v>
      </c>
      <c r="K213" s="660">
        <v>45306.0</v>
      </c>
      <c r="L213" s="611">
        <f>iferror(VLOOKUP(E213,'October 2025 Reference AI'!E:S,8,false),0)</f>
        <v>0</v>
      </c>
      <c r="M213" s="667">
        <v>45931.0</v>
      </c>
      <c r="N213" s="667">
        <v>45961.0</v>
      </c>
    </row>
    <row r="214">
      <c r="A214" s="661" t="s">
        <v>16</v>
      </c>
      <c r="B214" s="662">
        <v>4320.0</v>
      </c>
      <c r="C214" s="663" t="s">
        <v>763</v>
      </c>
      <c r="D214" s="662">
        <v>0.0</v>
      </c>
      <c r="E214" s="661" t="s">
        <v>682</v>
      </c>
      <c r="F214" s="661" t="s">
        <v>683</v>
      </c>
      <c r="G214" s="661" t="s">
        <v>684</v>
      </c>
      <c r="H214" s="664"/>
      <c r="I214" s="668">
        <v>36545.0</v>
      </c>
      <c r="J214" s="668">
        <v>44562.0</v>
      </c>
      <c r="K214" s="660">
        <v>45476.0</v>
      </c>
      <c r="L214" s="611">
        <f>iferror(VLOOKUP(E214,'October 2025 Reference AI'!E:S,8,false),0)</f>
        <v>0</v>
      </c>
      <c r="M214" s="667">
        <v>45931.0</v>
      </c>
      <c r="N214" s="667">
        <v>45961.0</v>
      </c>
    </row>
    <row r="215">
      <c r="A215" s="661" t="s">
        <v>16</v>
      </c>
      <c r="B215" s="662">
        <v>4320.0</v>
      </c>
      <c r="C215" s="663" t="s">
        <v>763</v>
      </c>
      <c r="D215" s="662">
        <v>0.0</v>
      </c>
      <c r="E215" s="661" t="s">
        <v>307</v>
      </c>
      <c r="F215" s="661" t="s">
        <v>308</v>
      </c>
      <c r="G215" s="661" t="s">
        <v>309</v>
      </c>
      <c r="H215" s="664"/>
      <c r="I215" s="665">
        <v>36522.0</v>
      </c>
      <c r="J215" s="668">
        <v>45328.0</v>
      </c>
      <c r="K215" s="660">
        <v>45572.0</v>
      </c>
      <c r="L215" s="611">
        <f>iferror(VLOOKUP(E215,'October 2025 Reference AI'!E:S,8,false),0)</f>
        <v>0</v>
      </c>
      <c r="M215" s="667">
        <v>45931.0</v>
      </c>
      <c r="N215" s="667">
        <v>45961.0</v>
      </c>
    </row>
    <row r="216">
      <c r="A216" s="661" t="s">
        <v>16</v>
      </c>
      <c r="B216" s="662">
        <v>4320.0</v>
      </c>
      <c r="C216" s="663" t="s">
        <v>763</v>
      </c>
      <c r="D216" s="662">
        <v>0.0</v>
      </c>
      <c r="E216" s="311" t="s">
        <v>863</v>
      </c>
      <c r="F216" s="251" t="s">
        <v>864</v>
      </c>
      <c r="G216" s="251" t="s">
        <v>865</v>
      </c>
      <c r="I216" s="509">
        <v>36175.0</v>
      </c>
      <c r="J216" s="509">
        <v>45824.0</v>
      </c>
      <c r="K216" s="660" t="s">
        <v>947</v>
      </c>
      <c r="L216" s="611">
        <f>iferror(VLOOKUP(E216,'October 2025 Reference AI'!E:S,8,false),0)</f>
        <v>31</v>
      </c>
      <c r="M216" s="667">
        <v>45931.0</v>
      </c>
      <c r="N216" s="667">
        <v>45961.0</v>
      </c>
    </row>
    <row r="217">
      <c r="A217" s="661" t="s">
        <v>16</v>
      </c>
      <c r="B217" s="662">
        <v>4320.0</v>
      </c>
      <c r="C217" s="663" t="s">
        <v>763</v>
      </c>
      <c r="D217" s="662">
        <v>0.0</v>
      </c>
      <c r="E217" s="311" t="s">
        <v>866</v>
      </c>
      <c r="F217" s="251" t="s">
        <v>867</v>
      </c>
      <c r="G217" s="251" t="s">
        <v>868</v>
      </c>
      <c r="I217" s="509">
        <v>36180.0</v>
      </c>
      <c r="J217" s="509">
        <v>45824.0</v>
      </c>
      <c r="K217" s="660" t="s">
        <v>947</v>
      </c>
      <c r="L217" s="611">
        <f>iferror(VLOOKUP(E217,'October 2025 Reference AI'!E:S,8,false),0)</f>
        <v>31</v>
      </c>
      <c r="M217" s="667">
        <v>45931.0</v>
      </c>
      <c r="N217" s="667">
        <v>45961.0</v>
      </c>
    </row>
    <row r="218">
      <c r="A218" s="661" t="s">
        <v>16</v>
      </c>
      <c r="B218" s="662">
        <v>4320.0</v>
      </c>
      <c r="C218" s="663" t="s">
        <v>763</v>
      </c>
      <c r="D218" s="662">
        <v>0.0</v>
      </c>
      <c r="E218" s="311" t="s">
        <v>869</v>
      </c>
      <c r="F218" s="251" t="s">
        <v>870</v>
      </c>
      <c r="G218" s="251" t="s">
        <v>871</v>
      </c>
      <c r="I218" s="509">
        <v>36585.0</v>
      </c>
      <c r="J218" s="509">
        <v>45824.0</v>
      </c>
      <c r="K218" s="660" t="s">
        <v>947</v>
      </c>
      <c r="L218" s="611">
        <f>iferror(VLOOKUP(E218,'October 2025 Reference AI'!E:S,8,false),0)</f>
        <v>31</v>
      </c>
      <c r="M218" s="667">
        <v>45931.0</v>
      </c>
      <c r="N218" s="667">
        <v>45961.0</v>
      </c>
    </row>
    <row r="219">
      <c r="A219" s="661" t="s">
        <v>16</v>
      </c>
      <c r="B219" s="662">
        <v>4320.0</v>
      </c>
      <c r="C219" s="663" t="s">
        <v>763</v>
      </c>
      <c r="D219" s="662">
        <v>0.0</v>
      </c>
      <c r="E219" s="311" t="s">
        <v>872</v>
      </c>
      <c r="F219" s="251" t="s">
        <v>873</v>
      </c>
      <c r="G219" s="251" t="s">
        <v>874</v>
      </c>
      <c r="I219" s="509">
        <v>35415.0</v>
      </c>
      <c r="J219" s="520">
        <v>45831.0</v>
      </c>
      <c r="K219" s="660" t="s">
        <v>947</v>
      </c>
      <c r="L219" s="611">
        <f>iferror(VLOOKUP(E219,'October 2025 Reference AI'!E:S,8,false),0)</f>
        <v>31</v>
      </c>
      <c r="M219" s="667">
        <v>45931.0</v>
      </c>
      <c r="N219" s="667">
        <v>45961.0</v>
      </c>
    </row>
    <row r="220">
      <c r="A220" s="661" t="s">
        <v>16</v>
      </c>
      <c r="B220" s="662">
        <v>4320.0</v>
      </c>
      <c r="C220" s="663" t="s">
        <v>763</v>
      </c>
      <c r="D220" s="662">
        <v>0.0</v>
      </c>
      <c r="E220" s="311" t="s">
        <v>875</v>
      </c>
      <c r="F220" s="251" t="s">
        <v>876</v>
      </c>
      <c r="G220" s="661" t="s">
        <v>877</v>
      </c>
      <c r="H220" s="228"/>
      <c r="I220" s="509">
        <v>37517.0</v>
      </c>
      <c r="J220" s="520">
        <v>45831.0</v>
      </c>
      <c r="K220" s="660">
        <v>45903.0</v>
      </c>
      <c r="L220" s="611">
        <f>iferror(VLOOKUP(E220,'October 2025 Reference AI'!E:S,8,false),0)</f>
        <v>0</v>
      </c>
      <c r="M220" s="667">
        <v>45931.0</v>
      </c>
      <c r="N220" s="667">
        <v>45961.0</v>
      </c>
    </row>
    <row r="221">
      <c r="A221" s="661" t="s">
        <v>16</v>
      </c>
      <c r="B221" s="662">
        <v>4320.0</v>
      </c>
      <c r="C221" s="663" t="s">
        <v>763</v>
      </c>
      <c r="D221" s="662">
        <v>0.0</v>
      </c>
      <c r="E221" s="311" t="s">
        <v>878</v>
      </c>
      <c r="F221" s="251" t="s">
        <v>879</v>
      </c>
      <c r="G221" s="251" t="s">
        <v>880</v>
      </c>
      <c r="I221" s="509">
        <v>34912.0</v>
      </c>
      <c r="J221" s="520">
        <v>45831.0</v>
      </c>
      <c r="K221" s="660" t="s">
        <v>947</v>
      </c>
      <c r="L221" s="611">
        <f>iferror(VLOOKUP(E221,'October 2025 Reference AI'!E:S,8,false),0)</f>
        <v>31</v>
      </c>
      <c r="M221" s="667">
        <v>45931.0</v>
      </c>
      <c r="N221" s="667">
        <v>45961.0</v>
      </c>
    </row>
    <row r="222">
      <c r="A222" s="661" t="s">
        <v>16</v>
      </c>
      <c r="B222" s="662">
        <v>4320.0</v>
      </c>
      <c r="C222" s="663" t="s">
        <v>763</v>
      </c>
      <c r="D222" s="662">
        <v>0.0</v>
      </c>
      <c r="E222" s="311" t="s">
        <v>881</v>
      </c>
      <c r="F222" s="682" t="s">
        <v>882</v>
      </c>
      <c r="G222" s="251" t="s">
        <v>883</v>
      </c>
      <c r="H222" s="228"/>
      <c r="I222" s="509">
        <v>35887.0</v>
      </c>
      <c r="J222" s="520">
        <v>45809.0</v>
      </c>
      <c r="K222" s="660">
        <v>45869.0</v>
      </c>
      <c r="L222" s="611">
        <f>iferror(VLOOKUP(E222,'October 2025 Reference AI'!E:S,8,false),0)</f>
        <v>0</v>
      </c>
      <c r="M222" s="667">
        <v>45931.0</v>
      </c>
      <c r="N222" s="667">
        <v>45961.0</v>
      </c>
    </row>
    <row r="223">
      <c r="A223" s="661" t="s">
        <v>16</v>
      </c>
      <c r="B223" s="662">
        <v>4320.0</v>
      </c>
      <c r="C223" s="663" t="s">
        <v>763</v>
      </c>
      <c r="D223" s="662">
        <v>0.0</v>
      </c>
      <c r="E223" s="574" t="s">
        <v>915</v>
      </c>
      <c r="F223" s="575" t="s">
        <v>893</v>
      </c>
      <c r="G223" s="228" t="str">
        <f>VLOOKUP(E223,Emp_Directory!B:AQ,16,false)</f>
        <v>13302-9437802-3</v>
      </c>
      <c r="H223" s="228"/>
      <c r="I223" s="509">
        <f>VLOOKUP(E223,Emp_Directory!B:AQ,24,false)</f>
        <v>35207</v>
      </c>
      <c r="J223" s="576">
        <v>45839.0</v>
      </c>
      <c r="K223" s="683">
        <v>45868.0</v>
      </c>
      <c r="L223" s="637">
        <f>iferror(VLOOKUP(E223,'October 2025 Reference AI'!E:S,8,false),0)</f>
        <v>0</v>
      </c>
      <c r="M223" s="684">
        <v>45931.0</v>
      </c>
      <c r="N223" s="684">
        <v>45961.0</v>
      </c>
    </row>
    <row r="224">
      <c r="A224" s="661" t="s">
        <v>16</v>
      </c>
      <c r="B224" s="662">
        <v>4320.0</v>
      </c>
      <c r="C224" s="663" t="s">
        <v>763</v>
      </c>
      <c r="D224" s="662">
        <v>0.0</v>
      </c>
      <c r="E224" s="580" t="s">
        <v>895</v>
      </c>
      <c r="F224" s="581" t="s">
        <v>896</v>
      </c>
      <c r="G224" s="228" t="str">
        <f>VLOOKUP(E224,Emp_Directory!B:AQ,16,false)</f>
        <v>33100-1143058-5</v>
      </c>
      <c r="I224" s="509">
        <f>VLOOKUP(E224,Emp_Directory!B:AQ,24,false)</f>
        <v>36431</v>
      </c>
      <c r="J224" s="582">
        <v>45839.0</v>
      </c>
      <c r="K224" s="685" t="s">
        <v>947</v>
      </c>
      <c r="L224" s="638">
        <f>iferror(VLOOKUP(E224,'October 2025 Reference AI'!E:S,8,false),0)</f>
        <v>31</v>
      </c>
      <c r="M224" s="686">
        <v>45931.0</v>
      </c>
      <c r="N224" s="686">
        <v>45961.0</v>
      </c>
    </row>
    <row r="225">
      <c r="A225" s="661" t="s">
        <v>16</v>
      </c>
      <c r="B225" s="662">
        <v>4320.0</v>
      </c>
      <c r="C225" s="663" t="s">
        <v>763</v>
      </c>
      <c r="D225" s="662">
        <v>0.0</v>
      </c>
      <c r="E225" s="118" t="s">
        <v>898</v>
      </c>
      <c r="F225" s="575" t="s">
        <v>899</v>
      </c>
      <c r="G225" s="228" t="str">
        <f>VLOOKUP(E225,Emp_Directory!B:AQ,16,false)</f>
        <v>38404-8888249-3</v>
      </c>
      <c r="I225" s="509">
        <f>VLOOKUP(E225,Emp_Directory!B:AQ,24,false)</f>
        <v>37642</v>
      </c>
      <c r="J225" s="576">
        <v>45842.0</v>
      </c>
      <c r="K225" s="683" t="s">
        <v>947</v>
      </c>
      <c r="L225" s="637">
        <f>iferror(VLOOKUP(E225,'October 2025 Reference AI'!E:S,8,false),0)</f>
        <v>31</v>
      </c>
      <c r="M225" s="684">
        <v>45931.0</v>
      </c>
      <c r="N225" s="684">
        <v>45961.0</v>
      </c>
    </row>
    <row r="226">
      <c r="A226" s="661" t="s">
        <v>16</v>
      </c>
      <c r="B226" s="662">
        <v>4320.0</v>
      </c>
      <c r="C226" s="663" t="s">
        <v>763</v>
      </c>
      <c r="D226" s="662">
        <v>0.0</v>
      </c>
      <c r="E226" s="587" t="s">
        <v>901</v>
      </c>
      <c r="F226" s="581" t="s">
        <v>902</v>
      </c>
      <c r="G226" s="228" t="str">
        <f>VLOOKUP(E226,Emp_Directory!B:AQ,16,false)</f>
        <v>61101-1316783-5</v>
      </c>
      <c r="I226" s="509">
        <f>VLOOKUP(E226,Emp_Directory!B:AQ,24,false)</f>
        <v>34878</v>
      </c>
      <c r="J226" s="582">
        <v>45845.0</v>
      </c>
      <c r="K226" s="685" t="s">
        <v>947</v>
      </c>
      <c r="L226" s="638">
        <f>iferror(VLOOKUP(E226,'October 2025 Reference AI'!E:S,8,false),0)</f>
        <v>31</v>
      </c>
      <c r="M226" s="686">
        <v>45931.0</v>
      </c>
      <c r="N226" s="686">
        <v>45961.0</v>
      </c>
    </row>
    <row r="227">
      <c r="A227" s="661" t="s">
        <v>16</v>
      </c>
      <c r="B227" s="662">
        <v>4320.0</v>
      </c>
      <c r="C227" s="663" t="s">
        <v>763</v>
      </c>
      <c r="D227" s="662">
        <v>0.0</v>
      </c>
      <c r="E227" s="118" t="s">
        <v>904</v>
      </c>
      <c r="F227" s="575" t="s">
        <v>905</v>
      </c>
      <c r="G227" s="228" t="str">
        <f>VLOOKUP(E227,Emp_Directory!B:AQ,16,false)</f>
        <v>15602-1856910-3</v>
      </c>
      <c r="I227" s="509">
        <f>VLOOKUP(E227,Emp_Directory!B:AQ,24,false)</f>
        <v>37326</v>
      </c>
      <c r="J227" s="576">
        <v>45845.0</v>
      </c>
      <c r="K227" s="683" t="s">
        <v>947</v>
      </c>
      <c r="L227" s="637">
        <f>iferror(VLOOKUP(E227,'October 2025 Reference AI'!E:S,8,false),0)</f>
        <v>31</v>
      </c>
      <c r="M227" s="684">
        <v>45931.0</v>
      </c>
      <c r="N227" s="684">
        <v>45961.0</v>
      </c>
    </row>
    <row r="228">
      <c r="A228" s="661" t="s">
        <v>16</v>
      </c>
      <c r="B228" s="662">
        <v>4320.0</v>
      </c>
      <c r="C228" s="663" t="s">
        <v>763</v>
      </c>
      <c r="D228" s="662">
        <v>0.0</v>
      </c>
      <c r="E228" s="587" t="s">
        <v>907</v>
      </c>
      <c r="F228" s="581" t="s">
        <v>908</v>
      </c>
      <c r="G228" s="228" t="str">
        <f>VLOOKUP(E228,Emp_Directory!B:AQ,16,false)</f>
        <v>37405-5543241-0</v>
      </c>
      <c r="I228" s="509">
        <f>VLOOKUP(E228,Emp_Directory!B:AQ,24,false)</f>
        <v>37465</v>
      </c>
      <c r="J228" s="702">
        <v>45845.0</v>
      </c>
      <c r="K228" s="703" t="s">
        <v>947</v>
      </c>
      <c r="L228" s="638">
        <f>iferror(VLOOKUP(E228,'October 2025 Reference AI'!E:S,8,false),0)</f>
        <v>31</v>
      </c>
      <c r="M228" s="686">
        <v>45931.0</v>
      </c>
      <c r="N228" s="686">
        <v>45961.0</v>
      </c>
    </row>
    <row r="229">
      <c r="A229" s="661" t="s">
        <v>16</v>
      </c>
      <c r="B229" s="662">
        <v>4320.0</v>
      </c>
      <c r="C229" s="663" t="s">
        <v>763</v>
      </c>
      <c r="D229" s="687">
        <v>0.0</v>
      </c>
      <c r="E229" s="118" t="s">
        <v>910</v>
      </c>
      <c r="F229" s="575" t="s">
        <v>911</v>
      </c>
      <c r="G229" s="228" t="str">
        <f>VLOOKUP(E229,Emp_Directory!B:AQ,16,false)</f>
        <v>37405-8046887-1</v>
      </c>
      <c r="I229" s="509">
        <f>VLOOKUP(E229,Emp_Directory!B:AQ,24,false)</f>
        <v>35010</v>
      </c>
      <c r="J229" s="704">
        <v>45860.0</v>
      </c>
      <c r="K229" s="705" t="s">
        <v>947</v>
      </c>
      <c r="L229" s="637">
        <f>iferror(VLOOKUP(E229,'October 2025 Reference AI'!E:S,8,false),0)</f>
        <v>31</v>
      </c>
      <c r="M229" s="684">
        <v>45931.0</v>
      </c>
      <c r="N229" s="684">
        <v>45961.0</v>
      </c>
    </row>
    <row r="230">
      <c r="A230" s="661" t="s">
        <v>16</v>
      </c>
      <c r="B230" s="662">
        <v>4320.0</v>
      </c>
      <c r="C230" s="663" t="s">
        <v>763</v>
      </c>
      <c r="D230" s="687">
        <v>0.0</v>
      </c>
      <c r="E230" s="688" t="s">
        <v>925</v>
      </c>
      <c r="F230" s="581" t="s">
        <v>926</v>
      </c>
      <c r="G230" s="228" t="str">
        <f>VLOOKUP(E230,Emp_Directory!B:AQ,16,false)</f>
        <v>42201-2361860-9</v>
      </c>
      <c r="H230" s="228"/>
      <c r="I230" s="509">
        <f>VLOOKUP(E230,Emp_Directory!B:AQ,24,false)</f>
        <v>35350</v>
      </c>
      <c r="J230" s="706">
        <v>45894.0</v>
      </c>
      <c r="K230" s="703">
        <v>45904.0</v>
      </c>
      <c r="L230" s="638">
        <f>iferror(VLOOKUP(E230,'October 2025 Reference AI'!E:S,8,false),0)</f>
        <v>0</v>
      </c>
      <c r="M230" s="686">
        <v>45931.0</v>
      </c>
      <c r="N230" s="686">
        <v>45961.0</v>
      </c>
    </row>
    <row r="231">
      <c r="A231" s="251" t="s">
        <v>16</v>
      </c>
      <c r="B231" s="251">
        <v>4320.0</v>
      </c>
      <c r="C231" s="251" t="s">
        <v>763</v>
      </c>
      <c r="D231" s="690">
        <v>0.0</v>
      </c>
      <c r="E231" s="600" t="s">
        <v>935</v>
      </c>
      <c r="F231" s="575" t="s">
        <v>936</v>
      </c>
      <c r="G231" s="251" t="s">
        <v>937</v>
      </c>
      <c r="I231" s="508">
        <v>36636.0</v>
      </c>
      <c r="J231" s="705">
        <v>45901.0</v>
      </c>
      <c r="K231" s="705" t="s">
        <v>947</v>
      </c>
      <c r="L231" s="637">
        <f>iferror(VLOOKUP(E231,'October 2025 Reference AI'!E:S,8,false),0)</f>
        <v>31</v>
      </c>
      <c r="M231" s="684">
        <v>45931.0</v>
      </c>
      <c r="N231" s="684">
        <v>45961.0</v>
      </c>
      <c r="O231" s="76"/>
    </row>
    <row r="232">
      <c r="A232" s="251" t="s">
        <v>16</v>
      </c>
      <c r="B232" s="251">
        <v>4320.0</v>
      </c>
      <c r="C232" s="251" t="s">
        <v>763</v>
      </c>
      <c r="D232" s="690">
        <v>0.0</v>
      </c>
      <c r="E232" s="602" t="s">
        <v>938</v>
      </c>
      <c r="F232" s="581" t="s">
        <v>939</v>
      </c>
      <c r="G232" s="251" t="s">
        <v>940</v>
      </c>
      <c r="I232" s="508">
        <v>37056.0</v>
      </c>
      <c r="J232" s="706">
        <v>45922.0</v>
      </c>
      <c r="K232" s="703" t="s">
        <v>947</v>
      </c>
      <c r="L232" s="638">
        <f>iferror(VLOOKUP(E232,'October 2025 Reference AI'!E:S,8,false),0)</f>
        <v>31</v>
      </c>
      <c r="M232" s="686">
        <v>45931.0</v>
      </c>
      <c r="N232" s="686">
        <v>45961.0</v>
      </c>
      <c r="O232" s="641"/>
    </row>
    <row r="233">
      <c r="A233" s="251" t="s">
        <v>16</v>
      </c>
      <c r="B233" s="251">
        <v>4320.0</v>
      </c>
      <c r="C233" s="251" t="s">
        <v>763</v>
      </c>
      <c r="D233" s="690">
        <v>0.0</v>
      </c>
      <c r="E233" s="574" t="s">
        <v>941</v>
      </c>
      <c r="F233" s="575" t="s">
        <v>942</v>
      </c>
      <c r="G233" s="251" t="s">
        <v>943</v>
      </c>
      <c r="I233" s="508">
        <v>36549.0</v>
      </c>
      <c r="J233" s="707">
        <v>45922.0</v>
      </c>
      <c r="K233" s="705" t="s">
        <v>947</v>
      </c>
      <c r="L233" s="611">
        <f>iferror(VLOOKUP(E233,'October 2025 Reference AI'!E:S,8,false),0)</f>
        <v>31</v>
      </c>
      <c r="M233" s="667">
        <v>45931.0</v>
      </c>
      <c r="N233" s="667">
        <v>45961.0</v>
      </c>
    </row>
    <row r="234">
      <c r="A234" s="251" t="s">
        <v>16</v>
      </c>
      <c r="B234" s="251">
        <v>4320.0</v>
      </c>
      <c r="C234" s="251" t="s">
        <v>763</v>
      </c>
      <c r="D234" s="708">
        <v>0.0</v>
      </c>
      <c r="E234" s="602" t="s">
        <v>944</v>
      </c>
      <c r="F234" s="581" t="s">
        <v>945</v>
      </c>
      <c r="G234" s="251" t="s">
        <v>946</v>
      </c>
      <c r="I234" s="508">
        <v>35111.0</v>
      </c>
      <c r="J234" s="706">
        <v>45920.0</v>
      </c>
      <c r="K234" s="703" t="s">
        <v>947</v>
      </c>
      <c r="L234" s="611">
        <f>iferror(VLOOKUP(E234,'October 2025 Reference AI'!E:S,8,false),0)</f>
        <v>31</v>
      </c>
      <c r="M234" s="667">
        <v>45931.0</v>
      </c>
      <c r="N234" s="667">
        <v>45961.0</v>
      </c>
    </row>
    <row r="235">
      <c r="A235" s="251" t="s">
        <v>16</v>
      </c>
      <c r="B235" s="251">
        <v>4320.0</v>
      </c>
      <c r="C235" s="251" t="s">
        <v>763</v>
      </c>
      <c r="D235" s="708">
        <v>0.0</v>
      </c>
      <c r="E235" s="690" t="s">
        <v>954</v>
      </c>
      <c r="F235" s="251" t="s">
        <v>955</v>
      </c>
      <c r="G235" s="228" t="str">
        <f>VLOOKUP(E235,Emp_Directory!B:AQ,16,false)</f>
        <v>32203-0990478-3</v>
      </c>
      <c r="I235" s="508">
        <f>VLOOKUP(E235,Emp_Directory!B:AQ,24,false)</f>
        <v>36465</v>
      </c>
      <c r="J235" s="709">
        <v>45929.0</v>
      </c>
      <c r="K235" s="705" t="s">
        <v>947</v>
      </c>
      <c r="L235" s="611">
        <f>iferror(VLOOKUP(E235,'October 2025 Reference AI'!E:S,8,false),0)</f>
        <v>31</v>
      </c>
      <c r="M235" s="667">
        <v>45931.0</v>
      </c>
      <c r="N235" s="667">
        <v>45961.0</v>
      </c>
    </row>
    <row r="236">
      <c r="A236" s="251" t="s">
        <v>16</v>
      </c>
      <c r="B236" s="251">
        <v>4320.0</v>
      </c>
      <c r="C236" s="251" t="s">
        <v>763</v>
      </c>
      <c r="D236" s="708">
        <v>0.0</v>
      </c>
      <c r="E236" s="581" t="s">
        <v>957</v>
      </c>
      <c r="F236" s="581" t="s">
        <v>958</v>
      </c>
      <c r="G236" s="641" t="str">
        <f>VLOOKUP(E236,Emp_Directory!B:AQ,16,false)</f>
        <v>42101-9697141-7</v>
      </c>
      <c r="I236" s="508">
        <f>VLOOKUP(E236,Emp_Directory!B:AQ,24,false)</f>
        <v>35952</v>
      </c>
      <c r="J236" s="710">
        <v>45936.0</v>
      </c>
      <c r="K236" s="703" t="s">
        <v>947</v>
      </c>
      <c r="L236" s="611">
        <f>iferror(VLOOKUP(E236,'October 2025 Reference AI'!E:S,8,false),0)</f>
        <v>26</v>
      </c>
      <c r="M236" s="667">
        <v>45931.0</v>
      </c>
      <c r="N236" s="667">
        <v>45961.0</v>
      </c>
    </row>
    <row r="237">
      <c r="A237" s="251" t="s">
        <v>16</v>
      </c>
      <c r="B237" s="251">
        <v>4320.0</v>
      </c>
      <c r="C237" s="251" t="s">
        <v>763</v>
      </c>
      <c r="D237" s="708">
        <v>0.0</v>
      </c>
      <c r="E237" s="574" t="s">
        <v>960</v>
      </c>
      <c r="F237" s="575" t="s">
        <v>961</v>
      </c>
      <c r="G237" s="76" t="str">
        <f>VLOOKUP(E237,Emp_Directory!B:AQ,16,false)</f>
        <v>37203-6912610-8</v>
      </c>
      <c r="I237" s="508">
        <f>VLOOKUP(E237,Emp_Directory!B:AQ,24,false)</f>
        <v>38372</v>
      </c>
      <c r="J237" s="709">
        <v>45947.0</v>
      </c>
      <c r="K237" s="705">
        <v>45953.0</v>
      </c>
      <c r="L237" s="611">
        <f>iferror(VLOOKUP(E237,'October 2025 Reference AI'!E:S,8,false),0)</f>
        <v>7</v>
      </c>
      <c r="M237" s="667">
        <v>45931.0</v>
      </c>
      <c r="N237" s="667">
        <v>45961.0</v>
      </c>
    </row>
    <row r="238">
      <c r="A238" s="251" t="s">
        <v>16</v>
      </c>
      <c r="B238" s="251">
        <v>4320.0</v>
      </c>
      <c r="C238" s="251" t="s">
        <v>763</v>
      </c>
      <c r="D238" s="708">
        <v>0.0</v>
      </c>
      <c r="E238" s="580" t="s">
        <v>963</v>
      </c>
      <c r="F238" s="581" t="s">
        <v>964</v>
      </c>
      <c r="G238" s="641" t="str">
        <f>VLOOKUP(E238,Emp_Directory!B:AQ,16,false)</f>
        <v>34101-9394551-5</v>
      </c>
      <c r="I238" s="508">
        <f>VLOOKUP(E238,Emp_Directory!B:AQ,24,false)</f>
        <v>37897</v>
      </c>
      <c r="J238" s="710">
        <v>45950.0</v>
      </c>
      <c r="K238" s="703" t="s">
        <v>947</v>
      </c>
      <c r="L238" s="611">
        <f>iferror(VLOOKUP(E238,'October 2025 Reference AI'!E:S,8,false),0)</f>
        <v>12</v>
      </c>
      <c r="M238" s="667">
        <v>45931.0</v>
      </c>
      <c r="N238" s="667">
        <v>45961.0</v>
      </c>
    </row>
    <row r="239">
      <c r="A239" s="251" t="s">
        <v>16</v>
      </c>
      <c r="B239" s="251">
        <v>4320.0</v>
      </c>
      <c r="C239" s="251" t="s">
        <v>763</v>
      </c>
      <c r="D239" s="708">
        <v>0.0</v>
      </c>
      <c r="E239" s="574" t="s">
        <v>966</v>
      </c>
      <c r="F239" s="575" t="s">
        <v>967</v>
      </c>
      <c r="G239" s="76" t="str">
        <f>VLOOKUP(E239,Emp_Directory!B:AQ,16,false)</f>
        <v>82203-6519670-7</v>
      </c>
      <c r="I239" s="508">
        <f>VLOOKUP(E239,Emp_Directory!B:AQ,24,false)</f>
        <v>34810</v>
      </c>
      <c r="J239" s="709">
        <v>45952.0</v>
      </c>
      <c r="K239" s="705" t="s">
        <v>947</v>
      </c>
      <c r="L239" s="611">
        <f>iferror(VLOOKUP(E239,'October 2025 Reference AI'!E:S,8,false),0)</f>
        <v>10</v>
      </c>
      <c r="M239" s="667">
        <v>45931.0</v>
      </c>
      <c r="N239" s="667">
        <v>45961.0</v>
      </c>
    </row>
    <row r="240">
      <c r="A240" s="228"/>
      <c r="B240" s="228"/>
      <c r="C240" s="228"/>
      <c r="D240" s="310"/>
      <c r="E240" s="602"/>
      <c r="F240" s="581"/>
      <c r="G240" s="711"/>
      <c r="H240" s="228"/>
      <c r="I240" s="228"/>
      <c r="J240" s="228"/>
      <c r="K240" s="660"/>
      <c r="L240" s="228"/>
      <c r="M240" s="228"/>
      <c r="N240" s="228"/>
    </row>
    <row r="241">
      <c r="A241" s="228"/>
      <c r="B241" s="228"/>
      <c r="C241" s="228"/>
      <c r="D241" s="310"/>
      <c r="E241" s="600"/>
      <c r="F241" s="575"/>
      <c r="G241" s="712"/>
      <c r="H241" s="228"/>
      <c r="I241" s="228"/>
      <c r="J241" s="228"/>
      <c r="K241" s="660"/>
      <c r="L241" s="228"/>
      <c r="M241" s="228"/>
      <c r="N241" s="228"/>
    </row>
    <row r="242">
      <c r="A242" s="228"/>
      <c r="B242" s="228"/>
      <c r="C242" s="228"/>
      <c r="D242" s="310"/>
      <c r="E242" s="602"/>
      <c r="F242" s="581"/>
      <c r="G242" s="711"/>
      <c r="H242" s="228"/>
      <c r="I242" s="228"/>
      <c r="J242" s="228"/>
      <c r="K242" s="660"/>
      <c r="L242" s="228"/>
      <c r="M242" s="228"/>
      <c r="N242" s="228"/>
    </row>
    <row r="243">
      <c r="A243" s="228"/>
      <c r="B243" s="228"/>
      <c r="C243" s="228"/>
      <c r="D243" s="310"/>
      <c r="E243" s="600"/>
      <c r="F243" s="575"/>
      <c r="G243" s="712"/>
      <c r="H243" s="228"/>
      <c r="I243" s="228"/>
      <c r="J243" s="228"/>
      <c r="K243" s="660"/>
      <c r="L243" s="228"/>
      <c r="M243" s="228"/>
      <c r="N243" s="228"/>
    </row>
    <row r="244">
      <c r="A244" s="228"/>
      <c r="B244" s="228"/>
      <c r="C244" s="228"/>
      <c r="D244" s="310"/>
      <c r="E244" s="311"/>
      <c r="F244" s="228"/>
      <c r="G244" s="228"/>
      <c r="H244" s="228"/>
      <c r="I244" s="228"/>
      <c r="J244" s="228"/>
      <c r="K244" s="660"/>
      <c r="L244" s="228"/>
      <c r="M244" s="228"/>
      <c r="N244" s="228"/>
    </row>
    <row r="245">
      <c r="A245" s="228"/>
      <c r="B245" s="228"/>
      <c r="C245" s="228"/>
      <c r="D245" s="310"/>
      <c r="E245" s="311"/>
      <c r="F245" s="228"/>
      <c r="G245" s="228"/>
      <c r="H245" s="228"/>
      <c r="I245" s="228"/>
      <c r="J245" s="228"/>
      <c r="K245" s="660"/>
      <c r="L245" s="228"/>
      <c r="M245" s="228"/>
      <c r="N245" s="228"/>
    </row>
    <row r="246">
      <c r="A246" s="228"/>
      <c r="B246" s="228"/>
      <c r="C246" s="228"/>
      <c r="D246" s="310"/>
      <c r="E246" s="311"/>
      <c r="F246" s="228"/>
      <c r="G246" s="228"/>
      <c r="H246" s="228"/>
      <c r="I246" s="228"/>
      <c r="J246" s="228"/>
      <c r="K246" s="660"/>
      <c r="L246" s="228"/>
      <c r="M246" s="228"/>
      <c r="N246" s="228"/>
    </row>
    <row r="247">
      <c r="A247" s="228"/>
      <c r="B247" s="228"/>
      <c r="C247" s="228"/>
      <c r="D247" s="310"/>
      <c r="E247" s="311"/>
      <c r="F247" s="228"/>
      <c r="G247" s="228"/>
      <c r="H247" s="228"/>
      <c r="I247" s="228"/>
      <c r="J247" s="228"/>
      <c r="K247" s="660"/>
      <c r="L247" s="228"/>
      <c r="M247" s="228"/>
      <c r="N247" s="228"/>
    </row>
    <row r="248">
      <c r="A248" s="228"/>
      <c r="B248" s="228"/>
      <c r="C248" s="228"/>
      <c r="D248" s="310"/>
      <c r="E248" s="311"/>
      <c r="F248" s="228"/>
      <c r="G248" s="228"/>
      <c r="H248" s="228"/>
      <c r="I248" s="228"/>
      <c r="J248" s="228"/>
      <c r="K248" s="660"/>
      <c r="L248" s="228"/>
      <c r="M248" s="228"/>
      <c r="N248" s="228"/>
    </row>
    <row r="249">
      <c r="A249" s="228"/>
      <c r="B249" s="228"/>
      <c r="C249" s="228"/>
      <c r="D249" s="310"/>
      <c r="E249" s="311"/>
      <c r="F249" s="228"/>
      <c r="G249" s="228"/>
      <c r="H249" s="228"/>
      <c r="I249" s="228"/>
      <c r="J249" s="228"/>
      <c r="K249" s="660"/>
      <c r="L249" s="228"/>
      <c r="M249" s="228"/>
      <c r="N249" s="228"/>
    </row>
    <row r="250">
      <c r="A250" s="228"/>
      <c r="B250" s="228"/>
      <c r="C250" s="228"/>
      <c r="D250" s="310"/>
      <c r="E250" s="311"/>
      <c r="F250" s="228"/>
      <c r="G250" s="228"/>
      <c r="H250" s="228"/>
      <c r="I250" s="228"/>
      <c r="J250" s="228"/>
      <c r="K250" s="660"/>
      <c r="L250" s="228"/>
      <c r="M250" s="228"/>
      <c r="N250" s="228"/>
    </row>
    <row r="251">
      <c r="A251" s="228"/>
      <c r="B251" s="228"/>
      <c r="C251" s="228"/>
      <c r="D251" s="310"/>
      <c r="E251" s="311"/>
      <c r="F251" s="228"/>
      <c r="G251" s="228"/>
      <c r="H251" s="228"/>
      <c r="I251" s="228"/>
      <c r="J251" s="228"/>
      <c r="K251" s="660"/>
      <c r="L251" s="228"/>
      <c r="M251" s="228"/>
      <c r="N251" s="228"/>
    </row>
    <row r="252">
      <c r="A252" s="228"/>
      <c r="B252" s="228"/>
      <c r="C252" s="228"/>
      <c r="D252" s="310"/>
      <c r="E252" s="311"/>
      <c r="F252" s="228"/>
      <c r="G252" s="228"/>
      <c r="H252" s="228"/>
      <c r="I252" s="228"/>
      <c r="J252" s="228"/>
      <c r="K252" s="660"/>
      <c r="L252" s="228"/>
      <c r="M252" s="228"/>
      <c r="N252" s="228"/>
    </row>
    <row r="253">
      <c r="A253" s="228"/>
      <c r="B253" s="228"/>
      <c r="C253" s="228"/>
      <c r="D253" s="310"/>
      <c r="E253" s="311"/>
      <c r="F253" s="228"/>
      <c r="G253" s="228"/>
      <c r="H253" s="228"/>
      <c r="I253" s="228"/>
      <c r="J253" s="228"/>
      <c r="K253" s="660"/>
      <c r="L253" s="228"/>
      <c r="M253" s="228"/>
      <c r="N253" s="228"/>
    </row>
    <row r="254">
      <c r="A254" s="228"/>
      <c r="B254" s="228"/>
      <c r="C254" s="228"/>
      <c r="D254" s="310"/>
      <c r="E254" s="311"/>
      <c r="F254" s="228"/>
      <c r="G254" s="228"/>
      <c r="H254" s="228"/>
      <c r="I254" s="228"/>
      <c r="J254" s="228"/>
      <c r="K254" s="660"/>
      <c r="L254" s="228"/>
      <c r="M254" s="228"/>
      <c r="N254" s="228"/>
    </row>
    <row r="255">
      <c r="A255" s="228"/>
      <c r="B255" s="228"/>
      <c r="C255" s="228"/>
      <c r="D255" s="310"/>
      <c r="E255" s="311"/>
      <c r="F255" s="228"/>
      <c r="G255" s="228"/>
      <c r="H255" s="228"/>
      <c r="I255" s="228"/>
      <c r="J255" s="228"/>
      <c r="K255" s="660"/>
      <c r="L255" s="228"/>
      <c r="M255" s="228"/>
      <c r="N255" s="228"/>
    </row>
    <row r="256">
      <c r="A256" s="228"/>
      <c r="B256" s="228"/>
      <c r="C256" s="228"/>
      <c r="D256" s="310"/>
      <c r="E256" s="311"/>
      <c r="F256" s="228"/>
      <c r="G256" s="228"/>
      <c r="H256" s="228"/>
      <c r="I256" s="228"/>
      <c r="J256" s="228"/>
      <c r="K256" s="660"/>
      <c r="L256" s="228"/>
      <c r="M256" s="228"/>
      <c r="N256" s="228"/>
    </row>
    <row r="257">
      <c r="A257" s="228"/>
      <c r="B257" s="228"/>
      <c r="C257" s="228"/>
      <c r="D257" s="310"/>
      <c r="E257" s="311"/>
      <c r="F257" s="228"/>
      <c r="G257" s="228"/>
      <c r="H257" s="228"/>
      <c r="I257" s="228"/>
      <c r="J257" s="228"/>
      <c r="K257" s="660"/>
      <c r="L257" s="228"/>
      <c r="M257" s="228"/>
      <c r="N257" s="228"/>
    </row>
    <row r="258">
      <c r="A258" s="228"/>
      <c r="B258" s="228"/>
      <c r="C258" s="228"/>
      <c r="D258" s="310"/>
      <c r="E258" s="311"/>
      <c r="F258" s="228"/>
      <c r="G258" s="228"/>
      <c r="H258" s="228"/>
      <c r="I258" s="228"/>
      <c r="J258" s="228"/>
      <c r="K258" s="660"/>
      <c r="L258" s="228"/>
      <c r="M258" s="228"/>
      <c r="N258" s="228"/>
    </row>
    <row r="259">
      <c r="A259" s="228"/>
      <c r="B259" s="228"/>
      <c r="C259" s="228"/>
      <c r="D259" s="310"/>
      <c r="E259" s="311"/>
      <c r="F259" s="228"/>
      <c r="G259" s="228"/>
      <c r="H259" s="228"/>
      <c r="I259" s="228"/>
      <c r="J259" s="228"/>
      <c r="K259" s="660"/>
      <c r="L259" s="228"/>
      <c r="M259" s="228"/>
      <c r="N259" s="228"/>
    </row>
    <row r="260">
      <c r="A260" s="228"/>
      <c r="B260" s="228"/>
      <c r="C260" s="228"/>
      <c r="D260" s="310"/>
      <c r="E260" s="311"/>
      <c r="F260" s="228"/>
      <c r="G260" s="228"/>
      <c r="H260" s="228"/>
      <c r="I260" s="228"/>
      <c r="J260" s="228"/>
      <c r="K260" s="660"/>
      <c r="L260" s="228"/>
      <c r="M260" s="228"/>
      <c r="N260" s="228"/>
    </row>
    <row r="261">
      <c r="A261" s="228"/>
      <c r="B261" s="228"/>
      <c r="C261" s="228"/>
      <c r="D261" s="310"/>
      <c r="E261" s="311"/>
      <c r="F261" s="228"/>
      <c r="G261" s="228"/>
      <c r="H261" s="228"/>
      <c r="I261" s="228"/>
      <c r="J261" s="228"/>
      <c r="K261" s="660"/>
      <c r="L261" s="228"/>
      <c r="M261" s="228"/>
      <c r="N261" s="228"/>
    </row>
    <row r="262">
      <c r="A262" s="228"/>
      <c r="B262" s="228"/>
      <c r="C262" s="228"/>
      <c r="D262" s="310"/>
      <c r="E262" s="311"/>
      <c r="F262" s="228"/>
      <c r="G262" s="228"/>
      <c r="H262" s="228"/>
      <c r="I262" s="228"/>
      <c r="J262" s="228"/>
      <c r="K262" s="660"/>
      <c r="L262" s="228"/>
      <c r="M262" s="228"/>
      <c r="N262" s="228"/>
    </row>
    <row r="263">
      <c r="A263" s="228"/>
      <c r="B263" s="228"/>
      <c r="C263" s="228"/>
      <c r="D263" s="310"/>
      <c r="E263" s="311"/>
      <c r="F263" s="228"/>
      <c r="G263" s="228"/>
      <c r="H263" s="228"/>
      <c r="I263" s="228"/>
      <c r="J263" s="228"/>
      <c r="K263" s="660"/>
      <c r="L263" s="228"/>
      <c r="M263" s="228"/>
      <c r="N263" s="228"/>
    </row>
    <row r="264">
      <c r="A264" s="228"/>
      <c r="B264" s="228"/>
      <c r="C264" s="228"/>
      <c r="D264" s="310"/>
      <c r="E264" s="311"/>
      <c r="F264" s="228"/>
      <c r="G264" s="228"/>
      <c r="H264" s="228"/>
      <c r="I264" s="228"/>
      <c r="J264" s="228"/>
      <c r="K264" s="660"/>
      <c r="L264" s="228"/>
      <c r="M264" s="228"/>
      <c r="N264" s="228"/>
    </row>
    <row r="265">
      <c r="A265" s="228"/>
      <c r="B265" s="228"/>
      <c r="C265" s="228"/>
      <c r="D265" s="310"/>
      <c r="E265" s="311"/>
      <c r="F265" s="228"/>
      <c r="G265" s="228"/>
      <c r="H265" s="228"/>
      <c r="I265" s="228"/>
      <c r="J265" s="228"/>
      <c r="K265" s="660"/>
      <c r="L265" s="228"/>
      <c r="M265" s="228"/>
      <c r="N265" s="228"/>
    </row>
    <row r="266">
      <c r="A266" s="228"/>
      <c r="B266" s="228"/>
      <c r="C266" s="228"/>
      <c r="D266" s="310"/>
      <c r="E266" s="311"/>
      <c r="F266" s="228"/>
      <c r="G266" s="228"/>
      <c r="H266" s="228"/>
      <c r="I266" s="228"/>
      <c r="J266" s="228"/>
      <c r="K266" s="660"/>
      <c r="L266" s="228"/>
      <c r="M266" s="228"/>
      <c r="N266" s="228"/>
    </row>
    <row r="267">
      <c r="A267" s="228"/>
      <c r="B267" s="228"/>
      <c r="C267" s="228"/>
      <c r="D267" s="310"/>
      <c r="E267" s="311"/>
      <c r="F267" s="228"/>
      <c r="G267" s="228"/>
      <c r="H267" s="228"/>
      <c r="I267" s="228"/>
      <c r="J267" s="228"/>
      <c r="K267" s="660"/>
      <c r="L267" s="228"/>
      <c r="M267" s="228"/>
      <c r="N267" s="228"/>
    </row>
    <row r="268">
      <c r="A268" s="228"/>
      <c r="B268" s="228"/>
      <c r="C268" s="228"/>
      <c r="D268" s="310"/>
      <c r="E268" s="311"/>
      <c r="F268" s="228"/>
      <c r="G268" s="228"/>
      <c r="H268" s="228"/>
      <c r="I268" s="228"/>
      <c r="J268" s="228"/>
      <c r="K268" s="660"/>
      <c r="L268" s="228"/>
      <c r="M268" s="228"/>
      <c r="N268" s="228"/>
    </row>
    <row r="269">
      <c r="A269" s="228"/>
      <c r="B269" s="228"/>
      <c r="C269" s="228"/>
      <c r="D269" s="310"/>
      <c r="E269" s="311"/>
      <c r="F269" s="228"/>
      <c r="G269" s="228"/>
      <c r="H269" s="228"/>
      <c r="I269" s="228"/>
      <c r="J269" s="228"/>
      <c r="K269" s="660"/>
      <c r="L269" s="228"/>
      <c r="M269" s="228"/>
      <c r="N269" s="228"/>
    </row>
    <row r="270">
      <c r="A270" s="228"/>
      <c r="B270" s="228"/>
      <c r="C270" s="228"/>
      <c r="D270" s="310"/>
      <c r="E270" s="311"/>
      <c r="F270" s="228"/>
      <c r="G270" s="228"/>
      <c r="H270" s="228"/>
      <c r="I270" s="228"/>
      <c r="J270" s="228"/>
      <c r="K270" s="660"/>
      <c r="L270" s="228"/>
      <c r="M270" s="228"/>
      <c r="N270" s="228"/>
    </row>
    <row r="271">
      <c r="A271" s="228"/>
      <c r="B271" s="228"/>
      <c r="C271" s="228"/>
      <c r="D271" s="310"/>
      <c r="E271" s="311"/>
      <c r="F271" s="228"/>
      <c r="G271" s="228"/>
      <c r="H271" s="228"/>
      <c r="I271" s="228"/>
      <c r="J271" s="228"/>
      <c r="K271" s="660"/>
      <c r="L271" s="228"/>
      <c r="M271" s="228"/>
      <c r="N271" s="228"/>
    </row>
    <row r="272">
      <c r="A272" s="228"/>
      <c r="B272" s="228"/>
      <c r="C272" s="228"/>
      <c r="D272" s="310"/>
      <c r="E272" s="311"/>
      <c r="F272" s="228"/>
      <c r="G272" s="228"/>
      <c r="H272" s="228"/>
      <c r="I272" s="228"/>
      <c r="J272" s="228"/>
      <c r="K272" s="660"/>
      <c r="L272" s="228"/>
      <c r="M272" s="228"/>
      <c r="N272" s="228"/>
    </row>
    <row r="273">
      <c r="A273" s="228"/>
      <c r="B273" s="228"/>
      <c r="C273" s="228"/>
      <c r="D273" s="310"/>
      <c r="E273" s="311"/>
      <c r="F273" s="228"/>
      <c r="G273" s="228"/>
      <c r="H273" s="228"/>
      <c r="I273" s="228"/>
      <c r="J273" s="228"/>
      <c r="K273" s="660"/>
      <c r="L273" s="228"/>
      <c r="M273" s="228"/>
      <c r="N273" s="228"/>
    </row>
    <row r="274">
      <c r="A274" s="228"/>
      <c r="B274" s="228"/>
      <c r="C274" s="228"/>
      <c r="D274" s="310"/>
      <c r="E274" s="311"/>
      <c r="F274" s="228"/>
      <c r="G274" s="228"/>
      <c r="H274" s="228"/>
      <c r="I274" s="228"/>
      <c r="J274" s="228"/>
      <c r="K274" s="660"/>
      <c r="L274" s="228"/>
      <c r="M274" s="228"/>
      <c r="N274" s="228"/>
    </row>
    <row r="275">
      <c r="A275" s="228"/>
      <c r="B275" s="228"/>
      <c r="C275" s="228"/>
      <c r="D275" s="310"/>
      <c r="E275" s="311"/>
      <c r="F275" s="228"/>
      <c r="G275" s="228"/>
      <c r="H275" s="228"/>
      <c r="I275" s="228"/>
      <c r="J275" s="228"/>
      <c r="K275" s="660"/>
      <c r="L275" s="228"/>
      <c r="M275" s="228"/>
      <c r="N275" s="228"/>
    </row>
    <row r="276">
      <c r="A276" s="228"/>
      <c r="B276" s="228"/>
      <c r="C276" s="228"/>
      <c r="D276" s="310"/>
      <c r="E276" s="311"/>
      <c r="F276" s="228"/>
      <c r="G276" s="228"/>
      <c r="H276" s="228"/>
      <c r="I276" s="228"/>
      <c r="J276" s="228"/>
      <c r="K276" s="660"/>
      <c r="L276" s="228"/>
      <c r="M276" s="228"/>
      <c r="N276" s="228"/>
    </row>
    <row r="277">
      <c r="A277" s="228"/>
      <c r="B277" s="228"/>
      <c r="C277" s="228"/>
      <c r="D277" s="310"/>
      <c r="E277" s="311"/>
      <c r="F277" s="228"/>
      <c r="G277" s="228"/>
      <c r="H277" s="228"/>
      <c r="I277" s="228"/>
      <c r="J277" s="228"/>
      <c r="K277" s="660"/>
      <c r="L277" s="228"/>
      <c r="M277" s="228"/>
      <c r="N277" s="228"/>
    </row>
    <row r="278">
      <c r="A278" s="228"/>
      <c r="B278" s="228"/>
      <c r="C278" s="228"/>
      <c r="D278" s="310"/>
      <c r="E278" s="311"/>
      <c r="F278" s="228"/>
      <c r="G278" s="228"/>
      <c r="H278" s="228"/>
      <c r="I278" s="228"/>
      <c r="J278" s="228"/>
      <c r="K278" s="660"/>
      <c r="L278" s="228"/>
      <c r="M278" s="228"/>
      <c r="N278" s="228"/>
    </row>
    <row r="279">
      <c r="A279" s="228"/>
      <c r="B279" s="228"/>
      <c r="C279" s="228"/>
      <c r="D279" s="310"/>
      <c r="E279" s="311"/>
      <c r="F279" s="228"/>
      <c r="G279" s="228"/>
      <c r="H279" s="228"/>
      <c r="I279" s="228"/>
      <c r="J279" s="228"/>
      <c r="K279" s="660"/>
      <c r="L279" s="228"/>
      <c r="M279" s="228"/>
      <c r="N279" s="228"/>
    </row>
    <row r="280">
      <c r="A280" s="228"/>
      <c r="B280" s="228"/>
      <c r="C280" s="228"/>
      <c r="D280" s="310"/>
      <c r="E280" s="311"/>
      <c r="F280" s="228"/>
      <c r="G280" s="228"/>
      <c r="H280" s="228"/>
      <c r="I280" s="228"/>
      <c r="J280" s="228"/>
      <c r="K280" s="660"/>
      <c r="L280" s="228"/>
      <c r="M280" s="228"/>
      <c r="N280" s="228"/>
    </row>
    <row r="281">
      <c r="A281" s="228"/>
      <c r="B281" s="228"/>
      <c r="C281" s="228"/>
      <c r="D281" s="310"/>
      <c r="E281" s="311"/>
      <c r="F281" s="228"/>
      <c r="G281" s="228"/>
      <c r="H281" s="228"/>
      <c r="I281" s="228"/>
      <c r="J281" s="228"/>
      <c r="K281" s="660"/>
      <c r="L281" s="228"/>
      <c r="M281" s="228"/>
      <c r="N281" s="228"/>
    </row>
    <row r="282">
      <c r="A282" s="228"/>
      <c r="B282" s="228"/>
      <c r="C282" s="228"/>
      <c r="D282" s="310"/>
      <c r="E282" s="311"/>
      <c r="F282" s="228"/>
      <c r="G282" s="228"/>
      <c r="H282" s="228"/>
      <c r="I282" s="228"/>
      <c r="J282" s="228"/>
      <c r="K282" s="660"/>
      <c r="L282" s="228"/>
      <c r="M282" s="228"/>
      <c r="N282" s="228"/>
    </row>
    <row r="283">
      <c r="A283" s="228"/>
      <c r="B283" s="228"/>
      <c r="C283" s="228"/>
      <c r="D283" s="310"/>
      <c r="E283" s="311"/>
      <c r="F283" s="228"/>
      <c r="G283" s="228"/>
      <c r="H283" s="228"/>
      <c r="I283" s="228"/>
      <c r="J283" s="228"/>
      <c r="K283" s="660"/>
      <c r="L283" s="228"/>
      <c r="M283" s="228"/>
      <c r="N283" s="228"/>
    </row>
    <row r="284">
      <c r="A284" s="228"/>
      <c r="B284" s="228"/>
      <c r="C284" s="228"/>
      <c r="D284" s="310"/>
      <c r="E284" s="311"/>
      <c r="F284" s="228"/>
      <c r="G284" s="228"/>
      <c r="H284" s="228"/>
      <c r="I284" s="228"/>
      <c r="J284" s="228"/>
      <c r="K284" s="660"/>
      <c r="L284" s="228"/>
      <c r="M284" s="228"/>
      <c r="N284" s="228"/>
    </row>
    <row r="285">
      <c r="A285" s="228"/>
      <c r="B285" s="228"/>
      <c r="C285" s="228"/>
      <c r="D285" s="310"/>
      <c r="E285" s="311"/>
      <c r="F285" s="228"/>
      <c r="G285" s="228"/>
      <c r="H285" s="228"/>
      <c r="I285" s="228"/>
      <c r="J285" s="228"/>
      <c r="K285" s="660"/>
      <c r="L285" s="228"/>
      <c r="M285" s="228"/>
      <c r="N285" s="228"/>
    </row>
    <row r="286">
      <c r="A286" s="228"/>
      <c r="B286" s="228"/>
      <c r="C286" s="228"/>
      <c r="D286" s="310"/>
      <c r="E286" s="311"/>
      <c r="F286" s="228"/>
      <c r="G286" s="228"/>
      <c r="H286" s="228"/>
      <c r="I286" s="228"/>
      <c r="J286" s="228"/>
      <c r="K286" s="660"/>
      <c r="L286" s="228"/>
      <c r="M286" s="228"/>
      <c r="N286" s="228"/>
    </row>
    <row r="287">
      <c r="A287" s="228"/>
      <c r="B287" s="228"/>
      <c r="C287" s="228"/>
      <c r="D287" s="310"/>
      <c r="E287" s="311"/>
      <c r="F287" s="228"/>
      <c r="G287" s="228"/>
      <c r="H287" s="228"/>
      <c r="I287" s="228"/>
      <c r="J287" s="228"/>
      <c r="K287" s="660"/>
      <c r="L287" s="228"/>
      <c r="M287" s="228"/>
      <c r="N287" s="228"/>
    </row>
    <row r="288">
      <c r="A288" s="228"/>
      <c r="B288" s="228"/>
      <c r="C288" s="228"/>
      <c r="D288" s="310"/>
      <c r="E288" s="311"/>
      <c r="F288" s="228"/>
      <c r="G288" s="228"/>
      <c r="H288" s="228"/>
      <c r="I288" s="228"/>
      <c r="J288" s="228"/>
      <c r="K288" s="660"/>
      <c r="L288" s="228"/>
      <c r="M288" s="228"/>
      <c r="N288" s="228"/>
    </row>
    <row r="289">
      <c r="A289" s="228"/>
      <c r="B289" s="228"/>
      <c r="C289" s="228"/>
      <c r="D289" s="310"/>
      <c r="E289" s="311"/>
      <c r="F289" s="228"/>
      <c r="G289" s="228"/>
      <c r="H289" s="228"/>
      <c r="I289" s="228"/>
      <c r="J289" s="228"/>
      <c r="K289" s="660"/>
      <c r="L289" s="228"/>
      <c r="M289" s="228"/>
      <c r="N289" s="228"/>
    </row>
    <row r="290">
      <c r="A290" s="228"/>
      <c r="B290" s="228"/>
      <c r="C290" s="228"/>
      <c r="D290" s="310"/>
      <c r="E290" s="311"/>
      <c r="F290" s="228"/>
      <c r="G290" s="228"/>
      <c r="H290" s="228"/>
      <c r="I290" s="228"/>
      <c r="J290" s="228"/>
      <c r="K290" s="660"/>
      <c r="L290" s="228"/>
      <c r="M290" s="228"/>
      <c r="N290" s="228"/>
    </row>
    <row r="291">
      <c r="A291" s="228"/>
      <c r="B291" s="228"/>
      <c r="C291" s="228"/>
      <c r="D291" s="310"/>
      <c r="E291" s="311"/>
      <c r="F291" s="228"/>
      <c r="G291" s="228"/>
      <c r="H291" s="228"/>
      <c r="I291" s="228"/>
      <c r="J291" s="228"/>
      <c r="K291" s="660"/>
      <c r="L291" s="228"/>
      <c r="M291" s="228"/>
      <c r="N291" s="228"/>
    </row>
    <row r="292">
      <c r="A292" s="228"/>
      <c r="B292" s="228"/>
      <c r="C292" s="228"/>
      <c r="D292" s="310"/>
      <c r="E292" s="311"/>
      <c r="F292" s="228"/>
      <c r="G292" s="228"/>
      <c r="H292" s="228"/>
      <c r="I292" s="228"/>
      <c r="J292" s="228"/>
      <c r="K292" s="660"/>
      <c r="L292" s="228"/>
      <c r="M292" s="228"/>
      <c r="N292" s="228"/>
    </row>
    <row r="293">
      <c r="A293" s="228"/>
      <c r="B293" s="228"/>
      <c r="C293" s="228"/>
      <c r="D293" s="310"/>
      <c r="E293" s="311"/>
      <c r="F293" s="228"/>
      <c r="G293" s="228"/>
      <c r="H293" s="228"/>
      <c r="I293" s="228"/>
      <c r="J293" s="228"/>
      <c r="K293" s="660"/>
      <c r="L293" s="228"/>
      <c r="M293" s="228"/>
      <c r="N293" s="228"/>
    </row>
    <row r="294">
      <c r="A294" s="228"/>
      <c r="B294" s="228"/>
      <c r="C294" s="228"/>
      <c r="D294" s="310"/>
      <c r="E294" s="311"/>
      <c r="F294" s="228"/>
      <c r="G294" s="228"/>
      <c r="H294" s="228"/>
      <c r="I294" s="228"/>
      <c r="J294" s="228"/>
      <c r="K294" s="660"/>
      <c r="L294" s="228"/>
      <c r="M294" s="228"/>
      <c r="N294" s="228"/>
    </row>
    <row r="295">
      <c r="A295" s="228"/>
      <c r="B295" s="228"/>
      <c r="C295" s="228"/>
      <c r="D295" s="310"/>
      <c r="E295" s="311"/>
      <c r="F295" s="228"/>
      <c r="G295" s="228"/>
      <c r="H295" s="228"/>
      <c r="I295" s="228"/>
      <c r="J295" s="228"/>
      <c r="K295" s="660"/>
      <c r="L295" s="228"/>
      <c r="M295" s="228"/>
      <c r="N295" s="228"/>
    </row>
    <row r="296">
      <c r="A296" s="228"/>
      <c r="B296" s="228"/>
      <c r="C296" s="228"/>
      <c r="D296" s="310"/>
      <c r="E296" s="311"/>
      <c r="F296" s="228"/>
      <c r="G296" s="228"/>
      <c r="H296" s="228"/>
      <c r="I296" s="228"/>
      <c r="J296" s="228"/>
      <c r="K296" s="660"/>
      <c r="L296" s="228"/>
      <c r="M296" s="228"/>
      <c r="N296" s="228"/>
    </row>
    <row r="297">
      <c r="A297" s="228"/>
      <c r="B297" s="228"/>
      <c r="C297" s="228"/>
      <c r="D297" s="310"/>
      <c r="E297" s="311"/>
      <c r="F297" s="228"/>
      <c r="G297" s="228"/>
      <c r="H297" s="228"/>
      <c r="I297" s="228"/>
      <c r="J297" s="228"/>
      <c r="K297" s="660"/>
      <c r="L297" s="228"/>
      <c r="M297" s="228"/>
      <c r="N297" s="228"/>
    </row>
    <row r="298">
      <c r="A298" s="228"/>
      <c r="B298" s="228"/>
      <c r="C298" s="228"/>
      <c r="D298" s="310"/>
      <c r="E298" s="311"/>
      <c r="F298" s="228"/>
      <c r="G298" s="228"/>
      <c r="H298" s="228"/>
      <c r="I298" s="228"/>
      <c r="J298" s="228"/>
      <c r="K298" s="660"/>
      <c r="L298" s="228"/>
      <c r="M298" s="228"/>
      <c r="N298" s="228"/>
    </row>
    <row r="299">
      <c r="A299" s="228"/>
      <c r="B299" s="228"/>
      <c r="C299" s="228"/>
      <c r="D299" s="310"/>
      <c r="E299" s="311"/>
      <c r="F299" s="228"/>
      <c r="G299" s="228"/>
      <c r="H299" s="228"/>
      <c r="I299" s="228"/>
      <c r="J299" s="228"/>
      <c r="K299" s="660"/>
      <c r="L299" s="228"/>
      <c r="M299" s="228"/>
      <c r="N299" s="228"/>
    </row>
    <row r="300">
      <c r="A300" s="228"/>
      <c r="B300" s="228"/>
      <c r="C300" s="228"/>
      <c r="D300" s="310"/>
      <c r="E300" s="311"/>
      <c r="F300" s="228"/>
      <c r="G300" s="228"/>
      <c r="H300" s="228"/>
      <c r="I300" s="228"/>
      <c r="J300" s="228"/>
      <c r="K300" s="660"/>
      <c r="L300" s="228"/>
      <c r="M300" s="228"/>
      <c r="N300" s="228"/>
    </row>
    <row r="301">
      <c r="A301" s="228"/>
      <c r="B301" s="228"/>
      <c r="C301" s="228"/>
      <c r="D301" s="310"/>
      <c r="E301" s="311"/>
      <c r="F301" s="228"/>
      <c r="G301" s="228"/>
      <c r="H301" s="228"/>
      <c r="I301" s="228"/>
      <c r="J301" s="228"/>
      <c r="K301" s="660"/>
      <c r="L301" s="228"/>
      <c r="M301" s="228"/>
      <c r="N301" s="228"/>
    </row>
    <row r="302">
      <c r="A302" s="228"/>
      <c r="B302" s="228"/>
      <c r="C302" s="228"/>
      <c r="D302" s="310"/>
      <c r="E302" s="311"/>
      <c r="F302" s="228"/>
      <c r="G302" s="228"/>
      <c r="H302" s="228"/>
      <c r="I302" s="228"/>
      <c r="J302" s="228"/>
      <c r="K302" s="660"/>
      <c r="L302" s="228"/>
      <c r="M302" s="228"/>
      <c r="N302" s="228"/>
    </row>
    <row r="303">
      <c r="A303" s="228"/>
      <c r="B303" s="228"/>
      <c r="C303" s="228"/>
      <c r="D303" s="310"/>
      <c r="E303" s="311"/>
      <c r="F303" s="228"/>
      <c r="G303" s="228"/>
      <c r="H303" s="228"/>
      <c r="I303" s="228"/>
      <c r="J303" s="228"/>
      <c r="K303" s="660"/>
      <c r="L303" s="228"/>
      <c r="M303" s="228"/>
      <c r="N303" s="228"/>
    </row>
    <row r="304">
      <c r="A304" s="228"/>
      <c r="B304" s="228"/>
      <c r="C304" s="228"/>
      <c r="D304" s="310"/>
      <c r="E304" s="311"/>
      <c r="F304" s="228"/>
      <c r="G304" s="228"/>
      <c r="H304" s="228"/>
      <c r="I304" s="228"/>
      <c r="J304" s="228"/>
      <c r="K304" s="660"/>
      <c r="L304" s="228"/>
      <c r="M304" s="228"/>
      <c r="N304" s="228"/>
    </row>
    <row r="305">
      <c r="A305" s="228"/>
      <c r="B305" s="228"/>
      <c r="C305" s="228"/>
      <c r="D305" s="310"/>
      <c r="E305" s="311"/>
      <c r="F305" s="228"/>
      <c r="G305" s="228"/>
      <c r="H305" s="228"/>
      <c r="I305" s="228"/>
      <c r="J305" s="228"/>
      <c r="K305" s="660"/>
      <c r="L305" s="228"/>
      <c r="M305" s="228"/>
      <c r="N305" s="228"/>
    </row>
    <row r="306">
      <c r="A306" s="228"/>
      <c r="B306" s="228"/>
      <c r="C306" s="228"/>
      <c r="D306" s="310"/>
      <c r="E306" s="311"/>
      <c r="F306" s="228"/>
      <c r="G306" s="228"/>
      <c r="H306" s="228"/>
      <c r="I306" s="228"/>
      <c r="J306" s="228"/>
      <c r="K306" s="660"/>
      <c r="L306" s="228"/>
      <c r="M306" s="228"/>
      <c r="N306" s="228"/>
    </row>
    <row r="307">
      <c r="A307" s="228"/>
      <c r="B307" s="228"/>
      <c r="C307" s="228"/>
      <c r="D307" s="310"/>
      <c r="E307" s="311"/>
      <c r="F307" s="228"/>
      <c r="G307" s="228"/>
      <c r="H307" s="228"/>
      <c r="I307" s="228"/>
      <c r="J307" s="228"/>
      <c r="K307" s="660"/>
      <c r="L307" s="228"/>
      <c r="M307" s="228"/>
      <c r="N307" s="228"/>
    </row>
    <row r="308">
      <c r="A308" s="228"/>
      <c r="B308" s="228"/>
      <c r="C308" s="228"/>
      <c r="D308" s="310"/>
      <c r="E308" s="311"/>
      <c r="F308" s="228"/>
      <c r="G308" s="228"/>
      <c r="H308" s="228"/>
      <c r="I308" s="228"/>
      <c r="J308" s="228"/>
      <c r="K308" s="660"/>
      <c r="L308" s="228"/>
      <c r="M308" s="228"/>
      <c r="N308" s="228"/>
    </row>
    <row r="309">
      <c r="A309" s="228"/>
      <c r="B309" s="228"/>
      <c r="C309" s="228"/>
      <c r="D309" s="310"/>
      <c r="E309" s="311"/>
      <c r="F309" s="228"/>
      <c r="G309" s="228"/>
      <c r="H309" s="228"/>
      <c r="I309" s="228"/>
      <c r="J309" s="228"/>
      <c r="K309" s="660"/>
      <c r="L309" s="228"/>
      <c r="M309" s="228"/>
      <c r="N309" s="228"/>
    </row>
    <row r="310">
      <c r="A310" s="228"/>
      <c r="B310" s="228"/>
      <c r="C310" s="228"/>
      <c r="D310" s="310"/>
      <c r="E310" s="311"/>
      <c r="F310" s="228"/>
      <c r="G310" s="228"/>
      <c r="H310" s="228"/>
      <c r="I310" s="228"/>
      <c r="J310" s="228"/>
      <c r="K310" s="660"/>
      <c r="L310" s="228"/>
      <c r="M310" s="228"/>
      <c r="N310" s="228"/>
    </row>
    <row r="311">
      <c r="A311" s="228"/>
      <c r="B311" s="228"/>
      <c r="C311" s="228"/>
      <c r="D311" s="310"/>
      <c r="E311" s="311"/>
      <c r="F311" s="228"/>
      <c r="G311" s="228"/>
      <c r="H311" s="228"/>
      <c r="I311" s="228"/>
      <c r="J311" s="228"/>
      <c r="K311" s="660"/>
      <c r="L311" s="228"/>
      <c r="M311" s="228"/>
      <c r="N311" s="228"/>
    </row>
    <row r="312">
      <c r="A312" s="228"/>
      <c r="B312" s="228"/>
      <c r="C312" s="228"/>
      <c r="D312" s="310"/>
      <c r="E312" s="311"/>
      <c r="F312" s="228"/>
      <c r="G312" s="228"/>
      <c r="H312" s="228"/>
      <c r="I312" s="228"/>
      <c r="J312" s="228"/>
      <c r="K312" s="660"/>
      <c r="L312" s="228"/>
      <c r="M312" s="228"/>
      <c r="N312" s="228"/>
    </row>
    <row r="313">
      <c r="A313" s="228"/>
      <c r="B313" s="228"/>
      <c r="C313" s="228"/>
      <c r="D313" s="310"/>
      <c r="E313" s="311"/>
      <c r="F313" s="228"/>
      <c r="G313" s="228"/>
      <c r="H313" s="228"/>
      <c r="I313" s="228"/>
      <c r="J313" s="228"/>
      <c r="K313" s="660"/>
      <c r="L313" s="228"/>
      <c r="M313" s="228"/>
      <c r="N313" s="228"/>
    </row>
    <row r="314">
      <c r="A314" s="228"/>
      <c r="B314" s="228"/>
      <c r="C314" s="228"/>
      <c r="D314" s="310"/>
      <c r="E314" s="311"/>
      <c r="F314" s="228"/>
      <c r="G314" s="228"/>
      <c r="H314" s="228"/>
      <c r="I314" s="228"/>
      <c r="J314" s="228"/>
      <c r="K314" s="660"/>
      <c r="L314" s="228"/>
      <c r="M314" s="228"/>
      <c r="N314" s="228"/>
    </row>
    <row r="315">
      <c r="A315" s="228"/>
      <c r="B315" s="228"/>
      <c r="C315" s="228"/>
      <c r="D315" s="310"/>
      <c r="E315" s="311"/>
      <c r="F315" s="228"/>
      <c r="G315" s="228"/>
      <c r="H315" s="228"/>
      <c r="I315" s="228"/>
      <c r="J315" s="228"/>
      <c r="K315" s="660"/>
      <c r="L315" s="228"/>
      <c r="M315" s="228"/>
      <c r="N315" s="228"/>
    </row>
    <row r="316">
      <c r="A316" s="228"/>
      <c r="B316" s="228"/>
      <c r="C316" s="228"/>
      <c r="D316" s="310"/>
      <c r="E316" s="311"/>
      <c r="F316" s="228"/>
      <c r="G316" s="228"/>
      <c r="H316" s="228"/>
      <c r="I316" s="228"/>
      <c r="J316" s="228"/>
      <c r="K316" s="660"/>
      <c r="L316" s="228"/>
      <c r="M316" s="228"/>
      <c r="N316" s="228"/>
    </row>
    <row r="317">
      <c r="A317" s="228"/>
      <c r="B317" s="228"/>
      <c r="C317" s="228"/>
      <c r="D317" s="310"/>
      <c r="E317" s="311"/>
      <c r="F317" s="228"/>
      <c r="G317" s="228"/>
      <c r="H317" s="228"/>
      <c r="I317" s="228"/>
      <c r="J317" s="228"/>
      <c r="K317" s="660"/>
      <c r="L317" s="228"/>
      <c r="M317" s="228"/>
      <c r="N317" s="228"/>
    </row>
    <row r="318">
      <c r="A318" s="228"/>
      <c r="B318" s="228"/>
      <c r="C318" s="228"/>
      <c r="D318" s="310"/>
      <c r="E318" s="311"/>
      <c r="F318" s="228"/>
      <c r="G318" s="228"/>
      <c r="H318" s="228"/>
      <c r="I318" s="228"/>
      <c r="J318" s="228"/>
      <c r="K318" s="660"/>
      <c r="L318" s="228"/>
      <c r="M318" s="228"/>
      <c r="N318" s="228"/>
    </row>
    <row r="319">
      <c r="A319" s="228"/>
      <c r="B319" s="228"/>
      <c r="C319" s="228"/>
      <c r="D319" s="310"/>
      <c r="E319" s="311"/>
      <c r="F319" s="228"/>
      <c r="G319" s="228"/>
      <c r="H319" s="228"/>
      <c r="I319" s="228"/>
      <c r="J319" s="228"/>
      <c r="K319" s="660"/>
      <c r="L319" s="228"/>
      <c r="M319" s="228"/>
      <c r="N319" s="228"/>
    </row>
    <row r="320">
      <c r="A320" s="228"/>
      <c r="B320" s="228"/>
      <c r="C320" s="228"/>
      <c r="D320" s="310"/>
      <c r="E320" s="311"/>
      <c r="F320" s="228"/>
      <c r="G320" s="228"/>
      <c r="H320" s="228"/>
      <c r="I320" s="228"/>
      <c r="J320" s="228"/>
      <c r="K320" s="660"/>
      <c r="L320" s="228"/>
      <c r="M320" s="228"/>
      <c r="N320" s="228"/>
    </row>
    <row r="321">
      <c r="A321" s="228"/>
      <c r="B321" s="228"/>
      <c r="C321" s="228"/>
      <c r="D321" s="310"/>
      <c r="E321" s="311"/>
      <c r="F321" s="228"/>
      <c r="G321" s="228"/>
      <c r="H321" s="228"/>
      <c r="I321" s="228"/>
      <c r="J321" s="228"/>
      <c r="K321" s="660"/>
      <c r="L321" s="228"/>
      <c r="M321" s="228"/>
      <c r="N321" s="228"/>
    </row>
    <row r="322">
      <c r="A322" s="228"/>
      <c r="B322" s="228"/>
      <c r="C322" s="228"/>
      <c r="D322" s="310"/>
      <c r="E322" s="311"/>
      <c r="F322" s="228"/>
      <c r="G322" s="228"/>
      <c r="H322" s="228"/>
      <c r="I322" s="228"/>
      <c r="J322" s="228"/>
      <c r="K322" s="660"/>
      <c r="L322" s="228"/>
      <c r="M322" s="228"/>
      <c r="N322" s="228"/>
    </row>
    <row r="323">
      <c r="A323" s="228"/>
      <c r="B323" s="228"/>
      <c r="C323" s="228"/>
      <c r="D323" s="310"/>
      <c r="E323" s="311"/>
      <c r="F323" s="228"/>
      <c r="G323" s="228"/>
      <c r="H323" s="228"/>
      <c r="I323" s="228"/>
      <c r="J323" s="228"/>
      <c r="K323" s="660"/>
      <c r="L323" s="228"/>
      <c r="M323" s="228"/>
      <c r="N323" s="228"/>
    </row>
    <row r="324">
      <c r="A324" s="228"/>
      <c r="B324" s="228"/>
      <c r="C324" s="228"/>
      <c r="D324" s="310"/>
      <c r="E324" s="311"/>
      <c r="F324" s="228"/>
      <c r="G324" s="228"/>
      <c r="H324" s="228"/>
      <c r="I324" s="228"/>
      <c r="J324" s="228"/>
      <c r="K324" s="660"/>
      <c r="L324" s="228"/>
      <c r="M324" s="228"/>
      <c r="N324" s="228"/>
    </row>
    <row r="325">
      <c r="A325" s="228"/>
      <c r="B325" s="228"/>
      <c r="C325" s="228"/>
      <c r="D325" s="310"/>
      <c r="E325" s="311"/>
      <c r="F325" s="228"/>
      <c r="G325" s="228"/>
      <c r="H325" s="228"/>
      <c r="I325" s="228"/>
      <c r="J325" s="228"/>
      <c r="K325" s="660"/>
      <c r="L325" s="228"/>
      <c r="M325" s="228"/>
      <c r="N325" s="228"/>
    </row>
    <row r="326">
      <c r="A326" s="228"/>
      <c r="B326" s="228"/>
      <c r="C326" s="228"/>
      <c r="D326" s="310"/>
      <c r="E326" s="311"/>
      <c r="F326" s="228"/>
      <c r="G326" s="228"/>
      <c r="H326" s="228"/>
      <c r="I326" s="228"/>
      <c r="J326" s="228"/>
      <c r="K326" s="660"/>
      <c r="L326" s="228"/>
      <c r="M326" s="228"/>
      <c r="N326" s="228"/>
    </row>
    <row r="327">
      <c r="A327" s="228"/>
      <c r="B327" s="228"/>
      <c r="C327" s="228"/>
      <c r="D327" s="310"/>
      <c r="E327" s="311"/>
      <c r="F327" s="228"/>
      <c r="G327" s="228"/>
      <c r="H327" s="228"/>
      <c r="I327" s="228"/>
      <c r="J327" s="228"/>
      <c r="K327" s="660"/>
      <c r="L327" s="228"/>
      <c r="M327" s="228"/>
      <c r="N327" s="228"/>
    </row>
    <row r="328">
      <c r="A328" s="228"/>
      <c r="B328" s="228"/>
      <c r="C328" s="228"/>
      <c r="D328" s="310"/>
      <c r="E328" s="311"/>
      <c r="F328" s="228"/>
      <c r="G328" s="228"/>
      <c r="H328" s="228"/>
      <c r="I328" s="228"/>
      <c r="J328" s="228"/>
      <c r="K328" s="660"/>
      <c r="L328" s="228"/>
      <c r="M328" s="228"/>
      <c r="N328" s="228"/>
    </row>
    <row r="329">
      <c r="A329" s="228"/>
      <c r="B329" s="228"/>
      <c r="C329" s="228"/>
      <c r="D329" s="310"/>
      <c r="E329" s="311"/>
      <c r="F329" s="228"/>
      <c r="G329" s="228"/>
      <c r="H329" s="228"/>
      <c r="I329" s="228"/>
      <c r="J329" s="228"/>
      <c r="K329" s="660"/>
      <c r="L329" s="228"/>
      <c r="M329" s="228"/>
      <c r="N329" s="228"/>
    </row>
    <row r="330">
      <c r="A330" s="228"/>
      <c r="B330" s="228"/>
      <c r="C330" s="228"/>
      <c r="D330" s="310"/>
      <c r="E330" s="311"/>
      <c r="F330" s="228"/>
      <c r="G330" s="228"/>
      <c r="H330" s="228"/>
      <c r="I330" s="228"/>
      <c r="J330" s="228"/>
      <c r="K330" s="660"/>
      <c r="L330" s="228"/>
      <c r="M330" s="228"/>
      <c r="N330" s="228"/>
    </row>
    <row r="331">
      <c r="A331" s="228"/>
      <c r="B331" s="228"/>
      <c r="C331" s="228"/>
      <c r="D331" s="310"/>
      <c r="E331" s="311"/>
      <c r="F331" s="228"/>
      <c r="G331" s="228"/>
      <c r="H331" s="228"/>
      <c r="I331" s="228"/>
      <c r="J331" s="228"/>
      <c r="K331" s="660"/>
      <c r="L331" s="228"/>
      <c r="M331" s="228"/>
      <c r="N331" s="228"/>
    </row>
    <row r="332">
      <c r="A332" s="228"/>
      <c r="B332" s="228"/>
      <c r="C332" s="228"/>
      <c r="D332" s="310"/>
      <c r="E332" s="311"/>
      <c r="F332" s="228"/>
      <c r="G332" s="228"/>
      <c r="H332" s="228"/>
      <c r="I332" s="228"/>
      <c r="J332" s="228"/>
      <c r="K332" s="660"/>
      <c r="L332" s="228"/>
      <c r="M332" s="228"/>
      <c r="N332" s="228"/>
    </row>
    <row r="333">
      <c r="A333" s="228"/>
      <c r="B333" s="228"/>
      <c r="C333" s="228"/>
      <c r="D333" s="310"/>
      <c r="E333" s="311"/>
      <c r="F333" s="228"/>
      <c r="G333" s="228"/>
      <c r="H333" s="228"/>
      <c r="I333" s="228"/>
      <c r="J333" s="228"/>
      <c r="K333" s="660"/>
      <c r="L333" s="228"/>
      <c r="M333" s="228"/>
      <c r="N333" s="228"/>
    </row>
    <row r="334">
      <c r="A334" s="228"/>
      <c r="B334" s="228"/>
      <c r="C334" s="228"/>
      <c r="D334" s="310"/>
      <c r="E334" s="311"/>
      <c r="F334" s="228"/>
      <c r="G334" s="228"/>
      <c r="H334" s="228"/>
      <c r="I334" s="228"/>
      <c r="J334" s="228"/>
      <c r="K334" s="660"/>
      <c r="L334" s="228"/>
      <c r="M334" s="228"/>
      <c r="N334" s="228"/>
    </row>
    <row r="335">
      <c r="A335" s="228"/>
      <c r="B335" s="228"/>
      <c r="C335" s="228"/>
      <c r="D335" s="310"/>
      <c r="E335" s="311"/>
      <c r="F335" s="228"/>
      <c r="G335" s="228"/>
      <c r="H335" s="228"/>
      <c r="I335" s="228"/>
      <c r="J335" s="228"/>
      <c r="K335" s="660"/>
      <c r="L335" s="228"/>
      <c r="M335" s="228"/>
      <c r="N335" s="228"/>
    </row>
    <row r="336">
      <c r="A336" s="228"/>
      <c r="B336" s="228"/>
      <c r="C336" s="228"/>
      <c r="D336" s="310"/>
      <c r="E336" s="311"/>
      <c r="F336" s="228"/>
      <c r="G336" s="228"/>
      <c r="H336" s="228"/>
      <c r="I336" s="228"/>
      <c r="J336" s="228"/>
      <c r="K336" s="660"/>
      <c r="L336" s="228"/>
      <c r="M336" s="228"/>
      <c r="N336" s="228"/>
    </row>
    <row r="337">
      <c r="A337" s="228"/>
      <c r="B337" s="228"/>
      <c r="C337" s="228"/>
      <c r="D337" s="310"/>
      <c r="E337" s="311"/>
      <c r="F337" s="228"/>
      <c r="G337" s="228"/>
      <c r="H337" s="228"/>
      <c r="I337" s="228"/>
      <c r="J337" s="228"/>
      <c r="K337" s="660"/>
      <c r="L337" s="228"/>
      <c r="M337" s="228"/>
      <c r="N337" s="228"/>
    </row>
    <row r="338">
      <c r="A338" s="228"/>
      <c r="B338" s="228"/>
      <c r="C338" s="228"/>
      <c r="D338" s="310"/>
      <c r="E338" s="311"/>
      <c r="F338" s="228"/>
      <c r="G338" s="228"/>
      <c r="H338" s="228"/>
      <c r="I338" s="228"/>
      <c r="J338" s="228"/>
      <c r="K338" s="660"/>
      <c r="L338" s="228"/>
      <c r="M338" s="228"/>
      <c r="N338" s="228"/>
    </row>
    <row r="339">
      <c r="A339" s="228"/>
      <c r="B339" s="228"/>
      <c r="C339" s="228"/>
      <c r="D339" s="310"/>
      <c r="E339" s="311"/>
      <c r="F339" s="228"/>
      <c r="G339" s="228"/>
      <c r="H339" s="228"/>
      <c r="I339" s="228"/>
      <c r="J339" s="228"/>
      <c r="K339" s="660"/>
      <c r="L339" s="228"/>
      <c r="M339" s="228"/>
      <c r="N339" s="228"/>
    </row>
    <row r="340">
      <c r="A340" s="228"/>
      <c r="B340" s="228"/>
      <c r="C340" s="228"/>
      <c r="D340" s="310"/>
      <c r="E340" s="311"/>
      <c r="F340" s="228"/>
      <c r="G340" s="228"/>
      <c r="H340" s="228"/>
      <c r="I340" s="228"/>
      <c r="J340" s="228"/>
      <c r="K340" s="660"/>
      <c r="L340" s="228"/>
      <c r="M340" s="228"/>
      <c r="N340" s="228"/>
    </row>
    <row r="341">
      <c r="A341" s="228"/>
      <c r="B341" s="228"/>
      <c r="C341" s="228"/>
      <c r="D341" s="310"/>
      <c r="E341" s="311"/>
      <c r="F341" s="228"/>
      <c r="G341" s="228"/>
      <c r="H341" s="228"/>
      <c r="I341" s="228"/>
      <c r="J341" s="228"/>
      <c r="K341" s="660"/>
      <c r="L341" s="228"/>
      <c r="M341" s="228"/>
      <c r="N341" s="228"/>
    </row>
    <row r="342">
      <c r="A342" s="228"/>
      <c r="B342" s="228"/>
      <c r="C342" s="228"/>
      <c r="D342" s="310"/>
      <c r="E342" s="311"/>
      <c r="F342" s="228"/>
      <c r="G342" s="228"/>
      <c r="H342" s="228"/>
      <c r="I342" s="228"/>
      <c r="J342" s="228"/>
      <c r="K342" s="660"/>
      <c r="L342" s="228"/>
      <c r="M342" s="228"/>
      <c r="N342" s="228"/>
    </row>
    <row r="343">
      <c r="A343" s="228"/>
      <c r="B343" s="228"/>
      <c r="C343" s="228"/>
      <c r="D343" s="310"/>
      <c r="E343" s="311"/>
      <c r="F343" s="228"/>
      <c r="G343" s="228"/>
      <c r="H343" s="228"/>
      <c r="I343" s="228"/>
      <c r="J343" s="228"/>
      <c r="K343" s="660"/>
      <c r="L343" s="228"/>
      <c r="M343" s="228"/>
      <c r="N343" s="228"/>
    </row>
    <row r="344">
      <c r="A344" s="228"/>
      <c r="B344" s="228"/>
      <c r="C344" s="228"/>
      <c r="D344" s="310"/>
      <c r="E344" s="311"/>
      <c r="F344" s="228"/>
      <c r="G344" s="228"/>
      <c r="H344" s="228"/>
      <c r="I344" s="228"/>
      <c r="J344" s="228"/>
      <c r="K344" s="660"/>
      <c r="L344" s="228"/>
      <c r="M344" s="228"/>
      <c r="N344" s="228"/>
    </row>
    <row r="345">
      <c r="A345" s="228"/>
      <c r="B345" s="228"/>
      <c r="C345" s="228"/>
      <c r="D345" s="310"/>
      <c r="E345" s="311"/>
      <c r="F345" s="228"/>
      <c r="G345" s="228"/>
      <c r="H345" s="228"/>
      <c r="I345" s="228"/>
      <c r="J345" s="228"/>
      <c r="K345" s="660"/>
      <c r="L345" s="228"/>
      <c r="M345" s="228"/>
      <c r="N345" s="228"/>
    </row>
    <row r="346">
      <c r="A346" s="228"/>
      <c r="B346" s="228"/>
      <c r="C346" s="228"/>
      <c r="D346" s="310"/>
      <c r="E346" s="311"/>
      <c r="F346" s="228"/>
      <c r="G346" s="228"/>
      <c r="H346" s="228"/>
      <c r="I346" s="228"/>
      <c r="J346" s="228"/>
      <c r="K346" s="660"/>
      <c r="L346" s="228"/>
      <c r="M346" s="228"/>
      <c r="N346" s="228"/>
    </row>
    <row r="347">
      <c r="A347" s="228"/>
      <c r="B347" s="228"/>
      <c r="C347" s="228"/>
      <c r="D347" s="310"/>
      <c r="E347" s="311"/>
      <c r="F347" s="228"/>
      <c r="G347" s="228"/>
      <c r="H347" s="228"/>
      <c r="I347" s="228"/>
      <c r="J347" s="228"/>
      <c r="K347" s="660"/>
      <c r="L347" s="228"/>
      <c r="M347" s="228"/>
      <c r="N347" s="228"/>
    </row>
    <row r="348">
      <c r="A348" s="228"/>
      <c r="B348" s="228"/>
      <c r="C348" s="228"/>
      <c r="D348" s="310"/>
      <c r="E348" s="311"/>
      <c r="F348" s="228"/>
      <c r="G348" s="228"/>
      <c r="H348" s="228"/>
      <c r="I348" s="228"/>
      <c r="J348" s="228"/>
      <c r="K348" s="660"/>
      <c r="L348" s="228"/>
      <c r="M348" s="228"/>
      <c r="N348" s="228"/>
    </row>
    <row r="349">
      <c r="A349" s="228"/>
      <c r="B349" s="228"/>
      <c r="C349" s="228"/>
      <c r="D349" s="310"/>
      <c r="E349" s="311"/>
      <c r="F349" s="228"/>
      <c r="G349" s="228"/>
      <c r="H349" s="228"/>
      <c r="I349" s="228"/>
      <c r="J349" s="228"/>
      <c r="K349" s="660"/>
      <c r="L349" s="228"/>
      <c r="M349" s="228"/>
      <c r="N349" s="228"/>
    </row>
    <row r="350">
      <c r="A350" s="228"/>
      <c r="B350" s="228"/>
      <c r="C350" s="228"/>
      <c r="D350" s="310"/>
      <c r="E350" s="311"/>
      <c r="F350" s="228"/>
      <c r="G350" s="228"/>
      <c r="H350" s="228"/>
      <c r="I350" s="228"/>
      <c r="J350" s="228"/>
      <c r="K350" s="660"/>
      <c r="L350" s="228"/>
      <c r="M350" s="228"/>
      <c r="N350" s="228"/>
    </row>
    <row r="351">
      <c r="A351" s="228"/>
      <c r="B351" s="228"/>
      <c r="C351" s="228"/>
      <c r="D351" s="310"/>
      <c r="E351" s="311"/>
      <c r="F351" s="228"/>
      <c r="G351" s="228"/>
      <c r="H351" s="228"/>
      <c r="I351" s="228"/>
      <c r="J351" s="228"/>
      <c r="K351" s="660"/>
      <c r="L351" s="228"/>
      <c r="M351" s="228"/>
      <c r="N351" s="228"/>
    </row>
    <row r="352">
      <c r="A352" s="228"/>
      <c r="B352" s="228"/>
      <c r="C352" s="228"/>
      <c r="D352" s="310"/>
      <c r="E352" s="311"/>
      <c r="F352" s="228"/>
      <c r="G352" s="228"/>
      <c r="H352" s="228"/>
      <c r="I352" s="228"/>
      <c r="J352" s="228"/>
      <c r="K352" s="660"/>
      <c r="L352" s="228"/>
      <c r="M352" s="228"/>
      <c r="N352" s="228"/>
    </row>
    <row r="353">
      <c r="A353" s="228"/>
      <c r="B353" s="228"/>
      <c r="C353" s="228"/>
      <c r="D353" s="310"/>
      <c r="E353" s="311"/>
      <c r="F353" s="228"/>
      <c r="G353" s="228"/>
      <c r="H353" s="228"/>
      <c r="I353" s="228"/>
      <c r="J353" s="228"/>
      <c r="K353" s="660"/>
      <c r="L353" s="228"/>
      <c r="M353" s="228"/>
      <c r="N353" s="228"/>
    </row>
    <row r="354">
      <c r="A354" s="228"/>
      <c r="B354" s="228"/>
      <c r="C354" s="228"/>
      <c r="D354" s="310"/>
      <c r="E354" s="311"/>
      <c r="F354" s="228"/>
      <c r="G354" s="228"/>
      <c r="H354" s="228"/>
      <c r="I354" s="228"/>
      <c r="J354" s="228"/>
      <c r="K354" s="660"/>
      <c r="L354" s="228"/>
      <c r="M354" s="228"/>
      <c r="N354" s="228"/>
    </row>
    <row r="355">
      <c r="A355" s="228"/>
      <c r="B355" s="228"/>
      <c r="C355" s="228"/>
      <c r="D355" s="310"/>
      <c r="E355" s="311"/>
      <c r="F355" s="228"/>
      <c r="G355" s="228"/>
      <c r="H355" s="228"/>
      <c r="I355" s="228"/>
      <c r="J355" s="228"/>
      <c r="K355" s="660"/>
      <c r="L355" s="228"/>
      <c r="M355" s="228"/>
      <c r="N355" s="228"/>
    </row>
    <row r="356">
      <c r="A356" s="228"/>
      <c r="B356" s="228"/>
      <c r="C356" s="228"/>
      <c r="D356" s="310"/>
      <c r="E356" s="311"/>
      <c r="F356" s="228"/>
      <c r="G356" s="228"/>
      <c r="H356" s="228"/>
      <c r="I356" s="228"/>
      <c r="J356" s="228"/>
      <c r="K356" s="660"/>
      <c r="L356" s="228"/>
      <c r="M356" s="228"/>
      <c r="N356" s="228"/>
    </row>
    <row r="357">
      <c r="A357" s="228"/>
      <c r="B357" s="228"/>
      <c r="C357" s="228"/>
      <c r="D357" s="310"/>
      <c r="E357" s="311"/>
      <c r="F357" s="228"/>
      <c r="G357" s="228"/>
      <c r="H357" s="228"/>
      <c r="I357" s="228"/>
      <c r="J357" s="228"/>
      <c r="K357" s="660"/>
      <c r="L357" s="228"/>
      <c r="M357" s="228"/>
      <c r="N357" s="228"/>
    </row>
    <row r="358">
      <c r="A358" s="228"/>
      <c r="B358" s="228"/>
      <c r="C358" s="228"/>
      <c r="D358" s="310"/>
      <c r="E358" s="311"/>
      <c r="F358" s="228"/>
      <c r="G358" s="228"/>
      <c r="H358" s="228"/>
      <c r="I358" s="228"/>
      <c r="J358" s="228"/>
      <c r="K358" s="660"/>
      <c r="L358" s="228"/>
      <c r="M358" s="228"/>
      <c r="N358" s="228"/>
    </row>
    <row r="359">
      <c r="A359" s="228"/>
      <c r="B359" s="228"/>
      <c r="C359" s="228"/>
      <c r="D359" s="310"/>
      <c r="E359" s="311"/>
      <c r="F359" s="228"/>
      <c r="G359" s="228"/>
      <c r="H359" s="228"/>
      <c r="I359" s="228"/>
      <c r="J359" s="228"/>
      <c r="K359" s="660"/>
      <c r="L359" s="228"/>
      <c r="M359" s="228"/>
      <c r="N359" s="228"/>
    </row>
    <row r="360">
      <c r="A360" s="228"/>
      <c r="B360" s="228"/>
      <c r="C360" s="228"/>
      <c r="D360" s="310"/>
      <c r="E360" s="311"/>
      <c r="F360" s="228"/>
      <c r="G360" s="228"/>
      <c r="H360" s="228"/>
      <c r="I360" s="228"/>
      <c r="J360" s="228"/>
      <c r="K360" s="660"/>
      <c r="L360" s="228"/>
      <c r="M360" s="228"/>
      <c r="N360" s="228"/>
    </row>
    <row r="361">
      <c r="A361" s="228"/>
      <c r="B361" s="228"/>
      <c r="C361" s="228"/>
      <c r="D361" s="310"/>
      <c r="E361" s="311"/>
      <c r="F361" s="228"/>
      <c r="G361" s="228"/>
      <c r="H361" s="228"/>
      <c r="I361" s="228"/>
      <c r="J361" s="228"/>
      <c r="K361" s="660"/>
      <c r="L361" s="228"/>
      <c r="M361" s="228"/>
      <c r="N361" s="228"/>
    </row>
    <row r="362">
      <c r="A362" s="228"/>
      <c r="B362" s="228"/>
      <c r="C362" s="228"/>
      <c r="D362" s="310"/>
      <c r="E362" s="311"/>
      <c r="F362" s="228"/>
      <c r="G362" s="228"/>
      <c r="H362" s="228"/>
      <c r="I362" s="228"/>
      <c r="J362" s="228"/>
      <c r="K362" s="660"/>
      <c r="L362" s="228"/>
      <c r="M362" s="228"/>
      <c r="N362" s="228"/>
    </row>
    <row r="363">
      <c r="A363" s="228"/>
      <c r="B363" s="228"/>
      <c r="C363" s="228"/>
      <c r="D363" s="310"/>
      <c r="E363" s="311"/>
      <c r="F363" s="228"/>
      <c r="G363" s="228"/>
      <c r="H363" s="228"/>
      <c r="I363" s="228"/>
      <c r="J363" s="228"/>
      <c r="K363" s="660"/>
      <c r="L363" s="228"/>
      <c r="M363" s="228"/>
      <c r="N363" s="228"/>
    </row>
    <row r="364">
      <c r="A364" s="228"/>
      <c r="B364" s="228"/>
      <c r="C364" s="228"/>
      <c r="D364" s="310"/>
      <c r="E364" s="311"/>
      <c r="F364" s="228"/>
      <c r="G364" s="228"/>
      <c r="H364" s="228"/>
      <c r="I364" s="228"/>
      <c r="J364" s="228"/>
      <c r="K364" s="660"/>
      <c r="L364" s="228"/>
      <c r="M364" s="228"/>
      <c r="N364" s="228"/>
    </row>
    <row r="365">
      <c r="A365" s="228"/>
      <c r="B365" s="228"/>
      <c r="C365" s="228"/>
      <c r="D365" s="310"/>
      <c r="E365" s="311"/>
      <c r="F365" s="228"/>
      <c r="G365" s="228"/>
      <c r="H365" s="228"/>
      <c r="I365" s="228"/>
      <c r="J365" s="228"/>
      <c r="K365" s="660"/>
      <c r="L365" s="228"/>
      <c r="M365" s="228"/>
      <c r="N365" s="228"/>
    </row>
    <row r="366">
      <c r="A366" s="228"/>
      <c r="B366" s="228"/>
      <c r="C366" s="228"/>
      <c r="D366" s="310"/>
      <c r="E366" s="311"/>
      <c r="F366" s="228"/>
      <c r="G366" s="228"/>
      <c r="H366" s="228"/>
      <c r="I366" s="228"/>
      <c r="J366" s="228"/>
      <c r="K366" s="660"/>
      <c r="L366" s="228"/>
      <c r="M366" s="228"/>
      <c r="N366" s="228"/>
    </row>
    <row r="367">
      <c r="A367" s="228"/>
      <c r="B367" s="228"/>
      <c r="C367" s="228"/>
      <c r="D367" s="310"/>
      <c r="E367" s="311"/>
      <c r="F367" s="228"/>
      <c r="G367" s="228"/>
      <c r="H367" s="228"/>
      <c r="I367" s="228"/>
      <c r="J367" s="228"/>
      <c r="K367" s="660"/>
      <c r="L367" s="228"/>
      <c r="M367" s="228"/>
      <c r="N367" s="228"/>
    </row>
    <row r="368">
      <c r="A368" s="228"/>
      <c r="B368" s="228"/>
      <c r="C368" s="228"/>
      <c r="D368" s="310"/>
      <c r="E368" s="311"/>
      <c r="F368" s="228"/>
      <c r="G368" s="228"/>
      <c r="H368" s="228"/>
      <c r="I368" s="228"/>
      <c r="J368" s="228"/>
      <c r="K368" s="660"/>
      <c r="L368" s="228"/>
      <c r="M368" s="228"/>
      <c r="N368" s="228"/>
    </row>
    <row r="369">
      <c r="A369" s="228"/>
      <c r="B369" s="228"/>
      <c r="C369" s="228"/>
      <c r="D369" s="310"/>
      <c r="E369" s="311"/>
      <c r="F369" s="228"/>
      <c r="G369" s="228"/>
      <c r="H369" s="228"/>
      <c r="I369" s="228"/>
      <c r="J369" s="228"/>
      <c r="K369" s="660"/>
      <c r="L369" s="228"/>
      <c r="M369" s="228"/>
      <c r="N369" s="228"/>
    </row>
    <row r="370">
      <c r="A370" s="228"/>
      <c r="B370" s="228"/>
      <c r="C370" s="228"/>
      <c r="D370" s="310"/>
      <c r="E370" s="311"/>
      <c r="F370" s="228"/>
      <c r="G370" s="228"/>
      <c r="H370" s="228"/>
      <c r="I370" s="228"/>
      <c r="J370" s="228"/>
      <c r="K370" s="660"/>
      <c r="L370" s="228"/>
      <c r="M370" s="228"/>
      <c r="N370" s="228"/>
    </row>
    <row r="371">
      <c r="A371" s="228"/>
      <c r="B371" s="228"/>
      <c r="C371" s="228"/>
      <c r="D371" s="310"/>
      <c r="E371" s="311"/>
      <c r="F371" s="228"/>
      <c r="G371" s="228"/>
      <c r="H371" s="228"/>
      <c r="I371" s="228"/>
      <c r="J371" s="228"/>
      <c r="K371" s="660"/>
      <c r="L371" s="228"/>
      <c r="M371" s="228"/>
      <c r="N371" s="228"/>
    </row>
    <row r="372">
      <c r="A372" s="228"/>
      <c r="B372" s="228"/>
      <c r="C372" s="228"/>
      <c r="D372" s="310"/>
      <c r="E372" s="311"/>
      <c r="F372" s="228"/>
      <c r="G372" s="228"/>
      <c r="H372" s="228"/>
      <c r="I372" s="228"/>
      <c r="J372" s="228"/>
      <c r="K372" s="660"/>
      <c r="L372" s="228"/>
      <c r="M372" s="228"/>
      <c r="N372" s="228"/>
    </row>
    <row r="373">
      <c r="A373" s="228"/>
      <c r="B373" s="228"/>
      <c r="C373" s="228"/>
      <c r="D373" s="310"/>
      <c r="E373" s="311"/>
      <c r="F373" s="228"/>
      <c r="G373" s="228"/>
      <c r="H373" s="228"/>
      <c r="I373" s="228"/>
      <c r="J373" s="228"/>
      <c r="K373" s="660"/>
      <c r="L373" s="228"/>
      <c r="M373" s="228"/>
      <c r="N373" s="228"/>
    </row>
    <row r="374">
      <c r="A374" s="228"/>
      <c r="B374" s="228"/>
      <c r="C374" s="228"/>
      <c r="D374" s="310"/>
      <c r="E374" s="311"/>
      <c r="F374" s="228"/>
      <c r="G374" s="228"/>
      <c r="H374" s="228"/>
      <c r="I374" s="228"/>
      <c r="J374" s="228"/>
      <c r="K374" s="660"/>
      <c r="L374" s="228"/>
      <c r="M374" s="228"/>
      <c r="N374" s="228"/>
    </row>
    <row r="375">
      <c r="A375" s="228"/>
      <c r="B375" s="228"/>
      <c r="C375" s="228"/>
      <c r="D375" s="310"/>
      <c r="E375" s="311"/>
      <c r="F375" s="228"/>
      <c r="G375" s="228"/>
      <c r="H375" s="228"/>
      <c r="I375" s="228"/>
      <c r="J375" s="228"/>
      <c r="K375" s="660"/>
      <c r="L375" s="228"/>
      <c r="M375" s="228"/>
      <c r="N375" s="228"/>
    </row>
    <row r="376">
      <c r="A376" s="228"/>
      <c r="B376" s="228"/>
      <c r="C376" s="228"/>
      <c r="D376" s="310"/>
      <c r="E376" s="311"/>
      <c r="F376" s="228"/>
      <c r="G376" s="228"/>
      <c r="H376" s="228"/>
      <c r="I376" s="228"/>
      <c r="J376" s="228"/>
      <c r="K376" s="660"/>
      <c r="L376" s="228"/>
      <c r="M376" s="228"/>
      <c r="N376" s="228"/>
    </row>
    <row r="377">
      <c r="A377" s="228"/>
      <c r="B377" s="228"/>
      <c r="C377" s="228"/>
      <c r="D377" s="310"/>
      <c r="E377" s="311"/>
      <c r="F377" s="228"/>
      <c r="G377" s="228"/>
      <c r="H377" s="228"/>
      <c r="I377" s="228"/>
      <c r="J377" s="228"/>
      <c r="K377" s="660"/>
      <c r="L377" s="228"/>
      <c r="M377" s="228"/>
      <c r="N377" s="228"/>
    </row>
    <row r="378">
      <c r="A378" s="228"/>
      <c r="B378" s="228"/>
      <c r="C378" s="228"/>
      <c r="D378" s="310"/>
      <c r="E378" s="311"/>
      <c r="F378" s="228"/>
      <c r="G378" s="228"/>
      <c r="H378" s="228"/>
      <c r="I378" s="228"/>
      <c r="J378" s="228"/>
      <c r="K378" s="660"/>
      <c r="L378" s="228"/>
      <c r="M378" s="228"/>
      <c r="N378" s="228"/>
    </row>
    <row r="379">
      <c r="A379" s="228"/>
      <c r="B379" s="228"/>
      <c r="C379" s="228"/>
      <c r="D379" s="310"/>
      <c r="E379" s="311"/>
      <c r="F379" s="228"/>
      <c r="G379" s="228"/>
      <c r="H379" s="228"/>
      <c r="I379" s="228"/>
      <c r="J379" s="228"/>
      <c r="K379" s="660"/>
      <c r="L379" s="228"/>
      <c r="M379" s="228"/>
      <c r="N379" s="228"/>
    </row>
    <row r="380">
      <c r="A380" s="228"/>
      <c r="B380" s="228"/>
      <c r="C380" s="228"/>
      <c r="D380" s="310"/>
      <c r="E380" s="311"/>
      <c r="F380" s="228"/>
      <c r="G380" s="228"/>
      <c r="H380" s="228"/>
      <c r="I380" s="228"/>
      <c r="J380" s="228"/>
      <c r="K380" s="660"/>
      <c r="L380" s="228"/>
      <c r="M380" s="228"/>
      <c r="N380" s="228"/>
    </row>
    <row r="381">
      <c r="A381" s="228"/>
      <c r="B381" s="228"/>
      <c r="C381" s="228"/>
      <c r="D381" s="310"/>
      <c r="E381" s="311"/>
      <c r="F381" s="228"/>
      <c r="G381" s="228"/>
      <c r="H381" s="228"/>
      <c r="I381" s="228"/>
      <c r="J381" s="228"/>
      <c r="K381" s="660"/>
      <c r="L381" s="228"/>
      <c r="M381" s="228"/>
      <c r="N381" s="228"/>
    </row>
    <row r="382">
      <c r="A382" s="228"/>
      <c r="B382" s="228"/>
      <c r="C382" s="228"/>
      <c r="D382" s="310"/>
      <c r="E382" s="311"/>
      <c r="F382" s="228"/>
      <c r="G382" s="228"/>
      <c r="H382" s="228"/>
      <c r="I382" s="228"/>
      <c r="J382" s="228"/>
      <c r="K382" s="660"/>
      <c r="L382" s="228"/>
      <c r="M382" s="228"/>
      <c r="N382" s="228"/>
    </row>
    <row r="383">
      <c r="A383" s="228"/>
      <c r="B383" s="228"/>
      <c r="C383" s="228"/>
      <c r="D383" s="310"/>
      <c r="E383" s="311"/>
      <c r="F383" s="228"/>
      <c r="G383" s="228"/>
      <c r="H383" s="228"/>
      <c r="I383" s="228"/>
      <c r="J383" s="228"/>
      <c r="K383" s="660"/>
      <c r="L383" s="228"/>
      <c r="M383" s="228"/>
      <c r="N383" s="228"/>
    </row>
    <row r="384">
      <c r="A384" s="228"/>
      <c r="B384" s="228"/>
      <c r="C384" s="228"/>
      <c r="D384" s="310"/>
      <c r="E384" s="311"/>
      <c r="F384" s="228"/>
      <c r="G384" s="228"/>
      <c r="H384" s="228"/>
      <c r="I384" s="228"/>
      <c r="J384" s="228"/>
      <c r="K384" s="660"/>
      <c r="L384" s="228"/>
      <c r="M384" s="228"/>
      <c r="N384" s="228"/>
    </row>
    <row r="385">
      <c r="A385" s="228"/>
      <c r="B385" s="228"/>
      <c r="C385" s="228"/>
      <c r="D385" s="310"/>
      <c r="E385" s="311"/>
      <c r="F385" s="228"/>
      <c r="G385" s="228"/>
      <c r="H385" s="228"/>
      <c r="I385" s="228"/>
      <c r="J385" s="228"/>
      <c r="K385" s="660"/>
      <c r="L385" s="228"/>
      <c r="M385" s="228"/>
      <c r="N385" s="228"/>
    </row>
    <row r="386">
      <c r="A386" s="228"/>
      <c r="B386" s="228"/>
      <c r="C386" s="228"/>
      <c r="D386" s="310"/>
      <c r="E386" s="311"/>
      <c r="F386" s="228"/>
      <c r="G386" s="228"/>
      <c r="H386" s="228"/>
      <c r="I386" s="228"/>
      <c r="J386" s="228"/>
      <c r="K386" s="660"/>
      <c r="L386" s="228"/>
      <c r="M386" s="228"/>
      <c r="N386" s="228"/>
    </row>
    <row r="387">
      <c r="A387" s="228"/>
      <c r="B387" s="228"/>
      <c r="C387" s="228"/>
      <c r="D387" s="310"/>
      <c r="E387" s="311"/>
      <c r="F387" s="228"/>
      <c r="G387" s="228"/>
      <c r="H387" s="228"/>
      <c r="I387" s="228"/>
      <c r="J387" s="228"/>
      <c r="K387" s="660"/>
      <c r="L387" s="228"/>
      <c r="M387" s="228"/>
      <c r="N387" s="228"/>
    </row>
    <row r="388">
      <c r="A388" s="228"/>
      <c r="B388" s="228"/>
      <c r="C388" s="228"/>
      <c r="D388" s="310"/>
      <c r="E388" s="311"/>
      <c r="F388" s="228"/>
      <c r="G388" s="228"/>
      <c r="H388" s="228"/>
      <c r="I388" s="228"/>
      <c r="J388" s="228"/>
      <c r="K388" s="660"/>
      <c r="L388" s="228"/>
      <c r="M388" s="228"/>
      <c r="N388" s="228"/>
    </row>
    <row r="389">
      <c r="A389" s="228"/>
      <c r="B389" s="228"/>
      <c r="C389" s="228"/>
      <c r="D389" s="310"/>
      <c r="E389" s="311"/>
      <c r="F389" s="228"/>
      <c r="G389" s="228"/>
      <c r="H389" s="228"/>
      <c r="I389" s="228"/>
      <c r="J389" s="228"/>
      <c r="K389" s="660"/>
      <c r="L389" s="228"/>
      <c r="M389" s="228"/>
      <c r="N389" s="228"/>
    </row>
    <row r="390">
      <c r="A390" s="228"/>
      <c r="B390" s="228"/>
      <c r="C390" s="228"/>
      <c r="D390" s="310"/>
      <c r="E390" s="311"/>
      <c r="F390" s="228"/>
      <c r="G390" s="228"/>
      <c r="H390" s="228"/>
      <c r="I390" s="228"/>
      <c r="J390" s="228"/>
      <c r="K390" s="660"/>
      <c r="L390" s="228"/>
      <c r="M390" s="228"/>
      <c r="N390" s="228"/>
    </row>
    <row r="391">
      <c r="A391" s="228"/>
      <c r="B391" s="228"/>
      <c r="C391" s="228"/>
      <c r="D391" s="310"/>
      <c r="E391" s="311"/>
      <c r="F391" s="228"/>
      <c r="G391" s="228"/>
      <c r="H391" s="228"/>
      <c r="I391" s="228"/>
      <c r="J391" s="228"/>
      <c r="K391" s="660"/>
      <c r="L391" s="228"/>
      <c r="M391" s="228"/>
      <c r="N391" s="228"/>
    </row>
    <row r="392">
      <c r="A392" s="228"/>
      <c r="B392" s="228"/>
      <c r="C392" s="228"/>
      <c r="D392" s="310"/>
      <c r="E392" s="311"/>
      <c r="F392" s="228"/>
      <c r="G392" s="228"/>
      <c r="H392" s="228"/>
      <c r="I392" s="228"/>
      <c r="J392" s="228"/>
      <c r="K392" s="660"/>
      <c r="L392" s="228"/>
      <c r="M392" s="228"/>
      <c r="N392" s="228"/>
    </row>
    <row r="393">
      <c r="A393" s="228"/>
      <c r="B393" s="228"/>
      <c r="C393" s="228"/>
      <c r="D393" s="310"/>
      <c r="E393" s="311"/>
      <c r="F393" s="228"/>
      <c r="G393" s="228"/>
      <c r="H393" s="228"/>
      <c r="I393" s="228"/>
      <c r="J393" s="228"/>
      <c r="K393" s="660"/>
      <c r="L393" s="228"/>
      <c r="M393" s="228"/>
      <c r="N393" s="228"/>
    </row>
    <row r="394">
      <c r="A394" s="228"/>
      <c r="B394" s="228"/>
      <c r="C394" s="228"/>
      <c r="D394" s="310"/>
      <c r="E394" s="311"/>
      <c r="F394" s="228"/>
      <c r="G394" s="228"/>
      <c r="H394" s="228"/>
      <c r="I394" s="228"/>
      <c r="J394" s="228"/>
      <c r="K394" s="660"/>
      <c r="L394" s="228"/>
      <c r="M394" s="228"/>
      <c r="N394" s="228"/>
    </row>
    <row r="395">
      <c r="A395" s="228"/>
      <c r="B395" s="228"/>
      <c r="C395" s="228"/>
      <c r="D395" s="310"/>
      <c r="E395" s="311"/>
      <c r="F395" s="228"/>
      <c r="G395" s="228"/>
      <c r="H395" s="228"/>
      <c r="I395" s="228"/>
      <c r="J395" s="228"/>
      <c r="K395" s="660"/>
      <c r="L395" s="228"/>
      <c r="M395" s="228"/>
      <c r="N395" s="228"/>
    </row>
    <row r="396">
      <c r="A396" s="228"/>
      <c r="B396" s="228"/>
      <c r="C396" s="228"/>
      <c r="D396" s="310"/>
      <c r="E396" s="311"/>
      <c r="F396" s="228"/>
      <c r="G396" s="228"/>
      <c r="H396" s="228"/>
      <c r="I396" s="228"/>
      <c r="J396" s="228"/>
      <c r="K396" s="660"/>
      <c r="L396" s="228"/>
      <c r="M396" s="228"/>
      <c r="N396" s="228"/>
    </row>
    <row r="397">
      <c r="A397" s="228"/>
      <c r="B397" s="228"/>
      <c r="C397" s="228"/>
      <c r="D397" s="310"/>
      <c r="E397" s="311"/>
      <c r="F397" s="228"/>
      <c r="G397" s="228"/>
      <c r="H397" s="228"/>
      <c r="I397" s="228"/>
      <c r="J397" s="228"/>
      <c r="K397" s="660"/>
      <c r="L397" s="228"/>
      <c r="M397" s="228"/>
      <c r="N397" s="228"/>
    </row>
    <row r="398">
      <c r="A398" s="228"/>
      <c r="B398" s="228"/>
      <c r="C398" s="228"/>
      <c r="D398" s="310"/>
      <c r="E398" s="311"/>
      <c r="F398" s="228"/>
      <c r="G398" s="228"/>
      <c r="H398" s="228"/>
      <c r="I398" s="228"/>
      <c r="J398" s="228"/>
      <c r="K398" s="660"/>
      <c r="L398" s="228"/>
      <c r="M398" s="228"/>
      <c r="N398" s="228"/>
    </row>
    <row r="399">
      <c r="A399" s="228"/>
      <c r="B399" s="228"/>
      <c r="C399" s="228"/>
      <c r="D399" s="310"/>
      <c r="E399" s="311"/>
      <c r="F399" s="228"/>
      <c r="G399" s="228"/>
      <c r="H399" s="228"/>
      <c r="I399" s="228"/>
      <c r="J399" s="228"/>
      <c r="K399" s="660"/>
      <c r="L399" s="228"/>
      <c r="M399" s="228"/>
      <c r="N399" s="228"/>
    </row>
    <row r="400">
      <c r="A400" s="228"/>
      <c r="B400" s="228"/>
      <c r="C400" s="228"/>
      <c r="D400" s="310"/>
      <c r="E400" s="311"/>
      <c r="F400" s="228"/>
      <c r="G400" s="228"/>
      <c r="H400" s="228"/>
      <c r="I400" s="228"/>
      <c r="J400" s="228"/>
      <c r="K400" s="660"/>
      <c r="L400" s="228"/>
      <c r="M400" s="228"/>
      <c r="N400" s="228"/>
    </row>
    <row r="401">
      <c r="A401" s="228"/>
      <c r="B401" s="228"/>
      <c r="C401" s="228"/>
      <c r="D401" s="310"/>
      <c r="E401" s="311"/>
      <c r="F401" s="228"/>
      <c r="G401" s="228"/>
      <c r="H401" s="228"/>
      <c r="I401" s="228"/>
      <c r="J401" s="228"/>
      <c r="K401" s="660"/>
      <c r="L401" s="228"/>
      <c r="M401" s="228"/>
      <c r="N401" s="228"/>
    </row>
    <row r="402">
      <c r="A402" s="228"/>
      <c r="B402" s="228"/>
      <c r="C402" s="228"/>
      <c r="D402" s="310"/>
      <c r="E402" s="311"/>
      <c r="F402" s="228"/>
      <c r="G402" s="228"/>
      <c r="H402" s="228"/>
      <c r="I402" s="228"/>
      <c r="J402" s="228"/>
      <c r="K402" s="660"/>
      <c r="L402" s="228"/>
      <c r="M402" s="228"/>
      <c r="N402" s="228"/>
    </row>
    <row r="403">
      <c r="A403" s="228"/>
      <c r="B403" s="228"/>
      <c r="C403" s="228"/>
      <c r="D403" s="310"/>
      <c r="E403" s="311"/>
      <c r="F403" s="228"/>
      <c r="G403" s="228"/>
      <c r="H403" s="228"/>
      <c r="I403" s="228"/>
      <c r="J403" s="228"/>
      <c r="K403" s="660"/>
      <c r="L403" s="228"/>
      <c r="M403" s="228"/>
      <c r="N403" s="228"/>
    </row>
    <row r="404">
      <c r="A404" s="228"/>
      <c r="B404" s="228"/>
      <c r="C404" s="228"/>
      <c r="D404" s="310"/>
      <c r="E404" s="311"/>
      <c r="F404" s="228"/>
      <c r="G404" s="228"/>
      <c r="H404" s="228"/>
      <c r="I404" s="228"/>
      <c r="J404" s="228"/>
      <c r="K404" s="660"/>
      <c r="L404" s="228"/>
      <c r="M404" s="228"/>
      <c r="N404" s="228"/>
    </row>
    <row r="405">
      <c r="A405" s="228"/>
      <c r="B405" s="228"/>
      <c r="C405" s="228"/>
      <c r="D405" s="310"/>
      <c r="E405" s="311"/>
      <c r="F405" s="228"/>
      <c r="G405" s="228"/>
      <c r="H405" s="228"/>
      <c r="I405" s="228"/>
      <c r="J405" s="228"/>
      <c r="K405" s="660"/>
      <c r="L405" s="228"/>
      <c r="M405" s="228"/>
      <c r="N405" s="228"/>
    </row>
    <row r="406">
      <c r="A406" s="228"/>
      <c r="B406" s="228"/>
      <c r="C406" s="228"/>
      <c r="D406" s="310"/>
      <c r="E406" s="311"/>
      <c r="F406" s="228"/>
      <c r="G406" s="228"/>
      <c r="H406" s="228"/>
      <c r="I406" s="228"/>
      <c r="J406" s="228"/>
      <c r="K406" s="660"/>
      <c r="L406" s="228"/>
      <c r="M406" s="228"/>
      <c r="N406" s="228"/>
    </row>
    <row r="407">
      <c r="A407" s="228"/>
      <c r="B407" s="228"/>
      <c r="C407" s="228"/>
      <c r="D407" s="310"/>
      <c r="E407" s="311"/>
      <c r="F407" s="228"/>
      <c r="G407" s="228"/>
      <c r="H407" s="228"/>
      <c r="I407" s="228"/>
      <c r="J407" s="228"/>
      <c r="K407" s="660"/>
      <c r="L407" s="228"/>
      <c r="M407" s="228"/>
      <c r="N407" s="228"/>
    </row>
    <row r="408">
      <c r="A408" s="228"/>
      <c r="B408" s="228"/>
      <c r="C408" s="228"/>
      <c r="D408" s="310"/>
      <c r="E408" s="311"/>
      <c r="F408" s="228"/>
      <c r="G408" s="228"/>
      <c r="H408" s="228"/>
      <c r="I408" s="228"/>
      <c r="J408" s="228"/>
      <c r="K408" s="660"/>
      <c r="L408" s="228"/>
      <c r="M408" s="228"/>
      <c r="N408" s="228"/>
    </row>
    <row r="409">
      <c r="A409" s="228"/>
      <c r="B409" s="228"/>
      <c r="C409" s="228"/>
      <c r="D409" s="310"/>
      <c r="E409" s="311"/>
      <c r="F409" s="228"/>
      <c r="G409" s="228"/>
      <c r="H409" s="228"/>
      <c r="I409" s="228"/>
      <c r="J409" s="228"/>
      <c r="K409" s="660"/>
      <c r="L409" s="228"/>
      <c r="M409" s="228"/>
      <c r="N409" s="228"/>
    </row>
    <row r="410">
      <c r="A410" s="228"/>
      <c r="B410" s="228"/>
      <c r="C410" s="228"/>
      <c r="D410" s="310"/>
      <c r="E410" s="311"/>
      <c r="F410" s="228"/>
      <c r="G410" s="228"/>
      <c r="H410" s="228"/>
      <c r="I410" s="228"/>
      <c r="J410" s="228"/>
      <c r="K410" s="660"/>
      <c r="L410" s="228"/>
      <c r="M410" s="228"/>
      <c r="N410" s="228"/>
    </row>
    <row r="411">
      <c r="A411" s="228"/>
      <c r="B411" s="228"/>
      <c r="C411" s="228"/>
      <c r="D411" s="310"/>
      <c r="E411" s="311"/>
      <c r="F411" s="228"/>
      <c r="G411" s="228"/>
      <c r="H411" s="228"/>
      <c r="I411" s="228"/>
      <c r="J411" s="228"/>
      <c r="K411" s="660"/>
      <c r="L411" s="228"/>
      <c r="M411" s="228"/>
      <c r="N411" s="228"/>
    </row>
    <row r="412">
      <c r="A412" s="228"/>
      <c r="B412" s="228"/>
      <c r="C412" s="228"/>
      <c r="D412" s="310"/>
      <c r="E412" s="311"/>
      <c r="F412" s="228"/>
      <c r="G412" s="228"/>
      <c r="H412" s="228"/>
      <c r="I412" s="228"/>
      <c r="J412" s="228"/>
      <c r="K412" s="660"/>
      <c r="L412" s="228"/>
      <c r="M412" s="228"/>
      <c r="N412" s="228"/>
    </row>
    <row r="413">
      <c r="A413" s="228"/>
      <c r="B413" s="228"/>
      <c r="C413" s="228"/>
      <c r="D413" s="310"/>
      <c r="E413" s="311"/>
      <c r="F413" s="228"/>
      <c r="G413" s="228"/>
      <c r="H413" s="228"/>
      <c r="I413" s="228"/>
      <c r="J413" s="228"/>
      <c r="K413" s="660"/>
      <c r="L413" s="228"/>
      <c r="M413" s="228"/>
      <c r="N413" s="228"/>
    </row>
    <row r="414">
      <c r="A414" s="228"/>
      <c r="B414" s="228"/>
      <c r="C414" s="228"/>
      <c r="D414" s="310"/>
      <c r="E414" s="311"/>
      <c r="F414" s="228"/>
      <c r="G414" s="228"/>
      <c r="H414" s="228"/>
      <c r="I414" s="228"/>
      <c r="J414" s="228"/>
      <c r="K414" s="660"/>
      <c r="L414" s="228"/>
      <c r="M414" s="228"/>
      <c r="N414" s="228"/>
    </row>
    <row r="415">
      <c r="A415" s="228"/>
      <c r="B415" s="228"/>
      <c r="C415" s="228"/>
      <c r="D415" s="310"/>
      <c r="E415" s="311"/>
      <c r="F415" s="228"/>
      <c r="G415" s="228"/>
      <c r="H415" s="228"/>
      <c r="I415" s="228"/>
      <c r="J415" s="228"/>
      <c r="K415" s="660"/>
      <c r="L415" s="228"/>
      <c r="M415" s="228"/>
      <c r="N415" s="228"/>
    </row>
    <row r="416">
      <c r="A416" s="228"/>
      <c r="B416" s="228"/>
      <c r="C416" s="228"/>
      <c r="D416" s="310"/>
      <c r="E416" s="311"/>
      <c r="F416" s="228"/>
      <c r="G416" s="228"/>
      <c r="H416" s="228"/>
      <c r="I416" s="228"/>
      <c r="J416" s="228"/>
      <c r="K416" s="660"/>
      <c r="L416" s="228"/>
      <c r="M416" s="228"/>
      <c r="N416" s="228"/>
    </row>
    <row r="417">
      <c r="A417" s="228"/>
      <c r="B417" s="228"/>
      <c r="C417" s="228"/>
      <c r="D417" s="310"/>
      <c r="E417" s="311"/>
      <c r="F417" s="228"/>
      <c r="G417" s="228"/>
      <c r="H417" s="228"/>
      <c r="I417" s="228"/>
      <c r="J417" s="228"/>
      <c r="K417" s="660"/>
      <c r="L417" s="228"/>
      <c r="M417" s="228"/>
      <c r="N417" s="228"/>
    </row>
    <row r="418">
      <c r="A418" s="228"/>
      <c r="B418" s="228"/>
      <c r="C418" s="228"/>
      <c r="D418" s="310"/>
      <c r="E418" s="311"/>
      <c r="F418" s="228"/>
      <c r="G418" s="228"/>
      <c r="H418" s="228"/>
      <c r="I418" s="228"/>
      <c r="J418" s="228"/>
      <c r="K418" s="660"/>
      <c r="L418" s="228"/>
      <c r="M418" s="228"/>
      <c r="N418" s="228"/>
    </row>
    <row r="419">
      <c r="A419" s="228"/>
      <c r="B419" s="228"/>
      <c r="C419" s="228"/>
      <c r="D419" s="310"/>
      <c r="E419" s="311"/>
      <c r="F419" s="228"/>
      <c r="G419" s="228"/>
      <c r="H419" s="228"/>
      <c r="I419" s="228"/>
      <c r="J419" s="228"/>
      <c r="K419" s="660"/>
      <c r="L419" s="228"/>
      <c r="M419" s="228"/>
      <c r="N419" s="228"/>
    </row>
    <row r="420">
      <c r="A420" s="228"/>
      <c r="B420" s="228"/>
      <c r="C420" s="228"/>
      <c r="D420" s="310"/>
      <c r="E420" s="311"/>
      <c r="F420" s="228"/>
      <c r="G420" s="228"/>
      <c r="H420" s="228"/>
      <c r="I420" s="228"/>
      <c r="J420" s="228"/>
      <c r="K420" s="660"/>
      <c r="L420" s="228"/>
      <c r="M420" s="228"/>
      <c r="N420" s="228"/>
    </row>
    <row r="421">
      <c r="A421" s="228"/>
      <c r="B421" s="228"/>
      <c r="C421" s="228"/>
      <c r="D421" s="310"/>
      <c r="E421" s="311"/>
      <c r="F421" s="228"/>
      <c r="G421" s="228"/>
      <c r="H421" s="228"/>
      <c r="I421" s="228"/>
      <c r="J421" s="228"/>
      <c r="K421" s="660"/>
      <c r="L421" s="228"/>
      <c r="M421" s="228"/>
      <c r="N421" s="228"/>
    </row>
    <row r="422">
      <c r="A422" s="228"/>
      <c r="B422" s="228"/>
      <c r="C422" s="228"/>
      <c r="D422" s="310"/>
      <c r="E422" s="311"/>
      <c r="F422" s="228"/>
      <c r="G422" s="228"/>
      <c r="H422" s="228"/>
      <c r="I422" s="228"/>
      <c r="J422" s="228"/>
      <c r="K422" s="660"/>
      <c r="L422" s="228"/>
      <c r="M422" s="228"/>
      <c r="N422" s="228"/>
    </row>
    <row r="423">
      <c r="A423" s="228"/>
      <c r="B423" s="228"/>
      <c r="C423" s="228"/>
      <c r="D423" s="310"/>
      <c r="E423" s="311"/>
      <c r="F423" s="228"/>
      <c r="G423" s="228"/>
      <c r="H423" s="228"/>
      <c r="I423" s="228"/>
      <c r="J423" s="228"/>
      <c r="K423" s="660"/>
      <c r="L423" s="228"/>
      <c r="M423" s="228"/>
      <c r="N423" s="228"/>
    </row>
    <row r="424">
      <c r="A424" s="228"/>
      <c r="B424" s="228"/>
      <c r="C424" s="228"/>
      <c r="D424" s="310"/>
      <c r="E424" s="311"/>
      <c r="F424" s="228"/>
      <c r="G424" s="228"/>
      <c r="H424" s="228"/>
      <c r="I424" s="228"/>
      <c r="J424" s="228"/>
      <c r="K424" s="660"/>
      <c r="L424" s="228"/>
      <c r="M424" s="228"/>
      <c r="N424" s="228"/>
    </row>
    <row r="425">
      <c r="A425" s="228"/>
      <c r="B425" s="228"/>
      <c r="C425" s="228"/>
      <c r="D425" s="310"/>
      <c r="E425" s="311"/>
      <c r="F425" s="228"/>
      <c r="G425" s="228"/>
      <c r="H425" s="228"/>
      <c r="I425" s="228"/>
      <c r="J425" s="228"/>
      <c r="K425" s="660"/>
      <c r="L425" s="228"/>
      <c r="M425" s="228"/>
      <c r="N425" s="228"/>
    </row>
    <row r="426">
      <c r="A426" s="228"/>
      <c r="B426" s="228"/>
      <c r="C426" s="228"/>
      <c r="D426" s="310"/>
      <c r="E426" s="311"/>
      <c r="F426" s="228"/>
      <c r="G426" s="228"/>
      <c r="H426" s="228"/>
      <c r="I426" s="228"/>
      <c r="J426" s="228"/>
      <c r="K426" s="660"/>
      <c r="L426" s="228"/>
      <c r="M426" s="228"/>
      <c r="N426" s="228"/>
    </row>
    <row r="427">
      <c r="A427" s="228"/>
      <c r="B427" s="228"/>
      <c r="C427" s="228"/>
      <c r="D427" s="310"/>
      <c r="E427" s="311"/>
      <c r="F427" s="228"/>
      <c r="G427" s="228"/>
      <c r="H427" s="228"/>
      <c r="I427" s="228"/>
      <c r="J427" s="228"/>
      <c r="K427" s="660"/>
      <c r="L427" s="228"/>
      <c r="M427" s="228"/>
      <c r="N427" s="228"/>
    </row>
    <row r="428">
      <c r="A428" s="228"/>
      <c r="B428" s="228"/>
      <c r="C428" s="228"/>
      <c r="D428" s="310"/>
      <c r="E428" s="311"/>
      <c r="F428" s="228"/>
      <c r="G428" s="228"/>
      <c r="H428" s="228"/>
      <c r="I428" s="228"/>
      <c r="J428" s="228"/>
      <c r="K428" s="660"/>
      <c r="L428" s="228"/>
      <c r="M428" s="228"/>
      <c r="N428" s="228"/>
    </row>
    <row r="429">
      <c r="A429" s="228"/>
      <c r="B429" s="228"/>
      <c r="C429" s="228"/>
      <c r="D429" s="310"/>
      <c r="E429" s="311"/>
      <c r="F429" s="228"/>
      <c r="G429" s="228"/>
      <c r="H429" s="228"/>
      <c r="I429" s="228"/>
      <c r="J429" s="228"/>
      <c r="K429" s="660"/>
      <c r="L429" s="228"/>
      <c r="M429" s="228"/>
      <c r="N429" s="228"/>
    </row>
    <row r="430">
      <c r="A430" s="228"/>
      <c r="B430" s="228"/>
      <c r="C430" s="228"/>
      <c r="D430" s="310"/>
      <c r="E430" s="311"/>
      <c r="F430" s="228"/>
      <c r="G430" s="228"/>
      <c r="H430" s="228"/>
      <c r="I430" s="228"/>
      <c r="J430" s="228"/>
      <c r="K430" s="660"/>
      <c r="L430" s="228"/>
      <c r="M430" s="228"/>
      <c r="N430" s="228"/>
    </row>
    <row r="431">
      <c r="A431" s="228"/>
      <c r="B431" s="228"/>
      <c r="C431" s="228"/>
      <c r="D431" s="310"/>
      <c r="E431" s="311"/>
      <c r="F431" s="228"/>
      <c r="G431" s="228"/>
      <c r="H431" s="228"/>
      <c r="I431" s="228"/>
      <c r="J431" s="228"/>
      <c r="K431" s="660"/>
      <c r="L431" s="228"/>
      <c r="M431" s="228"/>
      <c r="N431" s="228"/>
    </row>
    <row r="432">
      <c r="A432" s="228"/>
      <c r="B432" s="228"/>
      <c r="C432" s="228"/>
      <c r="D432" s="310"/>
      <c r="E432" s="311"/>
      <c r="F432" s="228"/>
      <c r="G432" s="228"/>
      <c r="H432" s="228"/>
      <c r="I432" s="228"/>
      <c r="J432" s="228"/>
      <c r="K432" s="660"/>
      <c r="L432" s="228"/>
      <c r="M432" s="228"/>
      <c r="N432" s="228"/>
    </row>
    <row r="433">
      <c r="A433" s="228"/>
      <c r="B433" s="228"/>
      <c r="C433" s="228"/>
      <c r="D433" s="310"/>
      <c r="E433" s="311"/>
      <c r="F433" s="228"/>
      <c r="G433" s="228"/>
      <c r="H433" s="228"/>
      <c r="I433" s="228"/>
      <c r="J433" s="228"/>
      <c r="K433" s="660"/>
      <c r="L433" s="228"/>
      <c r="M433" s="228"/>
      <c r="N433" s="228"/>
    </row>
    <row r="434">
      <c r="A434" s="228"/>
      <c r="B434" s="228"/>
      <c r="C434" s="228"/>
      <c r="D434" s="310"/>
      <c r="E434" s="311"/>
      <c r="F434" s="228"/>
      <c r="G434" s="228"/>
      <c r="H434" s="228"/>
      <c r="I434" s="228"/>
      <c r="J434" s="228"/>
      <c r="K434" s="660"/>
      <c r="L434" s="228"/>
      <c r="M434" s="228"/>
      <c r="N434" s="228"/>
    </row>
    <row r="435">
      <c r="A435" s="228"/>
      <c r="B435" s="228"/>
      <c r="C435" s="228"/>
      <c r="D435" s="310"/>
      <c r="E435" s="311"/>
      <c r="F435" s="228"/>
      <c r="G435" s="228"/>
      <c r="H435" s="228"/>
      <c r="I435" s="228"/>
      <c r="J435" s="228"/>
      <c r="K435" s="660"/>
      <c r="L435" s="228"/>
      <c r="M435" s="228"/>
      <c r="N435" s="228"/>
    </row>
    <row r="436">
      <c r="A436" s="228"/>
      <c r="B436" s="228"/>
      <c r="C436" s="228"/>
      <c r="D436" s="310"/>
      <c r="E436" s="311"/>
      <c r="F436" s="228"/>
      <c r="G436" s="228"/>
      <c r="H436" s="228"/>
      <c r="I436" s="228"/>
      <c r="J436" s="228"/>
      <c r="K436" s="660"/>
      <c r="L436" s="228"/>
      <c r="M436" s="228"/>
      <c r="N436" s="228"/>
    </row>
    <row r="437">
      <c r="A437" s="228"/>
      <c r="B437" s="228"/>
      <c r="C437" s="228"/>
      <c r="D437" s="310"/>
      <c r="E437" s="311"/>
      <c r="F437" s="228"/>
      <c r="G437" s="228"/>
      <c r="H437" s="228"/>
      <c r="I437" s="228"/>
      <c r="J437" s="228"/>
      <c r="K437" s="660"/>
      <c r="L437" s="228"/>
      <c r="M437" s="228"/>
      <c r="N437" s="228"/>
    </row>
    <row r="438">
      <c r="A438" s="228"/>
      <c r="B438" s="228"/>
      <c r="C438" s="228"/>
      <c r="D438" s="310"/>
      <c r="E438" s="311"/>
      <c r="F438" s="228"/>
      <c r="G438" s="228"/>
      <c r="H438" s="228"/>
      <c r="I438" s="228"/>
      <c r="J438" s="228"/>
      <c r="K438" s="660"/>
      <c r="L438" s="228"/>
      <c r="M438" s="228"/>
      <c r="N438" s="228"/>
    </row>
    <row r="439">
      <c r="A439" s="228"/>
      <c r="B439" s="228"/>
      <c r="C439" s="228"/>
      <c r="D439" s="310"/>
      <c r="E439" s="311"/>
      <c r="F439" s="228"/>
      <c r="G439" s="228"/>
      <c r="H439" s="228"/>
      <c r="I439" s="228"/>
      <c r="J439" s="228"/>
      <c r="K439" s="660"/>
      <c r="L439" s="228"/>
      <c r="M439" s="228"/>
      <c r="N439" s="228"/>
    </row>
    <row r="440">
      <c r="A440" s="228"/>
      <c r="B440" s="228"/>
      <c r="C440" s="228"/>
      <c r="D440" s="310"/>
      <c r="E440" s="311"/>
      <c r="F440" s="228"/>
      <c r="G440" s="228"/>
      <c r="H440" s="228"/>
      <c r="I440" s="228"/>
      <c r="J440" s="228"/>
      <c r="K440" s="660"/>
      <c r="L440" s="228"/>
      <c r="M440" s="228"/>
      <c r="N440" s="228"/>
    </row>
    <row r="441">
      <c r="A441" s="228"/>
      <c r="B441" s="228"/>
      <c r="C441" s="228"/>
      <c r="D441" s="310"/>
      <c r="E441" s="311"/>
      <c r="F441" s="228"/>
      <c r="G441" s="228"/>
      <c r="H441" s="228"/>
      <c r="I441" s="228"/>
      <c r="J441" s="228"/>
      <c r="K441" s="660"/>
      <c r="L441" s="228"/>
      <c r="M441" s="228"/>
      <c r="N441" s="228"/>
    </row>
    <row r="442">
      <c r="A442" s="228"/>
      <c r="B442" s="228"/>
      <c r="C442" s="228"/>
      <c r="D442" s="310"/>
      <c r="E442" s="311"/>
      <c r="F442" s="228"/>
      <c r="G442" s="228"/>
      <c r="H442" s="228"/>
      <c r="I442" s="228"/>
      <c r="J442" s="228"/>
      <c r="K442" s="660"/>
      <c r="L442" s="228"/>
      <c r="M442" s="228"/>
      <c r="N442" s="228"/>
    </row>
    <row r="443">
      <c r="A443" s="228"/>
      <c r="B443" s="228"/>
      <c r="C443" s="228"/>
      <c r="D443" s="310"/>
      <c r="E443" s="311"/>
      <c r="F443" s="228"/>
      <c r="G443" s="228"/>
      <c r="H443" s="228"/>
      <c r="I443" s="228"/>
      <c r="J443" s="228"/>
      <c r="K443" s="660"/>
      <c r="L443" s="228"/>
      <c r="M443" s="228"/>
      <c r="N443" s="228"/>
    </row>
    <row r="444">
      <c r="A444" s="228"/>
      <c r="B444" s="228"/>
      <c r="C444" s="228"/>
      <c r="D444" s="310"/>
      <c r="E444" s="311"/>
      <c r="F444" s="228"/>
      <c r="G444" s="228"/>
      <c r="H444" s="228"/>
      <c r="I444" s="228"/>
      <c r="J444" s="228"/>
      <c r="K444" s="660"/>
      <c r="L444" s="228"/>
      <c r="M444" s="228"/>
      <c r="N444" s="228"/>
    </row>
    <row r="445">
      <c r="A445" s="228"/>
      <c r="B445" s="228"/>
      <c r="C445" s="228"/>
      <c r="D445" s="310"/>
      <c r="E445" s="311"/>
      <c r="F445" s="228"/>
      <c r="G445" s="228"/>
      <c r="H445" s="228"/>
      <c r="I445" s="228"/>
      <c r="J445" s="228"/>
      <c r="K445" s="660"/>
      <c r="L445" s="228"/>
      <c r="M445" s="228"/>
      <c r="N445" s="228"/>
    </row>
    <row r="446">
      <c r="A446" s="228"/>
      <c r="B446" s="228"/>
      <c r="C446" s="228"/>
      <c r="D446" s="310"/>
      <c r="E446" s="311"/>
      <c r="F446" s="228"/>
      <c r="G446" s="228"/>
      <c r="H446" s="228"/>
      <c r="I446" s="228"/>
      <c r="J446" s="228"/>
      <c r="K446" s="660"/>
      <c r="L446" s="228"/>
      <c r="M446" s="228"/>
      <c r="N446" s="228"/>
    </row>
    <row r="447">
      <c r="A447" s="228"/>
      <c r="B447" s="228"/>
      <c r="C447" s="228"/>
      <c r="D447" s="310"/>
      <c r="E447" s="311"/>
      <c r="F447" s="228"/>
      <c r="G447" s="228"/>
      <c r="H447" s="228"/>
      <c r="I447" s="228"/>
      <c r="J447" s="228"/>
      <c r="K447" s="660"/>
      <c r="L447" s="228"/>
      <c r="M447" s="228"/>
      <c r="N447" s="228"/>
    </row>
    <row r="448">
      <c r="A448" s="228"/>
      <c r="B448" s="228"/>
      <c r="C448" s="228"/>
      <c r="D448" s="310"/>
      <c r="E448" s="311"/>
      <c r="F448" s="228"/>
      <c r="G448" s="228"/>
      <c r="H448" s="228"/>
      <c r="I448" s="228"/>
      <c r="J448" s="228"/>
      <c r="K448" s="660"/>
      <c r="L448" s="228"/>
      <c r="M448" s="228"/>
      <c r="N448" s="228"/>
    </row>
    <row r="449">
      <c r="A449" s="228"/>
      <c r="B449" s="228"/>
      <c r="C449" s="228"/>
      <c r="D449" s="310"/>
      <c r="E449" s="311"/>
      <c r="F449" s="228"/>
      <c r="G449" s="228"/>
      <c r="H449" s="228"/>
      <c r="I449" s="228"/>
      <c r="J449" s="228"/>
      <c r="K449" s="660"/>
      <c r="L449" s="228"/>
      <c r="M449" s="228"/>
      <c r="N449" s="228"/>
    </row>
    <row r="450">
      <c r="A450" s="228"/>
      <c r="B450" s="228"/>
      <c r="C450" s="228"/>
      <c r="D450" s="310"/>
      <c r="E450" s="311"/>
      <c r="F450" s="228"/>
      <c r="G450" s="228"/>
      <c r="H450" s="228"/>
      <c r="I450" s="228"/>
      <c r="J450" s="228"/>
      <c r="K450" s="660"/>
      <c r="L450" s="228"/>
      <c r="M450" s="228"/>
      <c r="N450" s="228"/>
    </row>
    <row r="451">
      <c r="A451" s="228"/>
      <c r="B451" s="228"/>
      <c r="C451" s="228"/>
      <c r="D451" s="310"/>
      <c r="E451" s="311"/>
      <c r="F451" s="228"/>
      <c r="G451" s="228"/>
      <c r="H451" s="228"/>
      <c r="I451" s="228"/>
      <c r="J451" s="228"/>
      <c r="K451" s="660"/>
      <c r="L451" s="228"/>
      <c r="M451" s="228"/>
      <c r="N451" s="228"/>
    </row>
    <row r="452">
      <c r="A452" s="228"/>
      <c r="B452" s="228"/>
      <c r="C452" s="228"/>
      <c r="D452" s="310"/>
      <c r="E452" s="311"/>
      <c r="F452" s="228"/>
      <c r="G452" s="228"/>
      <c r="H452" s="228"/>
      <c r="I452" s="228"/>
      <c r="J452" s="228"/>
      <c r="K452" s="660"/>
      <c r="L452" s="228"/>
      <c r="M452" s="228"/>
      <c r="N452" s="228"/>
    </row>
    <row r="453">
      <c r="A453" s="228"/>
      <c r="B453" s="228"/>
      <c r="C453" s="228"/>
      <c r="D453" s="310"/>
      <c r="E453" s="311"/>
      <c r="F453" s="228"/>
      <c r="G453" s="228"/>
      <c r="H453" s="228"/>
      <c r="I453" s="228"/>
      <c r="J453" s="228"/>
      <c r="K453" s="660"/>
      <c r="L453" s="228"/>
      <c r="M453" s="228"/>
      <c r="N453" s="228"/>
    </row>
    <row r="454">
      <c r="A454" s="228"/>
      <c r="B454" s="228"/>
      <c r="C454" s="228"/>
      <c r="D454" s="310"/>
      <c r="E454" s="311"/>
      <c r="F454" s="228"/>
      <c r="G454" s="228"/>
      <c r="H454" s="228"/>
      <c r="I454" s="228"/>
      <c r="J454" s="228"/>
      <c r="K454" s="660"/>
      <c r="L454" s="228"/>
      <c r="M454" s="228"/>
      <c r="N454" s="228"/>
    </row>
    <row r="455">
      <c r="A455" s="228"/>
      <c r="B455" s="228"/>
      <c r="C455" s="228"/>
      <c r="D455" s="310"/>
      <c r="E455" s="311"/>
      <c r="F455" s="228"/>
      <c r="G455" s="228"/>
      <c r="H455" s="228"/>
      <c r="I455" s="228"/>
      <c r="J455" s="228"/>
      <c r="K455" s="660"/>
      <c r="L455" s="228"/>
      <c r="M455" s="228"/>
      <c r="N455" s="228"/>
    </row>
    <row r="456">
      <c r="A456" s="228"/>
      <c r="B456" s="228"/>
      <c r="C456" s="228"/>
      <c r="D456" s="310"/>
      <c r="E456" s="311"/>
      <c r="F456" s="228"/>
      <c r="G456" s="228"/>
      <c r="H456" s="228"/>
      <c r="I456" s="228"/>
      <c r="J456" s="228"/>
      <c r="K456" s="660"/>
      <c r="L456" s="228"/>
      <c r="M456" s="228"/>
      <c r="N456" s="228"/>
    </row>
    <row r="457">
      <c r="A457" s="228"/>
      <c r="B457" s="228"/>
      <c r="C457" s="228"/>
      <c r="D457" s="310"/>
      <c r="E457" s="311"/>
      <c r="F457" s="228"/>
      <c r="G457" s="228"/>
      <c r="H457" s="228"/>
      <c r="I457" s="228"/>
      <c r="J457" s="228"/>
      <c r="K457" s="660"/>
      <c r="L457" s="228"/>
      <c r="M457" s="228"/>
      <c r="N457" s="228"/>
    </row>
    <row r="458">
      <c r="A458" s="228"/>
      <c r="B458" s="228"/>
      <c r="C458" s="228"/>
      <c r="D458" s="310"/>
      <c r="E458" s="311"/>
      <c r="F458" s="228"/>
      <c r="G458" s="228"/>
      <c r="H458" s="228"/>
      <c r="I458" s="228"/>
      <c r="J458" s="228"/>
      <c r="K458" s="660"/>
      <c r="L458" s="228"/>
      <c r="M458" s="228"/>
      <c r="N458" s="228"/>
    </row>
    <row r="459">
      <c r="A459" s="228"/>
      <c r="B459" s="228"/>
      <c r="C459" s="228"/>
      <c r="D459" s="310"/>
      <c r="E459" s="311"/>
      <c r="F459" s="228"/>
      <c r="G459" s="228"/>
      <c r="H459" s="228"/>
      <c r="I459" s="228"/>
      <c r="J459" s="228"/>
      <c r="K459" s="660"/>
      <c r="L459" s="228"/>
      <c r="M459" s="228"/>
      <c r="N459" s="228"/>
    </row>
    <row r="460">
      <c r="A460" s="228"/>
      <c r="B460" s="228"/>
      <c r="C460" s="228"/>
      <c r="D460" s="310"/>
      <c r="E460" s="311"/>
      <c r="F460" s="228"/>
      <c r="G460" s="228"/>
      <c r="H460" s="228"/>
      <c r="I460" s="228"/>
      <c r="J460" s="228"/>
      <c r="K460" s="660"/>
      <c r="L460" s="228"/>
      <c r="M460" s="228"/>
      <c r="N460" s="228"/>
    </row>
    <row r="461">
      <c r="A461" s="228"/>
      <c r="B461" s="228"/>
      <c r="C461" s="228"/>
      <c r="D461" s="310"/>
      <c r="E461" s="311"/>
      <c r="F461" s="228"/>
      <c r="G461" s="228"/>
      <c r="H461" s="228"/>
      <c r="I461" s="228"/>
      <c r="J461" s="228"/>
      <c r="K461" s="660"/>
      <c r="L461" s="228"/>
      <c r="M461" s="228"/>
      <c r="N461" s="228"/>
    </row>
    <row r="462">
      <c r="A462" s="228"/>
      <c r="B462" s="228"/>
      <c r="C462" s="228"/>
      <c r="D462" s="310"/>
      <c r="E462" s="311"/>
      <c r="F462" s="228"/>
      <c r="G462" s="228"/>
      <c r="H462" s="228"/>
      <c r="I462" s="228"/>
      <c r="J462" s="228"/>
      <c r="K462" s="660"/>
      <c r="L462" s="228"/>
      <c r="M462" s="228"/>
      <c r="N462" s="228"/>
    </row>
    <row r="463">
      <c r="A463" s="228"/>
      <c r="B463" s="228"/>
      <c r="C463" s="228"/>
      <c r="D463" s="310"/>
      <c r="E463" s="311"/>
      <c r="F463" s="228"/>
      <c r="G463" s="228"/>
      <c r="H463" s="228"/>
      <c r="I463" s="228"/>
      <c r="J463" s="228"/>
      <c r="K463" s="660"/>
      <c r="L463" s="228"/>
      <c r="M463" s="228"/>
      <c r="N463" s="228"/>
    </row>
    <row r="464">
      <c r="A464" s="228"/>
      <c r="B464" s="228"/>
      <c r="C464" s="228"/>
      <c r="D464" s="310"/>
      <c r="E464" s="311"/>
      <c r="F464" s="228"/>
      <c r="G464" s="228"/>
      <c r="H464" s="228"/>
      <c r="I464" s="228"/>
      <c r="J464" s="228"/>
      <c r="K464" s="660"/>
      <c r="L464" s="228"/>
      <c r="M464" s="228"/>
      <c r="N464" s="228"/>
    </row>
    <row r="465">
      <c r="A465" s="228"/>
      <c r="B465" s="228"/>
      <c r="C465" s="228"/>
      <c r="D465" s="310"/>
      <c r="E465" s="311"/>
      <c r="F465" s="228"/>
      <c r="G465" s="228"/>
      <c r="H465" s="228"/>
      <c r="I465" s="228"/>
      <c r="J465" s="228"/>
      <c r="K465" s="660"/>
      <c r="L465" s="228"/>
      <c r="M465" s="228"/>
      <c r="N465" s="228"/>
    </row>
    <row r="466">
      <c r="A466" s="228"/>
      <c r="B466" s="228"/>
      <c r="C466" s="228"/>
      <c r="D466" s="310"/>
      <c r="E466" s="311"/>
      <c r="F466" s="228"/>
      <c r="G466" s="228"/>
      <c r="H466" s="228"/>
      <c r="I466" s="228"/>
      <c r="J466" s="228"/>
      <c r="K466" s="660"/>
      <c r="L466" s="228"/>
      <c r="M466" s="228"/>
      <c r="N466" s="228"/>
    </row>
    <row r="467">
      <c r="A467" s="228"/>
      <c r="B467" s="228"/>
      <c r="C467" s="228"/>
      <c r="D467" s="310"/>
      <c r="E467" s="311"/>
      <c r="F467" s="228"/>
      <c r="G467" s="228"/>
      <c r="H467" s="228"/>
      <c r="I467" s="228"/>
      <c r="J467" s="228"/>
      <c r="K467" s="660"/>
      <c r="L467" s="228"/>
      <c r="M467" s="228"/>
      <c r="N467" s="228"/>
    </row>
    <row r="468">
      <c r="A468" s="228"/>
      <c r="B468" s="228"/>
      <c r="C468" s="228"/>
      <c r="D468" s="310"/>
      <c r="E468" s="311"/>
      <c r="F468" s="228"/>
      <c r="G468" s="228"/>
      <c r="H468" s="228"/>
      <c r="I468" s="228"/>
      <c r="J468" s="228"/>
      <c r="K468" s="660"/>
      <c r="L468" s="228"/>
      <c r="M468" s="228"/>
      <c r="N468" s="228"/>
    </row>
    <row r="469">
      <c r="A469" s="228"/>
      <c r="B469" s="228"/>
      <c r="C469" s="228"/>
      <c r="D469" s="310"/>
      <c r="E469" s="311"/>
      <c r="F469" s="228"/>
      <c r="G469" s="228"/>
      <c r="H469" s="228"/>
      <c r="I469" s="228"/>
      <c r="J469" s="228"/>
      <c r="K469" s="660"/>
      <c r="L469" s="228"/>
      <c r="M469" s="228"/>
      <c r="N469" s="228"/>
    </row>
    <row r="470">
      <c r="A470" s="228"/>
      <c r="B470" s="228"/>
      <c r="C470" s="228"/>
      <c r="D470" s="310"/>
      <c r="E470" s="311"/>
      <c r="F470" s="228"/>
      <c r="G470" s="228"/>
      <c r="H470" s="228"/>
      <c r="I470" s="228"/>
      <c r="J470" s="228"/>
      <c r="K470" s="660"/>
      <c r="L470" s="228"/>
      <c r="M470" s="228"/>
      <c r="N470" s="228"/>
    </row>
    <row r="471">
      <c r="A471" s="228"/>
      <c r="B471" s="228"/>
      <c r="C471" s="228"/>
      <c r="D471" s="310"/>
      <c r="E471" s="311"/>
      <c r="F471" s="228"/>
      <c r="G471" s="228"/>
      <c r="H471" s="228"/>
      <c r="I471" s="228"/>
      <c r="J471" s="228"/>
      <c r="K471" s="660"/>
      <c r="L471" s="228"/>
      <c r="M471" s="228"/>
      <c r="N471" s="228"/>
    </row>
    <row r="472">
      <c r="A472" s="228"/>
      <c r="B472" s="228"/>
      <c r="C472" s="228"/>
      <c r="D472" s="310"/>
      <c r="E472" s="311"/>
      <c r="F472" s="228"/>
      <c r="G472" s="228"/>
      <c r="H472" s="228"/>
      <c r="I472" s="228"/>
      <c r="J472" s="228"/>
      <c r="K472" s="660"/>
      <c r="L472" s="228"/>
      <c r="M472" s="228"/>
      <c r="N472" s="228"/>
    </row>
    <row r="473">
      <c r="A473" s="228"/>
      <c r="B473" s="228"/>
      <c r="C473" s="228"/>
      <c r="D473" s="310"/>
      <c r="E473" s="311"/>
      <c r="F473" s="228"/>
      <c r="G473" s="228"/>
      <c r="H473" s="228"/>
      <c r="I473" s="228"/>
      <c r="J473" s="228"/>
      <c r="K473" s="660"/>
      <c r="L473" s="228"/>
      <c r="M473" s="228"/>
      <c r="N473" s="228"/>
    </row>
    <row r="474">
      <c r="A474" s="228"/>
      <c r="B474" s="228"/>
      <c r="C474" s="228"/>
      <c r="D474" s="310"/>
      <c r="E474" s="311"/>
      <c r="F474" s="228"/>
      <c r="G474" s="228"/>
      <c r="H474" s="228"/>
      <c r="I474" s="228"/>
      <c r="J474" s="228"/>
      <c r="K474" s="660"/>
      <c r="L474" s="228"/>
      <c r="M474" s="228"/>
      <c r="N474" s="228"/>
    </row>
    <row r="475">
      <c r="A475" s="228"/>
      <c r="B475" s="228"/>
      <c r="C475" s="228"/>
      <c r="D475" s="310"/>
      <c r="E475" s="311"/>
      <c r="F475" s="228"/>
      <c r="G475" s="228"/>
      <c r="H475" s="228"/>
      <c r="I475" s="228"/>
      <c r="J475" s="228"/>
      <c r="K475" s="660"/>
      <c r="L475" s="228"/>
      <c r="M475" s="228"/>
      <c r="N475" s="228"/>
    </row>
    <row r="476">
      <c r="A476" s="228"/>
      <c r="B476" s="228"/>
      <c r="C476" s="228"/>
      <c r="D476" s="310"/>
      <c r="E476" s="311"/>
      <c r="F476" s="228"/>
      <c r="G476" s="228"/>
      <c r="H476" s="228"/>
      <c r="I476" s="228"/>
      <c r="J476" s="228"/>
      <c r="K476" s="660"/>
      <c r="L476" s="228"/>
      <c r="M476" s="228"/>
      <c r="N476" s="228"/>
    </row>
    <row r="477">
      <c r="A477" s="228"/>
      <c r="B477" s="228"/>
      <c r="C477" s="228"/>
      <c r="D477" s="310"/>
      <c r="E477" s="311"/>
      <c r="F477" s="228"/>
      <c r="G477" s="228"/>
      <c r="H477" s="228"/>
      <c r="I477" s="228"/>
      <c r="J477" s="228"/>
      <c r="K477" s="660"/>
      <c r="L477" s="228"/>
      <c r="M477" s="228"/>
      <c r="N477" s="228"/>
    </row>
    <row r="478">
      <c r="A478" s="228"/>
      <c r="B478" s="228"/>
      <c r="C478" s="228"/>
      <c r="D478" s="310"/>
      <c r="E478" s="311"/>
      <c r="F478" s="228"/>
      <c r="G478" s="228"/>
      <c r="H478" s="228"/>
      <c r="I478" s="228"/>
      <c r="J478" s="228"/>
      <c r="K478" s="660"/>
      <c r="L478" s="228"/>
      <c r="M478" s="228"/>
      <c r="N478" s="228"/>
    </row>
    <row r="479">
      <c r="A479" s="228"/>
      <c r="B479" s="228"/>
      <c r="C479" s="228"/>
      <c r="D479" s="310"/>
      <c r="E479" s="311"/>
      <c r="F479" s="228"/>
      <c r="G479" s="228"/>
      <c r="H479" s="228"/>
      <c r="I479" s="228"/>
      <c r="J479" s="228"/>
      <c r="K479" s="660"/>
      <c r="L479" s="228"/>
      <c r="M479" s="228"/>
      <c r="N479" s="228"/>
    </row>
    <row r="480">
      <c r="A480" s="228"/>
      <c r="B480" s="228"/>
      <c r="C480" s="228"/>
      <c r="D480" s="310"/>
      <c r="E480" s="311"/>
      <c r="F480" s="228"/>
      <c r="G480" s="228"/>
      <c r="H480" s="228"/>
      <c r="I480" s="228"/>
      <c r="J480" s="228"/>
      <c r="K480" s="660"/>
      <c r="L480" s="228"/>
      <c r="M480" s="228"/>
      <c r="N480" s="228"/>
    </row>
    <row r="481">
      <c r="A481" s="228"/>
      <c r="B481" s="228"/>
      <c r="C481" s="228"/>
      <c r="D481" s="310"/>
      <c r="E481" s="311"/>
      <c r="F481" s="228"/>
      <c r="G481" s="228"/>
      <c r="H481" s="228"/>
      <c r="I481" s="228"/>
      <c r="J481" s="228"/>
      <c r="K481" s="660"/>
      <c r="L481" s="228"/>
      <c r="M481" s="228"/>
      <c r="N481" s="228"/>
    </row>
    <row r="482">
      <c r="A482" s="228"/>
      <c r="B482" s="228"/>
      <c r="C482" s="228"/>
      <c r="D482" s="310"/>
      <c r="E482" s="311"/>
      <c r="F482" s="228"/>
      <c r="G482" s="228"/>
      <c r="H482" s="228"/>
      <c r="I482" s="228"/>
      <c r="J482" s="228"/>
      <c r="K482" s="660"/>
      <c r="L482" s="228"/>
      <c r="M482" s="228"/>
      <c r="N482" s="228"/>
    </row>
    <row r="483">
      <c r="A483" s="228"/>
      <c r="B483" s="228"/>
      <c r="C483" s="228"/>
      <c r="D483" s="310"/>
      <c r="E483" s="311"/>
      <c r="F483" s="228"/>
      <c r="G483" s="228"/>
      <c r="H483" s="228"/>
      <c r="I483" s="228"/>
      <c r="J483" s="228"/>
      <c r="K483" s="660"/>
      <c r="L483" s="228"/>
      <c r="M483" s="228"/>
      <c r="N483" s="228"/>
    </row>
    <row r="484">
      <c r="A484" s="228"/>
      <c r="B484" s="228"/>
      <c r="C484" s="228"/>
      <c r="D484" s="310"/>
      <c r="E484" s="311"/>
      <c r="F484" s="228"/>
      <c r="G484" s="228"/>
      <c r="H484" s="228"/>
      <c r="I484" s="228"/>
      <c r="J484" s="228"/>
      <c r="K484" s="660"/>
      <c r="L484" s="228"/>
      <c r="M484" s="228"/>
      <c r="N484" s="228"/>
    </row>
    <row r="485">
      <c r="A485" s="228"/>
      <c r="B485" s="228"/>
      <c r="C485" s="228"/>
      <c r="D485" s="310"/>
      <c r="E485" s="311"/>
      <c r="F485" s="228"/>
      <c r="G485" s="228"/>
      <c r="H485" s="228"/>
      <c r="I485" s="228"/>
      <c r="J485" s="228"/>
      <c r="K485" s="660"/>
      <c r="L485" s="228"/>
      <c r="M485" s="228"/>
      <c r="N485" s="228"/>
    </row>
    <row r="486">
      <c r="A486" s="228"/>
      <c r="B486" s="228"/>
      <c r="C486" s="228"/>
      <c r="D486" s="310"/>
      <c r="E486" s="311"/>
      <c r="F486" s="228"/>
      <c r="G486" s="228"/>
      <c r="H486" s="228"/>
      <c r="I486" s="228"/>
      <c r="J486" s="228"/>
      <c r="K486" s="660"/>
      <c r="L486" s="228"/>
      <c r="M486" s="228"/>
      <c r="N486" s="228"/>
    </row>
    <row r="487">
      <c r="A487" s="228"/>
      <c r="B487" s="228"/>
      <c r="C487" s="228"/>
      <c r="D487" s="310"/>
      <c r="E487" s="311"/>
      <c r="F487" s="228"/>
      <c r="G487" s="228"/>
      <c r="H487" s="228"/>
      <c r="I487" s="228"/>
      <c r="J487" s="228"/>
      <c r="K487" s="660"/>
      <c r="L487" s="228"/>
      <c r="M487" s="228"/>
      <c r="N487" s="228"/>
    </row>
    <row r="488">
      <c r="A488" s="228"/>
      <c r="B488" s="228"/>
      <c r="C488" s="228"/>
      <c r="D488" s="310"/>
      <c r="E488" s="311"/>
      <c r="F488" s="228"/>
      <c r="G488" s="228"/>
      <c r="H488" s="228"/>
      <c r="I488" s="228"/>
      <c r="J488" s="228"/>
      <c r="K488" s="660"/>
      <c r="L488" s="228"/>
      <c r="M488" s="228"/>
      <c r="N488" s="228"/>
    </row>
    <row r="489">
      <c r="A489" s="228"/>
      <c r="B489" s="228"/>
      <c r="C489" s="228"/>
      <c r="D489" s="310"/>
      <c r="E489" s="311"/>
      <c r="F489" s="228"/>
      <c r="G489" s="228"/>
      <c r="H489" s="228"/>
      <c r="I489" s="228"/>
      <c r="J489" s="228"/>
      <c r="K489" s="660"/>
      <c r="L489" s="228"/>
      <c r="M489" s="228"/>
      <c r="N489" s="228"/>
    </row>
    <row r="490">
      <c r="A490" s="228"/>
      <c r="B490" s="228"/>
      <c r="C490" s="228"/>
      <c r="D490" s="310"/>
      <c r="E490" s="311"/>
      <c r="F490" s="228"/>
      <c r="G490" s="228"/>
      <c r="H490" s="228"/>
      <c r="I490" s="228"/>
      <c r="J490" s="228"/>
      <c r="K490" s="660"/>
      <c r="L490" s="228"/>
      <c r="M490" s="228"/>
      <c r="N490" s="228"/>
    </row>
    <row r="491">
      <c r="A491" s="228"/>
      <c r="B491" s="228"/>
      <c r="C491" s="228"/>
      <c r="D491" s="310"/>
      <c r="E491" s="311"/>
      <c r="F491" s="228"/>
      <c r="G491" s="228"/>
      <c r="H491" s="228"/>
      <c r="I491" s="228"/>
      <c r="J491" s="228"/>
      <c r="K491" s="660"/>
      <c r="L491" s="228"/>
      <c r="M491" s="228"/>
      <c r="N491" s="228"/>
    </row>
    <row r="492">
      <c r="A492" s="228"/>
      <c r="B492" s="228"/>
      <c r="C492" s="228"/>
      <c r="D492" s="310"/>
      <c r="E492" s="311"/>
      <c r="F492" s="228"/>
      <c r="G492" s="228"/>
      <c r="H492" s="228"/>
      <c r="I492" s="228"/>
      <c r="J492" s="228"/>
      <c r="K492" s="660"/>
      <c r="L492" s="228"/>
      <c r="M492" s="228"/>
      <c r="N492" s="228"/>
    </row>
    <row r="493">
      <c r="A493" s="228"/>
      <c r="B493" s="228"/>
      <c r="C493" s="228"/>
      <c r="D493" s="310"/>
      <c r="E493" s="311"/>
      <c r="F493" s="228"/>
      <c r="G493" s="228"/>
      <c r="H493" s="228"/>
      <c r="I493" s="228"/>
      <c r="J493" s="228"/>
      <c r="K493" s="660"/>
      <c r="L493" s="228"/>
      <c r="M493" s="228"/>
      <c r="N493" s="228"/>
    </row>
    <row r="494">
      <c r="A494" s="228"/>
      <c r="B494" s="228"/>
      <c r="C494" s="228"/>
      <c r="D494" s="310"/>
      <c r="E494" s="311"/>
      <c r="F494" s="228"/>
      <c r="G494" s="228"/>
      <c r="H494" s="228"/>
      <c r="I494" s="228"/>
      <c r="J494" s="228"/>
      <c r="K494" s="660"/>
      <c r="L494" s="228"/>
      <c r="M494" s="228"/>
      <c r="N494" s="228"/>
    </row>
    <row r="495">
      <c r="A495" s="228"/>
      <c r="B495" s="228"/>
      <c r="C495" s="228"/>
      <c r="D495" s="310"/>
      <c r="E495" s="311"/>
      <c r="F495" s="228"/>
      <c r="G495" s="228"/>
      <c r="H495" s="228"/>
      <c r="I495" s="228"/>
      <c r="J495" s="228"/>
      <c r="K495" s="660"/>
      <c r="L495" s="228"/>
      <c r="M495" s="228"/>
      <c r="N495" s="228"/>
    </row>
    <row r="496">
      <c r="A496" s="228"/>
      <c r="B496" s="228"/>
      <c r="C496" s="228"/>
      <c r="D496" s="310"/>
      <c r="E496" s="311"/>
      <c r="F496" s="228"/>
      <c r="G496" s="228"/>
      <c r="H496" s="228"/>
      <c r="I496" s="228"/>
      <c r="J496" s="228"/>
      <c r="K496" s="660"/>
      <c r="L496" s="228"/>
      <c r="M496" s="228"/>
      <c r="N496" s="228"/>
    </row>
    <row r="497">
      <c r="A497" s="228"/>
      <c r="B497" s="228"/>
      <c r="C497" s="228"/>
      <c r="D497" s="310"/>
      <c r="E497" s="311"/>
      <c r="F497" s="228"/>
      <c r="G497" s="228"/>
      <c r="H497" s="228"/>
      <c r="I497" s="228"/>
      <c r="J497" s="228"/>
      <c r="K497" s="660"/>
      <c r="L497" s="228"/>
      <c r="M497" s="228"/>
      <c r="N497" s="228"/>
    </row>
    <row r="498">
      <c r="A498" s="228"/>
      <c r="B498" s="228"/>
      <c r="C498" s="228"/>
      <c r="D498" s="310"/>
      <c r="E498" s="311"/>
      <c r="F498" s="228"/>
      <c r="G498" s="228"/>
      <c r="H498" s="228"/>
      <c r="I498" s="228"/>
      <c r="J498" s="228"/>
      <c r="K498" s="660"/>
      <c r="L498" s="228"/>
      <c r="M498" s="228"/>
      <c r="N498" s="228"/>
    </row>
    <row r="499">
      <c r="A499" s="228"/>
      <c r="B499" s="228"/>
      <c r="C499" s="228"/>
      <c r="D499" s="310"/>
      <c r="E499" s="311"/>
      <c r="F499" s="228"/>
      <c r="G499" s="228"/>
      <c r="H499" s="228"/>
      <c r="I499" s="228"/>
      <c r="J499" s="228"/>
      <c r="K499" s="660"/>
      <c r="L499" s="228"/>
      <c r="M499" s="228"/>
      <c r="N499" s="228"/>
    </row>
    <row r="500">
      <c r="A500" s="228"/>
      <c r="B500" s="228"/>
      <c r="C500" s="228"/>
      <c r="D500" s="310"/>
      <c r="E500" s="311"/>
      <c r="F500" s="228"/>
      <c r="G500" s="228"/>
      <c r="H500" s="228"/>
      <c r="I500" s="228"/>
      <c r="J500" s="228"/>
      <c r="K500" s="660"/>
      <c r="L500" s="228"/>
      <c r="M500" s="228"/>
      <c r="N500" s="228"/>
    </row>
    <row r="501">
      <c r="A501" s="228"/>
      <c r="B501" s="228"/>
      <c r="C501" s="228"/>
      <c r="D501" s="310"/>
      <c r="E501" s="311"/>
      <c r="F501" s="228"/>
      <c r="G501" s="228"/>
      <c r="H501" s="228"/>
      <c r="I501" s="228"/>
      <c r="J501" s="228"/>
      <c r="K501" s="660"/>
      <c r="L501" s="228"/>
      <c r="M501" s="228"/>
      <c r="N501" s="228"/>
    </row>
    <row r="502">
      <c r="A502" s="228"/>
      <c r="B502" s="228"/>
      <c r="C502" s="228"/>
      <c r="D502" s="310"/>
      <c r="E502" s="311"/>
      <c r="F502" s="228"/>
      <c r="G502" s="228"/>
      <c r="H502" s="228"/>
      <c r="I502" s="228"/>
      <c r="J502" s="228"/>
      <c r="K502" s="660"/>
      <c r="L502" s="228"/>
      <c r="M502" s="228"/>
      <c r="N502" s="228"/>
    </row>
    <row r="503">
      <c r="A503" s="228"/>
      <c r="B503" s="228"/>
      <c r="C503" s="228"/>
      <c r="D503" s="310"/>
      <c r="E503" s="311"/>
      <c r="F503" s="228"/>
      <c r="G503" s="228"/>
      <c r="H503" s="228"/>
      <c r="I503" s="228"/>
      <c r="J503" s="228"/>
      <c r="K503" s="660"/>
      <c r="L503" s="228"/>
      <c r="M503" s="228"/>
      <c r="N503" s="228"/>
    </row>
    <row r="504">
      <c r="A504" s="228"/>
      <c r="B504" s="228"/>
      <c r="C504" s="228"/>
      <c r="D504" s="310"/>
      <c r="E504" s="311"/>
      <c r="F504" s="228"/>
      <c r="G504" s="228"/>
      <c r="H504" s="228"/>
      <c r="I504" s="228"/>
      <c r="J504" s="228"/>
      <c r="K504" s="660"/>
      <c r="L504" s="228"/>
      <c r="M504" s="228"/>
      <c r="N504" s="228"/>
    </row>
    <row r="505">
      <c r="A505" s="228"/>
      <c r="B505" s="228"/>
      <c r="C505" s="228"/>
      <c r="D505" s="310"/>
      <c r="E505" s="311"/>
      <c r="F505" s="228"/>
      <c r="G505" s="228"/>
      <c r="H505" s="228"/>
      <c r="I505" s="228"/>
      <c r="J505" s="228"/>
      <c r="K505" s="660"/>
      <c r="L505" s="228"/>
      <c r="M505" s="228"/>
      <c r="N505" s="228"/>
    </row>
    <row r="506">
      <c r="A506" s="228"/>
      <c r="B506" s="228"/>
      <c r="C506" s="228"/>
      <c r="D506" s="310"/>
      <c r="E506" s="311"/>
      <c r="F506" s="228"/>
      <c r="G506" s="228"/>
      <c r="H506" s="228"/>
      <c r="I506" s="228"/>
      <c r="J506" s="228"/>
      <c r="K506" s="660"/>
      <c r="L506" s="228"/>
      <c r="M506" s="228"/>
      <c r="N506" s="228"/>
    </row>
    <row r="507">
      <c r="A507" s="228"/>
      <c r="B507" s="228"/>
      <c r="C507" s="228"/>
      <c r="D507" s="310"/>
      <c r="E507" s="311"/>
      <c r="F507" s="228"/>
      <c r="G507" s="228"/>
      <c r="H507" s="228"/>
      <c r="I507" s="228"/>
      <c r="J507" s="228"/>
      <c r="K507" s="660"/>
      <c r="L507" s="228"/>
      <c r="M507" s="228"/>
      <c r="N507" s="228"/>
    </row>
    <row r="508">
      <c r="A508" s="228"/>
      <c r="B508" s="228"/>
      <c r="C508" s="228"/>
      <c r="D508" s="310"/>
      <c r="E508" s="311"/>
      <c r="F508" s="228"/>
      <c r="G508" s="228"/>
      <c r="H508" s="228"/>
      <c r="I508" s="228"/>
      <c r="J508" s="228"/>
      <c r="K508" s="660"/>
      <c r="L508" s="228"/>
      <c r="M508" s="228"/>
      <c r="N508" s="228"/>
    </row>
    <row r="509">
      <c r="A509" s="228"/>
      <c r="B509" s="228"/>
      <c r="C509" s="228"/>
      <c r="D509" s="310"/>
      <c r="E509" s="311"/>
      <c r="F509" s="228"/>
      <c r="G509" s="228"/>
      <c r="H509" s="228"/>
      <c r="I509" s="228"/>
      <c r="J509" s="228"/>
      <c r="K509" s="660"/>
      <c r="L509" s="228"/>
      <c r="M509" s="228"/>
      <c r="N509" s="228"/>
    </row>
    <row r="510">
      <c r="A510" s="228"/>
      <c r="B510" s="228"/>
      <c r="C510" s="228"/>
      <c r="D510" s="310"/>
      <c r="E510" s="311"/>
      <c r="F510" s="228"/>
      <c r="G510" s="228"/>
      <c r="H510" s="228"/>
      <c r="I510" s="228"/>
      <c r="J510" s="228"/>
      <c r="K510" s="660"/>
      <c r="L510" s="228"/>
      <c r="M510" s="228"/>
      <c r="N510" s="228"/>
    </row>
    <row r="511">
      <c r="A511" s="228"/>
      <c r="B511" s="228"/>
      <c r="C511" s="228"/>
      <c r="D511" s="310"/>
      <c r="E511" s="311"/>
      <c r="F511" s="228"/>
      <c r="G511" s="228"/>
      <c r="H511" s="228"/>
      <c r="I511" s="228"/>
      <c r="J511" s="228"/>
      <c r="K511" s="660"/>
      <c r="L511" s="228"/>
      <c r="M511" s="228"/>
      <c r="N511" s="228"/>
    </row>
    <row r="512">
      <c r="A512" s="228"/>
      <c r="B512" s="228"/>
      <c r="C512" s="228"/>
      <c r="D512" s="310"/>
      <c r="E512" s="311"/>
      <c r="F512" s="228"/>
      <c r="G512" s="228"/>
      <c r="H512" s="228"/>
      <c r="I512" s="228"/>
      <c r="J512" s="228"/>
      <c r="K512" s="660"/>
      <c r="L512" s="228"/>
      <c r="M512" s="228"/>
      <c r="N512" s="228"/>
    </row>
    <row r="513">
      <c r="A513" s="228"/>
      <c r="B513" s="228"/>
      <c r="C513" s="228"/>
      <c r="D513" s="310"/>
      <c r="E513" s="311"/>
      <c r="F513" s="228"/>
      <c r="G513" s="228"/>
      <c r="H513" s="228"/>
      <c r="I513" s="228"/>
      <c r="J513" s="228"/>
      <c r="K513" s="660"/>
      <c r="L513" s="228"/>
      <c r="M513" s="228"/>
      <c r="N513" s="228"/>
    </row>
    <row r="514">
      <c r="A514" s="228"/>
      <c r="B514" s="228"/>
      <c r="C514" s="228"/>
      <c r="D514" s="310"/>
      <c r="E514" s="311"/>
      <c r="F514" s="228"/>
      <c r="G514" s="228"/>
      <c r="H514" s="228"/>
      <c r="I514" s="228"/>
      <c r="J514" s="228"/>
      <c r="K514" s="660"/>
      <c r="L514" s="228"/>
      <c r="M514" s="228"/>
      <c r="N514" s="228"/>
    </row>
    <row r="515">
      <c r="A515" s="228"/>
      <c r="B515" s="228"/>
      <c r="C515" s="228"/>
      <c r="D515" s="310"/>
      <c r="E515" s="311"/>
      <c r="F515" s="228"/>
      <c r="G515" s="228"/>
      <c r="H515" s="228"/>
      <c r="I515" s="228"/>
      <c r="J515" s="228"/>
      <c r="K515" s="660"/>
      <c r="L515" s="228"/>
      <c r="M515" s="228"/>
      <c r="N515" s="228"/>
    </row>
    <row r="516">
      <c r="A516" s="228"/>
      <c r="B516" s="228"/>
      <c r="C516" s="228"/>
      <c r="D516" s="310"/>
      <c r="E516" s="311"/>
      <c r="F516" s="228"/>
      <c r="G516" s="228"/>
      <c r="H516" s="228"/>
      <c r="I516" s="228"/>
      <c r="J516" s="228"/>
      <c r="K516" s="660"/>
      <c r="L516" s="228"/>
      <c r="M516" s="228"/>
      <c r="N516" s="228"/>
    </row>
    <row r="517">
      <c r="A517" s="228"/>
      <c r="B517" s="228"/>
      <c r="C517" s="228"/>
      <c r="D517" s="310"/>
      <c r="E517" s="311"/>
      <c r="F517" s="228"/>
      <c r="G517" s="228"/>
      <c r="H517" s="228"/>
      <c r="I517" s="228"/>
      <c r="J517" s="228"/>
      <c r="K517" s="660"/>
      <c r="L517" s="228"/>
      <c r="M517" s="228"/>
      <c r="N517" s="228"/>
    </row>
    <row r="518">
      <c r="A518" s="228"/>
      <c r="B518" s="228"/>
      <c r="C518" s="228"/>
      <c r="D518" s="310"/>
      <c r="E518" s="311"/>
      <c r="F518" s="228"/>
      <c r="G518" s="228"/>
      <c r="H518" s="228"/>
      <c r="I518" s="228"/>
      <c r="J518" s="228"/>
      <c r="K518" s="660"/>
      <c r="L518" s="228"/>
      <c r="M518" s="228"/>
      <c r="N518" s="228"/>
    </row>
    <row r="519">
      <c r="A519" s="228"/>
      <c r="B519" s="228"/>
      <c r="C519" s="228"/>
      <c r="D519" s="310"/>
      <c r="E519" s="311"/>
      <c r="F519" s="228"/>
      <c r="G519" s="228"/>
      <c r="H519" s="228"/>
      <c r="I519" s="228"/>
      <c r="J519" s="228"/>
      <c r="K519" s="660"/>
      <c r="L519" s="228"/>
      <c r="M519" s="228"/>
      <c r="N519" s="228"/>
    </row>
    <row r="520">
      <c r="A520" s="228"/>
      <c r="B520" s="228"/>
      <c r="C520" s="228"/>
      <c r="D520" s="310"/>
      <c r="E520" s="311"/>
      <c r="F520" s="228"/>
      <c r="G520" s="228"/>
      <c r="H520" s="228"/>
      <c r="I520" s="228"/>
      <c r="J520" s="228"/>
      <c r="K520" s="660"/>
      <c r="L520" s="228"/>
      <c r="M520" s="228"/>
      <c r="N520" s="228"/>
    </row>
    <row r="521">
      <c r="A521" s="228"/>
      <c r="B521" s="228"/>
      <c r="C521" s="228"/>
      <c r="D521" s="310"/>
      <c r="E521" s="311"/>
      <c r="F521" s="228"/>
      <c r="G521" s="228"/>
      <c r="H521" s="228"/>
      <c r="I521" s="228"/>
      <c r="J521" s="228"/>
      <c r="K521" s="660"/>
      <c r="L521" s="228"/>
      <c r="M521" s="228"/>
      <c r="N521" s="228"/>
    </row>
    <row r="522">
      <c r="A522" s="228"/>
      <c r="B522" s="228"/>
      <c r="C522" s="228"/>
      <c r="D522" s="310"/>
      <c r="E522" s="311"/>
      <c r="F522" s="228"/>
      <c r="G522" s="228"/>
      <c r="H522" s="228"/>
      <c r="I522" s="228"/>
      <c r="J522" s="228"/>
      <c r="K522" s="660"/>
      <c r="L522" s="228"/>
      <c r="M522" s="228"/>
      <c r="N522" s="228"/>
    </row>
    <row r="523">
      <c r="A523" s="228"/>
      <c r="B523" s="228"/>
      <c r="C523" s="228"/>
      <c r="D523" s="310"/>
      <c r="E523" s="311"/>
      <c r="F523" s="228"/>
      <c r="G523" s="228"/>
      <c r="H523" s="228"/>
      <c r="I523" s="228"/>
      <c r="J523" s="228"/>
      <c r="K523" s="660"/>
      <c r="L523" s="228"/>
      <c r="M523" s="228"/>
      <c r="N523" s="228"/>
    </row>
    <row r="524">
      <c r="A524" s="228"/>
      <c r="B524" s="228"/>
      <c r="C524" s="228"/>
      <c r="D524" s="310"/>
      <c r="E524" s="311"/>
      <c r="F524" s="228"/>
      <c r="G524" s="228"/>
      <c r="H524" s="228"/>
      <c r="I524" s="228"/>
      <c r="J524" s="228"/>
      <c r="K524" s="660"/>
      <c r="L524" s="228"/>
      <c r="M524" s="228"/>
      <c r="N524" s="228"/>
    </row>
    <row r="525">
      <c r="A525" s="228"/>
      <c r="B525" s="228"/>
      <c r="C525" s="228"/>
      <c r="D525" s="310"/>
      <c r="E525" s="311"/>
      <c r="F525" s="228"/>
      <c r="G525" s="228"/>
      <c r="H525" s="228"/>
      <c r="I525" s="228"/>
      <c r="J525" s="228"/>
      <c r="K525" s="660"/>
      <c r="L525" s="228"/>
      <c r="M525" s="228"/>
      <c r="N525" s="228"/>
    </row>
    <row r="526">
      <c r="A526" s="228"/>
      <c r="B526" s="228"/>
      <c r="C526" s="228"/>
      <c r="D526" s="310"/>
      <c r="E526" s="311"/>
      <c r="F526" s="228"/>
      <c r="G526" s="228"/>
      <c r="H526" s="228"/>
      <c r="I526" s="228"/>
      <c r="J526" s="228"/>
      <c r="K526" s="660"/>
      <c r="L526" s="228"/>
      <c r="M526" s="228"/>
      <c r="N526" s="228"/>
    </row>
    <row r="527">
      <c r="A527" s="228"/>
      <c r="B527" s="228"/>
      <c r="C527" s="228"/>
      <c r="D527" s="310"/>
      <c r="E527" s="311"/>
      <c r="F527" s="228"/>
      <c r="G527" s="228"/>
      <c r="H527" s="228"/>
      <c r="I527" s="228"/>
      <c r="J527" s="228"/>
      <c r="K527" s="660"/>
      <c r="L527" s="228"/>
      <c r="M527" s="228"/>
      <c r="N527" s="228"/>
    </row>
    <row r="528">
      <c r="A528" s="228"/>
      <c r="B528" s="228"/>
      <c r="C528" s="228"/>
      <c r="D528" s="310"/>
      <c r="E528" s="311"/>
      <c r="F528" s="228"/>
      <c r="G528" s="228"/>
      <c r="H528" s="228"/>
      <c r="I528" s="228"/>
      <c r="J528" s="228"/>
      <c r="K528" s="660"/>
      <c r="L528" s="228"/>
      <c r="M528" s="228"/>
      <c r="N528" s="228"/>
    </row>
    <row r="529">
      <c r="A529" s="228"/>
      <c r="B529" s="228"/>
      <c r="C529" s="228"/>
      <c r="D529" s="310"/>
      <c r="E529" s="311"/>
      <c r="F529" s="228"/>
      <c r="G529" s="228"/>
      <c r="H529" s="228"/>
      <c r="I529" s="228"/>
      <c r="J529" s="228"/>
      <c r="K529" s="660"/>
      <c r="L529" s="228"/>
      <c r="M529" s="228"/>
      <c r="N529" s="228"/>
    </row>
    <row r="530">
      <c r="A530" s="228"/>
      <c r="B530" s="228"/>
      <c r="C530" s="228"/>
      <c r="D530" s="310"/>
      <c r="E530" s="311"/>
      <c r="F530" s="228"/>
      <c r="G530" s="228"/>
      <c r="H530" s="228"/>
      <c r="I530" s="228"/>
      <c r="J530" s="228"/>
      <c r="K530" s="660"/>
      <c r="L530" s="228"/>
      <c r="M530" s="228"/>
      <c r="N530" s="228"/>
    </row>
    <row r="531">
      <c r="A531" s="228"/>
      <c r="B531" s="228"/>
      <c r="C531" s="228"/>
      <c r="D531" s="310"/>
      <c r="E531" s="311"/>
      <c r="F531" s="228"/>
      <c r="G531" s="228"/>
      <c r="H531" s="228"/>
      <c r="I531" s="228"/>
      <c r="J531" s="228"/>
      <c r="K531" s="660"/>
      <c r="L531" s="228"/>
      <c r="M531" s="228"/>
      <c r="N531" s="228"/>
    </row>
    <row r="532">
      <c r="A532" s="228"/>
      <c r="B532" s="228"/>
      <c r="C532" s="228"/>
      <c r="D532" s="310"/>
      <c r="E532" s="311"/>
      <c r="F532" s="228"/>
      <c r="G532" s="228"/>
      <c r="H532" s="228"/>
      <c r="I532" s="228"/>
      <c r="J532" s="228"/>
      <c r="K532" s="660"/>
      <c r="L532" s="228"/>
      <c r="M532" s="228"/>
      <c r="N532" s="228"/>
    </row>
    <row r="533">
      <c r="A533" s="228"/>
      <c r="B533" s="228"/>
      <c r="C533" s="228"/>
      <c r="D533" s="310"/>
      <c r="E533" s="311"/>
      <c r="F533" s="228"/>
      <c r="G533" s="228"/>
      <c r="H533" s="228"/>
      <c r="I533" s="228"/>
      <c r="J533" s="228"/>
      <c r="K533" s="660"/>
      <c r="L533" s="228"/>
      <c r="M533" s="228"/>
      <c r="N533" s="228"/>
    </row>
    <row r="534">
      <c r="A534" s="228"/>
      <c r="B534" s="228"/>
      <c r="C534" s="228"/>
      <c r="D534" s="310"/>
      <c r="E534" s="311"/>
      <c r="F534" s="228"/>
      <c r="G534" s="228"/>
      <c r="H534" s="228"/>
      <c r="I534" s="228"/>
      <c r="J534" s="228"/>
      <c r="K534" s="660"/>
      <c r="L534" s="228"/>
      <c r="M534" s="228"/>
      <c r="N534" s="228"/>
    </row>
    <row r="535">
      <c r="A535" s="228"/>
      <c r="B535" s="228"/>
      <c r="C535" s="228"/>
      <c r="D535" s="310"/>
      <c r="E535" s="311"/>
      <c r="F535" s="228"/>
      <c r="G535" s="228"/>
      <c r="H535" s="228"/>
      <c r="I535" s="228"/>
      <c r="J535" s="228"/>
      <c r="K535" s="660"/>
      <c r="L535" s="228"/>
      <c r="M535" s="228"/>
      <c r="N535" s="228"/>
    </row>
    <row r="536">
      <c r="A536" s="228"/>
      <c r="B536" s="228"/>
      <c r="C536" s="228"/>
      <c r="D536" s="310"/>
      <c r="E536" s="311"/>
      <c r="F536" s="228"/>
      <c r="G536" s="228"/>
      <c r="H536" s="228"/>
      <c r="I536" s="228"/>
      <c r="J536" s="228"/>
      <c r="K536" s="660"/>
      <c r="L536" s="228"/>
      <c r="M536" s="228"/>
      <c r="N536" s="228"/>
    </row>
    <row r="537">
      <c r="A537" s="228"/>
      <c r="B537" s="228"/>
      <c r="C537" s="228"/>
      <c r="D537" s="310"/>
      <c r="E537" s="311"/>
      <c r="F537" s="228"/>
      <c r="G537" s="228"/>
      <c r="H537" s="228"/>
      <c r="I537" s="228"/>
      <c r="J537" s="228"/>
      <c r="K537" s="660"/>
      <c r="L537" s="228"/>
      <c r="M537" s="228"/>
      <c r="N537" s="228"/>
    </row>
    <row r="538">
      <c r="A538" s="228"/>
      <c r="B538" s="228"/>
      <c r="C538" s="228"/>
      <c r="D538" s="310"/>
      <c r="E538" s="311"/>
      <c r="F538" s="228"/>
      <c r="G538" s="228"/>
      <c r="H538" s="228"/>
      <c r="I538" s="228"/>
      <c r="J538" s="228"/>
      <c r="K538" s="660"/>
      <c r="L538" s="228"/>
      <c r="M538" s="228"/>
      <c r="N538" s="228"/>
    </row>
    <row r="539">
      <c r="A539" s="228"/>
      <c r="B539" s="228"/>
      <c r="C539" s="228"/>
      <c r="D539" s="310"/>
      <c r="E539" s="311"/>
      <c r="F539" s="228"/>
      <c r="G539" s="228"/>
      <c r="H539" s="228"/>
      <c r="I539" s="228"/>
      <c r="J539" s="228"/>
      <c r="K539" s="660"/>
      <c r="L539" s="228"/>
      <c r="M539" s="228"/>
      <c r="N539" s="228"/>
    </row>
    <row r="540">
      <c r="A540" s="228"/>
      <c r="B540" s="228"/>
      <c r="C540" s="228"/>
      <c r="D540" s="310"/>
      <c r="E540" s="311"/>
      <c r="F540" s="228"/>
      <c r="G540" s="228"/>
      <c r="H540" s="228"/>
      <c r="I540" s="228"/>
      <c r="J540" s="228"/>
      <c r="K540" s="660"/>
      <c r="L540" s="228"/>
      <c r="M540" s="228"/>
      <c r="N540" s="228"/>
    </row>
    <row r="541">
      <c r="A541" s="228"/>
      <c r="B541" s="228"/>
      <c r="C541" s="228"/>
      <c r="D541" s="310"/>
      <c r="E541" s="311"/>
      <c r="F541" s="228"/>
      <c r="G541" s="228"/>
      <c r="H541" s="228"/>
      <c r="I541" s="228"/>
      <c r="J541" s="228"/>
      <c r="K541" s="660"/>
      <c r="L541" s="228"/>
      <c r="M541" s="228"/>
      <c r="N541" s="228"/>
    </row>
    <row r="542">
      <c r="A542" s="228"/>
      <c r="B542" s="228"/>
      <c r="C542" s="228"/>
      <c r="D542" s="310"/>
      <c r="E542" s="311"/>
      <c r="F542" s="228"/>
      <c r="G542" s="228"/>
      <c r="H542" s="228"/>
      <c r="I542" s="228"/>
      <c r="J542" s="228"/>
      <c r="K542" s="660"/>
      <c r="L542" s="228"/>
      <c r="M542" s="228"/>
      <c r="N542" s="228"/>
    </row>
    <row r="543">
      <c r="A543" s="228"/>
      <c r="B543" s="228"/>
      <c r="C543" s="228"/>
      <c r="D543" s="310"/>
      <c r="E543" s="311"/>
      <c r="F543" s="228"/>
      <c r="G543" s="228"/>
      <c r="H543" s="228"/>
      <c r="I543" s="228"/>
      <c r="J543" s="228"/>
      <c r="K543" s="660"/>
      <c r="L543" s="228"/>
      <c r="M543" s="228"/>
      <c r="N543" s="228"/>
    </row>
    <row r="544">
      <c r="A544" s="228"/>
      <c r="B544" s="228"/>
      <c r="C544" s="228"/>
      <c r="D544" s="310"/>
      <c r="E544" s="311"/>
      <c r="F544" s="228"/>
      <c r="G544" s="228"/>
      <c r="H544" s="228"/>
      <c r="I544" s="228"/>
      <c r="J544" s="228"/>
      <c r="K544" s="660"/>
      <c r="L544" s="228"/>
      <c r="M544" s="228"/>
      <c r="N544" s="228"/>
    </row>
    <row r="545">
      <c r="A545" s="228"/>
      <c r="B545" s="228"/>
      <c r="C545" s="228"/>
      <c r="D545" s="310"/>
      <c r="E545" s="311"/>
      <c r="F545" s="228"/>
      <c r="G545" s="228"/>
      <c r="H545" s="228"/>
      <c r="I545" s="228"/>
      <c r="J545" s="228"/>
      <c r="K545" s="660"/>
      <c r="L545" s="228"/>
      <c r="M545" s="228"/>
      <c r="N545" s="228"/>
    </row>
    <row r="546">
      <c r="A546" s="228"/>
      <c r="B546" s="228"/>
      <c r="C546" s="228"/>
      <c r="D546" s="310"/>
      <c r="E546" s="311"/>
      <c r="F546" s="228"/>
      <c r="G546" s="228"/>
      <c r="H546" s="228"/>
      <c r="I546" s="228"/>
      <c r="J546" s="228"/>
      <c r="K546" s="660"/>
      <c r="L546" s="228"/>
      <c r="M546" s="228"/>
      <c r="N546" s="228"/>
    </row>
    <row r="547">
      <c r="A547" s="228"/>
      <c r="B547" s="228"/>
      <c r="C547" s="228"/>
      <c r="D547" s="310"/>
      <c r="E547" s="311"/>
      <c r="F547" s="228"/>
      <c r="G547" s="228"/>
      <c r="H547" s="228"/>
      <c r="I547" s="228"/>
      <c r="J547" s="228"/>
      <c r="K547" s="660"/>
      <c r="L547" s="228"/>
      <c r="M547" s="228"/>
      <c r="N547" s="228"/>
    </row>
    <row r="548">
      <c r="A548" s="228"/>
      <c r="B548" s="228"/>
      <c r="C548" s="228"/>
      <c r="D548" s="310"/>
      <c r="E548" s="311"/>
      <c r="F548" s="228"/>
      <c r="G548" s="228"/>
      <c r="H548" s="228"/>
      <c r="I548" s="228"/>
      <c r="J548" s="228"/>
      <c r="K548" s="660"/>
      <c r="L548" s="228"/>
      <c r="M548" s="228"/>
      <c r="N548" s="228"/>
    </row>
    <row r="549">
      <c r="A549" s="228"/>
      <c r="B549" s="228"/>
      <c r="C549" s="228"/>
      <c r="D549" s="310"/>
      <c r="E549" s="311"/>
      <c r="F549" s="228"/>
      <c r="G549" s="228"/>
      <c r="H549" s="228"/>
      <c r="I549" s="228"/>
      <c r="J549" s="228"/>
      <c r="K549" s="660"/>
      <c r="L549" s="228"/>
      <c r="M549" s="228"/>
      <c r="N549" s="228"/>
    </row>
    <row r="550">
      <c r="A550" s="228"/>
      <c r="B550" s="228"/>
      <c r="C550" s="228"/>
      <c r="D550" s="310"/>
      <c r="E550" s="311"/>
      <c r="F550" s="228"/>
      <c r="G550" s="228"/>
      <c r="H550" s="228"/>
      <c r="I550" s="228"/>
      <c r="J550" s="228"/>
      <c r="K550" s="660"/>
      <c r="L550" s="228"/>
      <c r="M550" s="228"/>
      <c r="N550" s="228"/>
    </row>
    <row r="551">
      <c r="A551" s="228"/>
      <c r="B551" s="228"/>
      <c r="C551" s="228"/>
      <c r="D551" s="310"/>
      <c r="E551" s="311"/>
      <c r="F551" s="228"/>
      <c r="G551" s="228"/>
      <c r="H551" s="228"/>
      <c r="I551" s="228"/>
      <c r="J551" s="228"/>
      <c r="K551" s="660"/>
      <c r="L551" s="228"/>
      <c r="M551" s="228"/>
      <c r="N551" s="228"/>
    </row>
    <row r="552">
      <c r="A552" s="228"/>
      <c r="B552" s="228"/>
      <c r="C552" s="228"/>
      <c r="D552" s="310"/>
      <c r="E552" s="311"/>
      <c r="F552" s="228"/>
      <c r="G552" s="228"/>
      <c r="H552" s="228"/>
      <c r="I552" s="228"/>
      <c r="J552" s="228"/>
      <c r="K552" s="660"/>
      <c r="L552" s="228"/>
      <c r="M552" s="228"/>
      <c r="N552" s="228"/>
    </row>
    <row r="553">
      <c r="A553" s="228"/>
      <c r="B553" s="228"/>
      <c r="C553" s="228"/>
      <c r="D553" s="310"/>
      <c r="E553" s="311"/>
      <c r="F553" s="228"/>
      <c r="G553" s="228"/>
      <c r="H553" s="228"/>
      <c r="I553" s="228"/>
      <c r="J553" s="228"/>
      <c r="K553" s="660"/>
      <c r="L553" s="228"/>
      <c r="M553" s="228"/>
      <c r="N553" s="228"/>
    </row>
    <row r="554">
      <c r="A554" s="228"/>
      <c r="B554" s="228"/>
      <c r="C554" s="228"/>
      <c r="D554" s="310"/>
      <c r="E554" s="311"/>
      <c r="F554" s="228"/>
      <c r="G554" s="228"/>
      <c r="H554" s="228"/>
      <c r="I554" s="228"/>
      <c r="J554" s="228"/>
      <c r="K554" s="660"/>
      <c r="L554" s="228"/>
      <c r="M554" s="228"/>
      <c r="N554" s="228"/>
    </row>
    <row r="555">
      <c r="A555" s="228"/>
      <c r="B555" s="228"/>
      <c r="C555" s="228"/>
      <c r="D555" s="310"/>
      <c r="E555" s="311"/>
      <c r="F555" s="228"/>
      <c r="G555" s="228"/>
      <c r="H555" s="228"/>
      <c r="I555" s="228"/>
      <c r="J555" s="228"/>
      <c r="K555" s="660"/>
      <c r="L555" s="228"/>
      <c r="M555" s="228"/>
      <c r="N555" s="228"/>
    </row>
    <row r="556">
      <c r="A556" s="228"/>
      <c r="B556" s="228"/>
      <c r="C556" s="228"/>
      <c r="D556" s="310"/>
      <c r="E556" s="311"/>
      <c r="F556" s="228"/>
      <c r="G556" s="228"/>
      <c r="H556" s="228"/>
      <c r="I556" s="228"/>
      <c r="J556" s="228"/>
      <c r="K556" s="660"/>
      <c r="L556" s="228"/>
      <c r="M556" s="228"/>
      <c r="N556" s="228"/>
    </row>
    <row r="557">
      <c r="A557" s="228"/>
      <c r="B557" s="228"/>
      <c r="C557" s="228"/>
      <c r="D557" s="310"/>
      <c r="E557" s="311"/>
      <c r="F557" s="228"/>
      <c r="G557" s="228"/>
      <c r="H557" s="228"/>
      <c r="I557" s="228"/>
      <c r="J557" s="228"/>
      <c r="K557" s="660"/>
      <c r="L557" s="228"/>
      <c r="M557" s="228"/>
      <c r="N557" s="228"/>
    </row>
    <row r="558">
      <c r="A558" s="228"/>
      <c r="B558" s="228"/>
      <c r="C558" s="228"/>
      <c r="D558" s="310"/>
      <c r="E558" s="311"/>
      <c r="F558" s="228"/>
      <c r="G558" s="228"/>
      <c r="H558" s="228"/>
      <c r="I558" s="228"/>
      <c r="J558" s="228"/>
      <c r="K558" s="660"/>
      <c r="L558" s="228"/>
      <c r="M558" s="228"/>
      <c r="N558" s="228"/>
    </row>
    <row r="559">
      <c r="A559" s="228"/>
      <c r="B559" s="228"/>
      <c r="C559" s="228"/>
      <c r="D559" s="310"/>
      <c r="E559" s="311"/>
      <c r="F559" s="228"/>
      <c r="G559" s="228"/>
      <c r="H559" s="228"/>
      <c r="I559" s="228"/>
      <c r="J559" s="228"/>
      <c r="K559" s="660"/>
      <c r="L559" s="228"/>
      <c r="M559" s="228"/>
      <c r="N559" s="228"/>
    </row>
    <row r="560">
      <c r="A560" s="228"/>
      <c r="B560" s="228"/>
      <c r="C560" s="228"/>
      <c r="D560" s="310"/>
      <c r="E560" s="311"/>
      <c r="F560" s="228"/>
      <c r="G560" s="228"/>
      <c r="H560" s="228"/>
      <c r="I560" s="228"/>
      <c r="J560" s="228"/>
      <c r="K560" s="660"/>
      <c r="L560" s="228"/>
      <c r="M560" s="228"/>
      <c r="N560" s="228"/>
    </row>
    <row r="561">
      <c r="A561" s="228"/>
      <c r="B561" s="228"/>
      <c r="C561" s="228"/>
      <c r="D561" s="310"/>
      <c r="E561" s="311"/>
      <c r="F561" s="228"/>
      <c r="G561" s="228"/>
      <c r="H561" s="228"/>
      <c r="I561" s="228"/>
      <c r="J561" s="228"/>
      <c r="K561" s="660"/>
      <c r="L561" s="228"/>
      <c r="M561" s="228"/>
      <c r="N561" s="228"/>
    </row>
    <row r="562">
      <c r="A562" s="228"/>
      <c r="B562" s="228"/>
      <c r="C562" s="228"/>
      <c r="D562" s="310"/>
      <c r="E562" s="311"/>
      <c r="F562" s="228"/>
      <c r="G562" s="228"/>
      <c r="H562" s="228"/>
      <c r="I562" s="228"/>
      <c r="J562" s="228"/>
      <c r="K562" s="660"/>
      <c r="L562" s="228"/>
      <c r="M562" s="228"/>
      <c r="N562" s="228"/>
    </row>
    <row r="563">
      <c r="A563" s="228"/>
      <c r="B563" s="228"/>
      <c r="C563" s="228"/>
      <c r="D563" s="310"/>
      <c r="E563" s="311"/>
      <c r="F563" s="228"/>
      <c r="G563" s="228"/>
      <c r="H563" s="228"/>
      <c r="I563" s="228"/>
      <c r="J563" s="228"/>
      <c r="K563" s="660"/>
      <c r="L563" s="228"/>
      <c r="M563" s="228"/>
      <c r="N563" s="228"/>
    </row>
    <row r="564">
      <c r="A564" s="228"/>
      <c r="B564" s="228"/>
      <c r="C564" s="228"/>
      <c r="D564" s="310"/>
      <c r="E564" s="311"/>
      <c r="F564" s="228"/>
      <c r="G564" s="228"/>
      <c r="H564" s="228"/>
      <c r="I564" s="228"/>
      <c r="J564" s="228"/>
      <c r="K564" s="660"/>
      <c r="L564" s="228"/>
      <c r="M564" s="228"/>
      <c r="N564" s="228"/>
    </row>
    <row r="565">
      <c r="A565" s="228"/>
      <c r="B565" s="228"/>
      <c r="C565" s="228"/>
      <c r="D565" s="310"/>
      <c r="E565" s="311"/>
      <c r="F565" s="228"/>
      <c r="G565" s="228"/>
      <c r="H565" s="228"/>
      <c r="I565" s="228"/>
      <c r="J565" s="228"/>
      <c r="K565" s="660"/>
      <c r="L565" s="228"/>
      <c r="M565" s="228"/>
      <c r="N565" s="228"/>
    </row>
    <row r="566">
      <c r="A566" s="228"/>
      <c r="B566" s="228"/>
      <c r="C566" s="228"/>
      <c r="D566" s="310"/>
      <c r="E566" s="311"/>
      <c r="F566" s="228"/>
      <c r="G566" s="228"/>
      <c r="H566" s="228"/>
      <c r="I566" s="228"/>
      <c r="J566" s="228"/>
      <c r="K566" s="660"/>
      <c r="L566" s="228"/>
      <c r="M566" s="228"/>
      <c r="N566" s="228"/>
    </row>
    <row r="567">
      <c r="A567" s="228"/>
      <c r="B567" s="228"/>
      <c r="C567" s="228"/>
      <c r="D567" s="310"/>
      <c r="E567" s="311"/>
      <c r="F567" s="228"/>
      <c r="G567" s="228"/>
      <c r="H567" s="228"/>
      <c r="I567" s="228"/>
      <c r="J567" s="228"/>
      <c r="K567" s="660"/>
      <c r="L567" s="228"/>
      <c r="M567" s="228"/>
      <c r="N567" s="228"/>
    </row>
    <row r="568">
      <c r="A568" s="228"/>
      <c r="B568" s="228"/>
      <c r="C568" s="228"/>
      <c r="D568" s="310"/>
      <c r="E568" s="311"/>
      <c r="F568" s="228"/>
      <c r="G568" s="228"/>
      <c r="H568" s="228"/>
      <c r="I568" s="228"/>
      <c r="J568" s="228"/>
      <c r="K568" s="660"/>
      <c r="L568" s="228"/>
      <c r="M568" s="228"/>
      <c r="N568" s="228"/>
    </row>
    <row r="569">
      <c r="A569" s="228"/>
      <c r="B569" s="228"/>
      <c r="C569" s="228"/>
      <c r="D569" s="310"/>
      <c r="E569" s="311"/>
      <c r="F569" s="228"/>
      <c r="G569" s="228"/>
      <c r="H569" s="228"/>
      <c r="I569" s="228"/>
      <c r="J569" s="228"/>
      <c r="K569" s="660"/>
      <c r="L569" s="228"/>
      <c r="M569" s="228"/>
      <c r="N569" s="228"/>
    </row>
    <row r="570">
      <c r="A570" s="228"/>
      <c r="B570" s="228"/>
      <c r="C570" s="228"/>
      <c r="D570" s="310"/>
      <c r="E570" s="311"/>
      <c r="F570" s="228"/>
      <c r="G570" s="228"/>
      <c r="H570" s="228"/>
      <c r="I570" s="228"/>
      <c r="J570" s="228"/>
      <c r="K570" s="660"/>
      <c r="L570" s="228"/>
      <c r="M570" s="228"/>
      <c r="N570" s="228"/>
    </row>
    <row r="571">
      <c r="A571" s="228"/>
      <c r="B571" s="228"/>
      <c r="C571" s="228"/>
      <c r="D571" s="310"/>
      <c r="E571" s="311"/>
      <c r="F571" s="228"/>
      <c r="G571" s="228"/>
      <c r="H571" s="228"/>
      <c r="I571" s="228"/>
      <c r="J571" s="228"/>
      <c r="K571" s="660"/>
      <c r="L571" s="228"/>
      <c r="M571" s="228"/>
      <c r="N571" s="228"/>
    </row>
    <row r="572">
      <c r="A572" s="228"/>
      <c r="B572" s="228"/>
      <c r="C572" s="228"/>
      <c r="D572" s="310"/>
      <c r="E572" s="311"/>
      <c r="F572" s="228"/>
      <c r="G572" s="228"/>
      <c r="H572" s="228"/>
      <c r="I572" s="228"/>
      <c r="J572" s="228"/>
      <c r="K572" s="660"/>
      <c r="L572" s="228"/>
      <c r="M572" s="228"/>
      <c r="N572" s="228"/>
    </row>
    <row r="573">
      <c r="A573" s="228"/>
      <c r="B573" s="228"/>
      <c r="C573" s="228"/>
      <c r="D573" s="310"/>
      <c r="E573" s="311"/>
      <c r="F573" s="228"/>
      <c r="G573" s="228"/>
      <c r="H573" s="228"/>
      <c r="I573" s="228"/>
      <c r="J573" s="228"/>
      <c r="K573" s="660"/>
      <c r="L573" s="228"/>
      <c r="M573" s="228"/>
      <c r="N573" s="228"/>
    </row>
    <row r="574">
      <c r="A574" s="228"/>
      <c r="B574" s="228"/>
      <c r="C574" s="228"/>
      <c r="D574" s="310"/>
      <c r="E574" s="311"/>
      <c r="F574" s="228"/>
      <c r="G574" s="228"/>
      <c r="H574" s="228"/>
      <c r="I574" s="228"/>
      <c r="J574" s="228"/>
      <c r="K574" s="660"/>
      <c r="L574" s="228"/>
      <c r="M574" s="228"/>
      <c r="N574" s="228"/>
    </row>
    <row r="575">
      <c r="A575" s="228"/>
      <c r="B575" s="228"/>
      <c r="C575" s="228"/>
      <c r="D575" s="310"/>
      <c r="E575" s="311"/>
      <c r="F575" s="228"/>
      <c r="G575" s="228"/>
      <c r="H575" s="228"/>
      <c r="I575" s="228"/>
      <c r="J575" s="228"/>
      <c r="K575" s="660"/>
      <c r="L575" s="228"/>
      <c r="M575" s="228"/>
      <c r="N575" s="228"/>
    </row>
    <row r="576">
      <c r="A576" s="228"/>
      <c r="B576" s="228"/>
      <c r="C576" s="228"/>
      <c r="D576" s="310"/>
      <c r="E576" s="311"/>
      <c r="F576" s="228"/>
      <c r="G576" s="228"/>
      <c r="H576" s="228"/>
      <c r="I576" s="228"/>
      <c r="J576" s="228"/>
      <c r="K576" s="660"/>
      <c r="L576" s="228"/>
      <c r="M576" s="228"/>
      <c r="N576" s="228"/>
    </row>
    <row r="577">
      <c r="A577" s="228"/>
      <c r="B577" s="228"/>
      <c r="C577" s="228"/>
      <c r="D577" s="310"/>
      <c r="E577" s="311"/>
      <c r="F577" s="228"/>
      <c r="G577" s="228"/>
      <c r="H577" s="228"/>
      <c r="I577" s="228"/>
      <c r="J577" s="228"/>
      <c r="K577" s="660"/>
      <c r="L577" s="228"/>
      <c r="M577" s="228"/>
      <c r="N577" s="228"/>
    </row>
    <row r="578">
      <c r="A578" s="228"/>
      <c r="B578" s="228"/>
      <c r="C578" s="228"/>
      <c r="D578" s="310"/>
      <c r="E578" s="311"/>
      <c r="F578" s="228"/>
      <c r="G578" s="228"/>
      <c r="H578" s="228"/>
      <c r="I578" s="228"/>
      <c r="J578" s="228"/>
      <c r="K578" s="660"/>
      <c r="L578" s="228"/>
      <c r="M578" s="228"/>
      <c r="N578" s="228"/>
    </row>
    <row r="579">
      <c r="A579" s="228"/>
      <c r="B579" s="228"/>
      <c r="C579" s="228"/>
      <c r="D579" s="310"/>
      <c r="E579" s="311"/>
      <c r="F579" s="228"/>
      <c r="G579" s="228"/>
      <c r="H579" s="228"/>
      <c r="I579" s="228"/>
      <c r="J579" s="228"/>
      <c r="K579" s="660"/>
      <c r="L579" s="228"/>
      <c r="M579" s="228"/>
      <c r="N579" s="228"/>
    </row>
    <row r="580">
      <c r="A580" s="228"/>
      <c r="B580" s="228"/>
      <c r="C580" s="228"/>
      <c r="D580" s="310"/>
      <c r="E580" s="311"/>
      <c r="F580" s="228"/>
      <c r="G580" s="228"/>
      <c r="H580" s="228"/>
      <c r="I580" s="228"/>
      <c r="J580" s="228"/>
      <c r="K580" s="660"/>
      <c r="L580" s="228"/>
      <c r="M580" s="228"/>
      <c r="N580" s="228"/>
    </row>
    <row r="581">
      <c r="A581" s="228"/>
      <c r="B581" s="228"/>
      <c r="C581" s="228"/>
      <c r="D581" s="310"/>
      <c r="E581" s="311"/>
      <c r="F581" s="228"/>
      <c r="G581" s="228"/>
      <c r="H581" s="228"/>
      <c r="I581" s="228"/>
      <c r="J581" s="228"/>
      <c r="K581" s="660"/>
      <c r="L581" s="228"/>
      <c r="M581" s="228"/>
      <c r="N581" s="228"/>
    </row>
    <row r="582">
      <c r="A582" s="228"/>
      <c r="B582" s="228"/>
      <c r="C582" s="228"/>
      <c r="D582" s="310"/>
      <c r="E582" s="311"/>
      <c r="F582" s="228"/>
      <c r="G582" s="228"/>
      <c r="H582" s="228"/>
      <c r="I582" s="228"/>
      <c r="J582" s="228"/>
      <c r="K582" s="660"/>
      <c r="L582" s="228"/>
      <c r="M582" s="228"/>
      <c r="N582" s="228"/>
    </row>
    <row r="583">
      <c r="A583" s="228"/>
      <c r="B583" s="228"/>
      <c r="C583" s="228"/>
      <c r="D583" s="310"/>
      <c r="E583" s="311"/>
      <c r="F583" s="228"/>
      <c r="G583" s="228"/>
      <c r="H583" s="228"/>
      <c r="I583" s="228"/>
      <c r="J583" s="228"/>
      <c r="K583" s="660"/>
      <c r="L583" s="228"/>
      <c r="M583" s="228"/>
      <c r="N583" s="228"/>
    </row>
    <row r="584">
      <c r="A584" s="228"/>
      <c r="B584" s="228"/>
      <c r="C584" s="228"/>
      <c r="D584" s="310"/>
      <c r="E584" s="311"/>
      <c r="F584" s="228"/>
      <c r="G584" s="228"/>
      <c r="H584" s="228"/>
      <c r="I584" s="228"/>
      <c r="J584" s="228"/>
      <c r="K584" s="660"/>
      <c r="L584" s="228"/>
      <c r="M584" s="228"/>
      <c r="N584" s="228"/>
    </row>
    <row r="585">
      <c r="A585" s="228"/>
      <c r="B585" s="228"/>
      <c r="C585" s="228"/>
      <c r="D585" s="310"/>
      <c r="E585" s="311"/>
      <c r="F585" s="228"/>
      <c r="G585" s="228"/>
      <c r="H585" s="228"/>
      <c r="I585" s="228"/>
      <c r="J585" s="228"/>
      <c r="K585" s="660"/>
      <c r="L585" s="228"/>
      <c r="M585" s="228"/>
      <c r="N585" s="228"/>
    </row>
    <row r="586">
      <c r="A586" s="228"/>
      <c r="B586" s="228"/>
      <c r="C586" s="228"/>
      <c r="D586" s="310"/>
      <c r="E586" s="311"/>
      <c r="F586" s="228"/>
      <c r="G586" s="228"/>
      <c r="H586" s="228"/>
      <c r="I586" s="228"/>
      <c r="J586" s="228"/>
      <c r="K586" s="660"/>
      <c r="L586" s="228"/>
      <c r="M586" s="228"/>
      <c r="N586" s="228"/>
    </row>
    <row r="587">
      <c r="A587" s="228"/>
      <c r="B587" s="228"/>
      <c r="C587" s="228"/>
      <c r="D587" s="310"/>
      <c r="E587" s="311"/>
      <c r="F587" s="228"/>
      <c r="G587" s="228"/>
      <c r="H587" s="228"/>
      <c r="I587" s="228"/>
      <c r="J587" s="228"/>
      <c r="K587" s="660"/>
      <c r="L587" s="228"/>
      <c r="M587" s="228"/>
      <c r="N587" s="228"/>
    </row>
    <row r="588">
      <c r="A588" s="228"/>
      <c r="B588" s="228"/>
      <c r="C588" s="228"/>
      <c r="D588" s="310"/>
      <c r="E588" s="311"/>
      <c r="F588" s="228"/>
      <c r="G588" s="228"/>
      <c r="H588" s="228"/>
      <c r="I588" s="228"/>
      <c r="J588" s="228"/>
      <c r="K588" s="660"/>
      <c r="L588" s="228"/>
      <c r="M588" s="228"/>
      <c r="N588" s="228"/>
    </row>
    <row r="589">
      <c r="A589" s="228"/>
      <c r="B589" s="228"/>
      <c r="C589" s="228"/>
      <c r="D589" s="310"/>
      <c r="E589" s="311"/>
      <c r="F589" s="228"/>
      <c r="G589" s="228"/>
      <c r="H589" s="228"/>
      <c r="I589" s="228"/>
      <c r="J589" s="228"/>
      <c r="K589" s="660"/>
      <c r="L589" s="228"/>
      <c r="M589" s="228"/>
      <c r="N589" s="228"/>
    </row>
    <row r="590">
      <c r="A590" s="228"/>
      <c r="B590" s="228"/>
      <c r="C590" s="228"/>
      <c r="D590" s="310"/>
      <c r="E590" s="311"/>
      <c r="F590" s="228"/>
      <c r="G590" s="228"/>
      <c r="H590" s="228"/>
      <c r="I590" s="228"/>
      <c r="J590" s="228"/>
      <c r="K590" s="660"/>
      <c r="L590" s="228"/>
      <c r="M590" s="228"/>
      <c r="N590" s="228"/>
    </row>
    <row r="591">
      <c r="A591" s="228"/>
      <c r="B591" s="228"/>
      <c r="C591" s="228"/>
      <c r="D591" s="310"/>
      <c r="E591" s="311"/>
      <c r="F591" s="228"/>
      <c r="G591" s="228"/>
      <c r="H591" s="228"/>
      <c r="I591" s="228"/>
      <c r="J591" s="228"/>
      <c r="K591" s="660"/>
      <c r="L591" s="228"/>
      <c r="M591" s="228"/>
      <c r="N591" s="228"/>
    </row>
    <row r="592">
      <c r="A592" s="228"/>
      <c r="B592" s="228"/>
      <c r="C592" s="228"/>
      <c r="D592" s="310"/>
      <c r="E592" s="311"/>
      <c r="F592" s="228"/>
      <c r="G592" s="228"/>
      <c r="H592" s="228"/>
      <c r="I592" s="228"/>
      <c r="J592" s="228"/>
      <c r="K592" s="660"/>
      <c r="L592" s="228"/>
      <c r="M592" s="228"/>
      <c r="N592" s="228"/>
    </row>
    <row r="593">
      <c r="A593" s="228"/>
      <c r="B593" s="228"/>
      <c r="C593" s="228"/>
      <c r="D593" s="310"/>
      <c r="E593" s="311"/>
      <c r="F593" s="228"/>
      <c r="G593" s="228"/>
      <c r="H593" s="228"/>
      <c r="I593" s="228"/>
      <c r="J593" s="228"/>
      <c r="K593" s="660"/>
      <c r="L593" s="228"/>
      <c r="M593" s="228"/>
      <c r="N593" s="228"/>
    </row>
    <row r="594">
      <c r="A594" s="228"/>
      <c r="B594" s="228"/>
      <c r="C594" s="228"/>
      <c r="D594" s="310"/>
      <c r="E594" s="311"/>
      <c r="F594" s="228"/>
      <c r="G594" s="228"/>
      <c r="H594" s="228"/>
      <c r="I594" s="228"/>
      <c r="J594" s="228"/>
      <c r="K594" s="660"/>
      <c r="L594" s="228"/>
      <c r="M594" s="228"/>
      <c r="N594" s="228"/>
    </row>
    <row r="595">
      <c r="A595" s="228"/>
      <c r="B595" s="228"/>
      <c r="C595" s="228"/>
      <c r="D595" s="310"/>
      <c r="E595" s="311"/>
      <c r="F595" s="228"/>
      <c r="G595" s="228"/>
      <c r="H595" s="228"/>
      <c r="I595" s="228"/>
      <c r="J595" s="228"/>
      <c r="K595" s="660"/>
      <c r="L595" s="228"/>
      <c r="M595" s="228"/>
      <c r="N595" s="228"/>
    </row>
    <row r="596">
      <c r="A596" s="228"/>
      <c r="B596" s="228"/>
      <c r="C596" s="228"/>
      <c r="D596" s="310"/>
      <c r="E596" s="311"/>
      <c r="F596" s="228"/>
      <c r="G596" s="228"/>
      <c r="H596" s="228"/>
      <c r="I596" s="228"/>
      <c r="J596" s="228"/>
      <c r="K596" s="660"/>
      <c r="L596" s="228"/>
      <c r="M596" s="228"/>
      <c r="N596" s="228"/>
    </row>
    <row r="597">
      <c r="A597" s="228"/>
      <c r="B597" s="228"/>
      <c r="C597" s="228"/>
      <c r="D597" s="310"/>
      <c r="E597" s="311"/>
      <c r="F597" s="228"/>
      <c r="G597" s="228"/>
      <c r="H597" s="228"/>
      <c r="I597" s="228"/>
      <c r="J597" s="228"/>
      <c r="K597" s="660"/>
      <c r="L597" s="228"/>
      <c r="M597" s="228"/>
      <c r="N597" s="228"/>
    </row>
    <row r="598">
      <c r="A598" s="228"/>
      <c r="B598" s="228"/>
      <c r="C598" s="228"/>
      <c r="D598" s="310"/>
      <c r="E598" s="311"/>
      <c r="F598" s="228"/>
      <c r="G598" s="228"/>
      <c r="H598" s="228"/>
      <c r="I598" s="228"/>
      <c r="J598" s="228"/>
      <c r="K598" s="660"/>
      <c r="L598" s="228"/>
      <c r="M598" s="228"/>
      <c r="N598" s="228"/>
    </row>
    <row r="599">
      <c r="A599" s="228"/>
      <c r="B599" s="228"/>
      <c r="C599" s="228"/>
      <c r="D599" s="310"/>
      <c r="E599" s="311"/>
      <c r="F599" s="228"/>
      <c r="G599" s="228"/>
      <c r="H599" s="228"/>
      <c r="I599" s="228"/>
      <c r="J599" s="228"/>
      <c r="K599" s="660"/>
      <c r="L599" s="228"/>
      <c r="M599" s="228"/>
      <c r="N599" s="228"/>
    </row>
    <row r="600">
      <c r="A600" s="228"/>
      <c r="B600" s="228"/>
      <c r="C600" s="228"/>
      <c r="D600" s="310"/>
      <c r="E600" s="311"/>
      <c r="F600" s="228"/>
      <c r="G600" s="228"/>
      <c r="H600" s="228"/>
      <c r="I600" s="228"/>
      <c r="J600" s="228"/>
      <c r="K600" s="660"/>
      <c r="L600" s="228"/>
      <c r="M600" s="228"/>
      <c r="N600" s="228"/>
    </row>
    <row r="601">
      <c r="A601" s="228"/>
      <c r="B601" s="228"/>
      <c r="C601" s="228"/>
      <c r="D601" s="310"/>
      <c r="E601" s="311"/>
      <c r="F601" s="228"/>
      <c r="G601" s="228"/>
      <c r="H601" s="228"/>
      <c r="I601" s="228"/>
      <c r="J601" s="228"/>
      <c r="K601" s="660"/>
      <c r="L601" s="228"/>
      <c r="M601" s="228"/>
      <c r="N601" s="228"/>
    </row>
    <row r="602">
      <c r="A602" s="228"/>
      <c r="B602" s="228"/>
      <c r="C602" s="228"/>
      <c r="D602" s="310"/>
      <c r="E602" s="311"/>
      <c r="F602" s="228"/>
      <c r="G602" s="228"/>
      <c r="H602" s="228"/>
      <c r="I602" s="228"/>
      <c r="J602" s="228"/>
      <c r="K602" s="660"/>
      <c r="L602" s="228"/>
      <c r="M602" s="228"/>
      <c r="N602" s="228"/>
    </row>
    <row r="603">
      <c r="A603" s="228"/>
      <c r="B603" s="228"/>
      <c r="C603" s="228"/>
      <c r="D603" s="310"/>
      <c r="E603" s="311"/>
      <c r="F603" s="228"/>
      <c r="G603" s="228"/>
      <c r="H603" s="228"/>
      <c r="I603" s="228"/>
      <c r="J603" s="228"/>
      <c r="K603" s="660"/>
      <c r="L603" s="228"/>
      <c r="M603" s="228"/>
      <c r="N603" s="228"/>
    </row>
    <row r="604">
      <c r="A604" s="228"/>
      <c r="B604" s="228"/>
      <c r="C604" s="228"/>
      <c r="D604" s="310"/>
      <c r="E604" s="311"/>
      <c r="F604" s="228"/>
      <c r="G604" s="228"/>
      <c r="H604" s="228"/>
      <c r="I604" s="228"/>
      <c r="J604" s="228"/>
      <c r="K604" s="660"/>
      <c r="L604" s="228"/>
      <c r="M604" s="228"/>
      <c r="N604" s="228"/>
    </row>
    <row r="605">
      <c r="A605" s="228"/>
      <c r="B605" s="228"/>
      <c r="C605" s="228"/>
      <c r="D605" s="310"/>
      <c r="E605" s="311"/>
      <c r="F605" s="228"/>
      <c r="G605" s="228"/>
      <c r="H605" s="228"/>
      <c r="I605" s="228"/>
      <c r="J605" s="228"/>
      <c r="K605" s="660"/>
      <c r="L605" s="228"/>
      <c r="M605" s="228"/>
      <c r="N605" s="228"/>
    </row>
    <row r="606">
      <c r="A606" s="228"/>
      <c r="B606" s="228"/>
      <c r="C606" s="228"/>
      <c r="D606" s="310"/>
      <c r="E606" s="311"/>
      <c r="F606" s="228"/>
      <c r="G606" s="228"/>
      <c r="H606" s="228"/>
      <c r="I606" s="228"/>
      <c r="J606" s="228"/>
      <c r="K606" s="660"/>
      <c r="L606" s="228"/>
      <c r="M606" s="228"/>
      <c r="N606" s="228"/>
    </row>
    <row r="607">
      <c r="A607" s="228"/>
      <c r="B607" s="228"/>
      <c r="C607" s="228"/>
      <c r="D607" s="310"/>
      <c r="E607" s="311"/>
      <c r="F607" s="228"/>
      <c r="G607" s="228"/>
      <c r="H607" s="228"/>
      <c r="I607" s="228"/>
      <c r="J607" s="228"/>
      <c r="K607" s="660"/>
      <c r="L607" s="228"/>
      <c r="M607" s="228"/>
      <c r="N607" s="228"/>
    </row>
    <row r="608">
      <c r="A608" s="228"/>
      <c r="B608" s="228"/>
      <c r="C608" s="228"/>
      <c r="D608" s="310"/>
      <c r="E608" s="311"/>
      <c r="F608" s="228"/>
      <c r="G608" s="228"/>
      <c r="H608" s="228"/>
      <c r="I608" s="228"/>
      <c r="J608" s="228"/>
      <c r="K608" s="660"/>
      <c r="L608" s="228"/>
      <c r="M608" s="228"/>
      <c r="N608" s="228"/>
    </row>
    <row r="609">
      <c r="A609" s="228"/>
      <c r="B609" s="228"/>
      <c r="C609" s="228"/>
      <c r="D609" s="310"/>
      <c r="E609" s="311"/>
      <c r="F609" s="228"/>
      <c r="G609" s="228"/>
      <c r="H609" s="228"/>
      <c r="I609" s="228"/>
      <c r="J609" s="228"/>
      <c r="K609" s="660"/>
      <c r="L609" s="228"/>
      <c r="M609" s="228"/>
      <c r="N609" s="228"/>
    </row>
    <row r="610">
      <c r="A610" s="228"/>
      <c r="B610" s="228"/>
      <c r="C610" s="228"/>
      <c r="D610" s="310"/>
      <c r="E610" s="311"/>
      <c r="F610" s="228"/>
      <c r="G610" s="228"/>
      <c r="H610" s="228"/>
      <c r="I610" s="228"/>
      <c r="J610" s="228"/>
      <c r="K610" s="660"/>
      <c r="L610" s="228"/>
      <c r="M610" s="228"/>
      <c r="N610" s="228"/>
    </row>
    <row r="611">
      <c r="A611" s="228"/>
      <c r="B611" s="228"/>
      <c r="C611" s="228"/>
      <c r="D611" s="310"/>
      <c r="E611" s="311"/>
      <c r="F611" s="228"/>
      <c r="G611" s="228"/>
      <c r="H611" s="228"/>
      <c r="I611" s="228"/>
      <c r="J611" s="228"/>
      <c r="K611" s="660"/>
      <c r="L611" s="228"/>
      <c r="M611" s="228"/>
      <c r="N611" s="228"/>
    </row>
    <row r="612">
      <c r="A612" s="228"/>
      <c r="B612" s="228"/>
      <c r="C612" s="228"/>
      <c r="D612" s="310"/>
      <c r="E612" s="311"/>
      <c r="F612" s="228"/>
      <c r="G612" s="228"/>
      <c r="H612" s="228"/>
      <c r="I612" s="228"/>
      <c r="J612" s="228"/>
      <c r="K612" s="660"/>
      <c r="L612" s="228"/>
      <c r="M612" s="228"/>
      <c r="N612" s="228"/>
    </row>
    <row r="613">
      <c r="A613" s="228"/>
      <c r="B613" s="228"/>
      <c r="C613" s="228"/>
      <c r="D613" s="310"/>
      <c r="E613" s="311"/>
      <c r="F613" s="228"/>
      <c r="G613" s="228"/>
      <c r="H613" s="228"/>
      <c r="I613" s="228"/>
      <c r="J613" s="228"/>
      <c r="K613" s="660"/>
      <c r="L613" s="228"/>
      <c r="M613" s="228"/>
      <c r="N613" s="228"/>
    </row>
    <row r="614">
      <c r="A614" s="228"/>
      <c r="B614" s="228"/>
      <c r="C614" s="228"/>
      <c r="D614" s="310"/>
      <c r="E614" s="311"/>
      <c r="F614" s="228"/>
      <c r="G614" s="228"/>
      <c r="H614" s="228"/>
      <c r="I614" s="228"/>
      <c r="J614" s="228"/>
      <c r="K614" s="660"/>
      <c r="L614" s="228"/>
      <c r="M614" s="228"/>
      <c r="N614" s="228"/>
    </row>
    <row r="615">
      <c r="A615" s="228"/>
      <c r="B615" s="228"/>
      <c r="C615" s="228"/>
      <c r="D615" s="310"/>
      <c r="E615" s="311"/>
      <c r="F615" s="228"/>
      <c r="G615" s="228"/>
      <c r="H615" s="228"/>
      <c r="I615" s="228"/>
      <c r="J615" s="228"/>
      <c r="K615" s="660"/>
      <c r="L615" s="228"/>
      <c r="M615" s="228"/>
      <c r="N615" s="228"/>
    </row>
    <row r="616">
      <c r="A616" s="228"/>
      <c r="B616" s="228"/>
      <c r="C616" s="228"/>
      <c r="D616" s="310"/>
      <c r="E616" s="311"/>
      <c r="F616" s="228"/>
      <c r="G616" s="228"/>
      <c r="H616" s="228"/>
      <c r="I616" s="228"/>
      <c r="J616" s="228"/>
      <c r="K616" s="660"/>
      <c r="L616" s="228"/>
      <c r="M616" s="228"/>
      <c r="N616" s="228"/>
    </row>
    <row r="617">
      <c r="A617" s="228"/>
      <c r="B617" s="228"/>
      <c r="C617" s="228"/>
      <c r="D617" s="310"/>
      <c r="E617" s="311"/>
      <c r="F617" s="228"/>
      <c r="G617" s="228"/>
      <c r="H617" s="228"/>
      <c r="I617" s="228"/>
      <c r="J617" s="228"/>
      <c r="K617" s="660"/>
      <c r="L617" s="228"/>
      <c r="M617" s="228"/>
      <c r="N617" s="228"/>
    </row>
    <row r="618">
      <c r="A618" s="228"/>
      <c r="B618" s="228"/>
      <c r="C618" s="228"/>
      <c r="D618" s="310"/>
      <c r="E618" s="311"/>
      <c r="F618" s="228"/>
      <c r="G618" s="228"/>
      <c r="H618" s="228"/>
      <c r="I618" s="228"/>
      <c r="J618" s="228"/>
      <c r="K618" s="660"/>
      <c r="L618" s="228"/>
      <c r="M618" s="228"/>
      <c r="N618" s="228"/>
    </row>
    <row r="619">
      <c r="A619" s="228"/>
      <c r="B619" s="228"/>
      <c r="C619" s="228"/>
      <c r="D619" s="310"/>
      <c r="E619" s="311"/>
      <c r="F619" s="228"/>
      <c r="G619" s="228"/>
      <c r="H619" s="228"/>
      <c r="I619" s="228"/>
      <c r="J619" s="228"/>
      <c r="K619" s="660"/>
      <c r="L619" s="228"/>
      <c r="M619" s="228"/>
      <c r="N619" s="228"/>
    </row>
    <row r="620">
      <c r="A620" s="228"/>
      <c r="B620" s="228"/>
      <c r="C620" s="228"/>
      <c r="D620" s="310"/>
      <c r="E620" s="311"/>
      <c r="F620" s="228"/>
      <c r="G620" s="228"/>
      <c r="H620" s="228"/>
      <c r="I620" s="228"/>
      <c r="J620" s="228"/>
      <c r="K620" s="660"/>
      <c r="L620" s="228"/>
      <c r="M620" s="228"/>
      <c r="N620" s="228"/>
    </row>
    <row r="621">
      <c r="A621" s="228"/>
      <c r="B621" s="228"/>
      <c r="C621" s="228"/>
      <c r="D621" s="310"/>
      <c r="E621" s="311"/>
      <c r="F621" s="228"/>
      <c r="G621" s="228"/>
      <c r="H621" s="228"/>
      <c r="I621" s="228"/>
      <c r="J621" s="228"/>
      <c r="K621" s="660"/>
      <c r="L621" s="228"/>
      <c r="M621" s="228"/>
      <c r="N621" s="228"/>
    </row>
    <row r="622">
      <c r="A622" s="228"/>
      <c r="B622" s="228"/>
      <c r="C622" s="228"/>
      <c r="D622" s="310"/>
      <c r="E622" s="311"/>
      <c r="F622" s="228"/>
      <c r="G622" s="228"/>
      <c r="H622" s="228"/>
      <c r="I622" s="228"/>
      <c r="J622" s="228"/>
      <c r="K622" s="660"/>
      <c r="L622" s="228"/>
      <c r="M622" s="228"/>
      <c r="N622" s="228"/>
    </row>
    <row r="623">
      <c r="A623" s="228"/>
      <c r="B623" s="228"/>
      <c r="C623" s="228"/>
      <c r="D623" s="310"/>
      <c r="E623" s="311"/>
      <c r="F623" s="228"/>
      <c r="G623" s="228"/>
      <c r="H623" s="228"/>
      <c r="I623" s="228"/>
      <c r="J623" s="228"/>
      <c r="K623" s="660"/>
      <c r="L623" s="228"/>
      <c r="M623" s="228"/>
      <c r="N623" s="228"/>
    </row>
    <row r="624">
      <c r="A624" s="228"/>
      <c r="B624" s="228"/>
      <c r="C624" s="228"/>
      <c r="D624" s="310"/>
      <c r="E624" s="311"/>
      <c r="F624" s="228"/>
      <c r="G624" s="228"/>
      <c r="H624" s="228"/>
      <c r="I624" s="228"/>
      <c r="J624" s="228"/>
      <c r="K624" s="660"/>
      <c r="L624" s="228"/>
      <c r="M624" s="228"/>
      <c r="N624" s="228"/>
    </row>
    <row r="625">
      <c r="A625" s="228"/>
      <c r="B625" s="228"/>
      <c r="C625" s="228"/>
      <c r="D625" s="310"/>
      <c r="E625" s="311"/>
      <c r="F625" s="228"/>
      <c r="G625" s="228"/>
      <c r="H625" s="228"/>
      <c r="I625" s="228"/>
      <c r="J625" s="228"/>
      <c r="K625" s="660"/>
      <c r="L625" s="228"/>
      <c r="M625" s="228"/>
      <c r="N625" s="228"/>
    </row>
    <row r="626">
      <c r="A626" s="228"/>
      <c r="B626" s="228"/>
      <c r="C626" s="228"/>
      <c r="D626" s="310"/>
      <c r="E626" s="311"/>
      <c r="F626" s="228"/>
      <c r="G626" s="228"/>
      <c r="H626" s="228"/>
      <c r="I626" s="228"/>
      <c r="J626" s="228"/>
      <c r="K626" s="660"/>
      <c r="L626" s="228"/>
      <c r="M626" s="228"/>
      <c r="N626" s="228"/>
    </row>
    <row r="627">
      <c r="A627" s="228"/>
      <c r="B627" s="228"/>
      <c r="C627" s="228"/>
      <c r="D627" s="310"/>
      <c r="E627" s="311"/>
      <c r="F627" s="228"/>
      <c r="G627" s="228"/>
      <c r="H627" s="228"/>
      <c r="I627" s="228"/>
      <c r="J627" s="228"/>
      <c r="K627" s="660"/>
      <c r="L627" s="228"/>
      <c r="M627" s="228"/>
      <c r="N627" s="228"/>
    </row>
    <row r="628">
      <c r="A628" s="228"/>
      <c r="B628" s="228"/>
      <c r="C628" s="228"/>
      <c r="D628" s="310"/>
      <c r="E628" s="311"/>
      <c r="F628" s="228"/>
      <c r="G628" s="228"/>
      <c r="H628" s="228"/>
      <c r="I628" s="228"/>
      <c r="J628" s="228"/>
      <c r="K628" s="660"/>
      <c r="L628" s="228"/>
      <c r="M628" s="228"/>
      <c r="N628" s="228"/>
    </row>
    <row r="629">
      <c r="A629" s="228"/>
      <c r="B629" s="228"/>
      <c r="C629" s="228"/>
      <c r="D629" s="310"/>
      <c r="E629" s="311"/>
      <c r="F629" s="228"/>
      <c r="G629" s="228"/>
      <c r="H629" s="228"/>
      <c r="I629" s="228"/>
      <c r="J629" s="228"/>
      <c r="K629" s="660"/>
      <c r="L629" s="228"/>
      <c r="M629" s="228"/>
      <c r="N629" s="228"/>
    </row>
    <row r="630">
      <c r="A630" s="228"/>
      <c r="B630" s="228"/>
      <c r="C630" s="228"/>
      <c r="D630" s="310"/>
      <c r="E630" s="311"/>
      <c r="F630" s="228"/>
      <c r="G630" s="228"/>
      <c r="H630" s="228"/>
      <c r="I630" s="228"/>
      <c r="J630" s="228"/>
      <c r="K630" s="660"/>
      <c r="L630" s="228"/>
      <c r="M630" s="228"/>
      <c r="N630" s="228"/>
    </row>
    <row r="631">
      <c r="A631" s="228"/>
      <c r="B631" s="228"/>
      <c r="C631" s="228"/>
      <c r="D631" s="310"/>
      <c r="E631" s="311"/>
      <c r="F631" s="228"/>
      <c r="G631" s="228"/>
      <c r="H631" s="228"/>
      <c r="I631" s="228"/>
      <c r="J631" s="228"/>
      <c r="K631" s="660"/>
      <c r="L631" s="228"/>
      <c r="M631" s="228"/>
      <c r="N631" s="228"/>
    </row>
    <row r="632">
      <c r="A632" s="228"/>
      <c r="B632" s="228"/>
      <c r="C632" s="228"/>
      <c r="D632" s="310"/>
      <c r="E632" s="311"/>
      <c r="F632" s="228"/>
      <c r="G632" s="228"/>
      <c r="H632" s="228"/>
      <c r="I632" s="228"/>
      <c r="J632" s="228"/>
      <c r="K632" s="660"/>
      <c r="L632" s="228"/>
      <c r="M632" s="228"/>
      <c r="N632" s="228"/>
    </row>
    <row r="633">
      <c r="A633" s="228"/>
      <c r="B633" s="228"/>
      <c r="C633" s="228"/>
      <c r="D633" s="310"/>
      <c r="E633" s="311"/>
      <c r="F633" s="228"/>
      <c r="G633" s="228"/>
      <c r="H633" s="228"/>
      <c r="I633" s="228"/>
      <c r="J633" s="228"/>
      <c r="K633" s="660"/>
      <c r="L633" s="228"/>
      <c r="M633" s="228"/>
      <c r="N633" s="228"/>
    </row>
    <row r="634">
      <c r="A634" s="228"/>
      <c r="B634" s="228"/>
      <c r="C634" s="228"/>
      <c r="D634" s="310"/>
      <c r="E634" s="311"/>
      <c r="F634" s="228"/>
      <c r="G634" s="228"/>
      <c r="H634" s="228"/>
      <c r="I634" s="228"/>
      <c r="J634" s="228"/>
      <c r="K634" s="660"/>
      <c r="L634" s="228"/>
      <c r="M634" s="228"/>
      <c r="N634" s="228"/>
    </row>
    <row r="635">
      <c r="A635" s="228"/>
      <c r="B635" s="228"/>
      <c r="C635" s="228"/>
      <c r="D635" s="310"/>
      <c r="E635" s="311"/>
      <c r="F635" s="228"/>
      <c r="G635" s="228"/>
      <c r="H635" s="228"/>
      <c r="I635" s="228"/>
      <c r="J635" s="228"/>
      <c r="K635" s="660"/>
      <c r="L635" s="228"/>
      <c r="M635" s="228"/>
      <c r="N635" s="228"/>
    </row>
    <row r="636">
      <c r="A636" s="228"/>
      <c r="B636" s="228"/>
      <c r="C636" s="228"/>
      <c r="D636" s="310"/>
      <c r="E636" s="311"/>
      <c r="F636" s="228"/>
      <c r="G636" s="228"/>
      <c r="H636" s="228"/>
      <c r="I636" s="228"/>
      <c r="J636" s="228"/>
      <c r="K636" s="660"/>
      <c r="L636" s="228"/>
      <c r="M636" s="228"/>
      <c r="N636" s="228"/>
    </row>
    <row r="637">
      <c r="A637" s="228"/>
      <c r="B637" s="228"/>
      <c r="C637" s="228"/>
      <c r="D637" s="310"/>
      <c r="E637" s="311"/>
      <c r="F637" s="228"/>
      <c r="G637" s="228"/>
      <c r="H637" s="228"/>
      <c r="I637" s="228"/>
      <c r="J637" s="228"/>
      <c r="K637" s="660"/>
      <c r="L637" s="228"/>
      <c r="M637" s="228"/>
      <c r="N637" s="228"/>
    </row>
    <row r="638">
      <c r="A638" s="228"/>
      <c r="B638" s="228"/>
      <c r="C638" s="228"/>
      <c r="D638" s="310"/>
      <c r="E638" s="311"/>
      <c r="F638" s="228"/>
      <c r="G638" s="228"/>
      <c r="H638" s="228"/>
      <c r="I638" s="228"/>
      <c r="J638" s="228"/>
      <c r="K638" s="660"/>
      <c r="L638" s="228"/>
      <c r="M638" s="228"/>
      <c r="N638" s="228"/>
    </row>
    <row r="639">
      <c r="A639" s="228"/>
      <c r="B639" s="228"/>
      <c r="C639" s="228"/>
      <c r="D639" s="310"/>
      <c r="E639" s="311"/>
      <c r="F639" s="228"/>
      <c r="G639" s="228"/>
      <c r="H639" s="228"/>
      <c r="I639" s="228"/>
      <c r="J639" s="228"/>
      <c r="K639" s="660"/>
      <c r="L639" s="228"/>
      <c r="M639" s="228"/>
      <c r="N639" s="228"/>
    </row>
    <row r="640">
      <c r="A640" s="228"/>
      <c r="B640" s="228"/>
      <c r="C640" s="228"/>
      <c r="D640" s="310"/>
      <c r="E640" s="311"/>
      <c r="F640" s="228"/>
      <c r="G640" s="228"/>
      <c r="H640" s="228"/>
      <c r="I640" s="228"/>
      <c r="J640" s="228"/>
      <c r="K640" s="660"/>
      <c r="L640" s="228"/>
      <c r="M640" s="228"/>
      <c r="N640" s="228"/>
    </row>
    <row r="641">
      <c r="A641" s="228"/>
      <c r="B641" s="228"/>
      <c r="C641" s="228"/>
      <c r="D641" s="310"/>
      <c r="E641" s="311"/>
      <c r="F641" s="228"/>
      <c r="G641" s="228"/>
      <c r="H641" s="228"/>
      <c r="I641" s="228"/>
      <c r="J641" s="228"/>
      <c r="K641" s="660"/>
      <c r="L641" s="228"/>
      <c r="M641" s="228"/>
      <c r="N641" s="228"/>
    </row>
    <row r="642">
      <c r="A642" s="228"/>
      <c r="B642" s="228"/>
      <c r="C642" s="228"/>
      <c r="D642" s="310"/>
      <c r="E642" s="311"/>
      <c r="F642" s="228"/>
      <c r="G642" s="228"/>
      <c r="H642" s="228"/>
      <c r="I642" s="228"/>
      <c r="J642" s="228"/>
      <c r="K642" s="660"/>
      <c r="L642" s="228"/>
      <c r="M642" s="228"/>
      <c r="N642" s="228"/>
    </row>
    <row r="643">
      <c r="A643" s="228"/>
      <c r="B643" s="228"/>
      <c r="C643" s="228"/>
      <c r="D643" s="310"/>
      <c r="E643" s="311"/>
      <c r="F643" s="228"/>
      <c r="G643" s="228"/>
      <c r="H643" s="228"/>
      <c r="I643" s="228"/>
      <c r="J643" s="228"/>
      <c r="K643" s="660"/>
      <c r="L643" s="228"/>
      <c r="M643" s="228"/>
      <c r="N643" s="228"/>
    </row>
    <row r="644">
      <c r="A644" s="228"/>
      <c r="B644" s="228"/>
      <c r="C644" s="228"/>
      <c r="D644" s="310"/>
      <c r="E644" s="311"/>
      <c r="F644" s="228"/>
      <c r="G644" s="228"/>
      <c r="H644" s="228"/>
      <c r="I644" s="228"/>
      <c r="J644" s="228"/>
      <c r="K644" s="660"/>
      <c r="L644" s="228"/>
      <c r="M644" s="228"/>
      <c r="N644" s="228"/>
    </row>
    <row r="645">
      <c r="A645" s="228"/>
      <c r="B645" s="228"/>
      <c r="C645" s="228"/>
      <c r="D645" s="310"/>
      <c r="E645" s="311"/>
      <c r="F645" s="228"/>
      <c r="G645" s="228"/>
      <c r="H645" s="228"/>
      <c r="I645" s="228"/>
      <c r="J645" s="228"/>
      <c r="K645" s="660"/>
      <c r="L645" s="228"/>
      <c r="M645" s="228"/>
      <c r="N645" s="228"/>
    </row>
    <row r="646">
      <c r="A646" s="228"/>
      <c r="B646" s="228"/>
      <c r="C646" s="228"/>
      <c r="D646" s="310"/>
      <c r="E646" s="311"/>
      <c r="F646" s="228"/>
      <c r="G646" s="228"/>
      <c r="H646" s="228"/>
      <c r="I646" s="228"/>
      <c r="J646" s="228"/>
      <c r="K646" s="660"/>
      <c r="L646" s="228"/>
      <c r="M646" s="228"/>
      <c r="N646" s="228"/>
    </row>
    <row r="647">
      <c r="A647" s="228"/>
      <c r="B647" s="228"/>
      <c r="C647" s="228"/>
      <c r="D647" s="310"/>
      <c r="E647" s="311"/>
      <c r="F647" s="228"/>
      <c r="G647" s="228"/>
      <c r="H647" s="228"/>
      <c r="I647" s="228"/>
      <c r="J647" s="228"/>
      <c r="K647" s="660"/>
      <c r="L647" s="228"/>
      <c r="M647" s="228"/>
      <c r="N647" s="228"/>
    </row>
    <row r="648">
      <c r="A648" s="228"/>
      <c r="B648" s="228"/>
      <c r="C648" s="228"/>
      <c r="D648" s="310"/>
      <c r="E648" s="311"/>
      <c r="F648" s="228"/>
      <c r="G648" s="228"/>
      <c r="H648" s="228"/>
      <c r="I648" s="228"/>
      <c r="J648" s="228"/>
      <c r="K648" s="660"/>
      <c r="L648" s="228"/>
      <c r="M648" s="228"/>
      <c r="N648" s="228"/>
    </row>
    <row r="649">
      <c r="A649" s="228"/>
      <c r="B649" s="228"/>
      <c r="C649" s="228"/>
      <c r="D649" s="310"/>
      <c r="E649" s="311"/>
      <c r="F649" s="228"/>
      <c r="G649" s="228"/>
      <c r="H649" s="228"/>
      <c r="I649" s="228"/>
      <c r="J649" s="228"/>
      <c r="K649" s="660"/>
      <c r="L649" s="228"/>
      <c r="M649" s="228"/>
      <c r="N649" s="228"/>
    </row>
    <row r="650">
      <c r="A650" s="228"/>
      <c r="B650" s="228"/>
      <c r="C650" s="228"/>
      <c r="D650" s="310"/>
      <c r="E650" s="311"/>
      <c r="F650" s="228"/>
      <c r="G650" s="228"/>
      <c r="H650" s="228"/>
      <c r="I650" s="228"/>
      <c r="J650" s="228"/>
      <c r="K650" s="660"/>
      <c r="L650" s="228"/>
      <c r="M650" s="228"/>
      <c r="N650" s="228"/>
    </row>
    <row r="651">
      <c r="A651" s="228"/>
      <c r="B651" s="228"/>
      <c r="C651" s="228"/>
      <c r="D651" s="310"/>
      <c r="E651" s="311"/>
      <c r="F651" s="228"/>
      <c r="G651" s="228"/>
      <c r="H651" s="228"/>
      <c r="I651" s="228"/>
      <c r="J651" s="228"/>
      <c r="K651" s="660"/>
      <c r="L651" s="228"/>
      <c r="M651" s="228"/>
      <c r="N651" s="228"/>
    </row>
    <row r="652">
      <c r="A652" s="228"/>
      <c r="B652" s="228"/>
      <c r="C652" s="228"/>
      <c r="D652" s="310"/>
      <c r="E652" s="311"/>
      <c r="F652" s="228"/>
      <c r="G652" s="228"/>
      <c r="H652" s="228"/>
      <c r="I652" s="228"/>
      <c r="J652" s="228"/>
      <c r="K652" s="660"/>
      <c r="L652" s="228"/>
      <c r="M652" s="228"/>
      <c r="N652" s="228"/>
    </row>
    <row r="653">
      <c r="A653" s="228"/>
      <c r="B653" s="228"/>
      <c r="C653" s="228"/>
      <c r="D653" s="310"/>
      <c r="E653" s="311"/>
      <c r="F653" s="228"/>
      <c r="G653" s="228"/>
      <c r="H653" s="228"/>
      <c r="I653" s="228"/>
      <c r="J653" s="228"/>
      <c r="K653" s="660"/>
      <c r="L653" s="228"/>
      <c r="M653" s="228"/>
      <c r="N653" s="228"/>
    </row>
    <row r="654">
      <c r="A654" s="228"/>
      <c r="B654" s="228"/>
      <c r="C654" s="228"/>
      <c r="D654" s="310"/>
      <c r="E654" s="311"/>
      <c r="F654" s="228"/>
      <c r="G654" s="228"/>
      <c r="H654" s="228"/>
      <c r="I654" s="228"/>
      <c r="J654" s="228"/>
      <c r="K654" s="660"/>
      <c r="L654" s="228"/>
      <c r="M654" s="228"/>
      <c r="N654" s="228"/>
    </row>
    <row r="655">
      <c r="A655" s="228"/>
      <c r="B655" s="228"/>
      <c r="C655" s="228"/>
      <c r="D655" s="310"/>
      <c r="E655" s="311"/>
      <c r="F655" s="228"/>
      <c r="G655" s="228"/>
      <c r="H655" s="228"/>
      <c r="I655" s="228"/>
      <c r="J655" s="228"/>
      <c r="K655" s="660"/>
      <c r="L655" s="228"/>
      <c r="M655" s="228"/>
      <c r="N655" s="228"/>
    </row>
    <row r="656">
      <c r="A656" s="228"/>
      <c r="B656" s="228"/>
      <c r="C656" s="228"/>
      <c r="D656" s="310"/>
      <c r="E656" s="311"/>
      <c r="F656" s="228"/>
      <c r="G656" s="228"/>
      <c r="H656" s="228"/>
      <c r="I656" s="228"/>
      <c r="J656" s="228"/>
      <c r="K656" s="660"/>
      <c r="L656" s="228"/>
      <c r="M656" s="228"/>
      <c r="N656" s="228"/>
    </row>
    <row r="657">
      <c r="A657" s="228"/>
      <c r="B657" s="228"/>
      <c r="C657" s="228"/>
      <c r="D657" s="310"/>
      <c r="E657" s="311"/>
      <c r="F657" s="228"/>
      <c r="G657" s="228"/>
      <c r="H657" s="228"/>
      <c r="I657" s="228"/>
      <c r="J657" s="228"/>
      <c r="K657" s="660"/>
      <c r="L657" s="228"/>
      <c r="M657" s="228"/>
      <c r="N657" s="228"/>
    </row>
    <row r="658">
      <c r="A658" s="228"/>
      <c r="B658" s="228"/>
      <c r="C658" s="228"/>
      <c r="D658" s="310"/>
      <c r="E658" s="311"/>
      <c r="F658" s="228"/>
      <c r="G658" s="228"/>
      <c r="H658" s="228"/>
      <c r="I658" s="228"/>
      <c r="J658" s="228"/>
      <c r="K658" s="660"/>
      <c r="L658" s="228"/>
      <c r="M658" s="228"/>
      <c r="N658" s="228"/>
    </row>
    <row r="659">
      <c r="A659" s="228"/>
      <c r="B659" s="228"/>
      <c r="C659" s="228"/>
      <c r="D659" s="310"/>
      <c r="E659" s="311"/>
      <c r="F659" s="228"/>
      <c r="G659" s="228"/>
      <c r="H659" s="228"/>
      <c r="I659" s="228"/>
      <c r="J659" s="228"/>
      <c r="K659" s="660"/>
      <c r="L659" s="228"/>
      <c r="M659" s="228"/>
      <c r="N659" s="228"/>
    </row>
    <row r="660">
      <c r="A660" s="228"/>
      <c r="B660" s="228"/>
      <c r="C660" s="228"/>
      <c r="D660" s="310"/>
      <c r="E660" s="311"/>
      <c r="F660" s="228"/>
      <c r="G660" s="228"/>
      <c r="H660" s="228"/>
      <c r="I660" s="228"/>
      <c r="J660" s="228"/>
      <c r="K660" s="660"/>
      <c r="L660" s="228"/>
      <c r="M660" s="228"/>
      <c r="N660" s="228"/>
    </row>
    <row r="661">
      <c r="A661" s="228"/>
      <c r="B661" s="228"/>
      <c r="C661" s="228"/>
      <c r="D661" s="310"/>
      <c r="E661" s="311"/>
      <c r="F661" s="228"/>
      <c r="G661" s="228"/>
      <c r="H661" s="228"/>
      <c r="I661" s="228"/>
      <c r="J661" s="228"/>
      <c r="K661" s="660"/>
      <c r="L661" s="228"/>
      <c r="M661" s="228"/>
      <c r="N661" s="228"/>
    </row>
    <row r="662">
      <c r="A662" s="228"/>
      <c r="B662" s="228"/>
      <c r="C662" s="228"/>
      <c r="D662" s="310"/>
      <c r="E662" s="311"/>
      <c r="F662" s="228"/>
      <c r="G662" s="228"/>
      <c r="H662" s="228"/>
      <c r="I662" s="228"/>
      <c r="J662" s="228"/>
      <c r="K662" s="660"/>
      <c r="L662" s="228"/>
      <c r="M662" s="228"/>
      <c r="N662" s="228"/>
    </row>
    <row r="663">
      <c r="A663" s="228"/>
      <c r="B663" s="228"/>
      <c r="C663" s="228"/>
      <c r="D663" s="310"/>
      <c r="E663" s="311"/>
      <c r="F663" s="228"/>
      <c r="G663" s="228"/>
      <c r="H663" s="228"/>
      <c r="I663" s="228"/>
      <c r="J663" s="228"/>
      <c r="K663" s="660"/>
      <c r="L663" s="228"/>
      <c r="M663" s="228"/>
      <c r="N663" s="228"/>
    </row>
    <row r="664">
      <c r="A664" s="228"/>
      <c r="B664" s="228"/>
      <c r="C664" s="228"/>
      <c r="D664" s="310"/>
      <c r="E664" s="311"/>
      <c r="F664" s="228"/>
      <c r="G664" s="228"/>
      <c r="H664" s="228"/>
      <c r="I664" s="228"/>
      <c r="J664" s="228"/>
      <c r="K664" s="660"/>
      <c r="L664" s="228"/>
      <c r="M664" s="228"/>
      <c r="N664" s="228"/>
    </row>
    <row r="665">
      <c r="A665" s="228"/>
      <c r="B665" s="228"/>
      <c r="C665" s="228"/>
      <c r="D665" s="310"/>
      <c r="E665" s="311"/>
      <c r="F665" s="228"/>
      <c r="G665" s="228"/>
      <c r="H665" s="228"/>
      <c r="I665" s="228"/>
      <c r="J665" s="228"/>
      <c r="K665" s="660"/>
      <c r="L665" s="228"/>
      <c r="M665" s="228"/>
      <c r="N665" s="228"/>
    </row>
    <row r="666">
      <c r="A666" s="228"/>
      <c r="B666" s="228"/>
      <c r="C666" s="228"/>
      <c r="D666" s="310"/>
      <c r="E666" s="311"/>
      <c r="F666" s="228"/>
      <c r="G666" s="228"/>
      <c r="H666" s="228"/>
      <c r="I666" s="228"/>
      <c r="J666" s="228"/>
      <c r="K666" s="660"/>
      <c r="L666" s="228"/>
      <c r="M666" s="228"/>
      <c r="N666" s="228"/>
    </row>
    <row r="667">
      <c r="A667" s="228"/>
      <c r="B667" s="228"/>
      <c r="C667" s="228"/>
      <c r="D667" s="310"/>
      <c r="E667" s="311"/>
      <c r="F667" s="228"/>
      <c r="G667" s="228"/>
      <c r="H667" s="228"/>
      <c r="I667" s="228"/>
      <c r="J667" s="228"/>
      <c r="K667" s="660"/>
      <c r="L667" s="228"/>
      <c r="M667" s="228"/>
      <c r="N667" s="228"/>
    </row>
    <row r="668">
      <c r="A668" s="228"/>
      <c r="B668" s="228"/>
      <c r="C668" s="228"/>
      <c r="D668" s="310"/>
      <c r="E668" s="311"/>
      <c r="F668" s="228"/>
      <c r="G668" s="228"/>
      <c r="H668" s="228"/>
      <c r="I668" s="228"/>
      <c r="J668" s="228"/>
      <c r="K668" s="660"/>
      <c r="L668" s="228"/>
      <c r="M668" s="228"/>
      <c r="N668" s="228"/>
    </row>
    <row r="669">
      <c r="A669" s="228"/>
      <c r="B669" s="228"/>
      <c r="C669" s="228"/>
      <c r="D669" s="310"/>
      <c r="E669" s="311"/>
      <c r="F669" s="228"/>
      <c r="G669" s="228"/>
      <c r="H669" s="228"/>
      <c r="I669" s="228"/>
      <c r="J669" s="228"/>
      <c r="K669" s="660"/>
      <c r="L669" s="228"/>
      <c r="M669" s="228"/>
      <c r="N669" s="228"/>
    </row>
    <row r="670">
      <c r="A670" s="228"/>
      <c r="B670" s="228"/>
      <c r="C670" s="228"/>
      <c r="D670" s="310"/>
      <c r="E670" s="311"/>
      <c r="F670" s="228"/>
      <c r="G670" s="228"/>
      <c r="H670" s="228"/>
      <c r="I670" s="228"/>
      <c r="J670" s="228"/>
      <c r="K670" s="660"/>
      <c r="L670" s="228"/>
      <c r="M670" s="228"/>
      <c r="N670" s="228"/>
    </row>
    <row r="671">
      <c r="A671" s="228"/>
      <c r="B671" s="228"/>
      <c r="C671" s="228"/>
      <c r="D671" s="310"/>
      <c r="E671" s="311"/>
      <c r="F671" s="228"/>
      <c r="G671" s="228"/>
      <c r="H671" s="228"/>
      <c r="I671" s="228"/>
      <c r="J671" s="228"/>
      <c r="K671" s="660"/>
      <c r="L671" s="228"/>
      <c r="M671" s="228"/>
      <c r="N671" s="228"/>
    </row>
    <row r="672">
      <c r="A672" s="228"/>
      <c r="B672" s="228"/>
      <c r="C672" s="228"/>
      <c r="D672" s="310"/>
      <c r="E672" s="311"/>
      <c r="F672" s="228"/>
      <c r="G672" s="228"/>
      <c r="H672" s="228"/>
      <c r="I672" s="228"/>
      <c r="J672" s="228"/>
      <c r="K672" s="660"/>
      <c r="L672" s="228"/>
      <c r="M672" s="228"/>
      <c r="N672" s="228"/>
    </row>
    <row r="673">
      <c r="A673" s="228"/>
      <c r="B673" s="228"/>
      <c r="C673" s="228"/>
      <c r="D673" s="310"/>
      <c r="E673" s="311"/>
      <c r="F673" s="228"/>
      <c r="G673" s="228"/>
      <c r="H673" s="228"/>
      <c r="I673" s="228"/>
      <c r="J673" s="228"/>
      <c r="K673" s="660"/>
      <c r="L673" s="228"/>
      <c r="M673" s="228"/>
      <c r="N673" s="228"/>
    </row>
    <row r="674">
      <c r="A674" s="228"/>
      <c r="B674" s="228"/>
      <c r="C674" s="228"/>
      <c r="D674" s="310"/>
      <c r="E674" s="311"/>
      <c r="F674" s="228"/>
      <c r="G674" s="228"/>
      <c r="H674" s="228"/>
      <c r="I674" s="228"/>
      <c r="J674" s="228"/>
      <c r="K674" s="660"/>
      <c r="L674" s="228"/>
      <c r="M674" s="228"/>
      <c r="N674" s="228"/>
    </row>
    <row r="675">
      <c r="A675" s="228"/>
      <c r="B675" s="228"/>
      <c r="C675" s="228"/>
      <c r="D675" s="310"/>
      <c r="E675" s="311"/>
      <c r="F675" s="228"/>
      <c r="G675" s="228"/>
      <c r="H675" s="228"/>
      <c r="I675" s="228"/>
      <c r="J675" s="228"/>
      <c r="K675" s="660"/>
      <c r="L675" s="228"/>
      <c r="M675" s="228"/>
      <c r="N675" s="228"/>
    </row>
    <row r="676">
      <c r="A676" s="228"/>
      <c r="B676" s="228"/>
      <c r="C676" s="228"/>
      <c r="D676" s="310"/>
      <c r="E676" s="311"/>
      <c r="F676" s="228"/>
      <c r="G676" s="228"/>
      <c r="H676" s="228"/>
      <c r="I676" s="228"/>
      <c r="J676" s="228"/>
      <c r="K676" s="660"/>
      <c r="L676" s="228"/>
      <c r="M676" s="228"/>
      <c r="N676" s="228"/>
    </row>
    <row r="677">
      <c r="A677" s="228"/>
      <c r="B677" s="228"/>
      <c r="C677" s="228"/>
      <c r="D677" s="310"/>
      <c r="E677" s="311"/>
      <c r="F677" s="228"/>
      <c r="G677" s="228"/>
      <c r="H677" s="228"/>
      <c r="I677" s="228"/>
      <c r="J677" s="228"/>
      <c r="K677" s="660"/>
      <c r="L677" s="228"/>
      <c r="M677" s="228"/>
      <c r="N677" s="228"/>
    </row>
    <row r="678">
      <c r="A678" s="228"/>
      <c r="B678" s="228"/>
      <c r="C678" s="228"/>
      <c r="D678" s="310"/>
      <c r="E678" s="311"/>
      <c r="F678" s="228"/>
      <c r="G678" s="228"/>
      <c r="H678" s="228"/>
      <c r="I678" s="228"/>
      <c r="J678" s="228"/>
      <c r="K678" s="660"/>
      <c r="L678" s="228"/>
      <c r="M678" s="228"/>
      <c r="N678" s="228"/>
    </row>
    <row r="679">
      <c r="A679" s="228"/>
      <c r="B679" s="228"/>
      <c r="C679" s="228"/>
      <c r="D679" s="310"/>
      <c r="E679" s="311"/>
      <c r="F679" s="228"/>
      <c r="G679" s="228"/>
      <c r="H679" s="228"/>
      <c r="I679" s="228"/>
      <c r="J679" s="228"/>
      <c r="K679" s="660"/>
      <c r="L679" s="228"/>
      <c r="M679" s="228"/>
      <c r="N679" s="228"/>
    </row>
    <row r="680">
      <c r="A680" s="228"/>
      <c r="B680" s="228"/>
      <c r="C680" s="228"/>
      <c r="D680" s="310"/>
      <c r="E680" s="311"/>
      <c r="F680" s="228"/>
      <c r="G680" s="228"/>
      <c r="H680" s="228"/>
      <c r="I680" s="228"/>
      <c r="J680" s="228"/>
      <c r="K680" s="660"/>
      <c r="L680" s="228"/>
      <c r="M680" s="228"/>
      <c r="N680" s="228"/>
    </row>
    <row r="681">
      <c r="A681" s="228"/>
      <c r="B681" s="228"/>
      <c r="C681" s="228"/>
      <c r="D681" s="310"/>
      <c r="E681" s="311"/>
      <c r="F681" s="228"/>
      <c r="G681" s="228"/>
      <c r="H681" s="228"/>
      <c r="I681" s="228"/>
      <c r="J681" s="228"/>
      <c r="K681" s="660"/>
      <c r="L681" s="228"/>
      <c r="M681" s="228"/>
      <c r="N681" s="228"/>
    </row>
    <row r="682">
      <c r="A682" s="228"/>
      <c r="B682" s="228"/>
      <c r="C682" s="228"/>
      <c r="D682" s="310"/>
      <c r="E682" s="311"/>
      <c r="F682" s="228"/>
      <c r="G682" s="228"/>
      <c r="H682" s="228"/>
      <c r="I682" s="228"/>
      <c r="J682" s="228"/>
      <c r="K682" s="660"/>
      <c r="L682" s="228"/>
      <c r="M682" s="228"/>
      <c r="N682" s="228"/>
    </row>
    <row r="683">
      <c r="A683" s="228"/>
      <c r="B683" s="228"/>
      <c r="C683" s="228"/>
      <c r="D683" s="310"/>
      <c r="E683" s="311"/>
      <c r="F683" s="228"/>
      <c r="G683" s="228"/>
      <c r="H683" s="228"/>
      <c r="I683" s="228"/>
      <c r="J683" s="228"/>
      <c r="K683" s="660"/>
      <c r="L683" s="228"/>
      <c r="M683" s="228"/>
      <c r="N683" s="228"/>
    </row>
    <row r="684">
      <c r="A684" s="228"/>
      <c r="B684" s="228"/>
      <c r="C684" s="228"/>
      <c r="D684" s="310"/>
      <c r="E684" s="311"/>
      <c r="F684" s="228"/>
      <c r="G684" s="228"/>
      <c r="H684" s="228"/>
      <c r="I684" s="228"/>
      <c r="J684" s="228"/>
      <c r="K684" s="660"/>
      <c r="L684" s="228"/>
      <c r="M684" s="228"/>
      <c r="N684" s="228"/>
    </row>
    <row r="685">
      <c r="A685" s="228"/>
      <c r="B685" s="228"/>
      <c r="C685" s="228"/>
      <c r="D685" s="310"/>
      <c r="E685" s="311"/>
      <c r="F685" s="228"/>
      <c r="G685" s="228"/>
      <c r="H685" s="228"/>
      <c r="I685" s="228"/>
      <c r="J685" s="228"/>
      <c r="K685" s="660"/>
      <c r="L685" s="228"/>
      <c r="M685" s="228"/>
      <c r="N685" s="228"/>
    </row>
    <row r="686">
      <c r="A686" s="228"/>
      <c r="B686" s="228"/>
      <c r="C686" s="228"/>
      <c r="D686" s="310"/>
      <c r="E686" s="311"/>
      <c r="F686" s="228"/>
      <c r="G686" s="228"/>
      <c r="H686" s="228"/>
      <c r="I686" s="228"/>
      <c r="J686" s="228"/>
      <c r="K686" s="660"/>
      <c r="L686" s="228"/>
      <c r="M686" s="228"/>
      <c r="N686" s="228"/>
    </row>
    <row r="687">
      <c r="A687" s="228"/>
      <c r="B687" s="228"/>
      <c r="C687" s="228"/>
      <c r="D687" s="310"/>
      <c r="E687" s="311"/>
      <c r="F687" s="228"/>
      <c r="G687" s="228"/>
      <c r="H687" s="228"/>
      <c r="I687" s="228"/>
      <c r="J687" s="228"/>
      <c r="K687" s="660"/>
      <c r="L687" s="228"/>
      <c r="M687" s="228"/>
      <c r="N687" s="228"/>
    </row>
    <row r="688">
      <c r="A688" s="228"/>
      <c r="B688" s="228"/>
      <c r="C688" s="228"/>
      <c r="D688" s="310"/>
      <c r="E688" s="311"/>
      <c r="F688" s="228"/>
      <c r="G688" s="228"/>
      <c r="H688" s="228"/>
      <c r="I688" s="228"/>
      <c r="J688" s="228"/>
      <c r="K688" s="660"/>
      <c r="L688" s="228"/>
      <c r="M688" s="228"/>
      <c r="N688" s="228"/>
    </row>
    <row r="689">
      <c r="A689" s="228"/>
      <c r="B689" s="228"/>
      <c r="C689" s="228"/>
      <c r="D689" s="310"/>
      <c r="E689" s="311"/>
      <c r="F689" s="228"/>
      <c r="G689" s="228"/>
      <c r="H689" s="228"/>
      <c r="I689" s="228"/>
      <c r="J689" s="228"/>
      <c r="K689" s="660"/>
      <c r="L689" s="228"/>
      <c r="M689" s="228"/>
      <c r="N689" s="228"/>
    </row>
    <row r="690">
      <c r="A690" s="228"/>
      <c r="B690" s="228"/>
      <c r="C690" s="228"/>
      <c r="D690" s="310"/>
      <c r="E690" s="311"/>
      <c r="F690" s="228"/>
      <c r="G690" s="228"/>
      <c r="H690" s="228"/>
      <c r="I690" s="228"/>
      <c r="J690" s="228"/>
      <c r="K690" s="660"/>
      <c r="L690" s="228"/>
      <c r="M690" s="228"/>
      <c r="N690" s="228"/>
    </row>
    <row r="691">
      <c r="A691" s="228"/>
      <c r="B691" s="228"/>
      <c r="C691" s="228"/>
      <c r="D691" s="310"/>
      <c r="E691" s="311"/>
      <c r="F691" s="228"/>
      <c r="G691" s="228"/>
      <c r="H691" s="228"/>
      <c r="I691" s="228"/>
      <c r="J691" s="228"/>
      <c r="K691" s="660"/>
      <c r="L691" s="228"/>
      <c r="M691" s="228"/>
      <c r="N691" s="228"/>
    </row>
    <row r="692">
      <c r="A692" s="228"/>
      <c r="B692" s="228"/>
      <c r="C692" s="228"/>
      <c r="D692" s="310"/>
      <c r="E692" s="311"/>
      <c r="F692" s="228"/>
      <c r="G692" s="228"/>
      <c r="H692" s="228"/>
      <c r="I692" s="228"/>
      <c r="J692" s="228"/>
      <c r="K692" s="660"/>
      <c r="L692" s="228"/>
      <c r="M692" s="228"/>
      <c r="N692" s="228"/>
    </row>
    <row r="693">
      <c r="A693" s="228"/>
      <c r="B693" s="228"/>
      <c r="C693" s="228"/>
      <c r="D693" s="310"/>
      <c r="E693" s="311"/>
      <c r="F693" s="228"/>
      <c r="G693" s="228"/>
      <c r="H693" s="228"/>
      <c r="I693" s="228"/>
      <c r="J693" s="228"/>
      <c r="K693" s="660"/>
      <c r="L693" s="228"/>
      <c r="M693" s="228"/>
      <c r="N693" s="228"/>
    </row>
    <row r="694">
      <c r="A694" s="228"/>
      <c r="B694" s="228"/>
      <c r="C694" s="228"/>
      <c r="D694" s="310"/>
      <c r="E694" s="311"/>
      <c r="F694" s="228"/>
      <c r="G694" s="228"/>
      <c r="H694" s="228"/>
      <c r="I694" s="228"/>
      <c r="J694" s="228"/>
      <c r="K694" s="660"/>
      <c r="L694" s="228"/>
      <c r="M694" s="228"/>
      <c r="N694" s="228"/>
    </row>
    <row r="695">
      <c r="A695" s="228"/>
      <c r="B695" s="228"/>
      <c r="C695" s="228"/>
      <c r="D695" s="310"/>
      <c r="E695" s="311"/>
      <c r="F695" s="228"/>
      <c r="G695" s="228"/>
      <c r="H695" s="228"/>
      <c r="I695" s="228"/>
      <c r="J695" s="228"/>
      <c r="K695" s="660"/>
      <c r="L695" s="228"/>
      <c r="M695" s="228"/>
      <c r="N695" s="228"/>
    </row>
    <row r="696">
      <c r="A696" s="228"/>
      <c r="B696" s="228"/>
      <c r="C696" s="228"/>
      <c r="D696" s="310"/>
      <c r="E696" s="311"/>
      <c r="F696" s="228"/>
      <c r="G696" s="228"/>
      <c r="H696" s="228"/>
      <c r="I696" s="228"/>
      <c r="J696" s="228"/>
      <c r="K696" s="660"/>
      <c r="L696" s="228"/>
      <c r="M696" s="228"/>
      <c r="N696" s="228"/>
    </row>
    <row r="697">
      <c r="A697" s="228"/>
      <c r="B697" s="228"/>
      <c r="C697" s="228"/>
      <c r="D697" s="310"/>
      <c r="E697" s="311"/>
      <c r="F697" s="228"/>
      <c r="G697" s="228"/>
      <c r="H697" s="228"/>
      <c r="I697" s="228"/>
      <c r="J697" s="228"/>
      <c r="K697" s="660"/>
      <c r="L697" s="228"/>
      <c r="M697" s="228"/>
      <c r="N697" s="228"/>
    </row>
    <row r="698">
      <c r="A698" s="228"/>
      <c r="B698" s="228"/>
      <c r="C698" s="228"/>
      <c r="D698" s="310"/>
      <c r="E698" s="311"/>
      <c r="F698" s="228"/>
      <c r="G698" s="228"/>
      <c r="H698" s="228"/>
      <c r="I698" s="228"/>
      <c r="J698" s="228"/>
      <c r="K698" s="660"/>
      <c r="L698" s="228"/>
      <c r="M698" s="228"/>
      <c r="N698" s="228"/>
    </row>
    <row r="699">
      <c r="A699" s="228"/>
      <c r="B699" s="228"/>
      <c r="C699" s="228"/>
      <c r="D699" s="310"/>
      <c r="E699" s="311"/>
      <c r="F699" s="228"/>
      <c r="G699" s="228"/>
      <c r="H699" s="228"/>
      <c r="I699" s="228"/>
      <c r="J699" s="228"/>
      <c r="K699" s="660"/>
      <c r="L699" s="228"/>
      <c r="M699" s="228"/>
      <c r="N699" s="228"/>
    </row>
    <row r="700">
      <c r="A700" s="228"/>
      <c r="B700" s="228"/>
      <c r="C700" s="228"/>
      <c r="D700" s="310"/>
      <c r="E700" s="311"/>
      <c r="F700" s="228"/>
      <c r="G700" s="228"/>
      <c r="H700" s="228"/>
      <c r="I700" s="228"/>
      <c r="J700" s="228"/>
      <c r="K700" s="660"/>
      <c r="L700" s="228"/>
      <c r="M700" s="228"/>
      <c r="N700" s="228"/>
    </row>
    <row r="701">
      <c r="A701" s="228"/>
      <c r="B701" s="228"/>
      <c r="C701" s="228"/>
      <c r="D701" s="310"/>
      <c r="E701" s="311"/>
      <c r="F701" s="228"/>
      <c r="G701" s="228"/>
      <c r="H701" s="228"/>
      <c r="I701" s="228"/>
      <c r="J701" s="228"/>
      <c r="K701" s="660"/>
      <c r="L701" s="228"/>
      <c r="M701" s="228"/>
      <c r="N701" s="228"/>
    </row>
    <row r="702">
      <c r="A702" s="228"/>
      <c r="B702" s="228"/>
      <c r="C702" s="228"/>
      <c r="D702" s="310"/>
      <c r="E702" s="311"/>
      <c r="F702" s="228"/>
      <c r="G702" s="228"/>
      <c r="H702" s="228"/>
      <c r="I702" s="228"/>
      <c r="J702" s="228"/>
      <c r="K702" s="660"/>
      <c r="L702" s="228"/>
      <c r="M702" s="228"/>
      <c r="N702" s="228"/>
    </row>
    <row r="703">
      <c r="A703" s="228"/>
      <c r="B703" s="228"/>
      <c r="C703" s="228"/>
      <c r="D703" s="310"/>
      <c r="E703" s="311"/>
      <c r="F703" s="228"/>
      <c r="G703" s="228"/>
      <c r="H703" s="228"/>
      <c r="I703" s="228"/>
      <c r="J703" s="228"/>
      <c r="K703" s="660"/>
      <c r="L703" s="228"/>
      <c r="M703" s="228"/>
      <c r="N703" s="228"/>
    </row>
    <row r="704">
      <c r="A704" s="228"/>
      <c r="B704" s="228"/>
      <c r="C704" s="228"/>
      <c r="D704" s="310"/>
      <c r="E704" s="311"/>
      <c r="F704" s="228"/>
      <c r="G704" s="228"/>
      <c r="H704" s="228"/>
      <c r="I704" s="228"/>
      <c r="J704" s="228"/>
      <c r="K704" s="660"/>
      <c r="L704" s="228"/>
      <c r="M704" s="228"/>
      <c r="N704" s="228"/>
    </row>
    <row r="705">
      <c r="A705" s="228"/>
      <c r="B705" s="228"/>
      <c r="C705" s="228"/>
      <c r="D705" s="310"/>
      <c r="E705" s="311"/>
      <c r="F705" s="228"/>
      <c r="G705" s="228"/>
      <c r="H705" s="228"/>
      <c r="I705" s="228"/>
      <c r="J705" s="228"/>
      <c r="K705" s="660"/>
      <c r="L705" s="228"/>
      <c r="M705" s="228"/>
      <c r="N705" s="228"/>
    </row>
    <row r="706">
      <c r="A706" s="228"/>
      <c r="B706" s="228"/>
      <c r="C706" s="228"/>
      <c r="D706" s="310"/>
      <c r="E706" s="311"/>
      <c r="F706" s="228"/>
      <c r="G706" s="228"/>
      <c r="H706" s="228"/>
      <c r="I706" s="228"/>
      <c r="J706" s="228"/>
      <c r="K706" s="660"/>
      <c r="L706" s="228"/>
      <c r="M706" s="228"/>
      <c r="N706" s="228"/>
    </row>
    <row r="707">
      <c r="A707" s="228"/>
      <c r="B707" s="228"/>
      <c r="C707" s="228"/>
      <c r="D707" s="310"/>
      <c r="E707" s="311"/>
      <c r="F707" s="228"/>
      <c r="G707" s="228"/>
      <c r="H707" s="228"/>
      <c r="I707" s="228"/>
      <c r="J707" s="228"/>
      <c r="K707" s="660"/>
      <c r="L707" s="228"/>
      <c r="M707" s="228"/>
      <c r="N707" s="228"/>
    </row>
    <row r="708">
      <c r="A708" s="228"/>
      <c r="B708" s="228"/>
      <c r="C708" s="228"/>
      <c r="D708" s="310"/>
      <c r="E708" s="311"/>
      <c r="F708" s="228"/>
      <c r="G708" s="228"/>
      <c r="H708" s="228"/>
      <c r="I708" s="228"/>
      <c r="J708" s="228"/>
      <c r="K708" s="660"/>
      <c r="L708" s="228"/>
      <c r="M708" s="228"/>
      <c r="N708" s="228"/>
    </row>
    <row r="709">
      <c r="A709" s="228"/>
      <c r="B709" s="228"/>
      <c r="C709" s="228"/>
      <c r="D709" s="310"/>
      <c r="E709" s="311"/>
      <c r="F709" s="228"/>
      <c r="G709" s="228"/>
      <c r="H709" s="228"/>
      <c r="I709" s="228"/>
      <c r="J709" s="228"/>
      <c r="K709" s="660"/>
      <c r="L709" s="228"/>
      <c r="M709" s="228"/>
      <c r="N709" s="228"/>
    </row>
    <row r="710">
      <c r="A710" s="228"/>
      <c r="B710" s="228"/>
      <c r="C710" s="228"/>
      <c r="D710" s="310"/>
      <c r="E710" s="311"/>
      <c r="F710" s="228"/>
      <c r="G710" s="228"/>
      <c r="H710" s="228"/>
      <c r="I710" s="228"/>
      <c r="J710" s="228"/>
      <c r="K710" s="660"/>
      <c r="L710" s="228"/>
      <c r="M710" s="228"/>
      <c r="N710" s="228"/>
    </row>
    <row r="711">
      <c r="A711" s="228"/>
      <c r="B711" s="228"/>
      <c r="C711" s="228"/>
      <c r="D711" s="310"/>
      <c r="E711" s="311"/>
      <c r="F711" s="228"/>
      <c r="G711" s="228"/>
      <c r="H711" s="228"/>
      <c r="I711" s="228"/>
      <c r="J711" s="228"/>
      <c r="K711" s="660"/>
      <c r="L711" s="228"/>
      <c r="M711" s="228"/>
      <c r="N711" s="228"/>
    </row>
    <row r="712">
      <c r="A712" s="228"/>
      <c r="B712" s="228"/>
      <c r="C712" s="228"/>
      <c r="D712" s="310"/>
      <c r="E712" s="311"/>
      <c r="F712" s="228"/>
      <c r="G712" s="228"/>
      <c r="H712" s="228"/>
      <c r="I712" s="228"/>
      <c r="J712" s="228"/>
      <c r="K712" s="660"/>
      <c r="L712" s="228"/>
      <c r="M712" s="228"/>
      <c r="N712" s="228"/>
    </row>
    <row r="713">
      <c r="A713" s="228"/>
      <c r="B713" s="228"/>
      <c r="C713" s="228"/>
      <c r="D713" s="310"/>
      <c r="E713" s="311"/>
      <c r="F713" s="228"/>
      <c r="G713" s="228"/>
      <c r="H713" s="228"/>
      <c r="I713" s="228"/>
      <c r="J713" s="228"/>
      <c r="K713" s="660"/>
      <c r="L713" s="228"/>
      <c r="M713" s="228"/>
      <c r="N713" s="228"/>
    </row>
    <row r="714">
      <c r="A714" s="228"/>
      <c r="B714" s="228"/>
      <c r="C714" s="228"/>
      <c r="D714" s="310"/>
      <c r="E714" s="311"/>
      <c r="F714" s="228"/>
      <c r="G714" s="228"/>
      <c r="H714" s="228"/>
      <c r="I714" s="228"/>
      <c r="J714" s="228"/>
      <c r="K714" s="660"/>
      <c r="L714" s="228"/>
      <c r="M714" s="228"/>
      <c r="N714" s="228"/>
    </row>
    <row r="715">
      <c r="A715" s="228"/>
      <c r="B715" s="228"/>
      <c r="C715" s="228"/>
      <c r="D715" s="310"/>
      <c r="E715" s="311"/>
      <c r="F715" s="228"/>
      <c r="G715" s="228"/>
      <c r="H715" s="228"/>
      <c r="I715" s="228"/>
      <c r="J715" s="228"/>
      <c r="K715" s="660"/>
      <c r="L715" s="228"/>
      <c r="M715" s="228"/>
      <c r="N715" s="228"/>
    </row>
    <row r="716">
      <c r="A716" s="228"/>
      <c r="B716" s="228"/>
      <c r="C716" s="228"/>
      <c r="D716" s="310"/>
      <c r="E716" s="311"/>
      <c r="F716" s="228"/>
      <c r="G716" s="228"/>
      <c r="H716" s="228"/>
      <c r="I716" s="228"/>
      <c r="J716" s="228"/>
      <c r="K716" s="660"/>
      <c r="L716" s="228"/>
      <c r="M716" s="228"/>
      <c r="N716" s="228"/>
    </row>
    <row r="717">
      <c r="A717" s="228"/>
      <c r="B717" s="228"/>
      <c r="C717" s="228"/>
      <c r="D717" s="310"/>
      <c r="E717" s="311"/>
      <c r="F717" s="228"/>
      <c r="G717" s="228"/>
      <c r="H717" s="228"/>
      <c r="I717" s="228"/>
      <c r="J717" s="228"/>
      <c r="K717" s="660"/>
      <c r="L717" s="228"/>
      <c r="M717" s="228"/>
      <c r="N717" s="228"/>
    </row>
    <row r="718">
      <c r="A718" s="228"/>
      <c r="B718" s="228"/>
      <c r="C718" s="228"/>
      <c r="D718" s="310"/>
      <c r="E718" s="311"/>
      <c r="F718" s="228"/>
      <c r="G718" s="228"/>
      <c r="H718" s="228"/>
      <c r="I718" s="228"/>
      <c r="J718" s="228"/>
      <c r="K718" s="660"/>
      <c r="L718" s="228"/>
      <c r="M718" s="228"/>
      <c r="N718" s="228"/>
    </row>
    <row r="719">
      <c r="A719" s="228"/>
      <c r="B719" s="228"/>
      <c r="C719" s="228"/>
      <c r="D719" s="310"/>
      <c r="E719" s="311"/>
      <c r="F719" s="228"/>
      <c r="G719" s="228"/>
      <c r="H719" s="228"/>
      <c r="I719" s="228"/>
      <c r="J719" s="228"/>
      <c r="K719" s="660"/>
      <c r="L719" s="228"/>
      <c r="M719" s="228"/>
      <c r="N719" s="228"/>
    </row>
    <row r="720">
      <c r="A720" s="228"/>
      <c r="B720" s="228"/>
      <c r="C720" s="228"/>
      <c r="D720" s="310"/>
      <c r="E720" s="311"/>
      <c r="F720" s="228"/>
      <c r="G720" s="228"/>
      <c r="H720" s="228"/>
      <c r="I720" s="228"/>
      <c r="J720" s="228"/>
      <c r="K720" s="660"/>
      <c r="L720" s="228"/>
      <c r="M720" s="228"/>
      <c r="N720" s="228"/>
    </row>
    <row r="721">
      <c r="A721" s="228"/>
      <c r="B721" s="228"/>
      <c r="C721" s="228"/>
      <c r="D721" s="310"/>
      <c r="E721" s="311"/>
      <c r="F721" s="228"/>
      <c r="G721" s="228"/>
      <c r="H721" s="228"/>
      <c r="I721" s="228"/>
      <c r="J721" s="228"/>
      <c r="K721" s="660"/>
      <c r="L721" s="228"/>
      <c r="M721" s="228"/>
      <c r="N721" s="228"/>
    </row>
    <row r="722">
      <c r="A722" s="228"/>
      <c r="B722" s="228"/>
      <c r="C722" s="228"/>
      <c r="D722" s="310"/>
      <c r="E722" s="311"/>
      <c r="F722" s="228"/>
      <c r="G722" s="228"/>
      <c r="H722" s="228"/>
      <c r="I722" s="228"/>
      <c r="J722" s="228"/>
      <c r="K722" s="660"/>
      <c r="L722" s="228"/>
      <c r="M722" s="228"/>
      <c r="N722" s="228"/>
    </row>
    <row r="723">
      <c r="A723" s="228"/>
      <c r="B723" s="228"/>
      <c r="C723" s="228"/>
      <c r="D723" s="310"/>
      <c r="E723" s="311"/>
      <c r="F723" s="228"/>
      <c r="G723" s="228"/>
      <c r="H723" s="228"/>
      <c r="I723" s="228"/>
      <c r="J723" s="228"/>
      <c r="K723" s="660"/>
      <c r="L723" s="228"/>
      <c r="M723" s="228"/>
      <c r="N723" s="228"/>
    </row>
    <row r="724">
      <c r="A724" s="228"/>
      <c r="B724" s="228"/>
      <c r="C724" s="228"/>
      <c r="D724" s="310"/>
      <c r="E724" s="311"/>
      <c r="F724" s="228"/>
      <c r="G724" s="228"/>
      <c r="H724" s="228"/>
      <c r="I724" s="228"/>
      <c r="J724" s="228"/>
      <c r="K724" s="660"/>
      <c r="L724" s="228"/>
      <c r="M724" s="228"/>
      <c r="N724" s="228"/>
    </row>
    <row r="725">
      <c r="A725" s="228"/>
      <c r="B725" s="228"/>
      <c r="C725" s="228"/>
      <c r="D725" s="310"/>
      <c r="E725" s="311"/>
      <c r="F725" s="228"/>
      <c r="G725" s="228"/>
      <c r="H725" s="228"/>
      <c r="I725" s="228"/>
      <c r="J725" s="228"/>
      <c r="K725" s="660"/>
      <c r="L725" s="228"/>
      <c r="M725" s="228"/>
      <c r="N725" s="228"/>
    </row>
    <row r="726">
      <c r="A726" s="228"/>
      <c r="B726" s="228"/>
      <c r="C726" s="228"/>
      <c r="D726" s="310"/>
      <c r="E726" s="311"/>
      <c r="F726" s="228"/>
      <c r="G726" s="228"/>
      <c r="H726" s="228"/>
      <c r="I726" s="228"/>
      <c r="J726" s="228"/>
      <c r="K726" s="660"/>
      <c r="L726" s="228"/>
      <c r="M726" s="228"/>
      <c r="N726" s="228"/>
    </row>
    <row r="727">
      <c r="A727" s="228"/>
      <c r="B727" s="228"/>
      <c r="C727" s="228"/>
      <c r="D727" s="310"/>
      <c r="E727" s="311"/>
      <c r="F727" s="228"/>
      <c r="G727" s="228"/>
      <c r="H727" s="228"/>
      <c r="I727" s="228"/>
      <c r="J727" s="228"/>
      <c r="K727" s="660"/>
      <c r="L727" s="228"/>
      <c r="M727" s="228"/>
      <c r="N727" s="228"/>
    </row>
    <row r="728">
      <c r="A728" s="228"/>
      <c r="B728" s="228"/>
      <c r="C728" s="228"/>
      <c r="D728" s="310"/>
      <c r="E728" s="311"/>
      <c r="F728" s="228"/>
      <c r="G728" s="228"/>
      <c r="H728" s="228"/>
      <c r="I728" s="228"/>
      <c r="J728" s="228"/>
      <c r="K728" s="660"/>
      <c r="L728" s="228"/>
      <c r="M728" s="228"/>
      <c r="N728" s="228"/>
    </row>
    <row r="729">
      <c r="A729" s="228"/>
      <c r="B729" s="228"/>
      <c r="C729" s="228"/>
      <c r="D729" s="310"/>
      <c r="E729" s="311"/>
      <c r="F729" s="228"/>
      <c r="G729" s="228"/>
      <c r="H729" s="228"/>
      <c r="I729" s="228"/>
      <c r="J729" s="228"/>
      <c r="K729" s="660"/>
      <c r="L729" s="228"/>
      <c r="M729" s="228"/>
      <c r="N729" s="228"/>
    </row>
    <row r="730">
      <c r="A730" s="228"/>
      <c r="B730" s="228"/>
      <c r="C730" s="228"/>
      <c r="D730" s="310"/>
      <c r="E730" s="311"/>
      <c r="F730" s="228"/>
      <c r="G730" s="228"/>
      <c r="H730" s="228"/>
      <c r="I730" s="228"/>
      <c r="J730" s="228"/>
      <c r="K730" s="660"/>
      <c r="L730" s="228"/>
      <c r="M730" s="228"/>
      <c r="N730" s="228"/>
    </row>
    <row r="731">
      <c r="A731" s="228"/>
      <c r="B731" s="228"/>
      <c r="C731" s="228"/>
      <c r="D731" s="310"/>
      <c r="E731" s="311"/>
      <c r="F731" s="228"/>
      <c r="G731" s="228"/>
      <c r="H731" s="228"/>
      <c r="I731" s="228"/>
      <c r="J731" s="228"/>
      <c r="K731" s="660"/>
      <c r="L731" s="228"/>
      <c r="M731" s="228"/>
      <c r="N731" s="228"/>
    </row>
    <row r="732">
      <c r="A732" s="228"/>
      <c r="B732" s="228"/>
      <c r="C732" s="228"/>
      <c r="D732" s="310"/>
      <c r="E732" s="311"/>
      <c r="F732" s="228"/>
      <c r="G732" s="228"/>
      <c r="H732" s="228"/>
      <c r="I732" s="228"/>
      <c r="J732" s="228"/>
      <c r="K732" s="660"/>
      <c r="L732" s="228"/>
      <c r="M732" s="228"/>
      <c r="N732" s="228"/>
    </row>
    <row r="733">
      <c r="A733" s="228"/>
      <c r="B733" s="228"/>
      <c r="C733" s="228"/>
      <c r="D733" s="310"/>
      <c r="E733" s="311"/>
      <c r="F733" s="228"/>
      <c r="G733" s="228"/>
      <c r="H733" s="228"/>
      <c r="I733" s="228"/>
      <c r="J733" s="228"/>
      <c r="K733" s="660"/>
      <c r="L733" s="228"/>
      <c r="M733" s="228"/>
      <c r="N733" s="228"/>
    </row>
    <row r="734">
      <c r="A734" s="228"/>
      <c r="B734" s="228"/>
      <c r="C734" s="228"/>
      <c r="D734" s="310"/>
      <c r="E734" s="311"/>
      <c r="F734" s="228"/>
      <c r="G734" s="228"/>
      <c r="H734" s="228"/>
      <c r="I734" s="228"/>
      <c r="J734" s="228"/>
      <c r="K734" s="660"/>
      <c r="L734" s="228"/>
      <c r="M734" s="228"/>
      <c r="N734" s="228"/>
    </row>
    <row r="735">
      <c r="A735" s="228"/>
      <c r="B735" s="228"/>
      <c r="C735" s="228"/>
      <c r="D735" s="310"/>
      <c r="E735" s="311"/>
      <c r="F735" s="228"/>
      <c r="G735" s="228"/>
      <c r="H735" s="228"/>
      <c r="I735" s="228"/>
      <c r="J735" s="228"/>
      <c r="K735" s="660"/>
      <c r="L735" s="228"/>
      <c r="M735" s="228"/>
      <c r="N735" s="228"/>
    </row>
    <row r="736">
      <c r="A736" s="228"/>
      <c r="B736" s="228"/>
      <c r="C736" s="228"/>
      <c r="D736" s="310"/>
      <c r="E736" s="311"/>
      <c r="F736" s="228"/>
      <c r="G736" s="228"/>
      <c r="H736" s="228"/>
      <c r="I736" s="228"/>
      <c r="J736" s="228"/>
      <c r="K736" s="660"/>
      <c r="L736" s="228"/>
      <c r="M736" s="228"/>
      <c r="N736" s="228"/>
    </row>
    <row r="737">
      <c r="A737" s="228"/>
      <c r="B737" s="228"/>
      <c r="C737" s="228"/>
      <c r="D737" s="310"/>
      <c r="E737" s="311"/>
      <c r="F737" s="228"/>
      <c r="G737" s="228"/>
      <c r="H737" s="228"/>
      <c r="I737" s="228"/>
      <c r="J737" s="228"/>
      <c r="K737" s="660"/>
      <c r="L737" s="228"/>
      <c r="M737" s="228"/>
      <c r="N737" s="228"/>
    </row>
    <row r="738">
      <c r="A738" s="228"/>
      <c r="B738" s="228"/>
      <c r="C738" s="228"/>
      <c r="D738" s="310"/>
      <c r="E738" s="311"/>
      <c r="F738" s="228"/>
      <c r="G738" s="228"/>
      <c r="H738" s="228"/>
      <c r="I738" s="228"/>
      <c r="J738" s="228"/>
      <c r="K738" s="660"/>
      <c r="L738" s="228"/>
      <c r="M738" s="228"/>
      <c r="N738" s="228"/>
    </row>
    <row r="739">
      <c r="A739" s="228"/>
      <c r="B739" s="228"/>
      <c r="C739" s="228"/>
      <c r="D739" s="310"/>
      <c r="E739" s="311"/>
      <c r="F739" s="228"/>
      <c r="G739" s="228"/>
      <c r="H739" s="228"/>
      <c r="I739" s="228"/>
      <c r="J739" s="228"/>
      <c r="K739" s="660"/>
      <c r="L739" s="228"/>
      <c r="M739" s="228"/>
      <c r="N739" s="228"/>
    </row>
    <row r="740">
      <c r="A740" s="228"/>
      <c r="B740" s="228"/>
      <c r="C740" s="228"/>
      <c r="D740" s="310"/>
      <c r="E740" s="311"/>
      <c r="F740" s="228"/>
      <c r="G740" s="228"/>
      <c r="H740" s="228"/>
      <c r="I740" s="228"/>
      <c r="J740" s="228"/>
      <c r="K740" s="660"/>
      <c r="L740" s="228"/>
      <c r="M740" s="228"/>
      <c r="N740" s="228"/>
    </row>
    <row r="741">
      <c r="A741" s="228"/>
      <c r="B741" s="228"/>
      <c r="C741" s="228"/>
      <c r="D741" s="310"/>
      <c r="E741" s="311"/>
      <c r="F741" s="228"/>
      <c r="G741" s="228"/>
      <c r="H741" s="228"/>
      <c r="I741" s="228"/>
      <c r="J741" s="228"/>
      <c r="K741" s="660"/>
      <c r="L741" s="228"/>
      <c r="M741" s="228"/>
      <c r="N741" s="228"/>
    </row>
    <row r="742">
      <c r="A742" s="228"/>
      <c r="B742" s="228"/>
      <c r="C742" s="228"/>
      <c r="D742" s="310"/>
      <c r="E742" s="311"/>
      <c r="F742" s="228"/>
      <c r="G742" s="228"/>
      <c r="H742" s="228"/>
      <c r="I742" s="228"/>
      <c r="J742" s="228"/>
      <c r="K742" s="660"/>
      <c r="L742" s="228"/>
      <c r="M742" s="228"/>
      <c r="N742" s="228"/>
    </row>
    <row r="743">
      <c r="A743" s="228"/>
      <c r="B743" s="228"/>
      <c r="C743" s="228"/>
      <c r="D743" s="310"/>
      <c r="E743" s="311"/>
      <c r="F743" s="228"/>
      <c r="G743" s="228"/>
      <c r="H743" s="228"/>
      <c r="I743" s="228"/>
      <c r="J743" s="228"/>
      <c r="K743" s="660"/>
      <c r="L743" s="228"/>
      <c r="M743" s="228"/>
      <c r="N743" s="228"/>
    </row>
    <row r="744">
      <c r="A744" s="228"/>
      <c r="B744" s="228"/>
      <c r="C744" s="228"/>
      <c r="D744" s="310"/>
      <c r="E744" s="311"/>
      <c r="F744" s="228"/>
      <c r="G744" s="228"/>
      <c r="H744" s="228"/>
      <c r="I744" s="228"/>
      <c r="J744" s="228"/>
      <c r="K744" s="660"/>
      <c r="L744" s="228"/>
      <c r="M744" s="228"/>
      <c r="N744" s="228"/>
    </row>
    <row r="745">
      <c r="A745" s="228"/>
      <c r="B745" s="228"/>
      <c r="C745" s="228"/>
      <c r="D745" s="310"/>
      <c r="E745" s="311"/>
      <c r="F745" s="228"/>
      <c r="G745" s="228"/>
      <c r="H745" s="228"/>
      <c r="I745" s="228"/>
      <c r="J745" s="228"/>
      <c r="K745" s="660"/>
      <c r="L745" s="228"/>
      <c r="M745" s="228"/>
      <c r="N745" s="228"/>
    </row>
    <row r="746">
      <c r="A746" s="228"/>
      <c r="B746" s="228"/>
      <c r="C746" s="228"/>
      <c r="D746" s="310"/>
      <c r="E746" s="311"/>
      <c r="F746" s="228"/>
      <c r="G746" s="228"/>
      <c r="H746" s="228"/>
      <c r="I746" s="228"/>
      <c r="J746" s="228"/>
      <c r="K746" s="660"/>
      <c r="L746" s="228"/>
      <c r="M746" s="228"/>
      <c r="N746" s="228"/>
    </row>
    <row r="747">
      <c r="A747" s="228"/>
      <c r="B747" s="228"/>
      <c r="C747" s="228"/>
      <c r="D747" s="310"/>
      <c r="E747" s="311"/>
      <c r="F747" s="228"/>
      <c r="G747" s="228"/>
      <c r="H747" s="228"/>
      <c r="I747" s="228"/>
      <c r="J747" s="228"/>
      <c r="K747" s="660"/>
      <c r="L747" s="228"/>
      <c r="M747" s="228"/>
      <c r="N747" s="228"/>
    </row>
    <row r="748">
      <c r="A748" s="228"/>
      <c r="B748" s="228"/>
      <c r="C748" s="228"/>
      <c r="D748" s="310"/>
      <c r="E748" s="311"/>
      <c r="F748" s="228"/>
      <c r="G748" s="228"/>
      <c r="H748" s="228"/>
      <c r="I748" s="228"/>
      <c r="J748" s="228"/>
      <c r="K748" s="660"/>
      <c r="L748" s="228"/>
      <c r="M748" s="228"/>
      <c r="N748" s="228"/>
    </row>
    <row r="749">
      <c r="A749" s="228"/>
      <c r="B749" s="228"/>
      <c r="C749" s="228"/>
      <c r="D749" s="310"/>
      <c r="E749" s="311"/>
      <c r="F749" s="228"/>
      <c r="G749" s="228"/>
      <c r="H749" s="228"/>
      <c r="I749" s="228"/>
      <c r="J749" s="228"/>
      <c r="K749" s="660"/>
      <c r="L749" s="228"/>
      <c r="M749" s="228"/>
      <c r="N749" s="228"/>
    </row>
    <row r="750">
      <c r="A750" s="228"/>
      <c r="B750" s="228"/>
      <c r="C750" s="228"/>
      <c r="D750" s="310"/>
      <c r="E750" s="311"/>
      <c r="F750" s="228"/>
      <c r="G750" s="228"/>
      <c r="H750" s="228"/>
      <c r="I750" s="228"/>
      <c r="J750" s="228"/>
      <c r="K750" s="660"/>
      <c r="L750" s="228"/>
      <c r="M750" s="228"/>
      <c r="N750" s="228"/>
    </row>
    <row r="751">
      <c r="A751" s="228"/>
      <c r="B751" s="228"/>
      <c r="C751" s="228"/>
      <c r="D751" s="310"/>
      <c r="E751" s="311"/>
      <c r="F751" s="228"/>
      <c r="G751" s="228"/>
      <c r="H751" s="228"/>
      <c r="I751" s="228"/>
      <c r="J751" s="228"/>
      <c r="K751" s="660"/>
      <c r="L751" s="228"/>
      <c r="M751" s="228"/>
      <c r="N751" s="228"/>
    </row>
    <row r="752">
      <c r="A752" s="228"/>
      <c r="B752" s="228"/>
      <c r="C752" s="228"/>
      <c r="D752" s="310"/>
      <c r="E752" s="311"/>
      <c r="F752" s="228"/>
      <c r="G752" s="228"/>
      <c r="H752" s="228"/>
      <c r="I752" s="228"/>
      <c r="J752" s="228"/>
      <c r="K752" s="660"/>
      <c r="L752" s="228"/>
      <c r="M752" s="228"/>
      <c r="N752" s="228"/>
    </row>
    <row r="753">
      <c r="A753" s="228"/>
      <c r="B753" s="228"/>
      <c r="C753" s="228"/>
      <c r="D753" s="310"/>
      <c r="E753" s="311"/>
      <c r="F753" s="228"/>
      <c r="G753" s="228"/>
      <c r="H753" s="228"/>
      <c r="I753" s="228"/>
      <c r="J753" s="228"/>
      <c r="K753" s="660"/>
      <c r="L753" s="228"/>
      <c r="M753" s="228"/>
      <c r="N753" s="228"/>
    </row>
    <row r="754">
      <c r="A754" s="228"/>
      <c r="B754" s="228"/>
      <c r="C754" s="228"/>
      <c r="D754" s="310"/>
      <c r="E754" s="311"/>
      <c r="F754" s="228"/>
      <c r="G754" s="228"/>
      <c r="H754" s="228"/>
      <c r="I754" s="228"/>
      <c r="J754" s="228"/>
      <c r="K754" s="660"/>
      <c r="L754" s="228"/>
      <c r="M754" s="228"/>
      <c r="N754" s="228"/>
    </row>
    <row r="755">
      <c r="A755" s="228"/>
      <c r="B755" s="228"/>
      <c r="C755" s="228"/>
      <c r="D755" s="310"/>
      <c r="E755" s="311"/>
      <c r="F755" s="228"/>
      <c r="G755" s="228"/>
      <c r="H755" s="228"/>
      <c r="I755" s="228"/>
      <c r="J755" s="228"/>
      <c r="K755" s="660"/>
      <c r="L755" s="228"/>
      <c r="M755" s="228"/>
      <c r="N755" s="228"/>
    </row>
    <row r="756">
      <c r="A756" s="228"/>
      <c r="B756" s="228"/>
      <c r="C756" s="228"/>
      <c r="D756" s="310"/>
      <c r="E756" s="311"/>
      <c r="F756" s="228"/>
      <c r="G756" s="228"/>
      <c r="H756" s="228"/>
      <c r="I756" s="228"/>
      <c r="J756" s="228"/>
      <c r="K756" s="660"/>
      <c r="L756" s="228"/>
      <c r="M756" s="228"/>
      <c r="N756" s="228"/>
    </row>
    <row r="757">
      <c r="A757" s="228"/>
      <c r="B757" s="228"/>
      <c r="C757" s="228"/>
      <c r="D757" s="310"/>
      <c r="E757" s="311"/>
      <c r="F757" s="228"/>
      <c r="G757" s="228"/>
      <c r="H757" s="228"/>
      <c r="I757" s="228"/>
      <c r="J757" s="228"/>
      <c r="K757" s="660"/>
      <c r="L757" s="228"/>
      <c r="M757" s="228"/>
      <c r="N757" s="228"/>
    </row>
    <row r="758">
      <c r="A758" s="228"/>
      <c r="B758" s="228"/>
      <c r="C758" s="228"/>
      <c r="D758" s="310"/>
      <c r="E758" s="311"/>
      <c r="F758" s="228"/>
      <c r="G758" s="228"/>
      <c r="H758" s="228"/>
      <c r="I758" s="228"/>
      <c r="J758" s="228"/>
      <c r="K758" s="660"/>
      <c r="L758" s="228"/>
      <c r="M758" s="228"/>
      <c r="N758" s="228"/>
    </row>
    <row r="759">
      <c r="A759" s="228"/>
      <c r="B759" s="228"/>
      <c r="C759" s="228"/>
      <c r="D759" s="310"/>
      <c r="E759" s="311"/>
      <c r="F759" s="228"/>
      <c r="G759" s="228"/>
      <c r="H759" s="228"/>
      <c r="I759" s="228"/>
      <c r="J759" s="228"/>
      <c r="K759" s="660"/>
      <c r="L759" s="228"/>
      <c r="M759" s="228"/>
      <c r="N759" s="228"/>
    </row>
    <row r="760">
      <c r="A760" s="228"/>
      <c r="B760" s="228"/>
      <c r="C760" s="228"/>
      <c r="D760" s="310"/>
      <c r="E760" s="311"/>
      <c r="F760" s="228"/>
      <c r="G760" s="228"/>
      <c r="H760" s="228"/>
      <c r="I760" s="228"/>
      <c r="J760" s="228"/>
      <c r="K760" s="660"/>
      <c r="L760" s="228"/>
      <c r="M760" s="228"/>
      <c r="N760" s="228"/>
    </row>
    <row r="761">
      <c r="A761" s="228"/>
      <c r="B761" s="228"/>
      <c r="C761" s="228"/>
      <c r="D761" s="310"/>
      <c r="E761" s="311"/>
      <c r="F761" s="228"/>
      <c r="G761" s="228"/>
      <c r="H761" s="228"/>
      <c r="I761" s="228"/>
      <c r="J761" s="228"/>
      <c r="K761" s="660"/>
      <c r="L761" s="228"/>
      <c r="M761" s="228"/>
      <c r="N761" s="228"/>
    </row>
    <row r="762">
      <c r="A762" s="228"/>
      <c r="B762" s="228"/>
      <c r="C762" s="228"/>
      <c r="D762" s="310"/>
      <c r="E762" s="311"/>
      <c r="F762" s="228"/>
      <c r="G762" s="228"/>
      <c r="H762" s="228"/>
      <c r="I762" s="228"/>
      <c r="J762" s="228"/>
      <c r="K762" s="660"/>
      <c r="L762" s="228"/>
      <c r="M762" s="228"/>
      <c r="N762" s="228"/>
    </row>
    <row r="763">
      <c r="A763" s="228"/>
      <c r="B763" s="228"/>
      <c r="C763" s="228"/>
      <c r="D763" s="310"/>
      <c r="E763" s="311"/>
      <c r="F763" s="228"/>
      <c r="G763" s="228"/>
      <c r="H763" s="228"/>
      <c r="I763" s="228"/>
      <c r="J763" s="228"/>
      <c r="K763" s="660"/>
      <c r="L763" s="228"/>
      <c r="M763" s="228"/>
      <c r="N763" s="228"/>
    </row>
    <row r="764">
      <c r="A764" s="228"/>
      <c r="B764" s="228"/>
      <c r="C764" s="228"/>
      <c r="D764" s="310"/>
      <c r="E764" s="311"/>
      <c r="F764" s="228"/>
      <c r="G764" s="228"/>
      <c r="H764" s="228"/>
      <c r="I764" s="228"/>
      <c r="J764" s="228"/>
      <c r="K764" s="660"/>
      <c r="L764" s="228"/>
      <c r="M764" s="228"/>
      <c r="N764" s="228"/>
    </row>
    <row r="765">
      <c r="A765" s="228"/>
      <c r="B765" s="228"/>
      <c r="C765" s="228"/>
      <c r="D765" s="310"/>
      <c r="E765" s="311"/>
      <c r="F765" s="228"/>
      <c r="G765" s="228"/>
      <c r="H765" s="228"/>
      <c r="I765" s="228"/>
      <c r="J765" s="228"/>
      <c r="K765" s="660"/>
      <c r="L765" s="228"/>
      <c r="M765" s="228"/>
      <c r="N765" s="228"/>
    </row>
    <row r="766">
      <c r="A766" s="228"/>
      <c r="B766" s="228"/>
      <c r="C766" s="228"/>
      <c r="D766" s="310"/>
      <c r="E766" s="311"/>
      <c r="F766" s="228"/>
      <c r="G766" s="228"/>
      <c r="H766" s="228"/>
      <c r="I766" s="228"/>
      <c r="J766" s="228"/>
      <c r="K766" s="660"/>
      <c r="L766" s="228"/>
      <c r="M766" s="228"/>
      <c r="N766" s="228"/>
    </row>
    <row r="767">
      <c r="A767" s="228"/>
      <c r="B767" s="228"/>
      <c r="C767" s="228"/>
      <c r="D767" s="310"/>
      <c r="E767" s="311"/>
      <c r="F767" s="228"/>
      <c r="G767" s="228"/>
      <c r="H767" s="228"/>
      <c r="I767" s="228"/>
      <c r="J767" s="228"/>
      <c r="K767" s="660"/>
      <c r="L767" s="228"/>
      <c r="M767" s="228"/>
      <c r="N767" s="228"/>
    </row>
    <row r="768">
      <c r="A768" s="228"/>
      <c r="B768" s="228"/>
      <c r="C768" s="228"/>
      <c r="D768" s="310"/>
      <c r="E768" s="311"/>
      <c r="F768" s="228"/>
      <c r="G768" s="228"/>
      <c r="H768" s="228"/>
      <c r="I768" s="228"/>
      <c r="J768" s="228"/>
      <c r="K768" s="660"/>
      <c r="L768" s="228"/>
      <c r="M768" s="228"/>
      <c r="N768" s="228"/>
    </row>
    <row r="769">
      <c r="A769" s="228"/>
      <c r="B769" s="228"/>
      <c r="C769" s="228"/>
      <c r="D769" s="310"/>
      <c r="E769" s="311"/>
      <c r="F769" s="228"/>
      <c r="G769" s="228"/>
      <c r="H769" s="228"/>
      <c r="I769" s="228"/>
      <c r="J769" s="228"/>
      <c r="K769" s="660"/>
      <c r="L769" s="228"/>
      <c r="M769" s="228"/>
      <c r="N769" s="228"/>
    </row>
    <row r="770">
      <c r="A770" s="228"/>
      <c r="B770" s="228"/>
      <c r="C770" s="228"/>
      <c r="D770" s="310"/>
      <c r="E770" s="311"/>
      <c r="F770" s="228"/>
      <c r="G770" s="228"/>
      <c r="H770" s="228"/>
      <c r="I770" s="228"/>
      <c r="J770" s="228"/>
      <c r="K770" s="660"/>
      <c r="L770" s="228"/>
      <c r="M770" s="228"/>
      <c r="N770" s="228"/>
    </row>
    <row r="771">
      <c r="A771" s="228"/>
      <c r="B771" s="228"/>
      <c r="C771" s="228"/>
      <c r="D771" s="310"/>
      <c r="E771" s="311"/>
      <c r="F771" s="228"/>
      <c r="G771" s="228"/>
      <c r="H771" s="228"/>
      <c r="I771" s="228"/>
      <c r="J771" s="228"/>
      <c r="K771" s="660"/>
      <c r="L771" s="228"/>
      <c r="M771" s="228"/>
      <c r="N771" s="228"/>
    </row>
    <row r="772">
      <c r="A772" s="228"/>
      <c r="B772" s="228"/>
      <c r="C772" s="228"/>
      <c r="D772" s="310"/>
      <c r="E772" s="311"/>
      <c r="F772" s="228"/>
      <c r="G772" s="228"/>
      <c r="H772" s="228"/>
      <c r="I772" s="228"/>
      <c r="J772" s="228"/>
      <c r="K772" s="660"/>
      <c r="L772" s="228"/>
      <c r="M772" s="228"/>
      <c r="N772" s="228"/>
    </row>
    <row r="773">
      <c r="A773" s="228"/>
      <c r="B773" s="228"/>
      <c r="C773" s="228"/>
      <c r="D773" s="310"/>
      <c r="E773" s="311"/>
      <c r="F773" s="228"/>
      <c r="G773" s="228"/>
      <c r="H773" s="228"/>
      <c r="I773" s="228"/>
      <c r="J773" s="228"/>
      <c r="K773" s="660"/>
      <c r="L773" s="228"/>
      <c r="M773" s="228"/>
      <c r="N773" s="228"/>
    </row>
    <row r="774">
      <c r="A774" s="228"/>
      <c r="B774" s="228"/>
      <c r="C774" s="228"/>
      <c r="D774" s="310"/>
      <c r="E774" s="311"/>
      <c r="F774" s="228"/>
      <c r="G774" s="228"/>
      <c r="H774" s="228"/>
      <c r="I774" s="228"/>
      <c r="J774" s="228"/>
      <c r="K774" s="660"/>
      <c r="L774" s="228"/>
      <c r="M774" s="228"/>
      <c r="N774" s="228"/>
    </row>
    <row r="775">
      <c r="A775" s="228"/>
      <c r="B775" s="228"/>
      <c r="C775" s="228"/>
      <c r="D775" s="310"/>
      <c r="E775" s="311"/>
      <c r="F775" s="228"/>
      <c r="G775" s="228"/>
      <c r="H775" s="228"/>
      <c r="I775" s="228"/>
      <c r="J775" s="228"/>
      <c r="K775" s="660"/>
      <c r="L775" s="228"/>
      <c r="M775" s="228"/>
      <c r="N775" s="228"/>
    </row>
    <row r="776">
      <c r="A776" s="228"/>
      <c r="B776" s="228"/>
      <c r="C776" s="228"/>
      <c r="D776" s="310"/>
      <c r="E776" s="311"/>
      <c r="F776" s="228"/>
      <c r="G776" s="228"/>
      <c r="H776" s="228"/>
      <c r="I776" s="228"/>
      <c r="J776" s="228"/>
      <c r="K776" s="660"/>
      <c r="L776" s="228"/>
      <c r="M776" s="228"/>
      <c r="N776" s="228"/>
    </row>
    <row r="777">
      <c r="A777" s="228"/>
      <c r="B777" s="228"/>
      <c r="C777" s="228"/>
      <c r="D777" s="310"/>
      <c r="E777" s="311"/>
      <c r="F777" s="228"/>
      <c r="G777" s="228"/>
      <c r="H777" s="228"/>
      <c r="I777" s="228"/>
      <c r="J777" s="228"/>
      <c r="K777" s="660"/>
      <c r="L777" s="228"/>
      <c r="M777" s="228"/>
      <c r="N777" s="228"/>
    </row>
    <row r="778">
      <c r="A778" s="228"/>
      <c r="B778" s="228"/>
      <c r="C778" s="228"/>
      <c r="D778" s="310"/>
      <c r="E778" s="311"/>
      <c r="F778" s="228"/>
      <c r="G778" s="228"/>
      <c r="H778" s="228"/>
      <c r="I778" s="228"/>
      <c r="J778" s="228"/>
      <c r="K778" s="660"/>
      <c r="L778" s="228"/>
      <c r="M778" s="228"/>
      <c r="N778" s="228"/>
    </row>
    <row r="779">
      <c r="A779" s="228"/>
      <c r="B779" s="228"/>
      <c r="C779" s="228"/>
      <c r="D779" s="310"/>
      <c r="E779" s="311"/>
      <c r="F779" s="228"/>
      <c r="G779" s="228"/>
      <c r="H779" s="228"/>
      <c r="I779" s="228"/>
      <c r="J779" s="228"/>
      <c r="K779" s="660"/>
      <c r="L779" s="228"/>
      <c r="M779" s="228"/>
      <c r="N779" s="228"/>
    </row>
    <row r="780">
      <c r="A780" s="228"/>
      <c r="B780" s="228"/>
      <c r="C780" s="228"/>
      <c r="D780" s="310"/>
      <c r="E780" s="311"/>
      <c r="F780" s="228"/>
      <c r="G780" s="228"/>
      <c r="H780" s="228"/>
      <c r="I780" s="228"/>
      <c r="J780" s="228"/>
      <c r="K780" s="660"/>
      <c r="L780" s="228"/>
      <c r="M780" s="228"/>
      <c r="N780" s="228"/>
    </row>
    <row r="781">
      <c r="A781" s="228"/>
      <c r="B781" s="228"/>
      <c r="C781" s="228"/>
      <c r="D781" s="310"/>
      <c r="E781" s="311"/>
      <c r="F781" s="228"/>
      <c r="G781" s="228"/>
      <c r="H781" s="228"/>
      <c r="I781" s="228"/>
      <c r="J781" s="228"/>
      <c r="K781" s="660"/>
      <c r="L781" s="228"/>
      <c r="M781" s="228"/>
      <c r="N781" s="228"/>
    </row>
    <row r="782">
      <c r="A782" s="228"/>
      <c r="B782" s="228"/>
      <c r="C782" s="228"/>
      <c r="D782" s="310"/>
      <c r="E782" s="311"/>
      <c r="F782" s="228"/>
      <c r="G782" s="228"/>
      <c r="H782" s="228"/>
      <c r="I782" s="228"/>
      <c r="J782" s="228"/>
      <c r="K782" s="660"/>
      <c r="L782" s="228"/>
      <c r="M782" s="228"/>
      <c r="N782" s="228"/>
    </row>
    <row r="783">
      <c r="A783" s="228"/>
      <c r="B783" s="228"/>
      <c r="C783" s="228"/>
      <c r="D783" s="310"/>
      <c r="E783" s="311"/>
      <c r="F783" s="228"/>
      <c r="G783" s="228"/>
      <c r="H783" s="228"/>
      <c r="I783" s="228"/>
      <c r="J783" s="228"/>
      <c r="K783" s="660"/>
      <c r="L783" s="228"/>
      <c r="M783" s="228"/>
      <c r="N783" s="228"/>
    </row>
    <row r="784">
      <c r="A784" s="228"/>
      <c r="B784" s="228"/>
      <c r="C784" s="228"/>
      <c r="D784" s="310"/>
      <c r="E784" s="311"/>
      <c r="F784" s="228"/>
      <c r="G784" s="228"/>
      <c r="H784" s="228"/>
      <c r="I784" s="228"/>
      <c r="J784" s="228"/>
      <c r="K784" s="660"/>
      <c r="L784" s="228"/>
      <c r="M784" s="228"/>
      <c r="N784" s="228"/>
    </row>
    <row r="785">
      <c r="A785" s="228"/>
      <c r="B785" s="228"/>
      <c r="C785" s="228"/>
      <c r="D785" s="310"/>
      <c r="E785" s="311"/>
      <c r="F785" s="228"/>
      <c r="G785" s="228"/>
      <c r="H785" s="228"/>
      <c r="I785" s="228"/>
      <c r="J785" s="228"/>
      <c r="K785" s="660"/>
      <c r="L785" s="228"/>
      <c r="M785" s="228"/>
      <c r="N785" s="228"/>
    </row>
    <row r="786">
      <c r="A786" s="228"/>
      <c r="B786" s="228"/>
      <c r="C786" s="228"/>
      <c r="D786" s="310"/>
      <c r="E786" s="311"/>
      <c r="F786" s="228"/>
      <c r="G786" s="228"/>
      <c r="H786" s="228"/>
      <c r="I786" s="228"/>
      <c r="J786" s="228"/>
      <c r="K786" s="660"/>
      <c r="L786" s="228"/>
      <c r="M786" s="228"/>
      <c r="N786" s="228"/>
    </row>
    <row r="787">
      <c r="A787" s="228"/>
      <c r="B787" s="228"/>
      <c r="C787" s="228"/>
      <c r="D787" s="310"/>
      <c r="E787" s="311"/>
      <c r="F787" s="228"/>
      <c r="G787" s="228"/>
      <c r="H787" s="228"/>
      <c r="I787" s="228"/>
      <c r="J787" s="228"/>
      <c r="K787" s="660"/>
      <c r="L787" s="228"/>
      <c r="M787" s="228"/>
      <c r="N787" s="228"/>
    </row>
    <row r="788">
      <c r="A788" s="228"/>
      <c r="B788" s="228"/>
      <c r="C788" s="228"/>
      <c r="D788" s="310"/>
      <c r="E788" s="311"/>
      <c r="F788" s="228"/>
      <c r="G788" s="228"/>
      <c r="H788" s="228"/>
      <c r="I788" s="228"/>
      <c r="J788" s="228"/>
      <c r="K788" s="660"/>
      <c r="L788" s="228"/>
      <c r="M788" s="228"/>
      <c r="N788" s="228"/>
    </row>
    <row r="789">
      <c r="A789" s="228"/>
      <c r="B789" s="228"/>
      <c r="C789" s="228"/>
      <c r="D789" s="310"/>
      <c r="E789" s="311"/>
      <c r="F789" s="228"/>
      <c r="G789" s="228"/>
      <c r="H789" s="228"/>
      <c r="I789" s="228"/>
      <c r="J789" s="228"/>
      <c r="K789" s="660"/>
      <c r="L789" s="228"/>
      <c r="M789" s="228"/>
      <c r="N789" s="228"/>
    </row>
    <row r="790">
      <c r="A790" s="228"/>
      <c r="B790" s="228"/>
      <c r="C790" s="228"/>
      <c r="D790" s="310"/>
      <c r="E790" s="311"/>
      <c r="F790" s="228"/>
      <c r="G790" s="228"/>
      <c r="H790" s="228"/>
      <c r="I790" s="228"/>
      <c r="J790" s="228"/>
      <c r="K790" s="660"/>
      <c r="L790" s="228"/>
      <c r="M790" s="228"/>
      <c r="N790" s="228"/>
    </row>
    <row r="791">
      <c r="A791" s="228"/>
      <c r="B791" s="228"/>
      <c r="C791" s="228"/>
      <c r="D791" s="310"/>
      <c r="E791" s="311"/>
      <c r="F791" s="228"/>
      <c r="G791" s="228"/>
      <c r="H791" s="228"/>
      <c r="I791" s="228"/>
      <c r="J791" s="228"/>
      <c r="K791" s="660"/>
      <c r="L791" s="228"/>
      <c r="M791" s="228"/>
      <c r="N791" s="228"/>
    </row>
    <row r="792">
      <c r="A792" s="228"/>
      <c r="B792" s="228"/>
      <c r="C792" s="228"/>
      <c r="D792" s="310"/>
      <c r="E792" s="311"/>
      <c r="F792" s="228"/>
      <c r="G792" s="228"/>
      <c r="H792" s="228"/>
      <c r="I792" s="228"/>
      <c r="J792" s="228"/>
      <c r="K792" s="660"/>
      <c r="L792" s="228"/>
      <c r="M792" s="228"/>
      <c r="N792" s="228"/>
    </row>
    <row r="793">
      <c r="A793" s="228"/>
      <c r="B793" s="228"/>
      <c r="C793" s="228"/>
      <c r="D793" s="310"/>
      <c r="E793" s="311"/>
      <c r="F793" s="228"/>
      <c r="G793" s="228"/>
      <c r="H793" s="228"/>
      <c r="I793" s="228"/>
      <c r="J793" s="228"/>
      <c r="K793" s="660"/>
      <c r="L793" s="228"/>
      <c r="M793" s="228"/>
      <c r="N793" s="228"/>
    </row>
    <row r="794">
      <c r="A794" s="228"/>
      <c r="B794" s="228"/>
      <c r="C794" s="228"/>
      <c r="D794" s="310"/>
      <c r="E794" s="311"/>
      <c r="F794" s="228"/>
      <c r="G794" s="228"/>
      <c r="H794" s="228"/>
      <c r="I794" s="228"/>
      <c r="J794" s="228"/>
      <c r="K794" s="660"/>
      <c r="L794" s="228"/>
      <c r="M794" s="228"/>
      <c r="N794" s="228"/>
    </row>
    <row r="795">
      <c r="A795" s="228"/>
      <c r="B795" s="228"/>
      <c r="C795" s="228"/>
      <c r="D795" s="310"/>
      <c r="E795" s="311"/>
      <c r="F795" s="228"/>
      <c r="G795" s="228"/>
      <c r="H795" s="228"/>
      <c r="I795" s="228"/>
      <c r="J795" s="228"/>
      <c r="K795" s="660"/>
      <c r="L795" s="228"/>
      <c r="M795" s="228"/>
      <c r="N795" s="228"/>
    </row>
    <row r="796">
      <c r="A796" s="228"/>
      <c r="B796" s="228"/>
      <c r="C796" s="228"/>
      <c r="D796" s="310"/>
      <c r="E796" s="311"/>
      <c r="F796" s="228"/>
      <c r="G796" s="228"/>
      <c r="H796" s="228"/>
      <c r="I796" s="228"/>
      <c r="J796" s="228"/>
      <c r="K796" s="660"/>
      <c r="L796" s="228"/>
      <c r="M796" s="228"/>
      <c r="N796" s="228"/>
    </row>
    <row r="797">
      <c r="A797" s="228"/>
      <c r="B797" s="228"/>
      <c r="C797" s="228"/>
      <c r="D797" s="310"/>
      <c r="E797" s="311"/>
      <c r="F797" s="228"/>
      <c r="G797" s="228"/>
      <c r="H797" s="228"/>
      <c r="I797" s="228"/>
      <c r="J797" s="228"/>
      <c r="K797" s="660"/>
      <c r="L797" s="228"/>
      <c r="M797" s="228"/>
      <c r="N797" s="228"/>
    </row>
    <row r="798">
      <c r="A798" s="228"/>
      <c r="B798" s="228"/>
      <c r="C798" s="228"/>
      <c r="D798" s="310"/>
      <c r="E798" s="311"/>
      <c r="F798" s="228"/>
      <c r="G798" s="228"/>
      <c r="H798" s="228"/>
      <c r="I798" s="228"/>
      <c r="J798" s="228"/>
      <c r="K798" s="660"/>
      <c r="L798" s="228"/>
      <c r="M798" s="228"/>
      <c r="N798" s="228"/>
    </row>
    <row r="799">
      <c r="A799" s="228"/>
      <c r="B799" s="228"/>
      <c r="C799" s="228"/>
      <c r="D799" s="310"/>
      <c r="E799" s="311"/>
      <c r="F799" s="228"/>
      <c r="G799" s="228"/>
      <c r="H799" s="228"/>
      <c r="I799" s="228"/>
      <c r="J799" s="228"/>
      <c r="K799" s="660"/>
      <c r="L799" s="228"/>
      <c r="M799" s="228"/>
      <c r="N799" s="228"/>
    </row>
    <row r="800">
      <c r="A800" s="228"/>
      <c r="B800" s="228"/>
      <c r="C800" s="228"/>
      <c r="D800" s="310"/>
      <c r="E800" s="311"/>
      <c r="F800" s="228"/>
      <c r="G800" s="228"/>
      <c r="H800" s="228"/>
      <c r="I800" s="228"/>
      <c r="J800" s="228"/>
      <c r="K800" s="660"/>
      <c r="L800" s="228"/>
      <c r="M800" s="228"/>
      <c r="N800" s="228"/>
    </row>
    <row r="801">
      <c r="A801" s="228"/>
      <c r="B801" s="228"/>
      <c r="C801" s="228"/>
      <c r="D801" s="310"/>
      <c r="E801" s="311"/>
      <c r="F801" s="228"/>
      <c r="G801" s="228"/>
      <c r="H801" s="228"/>
      <c r="I801" s="228"/>
      <c r="J801" s="228"/>
      <c r="K801" s="660"/>
      <c r="L801" s="228"/>
      <c r="M801" s="228"/>
      <c r="N801" s="228"/>
    </row>
    <row r="802">
      <c r="A802" s="228"/>
      <c r="B802" s="228"/>
      <c r="C802" s="228"/>
      <c r="D802" s="310"/>
      <c r="E802" s="311"/>
      <c r="F802" s="228"/>
      <c r="G802" s="228"/>
      <c r="H802" s="228"/>
      <c r="I802" s="228"/>
      <c r="J802" s="228"/>
      <c r="K802" s="660"/>
      <c r="L802" s="228"/>
      <c r="M802" s="228"/>
      <c r="N802" s="228"/>
    </row>
    <row r="803">
      <c r="A803" s="228"/>
      <c r="B803" s="228"/>
      <c r="C803" s="228"/>
      <c r="D803" s="310"/>
      <c r="E803" s="311"/>
      <c r="F803" s="228"/>
      <c r="G803" s="228"/>
      <c r="H803" s="228"/>
      <c r="I803" s="228"/>
      <c r="J803" s="228"/>
      <c r="K803" s="660"/>
      <c r="L803" s="228"/>
      <c r="M803" s="228"/>
      <c r="N803" s="228"/>
    </row>
    <row r="804">
      <c r="A804" s="228"/>
      <c r="B804" s="228"/>
      <c r="C804" s="228"/>
      <c r="D804" s="310"/>
      <c r="E804" s="311"/>
      <c r="F804" s="228"/>
      <c r="G804" s="228"/>
      <c r="H804" s="228"/>
      <c r="I804" s="228"/>
      <c r="J804" s="228"/>
      <c r="K804" s="660"/>
      <c r="L804" s="228"/>
      <c r="M804" s="228"/>
      <c r="N804" s="228"/>
    </row>
    <row r="805">
      <c r="A805" s="228"/>
      <c r="B805" s="228"/>
      <c r="C805" s="228"/>
      <c r="D805" s="310"/>
      <c r="E805" s="311"/>
      <c r="F805" s="228"/>
      <c r="G805" s="228"/>
      <c r="H805" s="228"/>
      <c r="I805" s="228"/>
      <c r="J805" s="228"/>
      <c r="K805" s="660"/>
      <c r="L805" s="228"/>
      <c r="M805" s="228"/>
      <c r="N805" s="228"/>
    </row>
    <row r="806">
      <c r="A806" s="228"/>
      <c r="B806" s="228"/>
      <c r="C806" s="228"/>
      <c r="D806" s="310"/>
      <c r="E806" s="311"/>
      <c r="F806" s="228"/>
      <c r="G806" s="228"/>
      <c r="H806" s="228"/>
      <c r="I806" s="228"/>
      <c r="J806" s="228"/>
      <c r="K806" s="660"/>
      <c r="L806" s="228"/>
      <c r="M806" s="228"/>
      <c r="N806" s="228"/>
    </row>
    <row r="807">
      <c r="A807" s="228"/>
      <c r="B807" s="228"/>
      <c r="C807" s="228"/>
      <c r="D807" s="310"/>
      <c r="E807" s="311"/>
      <c r="F807" s="228"/>
      <c r="G807" s="228"/>
      <c r="H807" s="228"/>
      <c r="I807" s="228"/>
      <c r="J807" s="228"/>
      <c r="K807" s="660"/>
      <c r="L807" s="228"/>
      <c r="M807" s="228"/>
      <c r="N807" s="228"/>
    </row>
    <row r="808">
      <c r="A808" s="228"/>
      <c r="B808" s="228"/>
      <c r="C808" s="228"/>
      <c r="D808" s="310"/>
      <c r="E808" s="311"/>
      <c r="F808" s="228"/>
      <c r="G808" s="228"/>
      <c r="H808" s="228"/>
      <c r="I808" s="228"/>
      <c r="J808" s="228"/>
      <c r="K808" s="660"/>
      <c r="L808" s="228"/>
      <c r="M808" s="228"/>
      <c r="N808" s="228"/>
    </row>
    <row r="809">
      <c r="A809" s="228"/>
      <c r="B809" s="228"/>
      <c r="C809" s="228"/>
      <c r="D809" s="310"/>
      <c r="E809" s="311"/>
      <c r="F809" s="228"/>
      <c r="G809" s="228"/>
      <c r="H809" s="228"/>
      <c r="I809" s="228"/>
      <c r="J809" s="228"/>
      <c r="K809" s="660"/>
      <c r="L809" s="228"/>
      <c r="M809" s="228"/>
      <c r="N809" s="228"/>
    </row>
    <row r="810">
      <c r="A810" s="228"/>
      <c r="B810" s="228"/>
      <c r="C810" s="228"/>
      <c r="D810" s="310"/>
      <c r="E810" s="311"/>
      <c r="F810" s="228"/>
      <c r="G810" s="228"/>
      <c r="H810" s="228"/>
      <c r="I810" s="228"/>
      <c r="J810" s="228"/>
      <c r="K810" s="660"/>
      <c r="L810" s="228"/>
      <c r="M810" s="228"/>
      <c r="N810" s="228"/>
    </row>
    <row r="811">
      <c r="A811" s="228"/>
      <c r="B811" s="228"/>
      <c r="C811" s="228"/>
      <c r="D811" s="310"/>
      <c r="E811" s="311"/>
      <c r="F811" s="228"/>
      <c r="G811" s="228"/>
      <c r="H811" s="228"/>
      <c r="I811" s="228"/>
      <c r="J811" s="228"/>
      <c r="K811" s="660"/>
      <c r="L811" s="228"/>
      <c r="M811" s="228"/>
      <c r="N811" s="228"/>
    </row>
    <row r="812">
      <c r="A812" s="228"/>
      <c r="B812" s="228"/>
      <c r="C812" s="228"/>
      <c r="D812" s="310"/>
      <c r="E812" s="311"/>
      <c r="F812" s="228"/>
      <c r="G812" s="228"/>
      <c r="H812" s="228"/>
      <c r="I812" s="228"/>
      <c r="J812" s="228"/>
      <c r="K812" s="660"/>
      <c r="L812" s="228"/>
      <c r="M812" s="228"/>
      <c r="N812" s="228"/>
    </row>
    <row r="813">
      <c r="A813" s="228"/>
      <c r="B813" s="228"/>
      <c r="C813" s="228"/>
      <c r="D813" s="310"/>
      <c r="E813" s="311"/>
      <c r="F813" s="228"/>
      <c r="G813" s="228"/>
      <c r="H813" s="228"/>
      <c r="I813" s="228"/>
      <c r="J813" s="228"/>
      <c r="K813" s="660"/>
      <c r="L813" s="228"/>
      <c r="M813" s="228"/>
      <c r="N813" s="228"/>
    </row>
    <row r="814">
      <c r="A814" s="228"/>
      <c r="B814" s="228"/>
      <c r="C814" s="228"/>
      <c r="D814" s="310"/>
      <c r="E814" s="311"/>
      <c r="F814" s="228"/>
      <c r="G814" s="228"/>
      <c r="H814" s="228"/>
      <c r="I814" s="228"/>
      <c r="J814" s="228"/>
      <c r="K814" s="660"/>
      <c r="L814" s="228"/>
      <c r="M814" s="228"/>
      <c r="N814" s="228"/>
    </row>
    <row r="815">
      <c r="A815" s="228"/>
      <c r="B815" s="228"/>
      <c r="C815" s="228"/>
      <c r="D815" s="310"/>
      <c r="E815" s="311"/>
      <c r="F815" s="228"/>
      <c r="G815" s="228"/>
      <c r="H815" s="228"/>
      <c r="I815" s="228"/>
      <c r="J815" s="228"/>
      <c r="K815" s="660"/>
      <c r="L815" s="228"/>
      <c r="M815" s="228"/>
      <c r="N815" s="228"/>
    </row>
    <row r="816">
      <c r="A816" s="228"/>
      <c r="B816" s="228"/>
      <c r="C816" s="228"/>
      <c r="D816" s="310"/>
      <c r="E816" s="311"/>
      <c r="F816" s="228"/>
      <c r="G816" s="228"/>
      <c r="H816" s="228"/>
      <c r="I816" s="228"/>
      <c r="J816" s="228"/>
      <c r="K816" s="660"/>
      <c r="L816" s="228"/>
      <c r="M816" s="228"/>
      <c r="N816" s="228"/>
    </row>
    <row r="817">
      <c r="A817" s="228"/>
      <c r="B817" s="228"/>
      <c r="C817" s="228"/>
      <c r="D817" s="310"/>
      <c r="E817" s="311"/>
      <c r="F817" s="228"/>
      <c r="G817" s="228"/>
      <c r="H817" s="228"/>
      <c r="I817" s="228"/>
      <c r="J817" s="228"/>
      <c r="K817" s="660"/>
      <c r="L817" s="228"/>
      <c r="M817" s="228"/>
      <c r="N817" s="228"/>
    </row>
    <row r="818">
      <c r="A818" s="228"/>
      <c r="B818" s="228"/>
      <c r="C818" s="228"/>
      <c r="D818" s="310"/>
      <c r="E818" s="311"/>
      <c r="F818" s="228"/>
      <c r="G818" s="228"/>
      <c r="H818" s="228"/>
      <c r="I818" s="228"/>
      <c r="J818" s="228"/>
      <c r="K818" s="660"/>
      <c r="L818" s="228"/>
      <c r="M818" s="228"/>
      <c r="N818" s="228"/>
    </row>
    <row r="819">
      <c r="A819" s="228"/>
      <c r="B819" s="228"/>
      <c r="C819" s="228"/>
      <c r="D819" s="310"/>
      <c r="E819" s="311"/>
      <c r="F819" s="228"/>
      <c r="G819" s="228"/>
      <c r="H819" s="228"/>
      <c r="I819" s="228"/>
      <c r="J819" s="228"/>
      <c r="K819" s="660"/>
      <c r="L819" s="228"/>
      <c r="M819" s="228"/>
      <c r="N819" s="228"/>
    </row>
    <row r="820">
      <c r="A820" s="228"/>
      <c r="B820" s="228"/>
      <c r="C820" s="228"/>
      <c r="D820" s="310"/>
      <c r="E820" s="311"/>
      <c r="F820" s="228"/>
      <c r="G820" s="228"/>
      <c r="H820" s="228"/>
      <c r="I820" s="228"/>
      <c r="J820" s="228"/>
      <c r="K820" s="660"/>
      <c r="L820" s="228"/>
      <c r="M820" s="228"/>
      <c r="N820" s="228"/>
    </row>
    <row r="821">
      <c r="A821" s="228"/>
      <c r="B821" s="228"/>
      <c r="C821" s="228"/>
      <c r="D821" s="310"/>
      <c r="E821" s="311"/>
      <c r="F821" s="228"/>
      <c r="G821" s="228"/>
      <c r="H821" s="228"/>
      <c r="I821" s="228"/>
      <c r="J821" s="228"/>
      <c r="K821" s="660"/>
      <c r="L821" s="228"/>
      <c r="M821" s="228"/>
      <c r="N821" s="228"/>
    </row>
    <row r="822">
      <c r="A822" s="228"/>
      <c r="B822" s="228"/>
      <c r="C822" s="228"/>
      <c r="D822" s="310"/>
      <c r="E822" s="311"/>
      <c r="F822" s="228"/>
      <c r="G822" s="228"/>
      <c r="H822" s="228"/>
      <c r="I822" s="228"/>
      <c r="J822" s="228"/>
      <c r="K822" s="660"/>
      <c r="L822" s="228"/>
      <c r="M822" s="228"/>
      <c r="N822" s="228"/>
    </row>
    <row r="823">
      <c r="A823" s="228"/>
      <c r="B823" s="228"/>
      <c r="C823" s="228"/>
      <c r="D823" s="310"/>
      <c r="E823" s="311"/>
      <c r="F823" s="228"/>
      <c r="G823" s="228"/>
      <c r="H823" s="228"/>
      <c r="I823" s="228"/>
      <c r="J823" s="228"/>
      <c r="K823" s="660"/>
      <c r="L823" s="228"/>
      <c r="M823" s="228"/>
      <c r="N823" s="228"/>
    </row>
    <row r="824">
      <c r="A824" s="228"/>
      <c r="B824" s="228"/>
      <c r="C824" s="228"/>
      <c r="D824" s="310"/>
      <c r="E824" s="311"/>
      <c r="F824" s="228"/>
      <c r="G824" s="228"/>
      <c r="H824" s="228"/>
      <c r="I824" s="228"/>
      <c r="J824" s="228"/>
      <c r="K824" s="660"/>
      <c r="L824" s="228"/>
      <c r="M824" s="228"/>
      <c r="N824" s="228"/>
    </row>
    <row r="825">
      <c r="A825" s="228"/>
      <c r="B825" s="228"/>
      <c r="C825" s="228"/>
      <c r="D825" s="310"/>
      <c r="E825" s="311"/>
      <c r="F825" s="228"/>
      <c r="G825" s="228"/>
      <c r="H825" s="228"/>
      <c r="I825" s="228"/>
      <c r="J825" s="228"/>
      <c r="K825" s="660"/>
      <c r="L825" s="228"/>
      <c r="M825" s="228"/>
      <c r="N825" s="228"/>
    </row>
    <row r="826">
      <c r="A826" s="228"/>
      <c r="B826" s="228"/>
      <c r="C826" s="228"/>
      <c r="D826" s="310"/>
      <c r="E826" s="311"/>
      <c r="F826" s="228"/>
      <c r="G826" s="228"/>
      <c r="H826" s="228"/>
      <c r="I826" s="228"/>
      <c r="J826" s="228"/>
      <c r="K826" s="660"/>
      <c r="L826" s="228"/>
      <c r="M826" s="228"/>
      <c r="N826" s="228"/>
    </row>
    <row r="827">
      <c r="A827" s="228"/>
      <c r="B827" s="228"/>
      <c r="C827" s="228"/>
      <c r="D827" s="310"/>
      <c r="E827" s="311"/>
      <c r="F827" s="228"/>
      <c r="G827" s="228"/>
      <c r="H827" s="228"/>
      <c r="I827" s="228"/>
      <c r="J827" s="228"/>
      <c r="K827" s="660"/>
      <c r="L827" s="228"/>
      <c r="M827" s="228"/>
      <c r="N827" s="228"/>
    </row>
    <row r="828">
      <c r="A828" s="228"/>
      <c r="B828" s="228"/>
      <c r="C828" s="228"/>
      <c r="D828" s="310"/>
      <c r="E828" s="311"/>
      <c r="F828" s="228"/>
      <c r="G828" s="228"/>
      <c r="H828" s="228"/>
      <c r="I828" s="228"/>
      <c r="J828" s="228"/>
      <c r="K828" s="660"/>
      <c r="L828" s="228"/>
      <c r="M828" s="228"/>
      <c r="N828" s="228"/>
    </row>
    <row r="829">
      <c r="A829" s="228"/>
      <c r="B829" s="228"/>
      <c r="C829" s="228"/>
      <c r="D829" s="310"/>
      <c r="E829" s="311"/>
      <c r="F829" s="228"/>
      <c r="G829" s="228"/>
      <c r="H829" s="228"/>
      <c r="I829" s="228"/>
      <c r="J829" s="228"/>
      <c r="K829" s="660"/>
      <c r="L829" s="228"/>
      <c r="M829" s="228"/>
      <c r="N829" s="228"/>
    </row>
    <row r="830">
      <c r="A830" s="228"/>
      <c r="B830" s="228"/>
      <c r="C830" s="228"/>
      <c r="D830" s="310"/>
      <c r="E830" s="311"/>
      <c r="F830" s="228"/>
      <c r="G830" s="228"/>
      <c r="H830" s="228"/>
      <c r="I830" s="228"/>
      <c r="J830" s="228"/>
      <c r="K830" s="660"/>
      <c r="L830" s="228"/>
      <c r="M830" s="228"/>
      <c r="N830" s="228"/>
    </row>
    <row r="831">
      <c r="A831" s="228"/>
      <c r="B831" s="228"/>
      <c r="C831" s="228"/>
      <c r="D831" s="310"/>
      <c r="E831" s="311"/>
      <c r="F831" s="228"/>
      <c r="G831" s="228"/>
      <c r="H831" s="228"/>
      <c r="I831" s="228"/>
      <c r="J831" s="228"/>
      <c r="K831" s="660"/>
      <c r="L831" s="228"/>
      <c r="M831" s="228"/>
      <c r="N831" s="228"/>
    </row>
    <row r="832">
      <c r="A832" s="228"/>
      <c r="B832" s="228"/>
      <c r="C832" s="228"/>
      <c r="D832" s="310"/>
      <c r="E832" s="311"/>
      <c r="F832" s="228"/>
      <c r="G832" s="228"/>
      <c r="H832" s="228"/>
      <c r="I832" s="228"/>
      <c r="J832" s="228"/>
      <c r="K832" s="660"/>
      <c r="L832" s="228"/>
      <c r="M832" s="228"/>
      <c r="N832" s="228"/>
    </row>
    <row r="833">
      <c r="A833" s="228"/>
      <c r="B833" s="228"/>
      <c r="C833" s="228"/>
      <c r="D833" s="310"/>
      <c r="E833" s="311"/>
      <c r="F833" s="228"/>
      <c r="G833" s="228"/>
      <c r="H833" s="228"/>
      <c r="I833" s="228"/>
      <c r="J833" s="228"/>
      <c r="K833" s="660"/>
      <c r="L833" s="228"/>
      <c r="M833" s="228"/>
      <c r="N833" s="228"/>
    </row>
    <row r="834">
      <c r="A834" s="228"/>
      <c r="B834" s="228"/>
      <c r="C834" s="228"/>
      <c r="D834" s="310"/>
      <c r="E834" s="311"/>
      <c r="F834" s="228"/>
      <c r="G834" s="228"/>
      <c r="H834" s="228"/>
      <c r="I834" s="228"/>
      <c r="J834" s="228"/>
      <c r="K834" s="660"/>
      <c r="L834" s="228"/>
      <c r="M834" s="228"/>
      <c r="N834" s="228"/>
    </row>
    <row r="835">
      <c r="A835" s="228"/>
      <c r="B835" s="228"/>
      <c r="C835" s="228"/>
      <c r="D835" s="310"/>
      <c r="E835" s="311"/>
      <c r="F835" s="228"/>
      <c r="G835" s="228"/>
      <c r="H835" s="228"/>
      <c r="I835" s="228"/>
      <c r="J835" s="228"/>
      <c r="K835" s="660"/>
      <c r="L835" s="228"/>
      <c r="M835" s="228"/>
      <c r="N835" s="228"/>
    </row>
    <row r="836">
      <c r="A836" s="228"/>
      <c r="B836" s="228"/>
      <c r="C836" s="228"/>
      <c r="D836" s="310"/>
      <c r="E836" s="311"/>
      <c r="F836" s="228"/>
      <c r="G836" s="228"/>
      <c r="H836" s="228"/>
      <c r="I836" s="228"/>
      <c r="J836" s="228"/>
      <c r="K836" s="660"/>
      <c r="L836" s="228"/>
      <c r="M836" s="228"/>
      <c r="N836" s="228"/>
    </row>
    <row r="837">
      <c r="A837" s="228"/>
      <c r="B837" s="228"/>
      <c r="C837" s="228"/>
      <c r="D837" s="310"/>
      <c r="E837" s="311"/>
      <c r="F837" s="228"/>
      <c r="G837" s="228"/>
      <c r="H837" s="228"/>
      <c r="I837" s="228"/>
      <c r="J837" s="228"/>
      <c r="K837" s="660"/>
      <c r="L837" s="228"/>
      <c r="M837" s="228"/>
      <c r="N837" s="228"/>
    </row>
    <row r="838">
      <c r="A838" s="228"/>
      <c r="B838" s="228"/>
      <c r="C838" s="228"/>
      <c r="D838" s="310"/>
      <c r="E838" s="311"/>
      <c r="F838" s="228"/>
      <c r="G838" s="228"/>
      <c r="H838" s="228"/>
      <c r="I838" s="228"/>
      <c r="J838" s="228"/>
      <c r="K838" s="660"/>
      <c r="L838" s="228"/>
      <c r="M838" s="228"/>
      <c r="N838" s="228"/>
    </row>
    <row r="839">
      <c r="A839" s="228"/>
      <c r="B839" s="228"/>
      <c r="C839" s="228"/>
      <c r="D839" s="310"/>
      <c r="E839" s="311"/>
      <c r="F839" s="228"/>
      <c r="G839" s="228"/>
      <c r="H839" s="228"/>
      <c r="I839" s="228"/>
      <c r="J839" s="228"/>
      <c r="K839" s="660"/>
      <c r="L839" s="228"/>
      <c r="M839" s="228"/>
      <c r="N839" s="228"/>
    </row>
    <row r="840">
      <c r="A840" s="228"/>
      <c r="B840" s="228"/>
      <c r="C840" s="228"/>
      <c r="D840" s="310"/>
      <c r="E840" s="311"/>
      <c r="F840" s="228"/>
      <c r="G840" s="228"/>
      <c r="H840" s="228"/>
      <c r="I840" s="228"/>
      <c r="J840" s="228"/>
      <c r="K840" s="660"/>
      <c r="L840" s="228"/>
      <c r="M840" s="228"/>
      <c r="N840" s="228"/>
    </row>
    <row r="841">
      <c r="A841" s="228"/>
      <c r="B841" s="228"/>
      <c r="C841" s="228"/>
      <c r="D841" s="310"/>
      <c r="E841" s="311"/>
      <c r="F841" s="228"/>
      <c r="G841" s="228"/>
      <c r="H841" s="228"/>
      <c r="I841" s="228"/>
      <c r="J841" s="228"/>
      <c r="K841" s="660"/>
      <c r="L841" s="228"/>
      <c r="M841" s="228"/>
      <c r="N841" s="228"/>
    </row>
    <row r="842">
      <c r="A842" s="228"/>
      <c r="B842" s="228"/>
      <c r="C842" s="228"/>
      <c r="D842" s="310"/>
      <c r="E842" s="311"/>
      <c r="F842" s="228"/>
      <c r="G842" s="228"/>
      <c r="H842" s="228"/>
      <c r="I842" s="228"/>
      <c r="J842" s="228"/>
      <c r="K842" s="660"/>
      <c r="L842" s="228"/>
      <c r="M842" s="228"/>
      <c r="N842" s="228"/>
    </row>
    <row r="843">
      <c r="A843" s="228"/>
      <c r="B843" s="228"/>
      <c r="C843" s="228"/>
      <c r="D843" s="310"/>
      <c r="E843" s="311"/>
      <c r="F843" s="228"/>
      <c r="G843" s="228"/>
      <c r="H843" s="228"/>
      <c r="I843" s="228"/>
      <c r="J843" s="228"/>
      <c r="K843" s="660"/>
      <c r="L843" s="228"/>
      <c r="M843" s="228"/>
      <c r="N843" s="228"/>
    </row>
    <row r="844">
      <c r="A844" s="228"/>
      <c r="B844" s="228"/>
      <c r="C844" s="228"/>
      <c r="D844" s="310"/>
      <c r="E844" s="311"/>
      <c r="F844" s="228"/>
      <c r="G844" s="228"/>
      <c r="H844" s="228"/>
      <c r="I844" s="228"/>
      <c r="J844" s="228"/>
      <c r="K844" s="660"/>
      <c r="L844" s="228"/>
      <c r="M844" s="228"/>
      <c r="N844" s="228"/>
    </row>
    <row r="845">
      <c r="A845" s="228"/>
      <c r="B845" s="228"/>
      <c r="C845" s="228"/>
      <c r="D845" s="310"/>
      <c r="E845" s="311"/>
      <c r="F845" s="228"/>
      <c r="G845" s="228"/>
      <c r="H845" s="228"/>
      <c r="I845" s="228"/>
      <c r="J845" s="228"/>
      <c r="K845" s="660"/>
      <c r="L845" s="228"/>
      <c r="M845" s="228"/>
      <c r="N845" s="228"/>
    </row>
    <row r="846">
      <c r="A846" s="228"/>
      <c r="B846" s="228"/>
      <c r="C846" s="228"/>
      <c r="D846" s="310"/>
      <c r="E846" s="311"/>
      <c r="F846" s="228"/>
      <c r="G846" s="228"/>
      <c r="H846" s="228"/>
      <c r="I846" s="228"/>
      <c r="J846" s="228"/>
      <c r="K846" s="660"/>
      <c r="L846" s="228"/>
      <c r="M846" s="228"/>
      <c r="N846" s="228"/>
    </row>
    <row r="847">
      <c r="A847" s="228"/>
      <c r="B847" s="228"/>
      <c r="C847" s="228"/>
      <c r="D847" s="310"/>
      <c r="E847" s="311"/>
      <c r="F847" s="228"/>
      <c r="G847" s="228"/>
      <c r="H847" s="228"/>
      <c r="I847" s="228"/>
      <c r="J847" s="228"/>
      <c r="K847" s="660"/>
      <c r="L847" s="228"/>
      <c r="M847" s="228"/>
      <c r="N847" s="228"/>
    </row>
    <row r="848">
      <c r="A848" s="228"/>
      <c r="B848" s="228"/>
      <c r="C848" s="228"/>
      <c r="D848" s="310"/>
      <c r="E848" s="311"/>
      <c r="F848" s="228"/>
      <c r="G848" s="228"/>
      <c r="H848" s="228"/>
      <c r="I848" s="228"/>
      <c r="J848" s="228"/>
      <c r="K848" s="660"/>
      <c r="L848" s="228"/>
      <c r="M848" s="228"/>
      <c r="N848" s="228"/>
    </row>
    <row r="849">
      <c r="A849" s="228"/>
      <c r="B849" s="228"/>
      <c r="C849" s="228"/>
      <c r="D849" s="310"/>
      <c r="E849" s="311"/>
      <c r="F849" s="228"/>
      <c r="G849" s="228"/>
      <c r="H849" s="228"/>
      <c r="I849" s="228"/>
      <c r="J849" s="228"/>
      <c r="K849" s="660"/>
      <c r="L849" s="228"/>
      <c r="M849" s="228"/>
      <c r="N849" s="228"/>
    </row>
    <row r="850">
      <c r="A850" s="228"/>
      <c r="B850" s="228"/>
      <c r="C850" s="228"/>
      <c r="D850" s="310"/>
      <c r="E850" s="311"/>
      <c r="F850" s="228"/>
      <c r="G850" s="228"/>
      <c r="H850" s="228"/>
      <c r="I850" s="228"/>
      <c r="J850" s="228"/>
      <c r="K850" s="660"/>
      <c r="L850" s="228"/>
      <c r="M850" s="228"/>
      <c r="N850" s="228"/>
    </row>
    <row r="851">
      <c r="A851" s="228"/>
      <c r="B851" s="228"/>
      <c r="C851" s="228"/>
      <c r="D851" s="310"/>
      <c r="E851" s="311"/>
      <c r="F851" s="228"/>
      <c r="G851" s="228"/>
      <c r="H851" s="228"/>
      <c r="I851" s="228"/>
      <c r="J851" s="228"/>
      <c r="K851" s="660"/>
      <c r="L851" s="228"/>
      <c r="M851" s="228"/>
      <c r="N851" s="228"/>
    </row>
    <row r="852">
      <c r="A852" s="228"/>
      <c r="B852" s="228"/>
      <c r="C852" s="228"/>
      <c r="D852" s="310"/>
      <c r="E852" s="311"/>
      <c r="F852" s="228"/>
      <c r="G852" s="228"/>
      <c r="H852" s="228"/>
      <c r="I852" s="228"/>
      <c r="J852" s="228"/>
      <c r="K852" s="660"/>
      <c r="L852" s="228"/>
      <c r="M852" s="228"/>
      <c r="N852" s="228"/>
    </row>
    <row r="853">
      <c r="A853" s="228"/>
      <c r="B853" s="228"/>
      <c r="C853" s="228"/>
      <c r="D853" s="310"/>
      <c r="E853" s="311"/>
      <c r="F853" s="228"/>
      <c r="G853" s="228"/>
      <c r="H853" s="228"/>
      <c r="I853" s="228"/>
      <c r="J853" s="228"/>
      <c r="K853" s="660"/>
      <c r="L853" s="228"/>
      <c r="M853" s="228"/>
      <c r="N853" s="228"/>
    </row>
    <row r="854">
      <c r="A854" s="228"/>
      <c r="B854" s="228"/>
      <c r="C854" s="228"/>
      <c r="D854" s="310"/>
      <c r="E854" s="311"/>
      <c r="F854" s="228"/>
      <c r="G854" s="228"/>
      <c r="H854" s="228"/>
      <c r="I854" s="228"/>
      <c r="J854" s="228"/>
      <c r="K854" s="660"/>
      <c r="L854" s="228"/>
      <c r="M854" s="228"/>
      <c r="N854" s="228"/>
    </row>
    <row r="855">
      <c r="A855" s="228"/>
      <c r="B855" s="228"/>
      <c r="C855" s="228"/>
      <c r="D855" s="310"/>
      <c r="E855" s="311"/>
      <c r="F855" s="228"/>
      <c r="G855" s="228"/>
      <c r="H855" s="228"/>
      <c r="I855" s="228"/>
      <c r="J855" s="228"/>
      <c r="K855" s="660"/>
      <c r="L855" s="228"/>
      <c r="M855" s="228"/>
      <c r="N855" s="228"/>
    </row>
    <row r="856">
      <c r="A856" s="228"/>
      <c r="B856" s="228"/>
      <c r="C856" s="228"/>
      <c r="D856" s="310"/>
      <c r="E856" s="311"/>
      <c r="F856" s="228"/>
      <c r="G856" s="228"/>
      <c r="H856" s="228"/>
      <c r="I856" s="228"/>
      <c r="J856" s="228"/>
      <c r="K856" s="660"/>
      <c r="L856" s="228"/>
      <c r="M856" s="228"/>
      <c r="N856" s="228"/>
    </row>
    <row r="857">
      <c r="A857" s="228"/>
      <c r="B857" s="228"/>
      <c r="C857" s="228"/>
      <c r="D857" s="310"/>
      <c r="E857" s="311"/>
      <c r="F857" s="228"/>
      <c r="G857" s="228"/>
      <c r="H857" s="228"/>
      <c r="I857" s="228"/>
      <c r="J857" s="228"/>
      <c r="K857" s="660"/>
      <c r="L857" s="228"/>
      <c r="M857" s="228"/>
      <c r="N857" s="228"/>
    </row>
    <row r="858">
      <c r="A858" s="228"/>
      <c r="B858" s="228"/>
      <c r="C858" s="228"/>
      <c r="D858" s="310"/>
      <c r="E858" s="311"/>
      <c r="F858" s="228"/>
      <c r="G858" s="228"/>
      <c r="H858" s="228"/>
      <c r="I858" s="228"/>
      <c r="J858" s="228"/>
      <c r="K858" s="660"/>
      <c r="L858" s="228"/>
      <c r="M858" s="228"/>
      <c r="N858" s="228"/>
    </row>
    <row r="859">
      <c r="A859" s="228"/>
      <c r="B859" s="228"/>
      <c r="C859" s="228"/>
      <c r="D859" s="310"/>
      <c r="E859" s="311"/>
      <c r="F859" s="228"/>
      <c r="G859" s="228"/>
      <c r="H859" s="228"/>
      <c r="I859" s="228"/>
      <c r="J859" s="228"/>
      <c r="K859" s="660"/>
      <c r="L859" s="228"/>
      <c r="M859" s="228"/>
      <c r="N859" s="228"/>
    </row>
    <row r="860">
      <c r="A860" s="228"/>
      <c r="B860" s="228"/>
      <c r="C860" s="228"/>
      <c r="D860" s="310"/>
      <c r="E860" s="311"/>
      <c r="F860" s="228"/>
      <c r="G860" s="228"/>
      <c r="H860" s="228"/>
      <c r="I860" s="228"/>
      <c r="J860" s="228"/>
      <c r="K860" s="660"/>
      <c r="L860" s="228"/>
      <c r="M860" s="228"/>
      <c r="N860" s="228"/>
    </row>
    <row r="861">
      <c r="A861" s="228"/>
      <c r="B861" s="228"/>
      <c r="C861" s="228"/>
      <c r="D861" s="310"/>
      <c r="E861" s="311"/>
      <c r="F861" s="228"/>
      <c r="G861" s="228"/>
      <c r="H861" s="228"/>
      <c r="I861" s="228"/>
      <c r="J861" s="228"/>
      <c r="K861" s="660"/>
      <c r="L861" s="228"/>
      <c r="M861" s="228"/>
      <c r="N861" s="228"/>
    </row>
    <row r="862">
      <c r="A862" s="228"/>
      <c r="B862" s="228"/>
      <c r="C862" s="228"/>
      <c r="D862" s="310"/>
      <c r="E862" s="311"/>
      <c r="F862" s="228"/>
      <c r="G862" s="228"/>
      <c r="H862" s="228"/>
      <c r="I862" s="228"/>
      <c r="J862" s="228"/>
      <c r="K862" s="660"/>
      <c r="L862" s="228"/>
      <c r="M862" s="228"/>
      <c r="N862" s="228"/>
    </row>
    <row r="863">
      <c r="A863" s="228"/>
      <c r="B863" s="228"/>
      <c r="C863" s="228"/>
      <c r="D863" s="310"/>
      <c r="E863" s="311"/>
      <c r="F863" s="228"/>
      <c r="G863" s="228"/>
      <c r="H863" s="228"/>
      <c r="I863" s="228"/>
      <c r="J863" s="228"/>
      <c r="K863" s="660"/>
      <c r="L863" s="228"/>
      <c r="M863" s="228"/>
      <c r="N863" s="228"/>
    </row>
    <row r="864">
      <c r="A864" s="228"/>
      <c r="B864" s="228"/>
      <c r="C864" s="228"/>
      <c r="D864" s="310"/>
      <c r="E864" s="311"/>
      <c r="F864" s="228"/>
      <c r="G864" s="228"/>
      <c r="H864" s="228"/>
      <c r="I864" s="228"/>
      <c r="J864" s="228"/>
      <c r="K864" s="660"/>
      <c r="L864" s="228"/>
      <c r="M864" s="228"/>
      <c r="N864" s="228"/>
    </row>
    <row r="865">
      <c r="A865" s="228"/>
      <c r="B865" s="228"/>
      <c r="C865" s="228"/>
      <c r="D865" s="310"/>
      <c r="E865" s="311"/>
      <c r="F865" s="228"/>
      <c r="G865" s="228"/>
      <c r="H865" s="228"/>
      <c r="I865" s="228"/>
      <c r="J865" s="228"/>
      <c r="K865" s="660"/>
      <c r="L865" s="228"/>
      <c r="M865" s="228"/>
      <c r="N865" s="228"/>
    </row>
    <row r="866">
      <c r="A866" s="228"/>
      <c r="B866" s="228"/>
      <c r="C866" s="228"/>
      <c r="D866" s="310"/>
      <c r="E866" s="311"/>
      <c r="F866" s="228"/>
      <c r="G866" s="228"/>
      <c r="H866" s="228"/>
      <c r="I866" s="228"/>
      <c r="J866" s="228"/>
      <c r="K866" s="660"/>
      <c r="L866" s="228"/>
      <c r="M866" s="228"/>
      <c r="N866" s="228"/>
    </row>
    <row r="867">
      <c r="A867" s="228"/>
      <c r="B867" s="228"/>
      <c r="C867" s="228"/>
      <c r="D867" s="310"/>
      <c r="E867" s="311"/>
      <c r="F867" s="228"/>
      <c r="G867" s="228"/>
      <c r="H867" s="228"/>
      <c r="I867" s="228"/>
      <c r="J867" s="228"/>
      <c r="K867" s="660"/>
      <c r="L867" s="228"/>
      <c r="M867" s="228"/>
      <c r="N867" s="228"/>
    </row>
    <row r="868">
      <c r="A868" s="228"/>
      <c r="B868" s="228"/>
      <c r="C868" s="228"/>
      <c r="D868" s="310"/>
      <c r="E868" s="311"/>
      <c r="F868" s="228"/>
      <c r="G868" s="228"/>
      <c r="H868" s="228"/>
      <c r="I868" s="228"/>
      <c r="J868" s="228"/>
      <c r="K868" s="660"/>
      <c r="L868" s="228"/>
      <c r="M868" s="228"/>
      <c r="N868" s="228"/>
    </row>
    <row r="869">
      <c r="A869" s="228"/>
      <c r="B869" s="228"/>
      <c r="C869" s="228"/>
      <c r="D869" s="310"/>
      <c r="E869" s="311"/>
      <c r="F869" s="228"/>
      <c r="G869" s="228"/>
      <c r="H869" s="228"/>
      <c r="I869" s="228"/>
      <c r="J869" s="228"/>
      <c r="K869" s="660"/>
      <c r="L869" s="228"/>
      <c r="M869" s="228"/>
      <c r="N869" s="228"/>
    </row>
    <row r="870">
      <c r="A870" s="228"/>
      <c r="B870" s="228"/>
      <c r="C870" s="228"/>
      <c r="D870" s="310"/>
      <c r="E870" s="311"/>
      <c r="F870" s="228"/>
      <c r="G870" s="228"/>
      <c r="H870" s="228"/>
      <c r="I870" s="228"/>
      <c r="J870" s="228"/>
      <c r="K870" s="660"/>
      <c r="L870" s="228"/>
      <c r="M870" s="228"/>
      <c r="N870" s="228"/>
    </row>
    <row r="871">
      <c r="A871" s="228"/>
      <c r="B871" s="228"/>
      <c r="C871" s="228"/>
      <c r="D871" s="310"/>
      <c r="E871" s="311"/>
      <c r="F871" s="228"/>
      <c r="G871" s="228"/>
      <c r="H871" s="228"/>
      <c r="I871" s="228"/>
      <c r="J871" s="228"/>
      <c r="K871" s="660"/>
      <c r="L871" s="228"/>
      <c r="M871" s="228"/>
      <c r="N871" s="228"/>
    </row>
    <row r="872">
      <c r="A872" s="228"/>
      <c r="B872" s="228"/>
      <c r="C872" s="228"/>
      <c r="D872" s="310"/>
      <c r="E872" s="311"/>
      <c r="F872" s="228"/>
      <c r="G872" s="228"/>
      <c r="H872" s="228"/>
      <c r="I872" s="228"/>
      <c r="J872" s="228"/>
      <c r="K872" s="660"/>
      <c r="L872" s="228"/>
      <c r="M872" s="228"/>
      <c r="N872" s="228"/>
    </row>
    <row r="873">
      <c r="A873" s="228"/>
      <c r="B873" s="228"/>
      <c r="C873" s="228"/>
      <c r="D873" s="310"/>
      <c r="E873" s="311"/>
      <c r="F873" s="228"/>
      <c r="G873" s="228"/>
      <c r="H873" s="228"/>
      <c r="I873" s="228"/>
      <c r="J873" s="228"/>
      <c r="K873" s="660"/>
      <c r="L873" s="228"/>
      <c r="M873" s="228"/>
      <c r="N873" s="228"/>
    </row>
    <row r="874">
      <c r="A874" s="228"/>
      <c r="B874" s="228"/>
      <c r="C874" s="228"/>
      <c r="D874" s="310"/>
      <c r="E874" s="311"/>
      <c r="F874" s="228"/>
      <c r="G874" s="228"/>
      <c r="H874" s="228"/>
      <c r="I874" s="228"/>
      <c r="J874" s="228"/>
      <c r="K874" s="660"/>
      <c r="L874" s="228"/>
      <c r="M874" s="228"/>
      <c r="N874" s="228"/>
    </row>
    <row r="875">
      <c r="A875" s="228"/>
      <c r="B875" s="228"/>
      <c r="C875" s="228"/>
      <c r="D875" s="310"/>
      <c r="E875" s="311"/>
      <c r="F875" s="228"/>
      <c r="G875" s="228"/>
      <c r="H875" s="228"/>
      <c r="I875" s="228"/>
      <c r="J875" s="228"/>
      <c r="K875" s="660"/>
      <c r="L875" s="228"/>
      <c r="M875" s="228"/>
      <c r="N875" s="228"/>
    </row>
    <row r="876">
      <c r="A876" s="228"/>
      <c r="B876" s="228"/>
      <c r="C876" s="228"/>
      <c r="D876" s="310"/>
      <c r="E876" s="311"/>
      <c r="F876" s="228"/>
      <c r="G876" s="228"/>
      <c r="H876" s="228"/>
      <c r="I876" s="228"/>
      <c r="J876" s="228"/>
      <c r="K876" s="660"/>
      <c r="L876" s="228"/>
      <c r="M876" s="228"/>
      <c r="N876" s="228"/>
    </row>
    <row r="877">
      <c r="A877" s="228"/>
      <c r="B877" s="228"/>
      <c r="C877" s="228"/>
      <c r="D877" s="310"/>
      <c r="E877" s="311"/>
      <c r="F877" s="228"/>
      <c r="G877" s="228"/>
      <c r="H877" s="228"/>
      <c r="I877" s="228"/>
      <c r="J877" s="228"/>
      <c r="K877" s="660"/>
      <c r="L877" s="228"/>
      <c r="M877" s="228"/>
      <c r="N877" s="228"/>
    </row>
    <row r="878">
      <c r="A878" s="228"/>
      <c r="B878" s="228"/>
      <c r="C878" s="228"/>
      <c r="D878" s="310"/>
      <c r="E878" s="311"/>
      <c r="F878" s="228"/>
      <c r="G878" s="228"/>
      <c r="H878" s="228"/>
      <c r="I878" s="228"/>
      <c r="J878" s="228"/>
      <c r="K878" s="660"/>
      <c r="L878" s="228"/>
      <c r="M878" s="228"/>
      <c r="N878" s="228"/>
    </row>
    <row r="879">
      <c r="A879" s="228"/>
      <c r="B879" s="228"/>
      <c r="C879" s="228"/>
      <c r="D879" s="310"/>
      <c r="E879" s="311"/>
      <c r="F879" s="228"/>
      <c r="G879" s="228"/>
      <c r="H879" s="228"/>
      <c r="I879" s="228"/>
      <c r="J879" s="228"/>
      <c r="K879" s="660"/>
      <c r="L879" s="228"/>
      <c r="M879" s="228"/>
      <c r="N879" s="228"/>
    </row>
    <row r="880">
      <c r="A880" s="228"/>
      <c r="B880" s="228"/>
      <c r="C880" s="228"/>
      <c r="D880" s="310"/>
      <c r="E880" s="311"/>
      <c r="F880" s="228"/>
      <c r="G880" s="228"/>
      <c r="H880" s="228"/>
      <c r="I880" s="228"/>
      <c r="J880" s="228"/>
      <c r="K880" s="660"/>
      <c r="L880" s="228"/>
      <c r="M880" s="228"/>
      <c r="N880" s="228"/>
    </row>
    <row r="881">
      <c r="A881" s="228"/>
      <c r="B881" s="228"/>
      <c r="C881" s="228"/>
      <c r="D881" s="310"/>
      <c r="E881" s="311"/>
      <c r="F881" s="228"/>
      <c r="G881" s="228"/>
      <c r="H881" s="228"/>
      <c r="I881" s="228"/>
      <c r="J881" s="228"/>
      <c r="K881" s="660"/>
      <c r="L881" s="228"/>
      <c r="M881" s="228"/>
      <c r="N881" s="228"/>
    </row>
    <row r="882">
      <c r="A882" s="228"/>
      <c r="B882" s="228"/>
      <c r="C882" s="228"/>
      <c r="D882" s="310"/>
      <c r="E882" s="311"/>
      <c r="F882" s="228"/>
      <c r="G882" s="228"/>
      <c r="H882" s="228"/>
      <c r="I882" s="228"/>
      <c r="J882" s="228"/>
      <c r="K882" s="660"/>
      <c r="L882" s="228"/>
      <c r="M882" s="228"/>
      <c r="N882" s="228"/>
    </row>
    <row r="883">
      <c r="A883" s="228"/>
      <c r="B883" s="228"/>
      <c r="C883" s="228"/>
      <c r="D883" s="310"/>
      <c r="E883" s="311"/>
      <c r="F883" s="228"/>
      <c r="G883" s="228"/>
      <c r="H883" s="228"/>
      <c r="I883" s="228"/>
      <c r="J883" s="228"/>
      <c r="K883" s="660"/>
      <c r="L883" s="228"/>
      <c r="M883" s="228"/>
      <c r="N883" s="228"/>
    </row>
    <row r="884">
      <c r="A884" s="228"/>
      <c r="B884" s="228"/>
      <c r="C884" s="228"/>
      <c r="D884" s="310"/>
      <c r="E884" s="311"/>
      <c r="F884" s="228"/>
      <c r="G884" s="228"/>
      <c r="H884" s="228"/>
      <c r="I884" s="228"/>
      <c r="J884" s="228"/>
      <c r="K884" s="660"/>
      <c r="L884" s="228"/>
      <c r="M884" s="228"/>
      <c r="N884" s="228"/>
    </row>
    <row r="885">
      <c r="A885" s="228"/>
      <c r="B885" s="228"/>
      <c r="C885" s="228"/>
      <c r="D885" s="310"/>
      <c r="E885" s="311"/>
      <c r="F885" s="228"/>
      <c r="G885" s="228"/>
      <c r="H885" s="228"/>
      <c r="I885" s="228"/>
      <c r="J885" s="228"/>
      <c r="K885" s="660"/>
      <c r="L885" s="228"/>
      <c r="M885" s="228"/>
      <c r="N885" s="228"/>
    </row>
    <row r="886">
      <c r="A886" s="228"/>
      <c r="B886" s="228"/>
      <c r="C886" s="228"/>
      <c r="D886" s="310"/>
      <c r="E886" s="311"/>
      <c r="F886" s="228"/>
      <c r="G886" s="228"/>
      <c r="H886" s="228"/>
      <c r="I886" s="228"/>
      <c r="J886" s="228"/>
      <c r="K886" s="660"/>
      <c r="L886" s="228"/>
      <c r="M886" s="228"/>
      <c r="N886" s="228"/>
    </row>
    <row r="887">
      <c r="A887" s="228"/>
      <c r="B887" s="228"/>
      <c r="C887" s="228"/>
      <c r="D887" s="310"/>
      <c r="E887" s="311"/>
      <c r="F887" s="228"/>
      <c r="G887" s="228"/>
      <c r="H887" s="228"/>
      <c r="I887" s="228"/>
      <c r="J887" s="228"/>
      <c r="K887" s="660"/>
      <c r="L887" s="228"/>
      <c r="M887" s="228"/>
      <c r="N887" s="228"/>
    </row>
    <row r="888">
      <c r="A888" s="228"/>
      <c r="B888" s="228"/>
      <c r="C888" s="228"/>
      <c r="D888" s="310"/>
      <c r="E888" s="311"/>
      <c r="F888" s="228"/>
      <c r="G888" s="228"/>
      <c r="H888" s="228"/>
      <c r="I888" s="228"/>
      <c r="J888" s="228"/>
      <c r="K888" s="660"/>
      <c r="L888" s="228"/>
      <c r="M888" s="228"/>
      <c r="N888" s="228"/>
    </row>
    <row r="889">
      <c r="A889" s="228"/>
      <c r="B889" s="228"/>
      <c r="C889" s="228"/>
      <c r="D889" s="310"/>
      <c r="E889" s="311"/>
      <c r="F889" s="228"/>
      <c r="G889" s="228"/>
      <c r="H889" s="228"/>
      <c r="I889" s="228"/>
      <c r="J889" s="228"/>
      <c r="K889" s="660"/>
      <c r="L889" s="228"/>
      <c r="M889" s="228"/>
      <c r="N889" s="228"/>
    </row>
    <row r="890">
      <c r="A890" s="228"/>
      <c r="B890" s="228"/>
      <c r="C890" s="228"/>
      <c r="D890" s="310"/>
      <c r="E890" s="311"/>
      <c r="F890" s="228"/>
      <c r="G890" s="228"/>
      <c r="H890" s="228"/>
      <c r="I890" s="228"/>
      <c r="J890" s="228"/>
      <c r="K890" s="660"/>
      <c r="L890" s="228"/>
      <c r="M890" s="228"/>
      <c r="N890" s="228"/>
    </row>
    <row r="891">
      <c r="A891" s="228"/>
      <c r="B891" s="228"/>
      <c r="C891" s="228"/>
      <c r="D891" s="310"/>
      <c r="E891" s="311"/>
      <c r="F891" s="228"/>
      <c r="G891" s="228"/>
      <c r="H891" s="228"/>
      <c r="I891" s="228"/>
      <c r="J891" s="228"/>
      <c r="K891" s="660"/>
      <c r="L891" s="228"/>
      <c r="M891" s="228"/>
      <c r="N891" s="228"/>
    </row>
    <row r="892">
      <c r="A892" s="228"/>
      <c r="B892" s="228"/>
      <c r="C892" s="228"/>
      <c r="D892" s="310"/>
      <c r="E892" s="311"/>
      <c r="F892" s="228"/>
      <c r="G892" s="228"/>
      <c r="H892" s="228"/>
      <c r="I892" s="228"/>
      <c r="J892" s="228"/>
      <c r="K892" s="660"/>
      <c r="L892" s="228"/>
      <c r="M892" s="228"/>
      <c r="N892" s="228"/>
    </row>
    <row r="893">
      <c r="A893" s="228"/>
      <c r="B893" s="228"/>
      <c r="C893" s="228"/>
      <c r="D893" s="310"/>
      <c r="E893" s="311"/>
      <c r="F893" s="228"/>
      <c r="G893" s="228"/>
      <c r="H893" s="228"/>
      <c r="I893" s="228"/>
      <c r="J893" s="228"/>
      <c r="K893" s="660"/>
      <c r="L893" s="228"/>
      <c r="M893" s="228"/>
      <c r="N893" s="228"/>
    </row>
    <row r="894">
      <c r="A894" s="228"/>
      <c r="B894" s="228"/>
      <c r="C894" s="228"/>
      <c r="D894" s="310"/>
      <c r="E894" s="311"/>
      <c r="F894" s="228"/>
      <c r="G894" s="228"/>
      <c r="H894" s="228"/>
      <c r="I894" s="228"/>
      <c r="J894" s="228"/>
      <c r="K894" s="660"/>
      <c r="L894" s="228"/>
      <c r="M894" s="228"/>
      <c r="N894" s="228"/>
    </row>
    <row r="895">
      <c r="A895" s="228"/>
      <c r="B895" s="228"/>
      <c r="C895" s="228"/>
      <c r="D895" s="310"/>
      <c r="E895" s="311"/>
      <c r="F895" s="228"/>
      <c r="G895" s="228"/>
      <c r="H895" s="228"/>
      <c r="I895" s="228"/>
      <c r="J895" s="228"/>
      <c r="K895" s="660"/>
      <c r="L895" s="228"/>
      <c r="M895" s="228"/>
      <c r="N895" s="228"/>
    </row>
    <row r="896">
      <c r="A896" s="228"/>
      <c r="B896" s="228"/>
      <c r="C896" s="228"/>
      <c r="D896" s="310"/>
      <c r="E896" s="311"/>
      <c r="F896" s="228"/>
      <c r="G896" s="228"/>
      <c r="H896" s="228"/>
      <c r="I896" s="228"/>
      <c r="J896" s="228"/>
      <c r="K896" s="660"/>
      <c r="L896" s="228"/>
      <c r="M896" s="228"/>
      <c r="N896" s="228"/>
    </row>
    <row r="897">
      <c r="A897" s="228"/>
      <c r="B897" s="228"/>
      <c r="C897" s="228"/>
      <c r="D897" s="310"/>
      <c r="E897" s="311"/>
      <c r="F897" s="228"/>
      <c r="G897" s="228"/>
      <c r="H897" s="228"/>
      <c r="I897" s="228"/>
      <c r="J897" s="228"/>
      <c r="K897" s="660"/>
      <c r="L897" s="228"/>
      <c r="M897" s="228"/>
      <c r="N897" s="228"/>
    </row>
    <row r="898">
      <c r="A898" s="228"/>
      <c r="B898" s="228"/>
      <c r="C898" s="228"/>
      <c r="D898" s="310"/>
      <c r="E898" s="311"/>
      <c r="F898" s="228"/>
      <c r="G898" s="228"/>
      <c r="H898" s="228"/>
      <c r="I898" s="228"/>
      <c r="J898" s="228"/>
      <c r="K898" s="660"/>
      <c r="L898" s="228"/>
      <c r="M898" s="228"/>
      <c r="N898" s="228"/>
    </row>
    <row r="899">
      <c r="A899" s="228"/>
      <c r="B899" s="228"/>
      <c r="C899" s="228"/>
      <c r="D899" s="310"/>
      <c r="E899" s="311"/>
      <c r="F899" s="228"/>
      <c r="G899" s="228"/>
      <c r="H899" s="228"/>
      <c r="I899" s="228"/>
      <c r="J899" s="228"/>
      <c r="K899" s="660"/>
      <c r="L899" s="228"/>
      <c r="M899" s="228"/>
      <c r="N899" s="228"/>
    </row>
    <row r="900">
      <c r="A900" s="228"/>
      <c r="B900" s="228"/>
      <c r="C900" s="228"/>
      <c r="D900" s="310"/>
      <c r="E900" s="311"/>
      <c r="F900" s="228"/>
      <c r="G900" s="228"/>
      <c r="H900" s="228"/>
      <c r="I900" s="228"/>
      <c r="J900" s="228"/>
      <c r="K900" s="660"/>
      <c r="L900" s="228"/>
      <c r="M900" s="228"/>
      <c r="N900" s="228"/>
    </row>
    <row r="901">
      <c r="A901" s="228"/>
      <c r="B901" s="228"/>
      <c r="C901" s="228"/>
      <c r="D901" s="310"/>
      <c r="E901" s="311"/>
      <c r="F901" s="228"/>
      <c r="G901" s="228"/>
      <c r="H901" s="228"/>
      <c r="I901" s="228"/>
      <c r="J901" s="228"/>
      <c r="K901" s="660"/>
      <c r="L901" s="228"/>
      <c r="M901" s="228"/>
      <c r="N901" s="228"/>
    </row>
    <row r="902">
      <c r="A902" s="228"/>
      <c r="B902" s="228"/>
      <c r="C902" s="228"/>
      <c r="D902" s="310"/>
      <c r="E902" s="311"/>
      <c r="F902" s="228"/>
      <c r="G902" s="228"/>
      <c r="H902" s="228"/>
      <c r="I902" s="228"/>
      <c r="J902" s="228"/>
      <c r="K902" s="660"/>
      <c r="L902" s="228"/>
      <c r="M902" s="228"/>
      <c r="N902" s="228"/>
    </row>
    <row r="903">
      <c r="A903" s="228"/>
      <c r="B903" s="228"/>
      <c r="C903" s="228"/>
      <c r="D903" s="310"/>
      <c r="E903" s="311"/>
      <c r="F903" s="228"/>
      <c r="G903" s="228"/>
      <c r="H903" s="228"/>
      <c r="I903" s="228"/>
      <c r="J903" s="228"/>
      <c r="K903" s="660"/>
      <c r="L903" s="228"/>
      <c r="M903" s="228"/>
      <c r="N903" s="228"/>
    </row>
    <row r="904">
      <c r="A904" s="228"/>
      <c r="B904" s="228"/>
      <c r="C904" s="228"/>
      <c r="D904" s="310"/>
      <c r="E904" s="311"/>
      <c r="F904" s="228"/>
      <c r="G904" s="228"/>
      <c r="H904" s="228"/>
      <c r="I904" s="228"/>
      <c r="J904" s="228"/>
      <c r="K904" s="660"/>
      <c r="L904" s="228"/>
      <c r="M904" s="228"/>
      <c r="N904" s="228"/>
    </row>
    <row r="905">
      <c r="A905" s="228"/>
      <c r="B905" s="228"/>
      <c r="C905" s="228"/>
      <c r="D905" s="310"/>
      <c r="E905" s="311"/>
      <c r="F905" s="228"/>
      <c r="G905" s="228"/>
      <c r="H905" s="228"/>
      <c r="I905" s="228"/>
      <c r="J905" s="228"/>
      <c r="K905" s="660"/>
      <c r="L905" s="228"/>
      <c r="M905" s="228"/>
      <c r="N905" s="228"/>
    </row>
    <row r="906">
      <c r="A906" s="228"/>
      <c r="B906" s="228"/>
      <c r="C906" s="228"/>
      <c r="D906" s="310"/>
      <c r="E906" s="311"/>
      <c r="F906" s="228"/>
      <c r="G906" s="228"/>
      <c r="H906" s="228"/>
      <c r="I906" s="228"/>
      <c r="J906" s="228"/>
      <c r="K906" s="660"/>
      <c r="L906" s="228"/>
      <c r="M906" s="228"/>
      <c r="N906" s="228"/>
    </row>
    <row r="907">
      <c r="A907" s="228"/>
      <c r="B907" s="228"/>
      <c r="C907" s="228"/>
      <c r="D907" s="310"/>
      <c r="E907" s="311"/>
      <c r="F907" s="228"/>
      <c r="G907" s="228"/>
      <c r="H907" s="228"/>
      <c r="I907" s="228"/>
      <c r="J907" s="228"/>
      <c r="K907" s="660"/>
      <c r="L907" s="228"/>
      <c r="M907" s="228"/>
      <c r="N907" s="228"/>
    </row>
    <row r="908">
      <c r="A908" s="228"/>
      <c r="B908" s="228"/>
      <c r="C908" s="228"/>
      <c r="D908" s="310"/>
      <c r="E908" s="311"/>
      <c r="F908" s="228"/>
      <c r="G908" s="228"/>
      <c r="H908" s="228"/>
      <c r="I908" s="228"/>
      <c r="J908" s="228"/>
      <c r="K908" s="660"/>
      <c r="L908" s="228"/>
      <c r="M908" s="228"/>
      <c r="N908" s="228"/>
    </row>
    <row r="909">
      <c r="A909" s="228"/>
      <c r="B909" s="228"/>
      <c r="C909" s="228"/>
      <c r="D909" s="310"/>
      <c r="E909" s="311"/>
      <c r="F909" s="228"/>
      <c r="G909" s="228"/>
      <c r="H909" s="228"/>
      <c r="I909" s="228"/>
      <c r="J909" s="228"/>
      <c r="K909" s="660"/>
      <c r="L909" s="228"/>
      <c r="M909" s="228"/>
      <c r="N909" s="228"/>
    </row>
    <row r="910">
      <c r="A910" s="228"/>
      <c r="B910" s="228"/>
      <c r="C910" s="228"/>
      <c r="D910" s="310"/>
      <c r="E910" s="311"/>
      <c r="F910" s="228"/>
      <c r="G910" s="228"/>
      <c r="H910" s="228"/>
      <c r="I910" s="228"/>
      <c r="J910" s="228"/>
      <c r="K910" s="660"/>
      <c r="L910" s="228"/>
      <c r="M910" s="228"/>
      <c r="N910" s="228"/>
    </row>
    <row r="911">
      <c r="A911" s="228"/>
      <c r="B911" s="228"/>
      <c r="C911" s="228"/>
      <c r="D911" s="310"/>
      <c r="E911" s="311"/>
      <c r="F911" s="228"/>
      <c r="G911" s="228"/>
      <c r="H911" s="228"/>
      <c r="I911" s="228"/>
      <c r="J911" s="228"/>
      <c r="K911" s="660"/>
      <c r="L911" s="228"/>
      <c r="M911" s="228"/>
      <c r="N911" s="228"/>
    </row>
    <row r="912">
      <c r="A912" s="228"/>
      <c r="B912" s="228"/>
      <c r="C912" s="228"/>
      <c r="D912" s="310"/>
      <c r="E912" s="311"/>
      <c r="F912" s="228"/>
      <c r="G912" s="228"/>
      <c r="H912" s="228"/>
      <c r="I912" s="228"/>
      <c r="J912" s="228"/>
      <c r="K912" s="660"/>
      <c r="L912" s="228"/>
      <c r="M912" s="228"/>
      <c r="N912" s="228"/>
    </row>
    <row r="913">
      <c r="A913" s="228"/>
      <c r="B913" s="228"/>
      <c r="C913" s="228"/>
      <c r="D913" s="310"/>
      <c r="E913" s="311"/>
      <c r="F913" s="228"/>
      <c r="G913" s="228"/>
      <c r="H913" s="228"/>
      <c r="I913" s="228"/>
      <c r="J913" s="228"/>
      <c r="K913" s="660"/>
      <c r="L913" s="228"/>
      <c r="M913" s="228"/>
      <c r="N913" s="228"/>
    </row>
    <row r="914">
      <c r="A914" s="228"/>
      <c r="B914" s="228"/>
      <c r="C914" s="228"/>
      <c r="D914" s="310"/>
      <c r="E914" s="311"/>
      <c r="F914" s="228"/>
      <c r="G914" s="228"/>
      <c r="H914" s="228"/>
      <c r="I914" s="228"/>
      <c r="J914" s="228"/>
      <c r="K914" s="660"/>
      <c r="L914" s="228"/>
      <c r="M914" s="228"/>
      <c r="N914" s="228"/>
    </row>
    <row r="915">
      <c r="A915" s="228"/>
      <c r="B915" s="228"/>
      <c r="C915" s="228"/>
      <c r="D915" s="310"/>
      <c r="E915" s="311"/>
      <c r="F915" s="228"/>
      <c r="G915" s="228"/>
      <c r="H915" s="228"/>
      <c r="I915" s="228"/>
      <c r="J915" s="228"/>
      <c r="K915" s="660"/>
      <c r="L915" s="228"/>
      <c r="M915" s="228"/>
      <c r="N915" s="228"/>
    </row>
    <row r="916">
      <c r="A916" s="228"/>
      <c r="B916" s="228"/>
      <c r="C916" s="228"/>
      <c r="D916" s="310"/>
      <c r="E916" s="311"/>
      <c r="F916" s="228"/>
      <c r="G916" s="228"/>
      <c r="H916" s="228"/>
      <c r="I916" s="228"/>
      <c r="J916" s="228"/>
      <c r="K916" s="660"/>
      <c r="L916" s="228"/>
      <c r="M916" s="228"/>
      <c r="N916" s="228"/>
    </row>
    <row r="917">
      <c r="A917" s="228"/>
      <c r="B917" s="228"/>
      <c r="C917" s="228"/>
      <c r="D917" s="310"/>
      <c r="E917" s="311"/>
      <c r="F917" s="228"/>
      <c r="G917" s="228"/>
      <c r="H917" s="228"/>
      <c r="I917" s="228"/>
      <c r="J917" s="228"/>
      <c r="K917" s="660"/>
      <c r="L917" s="228"/>
      <c r="M917" s="228"/>
      <c r="N917" s="228"/>
    </row>
    <row r="918">
      <c r="A918" s="228"/>
      <c r="B918" s="228"/>
      <c r="C918" s="228"/>
      <c r="D918" s="310"/>
      <c r="E918" s="311"/>
      <c r="F918" s="228"/>
      <c r="G918" s="228"/>
      <c r="H918" s="228"/>
      <c r="I918" s="228"/>
      <c r="J918" s="228"/>
      <c r="K918" s="660"/>
      <c r="L918" s="228"/>
      <c r="M918" s="228"/>
      <c r="N918" s="228"/>
    </row>
    <row r="919">
      <c r="A919" s="228"/>
      <c r="B919" s="228"/>
      <c r="C919" s="228"/>
      <c r="D919" s="310"/>
      <c r="E919" s="311"/>
      <c r="F919" s="228"/>
      <c r="G919" s="228"/>
      <c r="H919" s="228"/>
      <c r="I919" s="228"/>
      <c r="J919" s="228"/>
      <c r="K919" s="660"/>
      <c r="L919" s="228"/>
      <c r="M919" s="228"/>
      <c r="N919" s="228"/>
    </row>
    <row r="920">
      <c r="A920" s="228"/>
      <c r="B920" s="228"/>
      <c r="C920" s="228"/>
      <c r="D920" s="310"/>
      <c r="E920" s="311"/>
      <c r="F920" s="228"/>
      <c r="G920" s="228"/>
      <c r="H920" s="228"/>
      <c r="I920" s="228"/>
      <c r="J920" s="228"/>
      <c r="K920" s="660"/>
      <c r="L920" s="228"/>
      <c r="M920" s="228"/>
      <c r="N920" s="228"/>
    </row>
    <row r="921">
      <c r="A921" s="228"/>
      <c r="B921" s="228"/>
      <c r="C921" s="228"/>
      <c r="D921" s="310"/>
      <c r="E921" s="311"/>
      <c r="F921" s="228"/>
      <c r="G921" s="228"/>
      <c r="H921" s="228"/>
      <c r="I921" s="228"/>
      <c r="J921" s="228"/>
      <c r="K921" s="660"/>
      <c r="L921" s="228"/>
      <c r="M921" s="228"/>
      <c r="N921" s="228"/>
    </row>
    <row r="922">
      <c r="A922" s="228"/>
      <c r="B922" s="228"/>
      <c r="C922" s="228"/>
      <c r="D922" s="310"/>
      <c r="E922" s="311"/>
      <c r="F922" s="228"/>
      <c r="G922" s="228"/>
      <c r="H922" s="228"/>
      <c r="I922" s="228"/>
      <c r="J922" s="228"/>
      <c r="K922" s="660"/>
      <c r="L922" s="228"/>
      <c r="M922" s="228"/>
      <c r="N922" s="228"/>
    </row>
    <row r="923">
      <c r="A923" s="228"/>
      <c r="B923" s="228"/>
      <c r="C923" s="228"/>
      <c r="D923" s="310"/>
      <c r="E923" s="311"/>
      <c r="F923" s="228"/>
      <c r="G923" s="228"/>
      <c r="H923" s="228"/>
      <c r="I923" s="228"/>
      <c r="J923" s="228"/>
      <c r="K923" s="660"/>
      <c r="L923" s="228"/>
      <c r="M923" s="228"/>
      <c r="N923" s="228"/>
    </row>
    <row r="924">
      <c r="A924" s="228"/>
      <c r="B924" s="228"/>
      <c r="C924" s="228"/>
      <c r="D924" s="310"/>
      <c r="E924" s="311"/>
      <c r="F924" s="228"/>
      <c r="G924" s="228"/>
      <c r="H924" s="228"/>
      <c r="I924" s="228"/>
      <c r="J924" s="228"/>
      <c r="K924" s="660"/>
      <c r="L924" s="228"/>
      <c r="M924" s="228"/>
      <c r="N924" s="228"/>
    </row>
    <row r="925">
      <c r="A925" s="228"/>
      <c r="B925" s="228"/>
      <c r="C925" s="228"/>
      <c r="D925" s="310"/>
      <c r="E925" s="311"/>
      <c r="F925" s="228"/>
      <c r="G925" s="228"/>
      <c r="H925" s="228"/>
      <c r="I925" s="228"/>
      <c r="J925" s="228"/>
      <c r="K925" s="660"/>
      <c r="L925" s="228"/>
      <c r="M925" s="228"/>
      <c r="N925" s="228"/>
    </row>
    <row r="926">
      <c r="A926" s="228"/>
      <c r="B926" s="228"/>
      <c r="C926" s="228"/>
      <c r="D926" s="310"/>
      <c r="E926" s="311"/>
      <c r="F926" s="228"/>
      <c r="G926" s="228"/>
      <c r="H926" s="228"/>
      <c r="I926" s="228"/>
      <c r="J926" s="228"/>
      <c r="K926" s="660"/>
      <c r="L926" s="228"/>
      <c r="M926" s="228"/>
      <c r="N926" s="228"/>
    </row>
    <row r="927">
      <c r="A927" s="228"/>
      <c r="B927" s="228"/>
      <c r="C927" s="228"/>
      <c r="D927" s="310"/>
      <c r="E927" s="311"/>
      <c r="F927" s="228"/>
      <c r="G927" s="228"/>
      <c r="H927" s="228"/>
      <c r="I927" s="228"/>
      <c r="J927" s="228"/>
      <c r="K927" s="660"/>
      <c r="L927" s="228"/>
      <c r="M927" s="228"/>
      <c r="N927" s="228"/>
    </row>
    <row r="928">
      <c r="A928" s="228"/>
      <c r="B928" s="228"/>
      <c r="C928" s="228"/>
      <c r="D928" s="310"/>
      <c r="E928" s="311"/>
      <c r="F928" s="228"/>
      <c r="G928" s="228"/>
      <c r="H928" s="228"/>
      <c r="I928" s="228"/>
      <c r="J928" s="228"/>
      <c r="K928" s="660"/>
      <c r="L928" s="228"/>
      <c r="M928" s="228"/>
      <c r="N928" s="228"/>
    </row>
    <row r="929">
      <c r="A929" s="228"/>
      <c r="B929" s="228"/>
      <c r="C929" s="228"/>
      <c r="D929" s="310"/>
      <c r="E929" s="311"/>
      <c r="F929" s="228"/>
      <c r="G929" s="228"/>
      <c r="H929" s="228"/>
      <c r="I929" s="228"/>
      <c r="J929" s="228"/>
      <c r="K929" s="660"/>
      <c r="L929" s="228"/>
      <c r="M929" s="228"/>
      <c r="N929" s="228"/>
    </row>
    <row r="930">
      <c r="A930" s="228"/>
      <c r="B930" s="228"/>
      <c r="C930" s="228"/>
      <c r="D930" s="310"/>
      <c r="E930" s="311"/>
      <c r="F930" s="228"/>
      <c r="G930" s="228"/>
      <c r="H930" s="228"/>
      <c r="I930" s="228"/>
      <c r="J930" s="228"/>
      <c r="K930" s="660"/>
      <c r="L930" s="228"/>
      <c r="M930" s="228"/>
      <c r="N930" s="228"/>
    </row>
    <row r="931">
      <c r="A931" s="228"/>
      <c r="B931" s="228"/>
      <c r="C931" s="228"/>
      <c r="D931" s="310"/>
      <c r="E931" s="311"/>
      <c r="F931" s="228"/>
      <c r="G931" s="228"/>
      <c r="H931" s="228"/>
      <c r="I931" s="228"/>
      <c r="J931" s="228"/>
      <c r="K931" s="660"/>
      <c r="L931" s="228"/>
      <c r="M931" s="228"/>
      <c r="N931" s="228"/>
    </row>
    <row r="932">
      <c r="A932" s="228"/>
      <c r="B932" s="228"/>
      <c r="C932" s="228"/>
      <c r="D932" s="310"/>
      <c r="E932" s="311"/>
      <c r="F932" s="228"/>
      <c r="G932" s="228"/>
      <c r="H932" s="228"/>
      <c r="I932" s="228"/>
      <c r="J932" s="228"/>
      <c r="K932" s="660"/>
      <c r="L932" s="228"/>
      <c r="M932" s="228"/>
      <c r="N932" s="228"/>
    </row>
    <row r="933">
      <c r="A933" s="228"/>
      <c r="B933" s="228"/>
      <c r="C933" s="228"/>
      <c r="D933" s="310"/>
      <c r="E933" s="311"/>
      <c r="F933" s="228"/>
      <c r="G933" s="228"/>
      <c r="H933" s="228"/>
      <c r="I933" s="228"/>
      <c r="J933" s="228"/>
      <c r="K933" s="660"/>
      <c r="L933" s="228"/>
      <c r="M933" s="228"/>
      <c r="N933" s="228"/>
    </row>
    <row r="934">
      <c r="A934" s="228"/>
      <c r="B934" s="228"/>
      <c r="C934" s="228"/>
      <c r="D934" s="310"/>
      <c r="E934" s="311"/>
      <c r="F934" s="228"/>
      <c r="G934" s="228"/>
      <c r="H934" s="228"/>
      <c r="I934" s="228"/>
      <c r="J934" s="228"/>
      <c r="K934" s="660"/>
      <c r="L934" s="228"/>
      <c r="M934" s="228"/>
      <c r="N934" s="228"/>
    </row>
    <row r="935">
      <c r="A935" s="228"/>
      <c r="B935" s="228"/>
      <c r="C935" s="228"/>
      <c r="D935" s="310"/>
      <c r="E935" s="311"/>
      <c r="F935" s="228"/>
      <c r="G935" s="228"/>
      <c r="H935" s="228"/>
      <c r="I935" s="228"/>
      <c r="J935" s="228"/>
      <c r="K935" s="660"/>
      <c r="L935" s="228"/>
      <c r="M935" s="228"/>
      <c r="N935" s="228"/>
    </row>
    <row r="936">
      <c r="A936" s="228"/>
      <c r="B936" s="228"/>
      <c r="C936" s="228"/>
      <c r="D936" s="310"/>
      <c r="E936" s="311"/>
      <c r="F936" s="228"/>
      <c r="G936" s="228"/>
      <c r="H936" s="228"/>
      <c r="I936" s="228"/>
      <c r="J936" s="228"/>
      <c r="K936" s="660"/>
      <c r="L936" s="228"/>
      <c r="M936" s="228"/>
      <c r="N936" s="228"/>
    </row>
    <row r="937">
      <c r="A937" s="228"/>
      <c r="B937" s="228"/>
      <c r="C937" s="228"/>
      <c r="D937" s="310"/>
      <c r="E937" s="311"/>
      <c r="F937" s="228"/>
      <c r="G937" s="228"/>
      <c r="H937" s="228"/>
      <c r="I937" s="228"/>
      <c r="J937" s="228"/>
      <c r="K937" s="660"/>
      <c r="L937" s="228"/>
      <c r="M937" s="228"/>
      <c r="N937" s="228"/>
    </row>
    <row r="938">
      <c r="A938" s="228"/>
      <c r="B938" s="228"/>
      <c r="C938" s="228"/>
      <c r="D938" s="310"/>
      <c r="E938" s="311"/>
      <c r="F938" s="228"/>
      <c r="G938" s="228"/>
      <c r="H938" s="228"/>
      <c r="I938" s="228"/>
      <c r="J938" s="228"/>
      <c r="K938" s="660"/>
      <c r="L938" s="228"/>
      <c r="M938" s="228"/>
      <c r="N938" s="228"/>
    </row>
    <row r="939">
      <c r="A939" s="228"/>
      <c r="B939" s="228"/>
      <c r="C939" s="228"/>
      <c r="D939" s="310"/>
      <c r="E939" s="311"/>
      <c r="F939" s="228"/>
      <c r="G939" s="228"/>
      <c r="H939" s="228"/>
      <c r="I939" s="228"/>
      <c r="J939" s="228"/>
      <c r="K939" s="660"/>
      <c r="L939" s="228"/>
      <c r="M939" s="228"/>
      <c r="N939" s="228"/>
    </row>
    <row r="940">
      <c r="A940" s="228"/>
      <c r="B940" s="228"/>
      <c r="C940" s="228"/>
      <c r="D940" s="310"/>
      <c r="E940" s="311"/>
      <c r="F940" s="228"/>
      <c r="G940" s="228"/>
      <c r="H940" s="228"/>
      <c r="I940" s="228"/>
      <c r="J940" s="228"/>
      <c r="K940" s="660"/>
      <c r="L940" s="228"/>
      <c r="M940" s="228"/>
      <c r="N940" s="228"/>
    </row>
    <row r="941">
      <c r="A941" s="228"/>
      <c r="B941" s="228"/>
      <c r="C941" s="228"/>
      <c r="D941" s="310"/>
      <c r="E941" s="311"/>
      <c r="F941" s="228"/>
      <c r="G941" s="228"/>
      <c r="H941" s="228"/>
      <c r="I941" s="228"/>
      <c r="J941" s="228"/>
      <c r="K941" s="660"/>
      <c r="L941" s="228"/>
      <c r="M941" s="228"/>
      <c r="N941" s="228"/>
    </row>
    <row r="942">
      <c r="A942" s="228"/>
      <c r="B942" s="228"/>
      <c r="C942" s="228"/>
      <c r="D942" s="310"/>
      <c r="E942" s="311"/>
      <c r="F942" s="228"/>
      <c r="G942" s="228"/>
      <c r="H942" s="228"/>
      <c r="I942" s="228"/>
      <c r="J942" s="228"/>
      <c r="K942" s="660"/>
      <c r="L942" s="228"/>
      <c r="M942" s="228"/>
      <c r="N942" s="228"/>
    </row>
    <row r="943">
      <c r="A943" s="228"/>
      <c r="B943" s="228"/>
      <c r="C943" s="228"/>
      <c r="D943" s="310"/>
      <c r="E943" s="311"/>
      <c r="F943" s="228"/>
      <c r="G943" s="228"/>
      <c r="H943" s="228"/>
      <c r="I943" s="228"/>
      <c r="J943" s="228"/>
      <c r="K943" s="660"/>
      <c r="L943" s="228"/>
      <c r="M943" s="228"/>
      <c r="N943" s="228"/>
    </row>
    <row r="944">
      <c r="A944" s="228"/>
      <c r="B944" s="228"/>
      <c r="C944" s="228"/>
      <c r="D944" s="310"/>
      <c r="E944" s="311"/>
      <c r="F944" s="228"/>
      <c r="G944" s="228"/>
      <c r="H944" s="228"/>
      <c r="I944" s="228"/>
      <c r="J944" s="228"/>
      <c r="K944" s="660"/>
      <c r="L944" s="228"/>
      <c r="M944" s="228"/>
      <c r="N944" s="228"/>
    </row>
    <row r="945">
      <c r="A945" s="228"/>
      <c r="B945" s="228"/>
      <c r="C945" s="228"/>
      <c r="D945" s="310"/>
      <c r="E945" s="311"/>
      <c r="F945" s="228"/>
      <c r="G945" s="228"/>
      <c r="H945" s="228"/>
      <c r="I945" s="228"/>
      <c r="J945" s="228"/>
      <c r="K945" s="660"/>
      <c r="L945" s="228"/>
      <c r="M945" s="228"/>
      <c r="N945" s="228"/>
    </row>
    <row r="946">
      <c r="A946" s="228"/>
      <c r="B946" s="228"/>
      <c r="C946" s="228"/>
      <c r="D946" s="310"/>
      <c r="E946" s="311"/>
      <c r="F946" s="228"/>
      <c r="G946" s="228"/>
      <c r="H946" s="228"/>
      <c r="I946" s="228"/>
      <c r="J946" s="228"/>
      <c r="K946" s="660"/>
      <c r="L946" s="228"/>
      <c r="M946" s="228"/>
      <c r="N946" s="228"/>
    </row>
    <row r="947">
      <c r="A947" s="228"/>
      <c r="B947" s="228"/>
      <c r="C947" s="228"/>
      <c r="D947" s="310"/>
      <c r="E947" s="311"/>
      <c r="F947" s="228"/>
      <c r="G947" s="228"/>
      <c r="H947" s="228"/>
      <c r="I947" s="228"/>
      <c r="J947" s="228"/>
      <c r="K947" s="660"/>
      <c r="L947" s="228"/>
      <c r="M947" s="228"/>
      <c r="N947" s="228"/>
    </row>
    <row r="948">
      <c r="A948" s="228"/>
      <c r="B948" s="228"/>
      <c r="C948" s="228"/>
      <c r="D948" s="310"/>
      <c r="E948" s="311"/>
      <c r="F948" s="228"/>
      <c r="G948" s="228"/>
      <c r="H948" s="228"/>
      <c r="I948" s="228"/>
      <c r="J948" s="228"/>
      <c r="K948" s="660"/>
      <c r="L948" s="228"/>
      <c r="M948" s="228"/>
      <c r="N948" s="228"/>
    </row>
    <row r="949">
      <c r="A949" s="228"/>
      <c r="B949" s="228"/>
      <c r="C949" s="228"/>
      <c r="D949" s="310"/>
      <c r="E949" s="311"/>
      <c r="F949" s="228"/>
      <c r="G949" s="228"/>
      <c r="H949" s="228"/>
      <c r="I949" s="228"/>
      <c r="J949" s="228"/>
      <c r="K949" s="660"/>
      <c r="L949" s="228"/>
      <c r="M949" s="228"/>
      <c r="N949" s="228"/>
    </row>
    <row r="950">
      <c r="A950" s="228"/>
      <c r="B950" s="228"/>
      <c r="C950" s="228"/>
      <c r="D950" s="310"/>
      <c r="E950" s="311"/>
      <c r="F950" s="228"/>
      <c r="G950" s="228"/>
      <c r="H950" s="228"/>
      <c r="I950" s="228"/>
      <c r="J950" s="228"/>
      <c r="K950" s="660"/>
      <c r="L950" s="228"/>
      <c r="M950" s="228"/>
      <c r="N950" s="228"/>
    </row>
    <row r="951">
      <c r="A951" s="228"/>
      <c r="B951" s="228"/>
      <c r="C951" s="228"/>
      <c r="D951" s="310"/>
      <c r="E951" s="311"/>
      <c r="F951" s="228"/>
      <c r="G951" s="228"/>
      <c r="H951" s="228"/>
      <c r="I951" s="228"/>
      <c r="J951" s="228"/>
      <c r="K951" s="660"/>
      <c r="L951" s="228"/>
      <c r="M951" s="228"/>
      <c r="N951" s="228"/>
    </row>
    <row r="952">
      <c r="A952" s="228"/>
      <c r="B952" s="228"/>
      <c r="C952" s="228"/>
      <c r="D952" s="310"/>
      <c r="E952" s="311"/>
      <c r="F952" s="228"/>
      <c r="G952" s="228"/>
      <c r="H952" s="228"/>
      <c r="I952" s="228"/>
      <c r="J952" s="228"/>
      <c r="K952" s="660"/>
      <c r="L952" s="228"/>
      <c r="M952" s="228"/>
      <c r="N952" s="228"/>
    </row>
    <row r="953">
      <c r="A953" s="228"/>
      <c r="B953" s="228"/>
      <c r="C953" s="228"/>
      <c r="D953" s="310"/>
      <c r="E953" s="311"/>
      <c r="F953" s="228"/>
      <c r="G953" s="228"/>
      <c r="H953" s="228"/>
      <c r="I953" s="228"/>
      <c r="J953" s="228"/>
      <c r="K953" s="660"/>
      <c r="L953" s="228"/>
      <c r="M953" s="228"/>
      <c r="N953" s="228"/>
    </row>
    <row r="954">
      <c r="A954" s="228"/>
      <c r="B954" s="228"/>
      <c r="C954" s="228"/>
      <c r="D954" s="310"/>
      <c r="E954" s="311"/>
      <c r="F954" s="228"/>
      <c r="G954" s="228"/>
      <c r="H954" s="228"/>
      <c r="I954" s="228"/>
      <c r="J954" s="228"/>
      <c r="K954" s="660"/>
      <c r="L954" s="228"/>
      <c r="M954" s="228"/>
      <c r="N954" s="228"/>
    </row>
    <row r="955">
      <c r="A955" s="228"/>
      <c r="B955" s="228"/>
      <c r="C955" s="228"/>
      <c r="D955" s="310"/>
      <c r="E955" s="311"/>
      <c r="F955" s="228"/>
      <c r="G955" s="228"/>
      <c r="H955" s="228"/>
      <c r="I955" s="228"/>
      <c r="J955" s="228"/>
      <c r="K955" s="660"/>
      <c r="L955" s="228"/>
      <c r="M955" s="228"/>
      <c r="N955" s="228"/>
    </row>
    <row r="956">
      <c r="A956" s="228"/>
      <c r="B956" s="228"/>
      <c r="C956" s="228"/>
      <c r="D956" s="310"/>
      <c r="E956" s="311"/>
      <c r="F956" s="228"/>
      <c r="G956" s="228"/>
      <c r="H956" s="228"/>
      <c r="I956" s="228"/>
      <c r="J956" s="228"/>
      <c r="K956" s="660"/>
      <c r="L956" s="228"/>
      <c r="M956" s="228"/>
      <c r="N956" s="228"/>
    </row>
    <row r="957">
      <c r="A957" s="228"/>
      <c r="B957" s="228"/>
      <c r="C957" s="228"/>
      <c r="D957" s="310"/>
      <c r="E957" s="311"/>
      <c r="F957" s="228"/>
      <c r="G957" s="228"/>
      <c r="H957" s="228"/>
      <c r="I957" s="228"/>
      <c r="J957" s="228"/>
      <c r="K957" s="660"/>
      <c r="L957" s="228"/>
      <c r="M957" s="228"/>
      <c r="N957" s="228"/>
    </row>
    <row r="958">
      <c r="A958" s="228"/>
      <c r="B958" s="228"/>
      <c r="C958" s="228"/>
      <c r="D958" s="310"/>
      <c r="E958" s="311"/>
      <c r="F958" s="228"/>
      <c r="G958" s="228"/>
      <c r="H958" s="228"/>
      <c r="I958" s="228"/>
      <c r="J958" s="228"/>
      <c r="K958" s="660"/>
      <c r="L958" s="228"/>
      <c r="M958" s="228"/>
      <c r="N958" s="228"/>
    </row>
    <row r="959">
      <c r="A959" s="228"/>
      <c r="B959" s="228"/>
      <c r="C959" s="228"/>
      <c r="D959" s="310"/>
      <c r="E959" s="311"/>
      <c r="F959" s="228"/>
      <c r="G959" s="228"/>
      <c r="H959" s="228"/>
      <c r="I959" s="228"/>
      <c r="J959" s="228"/>
      <c r="K959" s="660"/>
      <c r="L959" s="228"/>
      <c r="M959" s="228"/>
      <c r="N959" s="228"/>
    </row>
    <row r="960">
      <c r="A960" s="228"/>
      <c r="B960" s="228"/>
      <c r="C960" s="228"/>
      <c r="D960" s="310"/>
      <c r="E960" s="311"/>
      <c r="F960" s="228"/>
      <c r="G960" s="228"/>
      <c r="H960" s="228"/>
      <c r="I960" s="228"/>
      <c r="J960" s="228"/>
      <c r="K960" s="660"/>
      <c r="L960" s="228"/>
      <c r="M960" s="228"/>
      <c r="N960" s="228"/>
    </row>
    <row r="961">
      <c r="A961" s="228"/>
      <c r="B961" s="228"/>
      <c r="C961" s="228"/>
      <c r="D961" s="310"/>
      <c r="E961" s="311"/>
      <c r="F961" s="228"/>
      <c r="G961" s="228"/>
      <c r="H961" s="228"/>
      <c r="I961" s="228"/>
      <c r="J961" s="228"/>
      <c r="K961" s="660"/>
      <c r="L961" s="228"/>
      <c r="M961" s="228"/>
      <c r="N961" s="228"/>
    </row>
    <row r="962">
      <c r="A962" s="228"/>
      <c r="B962" s="228"/>
      <c r="C962" s="228"/>
      <c r="D962" s="310"/>
      <c r="E962" s="311"/>
      <c r="F962" s="228"/>
      <c r="G962" s="228"/>
      <c r="H962" s="228"/>
      <c r="I962" s="228"/>
      <c r="J962" s="228"/>
      <c r="K962" s="660"/>
      <c r="L962" s="228"/>
      <c r="M962" s="228"/>
      <c r="N962" s="228"/>
    </row>
    <row r="963">
      <c r="A963" s="228"/>
      <c r="B963" s="228"/>
      <c r="C963" s="228"/>
      <c r="D963" s="310"/>
      <c r="E963" s="311"/>
      <c r="F963" s="228"/>
      <c r="G963" s="228"/>
      <c r="H963" s="228"/>
      <c r="I963" s="228"/>
      <c r="J963" s="228"/>
      <c r="K963" s="660"/>
      <c r="L963" s="228"/>
      <c r="M963" s="228"/>
      <c r="N963" s="228"/>
    </row>
    <row r="964">
      <c r="A964" s="228"/>
      <c r="B964" s="228"/>
      <c r="C964" s="228"/>
      <c r="D964" s="310"/>
      <c r="E964" s="311"/>
      <c r="F964" s="228"/>
      <c r="G964" s="228"/>
      <c r="H964" s="228"/>
      <c r="I964" s="228"/>
      <c r="J964" s="228"/>
      <c r="K964" s="660"/>
      <c r="L964" s="228"/>
      <c r="M964" s="228"/>
      <c r="N964" s="228"/>
    </row>
    <row r="965">
      <c r="A965" s="228"/>
      <c r="B965" s="228"/>
      <c r="C965" s="228"/>
      <c r="D965" s="310"/>
      <c r="E965" s="311"/>
      <c r="F965" s="228"/>
      <c r="G965" s="228"/>
      <c r="H965" s="228"/>
      <c r="I965" s="228"/>
      <c r="J965" s="228"/>
      <c r="K965" s="660"/>
      <c r="L965" s="228"/>
      <c r="M965" s="228"/>
      <c r="N965" s="228"/>
    </row>
    <row r="966">
      <c r="A966" s="228"/>
      <c r="B966" s="228"/>
      <c r="C966" s="228"/>
      <c r="D966" s="228"/>
      <c r="E966" s="228"/>
      <c r="F966" s="228"/>
      <c r="G966" s="228"/>
      <c r="H966" s="228"/>
      <c r="I966" s="228"/>
      <c r="J966" s="228"/>
      <c r="K966" s="660"/>
      <c r="L966" s="228"/>
      <c r="M966" s="228"/>
      <c r="N966" s="228"/>
    </row>
    <row r="967">
      <c r="A967" s="228"/>
      <c r="B967" s="228"/>
      <c r="C967" s="228"/>
      <c r="D967" s="228"/>
      <c r="E967" s="228"/>
      <c r="F967" s="228"/>
      <c r="G967" s="228"/>
      <c r="H967" s="228"/>
      <c r="I967" s="228"/>
      <c r="J967" s="228"/>
      <c r="K967" s="660"/>
      <c r="L967" s="228"/>
      <c r="M967" s="228"/>
      <c r="N967" s="228"/>
    </row>
    <row r="968">
      <c r="A968" s="228"/>
      <c r="B968" s="228"/>
      <c r="C968" s="228"/>
      <c r="D968" s="228"/>
      <c r="E968" s="228"/>
      <c r="F968" s="228"/>
      <c r="G968" s="228"/>
      <c r="H968" s="228"/>
      <c r="I968" s="228"/>
      <c r="J968" s="228"/>
      <c r="K968" s="660"/>
      <c r="L968" s="228"/>
      <c r="M968" s="228"/>
      <c r="N968" s="228"/>
    </row>
    <row r="969">
      <c r="A969" s="228"/>
      <c r="B969" s="228"/>
      <c r="C969" s="228"/>
      <c r="D969" s="228"/>
      <c r="E969" s="228"/>
      <c r="F969" s="228"/>
      <c r="G969" s="228"/>
      <c r="H969" s="228"/>
      <c r="I969" s="228"/>
      <c r="J969" s="228"/>
      <c r="K969" s="660"/>
      <c r="L969" s="228"/>
      <c r="M969" s="228"/>
      <c r="N969" s="228"/>
    </row>
    <row r="970">
      <c r="A970" s="228"/>
      <c r="B970" s="228"/>
      <c r="C970" s="228"/>
      <c r="D970" s="228"/>
      <c r="E970" s="228"/>
      <c r="F970" s="228"/>
      <c r="G970" s="228"/>
      <c r="H970" s="228"/>
      <c r="I970" s="228"/>
      <c r="J970" s="228"/>
      <c r="K970" s="660"/>
      <c r="L970" s="228"/>
      <c r="M970" s="228"/>
      <c r="N970" s="228"/>
    </row>
    <row r="971">
      <c r="A971" s="228"/>
      <c r="B971" s="228"/>
      <c r="C971" s="228"/>
      <c r="D971" s="228"/>
      <c r="E971" s="228"/>
      <c r="F971" s="228"/>
      <c r="G971" s="228"/>
      <c r="H971" s="228"/>
      <c r="I971" s="228"/>
      <c r="J971" s="228"/>
      <c r="K971" s="660"/>
      <c r="L971" s="228"/>
      <c r="M971" s="228"/>
      <c r="N971" s="228"/>
    </row>
    <row r="972">
      <c r="A972" s="228"/>
      <c r="B972" s="228"/>
      <c r="C972" s="228"/>
      <c r="D972" s="228"/>
      <c r="E972" s="228"/>
      <c r="F972" s="228"/>
      <c r="G972" s="228"/>
      <c r="H972" s="228"/>
      <c r="I972" s="228"/>
      <c r="J972" s="228"/>
      <c r="K972" s="660"/>
      <c r="L972" s="228"/>
      <c r="M972" s="228"/>
      <c r="N972" s="228"/>
    </row>
    <row r="973">
      <c r="A973" s="228"/>
      <c r="B973" s="228"/>
      <c r="C973" s="228"/>
      <c r="D973" s="228"/>
      <c r="E973" s="228"/>
      <c r="F973" s="228"/>
      <c r="G973" s="228"/>
      <c r="H973" s="228"/>
      <c r="I973" s="228"/>
      <c r="J973" s="228"/>
      <c r="K973" s="660"/>
      <c r="L973" s="228"/>
      <c r="M973" s="228"/>
      <c r="N973" s="228"/>
    </row>
    <row r="974">
      <c r="A974" s="228"/>
      <c r="B974" s="228"/>
      <c r="C974" s="228"/>
      <c r="D974" s="228"/>
      <c r="E974" s="228"/>
      <c r="F974" s="228"/>
      <c r="G974" s="228"/>
      <c r="H974" s="228"/>
      <c r="I974" s="228"/>
      <c r="J974" s="228"/>
      <c r="K974" s="660"/>
      <c r="L974" s="228"/>
      <c r="M974" s="228"/>
      <c r="N974" s="228"/>
    </row>
    <row r="975">
      <c r="A975" s="228"/>
      <c r="B975" s="228"/>
      <c r="C975" s="228"/>
      <c r="D975" s="228"/>
      <c r="E975" s="228"/>
      <c r="F975" s="228"/>
      <c r="G975" s="228"/>
      <c r="H975" s="228"/>
      <c r="I975" s="228"/>
      <c r="J975" s="228"/>
      <c r="K975" s="660"/>
      <c r="L975" s="228"/>
      <c r="M975" s="228"/>
      <c r="N975" s="228"/>
    </row>
    <row r="976">
      <c r="A976" s="228"/>
      <c r="B976" s="228"/>
      <c r="C976" s="228"/>
      <c r="D976" s="228"/>
      <c r="E976" s="228"/>
      <c r="F976" s="228"/>
      <c r="G976" s="228"/>
      <c r="H976" s="228"/>
      <c r="I976" s="228"/>
      <c r="J976" s="228"/>
      <c r="K976" s="660"/>
      <c r="L976" s="228"/>
      <c r="M976" s="228"/>
      <c r="N976" s="228"/>
    </row>
    <row r="977">
      <c r="A977" s="228"/>
      <c r="B977" s="228"/>
      <c r="C977" s="228"/>
      <c r="D977" s="228"/>
      <c r="E977" s="228"/>
      <c r="F977" s="228"/>
      <c r="G977" s="228"/>
      <c r="H977" s="228"/>
      <c r="I977" s="228"/>
      <c r="J977" s="228"/>
      <c r="K977" s="660"/>
      <c r="L977" s="228"/>
      <c r="M977" s="228"/>
      <c r="N977" s="228"/>
    </row>
    <row r="978">
      <c r="A978" s="228"/>
      <c r="B978" s="228"/>
      <c r="C978" s="228"/>
      <c r="D978" s="228"/>
      <c r="E978" s="228"/>
      <c r="F978" s="228"/>
      <c r="G978" s="228"/>
      <c r="H978" s="228"/>
      <c r="I978" s="228"/>
      <c r="J978" s="228"/>
      <c r="K978" s="660"/>
      <c r="L978" s="228"/>
      <c r="M978" s="228"/>
      <c r="N978" s="228"/>
    </row>
    <row r="979">
      <c r="A979" s="228"/>
      <c r="B979" s="228"/>
      <c r="C979" s="228"/>
      <c r="D979" s="228"/>
      <c r="E979" s="228"/>
      <c r="F979" s="228"/>
      <c r="G979" s="228"/>
      <c r="H979" s="228"/>
      <c r="I979" s="228"/>
      <c r="J979" s="228"/>
      <c r="K979" s="660"/>
      <c r="L979" s="228"/>
      <c r="M979" s="228"/>
      <c r="N979" s="228"/>
    </row>
    <row r="980">
      <c r="A980" s="228"/>
      <c r="B980" s="228"/>
      <c r="C980" s="228"/>
      <c r="D980" s="228"/>
      <c r="E980" s="228"/>
      <c r="F980" s="228"/>
      <c r="G980" s="228"/>
      <c r="H980" s="228"/>
      <c r="I980" s="228"/>
      <c r="J980" s="228"/>
      <c r="K980" s="660"/>
      <c r="L980" s="228"/>
      <c r="M980" s="228"/>
      <c r="N980" s="228"/>
    </row>
    <row r="981">
      <c r="A981" s="228"/>
      <c r="B981" s="228"/>
      <c r="C981" s="228"/>
      <c r="D981" s="228"/>
      <c r="E981" s="228"/>
      <c r="F981" s="228"/>
      <c r="G981" s="228"/>
      <c r="H981" s="228"/>
      <c r="I981" s="228"/>
      <c r="J981" s="228"/>
      <c r="K981" s="660"/>
      <c r="L981" s="228"/>
      <c r="M981" s="228"/>
      <c r="N981" s="228"/>
    </row>
    <row r="982">
      <c r="A982" s="228"/>
      <c r="B982" s="228"/>
      <c r="C982" s="228"/>
      <c r="D982" s="228"/>
      <c r="E982" s="228"/>
      <c r="F982" s="228"/>
      <c r="G982" s="228"/>
      <c r="H982" s="228"/>
      <c r="I982" s="228"/>
      <c r="J982" s="228"/>
      <c r="K982" s="660"/>
      <c r="L982" s="228"/>
      <c r="M982" s="228"/>
      <c r="N982" s="228"/>
    </row>
    <row r="983">
      <c r="A983" s="228"/>
      <c r="B983" s="228"/>
      <c r="C983" s="228"/>
      <c r="D983" s="228"/>
      <c r="E983" s="228"/>
      <c r="F983" s="228"/>
      <c r="G983" s="228"/>
      <c r="H983" s="228"/>
      <c r="I983" s="228"/>
      <c r="J983" s="228"/>
      <c r="K983" s="660"/>
      <c r="L983" s="228"/>
      <c r="M983" s="228"/>
      <c r="N983" s="228"/>
    </row>
    <row r="984">
      <c r="A984" s="228"/>
      <c r="B984" s="228"/>
      <c r="C984" s="228"/>
      <c r="D984" s="228"/>
      <c r="E984" s="228"/>
      <c r="F984" s="228"/>
      <c r="G984" s="228"/>
      <c r="H984" s="228"/>
      <c r="I984" s="228"/>
      <c r="J984" s="228"/>
      <c r="K984" s="660"/>
      <c r="L984" s="228"/>
      <c r="M984" s="228"/>
      <c r="N984" s="228"/>
    </row>
    <row r="985">
      <c r="A985" s="228"/>
      <c r="B985" s="228"/>
      <c r="C985" s="228"/>
      <c r="D985" s="228"/>
      <c r="E985" s="228"/>
      <c r="F985" s="228"/>
      <c r="G985" s="228"/>
      <c r="H985" s="228"/>
      <c r="I985" s="228"/>
      <c r="J985" s="228"/>
      <c r="K985" s="660"/>
      <c r="L985" s="228"/>
      <c r="M985" s="228"/>
      <c r="N985" s="228"/>
    </row>
    <row r="986">
      <c r="A986" s="228"/>
      <c r="B986" s="228"/>
      <c r="C986" s="228"/>
      <c r="D986" s="228"/>
      <c r="E986" s="228"/>
      <c r="F986" s="228"/>
      <c r="G986" s="228"/>
      <c r="H986" s="228"/>
      <c r="I986" s="228"/>
      <c r="J986" s="228"/>
      <c r="K986" s="660"/>
      <c r="L986" s="228"/>
      <c r="M986" s="228"/>
      <c r="N986" s="228"/>
    </row>
    <row r="987">
      <c r="A987" s="228"/>
      <c r="B987" s="228"/>
      <c r="C987" s="228"/>
      <c r="D987" s="228"/>
      <c r="E987" s="228"/>
      <c r="F987" s="228"/>
      <c r="G987" s="228"/>
      <c r="H987" s="228"/>
      <c r="I987" s="228"/>
      <c r="J987" s="228"/>
      <c r="K987" s="660"/>
      <c r="L987" s="228"/>
      <c r="M987" s="228"/>
      <c r="N987" s="228"/>
    </row>
    <row r="988">
      <c r="A988" s="228"/>
      <c r="B988" s="228"/>
      <c r="C988" s="228"/>
      <c r="D988" s="228"/>
      <c r="E988" s="228"/>
      <c r="F988" s="228"/>
      <c r="G988" s="228"/>
      <c r="H988" s="228"/>
      <c r="I988" s="228"/>
      <c r="J988" s="228"/>
      <c r="K988" s="660"/>
      <c r="L988" s="228"/>
      <c r="M988" s="228"/>
      <c r="N988" s="228"/>
    </row>
    <row r="989">
      <c r="A989" s="228"/>
      <c r="B989" s="228"/>
      <c r="C989" s="228"/>
      <c r="D989" s="228"/>
      <c r="E989" s="228"/>
      <c r="F989" s="228"/>
      <c r="G989" s="228"/>
      <c r="H989" s="228"/>
      <c r="I989" s="228"/>
      <c r="J989" s="228"/>
      <c r="K989" s="660"/>
      <c r="L989" s="228"/>
      <c r="M989" s="228"/>
      <c r="N989" s="228"/>
    </row>
    <row r="990">
      <c r="A990" s="228"/>
      <c r="B990" s="228"/>
      <c r="C990" s="228"/>
      <c r="D990" s="228"/>
      <c r="E990" s="228"/>
      <c r="F990" s="228"/>
      <c r="G990" s="228"/>
      <c r="H990" s="228"/>
      <c r="I990" s="228"/>
      <c r="J990" s="228"/>
      <c r="K990" s="660"/>
      <c r="L990" s="228"/>
      <c r="M990" s="228"/>
      <c r="N990" s="228"/>
    </row>
    <row r="991">
      <c r="A991" s="228"/>
      <c r="B991" s="228"/>
      <c r="C991" s="228"/>
      <c r="D991" s="228"/>
      <c r="E991" s="228"/>
      <c r="F991" s="228"/>
      <c r="G991" s="228"/>
      <c r="H991" s="228"/>
      <c r="I991" s="228"/>
      <c r="J991" s="228"/>
      <c r="K991" s="660"/>
      <c r="L991" s="228"/>
      <c r="M991" s="228"/>
      <c r="N991" s="228"/>
    </row>
    <row r="992">
      <c r="A992" s="228"/>
      <c r="B992" s="228"/>
      <c r="C992" s="228"/>
      <c r="D992" s="228"/>
      <c r="E992" s="228"/>
      <c r="F992" s="228"/>
      <c r="G992" s="228"/>
      <c r="H992" s="228"/>
      <c r="I992" s="228"/>
      <c r="J992" s="228"/>
      <c r="K992" s="660"/>
      <c r="L992" s="228"/>
      <c r="M992" s="228"/>
      <c r="N992" s="228"/>
    </row>
    <row r="993">
      <c r="A993" s="228"/>
      <c r="B993" s="228"/>
      <c r="C993" s="228"/>
      <c r="D993" s="228"/>
      <c r="E993" s="228"/>
      <c r="F993" s="228"/>
      <c r="G993" s="228"/>
      <c r="H993" s="228"/>
      <c r="I993" s="228"/>
      <c r="J993" s="228"/>
      <c r="K993" s="660"/>
      <c r="L993" s="228"/>
      <c r="M993" s="228"/>
      <c r="N993" s="228"/>
    </row>
    <row r="994">
      <c r="A994" s="228"/>
      <c r="B994" s="228"/>
      <c r="C994" s="228"/>
      <c r="D994" s="228"/>
      <c r="E994" s="228"/>
      <c r="F994" s="228"/>
      <c r="G994" s="228"/>
      <c r="H994" s="228"/>
      <c r="I994" s="228"/>
      <c r="J994" s="228"/>
      <c r="K994" s="660"/>
      <c r="L994" s="228"/>
      <c r="M994" s="228"/>
      <c r="N994" s="228"/>
    </row>
    <row r="995">
      <c r="A995" s="228"/>
      <c r="B995" s="228"/>
      <c r="C995" s="228"/>
      <c r="D995" s="228"/>
      <c r="E995" s="228"/>
      <c r="F995" s="228"/>
      <c r="G995" s="228"/>
      <c r="H995" s="228"/>
      <c r="I995" s="228"/>
      <c r="J995" s="228"/>
      <c r="K995" s="660"/>
      <c r="L995" s="228"/>
      <c r="M995" s="228"/>
      <c r="N995" s="228"/>
    </row>
    <row r="996">
      <c r="A996" s="228"/>
      <c r="B996" s="228"/>
      <c r="C996" s="228"/>
      <c r="D996" s="228"/>
      <c r="E996" s="228"/>
      <c r="F996" s="228"/>
      <c r="G996" s="228"/>
      <c r="H996" s="228"/>
      <c r="I996" s="228"/>
      <c r="J996" s="228"/>
      <c r="K996" s="660"/>
      <c r="L996" s="228"/>
      <c r="M996" s="228"/>
      <c r="N996" s="228"/>
    </row>
    <row r="997">
      <c r="A997" s="228"/>
      <c r="B997" s="228"/>
      <c r="C997" s="228"/>
      <c r="D997" s="228"/>
      <c r="E997" s="228"/>
      <c r="F997" s="228"/>
      <c r="G997" s="228"/>
      <c r="H997" s="228"/>
      <c r="I997" s="228"/>
      <c r="J997" s="228"/>
      <c r="K997" s="660"/>
      <c r="L997" s="228"/>
      <c r="M997" s="228"/>
      <c r="N997" s="228"/>
    </row>
    <row r="998">
      <c r="A998" s="228"/>
      <c r="B998" s="228"/>
      <c r="C998" s="228"/>
      <c r="D998" s="228"/>
      <c r="E998" s="228"/>
      <c r="F998" s="228"/>
      <c r="G998" s="228"/>
      <c r="H998" s="228"/>
      <c r="I998" s="228"/>
      <c r="J998" s="228"/>
      <c r="K998" s="660"/>
      <c r="L998" s="228"/>
      <c r="M998" s="228"/>
      <c r="N998" s="228"/>
    </row>
    <row r="999">
      <c r="A999" s="228"/>
      <c r="B999" s="228"/>
      <c r="C999" s="228"/>
      <c r="D999" s="228"/>
      <c r="E999" s="228"/>
      <c r="F999" s="228"/>
      <c r="G999" s="228"/>
      <c r="H999" s="228"/>
      <c r="I999" s="228"/>
      <c r="J999" s="228"/>
      <c r="K999" s="660"/>
      <c r="L999" s="228"/>
      <c r="M999" s="228"/>
      <c r="N999" s="228"/>
    </row>
    <row r="1000">
      <c r="A1000" s="228"/>
      <c r="B1000" s="228"/>
      <c r="C1000" s="228"/>
      <c r="D1000" s="228"/>
      <c r="E1000" s="228"/>
      <c r="F1000" s="228"/>
      <c r="G1000" s="228"/>
      <c r="H1000" s="228"/>
      <c r="I1000" s="228"/>
      <c r="J1000" s="228"/>
      <c r="K1000" s="660"/>
      <c r="L1000" s="228"/>
      <c r="M1000" s="228"/>
      <c r="N1000" s="228"/>
    </row>
    <row r="1001">
      <c r="A1001" s="228"/>
      <c r="B1001" s="228"/>
      <c r="C1001" s="228"/>
      <c r="D1001" s="228"/>
      <c r="E1001" s="228"/>
      <c r="F1001" s="228"/>
      <c r="G1001" s="228"/>
      <c r="H1001" s="228"/>
      <c r="I1001" s="228"/>
      <c r="J1001" s="228"/>
      <c r="K1001" s="660"/>
      <c r="L1001" s="228"/>
      <c r="M1001" s="228"/>
      <c r="N1001" s="228"/>
    </row>
    <row r="1002">
      <c r="A1002" s="228"/>
      <c r="B1002" s="228"/>
      <c r="C1002" s="228"/>
      <c r="D1002" s="228"/>
      <c r="E1002" s="228"/>
      <c r="F1002" s="228"/>
      <c r="G1002" s="228"/>
      <c r="H1002" s="228"/>
      <c r="I1002" s="228"/>
      <c r="J1002" s="228"/>
      <c r="K1002" s="660"/>
      <c r="L1002" s="228"/>
      <c r="M1002" s="228"/>
      <c r="N1002" s="228"/>
    </row>
    <row r="1003">
      <c r="A1003" s="228"/>
      <c r="B1003" s="228"/>
      <c r="C1003" s="228"/>
      <c r="D1003" s="228"/>
      <c r="E1003" s="228"/>
      <c r="F1003" s="228"/>
      <c r="G1003" s="228"/>
      <c r="H1003" s="228"/>
      <c r="I1003" s="228"/>
      <c r="J1003" s="228"/>
      <c r="K1003" s="660"/>
      <c r="L1003" s="228"/>
      <c r="M1003" s="228"/>
      <c r="N1003" s="228"/>
    </row>
    <row r="1004">
      <c r="A1004" s="228"/>
      <c r="B1004" s="228"/>
      <c r="C1004" s="228"/>
      <c r="D1004" s="228"/>
      <c r="E1004" s="228"/>
      <c r="F1004" s="228"/>
      <c r="G1004" s="228"/>
      <c r="H1004" s="228"/>
      <c r="I1004" s="228"/>
      <c r="J1004" s="228"/>
      <c r="K1004" s="660"/>
      <c r="L1004" s="228"/>
      <c r="M1004" s="228"/>
      <c r="N1004" s="228"/>
    </row>
    <row r="1005">
      <c r="A1005" s="228"/>
      <c r="B1005" s="228"/>
      <c r="C1005" s="228"/>
      <c r="D1005" s="228"/>
      <c r="E1005" s="228"/>
      <c r="F1005" s="228"/>
      <c r="G1005" s="228"/>
      <c r="H1005" s="228"/>
      <c r="I1005" s="228"/>
      <c r="J1005" s="228"/>
      <c r="K1005" s="660"/>
      <c r="L1005" s="228"/>
      <c r="M1005" s="228"/>
      <c r="N1005" s="228"/>
    </row>
    <row r="1006">
      <c r="A1006" s="228"/>
      <c r="B1006" s="228"/>
      <c r="C1006" s="228"/>
      <c r="D1006" s="228"/>
      <c r="E1006" s="228"/>
      <c r="F1006" s="228"/>
      <c r="G1006" s="228"/>
      <c r="H1006" s="228"/>
      <c r="I1006" s="228"/>
      <c r="J1006" s="228"/>
      <c r="K1006" s="660"/>
      <c r="L1006" s="228"/>
      <c r="M1006" s="228"/>
      <c r="N1006" s="228"/>
    </row>
    <row r="1007">
      <c r="A1007" s="228"/>
      <c r="B1007" s="228"/>
      <c r="C1007" s="228"/>
      <c r="D1007" s="228"/>
      <c r="E1007" s="228"/>
      <c r="F1007" s="228"/>
      <c r="G1007" s="228"/>
      <c r="H1007" s="228"/>
      <c r="I1007" s="228"/>
      <c r="J1007" s="228"/>
      <c r="K1007" s="660"/>
      <c r="L1007" s="228"/>
      <c r="M1007" s="228"/>
      <c r="N1007" s="228"/>
    </row>
    <row r="1008">
      <c r="A1008" s="228"/>
      <c r="B1008" s="228"/>
      <c r="C1008" s="228"/>
      <c r="D1008" s="228"/>
      <c r="E1008" s="228"/>
      <c r="F1008" s="228"/>
      <c r="G1008" s="228"/>
      <c r="H1008" s="228"/>
      <c r="I1008" s="228"/>
      <c r="J1008" s="228"/>
      <c r="K1008" s="660"/>
      <c r="L1008" s="228"/>
      <c r="M1008" s="228"/>
      <c r="N1008" s="228"/>
    </row>
    <row r="1009">
      <c r="A1009" s="228"/>
      <c r="B1009" s="228"/>
      <c r="C1009" s="228"/>
      <c r="D1009" s="228"/>
      <c r="E1009" s="228"/>
      <c r="F1009" s="228"/>
      <c r="G1009" s="228"/>
      <c r="H1009" s="228"/>
      <c r="I1009" s="228"/>
      <c r="J1009" s="228"/>
      <c r="K1009" s="660"/>
      <c r="L1009" s="228"/>
      <c r="M1009" s="228"/>
      <c r="N1009" s="228"/>
    </row>
    <row r="1010">
      <c r="A1010" s="228"/>
      <c r="B1010" s="228"/>
      <c r="C1010" s="228"/>
      <c r="D1010" s="228"/>
      <c r="E1010" s="228"/>
      <c r="F1010" s="228"/>
      <c r="G1010" s="228"/>
      <c r="H1010" s="228"/>
      <c r="I1010" s="228"/>
      <c r="J1010" s="228"/>
      <c r="K1010" s="660"/>
      <c r="L1010" s="228"/>
      <c r="M1010" s="228"/>
      <c r="N1010" s="228"/>
    </row>
    <row r="1011">
      <c r="A1011" s="228"/>
      <c r="B1011" s="228"/>
      <c r="C1011" s="228"/>
      <c r="D1011" s="228"/>
      <c r="E1011" s="228"/>
      <c r="F1011" s="228"/>
      <c r="G1011" s="228"/>
      <c r="H1011" s="228"/>
      <c r="I1011" s="228"/>
      <c r="J1011" s="228"/>
      <c r="K1011" s="660"/>
      <c r="L1011" s="228"/>
      <c r="M1011" s="228"/>
      <c r="N1011" s="228"/>
    </row>
    <row r="1012">
      <c r="A1012" s="228"/>
      <c r="B1012" s="228"/>
      <c r="C1012" s="228"/>
      <c r="D1012" s="228"/>
      <c r="E1012" s="228"/>
      <c r="F1012" s="228"/>
      <c r="G1012" s="228"/>
      <c r="H1012" s="228"/>
      <c r="I1012" s="228"/>
      <c r="J1012" s="228"/>
      <c r="K1012" s="660"/>
      <c r="L1012" s="228"/>
      <c r="M1012" s="228"/>
      <c r="N1012" s="228"/>
    </row>
    <row r="1013">
      <c r="A1013" s="228"/>
      <c r="B1013" s="228"/>
      <c r="C1013" s="228"/>
      <c r="D1013" s="228"/>
      <c r="E1013" s="228"/>
      <c r="F1013" s="228"/>
      <c r="G1013" s="228"/>
      <c r="H1013" s="228"/>
      <c r="I1013" s="228"/>
      <c r="J1013" s="228"/>
      <c r="K1013" s="660"/>
      <c r="L1013" s="228"/>
      <c r="M1013" s="228"/>
      <c r="N1013" s="228"/>
    </row>
    <row r="1014">
      <c r="A1014" s="228"/>
      <c r="B1014" s="228"/>
      <c r="C1014" s="228"/>
      <c r="D1014" s="228"/>
      <c r="E1014" s="228"/>
      <c r="F1014" s="228"/>
      <c r="G1014" s="228"/>
      <c r="H1014" s="228"/>
      <c r="I1014" s="228"/>
      <c r="J1014" s="228"/>
      <c r="K1014" s="660"/>
      <c r="L1014" s="228"/>
      <c r="M1014" s="228"/>
      <c r="N1014" s="228"/>
    </row>
    <row r="1015">
      <c r="A1015" s="228"/>
      <c r="B1015" s="228"/>
      <c r="C1015" s="228"/>
      <c r="D1015" s="228"/>
      <c r="E1015" s="228"/>
      <c r="F1015" s="228"/>
      <c r="G1015" s="228"/>
      <c r="H1015" s="228"/>
      <c r="I1015" s="228"/>
      <c r="J1015" s="228"/>
      <c r="K1015" s="660"/>
      <c r="L1015" s="228"/>
      <c r="M1015" s="228"/>
      <c r="N1015" s="228"/>
    </row>
    <row r="1016">
      <c r="A1016" s="228"/>
      <c r="B1016" s="228"/>
      <c r="C1016" s="228"/>
      <c r="D1016" s="228"/>
      <c r="E1016" s="228"/>
      <c r="F1016" s="228"/>
      <c r="G1016" s="228"/>
      <c r="H1016" s="228"/>
      <c r="I1016" s="228"/>
      <c r="J1016" s="228"/>
      <c r="K1016" s="660"/>
      <c r="L1016" s="228"/>
      <c r="M1016" s="228"/>
      <c r="N1016" s="228"/>
    </row>
    <row r="1017">
      <c r="A1017" s="228"/>
      <c r="B1017" s="228"/>
      <c r="C1017" s="228"/>
      <c r="D1017" s="228"/>
      <c r="E1017" s="228"/>
      <c r="F1017" s="228"/>
      <c r="G1017" s="228"/>
      <c r="H1017" s="228"/>
      <c r="I1017" s="228"/>
      <c r="J1017" s="228"/>
      <c r="K1017" s="660"/>
      <c r="L1017" s="228"/>
      <c r="M1017" s="228"/>
      <c r="N1017" s="228"/>
    </row>
  </sheetData>
  <autoFilter ref="$A$1:$N$1017"/>
  <conditionalFormatting sqref="K1:K1017 A2:J1017 L2:N1017">
    <cfRule type="expression" dxfId="5" priority="1">
      <formula>$L1=0</formula>
    </cfRule>
  </conditionalFormatting>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1" t="s">
        <v>436</v>
      </c>
    </row>
    <row r="2">
      <c r="A2" s="713" t="s">
        <v>851</v>
      </c>
    </row>
    <row r="3">
      <c r="A3" s="251" t="s">
        <v>791</v>
      </c>
    </row>
    <row r="4">
      <c r="A4" s="251" t="s">
        <v>407</v>
      </c>
    </row>
    <row r="5">
      <c r="A5" s="251" t="s">
        <v>928</v>
      </c>
    </row>
    <row r="6">
      <c r="A6" s="251" t="s">
        <v>246</v>
      </c>
    </row>
    <row r="7">
      <c r="A7" s="251" t="s">
        <v>564</v>
      </c>
    </row>
    <row r="8">
      <c r="A8" s="251" t="s">
        <v>264</v>
      </c>
    </row>
    <row r="9">
      <c r="A9" s="251" t="s">
        <v>411</v>
      </c>
    </row>
    <row r="10">
      <c r="A10" s="251" t="s">
        <v>690</v>
      </c>
    </row>
    <row r="11">
      <c r="A11" s="251" t="s">
        <v>917</v>
      </c>
    </row>
    <row r="12">
      <c r="A12" s="251" t="s">
        <v>282</v>
      </c>
    </row>
    <row r="13">
      <c r="A13" s="251" t="s">
        <v>481</v>
      </c>
    </row>
    <row r="14">
      <c r="A14" s="251" t="s">
        <v>45</v>
      </c>
    </row>
    <row r="15">
      <c r="A15" s="251" t="s">
        <v>48</v>
      </c>
    </row>
    <row r="16">
      <c r="A16" s="251" t="s">
        <v>444</v>
      </c>
    </row>
    <row r="17">
      <c r="A17" s="251" t="s">
        <v>383</v>
      </c>
    </row>
    <row r="18">
      <c r="A18" s="251" t="s">
        <v>467</v>
      </c>
    </row>
    <row r="19">
      <c r="A19" s="713" t="s">
        <v>848</v>
      </c>
    </row>
    <row r="20">
      <c r="A20" s="251" t="s">
        <v>503</v>
      </c>
    </row>
    <row r="21">
      <c r="A21" s="251" t="s">
        <v>806</v>
      </c>
    </row>
    <row r="22">
      <c r="A22" s="251" t="s">
        <v>594</v>
      </c>
    </row>
    <row r="23">
      <c r="A23" s="251" t="s">
        <v>63</v>
      </c>
    </row>
    <row r="24">
      <c r="A24" s="251" t="s">
        <v>63</v>
      </c>
    </row>
    <row r="25">
      <c r="A25" s="251" t="s">
        <v>744</v>
      </c>
    </row>
    <row r="26">
      <c r="A26" s="251" t="s">
        <v>764</v>
      </c>
    </row>
    <row r="27">
      <c r="A27" s="251" t="s">
        <v>591</v>
      </c>
    </row>
    <row r="28">
      <c r="A28" s="251" t="s">
        <v>468</v>
      </c>
    </row>
    <row r="29">
      <c r="A29" s="251" t="s">
        <v>797</v>
      </c>
    </row>
    <row r="30">
      <c r="A30" s="251" t="s">
        <v>555</v>
      </c>
    </row>
    <row r="31">
      <c r="A31" s="251" t="s">
        <v>392</v>
      </c>
    </row>
    <row r="32">
      <c r="A32" s="251" t="s">
        <v>696</v>
      </c>
    </row>
    <row r="33">
      <c r="A33" s="251" t="s">
        <v>699</v>
      </c>
    </row>
    <row r="34">
      <c r="A34" s="251" t="s">
        <v>576</v>
      </c>
    </row>
    <row r="35">
      <c r="A35" s="251" t="s">
        <v>546</v>
      </c>
    </row>
    <row r="36">
      <c r="A36" s="251" t="s">
        <v>924</v>
      </c>
    </row>
    <row r="37">
      <c r="A37" s="251" t="s">
        <v>629</v>
      </c>
    </row>
    <row r="38">
      <c r="A38" s="251" t="s">
        <v>451</v>
      </c>
    </row>
    <row r="39">
      <c r="A39" s="251" t="s">
        <v>579</v>
      </c>
    </row>
    <row r="40">
      <c r="A40" s="251" t="s">
        <v>476</v>
      </c>
    </row>
    <row r="41">
      <c r="A41" s="251" t="s">
        <v>102</v>
      </c>
    </row>
    <row r="42">
      <c r="A42" s="251" t="s">
        <v>508</v>
      </c>
    </row>
    <row r="43">
      <c r="A43" s="251" t="s">
        <v>370</v>
      </c>
    </row>
    <row r="44">
      <c r="A44" s="251" t="s">
        <v>114</v>
      </c>
    </row>
    <row r="45">
      <c r="A45" s="251" t="s">
        <v>114</v>
      </c>
    </row>
    <row r="46">
      <c r="A46" s="251" t="s">
        <v>343</v>
      </c>
    </row>
    <row r="47">
      <c r="A47" s="251" t="s">
        <v>750</v>
      </c>
    </row>
    <row r="48">
      <c r="A48" s="251" t="s">
        <v>416</v>
      </c>
    </row>
    <row r="49">
      <c r="A49" s="251" t="s">
        <v>478</v>
      </c>
    </row>
    <row r="50">
      <c r="A50" s="251" t="s">
        <v>459</v>
      </c>
    </row>
    <row r="51">
      <c r="A51" s="251" t="s">
        <v>352</v>
      </c>
    </row>
    <row r="52">
      <c r="A52" s="251" t="s">
        <v>705</v>
      </c>
    </row>
    <row r="53">
      <c r="A53" s="251" t="s">
        <v>794</v>
      </c>
    </row>
    <row r="54">
      <c r="A54" s="713" t="s">
        <v>860</v>
      </c>
    </row>
    <row r="55">
      <c r="A55" s="251" t="s">
        <v>809</v>
      </c>
    </row>
    <row r="56">
      <c r="A56" s="251" t="s">
        <v>711</v>
      </c>
    </row>
    <row r="57">
      <c r="A57" s="251" t="s">
        <v>183</v>
      </c>
    </row>
    <row r="58">
      <c r="A58" s="251" t="s">
        <v>432</v>
      </c>
    </row>
    <row r="59">
      <c r="A59" s="251" t="s">
        <v>460</v>
      </c>
    </row>
    <row r="60">
      <c r="A60" s="251" t="s">
        <v>462</v>
      </c>
    </row>
    <row r="61">
      <c r="A61" s="251" t="s">
        <v>423</v>
      </c>
    </row>
    <row r="62">
      <c r="A62" s="251" t="s">
        <v>717</v>
      </c>
    </row>
    <row r="63">
      <c r="A63" s="251" t="s">
        <v>427</v>
      </c>
    </row>
    <row r="64">
      <c r="A64" s="251" t="s">
        <v>493</v>
      </c>
    </row>
    <row r="65">
      <c r="A65" s="251" t="s">
        <v>747</v>
      </c>
    </row>
    <row r="66">
      <c r="A66" s="251" t="s">
        <v>585</v>
      </c>
    </row>
    <row r="67">
      <c r="A67" s="251" t="s">
        <v>812</v>
      </c>
    </row>
    <row r="68">
      <c r="A68" s="713" t="s">
        <v>863</v>
      </c>
    </row>
    <row r="69">
      <c r="A69" s="713" t="s">
        <v>866</v>
      </c>
    </row>
    <row r="70">
      <c r="A70" s="713" t="s">
        <v>869</v>
      </c>
    </row>
    <row r="71">
      <c r="A71" s="713" t="s">
        <v>872</v>
      </c>
    </row>
    <row r="72">
      <c r="A72" s="713" t="s">
        <v>878</v>
      </c>
    </row>
    <row r="73">
      <c r="A73" s="251" t="s">
        <v>895</v>
      </c>
    </row>
    <row r="74">
      <c r="A74" s="228" t="s">
        <v>898</v>
      </c>
    </row>
    <row r="75">
      <c r="A75" s="228" t="s">
        <v>901</v>
      </c>
    </row>
    <row r="76">
      <c r="A76" s="228" t="s">
        <v>904</v>
      </c>
    </row>
    <row r="77">
      <c r="A77" s="228" t="s">
        <v>907</v>
      </c>
    </row>
    <row r="78">
      <c r="A78" s="228" t="s">
        <v>910</v>
      </c>
    </row>
    <row r="79">
      <c r="A79" s="713" t="s">
        <v>935</v>
      </c>
    </row>
    <row r="80">
      <c r="A80" s="713" t="s">
        <v>938</v>
      </c>
    </row>
    <row r="81">
      <c r="A81" s="251" t="s">
        <v>941</v>
      </c>
    </row>
    <row r="82">
      <c r="A82" s="713" t="s">
        <v>944</v>
      </c>
    </row>
    <row r="83">
      <c r="A83" s="251" t="s">
        <v>954</v>
      </c>
    </row>
    <row r="84">
      <c r="A84" s="251" t="s">
        <v>957</v>
      </c>
    </row>
    <row r="85">
      <c r="A85" s="251" t="s">
        <v>960</v>
      </c>
    </row>
    <row r="86">
      <c r="A86" s="251" t="s">
        <v>963</v>
      </c>
    </row>
    <row r="87">
      <c r="A87" s="251" t="s">
        <v>966</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13.0"/>
    <col customWidth="1" min="3" max="3" width="13.38"/>
    <col customWidth="1" min="4" max="4" width="9.5"/>
    <col customWidth="1" min="5" max="6" width="7.0"/>
  </cols>
  <sheetData>
    <row r="1">
      <c r="A1" s="112"/>
      <c r="B1" s="51"/>
      <c r="C1" s="52"/>
      <c r="D1" s="113"/>
      <c r="E1" s="714"/>
      <c r="F1" s="555"/>
    </row>
    <row r="2">
      <c r="A2" s="112"/>
      <c r="B2" s="51"/>
      <c r="C2" s="51"/>
      <c r="D2" s="113"/>
      <c r="E2" s="714"/>
      <c r="F2" s="555"/>
    </row>
    <row r="3">
      <c r="A3" s="117" t="s">
        <v>969</v>
      </c>
      <c r="B3" s="715" t="s">
        <v>970</v>
      </c>
      <c r="C3" s="715" t="s">
        <v>971</v>
      </c>
      <c r="D3" s="716" t="s">
        <v>972</v>
      </c>
      <c r="E3" s="714"/>
      <c r="F3" s="555"/>
    </row>
    <row r="4">
      <c r="A4" s="717">
        <v>45200.0</v>
      </c>
      <c r="B4" s="715">
        <v>187026.0</v>
      </c>
      <c r="C4" s="51">
        <f>'Oct-23'!P73</f>
        <v>126006</v>
      </c>
      <c r="D4" s="113">
        <f t="shared" ref="D4:D17" si="1">B4-C4</f>
        <v>61020</v>
      </c>
      <c r="E4" s="714"/>
      <c r="F4" s="555"/>
    </row>
    <row r="5">
      <c r="A5" s="717">
        <v>45231.0</v>
      </c>
      <c r="B5" s="718">
        <v>193452.0</v>
      </c>
      <c r="C5" s="51">
        <f>'Nov-23'!P72</f>
        <v>123744</v>
      </c>
      <c r="D5" s="113">
        <f t="shared" si="1"/>
        <v>69708</v>
      </c>
      <c r="E5" s="714"/>
      <c r="F5" s="555"/>
    </row>
    <row r="6">
      <c r="A6" s="717">
        <v>45261.0</v>
      </c>
      <c r="B6" s="715">
        <v>189690.0</v>
      </c>
      <c r="C6" s="52">
        <f>'Dec-23'!P65</f>
        <v>117888</v>
      </c>
      <c r="D6" s="113">
        <f t="shared" si="1"/>
        <v>71802</v>
      </c>
      <c r="E6" s="714"/>
      <c r="F6" s="555"/>
    </row>
    <row r="7">
      <c r="A7" s="717">
        <v>45292.0</v>
      </c>
      <c r="B7" s="719">
        <v>183360.0</v>
      </c>
      <c r="C7" s="51">
        <f>'Jan-24'!P69</f>
        <v>117888</v>
      </c>
      <c r="D7" s="113">
        <f t="shared" si="1"/>
        <v>65472</v>
      </c>
      <c r="E7" s="714"/>
      <c r="F7" s="555"/>
    </row>
    <row r="8">
      <c r="A8" s="717">
        <v>45323.0</v>
      </c>
      <c r="B8" s="715">
        <v>178380.0</v>
      </c>
      <c r="C8" s="51">
        <f>'Feb-24'!P72</f>
        <v>127134</v>
      </c>
      <c r="D8" s="113">
        <f t="shared" si="1"/>
        <v>51246</v>
      </c>
      <c r="E8" s="714"/>
      <c r="F8" s="555"/>
    </row>
    <row r="9">
      <c r="A9" s="717">
        <v>45352.0</v>
      </c>
      <c r="B9" s="719">
        <v>192582.0</v>
      </c>
      <c r="C9" s="51">
        <f>'Mar-24'!P82</f>
        <v>134466</v>
      </c>
      <c r="D9" s="113">
        <f t="shared" si="1"/>
        <v>58116</v>
      </c>
      <c r="E9" s="714"/>
      <c r="F9" s="555"/>
    </row>
    <row r="10">
      <c r="A10" s="717">
        <v>45383.0</v>
      </c>
      <c r="B10" s="715">
        <v>201498.0</v>
      </c>
      <c r="C10" s="52">
        <f>'Apr-24'!P85</f>
        <v>148116</v>
      </c>
      <c r="D10" s="113">
        <f t="shared" si="1"/>
        <v>53382</v>
      </c>
      <c r="E10" s="714"/>
      <c r="F10" s="555"/>
    </row>
    <row r="11">
      <c r="A11" s="717">
        <v>45413.0</v>
      </c>
      <c r="B11" s="715">
        <v>204942.0</v>
      </c>
      <c r="C11" s="51">
        <f>'May-24'!Q86</f>
        <v>148260</v>
      </c>
      <c r="D11" s="113">
        <f t="shared" si="1"/>
        <v>56682</v>
      </c>
      <c r="E11" s="714"/>
      <c r="F11" s="555"/>
    </row>
    <row r="12">
      <c r="A12" s="717">
        <v>45444.0</v>
      </c>
      <c r="B12" s="719">
        <v>233802.0</v>
      </c>
      <c r="C12" s="51">
        <f>'Jun-24'!P87</f>
        <v>151254</v>
      </c>
      <c r="D12" s="113">
        <f t="shared" si="1"/>
        <v>82548</v>
      </c>
      <c r="E12" s="714"/>
      <c r="F12" s="555"/>
    </row>
    <row r="13">
      <c r="A13" s="717">
        <v>45474.0</v>
      </c>
      <c r="B13" s="719">
        <v>284466.0</v>
      </c>
      <c r="C13" s="51">
        <f>'Jul-24'!P85</f>
        <v>177126</v>
      </c>
      <c r="D13" s="113">
        <f t="shared" si="1"/>
        <v>107340</v>
      </c>
      <c r="E13" s="714"/>
      <c r="F13" s="555"/>
    </row>
    <row r="14">
      <c r="A14" s="717">
        <v>45505.0</v>
      </c>
      <c r="B14" s="720">
        <v>284466.0</v>
      </c>
      <c r="C14" s="51">
        <f>'Aug-24'!Q90</f>
        <v>189576</v>
      </c>
      <c r="D14" s="113">
        <f t="shared" si="1"/>
        <v>94890</v>
      </c>
      <c r="E14" s="714"/>
      <c r="F14" s="555"/>
    </row>
    <row r="15">
      <c r="A15" s="717">
        <v>45536.0</v>
      </c>
      <c r="B15" s="719">
        <v>284466.0</v>
      </c>
      <c r="C15" s="52">
        <f>'Sep 24'!Q87</f>
        <v>184344</v>
      </c>
      <c r="D15" s="113">
        <f t="shared" si="1"/>
        <v>100122</v>
      </c>
      <c r="E15" s="714"/>
      <c r="F15" s="555"/>
    </row>
    <row r="16">
      <c r="A16" s="717">
        <v>45566.0</v>
      </c>
      <c r="B16" s="719">
        <v>284466.0</v>
      </c>
      <c r="C16" s="51">
        <f>'Oct 24'!Q79</f>
        <v>166368</v>
      </c>
      <c r="D16" s="113">
        <f t="shared" si="1"/>
        <v>118098</v>
      </c>
      <c r="E16" s="714"/>
      <c r="F16" s="555"/>
    </row>
    <row r="17">
      <c r="A17" s="717">
        <v>45597.0</v>
      </c>
      <c r="B17" s="719">
        <v>284466.0</v>
      </c>
      <c r="C17" s="51">
        <f>'Nov 24'!Q84</f>
        <v>174750</v>
      </c>
      <c r="D17" s="113">
        <f t="shared" si="1"/>
        <v>109716</v>
      </c>
      <c r="E17" s="714"/>
      <c r="F17" s="555"/>
    </row>
    <row r="18">
      <c r="A18" s="112"/>
      <c r="B18" s="51">
        <f t="shared" ref="B18:C18" si="2">SUM(B4:B17)</f>
        <v>3187062</v>
      </c>
      <c r="C18" s="51">
        <f t="shared" si="2"/>
        <v>2086920</v>
      </c>
      <c r="D18" s="113"/>
      <c r="E18" s="714"/>
      <c r="F18" s="555"/>
    </row>
    <row r="19">
      <c r="A19" s="112"/>
      <c r="B19" s="51"/>
      <c r="C19" s="51"/>
      <c r="D19" s="113"/>
      <c r="E19" s="714"/>
      <c r="F19" s="555"/>
    </row>
    <row r="20">
      <c r="A20" s="112"/>
      <c r="B20" s="52"/>
      <c r="C20" s="52"/>
      <c r="D20" s="113"/>
      <c r="E20" s="714"/>
      <c r="F20" s="555"/>
    </row>
    <row r="21">
      <c r="A21" s="112"/>
      <c r="B21" s="89"/>
      <c r="C21" s="51"/>
      <c r="D21" s="113"/>
      <c r="E21" s="714"/>
      <c r="F21" s="555"/>
    </row>
    <row r="22">
      <c r="A22" s="112"/>
      <c r="B22" s="89"/>
      <c r="C22" s="51"/>
      <c r="D22" s="113"/>
      <c r="E22" s="714"/>
      <c r="F22" s="555"/>
    </row>
    <row r="23">
      <c r="A23" s="112"/>
      <c r="B23" s="52"/>
      <c r="C23" s="51"/>
      <c r="D23" s="113"/>
      <c r="E23" s="714"/>
      <c r="F23" s="555"/>
    </row>
    <row r="24">
      <c r="A24" s="112"/>
      <c r="B24" s="51"/>
      <c r="C24" s="51"/>
      <c r="D24" s="113"/>
      <c r="E24" s="714"/>
      <c r="F24" s="555"/>
    </row>
    <row r="25">
      <c r="A25" s="112"/>
      <c r="B25" s="89"/>
      <c r="C25" s="51"/>
      <c r="D25" s="113"/>
      <c r="E25" s="714"/>
      <c r="F25" s="555"/>
    </row>
    <row r="26">
      <c r="A26" s="118"/>
      <c r="B26" s="51"/>
      <c r="C26" s="52"/>
      <c r="D26" s="113"/>
      <c r="E26" s="714"/>
      <c r="F26" s="555"/>
    </row>
    <row r="27">
      <c r="A27" s="118"/>
      <c r="B27" s="51"/>
      <c r="C27" s="52"/>
      <c r="D27" s="113"/>
      <c r="E27" s="714"/>
      <c r="F27" s="555"/>
    </row>
    <row r="28">
      <c r="A28" s="118"/>
      <c r="B28" s="89"/>
      <c r="C28" s="51"/>
      <c r="D28" s="113"/>
      <c r="E28" s="714"/>
      <c r="F28" s="555"/>
    </row>
    <row r="29">
      <c r="A29" s="118"/>
      <c r="B29" s="51"/>
      <c r="C29" s="51"/>
      <c r="D29" s="113"/>
      <c r="E29" s="714"/>
      <c r="F29" s="555"/>
    </row>
    <row r="30">
      <c r="A30" s="118"/>
      <c r="B30" s="51"/>
      <c r="C30" s="51"/>
      <c r="D30" s="113"/>
      <c r="E30" s="714"/>
      <c r="F30" s="555"/>
    </row>
    <row r="31">
      <c r="A31" s="118"/>
      <c r="B31" s="52"/>
      <c r="C31" s="52"/>
      <c r="D31" s="113"/>
      <c r="E31" s="714"/>
      <c r="F31" s="555"/>
    </row>
    <row r="32">
      <c r="A32" s="118"/>
      <c r="B32" s="52"/>
      <c r="C32" s="51"/>
      <c r="D32" s="113"/>
      <c r="E32" s="714"/>
      <c r="F32" s="555"/>
    </row>
    <row r="33">
      <c r="A33" s="118"/>
      <c r="B33" s="52"/>
      <c r="C33" s="51"/>
      <c r="D33" s="113"/>
      <c r="E33" s="714"/>
      <c r="F33" s="555"/>
    </row>
    <row r="34">
      <c r="A34" s="118"/>
      <c r="B34" s="89"/>
      <c r="C34" s="51"/>
      <c r="D34" s="113"/>
      <c r="E34" s="714"/>
      <c r="F34" s="555"/>
    </row>
    <row r="35">
      <c r="A35" s="112"/>
      <c r="B35" s="89"/>
      <c r="C35" s="51"/>
      <c r="D35" s="113"/>
      <c r="E35" s="555"/>
      <c r="F35" s="555"/>
    </row>
    <row r="36">
      <c r="A36" s="112"/>
      <c r="B36" s="96"/>
      <c r="C36" s="51"/>
      <c r="D36" s="113"/>
      <c r="E36" s="555"/>
      <c r="F36" s="555"/>
    </row>
    <row r="37">
      <c r="A37" s="112"/>
      <c r="B37" s="89"/>
      <c r="C37" s="51"/>
      <c r="D37" s="113"/>
    </row>
    <row r="38">
      <c r="A38" s="112"/>
      <c r="B38" s="52"/>
      <c r="C38" s="51"/>
      <c r="D38" s="113"/>
    </row>
    <row r="39">
      <c r="A39" s="112"/>
      <c r="B39" s="52"/>
      <c r="C39" s="52"/>
      <c r="D39" s="113"/>
    </row>
    <row r="40">
      <c r="A40" s="112"/>
      <c r="B40" s="89"/>
      <c r="C40" s="51"/>
      <c r="D40" s="113"/>
    </row>
    <row r="41">
      <c r="A41" s="112"/>
      <c r="B41" s="51"/>
      <c r="C41" s="51"/>
      <c r="D41" s="113"/>
    </row>
    <row r="42">
      <c r="A42" s="112"/>
      <c r="B42" s="89"/>
      <c r="C42" s="51"/>
      <c r="D42" s="113"/>
    </row>
    <row r="43">
      <c r="A43" s="112"/>
      <c r="B43" s="89"/>
      <c r="C43" s="113"/>
      <c r="D43" s="76"/>
    </row>
    <row r="44">
      <c r="A44" s="112"/>
      <c r="B44" s="51"/>
      <c r="C44" s="49"/>
    </row>
    <row r="45">
      <c r="A45" s="112"/>
      <c r="B45" s="52"/>
      <c r="C45" s="49"/>
    </row>
    <row r="46">
      <c r="A46" s="112"/>
      <c r="B46" s="51"/>
      <c r="C46" s="49"/>
    </row>
    <row r="47">
      <c r="A47" s="112"/>
      <c r="B47" s="51"/>
      <c r="C47" s="49"/>
    </row>
    <row r="48">
      <c r="A48" s="51"/>
      <c r="B48" s="51"/>
      <c r="C48" s="49"/>
    </row>
    <row r="49">
      <c r="A49" s="51"/>
      <c r="B49" s="51"/>
      <c r="C49" s="49"/>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9.63"/>
    <col customWidth="1" min="4" max="4" width="23.38"/>
    <col customWidth="1" min="5" max="5" width="22.0"/>
    <col customWidth="1" min="8" max="8" width="15.88"/>
    <col customWidth="1" min="13" max="13" width="28.5"/>
  </cols>
  <sheetData>
    <row r="1">
      <c r="A1" s="149" t="s">
        <v>604</v>
      </c>
      <c r="B1" s="149" t="s">
        <v>973</v>
      </c>
      <c r="C1" s="149" t="s">
        <v>974</v>
      </c>
      <c r="D1" s="149" t="s">
        <v>975</v>
      </c>
      <c r="E1" s="149" t="s">
        <v>976</v>
      </c>
      <c r="F1" s="149" t="s">
        <v>977</v>
      </c>
      <c r="G1" s="149" t="s">
        <v>978</v>
      </c>
      <c r="H1" s="149" t="s">
        <v>979</v>
      </c>
      <c r="I1" s="149" t="s">
        <v>980</v>
      </c>
      <c r="J1" s="149" t="s">
        <v>981</v>
      </c>
      <c r="K1" s="149" t="s">
        <v>982</v>
      </c>
      <c r="L1" s="149" t="s">
        <v>983</v>
      </c>
      <c r="M1" s="149" t="s">
        <v>984</v>
      </c>
    </row>
    <row r="2">
      <c r="A2" s="721" t="s">
        <v>261</v>
      </c>
      <c r="B2" s="722" t="s">
        <v>263</v>
      </c>
      <c r="C2" s="287"/>
      <c r="D2" s="721" t="s">
        <v>985</v>
      </c>
      <c r="E2" s="721" t="s">
        <v>986</v>
      </c>
      <c r="F2" s="721" t="s">
        <v>987</v>
      </c>
      <c r="G2" s="723">
        <v>36529.0</v>
      </c>
      <c r="H2" s="723">
        <v>45505.0</v>
      </c>
      <c r="I2" s="721" t="s">
        <v>988</v>
      </c>
      <c r="J2" s="721" t="s">
        <v>989</v>
      </c>
      <c r="K2" s="721" t="s">
        <v>990</v>
      </c>
      <c r="L2" s="724">
        <v>3.359929217E9</v>
      </c>
      <c r="M2" s="722" t="s">
        <v>991</v>
      </c>
      <c r="N2" s="287"/>
      <c r="O2" s="221"/>
    </row>
    <row r="3">
      <c r="A3" s="721" t="s">
        <v>361</v>
      </c>
      <c r="B3" s="722" t="s">
        <v>363</v>
      </c>
      <c r="C3" s="287"/>
      <c r="D3" s="721" t="s">
        <v>992</v>
      </c>
      <c r="E3" s="721" t="s">
        <v>986</v>
      </c>
      <c r="F3" s="721" t="s">
        <v>987</v>
      </c>
      <c r="G3" s="725" t="s">
        <v>993</v>
      </c>
      <c r="H3" s="725" t="s">
        <v>994</v>
      </c>
      <c r="I3" s="721" t="s">
        <v>995</v>
      </c>
      <c r="J3" s="721" t="s">
        <v>989</v>
      </c>
      <c r="K3" s="721" t="s">
        <v>990</v>
      </c>
      <c r="L3" s="724">
        <v>3.430810984E9</v>
      </c>
      <c r="M3" s="722" t="s">
        <v>996</v>
      </c>
      <c r="N3" s="287"/>
      <c r="O3" s="221"/>
    </row>
    <row r="4">
      <c r="A4" s="721" t="s">
        <v>437</v>
      </c>
      <c r="B4" s="722" t="s">
        <v>23</v>
      </c>
      <c r="C4" s="287"/>
      <c r="D4" s="721" t="s">
        <v>997</v>
      </c>
      <c r="E4" s="721" t="s">
        <v>986</v>
      </c>
      <c r="F4" s="721" t="s">
        <v>987</v>
      </c>
      <c r="G4" s="725" t="s">
        <v>998</v>
      </c>
      <c r="H4" s="726">
        <v>45234.0</v>
      </c>
      <c r="I4" s="721" t="s">
        <v>999</v>
      </c>
      <c r="J4" s="721" t="s">
        <v>989</v>
      </c>
      <c r="K4" s="721" t="s">
        <v>990</v>
      </c>
      <c r="L4" s="724">
        <v>3.470008698E9</v>
      </c>
      <c r="M4" s="722" t="s">
        <v>1000</v>
      </c>
      <c r="N4" s="287"/>
      <c r="O4" s="221"/>
    </row>
    <row r="5">
      <c r="A5" s="721" t="s">
        <v>473</v>
      </c>
      <c r="B5" s="722" t="s">
        <v>475</v>
      </c>
      <c r="C5" s="287"/>
      <c r="D5" s="721" t="s">
        <v>1001</v>
      </c>
      <c r="E5" s="721" t="s">
        <v>986</v>
      </c>
      <c r="F5" s="721" t="s">
        <v>987</v>
      </c>
      <c r="G5" s="725" t="s">
        <v>1002</v>
      </c>
      <c r="H5" s="725" t="s">
        <v>1003</v>
      </c>
      <c r="I5" s="721" t="s">
        <v>1004</v>
      </c>
      <c r="J5" s="721" t="s">
        <v>1005</v>
      </c>
      <c r="K5" s="721" t="s">
        <v>1006</v>
      </c>
      <c r="L5" s="724">
        <v>3.018497072E9</v>
      </c>
      <c r="M5" s="722" t="s">
        <v>1007</v>
      </c>
      <c r="N5" s="287"/>
      <c r="O5" s="221"/>
    </row>
    <row r="6">
      <c r="A6" s="721" t="s">
        <v>408</v>
      </c>
      <c r="B6" s="722" t="s">
        <v>410</v>
      </c>
      <c r="C6" s="287"/>
      <c r="D6" s="721" t="s">
        <v>1008</v>
      </c>
      <c r="E6" s="721" t="s">
        <v>986</v>
      </c>
      <c r="F6" s="721" t="s">
        <v>987</v>
      </c>
      <c r="G6" s="725" t="s">
        <v>993</v>
      </c>
      <c r="H6" s="726">
        <v>45571.0</v>
      </c>
      <c r="I6" s="721" t="s">
        <v>1009</v>
      </c>
      <c r="J6" s="721" t="s">
        <v>1010</v>
      </c>
      <c r="K6" s="721" t="s">
        <v>1011</v>
      </c>
      <c r="L6" s="724">
        <v>3.315004402E9</v>
      </c>
      <c r="M6" s="722" t="s">
        <v>1012</v>
      </c>
      <c r="N6" s="287"/>
      <c r="O6" s="221"/>
    </row>
    <row r="7">
      <c r="A7" s="721" t="s">
        <v>246</v>
      </c>
      <c r="B7" s="722" t="s">
        <v>248</v>
      </c>
      <c r="C7" s="287"/>
      <c r="D7" s="721" t="s">
        <v>1013</v>
      </c>
      <c r="E7" s="721" t="s">
        <v>986</v>
      </c>
      <c r="F7" s="721" t="s">
        <v>987</v>
      </c>
      <c r="G7" s="726">
        <v>36501.0</v>
      </c>
      <c r="H7" s="725" t="s">
        <v>1014</v>
      </c>
      <c r="I7" s="721" t="s">
        <v>1015</v>
      </c>
      <c r="J7" s="721" t="s">
        <v>1010</v>
      </c>
      <c r="K7" s="721" t="s">
        <v>1011</v>
      </c>
      <c r="L7" s="724">
        <v>3.13512291E9</v>
      </c>
      <c r="M7" s="722" t="s">
        <v>1016</v>
      </c>
      <c r="N7" s="287"/>
      <c r="O7" s="221"/>
    </row>
    <row r="8">
      <c r="A8" s="721" t="s">
        <v>316</v>
      </c>
      <c r="B8" s="722" t="s">
        <v>318</v>
      </c>
      <c r="C8" s="287"/>
      <c r="D8" s="721" t="s">
        <v>1017</v>
      </c>
      <c r="E8" s="721" t="s">
        <v>986</v>
      </c>
      <c r="F8" s="721" t="s">
        <v>987</v>
      </c>
      <c r="G8" s="725" t="s">
        <v>1018</v>
      </c>
      <c r="H8" s="726">
        <v>45599.0</v>
      </c>
      <c r="I8" s="721" t="s">
        <v>1019</v>
      </c>
      <c r="J8" s="721" t="s">
        <v>989</v>
      </c>
      <c r="K8" s="721" t="s">
        <v>990</v>
      </c>
      <c r="L8" s="724">
        <v>3.105500217E9</v>
      </c>
      <c r="M8" s="722" t="s">
        <v>1020</v>
      </c>
      <c r="N8" s="287"/>
      <c r="O8" s="221"/>
    </row>
    <row r="9">
      <c r="A9" s="721" t="s">
        <v>264</v>
      </c>
      <c r="B9" s="722" t="s">
        <v>266</v>
      </c>
      <c r="C9" s="287"/>
      <c r="D9" s="721" t="s">
        <v>1021</v>
      </c>
      <c r="E9" s="721" t="s">
        <v>986</v>
      </c>
      <c r="F9" s="721" t="s">
        <v>986</v>
      </c>
      <c r="G9" s="725" t="s">
        <v>1022</v>
      </c>
      <c r="H9" s="725" t="s">
        <v>1023</v>
      </c>
      <c r="I9" s="721" t="s">
        <v>1024</v>
      </c>
      <c r="J9" s="721" t="s">
        <v>989</v>
      </c>
      <c r="K9" s="721" t="s">
        <v>990</v>
      </c>
      <c r="L9" s="724">
        <v>3.18835501E9</v>
      </c>
      <c r="M9" s="722" t="s">
        <v>1025</v>
      </c>
      <c r="N9" s="287"/>
      <c r="O9" s="221"/>
    </row>
    <row r="10">
      <c r="A10" s="721" t="s">
        <v>319</v>
      </c>
      <c r="B10" s="722" t="s">
        <v>321</v>
      </c>
      <c r="C10" s="287"/>
      <c r="D10" s="721" t="s">
        <v>1026</v>
      </c>
      <c r="E10" s="721" t="s">
        <v>986</v>
      </c>
      <c r="F10" s="721" t="s">
        <v>987</v>
      </c>
      <c r="G10" s="725" t="s">
        <v>1027</v>
      </c>
      <c r="H10" s="723">
        <v>45385.0</v>
      </c>
      <c r="I10" s="721" t="s">
        <v>1028</v>
      </c>
      <c r="J10" s="721" t="s">
        <v>989</v>
      </c>
      <c r="K10" s="721" t="s">
        <v>990</v>
      </c>
      <c r="L10" s="724">
        <v>3.194552019E9</v>
      </c>
      <c r="M10" s="722" t="s">
        <v>1029</v>
      </c>
      <c r="N10" s="287"/>
      <c r="O10" s="221"/>
    </row>
    <row r="11">
      <c r="A11" s="721" t="s">
        <v>411</v>
      </c>
      <c r="B11" s="722" t="s">
        <v>413</v>
      </c>
      <c r="C11" s="287"/>
      <c r="D11" s="721" t="s">
        <v>1030</v>
      </c>
      <c r="E11" s="721" t="s">
        <v>986</v>
      </c>
      <c r="F11" s="721" t="s">
        <v>986</v>
      </c>
      <c r="G11" s="725" t="s">
        <v>1031</v>
      </c>
      <c r="H11" s="726">
        <v>45571.0</v>
      </c>
      <c r="I11" s="721" t="s">
        <v>1032</v>
      </c>
      <c r="J11" s="721" t="s">
        <v>989</v>
      </c>
      <c r="K11" s="721" t="s">
        <v>990</v>
      </c>
      <c r="L11" s="724">
        <v>3.335024195E9</v>
      </c>
      <c r="M11" s="722" t="s">
        <v>1033</v>
      </c>
      <c r="N11" s="287"/>
      <c r="O11" s="221"/>
    </row>
    <row r="12">
      <c r="A12" s="721" t="s">
        <v>282</v>
      </c>
      <c r="B12" s="722" t="s">
        <v>284</v>
      </c>
      <c r="C12" s="287"/>
      <c r="D12" s="721" t="s">
        <v>1034</v>
      </c>
      <c r="E12" s="721" t="s">
        <v>986</v>
      </c>
      <c r="F12" s="721" t="s">
        <v>987</v>
      </c>
      <c r="G12" s="725" t="s">
        <v>1035</v>
      </c>
      <c r="H12" s="725" t="s">
        <v>1036</v>
      </c>
      <c r="I12" s="721" t="s">
        <v>1037</v>
      </c>
      <c r="J12" s="721" t="s">
        <v>1010</v>
      </c>
      <c r="K12" s="721" t="s">
        <v>1011</v>
      </c>
      <c r="L12" s="724">
        <v>3.075413471E9</v>
      </c>
      <c r="M12" s="722" t="s">
        <v>1038</v>
      </c>
      <c r="N12" s="287"/>
      <c r="O12" s="221"/>
    </row>
    <row r="13">
      <c r="A13" s="721" t="s">
        <v>45</v>
      </c>
      <c r="B13" s="722" t="s">
        <v>47</v>
      </c>
      <c r="C13" s="287"/>
      <c r="D13" s="721" t="s">
        <v>1039</v>
      </c>
      <c r="E13" s="721" t="s">
        <v>986</v>
      </c>
      <c r="F13" s="721" t="s">
        <v>987</v>
      </c>
      <c r="G13" s="725" t="s">
        <v>1040</v>
      </c>
      <c r="H13" s="725" t="s">
        <v>1041</v>
      </c>
      <c r="I13" s="721" t="s">
        <v>1042</v>
      </c>
      <c r="J13" s="721" t="s">
        <v>1043</v>
      </c>
      <c r="K13" s="721" t="s">
        <v>1011</v>
      </c>
      <c r="L13" s="724">
        <v>3.461753321E9</v>
      </c>
      <c r="M13" s="722" t="s">
        <v>1044</v>
      </c>
      <c r="N13" s="287"/>
      <c r="O13" s="221"/>
    </row>
    <row r="14">
      <c r="A14" s="721" t="s">
        <v>48</v>
      </c>
      <c r="B14" s="722" t="s">
        <v>50</v>
      </c>
      <c r="C14" s="287"/>
      <c r="D14" s="721" t="s">
        <v>1045</v>
      </c>
      <c r="E14" s="721" t="s">
        <v>986</v>
      </c>
      <c r="F14" s="721" t="s">
        <v>987</v>
      </c>
      <c r="G14" s="725" t="s">
        <v>1046</v>
      </c>
      <c r="H14" s="725" t="s">
        <v>1047</v>
      </c>
      <c r="I14" s="721" t="s">
        <v>1048</v>
      </c>
      <c r="J14" s="721" t="s">
        <v>1049</v>
      </c>
      <c r="K14" s="721" t="s">
        <v>1011</v>
      </c>
      <c r="L14" s="724">
        <v>3.094022042E9</v>
      </c>
      <c r="M14" s="722" t="s">
        <v>1050</v>
      </c>
      <c r="N14" s="287"/>
      <c r="O14" s="221"/>
    </row>
    <row r="15">
      <c r="A15" s="721" t="s">
        <v>383</v>
      </c>
      <c r="B15" s="722" t="s">
        <v>385</v>
      </c>
      <c r="C15" s="287"/>
      <c r="D15" s="721" t="s">
        <v>1051</v>
      </c>
      <c r="E15" s="721" t="s">
        <v>986</v>
      </c>
      <c r="F15" s="721" t="s">
        <v>987</v>
      </c>
      <c r="G15" s="725" t="s">
        <v>1052</v>
      </c>
      <c r="H15" s="723">
        <v>45448.0</v>
      </c>
      <c r="I15" s="721" t="s">
        <v>1053</v>
      </c>
      <c r="J15" s="721" t="s">
        <v>989</v>
      </c>
      <c r="K15" s="721" t="s">
        <v>990</v>
      </c>
      <c r="L15" s="724">
        <v>3.328849948E9</v>
      </c>
      <c r="M15" s="722" t="s">
        <v>1054</v>
      </c>
      <c r="N15" s="287"/>
      <c r="O15" s="221"/>
    </row>
    <row r="16">
      <c r="A16" s="721" t="s">
        <v>285</v>
      </c>
      <c r="B16" s="722" t="s">
        <v>287</v>
      </c>
      <c r="C16" s="287"/>
      <c r="D16" s="721" t="s">
        <v>1055</v>
      </c>
      <c r="E16" s="721" t="s">
        <v>986</v>
      </c>
      <c r="F16" s="721" t="s">
        <v>986</v>
      </c>
      <c r="G16" s="723">
        <v>37261.0</v>
      </c>
      <c r="H16" s="726">
        <v>45628.0</v>
      </c>
      <c r="I16" s="721" t="s">
        <v>1056</v>
      </c>
      <c r="J16" s="721" t="s">
        <v>1010</v>
      </c>
      <c r="K16" s="721" t="s">
        <v>1011</v>
      </c>
      <c r="L16" s="724">
        <v>3.348771102E9</v>
      </c>
      <c r="M16" s="722" t="s">
        <v>1057</v>
      </c>
      <c r="N16" s="287"/>
      <c r="O16" s="221"/>
    </row>
    <row r="17">
      <c r="A17" s="721" t="s">
        <v>288</v>
      </c>
      <c r="B17" s="722" t="s">
        <v>290</v>
      </c>
      <c r="C17" s="287"/>
      <c r="D17" s="721" t="s">
        <v>1058</v>
      </c>
      <c r="E17" s="721" t="s">
        <v>986</v>
      </c>
      <c r="F17" s="721" t="s">
        <v>986</v>
      </c>
      <c r="G17" s="723">
        <v>37017.0</v>
      </c>
      <c r="H17" s="725" t="s">
        <v>1036</v>
      </c>
      <c r="I17" s="721" t="s">
        <v>1059</v>
      </c>
      <c r="J17" s="721" t="s">
        <v>1060</v>
      </c>
      <c r="K17" s="721" t="s">
        <v>1061</v>
      </c>
      <c r="L17" s="724">
        <v>3.099201579E9</v>
      </c>
      <c r="M17" s="722" t="s">
        <v>1062</v>
      </c>
      <c r="N17" s="287"/>
      <c r="O17" s="221"/>
    </row>
    <row r="18">
      <c r="A18" s="721" t="s">
        <v>51</v>
      </c>
      <c r="B18" s="722" t="s">
        <v>53</v>
      </c>
      <c r="C18" s="287"/>
      <c r="D18" s="721" t="s">
        <v>1063</v>
      </c>
      <c r="E18" s="721" t="s">
        <v>986</v>
      </c>
      <c r="F18" s="721" t="s">
        <v>987</v>
      </c>
      <c r="G18" s="725" t="s">
        <v>1064</v>
      </c>
      <c r="H18" s="723">
        <v>44929.0</v>
      </c>
      <c r="I18" s="721" t="s">
        <v>1065</v>
      </c>
      <c r="J18" s="721" t="s">
        <v>1010</v>
      </c>
      <c r="K18" s="721" t="s">
        <v>1011</v>
      </c>
      <c r="L18" s="724">
        <v>3.40534286E9</v>
      </c>
      <c r="M18" s="722" t="s">
        <v>1066</v>
      </c>
      <c r="N18" s="287"/>
      <c r="O18" s="221"/>
    </row>
    <row r="19">
      <c r="A19" s="721" t="s">
        <v>445</v>
      </c>
      <c r="B19" s="722" t="s">
        <v>447</v>
      </c>
      <c r="C19" s="287"/>
      <c r="D19" s="721" t="s">
        <v>1067</v>
      </c>
      <c r="E19" s="721" t="s">
        <v>986</v>
      </c>
      <c r="F19" s="721" t="s">
        <v>986</v>
      </c>
      <c r="G19" s="723">
        <v>37017.0</v>
      </c>
      <c r="H19" s="725" t="s">
        <v>1068</v>
      </c>
      <c r="I19" s="721" t="s">
        <v>1069</v>
      </c>
      <c r="J19" s="721" t="s">
        <v>989</v>
      </c>
      <c r="K19" s="721" t="s">
        <v>990</v>
      </c>
      <c r="L19" s="724">
        <v>3.345485117E9</v>
      </c>
      <c r="M19" s="722" t="s">
        <v>1070</v>
      </c>
      <c r="N19" s="287"/>
      <c r="O19" s="221"/>
    </row>
    <row r="20">
      <c r="A20" s="721" t="s">
        <v>448</v>
      </c>
      <c r="B20" s="722" t="s">
        <v>450</v>
      </c>
      <c r="C20" s="287"/>
      <c r="D20" s="721" t="s">
        <v>1071</v>
      </c>
      <c r="E20" s="721" t="s">
        <v>986</v>
      </c>
      <c r="F20" s="721" t="s">
        <v>986</v>
      </c>
      <c r="G20" s="723">
        <v>36652.0</v>
      </c>
      <c r="H20" s="726">
        <v>45571.0</v>
      </c>
      <c r="I20" s="721" t="s">
        <v>1072</v>
      </c>
      <c r="J20" s="721" t="s">
        <v>1073</v>
      </c>
      <c r="K20" s="721" t="s">
        <v>1011</v>
      </c>
      <c r="L20" s="724">
        <v>3.155111266E9</v>
      </c>
      <c r="M20" s="722" t="s">
        <v>1074</v>
      </c>
      <c r="N20" s="287"/>
      <c r="O20" s="221"/>
    </row>
    <row r="21">
      <c r="A21" s="721" t="s">
        <v>57</v>
      </c>
      <c r="B21" s="722" t="s">
        <v>59</v>
      </c>
      <c r="C21" s="287"/>
      <c r="D21" s="721" t="s">
        <v>1075</v>
      </c>
      <c r="E21" s="721" t="s">
        <v>986</v>
      </c>
      <c r="F21" s="721" t="s">
        <v>987</v>
      </c>
      <c r="G21" s="726">
        <v>35440.0</v>
      </c>
      <c r="H21" s="725" t="s">
        <v>1076</v>
      </c>
      <c r="I21" s="721" t="s">
        <v>1077</v>
      </c>
      <c r="J21" s="721" t="s">
        <v>989</v>
      </c>
      <c r="K21" s="721" t="s">
        <v>990</v>
      </c>
      <c r="L21" s="724">
        <v>3.420570256E9</v>
      </c>
      <c r="M21" s="722" t="s">
        <v>1078</v>
      </c>
      <c r="N21" s="287"/>
      <c r="O21" s="221"/>
    </row>
    <row r="22">
      <c r="A22" s="721" t="s">
        <v>291</v>
      </c>
      <c r="B22" s="722" t="s">
        <v>293</v>
      </c>
      <c r="C22" s="287"/>
      <c r="D22" s="721" t="s">
        <v>1079</v>
      </c>
      <c r="E22" s="721" t="s">
        <v>986</v>
      </c>
      <c r="F22" s="721" t="s">
        <v>986</v>
      </c>
      <c r="G22" s="725" t="s">
        <v>1080</v>
      </c>
      <c r="H22" s="725" t="s">
        <v>1036</v>
      </c>
      <c r="I22" s="721" t="s">
        <v>1081</v>
      </c>
      <c r="J22" s="721" t="s">
        <v>989</v>
      </c>
      <c r="K22" s="721" t="s">
        <v>990</v>
      </c>
      <c r="L22" s="724">
        <v>3.437412151E9</v>
      </c>
      <c r="M22" s="722" t="s">
        <v>1082</v>
      </c>
      <c r="N22" s="287"/>
      <c r="O22" s="221"/>
    </row>
    <row r="23">
      <c r="A23" s="721" t="s">
        <v>60</v>
      </c>
      <c r="B23" s="722" t="s">
        <v>62</v>
      </c>
      <c r="C23" s="287"/>
      <c r="D23" s="721" t="s">
        <v>1083</v>
      </c>
      <c r="E23" s="721" t="s">
        <v>986</v>
      </c>
      <c r="F23" s="721" t="s">
        <v>987</v>
      </c>
      <c r="G23" s="725" t="s">
        <v>1084</v>
      </c>
      <c r="H23" s="725" t="s">
        <v>1085</v>
      </c>
      <c r="I23" s="721" t="s">
        <v>1086</v>
      </c>
      <c r="J23" s="721" t="s">
        <v>989</v>
      </c>
      <c r="K23" s="721" t="s">
        <v>990</v>
      </c>
      <c r="L23" s="724">
        <v>3.12578608E9</v>
      </c>
      <c r="M23" s="722" t="s">
        <v>1087</v>
      </c>
      <c r="N23" s="287"/>
      <c r="O23" s="221"/>
    </row>
    <row r="24">
      <c r="A24" s="721" t="s">
        <v>63</v>
      </c>
      <c r="B24" s="722" t="s">
        <v>65</v>
      </c>
      <c r="C24" s="287"/>
      <c r="D24" s="721" t="s">
        <v>1088</v>
      </c>
      <c r="E24" s="721" t="s">
        <v>986</v>
      </c>
      <c r="F24" s="721" t="s">
        <v>987</v>
      </c>
      <c r="G24" s="725" t="s">
        <v>1089</v>
      </c>
      <c r="H24" s="726">
        <v>44573.0</v>
      </c>
      <c r="I24" s="721" t="s">
        <v>1090</v>
      </c>
      <c r="J24" s="721" t="s">
        <v>1010</v>
      </c>
      <c r="K24" s="721" t="s">
        <v>1011</v>
      </c>
      <c r="L24" s="724">
        <v>3.369133717E9</v>
      </c>
      <c r="M24" s="722" t="s">
        <v>1091</v>
      </c>
      <c r="N24" s="287"/>
      <c r="O24" s="221"/>
    </row>
    <row r="25">
      <c r="A25" s="721" t="s">
        <v>389</v>
      </c>
      <c r="B25" s="722" t="s">
        <v>391</v>
      </c>
      <c r="C25" s="287"/>
      <c r="D25" s="721" t="s">
        <v>1092</v>
      </c>
      <c r="E25" s="721" t="s">
        <v>986</v>
      </c>
      <c r="F25" s="721" t="s">
        <v>987</v>
      </c>
      <c r="G25" s="726">
        <v>36140.0</v>
      </c>
      <c r="H25" s="723">
        <v>45448.0</v>
      </c>
      <c r="I25" s="721" t="s">
        <v>1093</v>
      </c>
      <c r="J25" s="721" t="s">
        <v>989</v>
      </c>
      <c r="K25" s="721" t="s">
        <v>990</v>
      </c>
      <c r="L25" s="724">
        <v>3.105557127E9</v>
      </c>
      <c r="M25" s="722" t="s">
        <v>1094</v>
      </c>
      <c r="N25" s="287"/>
      <c r="O25" s="221"/>
    </row>
    <row r="26">
      <c r="A26" s="721" t="s">
        <v>267</v>
      </c>
      <c r="B26" s="722" t="s">
        <v>269</v>
      </c>
      <c r="C26" s="287"/>
      <c r="D26" s="721" t="s">
        <v>1095</v>
      </c>
      <c r="E26" s="721" t="s">
        <v>986</v>
      </c>
      <c r="F26" s="721" t="s">
        <v>986</v>
      </c>
      <c r="G26" s="725" t="s">
        <v>1096</v>
      </c>
      <c r="H26" s="725" t="s">
        <v>1097</v>
      </c>
      <c r="I26" s="721" t="s">
        <v>1098</v>
      </c>
      <c r="J26" s="721" t="s">
        <v>1049</v>
      </c>
      <c r="K26" s="721" t="s">
        <v>1011</v>
      </c>
      <c r="L26" s="724">
        <v>3.001587453E9</v>
      </c>
      <c r="M26" s="722" t="s">
        <v>1099</v>
      </c>
      <c r="N26" s="287"/>
      <c r="O26" s="221"/>
    </row>
    <row r="27">
      <c r="A27" s="721" t="s">
        <v>69</v>
      </c>
      <c r="B27" s="722" t="s">
        <v>71</v>
      </c>
      <c r="C27" s="287"/>
      <c r="D27" s="721" t="s">
        <v>1100</v>
      </c>
      <c r="E27" s="721" t="s">
        <v>986</v>
      </c>
      <c r="F27" s="721" t="s">
        <v>987</v>
      </c>
      <c r="G27" s="725" t="s">
        <v>1101</v>
      </c>
      <c r="H27" s="725" t="s">
        <v>1041</v>
      </c>
      <c r="I27" s="721" t="s">
        <v>1102</v>
      </c>
      <c r="J27" s="721" t="s">
        <v>1010</v>
      </c>
      <c r="K27" s="721" t="s">
        <v>1011</v>
      </c>
      <c r="L27" s="724">
        <v>3.130077225E9</v>
      </c>
      <c r="M27" s="722" t="s">
        <v>1103</v>
      </c>
      <c r="N27" s="287"/>
      <c r="O27" s="221"/>
    </row>
    <row r="28">
      <c r="A28" s="721" t="s">
        <v>468</v>
      </c>
      <c r="B28" s="722" t="s">
        <v>469</v>
      </c>
      <c r="C28" s="287"/>
      <c r="D28" s="721" t="s">
        <v>1104</v>
      </c>
      <c r="E28" s="721" t="s">
        <v>1105</v>
      </c>
      <c r="F28" s="721" t="s">
        <v>986</v>
      </c>
      <c r="G28" s="726">
        <v>36075.0</v>
      </c>
      <c r="H28" s="723">
        <v>45331.0</v>
      </c>
      <c r="I28" s="721" t="s">
        <v>1106</v>
      </c>
      <c r="J28" s="721" t="s">
        <v>989</v>
      </c>
      <c r="K28" s="721" t="s">
        <v>990</v>
      </c>
      <c r="L28" s="724">
        <v>3.125038959E9</v>
      </c>
      <c r="M28" s="722" t="s">
        <v>1107</v>
      </c>
      <c r="N28" s="287"/>
      <c r="O28" s="221"/>
    </row>
    <row r="29">
      <c r="A29" s="721" t="s">
        <v>78</v>
      </c>
      <c r="B29" s="722" t="s">
        <v>80</v>
      </c>
      <c r="C29" s="287"/>
      <c r="D29" s="721" t="s">
        <v>1108</v>
      </c>
      <c r="E29" s="721" t="s">
        <v>986</v>
      </c>
      <c r="F29" s="721" t="s">
        <v>986</v>
      </c>
      <c r="G29" s="725" t="s">
        <v>1109</v>
      </c>
      <c r="H29" s="725" t="s">
        <v>1023</v>
      </c>
      <c r="I29" s="721" t="s">
        <v>1110</v>
      </c>
      <c r="J29" s="721" t="s">
        <v>989</v>
      </c>
      <c r="K29" s="721" t="s">
        <v>990</v>
      </c>
      <c r="L29" s="724">
        <v>3.049356195E9</v>
      </c>
      <c r="M29" s="722" t="s">
        <v>1111</v>
      </c>
      <c r="N29" s="287"/>
      <c r="O29" s="221"/>
    </row>
    <row r="30">
      <c r="A30" s="721" t="s">
        <v>331</v>
      </c>
      <c r="B30" s="722" t="s">
        <v>333</v>
      </c>
      <c r="C30" s="287"/>
      <c r="D30" s="721" t="s">
        <v>1112</v>
      </c>
      <c r="E30" s="721" t="s">
        <v>986</v>
      </c>
      <c r="F30" s="721" t="s">
        <v>986</v>
      </c>
      <c r="G30" s="726">
        <v>37692.0</v>
      </c>
      <c r="H30" s="725" t="s">
        <v>1113</v>
      </c>
      <c r="I30" s="721" t="s">
        <v>1114</v>
      </c>
      <c r="J30" s="721" t="s">
        <v>989</v>
      </c>
      <c r="K30" s="721" t="s">
        <v>990</v>
      </c>
      <c r="L30" s="724">
        <v>3.20060332E9</v>
      </c>
      <c r="M30" s="722" t="s">
        <v>1115</v>
      </c>
      <c r="N30" s="287"/>
      <c r="O30" s="221"/>
    </row>
    <row r="31">
      <c r="A31" s="721" t="s">
        <v>392</v>
      </c>
      <c r="B31" s="722" t="s">
        <v>394</v>
      </c>
      <c r="C31" s="287"/>
      <c r="D31" s="721" t="s">
        <v>246</v>
      </c>
      <c r="E31" s="721" t="s">
        <v>986</v>
      </c>
      <c r="F31" s="721" t="s">
        <v>987</v>
      </c>
      <c r="G31" s="726">
        <v>35011.0</v>
      </c>
      <c r="H31" s="723">
        <v>45448.0</v>
      </c>
      <c r="I31" s="721" t="s">
        <v>1116</v>
      </c>
      <c r="J31" s="721" t="s">
        <v>1117</v>
      </c>
      <c r="K31" s="721" t="s">
        <v>1011</v>
      </c>
      <c r="L31" s="724">
        <v>3.035524549E9</v>
      </c>
      <c r="M31" s="722" t="s">
        <v>1118</v>
      </c>
      <c r="N31" s="287"/>
      <c r="O31" s="221"/>
    </row>
    <row r="32">
      <c r="A32" s="721" t="s">
        <v>451</v>
      </c>
      <c r="B32" s="722" t="s">
        <v>415</v>
      </c>
      <c r="C32" s="287"/>
      <c r="D32" s="721" t="s">
        <v>1119</v>
      </c>
      <c r="E32" s="721" t="s">
        <v>986</v>
      </c>
      <c r="F32" s="721" t="s">
        <v>986</v>
      </c>
      <c r="G32" s="726">
        <v>36443.0</v>
      </c>
      <c r="H32" s="723">
        <v>45357.0</v>
      </c>
      <c r="I32" s="721" t="s">
        <v>1120</v>
      </c>
      <c r="J32" s="721" t="s">
        <v>1121</v>
      </c>
      <c r="K32" s="721" t="s">
        <v>1011</v>
      </c>
      <c r="L32" s="724">
        <v>3.487116129E9</v>
      </c>
      <c r="M32" s="722" t="s">
        <v>1122</v>
      </c>
      <c r="N32" s="287"/>
      <c r="O32" s="221"/>
    </row>
    <row r="33">
      <c r="A33" s="721" t="s">
        <v>87</v>
      </c>
      <c r="B33" s="722" t="s">
        <v>89</v>
      </c>
      <c r="C33" s="287"/>
      <c r="D33" s="721" t="s">
        <v>1123</v>
      </c>
      <c r="E33" s="721" t="s">
        <v>986</v>
      </c>
      <c r="F33" s="721" t="s">
        <v>987</v>
      </c>
      <c r="G33" s="725" t="s">
        <v>1124</v>
      </c>
      <c r="H33" s="723">
        <v>44934.0</v>
      </c>
      <c r="I33" s="721" t="s">
        <v>1125</v>
      </c>
      <c r="J33" s="721" t="s">
        <v>989</v>
      </c>
      <c r="K33" s="721" t="s">
        <v>990</v>
      </c>
      <c r="L33" s="724">
        <v>3.156450213E9</v>
      </c>
      <c r="M33" s="722" t="s">
        <v>1126</v>
      </c>
      <c r="N33" s="287"/>
      <c r="O33" s="221"/>
    </row>
    <row r="34">
      <c r="A34" s="721" t="s">
        <v>334</v>
      </c>
      <c r="B34" s="722" t="s">
        <v>336</v>
      </c>
      <c r="C34" s="287"/>
      <c r="D34" s="721" t="s">
        <v>1127</v>
      </c>
      <c r="E34" s="721" t="s">
        <v>986</v>
      </c>
      <c r="F34" s="721" t="s">
        <v>987</v>
      </c>
      <c r="G34" s="725" t="s">
        <v>1128</v>
      </c>
      <c r="H34" s="723">
        <v>45385.0</v>
      </c>
      <c r="I34" s="721" t="s">
        <v>1129</v>
      </c>
      <c r="J34" s="721" t="s">
        <v>1010</v>
      </c>
      <c r="K34" s="721" t="s">
        <v>1011</v>
      </c>
      <c r="L34" s="724">
        <v>3.359032352E9</v>
      </c>
      <c r="M34" s="722" t="s">
        <v>1130</v>
      </c>
      <c r="N34" s="287"/>
      <c r="O34" s="221"/>
    </row>
    <row r="35">
      <c r="A35" s="721" t="s">
        <v>337</v>
      </c>
      <c r="B35" s="722" t="s">
        <v>339</v>
      </c>
      <c r="C35" s="287"/>
      <c r="D35" s="721" t="s">
        <v>219</v>
      </c>
      <c r="E35" s="721" t="s">
        <v>986</v>
      </c>
      <c r="F35" s="721" t="s">
        <v>987</v>
      </c>
      <c r="G35" s="726">
        <v>37539.0</v>
      </c>
      <c r="H35" s="726">
        <v>45599.0</v>
      </c>
      <c r="I35" s="721" t="s">
        <v>1131</v>
      </c>
      <c r="J35" s="721" t="s">
        <v>1132</v>
      </c>
      <c r="K35" s="721" t="s">
        <v>1011</v>
      </c>
      <c r="L35" s="724">
        <v>3.030593656E9</v>
      </c>
      <c r="M35" s="722" t="s">
        <v>1133</v>
      </c>
      <c r="N35" s="287"/>
      <c r="O35" s="221"/>
    </row>
    <row r="36">
      <c r="A36" s="721" t="s">
        <v>96</v>
      </c>
      <c r="B36" s="722" t="s">
        <v>98</v>
      </c>
      <c r="C36" s="287"/>
      <c r="D36" s="721" t="s">
        <v>1134</v>
      </c>
      <c r="E36" s="721" t="s">
        <v>986</v>
      </c>
      <c r="F36" s="721" t="s">
        <v>987</v>
      </c>
      <c r="G36" s="725" t="s">
        <v>1135</v>
      </c>
      <c r="H36" s="726">
        <v>45261.0</v>
      </c>
      <c r="I36" s="721" t="s">
        <v>1136</v>
      </c>
      <c r="J36" s="721" t="s">
        <v>1010</v>
      </c>
      <c r="K36" s="721" t="s">
        <v>1011</v>
      </c>
      <c r="L36" s="724">
        <v>3.14522776E9</v>
      </c>
      <c r="M36" s="722" t="s">
        <v>1137</v>
      </c>
      <c r="N36" s="287"/>
      <c r="O36" s="221"/>
    </row>
    <row r="37">
      <c r="A37" s="721" t="s">
        <v>452</v>
      </c>
      <c r="B37" s="722" t="s">
        <v>454</v>
      </c>
      <c r="C37" s="287"/>
      <c r="D37" s="721" t="s">
        <v>1138</v>
      </c>
      <c r="E37" s="721" t="s">
        <v>986</v>
      </c>
      <c r="F37" s="721" t="s">
        <v>987</v>
      </c>
      <c r="G37" s="723">
        <v>37629.0</v>
      </c>
      <c r="H37" s="725" t="s">
        <v>1139</v>
      </c>
      <c r="I37" s="721" t="s">
        <v>1140</v>
      </c>
      <c r="J37" s="721" t="s">
        <v>1141</v>
      </c>
      <c r="K37" s="721" t="s">
        <v>1011</v>
      </c>
      <c r="L37" s="724">
        <v>3.316405788E9</v>
      </c>
      <c r="M37" s="722" t="s">
        <v>1142</v>
      </c>
      <c r="N37" s="287"/>
      <c r="O37" s="221"/>
    </row>
    <row r="38">
      <c r="A38" s="721" t="s">
        <v>476</v>
      </c>
      <c r="B38" s="722" t="s">
        <v>477</v>
      </c>
      <c r="C38" s="287"/>
      <c r="D38" s="721" t="s">
        <v>1143</v>
      </c>
      <c r="E38" s="721" t="s">
        <v>986</v>
      </c>
      <c r="F38" s="721" t="s">
        <v>987</v>
      </c>
      <c r="G38" s="725" t="s">
        <v>1144</v>
      </c>
      <c r="H38" s="726">
        <v>45483.0</v>
      </c>
      <c r="I38" s="721" t="s">
        <v>1145</v>
      </c>
      <c r="J38" s="721" t="s">
        <v>989</v>
      </c>
      <c r="K38" s="721" t="s">
        <v>990</v>
      </c>
      <c r="L38" s="724">
        <v>3.045005203E9</v>
      </c>
      <c r="M38" s="722" t="s">
        <v>1146</v>
      </c>
      <c r="N38" s="287"/>
      <c r="O38" s="221"/>
    </row>
    <row r="39">
      <c r="A39" s="721" t="s">
        <v>102</v>
      </c>
      <c r="B39" s="722" t="s">
        <v>104</v>
      </c>
      <c r="C39" s="287"/>
      <c r="D39" s="721" t="s">
        <v>1147</v>
      </c>
      <c r="E39" s="721" t="s">
        <v>986</v>
      </c>
      <c r="F39" s="721" t="s">
        <v>987</v>
      </c>
      <c r="G39" s="723">
        <v>33270.0</v>
      </c>
      <c r="H39" s="723">
        <v>45445.0</v>
      </c>
      <c r="I39" s="721" t="s">
        <v>1148</v>
      </c>
      <c r="J39" s="721" t="s">
        <v>989</v>
      </c>
      <c r="K39" s="721" t="s">
        <v>990</v>
      </c>
      <c r="L39" s="724">
        <v>3.333750082E9</v>
      </c>
      <c r="M39" s="722" t="s">
        <v>1149</v>
      </c>
      <c r="N39" s="287"/>
      <c r="O39" s="221"/>
    </row>
    <row r="40">
      <c r="A40" s="721" t="s">
        <v>255</v>
      </c>
      <c r="B40" s="722" t="s">
        <v>257</v>
      </c>
      <c r="C40" s="287"/>
      <c r="D40" s="721" t="s">
        <v>1150</v>
      </c>
      <c r="E40" s="721" t="s">
        <v>986</v>
      </c>
      <c r="F40" s="721" t="s">
        <v>987</v>
      </c>
      <c r="G40" s="725" t="s">
        <v>1151</v>
      </c>
      <c r="H40" s="726">
        <v>45028.0</v>
      </c>
      <c r="I40" s="721" t="s">
        <v>1152</v>
      </c>
      <c r="J40" s="721" t="s">
        <v>989</v>
      </c>
      <c r="K40" s="721" t="s">
        <v>990</v>
      </c>
      <c r="L40" s="724">
        <v>3.335332347E9</v>
      </c>
      <c r="M40" s="722" t="s">
        <v>1153</v>
      </c>
      <c r="N40" s="287"/>
      <c r="O40" s="221"/>
    </row>
    <row r="41">
      <c r="A41" s="721" t="s">
        <v>340</v>
      </c>
      <c r="B41" s="722" t="s">
        <v>342</v>
      </c>
      <c r="C41" s="287"/>
      <c r="D41" s="721" t="s">
        <v>1154</v>
      </c>
      <c r="E41" s="721" t="s">
        <v>986</v>
      </c>
      <c r="F41" s="721" t="s">
        <v>987</v>
      </c>
      <c r="G41" s="726">
        <v>37876.0</v>
      </c>
      <c r="H41" s="723">
        <v>45385.0</v>
      </c>
      <c r="I41" s="721" t="s">
        <v>1155</v>
      </c>
      <c r="J41" s="721" t="s">
        <v>989</v>
      </c>
      <c r="K41" s="721" t="s">
        <v>990</v>
      </c>
      <c r="L41" s="724">
        <v>3.176886615E9</v>
      </c>
      <c r="M41" s="722" t="s">
        <v>1156</v>
      </c>
      <c r="N41" s="287"/>
      <c r="O41" s="221"/>
    </row>
    <row r="42">
      <c r="A42" s="721" t="s">
        <v>108</v>
      </c>
      <c r="B42" s="722" t="s">
        <v>110</v>
      </c>
      <c r="C42" s="287"/>
      <c r="D42" s="721" t="s">
        <v>1157</v>
      </c>
      <c r="E42" s="721" t="s">
        <v>986</v>
      </c>
      <c r="F42" s="721" t="s">
        <v>987</v>
      </c>
      <c r="G42" s="725" t="s">
        <v>1158</v>
      </c>
      <c r="H42" s="725" t="s">
        <v>1159</v>
      </c>
      <c r="I42" s="721" t="s">
        <v>1160</v>
      </c>
      <c r="J42" s="721" t="s">
        <v>989</v>
      </c>
      <c r="K42" s="721" t="s">
        <v>990</v>
      </c>
      <c r="L42" s="724">
        <v>3.060043628E9</v>
      </c>
      <c r="M42" s="722" t="s">
        <v>1161</v>
      </c>
      <c r="N42" s="287"/>
      <c r="O42" s="221"/>
    </row>
    <row r="43">
      <c r="A43" s="721" t="s">
        <v>395</v>
      </c>
      <c r="B43" s="722" t="s">
        <v>397</v>
      </c>
      <c r="C43" s="287"/>
      <c r="D43" s="721" t="s">
        <v>1162</v>
      </c>
      <c r="E43" s="721" t="s">
        <v>986</v>
      </c>
      <c r="F43" s="721" t="s">
        <v>987</v>
      </c>
      <c r="G43" s="723">
        <v>36527.0</v>
      </c>
      <c r="H43" s="725" t="s">
        <v>1163</v>
      </c>
      <c r="I43" s="721" t="s">
        <v>1164</v>
      </c>
      <c r="J43" s="721" t="s">
        <v>989</v>
      </c>
      <c r="K43" s="721" t="s">
        <v>990</v>
      </c>
      <c r="L43" s="724">
        <v>3.330263156E9</v>
      </c>
      <c r="M43" s="722" t="s">
        <v>1165</v>
      </c>
      <c r="N43" s="287"/>
      <c r="O43" s="221"/>
    </row>
    <row r="44">
      <c r="A44" s="721" t="s">
        <v>370</v>
      </c>
      <c r="B44" s="722" t="s">
        <v>372</v>
      </c>
      <c r="C44" s="287"/>
      <c r="D44" s="721" t="s">
        <v>1166</v>
      </c>
      <c r="E44" s="721" t="s">
        <v>986</v>
      </c>
      <c r="F44" s="721" t="s">
        <v>987</v>
      </c>
      <c r="G44" s="723">
        <v>35435.0</v>
      </c>
      <c r="H44" s="723">
        <v>45295.0</v>
      </c>
      <c r="I44" s="721" t="s">
        <v>1167</v>
      </c>
      <c r="J44" s="721" t="s">
        <v>989</v>
      </c>
      <c r="K44" s="721" t="s">
        <v>990</v>
      </c>
      <c r="L44" s="724">
        <v>3.088982489E9</v>
      </c>
      <c r="M44" s="722" t="s">
        <v>1168</v>
      </c>
      <c r="N44" s="287"/>
      <c r="O44" s="221"/>
    </row>
    <row r="45">
      <c r="A45" s="721" t="s">
        <v>114</v>
      </c>
      <c r="B45" s="722" t="s">
        <v>456</v>
      </c>
      <c r="C45" s="287"/>
      <c r="D45" s="721" t="s">
        <v>1169</v>
      </c>
      <c r="E45" s="721" t="s">
        <v>986</v>
      </c>
      <c r="F45" s="721" t="s">
        <v>987</v>
      </c>
      <c r="G45" s="725" t="s">
        <v>1170</v>
      </c>
      <c r="H45" s="725" t="s">
        <v>1171</v>
      </c>
      <c r="I45" s="721" t="s">
        <v>1172</v>
      </c>
      <c r="J45" s="721" t="s">
        <v>989</v>
      </c>
      <c r="K45" s="721" t="s">
        <v>990</v>
      </c>
      <c r="L45" s="724">
        <v>3.109776668E9</v>
      </c>
      <c r="M45" s="722" t="s">
        <v>1173</v>
      </c>
      <c r="N45" s="287"/>
      <c r="O45" s="221"/>
    </row>
    <row r="46">
      <c r="A46" s="721" t="s">
        <v>457</v>
      </c>
      <c r="B46" s="722" t="s">
        <v>458</v>
      </c>
      <c r="C46" s="287"/>
      <c r="D46" s="721" t="s">
        <v>1174</v>
      </c>
      <c r="E46" s="721" t="s">
        <v>986</v>
      </c>
      <c r="F46" s="721" t="s">
        <v>987</v>
      </c>
      <c r="G46" s="725" t="s">
        <v>1175</v>
      </c>
      <c r="H46" s="725" t="s">
        <v>1068</v>
      </c>
      <c r="I46" s="721" t="s">
        <v>1176</v>
      </c>
      <c r="J46" s="721" t="s">
        <v>1177</v>
      </c>
      <c r="K46" s="721" t="s">
        <v>1061</v>
      </c>
      <c r="L46" s="724">
        <v>3.352190046E9</v>
      </c>
      <c r="M46" s="722" t="s">
        <v>1178</v>
      </c>
      <c r="N46" s="287"/>
      <c r="O46" s="221"/>
    </row>
    <row r="47">
      <c r="A47" s="721" t="s">
        <v>120</v>
      </c>
      <c r="B47" s="722" t="s">
        <v>122</v>
      </c>
      <c r="C47" s="287"/>
      <c r="D47" s="721" t="s">
        <v>1179</v>
      </c>
      <c r="E47" s="721" t="s">
        <v>986</v>
      </c>
      <c r="F47" s="721" t="s">
        <v>987</v>
      </c>
      <c r="G47" s="725" t="s">
        <v>1180</v>
      </c>
      <c r="H47" s="725" t="s">
        <v>1181</v>
      </c>
      <c r="I47" s="721" t="s">
        <v>1182</v>
      </c>
      <c r="J47" s="721" t="s">
        <v>989</v>
      </c>
      <c r="K47" s="721" t="s">
        <v>990</v>
      </c>
      <c r="L47" s="724">
        <v>3.156629395E9</v>
      </c>
      <c r="M47" s="722" t="s">
        <v>1183</v>
      </c>
      <c r="N47" s="287"/>
      <c r="O47" s="221"/>
    </row>
    <row r="48">
      <c r="A48" s="721" t="s">
        <v>343</v>
      </c>
      <c r="B48" s="722" t="s">
        <v>345</v>
      </c>
      <c r="C48" s="287"/>
      <c r="D48" s="721" t="s">
        <v>1184</v>
      </c>
      <c r="E48" s="721" t="s">
        <v>986</v>
      </c>
      <c r="F48" s="721" t="s">
        <v>987</v>
      </c>
      <c r="G48" s="725" t="s">
        <v>1185</v>
      </c>
      <c r="H48" s="726">
        <v>45599.0</v>
      </c>
      <c r="I48" s="721" t="s">
        <v>995</v>
      </c>
      <c r="J48" s="721" t="s">
        <v>989</v>
      </c>
      <c r="K48" s="721" t="s">
        <v>990</v>
      </c>
      <c r="L48" s="724">
        <v>3.106342969E9</v>
      </c>
      <c r="M48" s="722" t="s">
        <v>1186</v>
      </c>
      <c r="N48" s="287"/>
      <c r="O48" s="221"/>
    </row>
    <row r="49">
      <c r="A49" s="721" t="s">
        <v>429</v>
      </c>
      <c r="B49" s="722" t="s">
        <v>430</v>
      </c>
      <c r="C49" s="287"/>
      <c r="D49" s="721" t="s">
        <v>1187</v>
      </c>
      <c r="E49" s="721" t="s">
        <v>986</v>
      </c>
      <c r="F49" s="721" t="s">
        <v>987</v>
      </c>
      <c r="G49" s="723">
        <v>37257.0</v>
      </c>
      <c r="H49" s="723">
        <v>45511.0</v>
      </c>
      <c r="I49" s="721" t="s">
        <v>1188</v>
      </c>
      <c r="J49" s="721" t="s">
        <v>1043</v>
      </c>
      <c r="K49" s="721" t="s">
        <v>1011</v>
      </c>
      <c r="L49" s="724">
        <v>3.117263569E9</v>
      </c>
      <c r="M49" s="722" t="s">
        <v>1189</v>
      </c>
      <c r="N49" s="287"/>
      <c r="O49" s="221"/>
    </row>
    <row r="50">
      <c r="A50" s="721" t="s">
        <v>416</v>
      </c>
      <c r="B50" s="722" t="s">
        <v>417</v>
      </c>
      <c r="C50" s="287"/>
      <c r="D50" s="721" t="s">
        <v>1190</v>
      </c>
      <c r="E50" s="721" t="s">
        <v>986</v>
      </c>
      <c r="F50" s="721" t="s">
        <v>987</v>
      </c>
      <c r="G50" s="723">
        <v>36287.0</v>
      </c>
      <c r="H50" s="726">
        <v>45571.0</v>
      </c>
      <c r="I50" s="721" t="s">
        <v>1191</v>
      </c>
      <c r="J50" s="721" t="s">
        <v>989</v>
      </c>
      <c r="K50" s="721" t="s">
        <v>990</v>
      </c>
      <c r="L50" s="724">
        <v>3.17541971E9</v>
      </c>
      <c r="M50" s="722" t="s">
        <v>1192</v>
      </c>
      <c r="N50" s="287"/>
      <c r="O50" s="221"/>
    </row>
    <row r="51">
      <c r="A51" s="721" t="s">
        <v>132</v>
      </c>
      <c r="B51" s="722" t="s">
        <v>418</v>
      </c>
      <c r="C51" s="287"/>
      <c r="D51" s="721" t="s">
        <v>1193</v>
      </c>
      <c r="E51" s="721" t="s">
        <v>986</v>
      </c>
      <c r="F51" s="721" t="s">
        <v>987</v>
      </c>
      <c r="G51" s="725" t="s">
        <v>1194</v>
      </c>
      <c r="H51" s="725" t="s">
        <v>1195</v>
      </c>
      <c r="I51" s="721" t="s">
        <v>1196</v>
      </c>
      <c r="J51" s="721" t="s">
        <v>1197</v>
      </c>
      <c r="K51" s="721" t="s">
        <v>1011</v>
      </c>
      <c r="L51" s="724">
        <v>3.335963655E9</v>
      </c>
      <c r="M51" s="722" t="s">
        <v>1198</v>
      </c>
      <c r="N51" s="287"/>
      <c r="O51" s="221"/>
    </row>
    <row r="52">
      <c r="A52" s="721" t="s">
        <v>373</v>
      </c>
      <c r="B52" s="722" t="s">
        <v>375</v>
      </c>
      <c r="C52" s="287"/>
      <c r="D52" s="721" t="s">
        <v>1199</v>
      </c>
      <c r="E52" s="721" t="s">
        <v>986</v>
      </c>
      <c r="F52" s="721" t="s">
        <v>987</v>
      </c>
      <c r="G52" s="725" t="s">
        <v>1200</v>
      </c>
      <c r="H52" s="725" t="s">
        <v>1201</v>
      </c>
      <c r="I52" s="721" t="s">
        <v>1202</v>
      </c>
      <c r="J52" s="721" t="s">
        <v>989</v>
      </c>
      <c r="K52" s="721" t="s">
        <v>990</v>
      </c>
      <c r="L52" s="724">
        <v>3.104665616E9</v>
      </c>
      <c r="M52" s="722" t="s">
        <v>1203</v>
      </c>
      <c r="N52" s="287"/>
      <c r="O52" s="221"/>
    </row>
    <row r="53">
      <c r="A53" s="721" t="s">
        <v>349</v>
      </c>
      <c r="B53" s="722" t="s">
        <v>351</v>
      </c>
      <c r="C53" s="287"/>
      <c r="D53" s="721" t="s">
        <v>1204</v>
      </c>
      <c r="E53" s="721" t="s">
        <v>986</v>
      </c>
      <c r="F53" s="721" t="s">
        <v>987</v>
      </c>
      <c r="G53" s="725" t="s">
        <v>1205</v>
      </c>
      <c r="H53" s="723">
        <v>45385.0</v>
      </c>
      <c r="I53" s="721" t="s">
        <v>1206</v>
      </c>
      <c r="J53" s="721" t="s">
        <v>989</v>
      </c>
      <c r="K53" s="721" t="s">
        <v>990</v>
      </c>
      <c r="L53" s="724">
        <v>3.046613171E9</v>
      </c>
      <c r="M53" s="722" t="s">
        <v>1207</v>
      </c>
      <c r="N53" s="287"/>
      <c r="O53" s="221"/>
    </row>
    <row r="54">
      <c r="A54" s="721" t="s">
        <v>352</v>
      </c>
      <c r="B54" s="722" t="s">
        <v>354</v>
      </c>
      <c r="C54" s="287"/>
      <c r="D54" s="721" t="s">
        <v>1208</v>
      </c>
      <c r="E54" s="721" t="s">
        <v>986</v>
      </c>
      <c r="F54" s="721" t="s">
        <v>987</v>
      </c>
      <c r="G54" s="723">
        <v>36412.0</v>
      </c>
      <c r="H54" s="723">
        <v>45385.0</v>
      </c>
      <c r="I54" s="721" t="s">
        <v>1209</v>
      </c>
      <c r="J54" s="721" t="s">
        <v>1010</v>
      </c>
      <c r="K54" s="721" t="s">
        <v>1011</v>
      </c>
      <c r="L54" s="724">
        <v>3.153564794E9</v>
      </c>
      <c r="M54" s="722" t="s">
        <v>1210</v>
      </c>
      <c r="N54" s="287"/>
      <c r="O54" s="221"/>
    </row>
    <row r="55">
      <c r="A55" s="721" t="s">
        <v>419</v>
      </c>
      <c r="B55" s="722" t="s">
        <v>420</v>
      </c>
      <c r="C55" s="287"/>
      <c r="D55" s="721" t="s">
        <v>1211</v>
      </c>
      <c r="E55" s="721" t="s">
        <v>986</v>
      </c>
      <c r="F55" s="721" t="s">
        <v>987</v>
      </c>
      <c r="G55" s="725" t="s">
        <v>1212</v>
      </c>
      <c r="H55" s="723">
        <v>45357.0</v>
      </c>
      <c r="I55" s="721" t="s">
        <v>1213</v>
      </c>
      <c r="J55" s="721" t="s">
        <v>989</v>
      </c>
      <c r="K55" s="721" t="s">
        <v>990</v>
      </c>
      <c r="L55" s="724">
        <v>3.335165431E9</v>
      </c>
      <c r="M55" s="722" t="s">
        <v>1214</v>
      </c>
      <c r="N55" s="287"/>
      <c r="O55" s="221"/>
    </row>
    <row r="56">
      <c r="A56" s="721" t="s">
        <v>273</v>
      </c>
      <c r="B56" s="722" t="s">
        <v>275</v>
      </c>
      <c r="C56" s="287"/>
      <c r="D56" s="721" t="s">
        <v>1215</v>
      </c>
      <c r="E56" s="721" t="s">
        <v>1105</v>
      </c>
      <c r="F56" s="721" t="s">
        <v>986</v>
      </c>
      <c r="G56" s="723">
        <v>34522.0</v>
      </c>
      <c r="H56" s="723">
        <v>45292.0</v>
      </c>
      <c r="I56" s="721" t="s">
        <v>1216</v>
      </c>
      <c r="J56" s="721" t="s">
        <v>1010</v>
      </c>
      <c r="K56" s="721" t="s">
        <v>1011</v>
      </c>
      <c r="L56" s="724">
        <v>3.245255087E9</v>
      </c>
      <c r="M56" s="722" t="s">
        <v>1217</v>
      </c>
      <c r="N56" s="287"/>
      <c r="O56" s="221"/>
    </row>
    <row r="57">
      <c r="A57" s="721" t="s">
        <v>470</v>
      </c>
      <c r="B57" s="722" t="s">
        <v>472</v>
      </c>
      <c r="C57" s="287"/>
      <c r="D57" s="721" t="s">
        <v>1218</v>
      </c>
      <c r="E57" s="721" t="s">
        <v>986</v>
      </c>
      <c r="F57" s="721" t="s">
        <v>987</v>
      </c>
      <c r="G57" s="725" t="s">
        <v>1219</v>
      </c>
      <c r="H57" s="723">
        <v>45544.0</v>
      </c>
      <c r="I57" s="721" t="s">
        <v>1220</v>
      </c>
      <c r="J57" s="721" t="s">
        <v>989</v>
      </c>
      <c r="K57" s="721" t="s">
        <v>990</v>
      </c>
      <c r="L57" s="724">
        <v>3.178081823E9</v>
      </c>
      <c r="M57" s="722" t="s">
        <v>1221</v>
      </c>
      <c r="N57" s="287"/>
      <c r="O57" s="221"/>
    </row>
    <row r="58">
      <c r="A58" s="721" t="s">
        <v>162</v>
      </c>
      <c r="B58" s="722" t="s">
        <v>164</v>
      </c>
      <c r="C58" s="287"/>
      <c r="D58" s="721" t="s">
        <v>1222</v>
      </c>
      <c r="E58" s="721" t="s">
        <v>986</v>
      </c>
      <c r="F58" s="721" t="s">
        <v>987</v>
      </c>
      <c r="G58" s="723">
        <v>34732.0</v>
      </c>
      <c r="H58" s="723">
        <v>44929.0</v>
      </c>
      <c r="I58" s="721" t="s">
        <v>1223</v>
      </c>
      <c r="J58" s="721" t="s">
        <v>1010</v>
      </c>
      <c r="K58" s="721" t="s">
        <v>1011</v>
      </c>
      <c r="L58" s="724">
        <v>3.135220192E9</v>
      </c>
      <c r="M58" s="722" t="s">
        <v>1224</v>
      </c>
      <c r="N58" s="287"/>
      <c r="O58" s="221"/>
    </row>
    <row r="59">
      <c r="A59" s="721" t="s">
        <v>355</v>
      </c>
      <c r="B59" s="722" t="s">
        <v>357</v>
      </c>
      <c r="C59" s="287"/>
      <c r="D59" s="721" t="s">
        <v>1225</v>
      </c>
      <c r="E59" s="721" t="s">
        <v>986</v>
      </c>
      <c r="F59" s="721" t="s">
        <v>986</v>
      </c>
      <c r="G59" s="725" t="s">
        <v>1226</v>
      </c>
      <c r="H59" s="725" t="s">
        <v>1227</v>
      </c>
      <c r="I59" s="721" t="s">
        <v>1228</v>
      </c>
      <c r="J59" s="721" t="s">
        <v>1049</v>
      </c>
      <c r="K59" s="721" t="s">
        <v>1011</v>
      </c>
      <c r="L59" s="724">
        <v>3.044020174E9</v>
      </c>
      <c r="M59" s="722" t="s">
        <v>1229</v>
      </c>
      <c r="N59" s="287"/>
      <c r="O59" s="221"/>
    </row>
    <row r="60">
      <c r="A60" s="721" t="s">
        <v>431</v>
      </c>
      <c r="B60" s="722" t="s">
        <v>378</v>
      </c>
      <c r="C60" s="287"/>
      <c r="D60" s="721" t="s">
        <v>1230</v>
      </c>
      <c r="E60" s="721" t="s">
        <v>986</v>
      </c>
      <c r="F60" s="721" t="s">
        <v>987</v>
      </c>
      <c r="G60" s="723">
        <v>36408.0</v>
      </c>
      <c r="H60" s="723">
        <v>45358.0</v>
      </c>
      <c r="I60" s="721" t="s">
        <v>1231</v>
      </c>
      <c r="J60" s="721" t="s">
        <v>1010</v>
      </c>
      <c r="K60" s="721" t="s">
        <v>1011</v>
      </c>
      <c r="L60" s="724">
        <v>3.365545394E9</v>
      </c>
      <c r="M60" s="722" t="s">
        <v>1232</v>
      </c>
      <c r="N60" s="287"/>
      <c r="O60" s="221"/>
    </row>
    <row r="61">
      <c r="A61" s="721" t="s">
        <v>183</v>
      </c>
      <c r="B61" s="722" t="s">
        <v>185</v>
      </c>
      <c r="C61" s="287"/>
      <c r="D61" s="721" t="s">
        <v>1233</v>
      </c>
      <c r="E61" s="721" t="s">
        <v>986</v>
      </c>
      <c r="F61" s="721" t="s">
        <v>987</v>
      </c>
      <c r="G61" s="725" t="s">
        <v>1234</v>
      </c>
      <c r="H61" s="726">
        <v>44907.0</v>
      </c>
      <c r="I61" s="721" t="s">
        <v>1235</v>
      </c>
      <c r="J61" s="721" t="s">
        <v>1010</v>
      </c>
      <c r="K61" s="721" t="s">
        <v>1011</v>
      </c>
      <c r="L61" s="724">
        <v>3.180588224E9</v>
      </c>
      <c r="M61" s="722" t="s">
        <v>1236</v>
      </c>
      <c r="N61" s="287"/>
      <c r="O61" s="221"/>
    </row>
    <row r="62">
      <c r="A62" s="721" t="s">
        <v>301</v>
      </c>
      <c r="B62" s="722" t="s">
        <v>303</v>
      </c>
      <c r="C62" s="287"/>
      <c r="D62" s="721" t="s">
        <v>1237</v>
      </c>
      <c r="E62" s="721" t="s">
        <v>986</v>
      </c>
      <c r="F62" s="721" t="s">
        <v>986</v>
      </c>
      <c r="G62" s="726">
        <v>37168.0</v>
      </c>
      <c r="H62" s="726">
        <v>45087.0</v>
      </c>
      <c r="I62" s="721" t="s">
        <v>1238</v>
      </c>
      <c r="J62" s="721" t="s">
        <v>989</v>
      </c>
      <c r="K62" s="721" t="s">
        <v>990</v>
      </c>
      <c r="L62" s="724">
        <v>3.337161677E9</v>
      </c>
      <c r="M62" s="722" t="s">
        <v>1239</v>
      </c>
      <c r="N62" s="287"/>
      <c r="O62" s="221"/>
    </row>
    <row r="63">
      <c r="A63" s="721" t="s">
        <v>432</v>
      </c>
      <c r="B63" s="722" t="s">
        <v>433</v>
      </c>
      <c r="C63" s="287"/>
      <c r="D63" s="721" t="s">
        <v>1240</v>
      </c>
      <c r="E63" s="721" t="s">
        <v>986</v>
      </c>
      <c r="F63" s="721" t="s">
        <v>987</v>
      </c>
      <c r="G63" s="725" t="s">
        <v>1241</v>
      </c>
      <c r="H63" s="723">
        <v>45511.0</v>
      </c>
      <c r="I63" s="721" t="s">
        <v>1242</v>
      </c>
      <c r="J63" s="721" t="s">
        <v>1010</v>
      </c>
      <c r="K63" s="721" t="s">
        <v>1011</v>
      </c>
      <c r="L63" s="724">
        <v>3.333231759E9</v>
      </c>
      <c r="M63" s="722" t="s">
        <v>1243</v>
      </c>
      <c r="N63" s="287"/>
      <c r="O63" s="221"/>
    </row>
    <row r="64">
      <c r="A64" s="721" t="s">
        <v>434</v>
      </c>
      <c r="B64" s="722" t="s">
        <v>435</v>
      </c>
      <c r="C64" s="287"/>
      <c r="D64" s="721" t="s">
        <v>1055</v>
      </c>
      <c r="E64" s="721" t="s">
        <v>986</v>
      </c>
      <c r="F64" s="721" t="s">
        <v>987</v>
      </c>
      <c r="G64" s="723">
        <v>37506.0</v>
      </c>
      <c r="H64" s="725" t="s">
        <v>1139</v>
      </c>
      <c r="I64" s="721" t="s">
        <v>1244</v>
      </c>
      <c r="J64" s="721" t="s">
        <v>1245</v>
      </c>
      <c r="K64" s="721" t="s">
        <v>1011</v>
      </c>
      <c r="L64" s="724">
        <v>3.195025095E9</v>
      </c>
      <c r="M64" s="722" t="s">
        <v>1246</v>
      </c>
      <c r="N64" s="287"/>
      <c r="O64" s="221"/>
    </row>
    <row r="65">
      <c r="A65" s="721" t="s">
        <v>401</v>
      </c>
      <c r="B65" s="722" t="s">
        <v>403</v>
      </c>
      <c r="C65" s="287"/>
      <c r="D65" s="721" t="s">
        <v>1247</v>
      </c>
      <c r="E65" s="721" t="s">
        <v>986</v>
      </c>
      <c r="F65" s="721" t="s">
        <v>987</v>
      </c>
      <c r="G65" s="725" t="s">
        <v>1248</v>
      </c>
      <c r="H65" s="725" t="s">
        <v>1163</v>
      </c>
      <c r="I65" s="721" t="s">
        <v>1249</v>
      </c>
      <c r="J65" s="721" t="s">
        <v>1005</v>
      </c>
      <c r="K65" s="721" t="s">
        <v>1006</v>
      </c>
      <c r="L65" s="724">
        <v>3.142344556E9</v>
      </c>
      <c r="M65" s="722" t="s">
        <v>1250</v>
      </c>
      <c r="N65" s="287"/>
      <c r="O65" s="221"/>
    </row>
    <row r="66">
      <c r="A66" s="721" t="s">
        <v>460</v>
      </c>
      <c r="B66" s="722" t="s">
        <v>461</v>
      </c>
      <c r="C66" s="287"/>
      <c r="D66" s="721" t="s">
        <v>1251</v>
      </c>
      <c r="E66" s="721" t="s">
        <v>986</v>
      </c>
      <c r="F66" s="721" t="s">
        <v>987</v>
      </c>
      <c r="G66" s="725" t="s">
        <v>1252</v>
      </c>
      <c r="H66" s="725" t="s">
        <v>1068</v>
      </c>
      <c r="I66" s="721" t="s">
        <v>1253</v>
      </c>
      <c r="J66" s="721" t="s">
        <v>989</v>
      </c>
      <c r="K66" s="721" t="s">
        <v>990</v>
      </c>
      <c r="L66" s="724">
        <v>3.342360431E9</v>
      </c>
      <c r="M66" s="722" t="s">
        <v>1254</v>
      </c>
      <c r="N66" s="287"/>
      <c r="O66" s="221"/>
    </row>
    <row r="67">
      <c r="A67" s="721" t="s">
        <v>462</v>
      </c>
      <c r="B67" s="722" t="s">
        <v>463</v>
      </c>
      <c r="C67" s="287"/>
      <c r="D67" s="721" t="s">
        <v>1255</v>
      </c>
      <c r="E67" s="721" t="s">
        <v>986</v>
      </c>
      <c r="F67" s="721" t="s">
        <v>987</v>
      </c>
      <c r="G67" s="726">
        <v>34647.0</v>
      </c>
      <c r="H67" s="725" t="s">
        <v>1256</v>
      </c>
      <c r="I67" s="721" t="s">
        <v>1257</v>
      </c>
      <c r="J67" s="721" t="s">
        <v>989</v>
      </c>
      <c r="K67" s="721" t="s">
        <v>990</v>
      </c>
      <c r="L67" s="724">
        <v>3.340295575E9</v>
      </c>
      <c r="M67" s="722" t="s">
        <v>1258</v>
      </c>
      <c r="N67" s="287"/>
      <c r="O67" s="221"/>
    </row>
    <row r="68">
      <c r="A68" s="721" t="s">
        <v>423</v>
      </c>
      <c r="B68" s="722" t="s">
        <v>424</v>
      </c>
      <c r="C68" s="287"/>
      <c r="D68" s="721" t="s">
        <v>1259</v>
      </c>
      <c r="E68" s="721" t="s">
        <v>986</v>
      </c>
      <c r="F68" s="721" t="s">
        <v>986</v>
      </c>
      <c r="G68" s="725" t="s">
        <v>1260</v>
      </c>
      <c r="H68" s="725" t="s">
        <v>1195</v>
      </c>
      <c r="I68" s="721" t="s">
        <v>1261</v>
      </c>
      <c r="J68" s="721" t="s">
        <v>989</v>
      </c>
      <c r="K68" s="721" t="s">
        <v>990</v>
      </c>
      <c r="L68" s="724">
        <v>3.335099887E9</v>
      </c>
      <c r="M68" s="722" t="s">
        <v>1262</v>
      </c>
      <c r="N68" s="287"/>
      <c r="O68" s="221"/>
    </row>
    <row r="69">
      <c r="A69" s="721" t="s">
        <v>304</v>
      </c>
      <c r="B69" s="722" t="s">
        <v>306</v>
      </c>
      <c r="C69" s="287"/>
      <c r="D69" s="721" t="s">
        <v>1263</v>
      </c>
      <c r="E69" s="721" t="s">
        <v>986</v>
      </c>
      <c r="F69" s="721" t="s">
        <v>987</v>
      </c>
      <c r="G69" s="725" t="s">
        <v>1264</v>
      </c>
      <c r="H69" s="725" t="s">
        <v>1265</v>
      </c>
      <c r="I69" s="721" t="s">
        <v>1266</v>
      </c>
      <c r="J69" s="721" t="s">
        <v>1049</v>
      </c>
      <c r="K69" s="721" t="s">
        <v>1011</v>
      </c>
      <c r="L69" s="724">
        <v>3.474897724E9</v>
      </c>
      <c r="M69" s="722" t="s">
        <v>1267</v>
      </c>
      <c r="N69" s="287"/>
      <c r="O69" s="221"/>
    </row>
    <row r="70">
      <c r="A70" s="721" t="s">
        <v>213</v>
      </c>
      <c r="B70" s="722" t="s">
        <v>215</v>
      </c>
      <c r="C70" s="287"/>
      <c r="D70" s="721" t="s">
        <v>1268</v>
      </c>
      <c r="E70" s="721" t="s">
        <v>986</v>
      </c>
      <c r="F70" s="721" t="s">
        <v>987</v>
      </c>
      <c r="G70" s="725" t="s">
        <v>1269</v>
      </c>
      <c r="H70" s="725" t="s">
        <v>1270</v>
      </c>
      <c r="I70" s="721" t="s">
        <v>1271</v>
      </c>
      <c r="J70" s="721" t="s">
        <v>989</v>
      </c>
      <c r="K70" s="721" t="s">
        <v>990</v>
      </c>
      <c r="L70" s="724">
        <v>3.349490777E9</v>
      </c>
      <c r="M70" s="722" t="s">
        <v>1272</v>
      </c>
      <c r="N70" s="287"/>
      <c r="O70" s="221"/>
    </row>
    <row r="71">
      <c r="A71" s="721" t="s">
        <v>425</v>
      </c>
      <c r="B71" s="722" t="s">
        <v>426</v>
      </c>
      <c r="C71" s="287"/>
      <c r="D71" s="721" t="s">
        <v>1273</v>
      </c>
      <c r="E71" s="721" t="s">
        <v>986</v>
      </c>
      <c r="F71" s="721" t="s">
        <v>987</v>
      </c>
      <c r="G71" s="723">
        <v>36647.0</v>
      </c>
      <c r="H71" s="723">
        <v>45357.0</v>
      </c>
      <c r="I71" s="721" t="s">
        <v>1274</v>
      </c>
      <c r="J71" s="721" t="s">
        <v>989</v>
      </c>
      <c r="K71" s="721" t="s">
        <v>990</v>
      </c>
      <c r="L71" s="724">
        <v>3.338355389E9</v>
      </c>
      <c r="M71" s="722" t="s">
        <v>1275</v>
      </c>
      <c r="N71" s="287"/>
      <c r="O71" s="221"/>
    </row>
    <row r="72">
      <c r="A72" s="721" t="s">
        <v>442</v>
      </c>
      <c r="B72" s="722" t="s">
        <v>218</v>
      </c>
      <c r="C72" s="287"/>
      <c r="D72" s="721" t="s">
        <v>1276</v>
      </c>
      <c r="E72" s="721" t="s">
        <v>986</v>
      </c>
      <c r="F72" s="721" t="s">
        <v>986</v>
      </c>
      <c r="G72" s="725" t="s">
        <v>1277</v>
      </c>
      <c r="H72" s="726">
        <v>44904.0</v>
      </c>
      <c r="I72" s="721" t="s">
        <v>1278</v>
      </c>
      <c r="J72" s="721" t="s">
        <v>989</v>
      </c>
      <c r="K72" s="721" t="s">
        <v>990</v>
      </c>
      <c r="L72" s="724">
        <v>3.338633742E9</v>
      </c>
      <c r="M72" s="722" t="s">
        <v>1279</v>
      </c>
      <c r="N72" s="287"/>
      <c r="O72" s="221"/>
    </row>
    <row r="73">
      <c r="A73" s="721" t="s">
        <v>427</v>
      </c>
      <c r="B73" s="722" t="s">
        <v>428</v>
      </c>
      <c r="C73" s="287"/>
      <c r="D73" s="721" t="s">
        <v>1280</v>
      </c>
      <c r="E73" s="721" t="s">
        <v>986</v>
      </c>
      <c r="F73" s="721" t="s">
        <v>986</v>
      </c>
      <c r="G73" s="725" t="s">
        <v>1281</v>
      </c>
      <c r="H73" s="726">
        <v>45571.0</v>
      </c>
      <c r="I73" s="721" t="s">
        <v>1282</v>
      </c>
      <c r="J73" s="721" t="s">
        <v>1117</v>
      </c>
      <c r="K73" s="721" t="s">
        <v>1011</v>
      </c>
      <c r="L73" s="724">
        <v>3.365825328E9</v>
      </c>
      <c r="M73" s="722" t="s">
        <v>1283</v>
      </c>
      <c r="N73" s="287"/>
      <c r="O73" s="221"/>
    </row>
    <row r="74">
      <c r="A74" s="721" t="s">
        <v>222</v>
      </c>
      <c r="B74" s="722" t="s">
        <v>224</v>
      </c>
      <c r="C74" s="287"/>
      <c r="D74" s="721" t="s">
        <v>1284</v>
      </c>
      <c r="E74" s="721" t="s">
        <v>986</v>
      </c>
      <c r="F74" s="721" t="s">
        <v>987</v>
      </c>
      <c r="G74" s="725" t="s">
        <v>1285</v>
      </c>
      <c r="H74" s="726">
        <v>45266.0</v>
      </c>
      <c r="I74" s="721" t="s">
        <v>1286</v>
      </c>
      <c r="J74" s="721" t="s">
        <v>1010</v>
      </c>
      <c r="K74" s="721" t="s">
        <v>1011</v>
      </c>
      <c r="L74" s="724">
        <v>3.557155254E9</v>
      </c>
      <c r="M74" s="722" t="s">
        <v>1287</v>
      </c>
      <c r="N74" s="287"/>
      <c r="O74" s="221"/>
    </row>
    <row r="75">
      <c r="A75" s="721" t="s">
        <v>225</v>
      </c>
      <c r="B75" s="722" t="s">
        <v>227</v>
      </c>
      <c r="C75" s="287"/>
      <c r="D75" s="721" t="s">
        <v>1288</v>
      </c>
      <c r="E75" s="721" t="s">
        <v>986</v>
      </c>
      <c r="F75" s="721" t="s">
        <v>987</v>
      </c>
      <c r="G75" s="725" t="s">
        <v>1289</v>
      </c>
      <c r="H75" s="725" t="s">
        <v>1290</v>
      </c>
      <c r="I75" s="721" t="s">
        <v>1291</v>
      </c>
      <c r="J75" s="721" t="s">
        <v>989</v>
      </c>
      <c r="K75" s="721" t="s">
        <v>990</v>
      </c>
      <c r="L75" s="724">
        <v>3.033009802E9</v>
      </c>
      <c r="M75" s="722" t="s">
        <v>1292</v>
      </c>
      <c r="N75" s="287"/>
      <c r="O75" s="221"/>
    </row>
    <row r="76">
      <c r="A76" s="721" t="s">
        <v>465</v>
      </c>
      <c r="B76" s="722" t="s">
        <v>466</v>
      </c>
      <c r="C76" s="287"/>
      <c r="D76" s="721" t="s">
        <v>1293</v>
      </c>
      <c r="E76" s="721" t="s">
        <v>986</v>
      </c>
      <c r="F76" s="721" t="s">
        <v>987</v>
      </c>
      <c r="G76" s="725" t="s">
        <v>1294</v>
      </c>
      <c r="H76" s="725" t="s">
        <v>1171</v>
      </c>
      <c r="I76" s="721" t="s">
        <v>1295</v>
      </c>
      <c r="J76" s="721" t="s">
        <v>989</v>
      </c>
      <c r="K76" s="721" t="s">
        <v>990</v>
      </c>
      <c r="L76" s="724">
        <v>3.015004924E9</v>
      </c>
      <c r="M76" s="722" t="s">
        <v>1296</v>
      </c>
      <c r="N76" s="287"/>
      <c r="O76" s="221"/>
    </row>
    <row r="77">
      <c r="A77" s="721" t="s">
        <v>228</v>
      </c>
      <c r="B77" s="722" t="s">
        <v>230</v>
      </c>
      <c r="C77" s="287"/>
      <c r="D77" s="721" t="s">
        <v>1297</v>
      </c>
      <c r="E77" s="721" t="s">
        <v>986</v>
      </c>
      <c r="F77" s="721" t="s">
        <v>986</v>
      </c>
      <c r="G77" s="726">
        <v>35684.0</v>
      </c>
      <c r="H77" s="725" t="s">
        <v>1298</v>
      </c>
      <c r="I77" s="721" t="s">
        <v>1299</v>
      </c>
      <c r="J77" s="721" t="s">
        <v>1049</v>
      </c>
      <c r="K77" s="721" t="s">
        <v>1011</v>
      </c>
      <c r="L77" s="724">
        <v>3.324392038E9</v>
      </c>
      <c r="M77" s="722" t="s">
        <v>1300</v>
      </c>
      <c r="N77" s="287"/>
      <c r="O77" s="221"/>
    </row>
    <row r="78">
      <c r="A78" s="721" t="s">
        <v>479</v>
      </c>
      <c r="B78" s="722" t="s">
        <v>480</v>
      </c>
      <c r="C78" s="287"/>
      <c r="D78" s="721" t="s">
        <v>1301</v>
      </c>
      <c r="E78" s="721" t="s">
        <v>986</v>
      </c>
      <c r="F78" s="721" t="s">
        <v>987</v>
      </c>
      <c r="G78" s="725" t="s">
        <v>1302</v>
      </c>
      <c r="H78" s="725" t="s">
        <v>1303</v>
      </c>
      <c r="I78" s="721" t="s">
        <v>1304</v>
      </c>
      <c r="J78" s="721" t="s">
        <v>989</v>
      </c>
      <c r="K78" s="721" t="s">
        <v>990</v>
      </c>
      <c r="L78" s="724">
        <v>3.355154839E9</v>
      </c>
      <c r="M78" s="722" t="s">
        <v>1305</v>
      </c>
      <c r="N78" s="287"/>
      <c r="O78" s="221"/>
    </row>
  </sheetData>
  <mergeCells count="154">
    <mergeCell ref="M20:N20"/>
    <mergeCell ref="M21:N21"/>
    <mergeCell ref="M22:N22"/>
    <mergeCell ref="M23:N23"/>
    <mergeCell ref="M24:N24"/>
    <mergeCell ref="M25:N25"/>
    <mergeCell ref="M26:N26"/>
    <mergeCell ref="M27:N27"/>
    <mergeCell ref="M28:N28"/>
    <mergeCell ref="M34:N34"/>
    <mergeCell ref="M35:N35"/>
    <mergeCell ref="M36:N36"/>
    <mergeCell ref="M37:N37"/>
    <mergeCell ref="M38:N38"/>
    <mergeCell ref="M39:N39"/>
    <mergeCell ref="M40:N40"/>
    <mergeCell ref="M41:N41"/>
    <mergeCell ref="M42:N42"/>
    <mergeCell ref="M43:N43"/>
    <mergeCell ref="M44:N44"/>
    <mergeCell ref="M45:N45"/>
    <mergeCell ref="M46:N46"/>
    <mergeCell ref="M47:N47"/>
    <mergeCell ref="M48:N48"/>
    <mergeCell ref="M49:N49"/>
    <mergeCell ref="M50:N50"/>
    <mergeCell ref="M51:N51"/>
    <mergeCell ref="M52:N52"/>
    <mergeCell ref="M53:N53"/>
    <mergeCell ref="M54:N54"/>
    <mergeCell ref="M55:N55"/>
    <mergeCell ref="M56:N56"/>
    <mergeCell ref="M57:N57"/>
    <mergeCell ref="M58:N58"/>
    <mergeCell ref="M59:N59"/>
    <mergeCell ref="M60:N60"/>
    <mergeCell ref="M61:N61"/>
    <mergeCell ref="M62:N62"/>
    <mergeCell ref="M63:N63"/>
    <mergeCell ref="M64:N64"/>
    <mergeCell ref="M65:N65"/>
    <mergeCell ref="M66:N66"/>
    <mergeCell ref="M74:N74"/>
    <mergeCell ref="M75:N75"/>
    <mergeCell ref="M76:N76"/>
    <mergeCell ref="M77:N77"/>
    <mergeCell ref="M78:N78"/>
    <mergeCell ref="M67:N67"/>
    <mergeCell ref="M68:N68"/>
    <mergeCell ref="M69:N69"/>
    <mergeCell ref="M70:N70"/>
    <mergeCell ref="M71:N71"/>
    <mergeCell ref="M72:N72"/>
    <mergeCell ref="M73:N73"/>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75:C75"/>
    <mergeCell ref="B76:C76"/>
    <mergeCell ref="B77:C77"/>
    <mergeCell ref="B78:C78"/>
    <mergeCell ref="B68:C68"/>
    <mergeCell ref="B69:C69"/>
    <mergeCell ref="B70:C70"/>
    <mergeCell ref="B71:C71"/>
    <mergeCell ref="B72:C72"/>
    <mergeCell ref="B73:C73"/>
    <mergeCell ref="B74:C74"/>
    <mergeCell ref="B2:C2"/>
    <mergeCell ref="M2:N2"/>
    <mergeCell ref="B3:C3"/>
    <mergeCell ref="M3:N3"/>
    <mergeCell ref="B4:C4"/>
    <mergeCell ref="M4:N4"/>
    <mergeCell ref="M5:N5"/>
    <mergeCell ref="B5:C5"/>
    <mergeCell ref="B6:C6"/>
    <mergeCell ref="B7:C7"/>
    <mergeCell ref="B8:C8"/>
    <mergeCell ref="B9:C9"/>
    <mergeCell ref="B10:C10"/>
    <mergeCell ref="B11:C11"/>
    <mergeCell ref="M6:N6"/>
    <mergeCell ref="M7:N7"/>
    <mergeCell ref="M8:N8"/>
    <mergeCell ref="M9:N9"/>
    <mergeCell ref="M10:N10"/>
    <mergeCell ref="M11:N11"/>
    <mergeCell ref="M12:N12"/>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M29:N29"/>
    <mergeCell ref="M30:N30"/>
    <mergeCell ref="M31:N31"/>
    <mergeCell ref="M32:N32"/>
    <mergeCell ref="M33:N33"/>
    <mergeCell ref="M13:N13"/>
    <mergeCell ref="M14:N14"/>
    <mergeCell ref="M15:N15"/>
    <mergeCell ref="M16:N16"/>
    <mergeCell ref="M17:N17"/>
    <mergeCell ref="M18:N18"/>
    <mergeCell ref="M19:N19"/>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0"/>
  </cols>
  <sheetData>
    <row r="1" ht="27.0" customHeight="1">
      <c r="A1" s="727" t="str">
        <f>IFERROR(__xludf.DUMMYFUNCTION("IMPORTRANGE(""1zdSgXwCb6GyGbQ1pMKaZDPdybyu9XrEfJWe72Efcq6g"",""Employees Data!A:AQ"")"),"ID")</f>
        <v>ID</v>
      </c>
      <c r="B1" s="727" t="str">
        <f>IFERROR(__xludf.DUMMYFUNCTION("""COMPUTED_VALUE"""),"Name")</f>
        <v>Name</v>
      </c>
      <c r="C1" s="727" t="str">
        <f>IFERROR(__xludf.DUMMYFUNCTION("""COMPUTED_VALUE"""),"Personal Email")</f>
        <v>Personal Email</v>
      </c>
      <c r="D1" s="727" t="str">
        <f>IFERROR(__xludf.DUMMYFUNCTION("""COMPUTED_VALUE"""),"Official Email")</f>
        <v>Official Email</v>
      </c>
      <c r="E1" s="727" t="str">
        <f>IFERROR(__xludf.DUMMYFUNCTION("""COMPUTED_VALUE"""),"Joining Date")</f>
        <v>Joining Date</v>
      </c>
      <c r="F1" s="727" t="str">
        <f>IFERROR(__xludf.DUMMYFUNCTION("""COMPUTED_VALUE"""),"Designation")</f>
        <v>Designation</v>
      </c>
      <c r="G1" s="727" t="str">
        <f>IFERROR(__xludf.DUMMYFUNCTION("""COMPUTED_VALUE"""),"Department")</f>
        <v>Department</v>
      </c>
      <c r="H1" s="727" t="str">
        <f>IFERROR(__xludf.DUMMYFUNCTION("""COMPUTED_VALUE"""),"Reporting Manager")</f>
        <v>Reporting Manager</v>
      </c>
      <c r="I1" s="727" t="str">
        <f>IFERROR(__xludf.DUMMYFUNCTION("""COMPUTED_VALUE"""),"Job Type")</f>
        <v>Job Type</v>
      </c>
      <c r="J1" s="727" t="str">
        <f>IFERROR(__xludf.DUMMYFUNCTION("""COMPUTED_VALUE"""),"Status")</f>
        <v>Status</v>
      </c>
      <c r="K1" s="727" t="str">
        <f>IFERROR(__xludf.DUMMYFUNCTION("""COMPUTED_VALUE"""),"Probation Period")</f>
        <v>Probation Period</v>
      </c>
      <c r="L1" s="727" t="str">
        <f>IFERROR(__xludf.DUMMYFUNCTION("""COMPUTED_VALUE"""),"Probation End Date")</f>
        <v>Probation End Date</v>
      </c>
      <c r="M1" s="727" t="str">
        <f>IFERROR(__xludf.DUMMYFUNCTION("""COMPUTED_VALUE"""),"Basic Salary")</f>
        <v>Basic Salary</v>
      </c>
      <c r="N1" s="727" t="str">
        <f>IFERROR(__xludf.DUMMYFUNCTION("""COMPUTED_VALUE"""),"Medical")</f>
        <v>Medical</v>
      </c>
      <c r="O1" s="727" t="str">
        <f>IFERROR(__xludf.DUMMYFUNCTION("""COMPUTED_VALUE"""),"Gross Salary")</f>
        <v>Gross Salary</v>
      </c>
      <c r="P1" s="727" t="str">
        <f>IFERROR(__xludf.DUMMYFUNCTION("""COMPUTED_VALUE"""),"Contact Number")</f>
        <v>Contact Number</v>
      </c>
      <c r="Q1" s="727" t="str">
        <f>IFERROR(__xludf.DUMMYFUNCTION("""COMPUTED_VALUE"""),"CNIC / ID")</f>
        <v>CNIC / ID</v>
      </c>
      <c r="R1" s="727" t="str">
        <f>IFERROR(__xludf.DUMMYFUNCTION("""COMPUTED_VALUE"""),"Gender")</f>
        <v>Gender</v>
      </c>
      <c r="S1" s="727" t="str">
        <f>IFERROR(__xludf.DUMMYFUNCTION("""COMPUTED_VALUE"""),"Bank Name")</f>
        <v>Bank Name</v>
      </c>
      <c r="T1" s="727" t="str">
        <f>IFERROR(__xludf.DUMMYFUNCTION("""COMPUTED_VALUE"""),"Bank Account Title")</f>
        <v>Bank Account Title</v>
      </c>
      <c r="U1" s="727" t="str">
        <f>IFERROR(__xludf.DUMMYFUNCTION("""COMPUTED_VALUE"""),"Bank Account Number-IBAN (24 digits)")</f>
        <v>Bank Account Number-IBAN (24 digits)</v>
      </c>
      <c r="V1" s="727" t="str">
        <f>IFERROR(__xludf.DUMMYFUNCTION("""COMPUTED_VALUE"""),"Swift Code/ BIC Code")</f>
        <v>Swift Code/ BIC Code</v>
      </c>
      <c r="W1" s="727" t="str">
        <f>IFERROR(__xludf.DUMMYFUNCTION("""COMPUTED_VALUE"""),"Routing Number")</f>
        <v>Routing Number</v>
      </c>
      <c r="X1" s="727" t="str">
        <f>IFERROR(__xludf.DUMMYFUNCTION("""COMPUTED_VALUE"""),"Employment Location")</f>
        <v>Employment Location</v>
      </c>
      <c r="Y1" s="727" t="str">
        <f>IFERROR(__xludf.DUMMYFUNCTION("""COMPUTED_VALUE"""),"Date of Birth")</f>
        <v>Date of Birth</v>
      </c>
      <c r="Z1" s="727" t="str">
        <f>IFERROR(__xludf.DUMMYFUNCTION("""COMPUTED_VALUE"""),"Age")</f>
        <v>Age</v>
      </c>
      <c r="AA1" s="727" t="str">
        <f>IFERROR(__xludf.DUMMYFUNCTION("""COMPUTED_VALUE"""),"Address")</f>
        <v>Address</v>
      </c>
      <c r="AB1" s="727" t="str">
        <f>IFERROR(__xludf.DUMMYFUNCTION("""COMPUTED_VALUE"""),"Nationality")</f>
        <v>Nationality</v>
      </c>
      <c r="AC1" s="727" t="str">
        <f>IFERROR(__xludf.DUMMYFUNCTION("""COMPUTED_VALUE"""),"Marital Status")</f>
        <v>Marital Status</v>
      </c>
      <c r="AD1" s="727" t="str">
        <f>IFERROR(__xludf.DUMMYFUNCTION("""COMPUTED_VALUE"""),"Number of Children")</f>
        <v>Number of Children</v>
      </c>
      <c r="AE1" s="727" t="str">
        <f>IFERROR(__xludf.DUMMYFUNCTION("""COMPUTED_VALUE"""),"Spouse - Name")</f>
        <v>Spouse - Name</v>
      </c>
      <c r="AF1" s="727" t="str">
        <f>IFERROR(__xludf.DUMMYFUNCTION("""COMPUTED_VALUE"""),"Spouse DOB")</f>
        <v>Spouse DOB</v>
      </c>
      <c r="AG1" s="727" t="str">
        <f>IFERROR(__xludf.DUMMYFUNCTION("""COMPUTED_VALUE"""),"Father's Name")</f>
        <v>Father's Name</v>
      </c>
      <c r="AH1" s="727" t="str">
        <f>IFERROR(__xludf.DUMMYFUNCTION("""COMPUTED_VALUE"""),"Emergency Contact's Relationship")</f>
        <v>Emergency Contact's Relationship</v>
      </c>
      <c r="AI1" s="727" t="str">
        <f>IFERROR(__xludf.DUMMYFUNCTION("""COMPUTED_VALUE"""),"Emergency Contact Number")</f>
        <v>Emergency Contact Number</v>
      </c>
      <c r="AJ1" s="727" t="str">
        <f>IFERROR(__xludf.DUMMYFUNCTION("""COMPUTED_VALUE"""),"Blood Group")</f>
        <v>Blood Group</v>
      </c>
      <c r="AK1" s="727" t="str">
        <f>IFERROR(__xludf.DUMMYFUNCTION("""COMPUTED_VALUE"""),"LinkedIn URL")</f>
        <v>LinkedIn URL</v>
      </c>
      <c r="AL1" s="727" t="str">
        <f>IFERROR(__xludf.DUMMYFUNCTION("""COMPUTED_VALUE"""),"Recruiter Name")</f>
        <v>Recruiter Name</v>
      </c>
      <c r="AM1" s="727" t="str">
        <f>IFERROR(__xludf.DUMMYFUNCTION("""COMPUTED_VALUE"""),"Employment End Date")</f>
        <v>Employment End Date</v>
      </c>
      <c r="AN1" s="727" t="str">
        <f>IFERROR(__xludf.DUMMYFUNCTION("""COMPUTED_VALUE"""),"Group Name")</f>
        <v>Group Name</v>
      </c>
      <c r="AO1" s="727" t="str">
        <f>IFERROR(__xludf.DUMMYFUNCTION("""COMPUTED_VALUE"""),"Group Email")</f>
        <v>Group Email</v>
      </c>
      <c r="AP1" s="727" t="str">
        <f>IFERROR(__xludf.DUMMYFUNCTION("""COMPUTED_VALUE"""),"Re-Joined")</f>
        <v>Re-Joined</v>
      </c>
      <c r="AQ1" s="727" t="str">
        <f>IFERROR(__xludf.DUMMYFUNCTION("""COMPUTED_VALUE"""),"Status")</f>
        <v>Status</v>
      </c>
      <c r="AR1" s="727"/>
      <c r="AS1" s="727"/>
      <c r="AT1" s="727"/>
      <c r="AU1" s="727"/>
      <c r="AV1" s="727"/>
      <c r="AW1" s="727"/>
      <c r="AX1" s="727"/>
      <c r="AY1" s="727"/>
      <c r="AZ1" s="727"/>
      <c r="BA1" s="727"/>
    </row>
    <row r="2">
      <c r="A2" s="228">
        <f>IFERROR(__xludf.DUMMYFUNCTION("""COMPUTED_VALUE"""),5441.0)</f>
        <v>5441</v>
      </c>
      <c r="B2" s="228" t="str">
        <f>IFERROR(__xludf.DUMMYFUNCTION("""COMPUTED_VALUE"""),"Hafiz Muhammad Rafique")</f>
        <v>Hafiz Muhammad Rafique</v>
      </c>
      <c r="C2" s="228"/>
      <c r="D2" s="228"/>
      <c r="E2" s="728">
        <f>IFERROR(__xludf.DUMMYFUNCTION("""COMPUTED_VALUE"""),36892.0)</f>
        <v>36892</v>
      </c>
      <c r="F2" s="228" t="str">
        <f>IFERROR(__xludf.DUMMYFUNCTION("""COMPUTED_VALUE"""),"Company Secretary")</f>
        <v>Company Secretary</v>
      </c>
      <c r="G2" s="228"/>
      <c r="H2" s="228"/>
      <c r="I2" s="228"/>
      <c r="J2" s="228" t="str">
        <f>IFERROR(__xludf.DUMMYFUNCTION("""COMPUTED_VALUE"""),"Active")</f>
        <v>Active</v>
      </c>
      <c r="K2" s="228"/>
      <c r="L2" s="729">
        <f>IFERROR(__xludf.DUMMYFUNCTION("""COMPUTED_VALUE"""),36982.0)</f>
        <v>36982</v>
      </c>
      <c r="M2" s="228"/>
      <c r="N2" s="228"/>
      <c r="O2" s="228"/>
      <c r="P2" s="228"/>
      <c r="Q2" s="228"/>
      <c r="R2" s="228"/>
      <c r="S2" s="228"/>
      <c r="T2" s="228"/>
      <c r="U2" s="228" t="str">
        <f>IFERROR(__xludf.DUMMYFUNCTION("""COMPUTED_VALUE"""),"Title: Hafiz Muhammad Rafique
IBAN: PK38MEZN0003270112286234
Swift Code: MEZNPKKA")</f>
        <v>Title: Hafiz Muhammad Rafique
IBAN: PK38MEZN0003270112286234
Swift Code: MEZNPKKA</v>
      </c>
      <c r="V2" s="228"/>
      <c r="W2" s="228"/>
      <c r="X2" s="228"/>
      <c r="Y2" s="228"/>
      <c r="Z2" s="228"/>
      <c r="AA2" s="228"/>
      <c r="AB2" s="228"/>
      <c r="AC2" s="228"/>
      <c r="AD2" s="228"/>
      <c r="AE2" s="228"/>
      <c r="AF2" s="228"/>
      <c r="AG2" s="228"/>
      <c r="AH2" s="228"/>
      <c r="AI2" s="228"/>
      <c r="AJ2" s="228"/>
      <c r="AK2" s="228"/>
      <c r="AL2" s="228"/>
      <c r="AM2" s="228"/>
      <c r="AN2" s="228"/>
      <c r="AO2" s="228"/>
      <c r="AP2" s="228" t="str">
        <f>IFERROR(__xludf.DUMMYFUNCTION("""COMPUTED_VALUE"""),"NO")</f>
        <v>NO</v>
      </c>
      <c r="AQ2" s="228" t="str">
        <f>IFERROR(__xludf.DUMMYFUNCTION("""COMPUTED_VALUE"""),"Active")</f>
        <v>Active</v>
      </c>
    </row>
    <row r="3">
      <c r="A3" s="228">
        <f>IFERROR(__xludf.DUMMYFUNCTION("""COMPUTED_VALUE"""),5024.0)</f>
        <v>5024</v>
      </c>
      <c r="B3" s="228" t="str">
        <f>IFERROR(__xludf.DUMMYFUNCTION("""COMPUTED_VALUE"""),"Talha Arshad")</f>
        <v>Talha Arshad</v>
      </c>
      <c r="C3" s="228" t="str">
        <f>IFERROR(__xludf.DUMMYFUNCTION("""COMPUTED_VALUE"""),"talhaarshad00@gmail.com")</f>
        <v>talhaarshad00@gmail.com</v>
      </c>
      <c r="D3" s="228" t="str">
        <f>IFERROR(__xludf.DUMMYFUNCTION("""COMPUTED_VALUE"""),"talha.arshad@vyro.ai")</f>
        <v>talha.arshad@vyro.ai</v>
      </c>
      <c r="E3" s="728">
        <f>IFERROR(__xludf.DUMMYFUNCTION("""COMPUTED_VALUE"""),44285.0)</f>
        <v>44285</v>
      </c>
      <c r="F3" s="228" t="str">
        <f>IFERROR(__xludf.DUMMYFUNCTION("""COMPUTED_VALUE"""),"Business Development Manager")</f>
        <v>Business Development Manager</v>
      </c>
      <c r="G3" s="228" t="str">
        <f>IFERROR(__xludf.DUMMYFUNCTION("""COMPUTED_VALUE"""),"Business &amp; Growth")</f>
        <v>Business &amp; Growth</v>
      </c>
      <c r="H3" s="228" t="str">
        <f>IFERROR(__xludf.DUMMYFUNCTION("""COMPUTED_VALUE"""),"Ahmed Abubakar, CEO")</f>
        <v>Ahmed Abubakar, CEO</v>
      </c>
      <c r="I3" s="228" t="str">
        <f>IFERROR(__xludf.DUMMYFUNCTION("""COMPUTED_VALUE"""),"Permanent")</f>
        <v>Permanent</v>
      </c>
      <c r="J3" s="228" t="str">
        <f>IFERROR(__xludf.DUMMYFUNCTION("""COMPUTED_VALUE"""),"Active")</f>
        <v>Active</v>
      </c>
      <c r="K3" s="228" t="str">
        <f>IFERROR(__xludf.DUMMYFUNCTION("""COMPUTED_VALUE"""),"3M")</f>
        <v>3M</v>
      </c>
      <c r="L3" s="729">
        <f>IFERROR(__xludf.DUMMYFUNCTION("""COMPUTED_VALUE"""),44285.0)</f>
        <v>44285</v>
      </c>
      <c r="M3" s="228"/>
      <c r="N3" s="228"/>
      <c r="O3" s="228"/>
      <c r="P3" s="228" t="str">
        <f>IFERROR(__xludf.DUMMYFUNCTION("""COMPUTED_VALUE"""),"0334 5101644")</f>
        <v>0334 5101644</v>
      </c>
      <c r="Q3" s="228" t="str">
        <f>IFERROR(__xludf.DUMMYFUNCTION("""COMPUTED_VALUE"""),"37405-6378563-1")</f>
        <v>37405-6378563-1</v>
      </c>
      <c r="R3" s="228" t="str">
        <f>IFERROR(__xludf.DUMMYFUNCTION("""COMPUTED_VALUE"""),"Male")</f>
        <v>Male</v>
      </c>
      <c r="S3" s="228" t="str">
        <f>IFERROR(__xludf.DUMMYFUNCTION("""COMPUTED_VALUE"""),"HBL")</f>
        <v>HBL</v>
      </c>
      <c r="T3" s="228"/>
      <c r="U3" s="228" t="str">
        <f>IFERROR(__xludf.DUMMYFUNCTION("""COMPUTED_VALUE"""),"PK47HABB0005987900185803")</f>
        <v>PK47HABB0005987900185803</v>
      </c>
      <c r="V3" s="228" t="str">
        <f>IFERROR(__xludf.DUMMYFUNCTION("""COMPUTED_VALUE"""),"HABBPKKA")</f>
        <v>HABBPKKA</v>
      </c>
      <c r="W3" s="228"/>
      <c r="X3" s="228" t="str">
        <f>IFERROR(__xludf.DUMMYFUNCTION("""COMPUTED_VALUE"""),"Islamabad")</f>
        <v>Islamabad</v>
      </c>
      <c r="Y3" s="730">
        <f>IFERROR(__xludf.DUMMYFUNCTION("""COMPUTED_VALUE"""),33156.0)</f>
        <v>33156</v>
      </c>
      <c r="Z3" s="228" t="str">
        <f>IFERROR(__xludf.DUMMYFUNCTION("""COMPUTED_VALUE"""),"34 Years")</f>
        <v>34 Years</v>
      </c>
      <c r="AA3" s="228" t="str">
        <f>IFERROR(__xludf.DUMMYFUNCTION("""COMPUTED_VALUE"""),"House no. 14, Park View, Rawalpindi")</f>
        <v>House no. 14, Park View, Rawalpindi</v>
      </c>
      <c r="AB3" s="228" t="str">
        <f>IFERROR(__xludf.DUMMYFUNCTION("""COMPUTED_VALUE"""),"Pakistani")</f>
        <v>Pakistani</v>
      </c>
      <c r="AC3" s="228" t="str">
        <f>IFERROR(__xludf.DUMMYFUNCTION("""COMPUTED_VALUE"""),"Single")</f>
        <v>Single</v>
      </c>
      <c r="AD3" s="228"/>
      <c r="AE3" s="228"/>
      <c r="AF3" s="228"/>
      <c r="AG3" s="228" t="str">
        <f>IFERROR(__xludf.DUMMYFUNCTION("""COMPUTED_VALUE"""),"Arshad Malik")</f>
        <v>Arshad Malik</v>
      </c>
      <c r="AH3" s="228" t="str">
        <f>IFERROR(__xludf.DUMMYFUNCTION("""COMPUTED_VALUE"""),"Father")</f>
        <v>Father</v>
      </c>
      <c r="AI3" s="228"/>
      <c r="AJ3" s="228"/>
      <c r="AK3" s="228"/>
      <c r="AL3" s="228"/>
      <c r="AM3" s="228"/>
      <c r="AN3" s="228" t="str">
        <f>IFERROR(__xludf.DUMMYFUNCTION("""COMPUTED_VALUE"""),"Finance, Marketing, Mobile Action, People")</f>
        <v>Finance, Marketing, Mobile Action, People</v>
      </c>
      <c r="AO3" s="228" t="str">
        <f>IFERROR(__xludf.DUMMYFUNCTION("""COMPUTED_VALUE"""),"finance.team@vyro.ai, marketing.team@vyro.ai, mobile.action@vyro.ai, people.team@vyro.ai")</f>
        <v>finance.team@vyro.ai, marketing.team@vyro.ai, mobile.action@vyro.ai, people.team@vyro.ai</v>
      </c>
      <c r="AP3" s="228" t="str">
        <f>IFERROR(__xludf.DUMMYFUNCTION("""COMPUTED_VALUE"""),"NO")</f>
        <v>NO</v>
      </c>
      <c r="AQ3" s="228" t="str">
        <f>IFERROR(__xludf.DUMMYFUNCTION("""COMPUTED_VALUE"""),"Active")</f>
        <v>Active</v>
      </c>
    </row>
    <row r="4">
      <c r="A4" s="228">
        <f>IFERROR(__xludf.DUMMYFUNCTION("""COMPUTED_VALUE"""),5002.0)</f>
        <v>5002</v>
      </c>
      <c r="B4" s="228" t="str">
        <f>IFERROR(__xludf.DUMMYFUNCTION("""COMPUTED_VALUE"""),"Ahmed Abu Bakar")</f>
        <v>Ahmed Abu Bakar</v>
      </c>
      <c r="C4" s="228" t="str">
        <f>IFERROR(__xludf.DUMMYFUNCTION("""COMPUTED_VALUE"""),"ahmed@vyro.ai")</f>
        <v>ahmed@vyro.ai</v>
      </c>
      <c r="D4" s="228" t="str">
        <f>IFERROR(__xludf.DUMMYFUNCTION("""COMPUTED_VALUE"""),"ahmed.abubakar@vyro.ai")</f>
        <v>ahmed.abubakar@vyro.ai</v>
      </c>
      <c r="E4" s="728">
        <f>IFERROR(__xludf.DUMMYFUNCTION("""COMPUTED_VALUE"""),44689.0)</f>
        <v>44689</v>
      </c>
      <c r="F4" s="228" t="str">
        <f>IFERROR(__xludf.DUMMYFUNCTION("""COMPUTED_VALUE"""),"Chief Executive Officer")</f>
        <v>Chief Executive Officer</v>
      </c>
      <c r="G4" s="228" t="str">
        <f>IFERROR(__xludf.DUMMYFUNCTION("""COMPUTED_VALUE"""),"Management ")</f>
        <v>Management </v>
      </c>
      <c r="H4" s="228" t="str">
        <f>IFERROR(__xludf.DUMMYFUNCTION("""COMPUTED_VALUE"""),"None")</f>
        <v>None</v>
      </c>
      <c r="I4" s="228" t="str">
        <f>IFERROR(__xludf.DUMMYFUNCTION("""COMPUTED_VALUE"""),"Permanent")</f>
        <v>Permanent</v>
      </c>
      <c r="J4" s="228" t="str">
        <f>IFERROR(__xludf.DUMMYFUNCTION("""COMPUTED_VALUE"""),"Active")</f>
        <v>Active</v>
      </c>
      <c r="K4" s="228" t="str">
        <f>IFERROR(__xludf.DUMMYFUNCTION("""COMPUTED_VALUE"""),"0M")</f>
        <v>0M</v>
      </c>
      <c r="L4" s="228"/>
      <c r="M4" s="228"/>
      <c r="N4" s="228"/>
      <c r="O4" s="228"/>
      <c r="P4" s="228" t="str">
        <f>IFERROR(__xludf.DUMMYFUNCTION("""COMPUTED_VALUE"""),"03368163939")</f>
        <v>03368163939</v>
      </c>
      <c r="Q4" s="228" t="str">
        <f>IFERROR(__xludf.DUMMYFUNCTION("""COMPUTED_VALUE"""),"42201-4079632-5")</f>
        <v>42201-4079632-5</v>
      </c>
      <c r="R4" s="228" t="str">
        <f>IFERROR(__xludf.DUMMYFUNCTION("""COMPUTED_VALUE"""),"Male")</f>
        <v>Male</v>
      </c>
      <c r="S4" s="228" t="str">
        <f>IFERROR(__xludf.DUMMYFUNCTION("""COMPUTED_VALUE"""),"Meezan")</f>
        <v>Meezan</v>
      </c>
      <c r="T4" s="228"/>
      <c r="U4" s="228" t="str">
        <f>IFERROR(__xludf.DUMMYFUNCTION("""COMPUTED_VALUE"""),"PK12MEZN0001500102245108")</f>
        <v>PK12MEZN0001500102245108</v>
      </c>
      <c r="V4" s="228" t="str">
        <f>IFERROR(__xludf.DUMMYFUNCTION("""COMPUTED_VALUE"""),"MEZNPKKAGRD")</f>
        <v>MEZNPKKAGRD</v>
      </c>
      <c r="W4" s="228"/>
      <c r="X4" s="228" t="str">
        <f>IFERROR(__xludf.DUMMYFUNCTION("""COMPUTED_VALUE"""),"Islamabad")</f>
        <v>Islamabad</v>
      </c>
      <c r="Y4" s="730">
        <f>IFERROR(__xludf.DUMMYFUNCTION("""COMPUTED_VALUE"""),33844.0)</f>
        <v>33844</v>
      </c>
      <c r="Z4" s="228" t="str">
        <f>IFERROR(__xludf.DUMMYFUNCTION("""COMPUTED_VALUE"""),"32 Years")</f>
        <v>32 Years</v>
      </c>
      <c r="AA4" s="228" t="str">
        <f>IFERROR(__xludf.DUMMYFUNCTION("""COMPUTED_VALUE"""),"House 80, Street 3, Abu Bakar Block, Khayabana Faiz, H-13/3, Islamabad, Pakistan")</f>
        <v>House 80, Street 3, Abu Bakar Block, Khayabana Faiz, H-13/3, Islamabad, Pakistan</v>
      </c>
      <c r="AB4" s="228" t="str">
        <f>IFERROR(__xludf.DUMMYFUNCTION("""COMPUTED_VALUE"""),"Pakistani")</f>
        <v>Pakistani</v>
      </c>
      <c r="AC4" s="228" t="str">
        <f>IFERROR(__xludf.DUMMYFUNCTION("""COMPUTED_VALUE"""),"Married")</f>
        <v>Married</v>
      </c>
      <c r="AD4" s="228"/>
      <c r="AE4" s="228"/>
      <c r="AF4" s="228"/>
      <c r="AG4" s="228" t="str">
        <f>IFERROR(__xludf.DUMMYFUNCTION("""COMPUTED_VALUE"""),"Hafiz Muhammad Rafique")</f>
        <v>Hafiz Muhammad Rafique</v>
      </c>
      <c r="AH4" s="228" t="str">
        <f>IFERROR(__xludf.DUMMYFUNCTION("""COMPUTED_VALUE"""),"Father")</f>
        <v>Father</v>
      </c>
      <c r="AI4" s="228"/>
      <c r="AJ4" s="228"/>
      <c r="AK4" s="228"/>
      <c r="AL4" s="228"/>
      <c r="AM4" s="228"/>
      <c r="AN4" s="228"/>
      <c r="AO4" s="228"/>
      <c r="AP4" s="228" t="str">
        <f>IFERROR(__xludf.DUMMYFUNCTION("""COMPUTED_VALUE"""),"NO")</f>
        <v>NO</v>
      </c>
      <c r="AQ4" s="228" t="str">
        <f>IFERROR(__xludf.DUMMYFUNCTION("""COMPUTED_VALUE"""),"Active")</f>
        <v>Active</v>
      </c>
    </row>
    <row r="5">
      <c r="A5" s="228">
        <f>IFERROR(__xludf.DUMMYFUNCTION("""COMPUTED_VALUE"""),5010.0)</f>
        <v>5010</v>
      </c>
      <c r="B5" s="228" t="str">
        <f>IFERROR(__xludf.DUMMYFUNCTION("""COMPUTED_VALUE"""),"Muhammad Abdullah Rafique")</f>
        <v>Muhammad Abdullah Rafique</v>
      </c>
      <c r="C5" s="228" t="str">
        <f>IFERROR(__xludf.DUMMYFUNCTION("""COMPUTED_VALUE"""),"abdullahvyro1@gmail.com")</f>
        <v>abdullahvyro1@gmail.com</v>
      </c>
      <c r="D5" s="228" t="str">
        <f>IFERROR(__xludf.DUMMYFUNCTION("""COMPUTED_VALUE"""),"abdullah@vyro.ai")</f>
        <v>abdullah@vyro.ai</v>
      </c>
      <c r="E5" s="728">
        <f>IFERROR(__xludf.DUMMYFUNCTION("""COMPUTED_VALUE"""),44689.0)</f>
        <v>44689</v>
      </c>
      <c r="F5" s="228" t="str">
        <f>IFERROR(__xludf.DUMMYFUNCTION("""COMPUTED_VALUE"""),"Chief Technology Officer")</f>
        <v>Chief Technology Officer</v>
      </c>
      <c r="G5" s="228" t="str">
        <f>IFERROR(__xludf.DUMMYFUNCTION("""COMPUTED_VALUE"""),"Management ")</f>
        <v>Management </v>
      </c>
      <c r="H5" s="228" t="str">
        <f>IFERROR(__xludf.DUMMYFUNCTION("""COMPUTED_VALUE"""),"None")</f>
        <v>None</v>
      </c>
      <c r="I5" s="228" t="str">
        <f>IFERROR(__xludf.DUMMYFUNCTION("""COMPUTED_VALUE"""),"Permanent")</f>
        <v>Permanent</v>
      </c>
      <c r="J5" s="228" t="str">
        <f>IFERROR(__xludf.DUMMYFUNCTION("""COMPUTED_VALUE"""),"Active")</f>
        <v>Active</v>
      </c>
      <c r="K5" s="228" t="str">
        <f>IFERROR(__xludf.DUMMYFUNCTION("""COMPUTED_VALUE"""),"0M")</f>
        <v>0M</v>
      </c>
      <c r="L5" s="228"/>
      <c r="M5" s="228"/>
      <c r="N5" s="228"/>
      <c r="O5" s="228"/>
      <c r="P5" s="228" t="str">
        <f>IFERROR(__xludf.DUMMYFUNCTION("""COMPUTED_VALUE"""),"03220542834, 03365800761")</f>
        <v>03220542834, 03365800761</v>
      </c>
      <c r="Q5" s="228" t="str">
        <f>IFERROR(__xludf.DUMMYFUNCTION("""COMPUTED_VALUE"""),"42201-9926805-7")</f>
        <v>42201-9926805-7</v>
      </c>
      <c r="R5" s="228" t="str">
        <f>IFERROR(__xludf.DUMMYFUNCTION("""COMPUTED_VALUE"""),"Male")</f>
        <v>Male</v>
      </c>
      <c r="S5" s="228" t="str">
        <f>IFERROR(__xludf.DUMMYFUNCTION("""COMPUTED_VALUE"""),"Meezan")</f>
        <v>Meezan</v>
      </c>
      <c r="T5" s="228"/>
      <c r="U5" s="228" t="str">
        <f>IFERROR(__xludf.DUMMYFUNCTION("""COMPUTED_VALUE"""),"PK06MEZN0003270104380825")</f>
        <v>PK06MEZN0003270104380825</v>
      </c>
      <c r="V5" s="228" t="str">
        <f>IFERROR(__xludf.DUMMYFUNCTION("""COMPUTED_VALUE"""),"MEZNPKKAGRD")</f>
        <v>MEZNPKKAGRD</v>
      </c>
      <c r="W5" s="228"/>
      <c r="X5" s="228" t="str">
        <f>IFERROR(__xludf.DUMMYFUNCTION("""COMPUTED_VALUE"""),"Islamabad")</f>
        <v>Islamabad</v>
      </c>
      <c r="Y5" s="730">
        <f>IFERROR(__xludf.DUMMYFUNCTION("""COMPUTED_VALUE"""),36720.0)</f>
        <v>36720</v>
      </c>
      <c r="Z5" s="228" t="str">
        <f>IFERROR(__xludf.DUMMYFUNCTION("""COMPUTED_VALUE"""),"24 Years")</f>
        <v>24 Years</v>
      </c>
      <c r="AA5" s="228" t="str">
        <f>IFERROR(__xludf.DUMMYFUNCTION("""COMPUTED_VALUE"""),"House 80, Street 3, Abu Bakar Block, Khayabana Faiz, H-13/3, Islamabad, Pakistan")</f>
        <v>House 80, Street 3, Abu Bakar Block, Khayabana Faiz, H-13/3, Islamabad, Pakistan</v>
      </c>
      <c r="AB5" s="228" t="str">
        <f>IFERROR(__xludf.DUMMYFUNCTION("""COMPUTED_VALUE"""),"Pakistani")</f>
        <v>Pakistani</v>
      </c>
      <c r="AC5" s="228" t="str">
        <f>IFERROR(__xludf.DUMMYFUNCTION("""COMPUTED_VALUE"""),"Married")</f>
        <v>Married</v>
      </c>
      <c r="AD5" s="228"/>
      <c r="AE5" s="228"/>
      <c r="AF5" s="228"/>
      <c r="AG5" s="228" t="str">
        <f>IFERROR(__xludf.DUMMYFUNCTION("""COMPUTED_VALUE"""),"Hafiz Muhammad Rafique")</f>
        <v>Hafiz Muhammad Rafique</v>
      </c>
      <c r="AH5" s="228" t="str">
        <f>IFERROR(__xludf.DUMMYFUNCTION("""COMPUTED_VALUE"""),"Father")</f>
        <v>Father</v>
      </c>
      <c r="AI5" s="228"/>
      <c r="AJ5" s="228"/>
      <c r="AK5" s="228"/>
      <c r="AL5" s="228"/>
      <c r="AM5" s="228"/>
      <c r="AN5" s="228"/>
      <c r="AO5" s="228"/>
      <c r="AP5" s="228" t="str">
        <f>IFERROR(__xludf.DUMMYFUNCTION("""COMPUTED_VALUE"""),"NO")</f>
        <v>NO</v>
      </c>
      <c r="AQ5" s="228" t="str">
        <f>IFERROR(__xludf.DUMMYFUNCTION("""COMPUTED_VALUE"""),"Active")</f>
        <v>Active</v>
      </c>
    </row>
    <row r="6">
      <c r="A6" s="228">
        <f>IFERROR(__xludf.DUMMYFUNCTION("""COMPUTED_VALUE"""),5027.0)</f>
        <v>5027</v>
      </c>
      <c r="B6" s="228" t="str">
        <f>IFERROR(__xludf.DUMMYFUNCTION("""COMPUTED_VALUE"""),"Zain Ul Abedien")</f>
        <v>Zain Ul Abedien</v>
      </c>
      <c r="C6" s="228" t="str">
        <f>IFERROR(__xludf.DUMMYFUNCTION("""COMPUTED_VALUE"""),"zain@vyro.ai")</f>
        <v>zain@vyro.ai</v>
      </c>
      <c r="D6" s="228" t="str">
        <f>IFERROR(__xludf.DUMMYFUNCTION("""COMPUTED_VALUE"""),"zain@vyro.ai")</f>
        <v>zain@vyro.ai</v>
      </c>
      <c r="E6" s="728">
        <f>IFERROR(__xludf.DUMMYFUNCTION("""COMPUTED_VALUE"""),44689.0)</f>
        <v>44689</v>
      </c>
      <c r="F6" s="228" t="str">
        <f>IFERROR(__xludf.DUMMYFUNCTION("""COMPUTED_VALUE"""),"Chief Product Officer")</f>
        <v>Chief Product Officer</v>
      </c>
      <c r="G6" s="228" t="str">
        <f>IFERROR(__xludf.DUMMYFUNCTION("""COMPUTED_VALUE"""),"Management ")</f>
        <v>Management </v>
      </c>
      <c r="H6" s="228" t="str">
        <f>IFERROR(__xludf.DUMMYFUNCTION("""COMPUTED_VALUE"""),"None")</f>
        <v>None</v>
      </c>
      <c r="I6" s="228" t="str">
        <f>IFERROR(__xludf.DUMMYFUNCTION("""COMPUTED_VALUE"""),"Permanent")</f>
        <v>Permanent</v>
      </c>
      <c r="J6" s="228" t="str">
        <f>IFERROR(__xludf.DUMMYFUNCTION("""COMPUTED_VALUE"""),"Active")</f>
        <v>Active</v>
      </c>
      <c r="K6" s="228" t="str">
        <f>IFERROR(__xludf.DUMMYFUNCTION("""COMPUTED_VALUE"""),"0M")</f>
        <v>0M</v>
      </c>
      <c r="L6" s="228"/>
      <c r="M6" s="228"/>
      <c r="N6" s="228"/>
      <c r="O6" s="228"/>
      <c r="P6" s="228" t="str">
        <f>IFERROR(__xludf.DUMMYFUNCTION("""COMPUTED_VALUE"""),"03365800762")</f>
        <v>03365800762</v>
      </c>
      <c r="Q6" s="228" t="str">
        <f>IFERROR(__xludf.DUMMYFUNCTION("""COMPUTED_VALUE"""),"42201-6980843-9")</f>
        <v>42201-6980843-9</v>
      </c>
      <c r="R6" s="228" t="str">
        <f>IFERROR(__xludf.DUMMYFUNCTION("""COMPUTED_VALUE"""),"Male")</f>
        <v>Male</v>
      </c>
      <c r="S6" s="228" t="str">
        <f>IFERROR(__xludf.DUMMYFUNCTION("""COMPUTED_VALUE"""),"Meezan")</f>
        <v>Meezan</v>
      </c>
      <c r="T6" s="228"/>
      <c r="U6" s="228" t="str">
        <f>IFERROR(__xludf.DUMMYFUNCTION("""COMPUTED_VALUE"""),"PK90MEZN0003270104380768")</f>
        <v>PK90MEZN0003270104380768</v>
      </c>
      <c r="V6" s="228" t="str">
        <f>IFERROR(__xludf.DUMMYFUNCTION("""COMPUTED_VALUE"""),"MEZNPKKAGRD")</f>
        <v>MEZNPKKAGRD</v>
      </c>
      <c r="W6" s="228"/>
      <c r="X6" s="228" t="str">
        <f>IFERROR(__xludf.DUMMYFUNCTION("""COMPUTED_VALUE"""),"Islamabad")</f>
        <v>Islamabad</v>
      </c>
      <c r="Y6" s="730">
        <f>IFERROR(__xludf.DUMMYFUNCTION("""COMPUTED_VALUE"""),36107.0)</f>
        <v>36107</v>
      </c>
      <c r="Z6" s="228" t="str">
        <f>IFERROR(__xludf.DUMMYFUNCTION("""COMPUTED_VALUE"""),"26 Years")</f>
        <v>26 Years</v>
      </c>
      <c r="AA6" s="228" t="str">
        <f>IFERROR(__xludf.DUMMYFUNCTION("""COMPUTED_VALUE"""),"House 80, Street 3, Abu Bakar Block, Khayabana Faiz, H-13/3, Islamabad, Pakistan")</f>
        <v>House 80, Street 3, Abu Bakar Block, Khayabana Faiz, H-13/3, Islamabad, Pakistan</v>
      </c>
      <c r="AB6" s="228" t="str">
        <f>IFERROR(__xludf.DUMMYFUNCTION("""COMPUTED_VALUE"""),"Pakistani")</f>
        <v>Pakistani</v>
      </c>
      <c r="AC6" s="228"/>
      <c r="AD6" s="228"/>
      <c r="AE6" s="228"/>
      <c r="AF6" s="228"/>
      <c r="AG6" s="228" t="str">
        <f>IFERROR(__xludf.DUMMYFUNCTION("""COMPUTED_VALUE"""),"Hafiz Muhammad Rafique")</f>
        <v>Hafiz Muhammad Rafique</v>
      </c>
      <c r="AH6" s="228" t="str">
        <f>IFERROR(__xludf.DUMMYFUNCTION("""COMPUTED_VALUE"""),"Father")</f>
        <v>Father</v>
      </c>
      <c r="AI6" s="228"/>
      <c r="AJ6" s="228"/>
      <c r="AK6" s="228"/>
      <c r="AL6" s="228"/>
      <c r="AM6" s="228"/>
      <c r="AN6" s="228"/>
      <c r="AO6" s="228"/>
      <c r="AP6" s="228" t="str">
        <f>IFERROR(__xludf.DUMMYFUNCTION("""COMPUTED_VALUE"""),"NO")</f>
        <v>NO</v>
      </c>
      <c r="AQ6" s="228" t="str">
        <f>IFERROR(__xludf.DUMMYFUNCTION("""COMPUTED_VALUE"""),"Active")</f>
        <v>Active</v>
      </c>
    </row>
    <row r="7">
      <c r="A7" s="228">
        <f>IFERROR(__xludf.DUMMYFUNCTION("""COMPUTED_VALUE"""),5060.0)</f>
        <v>5060</v>
      </c>
      <c r="B7" s="228" t="str">
        <f>IFERROR(__xludf.DUMMYFUNCTION("""COMPUTED_VALUE"""),"Asim Latif")</f>
        <v>Asim Latif</v>
      </c>
      <c r="C7" s="228" t="str">
        <f>IFERROR(__xludf.DUMMYFUNCTION("""COMPUTED_VALUE"""),"alatif.bscs19seecs@seecs.edu.pk")</f>
        <v>alatif.bscs19seecs@seecs.edu.pk</v>
      </c>
      <c r="D7" s="228" t="str">
        <f>IFERROR(__xludf.DUMMYFUNCTION("""COMPUTED_VALUE"""),"asim.latif@vyro.ai")</f>
        <v>asim.latif@vyro.ai</v>
      </c>
      <c r="E7" s="728">
        <f>IFERROR(__xludf.DUMMYFUNCTION("""COMPUTED_VALUE"""),44739.0)</f>
        <v>44739</v>
      </c>
      <c r="F7" s="228" t="str">
        <f>IFERROR(__xludf.DUMMYFUNCTION("""COMPUTED_VALUE"""),"Software Developer")</f>
        <v>Software Developer</v>
      </c>
      <c r="G7" s="228" t="str">
        <f>IFERROR(__xludf.DUMMYFUNCTION("""COMPUTED_VALUE"""),"Mobile")</f>
        <v>Mobile</v>
      </c>
      <c r="H7" s="228" t="str">
        <f>IFERROR(__xludf.DUMMYFUNCTION("""COMPUTED_VALUE"""),"Saad Aziz")</f>
        <v>Saad Aziz</v>
      </c>
      <c r="I7" s="228" t="str">
        <f>IFERROR(__xludf.DUMMYFUNCTION("""COMPUTED_VALUE"""),"Permanent")</f>
        <v>Permanent</v>
      </c>
      <c r="J7" s="228" t="str">
        <f>IFERROR(__xludf.DUMMYFUNCTION("""COMPUTED_VALUE"""),"Active")</f>
        <v>Active</v>
      </c>
      <c r="K7" s="228" t="str">
        <f>IFERROR(__xludf.DUMMYFUNCTION("""COMPUTED_VALUE"""),"3M")</f>
        <v>3M</v>
      </c>
      <c r="L7" s="729">
        <f>IFERROR(__xludf.DUMMYFUNCTION("""COMPUTED_VALUE"""),45196.0)</f>
        <v>45196</v>
      </c>
      <c r="M7" s="228"/>
      <c r="N7" s="228"/>
      <c r="O7" s="228"/>
      <c r="P7" s="228" t="str">
        <f>IFERROR(__xludf.DUMMYFUNCTION("""COMPUTED_VALUE"""),"0346 1753321")</f>
        <v>0346 1753321</v>
      </c>
      <c r="Q7" s="228" t="str">
        <f>IFERROR(__xludf.DUMMYFUNCTION("""COMPUTED_VALUE"""),"33302-5158556-5")</f>
        <v>33302-5158556-5</v>
      </c>
      <c r="R7" s="228" t="str">
        <f>IFERROR(__xludf.DUMMYFUNCTION("""COMPUTED_VALUE"""),"Male")</f>
        <v>Male</v>
      </c>
      <c r="S7" s="228" t="str">
        <f>IFERROR(__xludf.DUMMYFUNCTION("""COMPUTED_VALUE"""),"HBL")</f>
        <v>HBL</v>
      </c>
      <c r="T7" s="228"/>
      <c r="U7" s="228" t="str">
        <f>IFERROR(__xludf.DUMMYFUNCTION("""COMPUTED_VALUE"""),"PK80HABB0001747902029003")</f>
        <v>PK80HABB0001747902029003</v>
      </c>
      <c r="V7" s="228"/>
      <c r="W7" s="228"/>
      <c r="X7" s="228" t="str">
        <f>IFERROR(__xludf.DUMMYFUNCTION("""COMPUTED_VALUE"""),"Remote")</f>
        <v>Remote</v>
      </c>
      <c r="Y7" s="730">
        <f>IFERROR(__xludf.DUMMYFUNCTION("""COMPUTED_VALUE"""),37370.0)</f>
        <v>37370</v>
      </c>
      <c r="Z7" s="228" t="str">
        <f>IFERROR(__xludf.DUMMYFUNCTION("""COMPUTED_VALUE"""),"22 Years")</f>
        <v>22 Years</v>
      </c>
      <c r="AA7" s="228" t="str">
        <f>IFERROR(__xludf.DUMMYFUNCTION("""COMPUTED_VALUE"""),"Pir Mehel, Tuba Tek Singh, Faislabad")</f>
        <v>Pir Mehel, Tuba Tek Singh, Faislabad</v>
      </c>
      <c r="AB7" s="228" t="str">
        <f>IFERROR(__xludf.DUMMYFUNCTION("""COMPUTED_VALUE"""),"Pakistani")</f>
        <v>Pakistani</v>
      </c>
      <c r="AC7" s="228" t="str">
        <f>IFERROR(__xludf.DUMMYFUNCTION("""COMPUTED_VALUE"""),"Single")</f>
        <v>Single</v>
      </c>
      <c r="AD7" s="228"/>
      <c r="AE7" s="228"/>
      <c r="AF7" s="228"/>
      <c r="AG7" s="228" t="str">
        <f>IFERROR(__xludf.DUMMYFUNCTION("""COMPUTED_VALUE"""),"Muhammad Latif")</f>
        <v>Muhammad Latif</v>
      </c>
      <c r="AH7" s="228" t="str">
        <f>IFERROR(__xludf.DUMMYFUNCTION("""COMPUTED_VALUE"""),"Father")</f>
        <v>Father</v>
      </c>
      <c r="AI7" s="228"/>
      <c r="AJ7" s="228" t="str">
        <f>IFERROR(__xludf.DUMMYFUNCTION("""COMPUTED_VALUE"""),"A+")</f>
        <v>A+</v>
      </c>
      <c r="AK7" s="731" t="str">
        <f>IFERROR(__xludf.DUMMYFUNCTION("""COMPUTED_VALUE"""),"https://www.linkedin.com/in/asim-latif0/")</f>
        <v>https://www.linkedin.com/in/asim-latif0/</v>
      </c>
      <c r="AL7" s="228"/>
      <c r="AM7" s="228"/>
      <c r="AN7" s="228" t="str">
        <f>IFERROR(__xludf.DUMMYFUNCTION("""COMPUTED_VALUE"""),"Android")</f>
        <v>Android</v>
      </c>
      <c r="AO7" s="228" t="str">
        <f>IFERROR(__xludf.DUMMYFUNCTION("""COMPUTED_VALUE"""),"android.team@vyro.ai")</f>
        <v>android.team@vyro.ai</v>
      </c>
      <c r="AP7" s="228" t="str">
        <f>IFERROR(__xludf.DUMMYFUNCTION("""COMPUTED_VALUE"""),"NO")</f>
        <v>NO</v>
      </c>
      <c r="AQ7" s="228" t="str">
        <f>IFERROR(__xludf.DUMMYFUNCTION("""COMPUTED_VALUE"""),"Active")</f>
        <v>Active</v>
      </c>
    </row>
    <row r="8">
      <c r="A8" s="228">
        <f>IFERROR(__xludf.DUMMYFUNCTION("""COMPUTED_VALUE"""),5061.0)</f>
        <v>5061</v>
      </c>
      <c r="B8" s="228" t="str">
        <f>IFERROR(__xludf.DUMMYFUNCTION("""COMPUTED_VALUE"""),"Ibrahim Shah")</f>
        <v>Ibrahim Shah</v>
      </c>
      <c r="C8" s="228" t="str">
        <f>IFERROR(__xludf.DUMMYFUNCTION("""COMPUTED_VALUE"""),"naegi100@gmail.com")</f>
        <v>naegi100@gmail.com</v>
      </c>
      <c r="D8" s="228" t="str">
        <f>IFERROR(__xludf.DUMMYFUNCTION("""COMPUTED_VALUE"""),"ibrahim.shah@vyro.ai")</f>
        <v>ibrahim.shah@vyro.ai</v>
      </c>
      <c r="E8" s="728">
        <f>IFERROR(__xludf.DUMMYFUNCTION("""COMPUTED_VALUE"""),44739.0)</f>
        <v>44739</v>
      </c>
      <c r="F8" s="228" t="str">
        <f>IFERROR(__xludf.DUMMYFUNCTION("""COMPUTED_VALUE"""),"Backend Engineer")</f>
        <v>Backend Engineer</v>
      </c>
      <c r="G8" s="228" t="str">
        <f>IFERROR(__xludf.DUMMYFUNCTION("""COMPUTED_VALUE"""),"Backend")</f>
        <v>Backend</v>
      </c>
      <c r="H8" s="228" t="str">
        <f>IFERROR(__xludf.DUMMYFUNCTION("""COMPUTED_VALUE"""),"Awais Chaudhry
")</f>
        <v>Awais Chaudhry
</v>
      </c>
      <c r="I8" s="228" t="str">
        <f>IFERROR(__xludf.DUMMYFUNCTION("""COMPUTED_VALUE"""),"Permanent")</f>
        <v>Permanent</v>
      </c>
      <c r="J8" s="228" t="str">
        <f>IFERROR(__xludf.DUMMYFUNCTION("""COMPUTED_VALUE"""),"Active")</f>
        <v>Active</v>
      </c>
      <c r="K8" s="228" t="str">
        <f>IFERROR(__xludf.DUMMYFUNCTION("""COMPUTED_VALUE"""),"3M")</f>
        <v>3M</v>
      </c>
      <c r="L8" s="729">
        <f>IFERROR(__xludf.DUMMYFUNCTION("""COMPUTED_VALUE"""),44831.0)</f>
        <v>44831</v>
      </c>
      <c r="M8" s="228"/>
      <c r="N8" s="228"/>
      <c r="O8" s="228"/>
      <c r="P8" s="228" t="str">
        <f>IFERROR(__xludf.DUMMYFUNCTION("""COMPUTED_VALUE"""),"0313 0077225")</f>
        <v>0313 0077225</v>
      </c>
      <c r="Q8" s="228" t="str">
        <f>IFERROR(__xludf.DUMMYFUNCTION("""COMPUTED_VALUE"""),"35201-2147689-9")</f>
        <v>35201-2147689-9</v>
      </c>
      <c r="R8" s="228" t="str">
        <f>IFERROR(__xludf.DUMMYFUNCTION("""COMPUTED_VALUE"""),"Male")</f>
        <v>Male</v>
      </c>
      <c r="S8" s="228" t="str">
        <f>IFERROR(__xludf.DUMMYFUNCTION("""COMPUTED_VALUE"""),"Faysal Bank")</f>
        <v>Faysal Bank</v>
      </c>
      <c r="T8" s="228"/>
      <c r="U8" s="228" t="str">
        <f>IFERROR(__xludf.DUMMYFUNCTION("""COMPUTED_VALUE"""),"PK41FAYS0113006000016282")</f>
        <v>PK41FAYS0113006000016282</v>
      </c>
      <c r="V8" s="228" t="str">
        <f>IFERROR(__xludf.DUMMYFUNCTION("""COMPUTED_VALUE"""),"FAYSPKKA113")</f>
        <v>FAYSPKKA113</v>
      </c>
      <c r="W8" s="228"/>
      <c r="X8" s="228" t="str">
        <f>IFERROR(__xludf.DUMMYFUNCTION("""COMPUTED_VALUE"""),"Remote")</f>
        <v>Remote</v>
      </c>
      <c r="Y8" s="730">
        <f>IFERROR(__xludf.DUMMYFUNCTION("""COMPUTED_VALUE"""),36891.0)</f>
        <v>36891</v>
      </c>
      <c r="Z8" s="228" t="str">
        <f>IFERROR(__xludf.DUMMYFUNCTION("""COMPUTED_VALUE"""),"24 Years")</f>
        <v>24 Years</v>
      </c>
      <c r="AA8" s="228" t="str">
        <f>IFERROR(__xludf.DUMMYFUNCTION("""COMPUTED_VALUE"""),"172 A, Rose Street, Hali Road, Westridge 1, RWP")</f>
        <v>172 A, Rose Street, Hali Road, Westridge 1, RWP</v>
      </c>
      <c r="AB8" s="228" t="str">
        <f>IFERROR(__xludf.DUMMYFUNCTION("""COMPUTED_VALUE"""),"Pakistani")</f>
        <v>Pakistani</v>
      </c>
      <c r="AC8" s="228" t="str">
        <f>IFERROR(__xludf.DUMMYFUNCTION("""COMPUTED_VALUE"""),"Single")</f>
        <v>Single</v>
      </c>
      <c r="AD8" s="228"/>
      <c r="AE8" s="228"/>
      <c r="AF8" s="228"/>
      <c r="AG8" s="228" t="str">
        <f>IFERROR(__xludf.DUMMYFUNCTION("""COMPUTED_VALUE"""),"Kalim Jamshed")</f>
        <v>Kalim Jamshed</v>
      </c>
      <c r="AH8" s="228" t="str">
        <f>IFERROR(__xludf.DUMMYFUNCTION("""COMPUTED_VALUE"""),"Father")</f>
        <v>Father</v>
      </c>
      <c r="AI8" s="228"/>
      <c r="AJ8" s="228" t="str">
        <f>IFERROR(__xludf.DUMMYFUNCTION("""COMPUTED_VALUE"""),"A+")</f>
        <v>A+</v>
      </c>
      <c r="AK8" s="228"/>
      <c r="AL8" s="228"/>
      <c r="AM8" s="228"/>
      <c r="AN8" s="228" t="str">
        <f>IFERROR(__xludf.DUMMYFUNCTION("""COMPUTED_VALUE"""),"Back-End")</f>
        <v>Back-End</v>
      </c>
      <c r="AO8" s="228" t="str">
        <f>IFERROR(__xludf.DUMMYFUNCTION("""COMPUTED_VALUE"""),"backend.team@vyro.ai")</f>
        <v>backend.team@vyro.ai</v>
      </c>
      <c r="AP8" s="228" t="str">
        <f>IFERROR(__xludf.DUMMYFUNCTION("""COMPUTED_VALUE"""),"NO")</f>
        <v>NO</v>
      </c>
      <c r="AQ8" s="228" t="str">
        <f>IFERROR(__xludf.DUMMYFUNCTION("""COMPUTED_VALUE"""),"Active")</f>
        <v>Active</v>
      </c>
    </row>
    <row r="9">
      <c r="A9" s="228">
        <f>IFERROR(__xludf.DUMMYFUNCTION("""COMPUTED_VALUE"""),5069.0)</f>
        <v>5069</v>
      </c>
      <c r="B9" s="228" t="str">
        <f>IFERROR(__xludf.DUMMYFUNCTION("""COMPUTED_VALUE"""),"Maryum Malik")</f>
        <v>Maryum Malik</v>
      </c>
      <c r="C9" s="228" t="str">
        <f>IFERROR(__xludf.DUMMYFUNCTION("""COMPUTED_VALUE"""),"maryam.rafique.000@gmail.com")</f>
        <v>maryam.rafique.000@gmail.com</v>
      </c>
      <c r="D9" s="228" t="str">
        <f>IFERROR(__xludf.DUMMYFUNCTION("""COMPUTED_VALUE"""),"maryum.malik@vyro.ai")</f>
        <v>maryum.malik@vyro.ai</v>
      </c>
      <c r="E9" s="728">
        <f>IFERROR(__xludf.DUMMYFUNCTION("""COMPUTED_VALUE"""),44795.0)</f>
        <v>44795</v>
      </c>
      <c r="F9" s="228" t="str">
        <f>IFERROR(__xludf.DUMMYFUNCTION("""COMPUTED_VALUE"""),"Branding Executive")</f>
        <v>Branding Executive</v>
      </c>
      <c r="G9" s="228" t="str">
        <f>IFERROR(__xludf.DUMMYFUNCTION("""COMPUTED_VALUE"""),"Branding")</f>
        <v>Branding</v>
      </c>
      <c r="H9" s="228" t="str">
        <f>IFERROR(__xludf.DUMMYFUNCTION("""COMPUTED_VALUE"""),"Zain ul Abedien, CFO")</f>
        <v>Zain ul Abedien, CFO</v>
      </c>
      <c r="I9" s="228" t="str">
        <f>IFERROR(__xludf.DUMMYFUNCTION("""COMPUTED_VALUE"""),"Permanent")</f>
        <v>Permanent</v>
      </c>
      <c r="J9" s="228" t="str">
        <f>IFERROR(__xludf.DUMMYFUNCTION("""COMPUTED_VALUE"""),"Active")</f>
        <v>Active</v>
      </c>
      <c r="K9" s="228" t="str">
        <f>IFERROR(__xludf.DUMMYFUNCTION("""COMPUTED_VALUE"""),"3M")</f>
        <v>3M</v>
      </c>
      <c r="L9" s="729">
        <f>IFERROR(__xludf.DUMMYFUNCTION("""COMPUTED_VALUE"""),44887.0)</f>
        <v>44887</v>
      </c>
      <c r="M9" s="228"/>
      <c r="N9" s="228"/>
      <c r="O9" s="228"/>
      <c r="P9" s="228"/>
      <c r="Q9" s="228" t="str">
        <f>IFERROR(__xludf.DUMMYFUNCTION("""COMPUTED_VALUE"""),"42201-8972202-0")</f>
        <v>42201-8972202-0</v>
      </c>
      <c r="R9" s="228" t="str">
        <f>IFERROR(__xludf.DUMMYFUNCTION("""COMPUTED_VALUE"""),"Female")</f>
        <v>Female</v>
      </c>
      <c r="S9" s="228" t="str">
        <f>IFERROR(__xludf.DUMMYFUNCTION("""COMPUTED_VALUE"""),"Meezan Bank")</f>
        <v>Meezan Bank</v>
      </c>
      <c r="T9" s="228"/>
      <c r="U9" s="228" t="str">
        <f>IFERROR(__xludf.DUMMYFUNCTION("""COMPUTED_VALUE"""),"0102046613")</f>
        <v>0102046613</v>
      </c>
      <c r="V9" s="228"/>
      <c r="W9" s="228"/>
      <c r="X9" s="228" t="str">
        <f>IFERROR(__xludf.DUMMYFUNCTION("""COMPUTED_VALUE"""),"Remote")</f>
        <v>Remote</v>
      </c>
      <c r="Y9" s="730">
        <f>IFERROR(__xludf.DUMMYFUNCTION("""COMPUTED_VALUE"""),35257.0)</f>
        <v>35257</v>
      </c>
      <c r="Z9" s="228" t="str">
        <f>IFERROR(__xludf.DUMMYFUNCTION("""COMPUTED_VALUE"""),"28 Years")</f>
        <v>28 Years</v>
      </c>
      <c r="AA9" s="228"/>
      <c r="AB9" s="228" t="str">
        <f>IFERROR(__xludf.DUMMYFUNCTION("""COMPUTED_VALUE"""),"Pakistani")</f>
        <v>Pakistani</v>
      </c>
      <c r="AC9" s="228"/>
      <c r="AD9" s="228"/>
      <c r="AE9" s="228"/>
      <c r="AF9" s="228"/>
      <c r="AG9" s="228" t="str">
        <f>IFERROR(__xludf.DUMMYFUNCTION("""COMPUTED_VALUE"""),"Hafiz Muhammad Rafique")</f>
        <v>Hafiz Muhammad Rafique</v>
      </c>
      <c r="AH9" s="228" t="str">
        <f>IFERROR(__xludf.DUMMYFUNCTION("""COMPUTED_VALUE"""),"Father")</f>
        <v>Father</v>
      </c>
      <c r="AI9" s="228"/>
      <c r="AJ9" s="228"/>
      <c r="AK9" s="228"/>
      <c r="AL9" s="228"/>
      <c r="AM9" s="228"/>
      <c r="AN9" s="228" t="str">
        <f>IFERROR(__xludf.DUMMYFUNCTION("""COMPUTED_VALUE"""),"NOT FOUND")</f>
        <v>NOT FOUND</v>
      </c>
      <c r="AO9" s="228" t="str">
        <f>IFERROR(__xludf.DUMMYFUNCTION("""COMPUTED_VALUE"""),"NOT FOUND")</f>
        <v>NOT FOUND</v>
      </c>
      <c r="AP9" s="228" t="str">
        <f>IFERROR(__xludf.DUMMYFUNCTION("""COMPUTED_VALUE"""),"NO")</f>
        <v>NO</v>
      </c>
      <c r="AQ9" s="228" t="str">
        <f>IFERROR(__xludf.DUMMYFUNCTION("""COMPUTED_VALUE"""),"Active")</f>
        <v>Active</v>
      </c>
    </row>
    <row r="10">
      <c r="A10" s="228">
        <f>IFERROR(__xludf.DUMMYFUNCTION("""COMPUTED_VALUE"""),5204.0)</f>
        <v>5204</v>
      </c>
      <c r="B10" s="228" t="str">
        <f>IFERROR(__xludf.DUMMYFUNCTION("""COMPUTED_VALUE"""),"Naveed Ahmed")</f>
        <v>Naveed Ahmed</v>
      </c>
      <c r="C10" s="228" t="str">
        <f>IFERROR(__xludf.DUMMYFUNCTION("""COMPUTED_VALUE"""),"navidahmed192@gmail.com")</f>
        <v>navidahmed192@gmail.com</v>
      </c>
      <c r="D10" s="228" t="str">
        <f>IFERROR(__xludf.DUMMYFUNCTION("""COMPUTED_VALUE"""),"navidahmed192@gmail.com")</f>
        <v>navidahmed192@gmail.com</v>
      </c>
      <c r="E10" s="728">
        <f>IFERROR(__xludf.DUMMYFUNCTION("""COMPUTED_VALUE"""),44805.0)</f>
        <v>44805</v>
      </c>
      <c r="F10" s="228" t="str">
        <f>IFERROR(__xludf.DUMMYFUNCTION("""COMPUTED_VALUE"""),"Admin Executive")</f>
        <v>Admin Executive</v>
      </c>
      <c r="G10" s="228" t="str">
        <f>IFERROR(__xludf.DUMMYFUNCTION("""COMPUTED_VALUE"""),"Admin")</f>
        <v>Admin</v>
      </c>
      <c r="H10" s="228" t="str">
        <f>IFERROR(__xludf.DUMMYFUNCTION("""COMPUTED_VALUE"""),"Ahmed Abubakar, CEO")</f>
        <v>Ahmed Abubakar, CEO</v>
      </c>
      <c r="I10" s="228" t="str">
        <f>IFERROR(__xludf.DUMMYFUNCTION("""COMPUTED_VALUE"""),"Permanent")</f>
        <v>Permanent</v>
      </c>
      <c r="J10" s="228" t="str">
        <f>IFERROR(__xludf.DUMMYFUNCTION("""COMPUTED_VALUE"""),"Active")</f>
        <v>Active</v>
      </c>
      <c r="K10" s="228" t="str">
        <f>IFERROR(__xludf.DUMMYFUNCTION("""COMPUTED_VALUE"""),"0M")</f>
        <v>0M</v>
      </c>
      <c r="L10" s="729">
        <f>IFERROR(__xludf.DUMMYFUNCTION("""COMPUTED_VALUE"""),44805.0)</f>
        <v>44805</v>
      </c>
      <c r="M10" s="228"/>
      <c r="N10" s="228"/>
      <c r="O10" s="228"/>
      <c r="P10" s="228"/>
      <c r="Q10" s="228" t="str">
        <f>IFERROR(__xludf.DUMMYFUNCTION("""COMPUTED_VALUE"""),"42201-5462974-9")</f>
        <v>42201-5462974-9</v>
      </c>
      <c r="R10" s="228" t="str">
        <f>IFERROR(__xludf.DUMMYFUNCTION("""COMPUTED_VALUE"""),"Male")</f>
        <v>Male</v>
      </c>
      <c r="S10" s="228" t="str">
        <f>IFERROR(__xludf.DUMMYFUNCTION("""COMPUTED_VALUE"""),"Askari Bank")</f>
        <v>Askari Bank</v>
      </c>
      <c r="T10" s="228" t="str">
        <f>IFERROR(__xludf.DUMMYFUNCTION("""COMPUTED_VALUE"""),"Naveed Ahmed")</f>
        <v>Naveed Ahmed</v>
      </c>
      <c r="U10" s="228" t="str">
        <f>IFERROR(__xludf.DUMMYFUNCTION("""COMPUTED_VALUE"""),"PK85ASCM0001800610009223")</f>
        <v>PK85ASCM0001800610009223</v>
      </c>
      <c r="V10" s="228" t="str">
        <f>IFERROR(__xludf.DUMMYFUNCTION("""COMPUTED_VALUE"""),"ASCMPKKA")</f>
        <v>ASCMPKKA</v>
      </c>
      <c r="W10" s="228"/>
      <c r="X10" s="228" t="str">
        <f>IFERROR(__xludf.DUMMYFUNCTION("""COMPUTED_VALUE"""),"Islamabad")</f>
        <v>Islamabad</v>
      </c>
      <c r="Y10" s="730">
        <f>IFERROR(__xludf.DUMMYFUNCTION("""COMPUTED_VALUE"""),31014.0)</f>
        <v>31014</v>
      </c>
      <c r="Z10" s="228" t="str">
        <f>IFERROR(__xludf.DUMMYFUNCTION("""COMPUTED_VALUE"""),"40 Years")</f>
        <v>40 Years</v>
      </c>
      <c r="AA10" s="228"/>
      <c r="AB10" s="228" t="str">
        <f>IFERROR(__xludf.DUMMYFUNCTION("""COMPUTED_VALUE"""),"Pakistani")</f>
        <v>Pakistani</v>
      </c>
      <c r="AC10" s="228"/>
      <c r="AD10" s="228"/>
      <c r="AE10" s="228"/>
      <c r="AF10" s="228"/>
      <c r="AG10" s="228"/>
      <c r="AH10" s="228"/>
      <c r="AI10" s="228"/>
      <c r="AJ10" s="228"/>
      <c r="AK10" s="228"/>
      <c r="AL10" s="228"/>
      <c r="AM10" s="228"/>
      <c r="AN10" s="228" t="str">
        <f>IFERROR(__xludf.DUMMYFUNCTION("""COMPUTED_VALUE"""),"Quality Assurance")</f>
        <v>Quality Assurance</v>
      </c>
      <c r="AO10" s="228" t="str">
        <f>IFERROR(__xludf.DUMMYFUNCTION("""COMPUTED_VALUE"""),"qa.team@vyro.ai")</f>
        <v>qa.team@vyro.ai</v>
      </c>
      <c r="AP10" s="228" t="str">
        <f>IFERROR(__xludf.DUMMYFUNCTION("""COMPUTED_VALUE"""),"NO")</f>
        <v>NO</v>
      </c>
      <c r="AQ10" s="228" t="str">
        <f>IFERROR(__xludf.DUMMYFUNCTION("""COMPUTED_VALUE"""),"Active")</f>
        <v>Active</v>
      </c>
    </row>
    <row r="11">
      <c r="A11" s="228">
        <f>IFERROR(__xludf.DUMMYFUNCTION("""COMPUTED_VALUE"""),5084.0)</f>
        <v>5084</v>
      </c>
      <c r="B11" s="228" t="str">
        <f>IFERROR(__xludf.DUMMYFUNCTION("""COMPUTED_VALUE"""),"Muhammad Zaid Abbasi")</f>
        <v>Muhammad Zaid Abbasi</v>
      </c>
      <c r="C11" s="228" t="str">
        <f>IFERROR(__xludf.DUMMYFUNCTION("""COMPUTED_VALUE"""),"zaiddev1996@gmail.com")</f>
        <v>zaiddev1996@gmail.com</v>
      </c>
      <c r="D11" s="228" t="str">
        <f>IFERROR(__xludf.DUMMYFUNCTION("""COMPUTED_VALUE"""),"zaid.abbasi@vyro.ai")</f>
        <v>zaid.abbasi@vyro.ai</v>
      </c>
      <c r="E11" s="728">
        <f>IFERROR(__xludf.DUMMYFUNCTION("""COMPUTED_VALUE"""),44886.0)</f>
        <v>44886</v>
      </c>
      <c r="F11" s="228" t="str">
        <f>IFERROR(__xludf.DUMMYFUNCTION("""COMPUTED_VALUE"""),"Senior Android Developer")</f>
        <v>Senior Android Developer</v>
      </c>
      <c r="G11" s="228" t="str">
        <f>IFERROR(__xludf.DUMMYFUNCTION("""COMPUTED_VALUE"""),"Mobile")</f>
        <v>Mobile</v>
      </c>
      <c r="H11" s="228" t="str">
        <f>IFERROR(__xludf.DUMMYFUNCTION("""COMPUTED_VALUE"""),"Saad Aziz/ Umaira Jabeen")</f>
        <v>Saad Aziz/ Umaira Jabeen</v>
      </c>
      <c r="I11" s="228" t="str">
        <f>IFERROR(__xludf.DUMMYFUNCTION("""COMPUTED_VALUE"""),"Permanent")</f>
        <v>Permanent</v>
      </c>
      <c r="J11" s="228" t="str">
        <f>IFERROR(__xludf.DUMMYFUNCTION("""COMPUTED_VALUE"""),"Active")</f>
        <v>Active</v>
      </c>
      <c r="K11" s="228" t="str">
        <f>IFERROR(__xludf.DUMMYFUNCTION("""COMPUTED_VALUE"""),"3M")</f>
        <v>3M</v>
      </c>
      <c r="L11" s="729">
        <f>IFERROR(__xludf.DUMMYFUNCTION("""COMPUTED_VALUE"""),44978.0)</f>
        <v>44978</v>
      </c>
      <c r="M11" s="228"/>
      <c r="N11" s="228"/>
      <c r="O11" s="228"/>
      <c r="P11" s="228" t="str">
        <f>IFERROR(__xludf.DUMMYFUNCTION("""COMPUTED_VALUE"""),"03499674576")</f>
        <v>03499674576</v>
      </c>
      <c r="Q11" s="228" t="str">
        <f>IFERROR(__xludf.DUMMYFUNCTION("""COMPUTED_VALUE"""),"37405-7184575-5")</f>
        <v>37405-7184575-5</v>
      </c>
      <c r="R11" s="228" t="str">
        <f>IFERROR(__xludf.DUMMYFUNCTION("""COMPUTED_VALUE"""),"Male")</f>
        <v>Male</v>
      </c>
      <c r="S11" s="228" t="str">
        <f>IFERROR(__xludf.DUMMYFUNCTION("""COMPUTED_VALUE"""),"UBL")</f>
        <v>UBL</v>
      </c>
      <c r="T11" s="228"/>
      <c r="U11" s="228" t="str">
        <f>IFERROR(__xludf.DUMMYFUNCTION("""COMPUTED_VALUE"""),"PK74UNIL0109000281908132")</f>
        <v>PK74UNIL0109000281908132</v>
      </c>
      <c r="V11" s="228" t="str">
        <f>IFERROR(__xludf.DUMMYFUNCTION("""COMPUTED_VALUE"""),"UNILPKKA741")</f>
        <v>UNILPKKA741</v>
      </c>
      <c r="W11" s="228"/>
      <c r="X11" s="228" t="str">
        <f>IFERROR(__xludf.DUMMYFUNCTION("""COMPUTED_VALUE"""),"Islamabad")</f>
        <v>Islamabad</v>
      </c>
      <c r="Y11" s="730">
        <f>IFERROR(__xludf.DUMMYFUNCTION("""COMPUTED_VALUE"""),35147.0)</f>
        <v>35147</v>
      </c>
      <c r="Z11" s="228" t="str">
        <f>IFERROR(__xludf.DUMMYFUNCTION("""COMPUTED_VALUE"""),"28 Years")</f>
        <v>28 Years</v>
      </c>
      <c r="AA11" s="228" t="str">
        <f>IFERROR(__xludf.DUMMYFUNCTION("""COMPUTED_VALUE"""),"House 9, Sultan Street, I/8 - 4, Islamabad")</f>
        <v>House 9, Sultan Street, I/8 - 4, Islamabad</v>
      </c>
      <c r="AB11" s="228" t="str">
        <f>IFERROR(__xludf.DUMMYFUNCTION("""COMPUTED_VALUE"""),"Pakistani")</f>
        <v>Pakistani</v>
      </c>
      <c r="AC11" s="228" t="str">
        <f>IFERROR(__xludf.DUMMYFUNCTION("""COMPUTED_VALUE"""),"Married")</f>
        <v>Married</v>
      </c>
      <c r="AD11" s="228"/>
      <c r="AE11" s="228"/>
      <c r="AF11" s="228"/>
      <c r="AG11" s="228" t="str">
        <f>IFERROR(__xludf.DUMMYFUNCTION("""COMPUTED_VALUE"""),"Iftikhar Mehmood Abbasi")</f>
        <v>Iftikhar Mehmood Abbasi</v>
      </c>
      <c r="AH11" s="228" t="str">
        <f>IFERROR(__xludf.DUMMYFUNCTION("""COMPUTED_VALUE"""),"Father")</f>
        <v>Father</v>
      </c>
      <c r="AI11" s="228"/>
      <c r="AJ11" s="228" t="str">
        <f>IFERROR(__xludf.DUMMYFUNCTION("""COMPUTED_VALUE"""),"O+")</f>
        <v>O+</v>
      </c>
      <c r="AK11" s="731" t="str">
        <f>IFERROR(__xludf.DUMMYFUNCTION("""COMPUTED_VALUE"""),"https://www.linkedin.com/in/zaid-abbasi-561352102/")</f>
        <v>https://www.linkedin.com/in/zaid-abbasi-561352102/</v>
      </c>
      <c r="AL11" s="228"/>
      <c r="AM11" s="228"/>
      <c r="AN11" s="228" t="str">
        <f>IFERROR(__xludf.DUMMYFUNCTION("""COMPUTED_VALUE"""),"Android")</f>
        <v>Android</v>
      </c>
      <c r="AO11" s="228" t="str">
        <f>IFERROR(__xludf.DUMMYFUNCTION("""COMPUTED_VALUE"""),"android.team@vyro.ai")</f>
        <v>android.team@vyro.ai</v>
      </c>
      <c r="AP11" s="228" t="str">
        <f>IFERROR(__xludf.DUMMYFUNCTION("""COMPUTED_VALUE"""),"NO")</f>
        <v>NO</v>
      </c>
      <c r="AQ11" s="228" t="str">
        <f>IFERROR(__xludf.DUMMYFUNCTION("""COMPUTED_VALUE"""),"Active")</f>
        <v>Active</v>
      </c>
    </row>
    <row r="12">
      <c r="A12" s="228">
        <f>IFERROR(__xludf.DUMMYFUNCTION("""COMPUTED_VALUE"""),5083.0)</f>
        <v>5083</v>
      </c>
      <c r="B12" s="228" t="str">
        <f>IFERROR(__xludf.DUMMYFUNCTION("""COMPUTED_VALUE"""),"Syed Muhammad Tayyab Abbas")</f>
        <v>Syed Muhammad Tayyab Abbas</v>
      </c>
      <c r="C12" s="228" t="str">
        <f>IFERROR(__xludf.DUMMYFUNCTION("""COMPUTED_VALUE"""),"tayyababbas2000@gmail.com")</f>
        <v>tayyababbas2000@gmail.com</v>
      </c>
      <c r="D12" s="228" t="str">
        <f>IFERROR(__xludf.DUMMYFUNCTION("""COMPUTED_VALUE"""),"tayyab.abbas@vyro.ai")</f>
        <v>tayyab.abbas@vyro.ai</v>
      </c>
      <c r="E12" s="728">
        <f>IFERROR(__xludf.DUMMYFUNCTION("""COMPUTED_VALUE"""),44886.0)</f>
        <v>44886</v>
      </c>
      <c r="F12" s="228" t="str">
        <f>IFERROR(__xludf.DUMMYFUNCTION("""COMPUTED_VALUE"""),"Product Design")</f>
        <v>Product Design</v>
      </c>
      <c r="G12" s="228" t="str">
        <f>IFERROR(__xludf.DUMMYFUNCTION("""COMPUTED_VALUE"""),"Product Design")</f>
        <v>Product Design</v>
      </c>
      <c r="H12" s="228" t="str">
        <f>IFERROR(__xludf.DUMMYFUNCTION("""COMPUTED_VALUE"""),"Abdullah Rafique")</f>
        <v>Abdullah Rafique</v>
      </c>
      <c r="I12" s="228" t="str">
        <f>IFERROR(__xludf.DUMMYFUNCTION("""COMPUTED_VALUE"""),"Onsite")</f>
        <v>Onsite</v>
      </c>
      <c r="J12" s="228" t="str">
        <f>IFERROR(__xludf.DUMMYFUNCTION("""COMPUTED_VALUE"""),"Active")</f>
        <v>Active</v>
      </c>
      <c r="K12" s="228" t="str">
        <f>IFERROR(__xludf.DUMMYFUNCTION("""COMPUTED_VALUE"""),"3M")</f>
        <v>3M</v>
      </c>
      <c r="L12" s="729">
        <f>IFERROR(__xludf.DUMMYFUNCTION("""COMPUTED_VALUE"""),44978.0)</f>
        <v>44978</v>
      </c>
      <c r="M12" s="228"/>
      <c r="N12" s="228"/>
      <c r="O12" s="228"/>
      <c r="P12" s="228" t="str">
        <f>IFERROR(__xludf.DUMMYFUNCTION("""COMPUTED_VALUE"""),"03349490777")</f>
        <v>03349490777</v>
      </c>
      <c r="Q12" s="228" t="str">
        <f>IFERROR(__xludf.DUMMYFUNCTION("""COMPUTED_VALUE"""),"17301-2752063-7")</f>
        <v>17301-2752063-7</v>
      </c>
      <c r="R12" s="228" t="str">
        <f>IFERROR(__xludf.DUMMYFUNCTION("""COMPUTED_VALUE"""),"Male")</f>
        <v>Male</v>
      </c>
      <c r="S12" s="228" t="str">
        <f>IFERROR(__xludf.DUMMYFUNCTION("""COMPUTED_VALUE"""),"Standard Chartered")</f>
        <v>Standard Chartered</v>
      </c>
      <c r="T12" s="228" t="str">
        <f>IFERROR(__xludf.DUMMYFUNCTION("""COMPUTED_VALUE"""),"Syed Muhammad Tayyab Abbas")</f>
        <v>Syed Muhammad Tayyab Abbas</v>
      </c>
      <c r="U12" s="228" t="str">
        <f>IFERROR(__xludf.DUMMYFUNCTION("""COMPUTED_VALUE"""),"PK05SCBL0000001017509301")</f>
        <v>PK05SCBL0000001017509301</v>
      </c>
      <c r="V12" s="228" t="str">
        <f>IFERROR(__xludf.DUMMYFUNCTION("""COMPUTED_VALUE"""),"SCBLPKKXXXX")</f>
        <v>SCBLPKKXXXX</v>
      </c>
      <c r="W12" s="228"/>
      <c r="X12" s="228" t="str">
        <f>IFERROR(__xludf.DUMMYFUNCTION("""COMPUTED_VALUE"""),"Islamabad")</f>
        <v>Islamabad</v>
      </c>
      <c r="Y12" s="730">
        <f>IFERROR(__xludf.DUMMYFUNCTION("""COMPUTED_VALUE"""),36797.0)</f>
        <v>36797</v>
      </c>
      <c r="Z12" s="228" t="str">
        <f>IFERROR(__xludf.DUMMYFUNCTION("""COMPUTED_VALUE"""),"24 Years")</f>
        <v>24 Years</v>
      </c>
      <c r="AA12" s="228" t="str">
        <f>IFERROR(__xludf.DUMMYFUNCTION("""COMPUTED_VALUE"""),"H#10, St#44, Korang Town, Islamabad, Pakistan")</f>
        <v>H#10, St#44, Korang Town, Islamabad, Pakistan</v>
      </c>
      <c r="AB12" s="228" t="str">
        <f>IFERROR(__xludf.DUMMYFUNCTION("""COMPUTED_VALUE"""),"Pakistani")</f>
        <v>Pakistani</v>
      </c>
      <c r="AC12" s="228" t="str">
        <f>IFERROR(__xludf.DUMMYFUNCTION("""COMPUTED_VALUE"""),"Married")</f>
        <v>Married</v>
      </c>
      <c r="AD12" s="228"/>
      <c r="AE12" s="228"/>
      <c r="AF12" s="228"/>
      <c r="AG12" s="228" t="str">
        <f>IFERROR(__xludf.DUMMYFUNCTION("""COMPUTED_VALUE"""),"Syed Muhammad Arif")</f>
        <v>Syed Muhammad Arif</v>
      </c>
      <c r="AH12" s="228" t="str">
        <f>IFERROR(__xludf.DUMMYFUNCTION("""COMPUTED_VALUE"""),"Father")</f>
        <v>Father</v>
      </c>
      <c r="AI12" s="228"/>
      <c r="AJ12" s="228" t="str">
        <f>IFERROR(__xludf.DUMMYFUNCTION("""COMPUTED_VALUE"""),"B+")</f>
        <v>B+</v>
      </c>
      <c r="AK12" s="731" t="str">
        <f>IFERROR(__xludf.DUMMYFUNCTION("""COMPUTED_VALUE"""),"https://www.linkedin.com/in/tayyababbas2000/")</f>
        <v>https://www.linkedin.com/in/tayyababbas2000/</v>
      </c>
      <c r="AL12" s="228"/>
      <c r="AM12" s="228"/>
      <c r="AN12" s="228" t="str">
        <f>IFERROR(__xludf.DUMMYFUNCTION("""COMPUTED_VALUE"""),"Product Design")</f>
        <v>Product Design</v>
      </c>
      <c r="AO12" s="228" t="str">
        <f>IFERROR(__xludf.DUMMYFUNCTION("""COMPUTED_VALUE"""),"product.design.team@vyro.ai")</f>
        <v>product.design.team@vyro.ai</v>
      </c>
      <c r="AP12" s="228" t="str">
        <f>IFERROR(__xludf.DUMMYFUNCTION("""COMPUTED_VALUE"""),"NO")</f>
        <v>NO</v>
      </c>
      <c r="AQ12" s="228" t="str">
        <f>IFERROR(__xludf.DUMMYFUNCTION("""COMPUTED_VALUE"""),"Active")</f>
        <v>Active</v>
      </c>
    </row>
    <row r="13">
      <c r="A13" s="228">
        <f>IFERROR(__xludf.DUMMYFUNCTION("""COMPUTED_VALUE"""),5086.0)</f>
        <v>5086</v>
      </c>
      <c r="B13" s="228" t="str">
        <f>IFERROR(__xludf.DUMMYFUNCTION("""COMPUTED_VALUE"""),"Hamza Ali Khan")</f>
        <v>Hamza Ali Khan</v>
      </c>
      <c r="C13" s="228" t="str">
        <f>IFERROR(__xludf.DUMMYFUNCTION("""COMPUTED_VALUE"""),"hk036078@gmail.com")</f>
        <v>hk036078@gmail.com</v>
      </c>
      <c r="D13" s="228" t="str">
        <f>IFERROR(__xludf.DUMMYFUNCTION("""COMPUTED_VALUE"""),"hamza.ali@vyro.ai")</f>
        <v>hamza.ali@vyro.ai</v>
      </c>
      <c r="E13" s="728">
        <f>IFERROR(__xludf.DUMMYFUNCTION("""COMPUTED_VALUE"""),44896.0)</f>
        <v>44896</v>
      </c>
      <c r="F13" s="228" t="str">
        <f>IFERROR(__xludf.DUMMYFUNCTION("""COMPUTED_VALUE"""),"Software Quality Assurance Engineer")</f>
        <v>Software Quality Assurance Engineer</v>
      </c>
      <c r="G13" s="228" t="str">
        <f>IFERROR(__xludf.DUMMYFUNCTION("""COMPUTED_VALUE"""),"Quality Assurance")</f>
        <v>Quality Assurance</v>
      </c>
      <c r="H13" s="228" t="str">
        <f>IFERROR(__xludf.DUMMYFUNCTION("""COMPUTED_VALUE"""),"Saad Aziz/ Saad Ahmed")</f>
        <v>Saad Aziz/ Saad Ahmed</v>
      </c>
      <c r="I13" s="228" t="str">
        <f>IFERROR(__xludf.DUMMYFUNCTION("""COMPUTED_VALUE"""),"Permanent")</f>
        <v>Permanent</v>
      </c>
      <c r="J13" s="228" t="str">
        <f>IFERROR(__xludf.DUMMYFUNCTION("""COMPUTED_VALUE"""),"Active")</f>
        <v>Active</v>
      </c>
      <c r="K13" s="228" t="str">
        <f>IFERROR(__xludf.DUMMYFUNCTION("""COMPUTED_VALUE"""),"3M")</f>
        <v>3M</v>
      </c>
      <c r="L13" s="729">
        <f>IFERROR(__xludf.DUMMYFUNCTION("""COMPUTED_VALUE"""),44986.0)</f>
        <v>44986</v>
      </c>
      <c r="M13" s="228"/>
      <c r="N13" s="228"/>
      <c r="O13" s="228"/>
      <c r="P13" s="228" t="str">
        <f>IFERROR(__xludf.DUMMYFUNCTION("""COMPUTED_VALUE"""),"03369133717")</f>
        <v>03369133717</v>
      </c>
      <c r="Q13" s="228" t="str">
        <f>IFERROR(__xludf.DUMMYFUNCTION("""COMPUTED_VALUE"""),"37405-5700118-7")</f>
        <v>37405-5700118-7</v>
      </c>
      <c r="R13" s="228" t="str">
        <f>IFERROR(__xludf.DUMMYFUNCTION("""COMPUTED_VALUE"""),"Male")</f>
        <v>Male</v>
      </c>
      <c r="S13" s="228" t="str">
        <f>IFERROR(__xludf.DUMMYFUNCTION("""COMPUTED_VALUE"""),"Askari Bank")</f>
        <v>Askari Bank</v>
      </c>
      <c r="T13" s="228"/>
      <c r="U13" s="228" t="str">
        <f>IFERROR(__xludf.DUMMYFUNCTION("""COMPUTED_VALUE"""),"PK09ASCM0001800610003704")</f>
        <v>PK09ASCM0001800610003704</v>
      </c>
      <c r="V13" s="228"/>
      <c r="W13" s="228"/>
      <c r="X13" s="228" t="str">
        <f>IFERROR(__xludf.DUMMYFUNCTION("""COMPUTED_VALUE"""),"Islamabad")</f>
        <v>Islamabad</v>
      </c>
      <c r="Y13" s="730">
        <f>IFERROR(__xludf.DUMMYFUNCTION("""COMPUTED_VALUE"""),35606.0)</f>
        <v>35606</v>
      </c>
      <c r="Z13" s="228" t="str">
        <f>IFERROR(__xludf.DUMMYFUNCTION("""COMPUTED_VALUE"""),"27 Years")</f>
        <v>27 Years</v>
      </c>
      <c r="AA13" s="228" t="str">
        <f>IFERROR(__xludf.DUMMYFUNCTION("""COMPUTED_VALUE"""),"House 244, lane 3, Askari 10, RWP, near Jinnah Park")</f>
        <v>House 244, lane 3, Askari 10, RWP, near Jinnah Park</v>
      </c>
      <c r="AB13" s="228" t="str">
        <f>IFERROR(__xludf.DUMMYFUNCTION("""COMPUTED_VALUE"""),"Pakistani")</f>
        <v>Pakistani</v>
      </c>
      <c r="AC13" s="228" t="str">
        <f>IFERROR(__xludf.DUMMYFUNCTION("""COMPUTED_VALUE"""),"Single")</f>
        <v>Single</v>
      </c>
      <c r="AD13" s="228"/>
      <c r="AE13" s="228"/>
      <c r="AF13" s="228"/>
      <c r="AG13" s="228" t="str">
        <f>IFERROR(__xludf.DUMMYFUNCTION("""COMPUTED_VALUE"""),"Muhammad Siddique")</f>
        <v>Muhammad Siddique</v>
      </c>
      <c r="AH13" s="228" t="str">
        <f>IFERROR(__xludf.DUMMYFUNCTION("""COMPUTED_VALUE"""),"Father")</f>
        <v>Father</v>
      </c>
      <c r="AI13" s="228"/>
      <c r="AJ13" s="228"/>
      <c r="AK13" s="731" t="str">
        <f>IFERROR(__xludf.DUMMYFUNCTION("""COMPUTED_VALUE"""),"https://www.linkedin.com/in/hamzakhan111/")</f>
        <v>https://www.linkedin.com/in/hamzakhan111/</v>
      </c>
      <c r="AL13" s="228"/>
      <c r="AM13" s="228"/>
      <c r="AN13" s="228" t="str">
        <f>IFERROR(__xludf.DUMMYFUNCTION("""COMPUTED_VALUE"""),"Quality Assurance")</f>
        <v>Quality Assurance</v>
      </c>
      <c r="AO13" s="228" t="str">
        <f>IFERROR(__xludf.DUMMYFUNCTION("""COMPUTED_VALUE"""),"qa.team@vyro.ai")</f>
        <v>qa.team@vyro.ai</v>
      </c>
      <c r="AP13" s="228" t="str">
        <f>IFERROR(__xludf.DUMMYFUNCTION("""COMPUTED_VALUE"""),"NO")</f>
        <v>NO</v>
      </c>
      <c r="AQ13" s="228" t="str">
        <f>IFERROR(__xludf.DUMMYFUNCTION("""COMPUTED_VALUE"""),"Active")</f>
        <v>Active</v>
      </c>
    </row>
    <row r="14">
      <c r="A14" s="228">
        <f>IFERROR(__xludf.DUMMYFUNCTION("""COMPUTED_VALUE"""),5090.0)</f>
        <v>5090</v>
      </c>
      <c r="B14" s="228" t="str">
        <f>IFERROR(__xludf.DUMMYFUNCTION("""COMPUTED_VALUE"""),"Shahzad Farooq")</f>
        <v>Shahzad Farooq</v>
      </c>
      <c r="C14" s="228" t="str">
        <f>IFERROR(__xludf.DUMMYFUNCTION("""COMPUTED_VALUE"""),"shahzadvyro@gmail.com")</f>
        <v>shahzadvyro@gmail.com</v>
      </c>
      <c r="D14" s="228" t="str">
        <f>IFERROR(__xludf.DUMMYFUNCTION("""COMPUTED_VALUE"""),"shahzad.farooq@vyro.ai")</f>
        <v>shahzad.farooq@vyro.ai</v>
      </c>
      <c r="E14" s="728">
        <f>IFERROR(__xludf.DUMMYFUNCTION("""COMPUTED_VALUE"""),44907.0)</f>
        <v>44907</v>
      </c>
      <c r="F14" s="228" t="str">
        <f>IFERROR(__xludf.DUMMYFUNCTION("""COMPUTED_VALUE"""),"OPE Lead")</f>
        <v>OPE Lead</v>
      </c>
      <c r="G14" s="228" t="str">
        <f>IFERROR(__xludf.DUMMYFUNCTION("""COMPUTED_VALUE"""),"Operations &amp; Process Excellence")</f>
        <v>Operations &amp; Process Excellence</v>
      </c>
      <c r="H14" s="228" t="str">
        <f>IFERROR(__xludf.DUMMYFUNCTION("""COMPUTED_VALUE"""),"Ahmed Abubakar, CEO")</f>
        <v>Ahmed Abubakar, CEO</v>
      </c>
      <c r="I14" s="228" t="str">
        <f>IFERROR(__xludf.DUMMYFUNCTION("""COMPUTED_VALUE"""),"Permanent")</f>
        <v>Permanent</v>
      </c>
      <c r="J14" s="228" t="str">
        <f>IFERROR(__xludf.DUMMYFUNCTION("""COMPUTED_VALUE"""),"Active")</f>
        <v>Active</v>
      </c>
      <c r="K14" s="228" t="str">
        <f>IFERROR(__xludf.DUMMYFUNCTION("""COMPUTED_VALUE"""),"3M")</f>
        <v>3M</v>
      </c>
      <c r="L14" s="729">
        <f>IFERROR(__xludf.DUMMYFUNCTION("""COMPUTED_VALUE"""),44997.0)</f>
        <v>44997</v>
      </c>
      <c r="M14" s="228"/>
      <c r="N14" s="228"/>
      <c r="O14" s="228"/>
      <c r="P14" s="228" t="str">
        <f>IFERROR(__xludf.DUMMYFUNCTION("""COMPUTED_VALUE"""),"03180588224")</f>
        <v>03180588224</v>
      </c>
      <c r="Q14" s="228" t="str">
        <f>IFERROR(__xludf.DUMMYFUNCTION("""COMPUTED_VALUE"""),"42501-8133748-7")</f>
        <v>42501-8133748-7</v>
      </c>
      <c r="R14" s="228" t="str">
        <f>IFERROR(__xludf.DUMMYFUNCTION("""COMPUTED_VALUE"""),"Male")</f>
        <v>Male</v>
      </c>
      <c r="S14" s="228" t="str">
        <f>IFERROR(__xludf.DUMMYFUNCTION("""COMPUTED_VALUE"""),"Allied Bank")</f>
        <v>Allied Bank</v>
      </c>
      <c r="T14" s="228"/>
      <c r="U14" s="228" t="str">
        <f>IFERROR(__xludf.DUMMYFUNCTION("""COMPUTED_VALUE"""),"PK17ABPA0010083445060028")</f>
        <v>PK17ABPA0010083445060028</v>
      </c>
      <c r="V14" s="228"/>
      <c r="W14" s="228"/>
      <c r="X14" s="228" t="str">
        <f>IFERROR(__xludf.DUMMYFUNCTION("""COMPUTED_VALUE"""),"Islamabad")</f>
        <v>Islamabad</v>
      </c>
      <c r="Y14" s="730">
        <f>IFERROR(__xludf.DUMMYFUNCTION("""COMPUTED_VALUE"""),36979.0)</f>
        <v>36979</v>
      </c>
      <c r="Z14" s="228" t="str">
        <f>IFERROR(__xludf.DUMMYFUNCTION("""COMPUTED_VALUE"""),"23 Years")</f>
        <v>23 Years</v>
      </c>
      <c r="AA14" s="228" t="str">
        <f>IFERROR(__xludf.DUMMYFUNCTION("""COMPUTED_VALUE"""),"house no. 216, St 1, Pirwadhai Modh, Peshawar Road, Rawalpindi")</f>
        <v>house no. 216, St 1, Pirwadhai Modh, Peshawar Road, Rawalpindi</v>
      </c>
      <c r="AB14" s="228" t="str">
        <f>IFERROR(__xludf.DUMMYFUNCTION("""COMPUTED_VALUE"""),"Pakistani")</f>
        <v>Pakistani</v>
      </c>
      <c r="AC14" s="228" t="str">
        <f>IFERROR(__xludf.DUMMYFUNCTION("""COMPUTED_VALUE"""),"Single")</f>
        <v>Single</v>
      </c>
      <c r="AD14" s="228"/>
      <c r="AE14" s="228"/>
      <c r="AF14" s="228"/>
      <c r="AG14" s="228" t="str">
        <f>IFERROR(__xludf.DUMMYFUNCTION("""COMPUTED_VALUE"""),"Muhammad Farooq Rahi")</f>
        <v>Muhammad Farooq Rahi</v>
      </c>
      <c r="AH14" s="228" t="str">
        <f>IFERROR(__xludf.DUMMYFUNCTION("""COMPUTED_VALUE"""),"Mother")</f>
        <v>Mother</v>
      </c>
      <c r="AI14" s="228"/>
      <c r="AJ14" s="228" t="str">
        <f>IFERROR(__xludf.DUMMYFUNCTION("""COMPUTED_VALUE"""),"AB+")</f>
        <v>AB+</v>
      </c>
      <c r="AK14" s="228"/>
      <c r="AL14" s="228"/>
      <c r="AM14" s="228"/>
      <c r="AN14" s="228" t="str">
        <f>IFERROR(__xludf.DUMMYFUNCTION("""COMPUTED_VALUE"""),"Marketing")</f>
        <v>Marketing</v>
      </c>
      <c r="AO14" s="228" t="str">
        <f>IFERROR(__xludf.DUMMYFUNCTION("""COMPUTED_VALUE"""),"marketing.team@vyro.ai")</f>
        <v>marketing.team@vyro.ai</v>
      </c>
      <c r="AP14" s="228" t="str">
        <f>IFERROR(__xludf.DUMMYFUNCTION("""COMPUTED_VALUE"""),"NO")</f>
        <v>NO</v>
      </c>
      <c r="AQ14" s="228" t="str">
        <f>IFERROR(__xludf.DUMMYFUNCTION("""COMPUTED_VALUE"""),"Active")</f>
        <v>Active</v>
      </c>
    </row>
    <row r="15">
      <c r="A15" s="228">
        <f>IFERROR(__xludf.DUMMYFUNCTION("""COMPUTED_VALUE"""),5095.0)</f>
        <v>5095</v>
      </c>
      <c r="B15" s="228" t="str">
        <f>IFERROR(__xludf.DUMMYFUNCTION("""COMPUTED_VALUE"""),"Muhammad Abdullah Salam")</f>
        <v>Muhammad Abdullah Salam</v>
      </c>
      <c r="C15" s="228" t="str">
        <f>IFERROR(__xludf.DUMMYFUNCTION("""COMPUTED_VALUE"""),"thealfa136@gmail.com")</f>
        <v>thealfa136@gmail.com</v>
      </c>
      <c r="D15" s="228" t="str">
        <f>IFERROR(__xludf.DUMMYFUNCTION("""COMPUTED_VALUE"""),"abdullah.salam@vyro.ai")</f>
        <v>abdullah.salam@vyro.ai</v>
      </c>
      <c r="E15" s="728">
        <f>IFERROR(__xludf.DUMMYFUNCTION("""COMPUTED_VALUE"""),44938.0)</f>
        <v>44938</v>
      </c>
      <c r="F15" s="228" t="str">
        <f>IFERROR(__xludf.DUMMYFUNCTION("""COMPUTED_VALUE"""),"Motion Graphics Designer")</f>
        <v>Motion Graphics Designer</v>
      </c>
      <c r="G15" s="228" t="str">
        <f>IFERROR(__xludf.DUMMYFUNCTION("""COMPUTED_VALUE"""),"Social Media/ Youtube")</f>
        <v>Social Media/ Youtube</v>
      </c>
      <c r="H15" s="228" t="str">
        <f>IFERROR(__xludf.DUMMYFUNCTION("""COMPUTED_VALUE"""),"Maha Manzoor")</f>
        <v>Maha Manzoor</v>
      </c>
      <c r="I15" s="228" t="str">
        <f>IFERROR(__xludf.DUMMYFUNCTION("""COMPUTED_VALUE"""),"Permanent")</f>
        <v>Permanent</v>
      </c>
      <c r="J15" s="228" t="str">
        <f>IFERROR(__xludf.DUMMYFUNCTION("""COMPUTED_VALUE"""),"Active")</f>
        <v>Active</v>
      </c>
      <c r="K15" s="228" t="str">
        <f>IFERROR(__xludf.DUMMYFUNCTION("""COMPUTED_VALUE"""),"3M")</f>
        <v>3M</v>
      </c>
      <c r="L15" s="729">
        <f>IFERROR(__xludf.DUMMYFUNCTION("""COMPUTED_VALUE"""),45028.0)</f>
        <v>45028</v>
      </c>
      <c r="M15" s="228"/>
      <c r="N15" s="228"/>
      <c r="O15" s="228"/>
      <c r="P15" s="228" t="str">
        <f>IFERROR(__xludf.DUMMYFUNCTION("""COMPUTED_VALUE"""),"03145227760")</f>
        <v>03145227760</v>
      </c>
      <c r="Q15" s="228" t="str">
        <f>IFERROR(__xludf.DUMMYFUNCTION("""COMPUTED_VALUE"""),"17301-7752570-9")</f>
        <v>17301-7752570-9</v>
      </c>
      <c r="R15" s="228" t="str">
        <f>IFERROR(__xludf.DUMMYFUNCTION("""COMPUTED_VALUE"""),"Male")</f>
        <v>Male</v>
      </c>
      <c r="S15" s="228" t="str">
        <f>IFERROR(__xludf.DUMMYFUNCTION("""COMPUTED_VALUE"""),"HBL")</f>
        <v>HBL</v>
      </c>
      <c r="T15" s="228"/>
      <c r="U15" s="228" t="str">
        <f>IFERROR(__xludf.DUMMYFUNCTION("""COMPUTED_VALUE"""),"PK14HABB0006097901600603")</f>
        <v>PK14HABB0006097901600603</v>
      </c>
      <c r="V15" s="228"/>
      <c r="W15" s="228"/>
      <c r="X15" s="228" t="str">
        <f>IFERROR(__xludf.DUMMYFUNCTION("""COMPUTED_VALUE"""),"Islamabad")</f>
        <v>Islamabad</v>
      </c>
      <c r="Y15" s="730">
        <f>IFERROR(__xludf.DUMMYFUNCTION("""COMPUTED_VALUE"""),36690.0)</f>
        <v>36690</v>
      </c>
      <c r="Z15" s="228" t="str">
        <f>IFERROR(__xludf.DUMMYFUNCTION("""COMPUTED_VALUE"""),"24 Years")</f>
        <v>24 Years</v>
      </c>
      <c r="AA15" s="228" t="str">
        <f>IFERROR(__xludf.DUMMYFUNCTION("""COMPUTED_VALUE"""),"CB1220/4, Qadria Colony, Near shalbandi Darbaar, Peshawar rd. RWP")</f>
        <v>CB1220/4, Qadria Colony, Near shalbandi Darbaar, Peshawar rd. RWP</v>
      </c>
      <c r="AB15" s="228" t="str">
        <f>IFERROR(__xludf.DUMMYFUNCTION("""COMPUTED_VALUE"""),"Pakistani")</f>
        <v>Pakistani</v>
      </c>
      <c r="AC15" s="228" t="str">
        <f>IFERROR(__xludf.DUMMYFUNCTION("""COMPUTED_VALUE"""),"Single")</f>
        <v>Single</v>
      </c>
      <c r="AD15" s="228"/>
      <c r="AE15" s="228"/>
      <c r="AF15" s="228"/>
      <c r="AG15" s="228" t="str">
        <f>IFERROR(__xludf.DUMMYFUNCTION("""COMPUTED_VALUE"""),"Abdul Salam")</f>
        <v>Abdul Salam</v>
      </c>
      <c r="AH15" s="228" t="str">
        <f>IFERROR(__xludf.DUMMYFUNCTION("""COMPUTED_VALUE"""),"Father")</f>
        <v>Father</v>
      </c>
      <c r="AI15" s="228"/>
      <c r="AJ15" s="228" t="str">
        <f>IFERROR(__xludf.DUMMYFUNCTION("""COMPUTED_VALUE"""),"AB-")</f>
        <v>AB-</v>
      </c>
      <c r="AK15" s="731" t="str">
        <f>IFERROR(__xludf.DUMMYFUNCTION("""COMPUTED_VALUE"""),"https://www.linkedin.com/in/muhammad-abdullah-salam-90470b23b/")</f>
        <v>https://www.linkedin.com/in/muhammad-abdullah-salam-90470b23b/</v>
      </c>
      <c r="AL15" s="228"/>
      <c r="AM15" s="228"/>
      <c r="AN15" s="228" t="str">
        <f>IFERROR(__xludf.DUMMYFUNCTION("""COMPUTED_VALUE"""),"Creatives")</f>
        <v>Creatives</v>
      </c>
      <c r="AO15" s="228" t="str">
        <f>IFERROR(__xludf.DUMMYFUNCTION("""COMPUTED_VALUE"""),"Creatives.team@vyro.ai")</f>
        <v>Creatives.team@vyro.ai</v>
      </c>
      <c r="AP15" s="228" t="str">
        <f>IFERROR(__xludf.DUMMYFUNCTION("""COMPUTED_VALUE"""),"NO")</f>
        <v>NO</v>
      </c>
      <c r="AQ15" s="228" t="str">
        <f>IFERROR(__xludf.DUMMYFUNCTION("""COMPUTED_VALUE"""),"Active")</f>
        <v>Active</v>
      </c>
    </row>
    <row r="16">
      <c r="A16" s="228">
        <f>IFERROR(__xludf.DUMMYFUNCTION("""COMPUTED_VALUE"""),5314.0)</f>
        <v>5314</v>
      </c>
      <c r="B16" s="228" t="str">
        <f>IFERROR(__xludf.DUMMYFUNCTION("""COMPUTED_VALUE"""),"Aqif Shah")</f>
        <v>Aqif Shah</v>
      </c>
      <c r="C16" s="228"/>
      <c r="D16" s="228"/>
      <c r="E16" s="728">
        <f>IFERROR(__xludf.DUMMYFUNCTION("""COMPUTED_VALUE"""),44945.0)</f>
        <v>44945</v>
      </c>
      <c r="F16" s="228" t="str">
        <f>IFERROR(__xludf.DUMMYFUNCTION("""COMPUTED_VALUE"""),"Office Assistant")</f>
        <v>Office Assistant</v>
      </c>
      <c r="G16" s="228" t="str">
        <f>IFERROR(__xludf.DUMMYFUNCTION("""COMPUTED_VALUE"""),"Admin")</f>
        <v>Admin</v>
      </c>
      <c r="H16" s="228"/>
      <c r="I16" s="228"/>
      <c r="J16" s="228" t="str">
        <f>IFERROR(__xludf.DUMMYFUNCTION("""COMPUTED_VALUE"""),"Active")</f>
        <v>Active</v>
      </c>
      <c r="K16" s="228"/>
      <c r="L16" s="228"/>
      <c r="M16" s="228"/>
      <c r="N16" s="228"/>
      <c r="O16" s="228"/>
      <c r="P16" s="228" t="str">
        <f>IFERROR(__xludf.DUMMYFUNCTION("""COMPUTED_VALUE"""),"03220970827/03479436984")</f>
        <v>03220970827/03479436984</v>
      </c>
      <c r="Q16" s="228"/>
      <c r="R16" s="228" t="str">
        <f>IFERROR(__xludf.DUMMYFUNCTION("""COMPUTED_VALUE"""),"Male")</f>
        <v>Male</v>
      </c>
      <c r="S16" s="228"/>
      <c r="T16" s="228"/>
      <c r="U16" s="228"/>
      <c r="V16" s="228"/>
      <c r="W16" s="228"/>
      <c r="X16" s="228"/>
      <c r="Y16" s="228"/>
      <c r="Z16" s="228"/>
      <c r="AA16" s="228"/>
      <c r="AB16" s="228" t="str">
        <f>IFERROR(__xludf.DUMMYFUNCTION("""COMPUTED_VALUE"""),"Pakistani")</f>
        <v>Pakistani</v>
      </c>
      <c r="AC16" s="228"/>
      <c r="AD16" s="228"/>
      <c r="AE16" s="228"/>
      <c r="AF16" s="228"/>
      <c r="AG16" s="228" t="str">
        <f>IFERROR(__xludf.DUMMYFUNCTION("""COMPUTED_VALUE"""),"Muhammad Shah (brother)")</f>
        <v>Muhammad Shah (brother)</v>
      </c>
      <c r="AH16" s="228" t="str">
        <f>IFERROR(__xludf.DUMMYFUNCTION("""COMPUTED_VALUE"""),"Father, brother")</f>
        <v>Father, brother</v>
      </c>
      <c r="AI16" s="228"/>
      <c r="AJ16" s="228"/>
      <c r="AK16" s="228"/>
      <c r="AL16" s="228"/>
      <c r="AM16" s="228"/>
      <c r="AN16" s="228" t="str">
        <f>IFERROR(__xludf.DUMMYFUNCTION("""COMPUTED_VALUE"""),"Quality Assurance")</f>
        <v>Quality Assurance</v>
      </c>
      <c r="AO16" s="228" t="str">
        <f>IFERROR(__xludf.DUMMYFUNCTION("""COMPUTED_VALUE"""),"qa.team@vyro.ai")</f>
        <v>qa.team@vyro.ai</v>
      </c>
      <c r="AP16" s="228" t="str">
        <f>IFERROR(__xludf.DUMMYFUNCTION("""COMPUTED_VALUE"""),"NO")</f>
        <v>NO</v>
      </c>
      <c r="AQ16" s="228" t="str">
        <f>IFERROR(__xludf.DUMMYFUNCTION("""COMPUTED_VALUE"""),"Active")</f>
        <v>Active</v>
      </c>
    </row>
    <row r="17">
      <c r="A17" s="228">
        <f>IFERROR(__xludf.DUMMYFUNCTION("""COMPUTED_VALUE"""),5096.0)</f>
        <v>5096</v>
      </c>
      <c r="B17" s="228" t="str">
        <f>IFERROR(__xludf.DUMMYFUNCTION("""COMPUTED_VALUE"""),"Saad Aziz")</f>
        <v>Saad Aziz</v>
      </c>
      <c r="C17" s="228" t="str">
        <f>IFERROR(__xludf.DUMMYFUNCTION("""COMPUTED_VALUE"""),"saziz9956@gmail.com")</f>
        <v>saziz9956@gmail.com</v>
      </c>
      <c r="D17" s="228" t="str">
        <f>IFERROR(__xludf.DUMMYFUNCTION("""COMPUTED_VALUE"""),"saad.aziz@vyro.ai")</f>
        <v>saad.aziz@vyro.ai</v>
      </c>
      <c r="E17" s="728">
        <f>IFERROR(__xludf.DUMMYFUNCTION("""COMPUTED_VALUE"""),44958.0)</f>
        <v>44958</v>
      </c>
      <c r="F17" s="228" t="str">
        <f>IFERROR(__xludf.DUMMYFUNCTION("""COMPUTED_VALUE"""),"Technical Product Manager")</f>
        <v>Technical Product Manager</v>
      </c>
      <c r="G17" s="228" t="str">
        <f>IFERROR(__xludf.DUMMYFUNCTION("""COMPUTED_VALUE"""),"Mobile")</f>
        <v>Mobile</v>
      </c>
      <c r="H17" s="228" t="str">
        <f>IFERROR(__xludf.DUMMYFUNCTION("""COMPUTED_VALUE"""),"Abdullah Rafique")</f>
        <v>Abdullah Rafique</v>
      </c>
      <c r="I17" s="228" t="str">
        <f>IFERROR(__xludf.DUMMYFUNCTION("""COMPUTED_VALUE"""),"Permanent")</f>
        <v>Permanent</v>
      </c>
      <c r="J17" s="228" t="str">
        <f>IFERROR(__xludf.DUMMYFUNCTION("""COMPUTED_VALUE"""),"Active")</f>
        <v>Active</v>
      </c>
      <c r="K17" s="228" t="str">
        <f>IFERROR(__xludf.DUMMYFUNCTION("""COMPUTED_VALUE"""),"3M")</f>
        <v>3M</v>
      </c>
      <c r="L17" s="729">
        <f>IFERROR(__xludf.DUMMYFUNCTION("""COMPUTED_VALUE"""),45047.0)</f>
        <v>45047</v>
      </c>
      <c r="M17" s="228"/>
      <c r="N17" s="228"/>
      <c r="O17" s="228"/>
      <c r="P17" s="228" t="str">
        <f>IFERROR(__xludf.DUMMYFUNCTION("""COMPUTED_VALUE"""),"03323999982")</f>
        <v>03323999982</v>
      </c>
      <c r="Q17" s="228" t="str">
        <f>IFERROR(__xludf.DUMMYFUNCTION("""COMPUTED_VALUE"""),"37405-7429064-1")</f>
        <v>37405-7429064-1</v>
      </c>
      <c r="R17" s="228" t="str">
        <f>IFERROR(__xludf.DUMMYFUNCTION("""COMPUTED_VALUE"""),"Male")</f>
        <v>Male</v>
      </c>
      <c r="S17" s="228" t="str">
        <f>IFERROR(__xludf.DUMMYFUNCTION("""COMPUTED_VALUE"""),"Askari Bank")</f>
        <v>Askari Bank</v>
      </c>
      <c r="T17" s="228"/>
      <c r="U17" s="228" t="str">
        <f>IFERROR(__xludf.DUMMYFUNCTION("""COMPUTED_VALUE"""),"PK90ASCM0001200320007390")</f>
        <v>PK90ASCM0001200320007390</v>
      </c>
      <c r="V17" s="228" t="str">
        <f>IFERROR(__xludf.DUMMYFUNCTION("""COMPUTED_VALUE"""),"ASCMPKKA")</f>
        <v>ASCMPKKA</v>
      </c>
      <c r="W17" s="228"/>
      <c r="X17" s="228" t="str">
        <f>IFERROR(__xludf.DUMMYFUNCTION("""COMPUTED_VALUE"""),"Islamabad")</f>
        <v>Islamabad</v>
      </c>
      <c r="Y17" s="730">
        <f>IFERROR(__xludf.DUMMYFUNCTION("""COMPUTED_VALUE"""),35931.0)</f>
        <v>35931</v>
      </c>
      <c r="Z17" s="228" t="str">
        <f>IFERROR(__xludf.DUMMYFUNCTION("""COMPUTED_VALUE"""),"26 Years")</f>
        <v>26 Years</v>
      </c>
      <c r="AA17" s="228" t="str">
        <f>IFERROR(__xludf.DUMMYFUNCTION("""COMPUTED_VALUE"""),"SA 526, St 4, Magistrate Colony, Satellite Town, RWP")</f>
        <v>SA 526, St 4, Magistrate Colony, Satellite Town, RWP</v>
      </c>
      <c r="AB17" s="228" t="str">
        <f>IFERROR(__xludf.DUMMYFUNCTION("""COMPUTED_VALUE"""),"Pakistani")</f>
        <v>Pakistani</v>
      </c>
      <c r="AC17" s="228" t="str">
        <f>IFERROR(__xludf.DUMMYFUNCTION("""COMPUTED_VALUE"""),"Single")</f>
        <v>Single</v>
      </c>
      <c r="AD17" s="228"/>
      <c r="AE17" s="228"/>
      <c r="AF17" s="228"/>
      <c r="AG17" s="228" t="str">
        <f>IFERROR(__xludf.DUMMYFUNCTION("""COMPUTED_VALUE"""),"Aziz ur Rehman")</f>
        <v>Aziz ur Rehman</v>
      </c>
      <c r="AH17" s="228" t="str">
        <f>IFERROR(__xludf.DUMMYFUNCTION("""COMPUTED_VALUE"""),"Father")</f>
        <v>Father</v>
      </c>
      <c r="AI17" s="228"/>
      <c r="AJ17" s="228"/>
      <c r="AK17" s="228"/>
      <c r="AL17" s="228"/>
      <c r="AM17" s="228"/>
      <c r="AN17" s="228" t="str">
        <f>IFERROR(__xludf.DUMMYFUNCTION("""COMPUTED_VALUE"""),"Product")</f>
        <v>Product</v>
      </c>
      <c r="AO17" s="228" t="str">
        <f>IFERROR(__xludf.DUMMYFUNCTION("""COMPUTED_VALUE"""),"product.team@vyro.ai")</f>
        <v>product.team@vyro.ai</v>
      </c>
      <c r="AP17" s="228" t="str">
        <f>IFERROR(__xludf.DUMMYFUNCTION("""COMPUTED_VALUE"""),"NO")</f>
        <v>NO</v>
      </c>
      <c r="AQ17" s="228" t="str">
        <f>IFERROR(__xludf.DUMMYFUNCTION("""COMPUTED_VALUE"""),"Active")</f>
        <v>Active</v>
      </c>
    </row>
    <row r="18">
      <c r="A18" s="228">
        <f>IFERROR(__xludf.DUMMYFUNCTION("""COMPUTED_VALUE"""),5101.0)</f>
        <v>5101</v>
      </c>
      <c r="B18" s="228" t="str">
        <f>IFERROR(__xludf.DUMMYFUNCTION("""COMPUTED_VALUE"""),"Shawal Fida")</f>
        <v>Shawal Fida</v>
      </c>
      <c r="C18" s="228" t="str">
        <f>IFERROR(__xludf.DUMMYFUNCTION("""COMPUTED_VALUE"""),"shawalfida123@gmail.com")</f>
        <v>shawalfida123@gmail.com</v>
      </c>
      <c r="D18" s="228" t="str">
        <f>IFERROR(__xludf.DUMMYFUNCTION("""COMPUTED_VALUE"""),"shawal.fida@vyro.ai")</f>
        <v>shawal.fida@vyro.ai</v>
      </c>
      <c r="E18" s="728">
        <f>IFERROR(__xludf.DUMMYFUNCTION("""COMPUTED_VALUE"""),44977.0)</f>
        <v>44977</v>
      </c>
      <c r="F18" s="228" t="str">
        <f>IFERROR(__xludf.DUMMYFUNCTION("""COMPUTED_VALUE"""),"Partnership &amp; Community Growth Specialist")</f>
        <v>Partnership &amp; Community Growth Specialist</v>
      </c>
      <c r="G18" s="228" t="str">
        <f>IFERROR(__xludf.DUMMYFUNCTION("""COMPUTED_VALUE"""),"Social Media &amp; Community Growth")</f>
        <v>Social Media &amp; Community Growth</v>
      </c>
      <c r="H18" s="228" t="str">
        <f>IFERROR(__xludf.DUMMYFUNCTION("""COMPUTED_VALUE"""),"Ahmed Abubakar, CEO")</f>
        <v>Ahmed Abubakar, CEO</v>
      </c>
      <c r="I18" s="228" t="str">
        <f>IFERROR(__xludf.DUMMYFUNCTION("""COMPUTED_VALUE"""),"Permanent")</f>
        <v>Permanent</v>
      </c>
      <c r="J18" s="228" t="str">
        <f>IFERROR(__xludf.DUMMYFUNCTION("""COMPUTED_VALUE"""),"Active")</f>
        <v>Active</v>
      </c>
      <c r="K18" s="228" t="str">
        <f>IFERROR(__xludf.DUMMYFUNCTION("""COMPUTED_VALUE"""),"3M")</f>
        <v>3M</v>
      </c>
      <c r="L18" s="729">
        <f>IFERROR(__xludf.DUMMYFUNCTION("""COMPUTED_VALUE"""),45066.0)</f>
        <v>45066</v>
      </c>
      <c r="M18" s="228"/>
      <c r="N18" s="228"/>
      <c r="O18" s="228"/>
      <c r="P18" s="228" t="str">
        <f>IFERROR(__xludf.DUMMYFUNCTION("""COMPUTED_VALUE"""),"03095768491")</f>
        <v>03095768491</v>
      </c>
      <c r="Q18" s="228" t="str">
        <f>IFERROR(__xludf.DUMMYFUNCTION("""COMPUTED_VALUE"""),"16202-0438523-4")</f>
        <v>16202-0438523-4</v>
      </c>
      <c r="R18" s="228" t="str">
        <f>IFERROR(__xludf.DUMMYFUNCTION("""COMPUTED_VALUE"""),"Female")</f>
        <v>Female</v>
      </c>
      <c r="S18" s="228" t="str">
        <f>IFERROR(__xludf.DUMMYFUNCTION("""COMPUTED_VALUE"""),"HBL")</f>
        <v>HBL</v>
      </c>
      <c r="T18" s="228"/>
      <c r="U18" s="228" t="str">
        <f>IFERROR(__xludf.DUMMYFUNCTION("""COMPUTED_VALUE"""),"PK88HABB0019797900828503")</f>
        <v>PK88HABB0019797900828503</v>
      </c>
      <c r="V18" s="228" t="str">
        <f>IFERROR(__xludf.DUMMYFUNCTION("""COMPUTED_VALUE"""),"HABBPKKA")</f>
        <v>HABBPKKA</v>
      </c>
      <c r="W18" s="228"/>
      <c r="X18" s="228" t="str">
        <f>IFERROR(__xludf.DUMMYFUNCTION("""COMPUTED_VALUE"""),"Remote")</f>
        <v>Remote</v>
      </c>
      <c r="Y18" s="730">
        <f>IFERROR(__xludf.DUMMYFUNCTION("""COMPUTED_VALUE"""),36075.0)</f>
        <v>36075</v>
      </c>
      <c r="Z18" s="228" t="str">
        <f>IFERROR(__xludf.DUMMYFUNCTION("""COMPUTED_VALUE"""),"26 Years")</f>
        <v>26 Years</v>
      </c>
      <c r="AA18" s="228" t="str">
        <f>IFERROR(__xludf.DUMMYFUNCTION("""COMPUTED_VALUE"""),"House #28, St #10, Sector: E, DHA Phase 1")</f>
        <v>House #28, St #10, Sector: E, DHA Phase 1</v>
      </c>
      <c r="AB18" s="228" t="str">
        <f>IFERROR(__xludf.DUMMYFUNCTION("""COMPUTED_VALUE"""),"Pakistani")</f>
        <v>Pakistani</v>
      </c>
      <c r="AC18" s="228" t="str">
        <f>IFERROR(__xludf.DUMMYFUNCTION("""COMPUTED_VALUE"""),"Single")</f>
        <v>Single</v>
      </c>
      <c r="AD18" s="228"/>
      <c r="AE18" s="228"/>
      <c r="AF18" s="228"/>
      <c r="AG18" s="228" t="str">
        <f>IFERROR(__xludf.DUMMYFUNCTION("""COMPUTED_VALUE"""),"Fida Muhammad")</f>
        <v>Fida Muhammad</v>
      </c>
      <c r="AH18" s="228" t="str">
        <f>IFERROR(__xludf.DUMMYFUNCTION("""COMPUTED_VALUE"""),"Father")</f>
        <v>Father</v>
      </c>
      <c r="AI18" s="228"/>
      <c r="AJ18" s="228"/>
      <c r="AK18" s="228"/>
      <c r="AL18" s="228"/>
      <c r="AM18" s="228"/>
      <c r="AN18" s="228" t="str">
        <f>IFERROR(__xludf.DUMMYFUNCTION("""COMPUTED_VALUE"""),"Content, iOS Growth, Marketing, Product")</f>
        <v>Content, iOS Growth, Marketing, Product</v>
      </c>
      <c r="AO18" s="228" t="str">
        <f>IFERROR(__xludf.DUMMYFUNCTION("""COMPUTED_VALUE"""),"content.team@vyro.ai, ios.growth.team@vyro.ai, marketing.team@vyro.ai, product.team@vyro.ai")</f>
        <v>content.team@vyro.ai, ios.growth.team@vyro.ai, marketing.team@vyro.ai, product.team@vyro.ai</v>
      </c>
      <c r="AP18" s="228" t="str">
        <f>IFERROR(__xludf.DUMMYFUNCTION("""COMPUTED_VALUE"""),"NO")</f>
        <v>NO</v>
      </c>
      <c r="AQ18" s="228" t="str">
        <f>IFERROR(__xludf.DUMMYFUNCTION("""COMPUTED_VALUE"""),"Active")</f>
        <v>Active</v>
      </c>
    </row>
    <row r="19">
      <c r="A19" s="228">
        <f>IFERROR(__xludf.DUMMYFUNCTION("""COMPUTED_VALUE"""),5102.0)</f>
        <v>5102</v>
      </c>
      <c r="B19" s="228" t="str">
        <f>IFERROR(__xludf.DUMMYFUNCTION("""COMPUTED_VALUE"""),"Muhammad Shariq")</f>
        <v>Muhammad Shariq</v>
      </c>
      <c r="C19" s="228" t="str">
        <f>IFERROR(__xludf.DUMMYFUNCTION("""COMPUTED_VALUE"""),"shariqarif19@gmail.com")</f>
        <v>shariqarif19@gmail.com</v>
      </c>
      <c r="D19" s="228" t="str">
        <f>IFERROR(__xludf.DUMMYFUNCTION("""COMPUTED_VALUE"""),"shariq.arif@vyro.ai")</f>
        <v>shariq.arif@vyro.ai</v>
      </c>
      <c r="E19" s="728">
        <f>IFERROR(__xludf.DUMMYFUNCTION("""COMPUTED_VALUE"""),44984.0)</f>
        <v>44984</v>
      </c>
      <c r="F19" s="228" t="str">
        <f>IFERROR(__xludf.DUMMYFUNCTION("""COMPUTED_VALUE"""),"Backend Lead")</f>
        <v>Backend Lead</v>
      </c>
      <c r="G19" s="228" t="str">
        <f>IFERROR(__xludf.DUMMYFUNCTION("""COMPUTED_VALUE"""),"Backend")</f>
        <v>Backend</v>
      </c>
      <c r="H19" s="228" t="str">
        <f>IFERROR(__xludf.DUMMYFUNCTION("""COMPUTED_VALUE"""),"Abdullah Rafique")</f>
        <v>Abdullah Rafique</v>
      </c>
      <c r="I19" s="228" t="str">
        <f>IFERROR(__xludf.DUMMYFUNCTION("""COMPUTED_VALUE"""),"Permanent")</f>
        <v>Permanent</v>
      </c>
      <c r="J19" s="228" t="str">
        <f>IFERROR(__xludf.DUMMYFUNCTION("""COMPUTED_VALUE"""),"Active")</f>
        <v>Active</v>
      </c>
      <c r="K19" s="228" t="str">
        <f>IFERROR(__xludf.DUMMYFUNCTION("""COMPUTED_VALUE"""),"2M")</f>
        <v>2M</v>
      </c>
      <c r="L19" s="729">
        <f>IFERROR(__xludf.DUMMYFUNCTION("""COMPUTED_VALUE"""),45043.0)</f>
        <v>45043</v>
      </c>
      <c r="M19" s="228"/>
      <c r="N19" s="228"/>
      <c r="O19" s="228"/>
      <c r="P19" s="228" t="str">
        <f>IFERROR(__xludf.DUMMYFUNCTION("""COMPUTED_VALUE"""),"03126184900")</f>
        <v>03126184900</v>
      </c>
      <c r="Q19" s="228" t="str">
        <f>IFERROR(__xludf.DUMMYFUNCTION("""COMPUTED_VALUE"""),"33100-1015182-5")</f>
        <v>33100-1015182-5</v>
      </c>
      <c r="R19" s="228" t="str">
        <f>IFERROR(__xludf.DUMMYFUNCTION("""COMPUTED_VALUE"""),"Male")</f>
        <v>Male</v>
      </c>
      <c r="S19" s="228" t="str">
        <f>IFERROR(__xludf.DUMMYFUNCTION("""COMPUTED_VALUE"""),"Bank Alfalah Limited")</f>
        <v>Bank Alfalah Limited</v>
      </c>
      <c r="T19" s="228" t="str">
        <f>IFERROR(__xludf.DUMMYFUNCTION("""COMPUTED_VALUE"""),"Muhammad Shariq")</f>
        <v>Muhammad Shariq</v>
      </c>
      <c r="U19" s="228" t="str">
        <f>IFERROR(__xludf.DUMMYFUNCTION("""COMPUTED_VALUE"""),"PK16ALFH0187001008732578")</f>
        <v>PK16ALFH0187001008732578</v>
      </c>
      <c r="V19" s="228" t="str">
        <f>IFERROR(__xludf.DUMMYFUNCTION("""COMPUTED_VALUE"""),"ALFHPKKAXXX")</f>
        <v>ALFHPKKAXXX</v>
      </c>
      <c r="W19" s="228"/>
      <c r="X19" s="228" t="str">
        <f>IFERROR(__xludf.DUMMYFUNCTION("""COMPUTED_VALUE"""),"Islamabad")</f>
        <v>Islamabad</v>
      </c>
      <c r="Y19" s="730">
        <f>IFERROR(__xludf.DUMMYFUNCTION("""COMPUTED_VALUE"""),37123.0)</f>
        <v>37123</v>
      </c>
      <c r="Z19" s="228" t="str">
        <f>IFERROR(__xludf.DUMMYFUNCTION("""COMPUTED_VALUE"""),"23 Years")</f>
        <v>23 Years</v>
      </c>
      <c r="AA19" s="228" t="str">
        <f>IFERROR(__xludf.DUMMYFUNCTION("""COMPUTED_VALUE"""),"P30, Johar Street, New Haseeb Shaheed Colony, Faisalabad")</f>
        <v>P30, Johar Street, New Haseeb Shaheed Colony, Faisalabad</v>
      </c>
      <c r="AB19" s="228" t="str">
        <f>IFERROR(__xludf.DUMMYFUNCTION("""COMPUTED_VALUE"""),"Pakistani")</f>
        <v>Pakistani</v>
      </c>
      <c r="AC19" s="228" t="str">
        <f>IFERROR(__xludf.DUMMYFUNCTION("""COMPUTED_VALUE"""),"Single")</f>
        <v>Single</v>
      </c>
      <c r="AD19" s="228"/>
      <c r="AE19" s="228"/>
      <c r="AF19" s="228"/>
      <c r="AG19" s="228" t="str">
        <f>IFERROR(__xludf.DUMMYFUNCTION("""COMPUTED_VALUE"""),"Muhammad Arif")</f>
        <v>Muhammad Arif</v>
      </c>
      <c r="AH19" s="228" t="str">
        <f>IFERROR(__xludf.DUMMYFUNCTION("""COMPUTED_VALUE"""),"Father")</f>
        <v>Father</v>
      </c>
      <c r="AI19" s="228"/>
      <c r="AJ19" s="228" t="str">
        <f>IFERROR(__xludf.DUMMYFUNCTION("""COMPUTED_VALUE"""),"B+")</f>
        <v>B+</v>
      </c>
      <c r="AK19" s="731" t="str">
        <f>IFERROR(__xludf.DUMMYFUNCTION("""COMPUTED_VALUE"""),"https://www.linkedin.com/in/shariq-it/")</f>
        <v>https://www.linkedin.com/in/shariq-it/</v>
      </c>
      <c r="AL19" s="228"/>
      <c r="AM19" s="228"/>
      <c r="AN19" s="228" t="str">
        <f>IFERROR(__xludf.DUMMYFUNCTION("""COMPUTED_VALUE"""),"Back-End, Imagine Web")</f>
        <v>Back-End, Imagine Web</v>
      </c>
      <c r="AO19" s="228" t="str">
        <f>IFERROR(__xludf.DUMMYFUNCTION("""COMPUTED_VALUE"""),"backend.team@vyro.ai, imagine.web.team@vyro.ai")</f>
        <v>backend.team@vyro.ai, imagine.web.team@vyro.ai</v>
      </c>
      <c r="AP19" s="228" t="str">
        <f>IFERROR(__xludf.DUMMYFUNCTION("""COMPUTED_VALUE"""),"NO")</f>
        <v>NO</v>
      </c>
      <c r="AQ19" s="228" t="str">
        <f>IFERROR(__xludf.DUMMYFUNCTION("""COMPUTED_VALUE"""),"Active")</f>
        <v>Active</v>
      </c>
    </row>
    <row r="20">
      <c r="A20" s="228">
        <f>IFERROR(__xludf.DUMMYFUNCTION("""COMPUTED_VALUE"""),5107.0)</f>
        <v>5107</v>
      </c>
      <c r="B20" s="228" t="str">
        <f>IFERROR(__xludf.DUMMYFUNCTION("""COMPUTED_VALUE"""),"Muhammad Talal Haider")</f>
        <v>Muhammad Talal Haider</v>
      </c>
      <c r="C20" s="228" t="str">
        <f>IFERROR(__xludf.DUMMYFUNCTION("""COMPUTED_VALUE"""),"talalhaider360@gmail.com")</f>
        <v>talalhaider360@gmail.com</v>
      </c>
      <c r="D20" s="228" t="str">
        <f>IFERROR(__xludf.DUMMYFUNCTION("""COMPUTED_VALUE"""),"talal.haider@vyro.ai")</f>
        <v>talal.haider@vyro.ai</v>
      </c>
      <c r="E20" s="728">
        <f>IFERROR(__xludf.DUMMYFUNCTION("""COMPUTED_VALUE"""),44986.0)</f>
        <v>44986</v>
      </c>
      <c r="F20" s="228" t="str">
        <f>IFERROR(__xludf.DUMMYFUNCTION("""COMPUTED_VALUE"""),"Senior Product Designer")</f>
        <v>Senior Product Designer</v>
      </c>
      <c r="G20" s="228" t="str">
        <f>IFERROR(__xludf.DUMMYFUNCTION("""COMPUTED_VALUE"""),"Product Design")</f>
        <v>Product Design</v>
      </c>
      <c r="H20" s="228" t="str">
        <f>IFERROR(__xludf.DUMMYFUNCTION("""COMPUTED_VALUE"""),"Awais Chaudhry")</f>
        <v>Awais Chaudhry</v>
      </c>
      <c r="I20" s="228" t="str">
        <f>IFERROR(__xludf.DUMMYFUNCTION("""COMPUTED_VALUE"""),"Permanent")</f>
        <v>Permanent</v>
      </c>
      <c r="J20" s="228" t="str">
        <f>IFERROR(__xludf.DUMMYFUNCTION("""COMPUTED_VALUE"""),"Active")</f>
        <v>Active</v>
      </c>
      <c r="K20" s="228" t="str">
        <f>IFERROR(__xludf.DUMMYFUNCTION("""COMPUTED_VALUE"""),"3M")</f>
        <v>3M</v>
      </c>
      <c r="L20" s="729">
        <f>IFERROR(__xludf.DUMMYFUNCTION("""COMPUTED_VALUE"""),45078.0)</f>
        <v>45078</v>
      </c>
      <c r="M20" s="228"/>
      <c r="N20" s="228"/>
      <c r="O20" s="228"/>
      <c r="P20" s="228" t="str">
        <f>IFERROR(__xludf.DUMMYFUNCTION("""COMPUTED_VALUE"""),"03347796101")</f>
        <v>03347796101</v>
      </c>
      <c r="Q20" s="228" t="str">
        <f>IFERROR(__xludf.DUMMYFUNCTION("""COMPUTED_VALUE"""),"36601-1377237-1")</f>
        <v>36601-1377237-1</v>
      </c>
      <c r="R20" s="228" t="str">
        <f>IFERROR(__xludf.DUMMYFUNCTION("""COMPUTED_VALUE"""),"Male")</f>
        <v>Male</v>
      </c>
      <c r="S20" s="228" t="str">
        <f>IFERROR(__xludf.DUMMYFUNCTION("""COMPUTED_VALUE"""),"Standard Chartered")</f>
        <v>Standard Chartered</v>
      </c>
      <c r="T20" s="228"/>
      <c r="U20" s="228" t="str">
        <f>IFERROR(__xludf.DUMMYFUNCTION("""COMPUTED_VALUE"""),"PK87SCBL0000001732553801")</f>
        <v>PK87SCBL0000001732553801</v>
      </c>
      <c r="V20" s="228" t="str">
        <f>IFERROR(__xludf.DUMMYFUNCTION("""COMPUTED_VALUE"""),"SCBLPKKXXXX")</f>
        <v>SCBLPKKXXXX</v>
      </c>
      <c r="W20" s="228"/>
      <c r="X20" s="228" t="str">
        <f>IFERROR(__xludf.DUMMYFUNCTION("""COMPUTED_VALUE"""),"Islamabad")</f>
        <v>Islamabad</v>
      </c>
      <c r="Y20" s="730">
        <f>IFERROR(__xludf.DUMMYFUNCTION("""COMPUTED_VALUE"""),35039.0)</f>
        <v>35039</v>
      </c>
      <c r="Z20" s="228" t="str">
        <f>IFERROR(__xludf.DUMMYFUNCTION("""COMPUTED_VALUE"""),"29 Years")</f>
        <v>29 Years</v>
      </c>
      <c r="AA20" s="228" t="str">
        <f>IFERROR(__xludf.DUMMYFUNCTION("""COMPUTED_VALUE"""),"House 457, St 135, G 13/4")</f>
        <v>House 457, St 135, G 13/4</v>
      </c>
      <c r="AB20" s="228" t="str">
        <f>IFERROR(__xludf.DUMMYFUNCTION("""COMPUTED_VALUE"""),"Pakistani")</f>
        <v>Pakistani</v>
      </c>
      <c r="AC20" s="228" t="str">
        <f>IFERROR(__xludf.DUMMYFUNCTION("""COMPUTED_VALUE"""),"Single")</f>
        <v>Single</v>
      </c>
      <c r="AD20" s="228"/>
      <c r="AE20" s="228"/>
      <c r="AF20" s="228"/>
      <c r="AG20" s="228" t="str">
        <f>IFERROR(__xludf.DUMMYFUNCTION("""COMPUTED_VALUE"""),"Shafqat Ali")</f>
        <v>Shafqat Ali</v>
      </c>
      <c r="AH20" s="228" t="str">
        <f>IFERROR(__xludf.DUMMYFUNCTION("""COMPUTED_VALUE"""),"Father")</f>
        <v>Father</v>
      </c>
      <c r="AI20" s="228"/>
      <c r="AJ20" s="228" t="str">
        <f>IFERROR(__xludf.DUMMYFUNCTION("""COMPUTED_VALUE"""),"B-")</f>
        <v>B-</v>
      </c>
      <c r="AK20" s="228"/>
      <c r="AL20" s="228"/>
      <c r="AM20" s="228"/>
      <c r="AN20" s="228" t="str">
        <f>IFERROR(__xludf.DUMMYFUNCTION("""COMPUTED_VALUE"""),"Product Design")</f>
        <v>Product Design</v>
      </c>
      <c r="AO20" s="228" t="str">
        <f>IFERROR(__xludf.DUMMYFUNCTION("""COMPUTED_VALUE"""),"product.design.team@vyro.ai")</f>
        <v>product.design.team@vyro.ai</v>
      </c>
      <c r="AP20" s="228" t="str">
        <f>IFERROR(__xludf.DUMMYFUNCTION("""COMPUTED_VALUE"""),"NO")</f>
        <v>NO</v>
      </c>
      <c r="AQ20" s="228" t="str">
        <f>IFERROR(__xludf.DUMMYFUNCTION("""COMPUTED_VALUE"""),"Active")</f>
        <v>Active</v>
      </c>
    </row>
    <row r="21">
      <c r="A21" s="228">
        <f>IFERROR(__xludf.DUMMYFUNCTION("""COMPUTED_VALUE"""),5109.0)</f>
        <v>5109</v>
      </c>
      <c r="B21" s="228" t="str">
        <f>IFERROR(__xludf.DUMMYFUNCTION("""COMPUTED_VALUE"""),"Muhammad Hammad Maqsood")</f>
        <v>Muhammad Hammad Maqsood</v>
      </c>
      <c r="C21" s="228" t="str">
        <f>IFERROR(__xludf.DUMMYFUNCTION("""COMPUTED_VALUE"""),"hammadmaqsood24@gmail.com")</f>
        <v>hammadmaqsood24@gmail.com</v>
      </c>
      <c r="D21" s="228" t="str">
        <f>IFERROR(__xludf.DUMMYFUNCTION("""COMPUTED_VALUE"""),"hammad.maqsood@vyro.ai")</f>
        <v>hammad.maqsood@vyro.ai</v>
      </c>
      <c r="E21" s="728">
        <f>IFERROR(__xludf.DUMMYFUNCTION("""COMPUTED_VALUE"""),44988.0)</f>
        <v>44988</v>
      </c>
      <c r="F21" s="228" t="str">
        <f>IFERROR(__xludf.DUMMYFUNCTION("""COMPUTED_VALUE"""),"Front End Lead")</f>
        <v>Front End Lead</v>
      </c>
      <c r="G21" s="228" t="str">
        <f>IFERROR(__xludf.DUMMYFUNCTION("""COMPUTED_VALUE"""),"Frontend")</f>
        <v>Frontend</v>
      </c>
      <c r="H21" s="228" t="str">
        <f>IFERROR(__xludf.DUMMYFUNCTION("""COMPUTED_VALUE"""),"Saad Ahmed")</f>
        <v>Saad Ahmed</v>
      </c>
      <c r="I21" s="228" t="str">
        <f>IFERROR(__xludf.DUMMYFUNCTION("""COMPUTED_VALUE"""),"Permanent")</f>
        <v>Permanent</v>
      </c>
      <c r="J21" s="228" t="str">
        <f>IFERROR(__xludf.DUMMYFUNCTION("""COMPUTED_VALUE"""),"Active")</f>
        <v>Active</v>
      </c>
      <c r="K21" s="228" t="str">
        <f>IFERROR(__xludf.DUMMYFUNCTION("""COMPUTED_VALUE"""),"3M")</f>
        <v>3M</v>
      </c>
      <c r="L21" s="729">
        <f>IFERROR(__xludf.DUMMYFUNCTION("""COMPUTED_VALUE"""),45080.0)</f>
        <v>45080</v>
      </c>
      <c r="M21" s="228"/>
      <c r="N21" s="228"/>
      <c r="O21" s="228"/>
      <c r="P21" s="228" t="str">
        <f>IFERROR(__xludf.DUMMYFUNCTION("""COMPUTED_VALUE"""),"03121541289")</f>
        <v>03121541289</v>
      </c>
      <c r="Q21" s="228" t="str">
        <f>IFERROR(__xludf.DUMMYFUNCTION("""COMPUTED_VALUE"""),"37405-2794891-9")</f>
        <v>37405-2794891-9</v>
      </c>
      <c r="R21" s="228" t="str">
        <f>IFERROR(__xludf.DUMMYFUNCTION("""COMPUTED_VALUE"""),"Male")</f>
        <v>Male</v>
      </c>
      <c r="S21" s="228" t="str">
        <f>IFERROR(__xludf.DUMMYFUNCTION("""COMPUTED_VALUE"""),"Wise")</f>
        <v>Wise</v>
      </c>
      <c r="T21" s="228" t="str">
        <f>IFERROR(__xludf.DUMMYFUNCTION("""COMPUTED_VALUE"""),"Muhammad Hammad Maqsood")</f>
        <v>Muhammad Hammad Maqsood</v>
      </c>
      <c r="U21" s="228" t="str">
        <f>IFERROR(__xludf.DUMMYFUNCTION("""COMPUTED_VALUE"""),"8312538014")</f>
        <v>8312538014</v>
      </c>
      <c r="V21" s="228"/>
      <c r="W21" s="228" t="str">
        <f>IFERROR(__xludf.DUMMYFUNCTION("""COMPUTED_VALUE"""),"026073150")</f>
        <v>026073150</v>
      </c>
      <c r="X21" s="228" t="str">
        <f>IFERROR(__xludf.DUMMYFUNCTION("""COMPUTED_VALUE"""),"Islamabad")</f>
        <v>Islamabad</v>
      </c>
      <c r="Y21" s="730">
        <f>IFERROR(__xludf.DUMMYFUNCTION("""COMPUTED_VALUE"""),36898.0)</f>
        <v>36898</v>
      </c>
      <c r="Z21" s="228" t="str">
        <f>IFERROR(__xludf.DUMMYFUNCTION("""COMPUTED_VALUE"""),"24 Years")</f>
        <v>24 Years</v>
      </c>
      <c r="AA21" s="228" t="str">
        <f>IFERROR(__xludf.DUMMYFUNCTION("""COMPUTED_VALUE"""),"House #136/1 Tahli mohri Chowk RWP")</f>
        <v>House #136/1 Tahli mohri Chowk RWP</v>
      </c>
      <c r="AB21" s="228" t="str">
        <f>IFERROR(__xludf.DUMMYFUNCTION("""COMPUTED_VALUE"""),"Pakistani")</f>
        <v>Pakistani</v>
      </c>
      <c r="AC21" s="228" t="str">
        <f>IFERROR(__xludf.DUMMYFUNCTION("""COMPUTED_VALUE"""),"Single")</f>
        <v>Single</v>
      </c>
      <c r="AD21" s="228"/>
      <c r="AE21" s="228"/>
      <c r="AF21" s="228"/>
      <c r="AG21" s="228" t="str">
        <f>IFERROR(__xludf.DUMMYFUNCTION("""COMPUTED_VALUE"""),"Maqsood Hussain")</f>
        <v>Maqsood Hussain</v>
      </c>
      <c r="AH21" s="228" t="str">
        <f>IFERROR(__xludf.DUMMYFUNCTION("""COMPUTED_VALUE"""),"Father")</f>
        <v>Father</v>
      </c>
      <c r="AI21" s="228"/>
      <c r="AJ21" s="228"/>
      <c r="AK21" s="228"/>
      <c r="AL21" s="228"/>
      <c r="AM21" s="228"/>
      <c r="AN21" s="228" t="str">
        <f>IFERROR(__xludf.DUMMYFUNCTION("""COMPUTED_VALUE"""),"Imagine Web, Imagine Web")</f>
        <v>Imagine Web, Imagine Web</v>
      </c>
      <c r="AO21" s="228" t="str">
        <f>IFERROR(__xludf.DUMMYFUNCTION("""COMPUTED_VALUE"""),"imagine.web.team@vyro.ai, web.front.end@vyro.ai")</f>
        <v>imagine.web.team@vyro.ai, web.front.end@vyro.ai</v>
      </c>
      <c r="AP21" s="228" t="str">
        <f>IFERROR(__xludf.DUMMYFUNCTION("""COMPUTED_VALUE"""),"NO")</f>
        <v>NO</v>
      </c>
      <c r="AQ21" s="228" t="str">
        <f>IFERROR(__xludf.DUMMYFUNCTION("""COMPUTED_VALUE"""),"Active")</f>
        <v>Active</v>
      </c>
    </row>
    <row r="22">
      <c r="A22" s="228">
        <f>IFERROR(__xludf.DUMMYFUNCTION("""COMPUTED_VALUE"""),5140.0)</f>
        <v>5140</v>
      </c>
      <c r="B22" s="228" t="str">
        <f>IFERROR(__xludf.DUMMYFUNCTION("""COMPUTED_VALUE"""),"Anamil Mehtab")</f>
        <v>Anamil Mehtab</v>
      </c>
      <c r="C22" s="228" t="str">
        <f>IFERROR(__xludf.DUMMYFUNCTION("""COMPUTED_VALUE"""),"syedaanamilgillani@gmail.com")</f>
        <v>syedaanamilgillani@gmail.com</v>
      </c>
      <c r="D22" s="228" t="str">
        <f>IFERROR(__xludf.DUMMYFUNCTION("""COMPUTED_VALUE"""),"anamil.mehtab@vyro.ai")</f>
        <v>anamil.mehtab@vyro.ai</v>
      </c>
      <c r="E22" s="728">
        <f>IFERROR(__xludf.DUMMYFUNCTION("""COMPUTED_VALUE"""),45096.0)</f>
        <v>45096</v>
      </c>
      <c r="F22" s="228" t="str">
        <f>IFERROR(__xludf.DUMMYFUNCTION("""COMPUTED_VALUE"""),"Marketing Artist")</f>
        <v>Marketing Artist</v>
      </c>
      <c r="G22" s="228" t="str">
        <f>IFERROR(__xludf.DUMMYFUNCTION("""COMPUTED_VALUE"""),"Marketing")</f>
        <v>Marketing</v>
      </c>
      <c r="H22" s="228" t="str">
        <f>IFERROR(__xludf.DUMMYFUNCTION("""COMPUTED_VALUE"""),"Shaiq Habib")</f>
        <v>Shaiq Habib</v>
      </c>
      <c r="I22" s="228" t="str">
        <f>IFERROR(__xludf.DUMMYFUNCTION("""COMPUTED_VALUE"""),"Permanent")</f>
        <v>Permanent</v>
      </c>
      <c r="J22" s="228" t="str">
        <f>IFERROR(__xludf.DUMMYFUNCTION("""COMPUTED_VALUE"""),"Active")</f>
        <v>Active</v>
      </c>
      <c r="K22" s="228" t="str">
        <f>IFERROR(__xludf.DUMMYFUNCTION("""COMPUTED_VALUE"""),"3M")</f>
        <v>3M</v>
      </c>
      <c r="L22" s="729">
        <f>IFERROR(__xludf.DUMMYFUNCTION("""COMPUTED_VALUE"""),45188.0)</f>
        <v>45188</v>
      </c>
      <c r="M22" s="228"/>
      <c r="N22" s="228"/>
      <c r="O22" s="228"/>
      <c r="P22" s="228" t="str">
        <f>IFERROR(__xludf.DUMMYFUNCTION("""COMPUTED_VALUE"""),"03188355010")</f>
        <v>03188355010</v>
      </c>
      <c r="Q22" s="228" t="str">
        <f>IFERROR(__xludf.DUMMYFUNCTION("""COMPUTED_VALUE"""),"37103-6819266-4")</f>
        <v>37103-6819266-4</v>
      </c>
      <c r="R22" s="228" t="str">
        <f>IFERROR(__xludf.DUMMYFUNCTION("""COMPUTED_VALUE"""),"Female")</f>
        <v>Female</v>
      </c>
      <c r="S22" s="228" t="str">
        <f>IFERROR(__xludf.DUMMYFUNCTION("""COMPUTED_VALUE"""),"HBL")</f>
        <v>HBL</v>
      </c>
      <c r="T22" s="228" t="str">
        <f>IFERROR(__xludf.DUMMYFUNCTION("""COMPUTED_VALUE"""),"Syeda Naa")</f>
        <v>Syeda Naa</v>
      </c>
      <c r="U22" s="228" t="str">
        <f>IFERROR(__xludf.DUMMYFUNCTION("""COMPUTED_VALUE"""),"PK10HABB0022927917416799")</f>
        <v>PK10HABB0022927917416799</v>
      </c>
      <c r="V22" s="228"/>
      <c r="W22" s="228"/>
      <c r="X22" s="228" t="str">
        <f>IFERROR(__xludf.DUMMYFUNCTION("""COMPUTED_VALUE"""),"Islamabad")</f>
        <v>Islamabad</v>
      </c>
      <c r="Y22" s="730">
        <f>IFERROR(__xludf.DUMMYFUNCTION("""COMPUTED_VALUE"""),37398.0)</f>
        <v>37398</v>
      </c>
      <c r="Z22" s="228" t="str">
        <f>IFERROR(__xludf.DUMMYFUNCTION("""COMPUTED_VALUE"""),"22 Years")</f>
        <v>22 Years</v>
      </c>
      <c r="AA22" s="228" t="str">
        <f>IFERROR(__xludf.DUMMYFUNCTION("""COMPUTED_VALUE"""),"NUST-H12 ISLAMBAB SECTOR")</f>
        <v>NUST-H12 ISLAMBAB SECTOR</v>
      </c>
      <c r="AB22" s="228" t="str">
        <f>IFERROR(__xludf.DUMMYFUNCTION("""COMPUTED_VALUE"""),"Pakistani")</f>
        <v>Pakistani</v>
      </c>
      <c r="AC22" s="228" t="str">
        <f>IFERROR(__xludf.DUMMYFUNCTION("""COMPUTED_VALUE"""),"Single")</f>
        <v>Single</v>
      </c>
      <c r="AD22" s="228"/>
      <c r="AE22" s="228"/>
      <c r="AF22" s="228"/>
      <c r="AG22" s="228" t="str">
        <f>IFERROR(__xludf.DUMMYFUNCTION("""COMPUTED_VALUE"""),"Syed Mehtab Ali")</f>
        <v>Syed Mehtab Ali</v>
      </c>
      <c r="AH22" s="228" t="str">
        <f>IFERROR(__xludf.DUMMYFUNCTION("""COMPUTED_VALUE"""),"Mother")</f>
        <v>Mother</v>
      </c>
      <c r="AI22" s="228">
        <f>IFERROR(__xludf.DUMMYFUNCTION("""COMPUTED_VALUE"""),3.145033314E9)</f>
        <v>3145033314</v>
      </c>
      <c r="AJ22" s="228" t="str">
        <f>IFERROR(__xludf.DUMMYFUNCTION("""COMPUTED_VALUE"""),"B+")</f>
        <v>B+</v>
      </c>
      <c r="AK22" s="731" t="str">
        <f>IFERROR(__xludf.DUMMYFUNCTION("""COMPUTED_VALUE"""),"https://www.linkedin.com/in/syeda-anamil-gillani-b7a700243")</f>
        <v>https://www.linkedin.com/in/syeda-anamil-gillani-b7a700243</v>
      </c>
      <c r="AL22" s="228"/>
      <c r="AM22" s="228"/>
      <c r="AN22" s="228" t="str">
        <f>IFERROR(__xludf.DUMMYFUNCTION("""COMPUTED_VALUE"""),"Creatives, Content, Marketing")</f>
        <v>Creatives, Content, Marketing</v>
      </c>
      <c r="AO22" s="228" t="str">
        <f>IFERROR(__xludf.DUMMYFUNCTION("""COMPUTED_VALUE"""),"Creatives.team@vyro.ai, content.team@vyro.ai, marketing.team@vyro.ai")</f>
        <v>Creatives.team@vyro.ai, content.team@vyro.ai, marketing.team@vyro.ai</v>
      </c>
      <c r="AP22" s="228" t="str">
        <f>IFERROR(__xludf.DUMMYFUNCTION("""COMPUTED_VALUE"""),"NO")</f>
        <v>NO</v>
      </c>
      <c r="AQ22" s="228" t="str">
        <f>IFERROR(__xludf.DUMMYFUNCTION("""COMPUTED_VALUE"""),"Active")</f>
        <v>Active</v>
      </c>
    </row>
    <row r="23">
      <c r="A23" s="228">
        <f>IFERROR(__xludf.DUMMYFUNCTION("""COMPUTED_VALUE"""),5139.0)</f>
        <v>5139</v>
      </c>
      <c r="B23" s="228" t="str">
        <f>IFERROR(__xludf.DUMMYFUNCTION("""COMPUTED_VALUE"""),"Khadija Umer")</f>
        <v>Khadija Umer</v>
      </c>
      <c r="C23" s="228" t="str">
        <f>IFERROR(__xludf.DUMMYFUNCTION("""COMPUTED_VALUE"""),"khadijaumer13@gmail.com")</f>
        <v>khadijaumer13@gmail.com</v>
      </c>
      <c r="D23" s="228" t="str">
        <f>IFERROR(__xludf.DUMMYFUNCTION("""COMPUTED_VALUE"""),"khadija.umer@vyro.ai")</f>
        <v>khadija.umer@vyro.ai</v>
      </c>
      <c r="E23" s="728">
        <f>IFERROR(__xludf.DUMMYFUNCTION("""COMPUTED_VALUE"""),45096.0)</f>
        <v>45096</v>
      </c>
      <c r="F23" s="228" t="str">
        <f>IFERROR(__xludf.DUMMYFUNCTION("""COMPUTED_VALUE"""),"Product Design Lead")</f>
        <v>Product Design Lead</v>
      </c>
      <c r="G23" s="228" t="str">
        <f>IFERROR(__xludf.DUMMYFUNCTION("""COMPUTED_VALUE"""),"Product Design")</f>
        <v>Product Design</v>
      </c>
      <c r="H23" s="228" t="str">
        <f>IFERROR(__xludf.DUMMYFUNCTION("""COMPUTED_VALUE"""),"Abdullah Rafique")</f>
        <v>Abdullah Rafique</v>
      </c>
      <c r="I23" s="228" t="str">
        <f>IFERROR(__xludf.DUMMYFUNCTION("""COMPUTED_VALUE"""),"Permanent")</f>
        <v>Permanent</v>
      </c>
      <c r="J23" s="228" t="str">
        <f>IFERROR(__xludf.DUMMYFUNCTION("""COMPUTED_VALUE"""),"Active")</f>
        <v>Active</v>
      </c>
      <c r="K23" s="228" t="str">
        <f>IFERROR(__xludf.DUMMYFUNCTION("""COMPUTED_VALUE"""),"3M")</f>
        <v>3M</v>
      </c>
      <c r="L23" s="729">
        <f>IFERROR(__xludf.DUMMYFUNCTION("""COMPUTED_VALUE"""),45188.0)</f>
        <v>45188</v>
      </c>
      <c r="M23" s="228"/>
      <c r="N23" s="228"/>
      <c r="O23" s="228"/>
      <c r="P23" s="228" t="str">
        <f>IFERROR(__xludf.DUMMYFUNCTION("""COMPUTED_VALUE"""),"03049356195")</f>
        <v>03049356195</v>
      </c>
      <c r="Q23" s="228" t="str">
        <f>IFERROR(__xludf.DUMMYFUNCTION("""COMPUTED_VALUE"""),"31202-4982058-2")</f>
        <v>31202-4982058-2</v>
      </c>
      <c r="R23" s="228" t="str">
        <f>IFERROR(__xludf.DUMMYFUNCTION("""COMPUTED_VALUE"""),"Female")</f>
        <v>Female</v>
      </c>
      <c r="S23" s="228" t="str">
        <f>IFERROR(__xludf.DUMMYFUNCTION("""COMPUTED_VALUE"""),"HBL")</f>
        <v>HBL</v>
      </c>
      <c r="T23" s="228" t="str">
        <f>IFERROR(__xludf.DUMMYFUNCTION("""COMPUTED_VALUE"""),"Khadija Umer")</f>
        <v>Khadija Umer</v>
      </c>
      <c r="U23" s="228" t="str">
        <f>IFERROR(__xludf.DUMMYFUNCTION("""COMPUTED_VALUE"""),"PK79HABB0022927916757703")</f>
        <v>PK79HABB0022927916757703</v>
      </c>
      <c r="V23" s="228"/>
      <c r="W23" s="228" t="str">
        <f>IFERROR(__xludf.DUMMYFUNCTION("""COMPUTED_VALUE"""),"Bank Account 2:
MEZNPKKA
PK56MEZN0022010108826826")</f>
        <v>Bank Account 2:
MEZNPKKA
PK56MEZN0022010108826826</v>
      </c>
      <c r="X23" s="228" t="str">
        <f>IFERROR(__xludf.DUMMYFUNCTION("""COMPUTED_VALUE"""),"Islamabad")</f>
        <v>Islamabad</v>
      </c>
      <c r="Y23" s="730">
        <f>IFERROR(__xludf.DUMMYFUNCTION("""COMPUTED_VALUE"""),36401.0)</f>
        <v>36401</v>
      </c>
      <c r="Z23" s="228" t="str">
        <f>IFERROR(__xludf.DUMMYFUNCTION("""COMPUTED_VALUE"""),"25 Years")</f>
        <v>25 Years</v>
      </c>
      <c r="AA23" s="228" t="str">
        <f>IFERROR(__xludf.DUMMYFUNCTION("""COMPUTED_VALUE"""),"H13/3, House 80/Street 7, Islamabad")</f>
        <v>H13/3, House 80/Street 7, Islamabad</v>
      </c>
      <c r="AB23" s="228" t="str">
        <f>IFERROR(__xludf.DUMMYFUNCTION("""COMPUTED_VALUE"""),"Pakistani")</f>
        <v>Pakistani</v>
      </c>
      <c r="AC23" s="228" t="str">
        <f>IFERROR(__xludf.DUMMYFUNCTION("""COMPUTED_VALUE"""),"Married")</f>
        <v>Married</v>
      </c>
      <c r="AD23" s="228"/>
      <c r="AE23" s="228"/>
      <c r="AF23" s="228"/>
      <c r="AG23" s="228" t="str">
        <f>IFERROR(__xludf.DUMMYFUNCTION("""COMPUTED_VALUE"""),"Umer Farooq")</f>
        <v>Umer Farooq</v>
      </c>
      <c r="AH23" s="228" t="str">
        <f>IFERROR(__xludf.DUMMYFUNCTION("""COMPUTED_VALUE"""),"Father")</f>
        <v>Father</v>
      </c>
      <c r="AI23" s="228">
        <f>IFERROR(__xludf.DUMMYFUNCTION("""COMPUTED_VALUE"""),3.216800598E9)</f>
        <v>3216800598</v>
      </c>
      <c r="AJ23" s="228" t="str">
        <f>IFERROR(__xludf.DUMMYFUNCTION("""COMPUTED_VALUE"""),"A+")</f>
        <v>A+</v>
      </c>
      <c r="AK23" s="731" t="str">
        <f>IFERROR(__xludf.DUMMYFUNCTION("""COMPUTED_VALUE"""),"https://www.linkedin.com/in/khadija-umer-b2924b1a5/")</f>
        <v>https://www.linkedin.com/in/khadija-umer-b2924b1a5/</v>
      </c>
      <c r="AL23" s="228"/>
      <c r="AM23" s="228"/>
      <c r="AN23" s="228" t="str">
        <f>IFERROR(__xludf.DUMMYFUNCTION("""COMPUTED_VALUE"""),"Product Design")</f>
        <v>Product Design</v>
      </c>
      <c r="AO23" s="228" t="str">
        <f>IFERROR(__xludf.DUMMYFUNCTION("""COMPUTED_VALUE"""),"product.design.team@vyro.ai")</f>
        <v>product.design.team@vyro.ai</v>
      </c>
      <c r="AP23" s="228" t="str">
        <f>IFERROR(__xludf.DUMMYFUNCTION("""COMPUTED_VALUE"""),"NO")</f>
        <v>NO</v>
      </c>
      <c r="AQ23" s="228" t="str">
        <f>IFERROR(__xludf.DUMMYFUNCTION("""COMPUTED_VALUE"""),"Active")</f>
        <v>Active</v>
      </c>
    </row>
    <row r="24">
      <c r="A24" s="228">
        <f>IFERROR(__xludf.DUMMYFUNCTION("""COMPUTED_VALUE"""),5146.0)</f>
        <v>5146</v>
      </c>
      <c r="B24" s="228" t="str">
        <f>IFERROR(__xludf.DUMMYFUNCTION("""COMPUTED_VALUE"""),"Maryum Altaf")</f>
        <v>Maryum Altaf</v>
      </c>
      <c r="C24" s="228" t="str">
        <f>IFERROR(__xludf.DUMMYFUNCTION("""COMPUTED_VALUE"""),"Altafmaryum@gmail.com")</f>
        <v>Altafmaryum@gmail.com</v>
      </c>
      <c r="D24" s="228" t="str">
        <f>IFERROR(__xludf.DUMMYFUNCTION("""COMPUTED_VALUE"""),"maryum.altaf@vyro.ai")</f>
        <v>maryum.altaf@vyro.ai</v>
      </c>
      <c r="E24" s="728">
        <f>IFERROR(__xludf.DUMMYFUNCTION("""COMPUTED_VALUE"""),45110.0)</f>
        <v>45110</v>
      </c>
      <c r="F24" s="228" t="str">
        <f>IFERROR(__xludf.DUMMYFUNCTION("""COMPUTED_VALUE"""),"Branding Executive")</f>
        <v>Branding Executive</v>
      </c>
      <c r="G24" s="228" t="str">
        <f>IFERROR(__xludf.DUMMYFUNCTION("""COMPUTED_VALUE"""),"Branding")</f>
        <v>Branding</v>
      </c>
      <c r="H24" s="228" t="str">
        <f>IFERROR(__xludf.DUMMYFUNCTION("""COMPUTED_VALUE"""),"Ahmed Abubakar, CEO")</f>
        <v>Ahmed Abubakar, CEO</v>
      </c>
      <c r="I24" s="228" t="str">
        <f>IFERROR(__xludf.DUMMYFUNCTION("""COMPUTED_VALUE"""),"Permanent")</f>
        <v>Permanent</v>
      </c>
      <c r="J24" s="228" t="str">
        <f>IFERROR(__xludf.DUMMYFUNCTION("""COMPUTED_VALUE"""),"Active")</f>
        <v>Active</v>
      </c>
      <c r="K24" s="228" t="str">
        <f>IFERROR(__xludf.DUMMYFUNCTION("""COMPUTED_VALUE"""),"3M")</f>
        <v>3M</v>
      </c>
      <c r="L24" s="729">
        <f>IFERROR(__xludf.DUMMYFUNCTION("""COMPUTED_VALUE"""),45202.0)</f>
        <v>45202</v>
      </c>
      <c r="M24" s="228"/>
      <c r="N24" s="228"/>
      <c r="O24" s="228"/>
      <c r="P24" s="228" t="str">
        <f>IFERROR(__xludf.DUMMYFUNCTION("""COMPUTED_VALUE"""),"03235219129")</f>
        <v>03235219129</v>
      </c>
      <c r="Q24" s="228" t="str">
        <f>IFERROR(__xludf.DUMMYFUNCTION("""COMPUTED_VALUE"""),"61101-5336156-2")</f>
        <v>61101-5336156-2</v>
      </c>
      <c r="R24" s="228" t="str">
        <f>IFERROR(__xludf.DUMMYFUNCTION("""COMPUTED_VALUE"""),"Female")</f>
        <v>Female</v>
      </c>
      <c r="S24" s="228" t="str">
        <f>IFERROR(__xludf.DUMMYFUNCTION("""COMPUTED_VALUE"""),"ASKARI BANK")</f>
        <v>ASKARI BANK</v>
      </c>
      <c r="T24" s="228" t="str">
        <f>IFERROR(__xludf.DUMMYFUNCTION("""COMPUTED_VALUE"""),"MARYUM ALTAF")</f>
        <v>MARYUM ALTAF</v>
      </c>
      <c r="U24" s="228" t="str">
        <f>IFERROR(__xludf.DUMMYFUNCTION("""COMPUTED_VALUE"""),"PK52ASCM0000260320214440")</f>
        <v>PK52ASCM0000260320214440</v>
      </c>
      <c r="V24" s="228"/>
      <c r="W24" s="228"/>
      <c r="X24" s="228" t="str">
        <f>IFERROR(__xludf.DUMMYFUNCTION("""COMPUTED_VALUE"""),"Remote")</f>
        <v>Remote</v>
      </c>
      <c r="Y24" s="730">
        <f>IFERROR(__xludf.DUMMYFUNCTION("""COMPUTED_VALUE"""),34807.0)</f>
        <v>34807</v>
      </c>
      <c r="Z24" s="228" t="str">
        <f>IFERROR(__xludf.DUMMYFUNCTION("""COMPUTED_VALUE"""),"29 Years")</f>
        <v>29 Years</v>
      </c>
      <c r="AA24" s="228" t="str">
        <f>IFERROR(__xludf.DUMMYFUNCTION("""COMPUTED_VALUE"""),"H13 Nust")</f>
        <v>H13 Nust</v>
      </c>
      <c r="AB24" s="228" t="str">
        <f>IFERROR(__xludf.DUMMYFUNCTION("""COMPUTED_VALUE"""),"Pakistani")</f>
        <v>Pakistani</v>
      </c>
      <c r="AC24" s="228" t="str">
        <f>IFERROR(__xludf.DUMMYFUNCTION("""COMPUTED_VALUE"""),"Married")</f>
        <v>Married</v>
      </c>
      <c r="AD24" s="228"/>
      <c r="AE24" s="228"/>
      <c r="AF24" s="228"/>
      <c r="AG24" s="228" t="str">
        <f>IFERROR(__xludf.DUMMYFUNCTION("""COMPUTED_VALUE"""),"Col (R) M. Altaf")</f>
        <v>Col (R) M. Altaf</v>
      </c>
      <c r="AH24" s="228" t="str">
        <f>IFERROR(__xludf.DUMMYFUNCTION("""COMPUTED_VALUE"""),"Sister")</f>
        <v>Sister</v>
      </c>
      <c r="AI24" s="228">
        <f>IFERROR(__xludf.DUMMYFUNCTION("""COMPUTED_VALUE"""),3.230900971E9)</f>
        <v>3230900971</v>
      </c>
      <c r="AJ24" s="228" t="str">
        <f>IFERROR(__xludf.DUMMYFUNCTION("""COMPUTED_VALUE"""),"B+")</f>
        <v>B+</v>
      </c>
      <c r="AK24" s="228"/>
      <c r="AL24" s="228"/>
      <c r="AM24" s="228"/>
      <c r="AN24" s="228" t="str">
        <f>IFERROR(__xludf.DUMMYFUNCTION("""COMPUTED_VALUE"""),"NOT FOUND")</f>
        <v>NOT FOUND</v>
      </c>
      <c r="AO24" s="228" t="str">
        <f>IFERROR(__xludf.DUMMYFUNCTION("""COMPUTED_VALUE"""),"NOT FOUND")</f>
        <v>NOT FOUND</v>
      </c>
      <c r="AP24" s="228" t="str">
        <f>IFERROR(__xludf.DUMMYFUNCTION("""COMPUTED_VALUE"""),"NO")</f>
        <v>NO</v>
      </c>
      <c r="AQ24" s="228" t="str">
        <f>IFERROR(__xludf.DUMMYFUNCTION("""COMPUTED_VALUE"""),"Active")</f>
        <v>Active</v>
      </c>
    </row>
    <row r="25">
      <c r="A25" s="228">
        <f>IFERROR(__xludf.DUMMYFUNCTION("""COMPUTED_VALUE"""),5148.0)</f>
        <v>5148</v>
      </c>
      <c r="B25" s="228" t="str">
        <f>IFERROR(__xludf.DUMMYFUNCTION("""COMPUTED_VALUE"""),"Muhammad Mutahhar Bin Muzaffar")</f>
        <v>Muhammad Mutahhar Bin Muzaffar</v>
      </c>
      <c r="C25" s="228" t="str">
        <f>IFERROR(__xludf.DUMMYFUNCTION("""COMPUTED_VALUE"""),"mutahharbinmuzaffar@gmail.com")</f>
        <v>mutahharbinmuzaffar@gmail.com</v>
      </c>
      <c r="D25" s="228" t="str">
        <f>IFERROR(__xludf.DUMMYFUNCTION("""COMPUTED_VALUE"""),"muhammad.mutahhar@vyro.ai")</f>
        <v>muhammad.mutahhar@vyro.ai</v>
      </c>
      <c r="E25" s="728">
        <f>IFERROR(__xludf.DUMMYFUNCTION("""COMPUTED_VALUE"""),45117.0)</f>
        <v>45117</v>
      </c>
      <c r="F25" s="228" t="str">
        <f>IFERROR(__xludf.DUMMYFUNCTION("""COMPUTED_VALUE"""),"Frontend Developer")</f>
        <v>Frontend Developer</v>
      </c>
      <c r="G25" s="228" t="str">
        <f>IFERROR(__xludf.DUMMYFUNCTION("""COMPUTED_VALUE"""),"Frontend")</f>
        <v>Frontend</v>
      </c>
      <c r="H25" s="228" t="str">
        <f>IFERROR(__xludf.DUMMYFUNCTION("""COMPUTED_VALUE"""),"Hammad Maqsood")</f>
        <v>Hammad Maqsood</v>
      </c>
      <c r="I25" s="228" t="str">
        <f>IFERROR(__xludf.DUMMYFUNCTION("""COMPUTED_VALUE"""),"Permanent")</f>
        <v>Permanent</v>
      </c>
      <c r="J25" s="228" t="str">
        <f>IFERROR(__xludf.DUMMYFUNCTION("""COMPUTED_VALUE"""),"Active")</f>
        <v>Active</v>
      </c>
      <c r="K25" s="228" t="str">
        <f>IFERROR(__xludf.DUMMYFUNCTION("""COMPUTED_VALUE"""),"3M")</f>
        <v>3M</v>
      </c>
      <c r="L25" s="729">
        <f>IFERROR(__xludf.DUMMYFUNCTION("""COMPUTED_VALUE"""),45209.0)</f>
        <v>45209</v>
      </c>
      <c r="M25" s="228"/>
      <c r="N25" s="228"/>
      <c r="O25" s="228"/>
      <c r="P25" s="228" t="str">
        <f>IFERROR(__xludf.DUMMYFUNCTION("""COMPUTED_VALUE"""),"03012498730")</f>
        <v>03012498730</v>
      </c>
      <c r="Q25" s="228" t="str">
        <f>IFERROR(__xludf.DUMMYFUNCTION("""COMPUTED_VALUE"""),"42301-3092028-3")</f>
        <v>42301-3092028-3</v>
      </c>
      <c r="R25" s="228" t="str">
        <f>IFERROR(__xludf.DUMMYFUNCTION("""COMPUTED_VALUE"""),"Male")</f>
        <v>Male</v>
      </c>
      <c r="S25" s="228" t="str">
        <f>IFERROR(__xludf.DUMMYFUNCTION("""COMPUTED_VALUE"""),"Wise")</f>
        <v>Wise</v>
      </c>
      <c r="T25" s="228" t="str">
        <f>IFERROR(__xludf.DUMMYFUNCTION("""COMPUTED_VALUE"""),"Muhammad Mutahhar Bin Muzaffar")</f>
        <v>Muhammad Mutahhar Bin Muzaffar</v>
      </c>
      <c r="U25" s="228" t="str">
        <f>IFERROR(__xludf.DUMMYFUNCTION("""COMPUTED_VALUE"""),"8311675537")</f>
        <v>8311675537</v>
      </c>
      <c r="V25" s="228"/>
      <c r="W25" s="228" t="str">
        <f>IFERROR(__xludf.DUMMYFUNCTION("""COMPUTED_VALUE"""),"026073150")</f>
        <v>026073150</v>
      </c>
      <c r="X25" s="228" t="str">
        <f>IFERROR(__xludf.DUMMYFUNCTION("""COMPUTED_VALUE"""),"Islamabad")</f>
        <v>Islamabad</v>
      </c>
      <c r="Y25" s="730">
        <f>IFERROR(__xludf.DUMMYFUNCTION("""COMPUTED_VALUE"""),35767.0)</f>
        <v>35767</v>
      </c>
      <c r="Z25" s="228" t="str">
        <f>IFERROR(__xludf.DUMMYFUNCTION("""COMPUTED_VALUE"""),"27 Years")</f>
        <v>27 Years</v>
      </c>
      <c r="AA25" s="228" t="str">
        <f>IFERROR(__xludf.DUMMYFUNCTION("""COMPUTED_VALUE"""),"House#139, Street 3, Ghori Town Phase 5-B, Islamabad")</f>
        <v>House#139, Street 3, Ghori Town Phase 5-B, Islamabad</v>
      </c>
      <c r="AB25" s="228" t="str">
        <f>IFERROR(__xludf.DUMMYFUNCTION("""COMPUTED_VALUE"""),"Pakistani")</f>
        <v>Pakistani</v>
      </c>
      <c r="AC25" s="228" t="str">
        <f>IFERROR(__xludf.DUMMYFUNCTION("""COMPUTED_VALUE"""),"Single")</f>
        <v>Single</v>
      </c>
      <c r="AD25" s="228"/>
      <c r="AE25" s="228"/>
      <c r="AF25" s="228"/>
      <c r="AG25" s="228" t="str">
        <f>IFERROR(__xludf.DUMMYFUNCTION("""COMPUTED_VALUE"""),"Muzaffar Iqbal")</f>
        <v>Muzaffar Iqbal</v>
      </c>
      <c r="AH25" s="228" t="str">
        <f>IFERROR(__xludf.DUMMYFUNCTION("""COMPUTED_VALUE"""),"Father")</f>
        <v>Father</v>
      </c>
      <c r="AI25" s="228">
        <f>IFERROR(__xludf.DUMMYFUNCTION("""COMPUTED_VALUE"""),9.23034999225E11)</f>
        <v>923034999225</v>
      </c>
      <c r="AJ25" s="228" t="str">
        <f>IFERROR(__xludf.DUMMYFUNCTION("""COMPUTED_VALUE"""),"B+")</f>
        <v>B+</v>
      </c>
      <c r="AK25" s="731" t="str">
        <f>IFERROR(__xludf.DUMMYFUNCTION("""COMPUTED_VALUE"""),"https://www.linkedin.com/in/mutahhar-bin-muzaffar")</f>
        <v>https://www.linkedin.com/in/mutahhar-bin-muzaffar</v>
      </c>
      <c r="AL25" s="228"/>
      <c r="AM25" s="228"/>
      <c r="AN25" s="228" t="str">
        <f>IFERROR(__xludf.DUMMYFUNCTION("""COMPUTED_VALUE"""),"Imagine Web, Imagine Web")</f>
        <v>Imagine Web, Imagine Web</v>
      </c>
      <c r="AO25" s="228" t="str">
        <f>IFERROR(__xludf.DUMMYFUNCTION("""COMPUTED_VALUE"""),"imagine.web.team@vyro.ai, web.front.end@vyro.ai")</f>
        <v>imagine.web.team@vyro.ai, web.front.end@vyro.ai</v>
      </c>
      <c r="AP25" s="228" t="str">
        <f>IFERROR(__xludf.DUMMYFUNCTION("""COMPUTED_VALUE"""),"NO")</f>
        <v>NO</v>
      </c>
      <c r="AQ25" s="228" t="str">
        <f>IFERROR(__xludf.DUMMYFUNCTION("""COMPUTED_VALUE"""),"Active")</f>
        <v>Active</v>
      </c>
    </row>
    <row r="26">
      <c r="A26" s="228">
        <f>IFERROR(__xludf.DUMMYFUNCTION("""COMPUTED_VALUE"""),5316.0)</f>
        <v>5316</v>
      </c>
      <c r="B26" s="228" t="str">
        <f>IFERROR(__xludf.DUMMYFUNCTION("""COMPUTED_VALUE"""),"Saeed Ur Rehman")</f>
        <v>Saeed Ur Rehman</v>
      </c>
      <c r="C26" s="228" t="str">
        <f>IFERROR(__xludf.DUMMYFUNCTION("""COMPUTED_VALUE"""),"urrehmansaeed934@gmail.com")</f>
        <v>urrehmansaeed934@gmail.com</v>
      </c>
      <c r="D26" s="228" t="str">
        <f>IFERROR(__xludf.DUMMYFUNCTION("""COMPUTED_VALUE"""),"admin@vyro.ai")</f>
        <v>admin@vyro.ai</v>
      </c>
      <c r="E26" s="728">
        <f>IFERROR(__xludf.DUMMYFUNCTION("""COMPUTED_VALUE"""),45170.0)</f>
        <v>45170</v>
      </c>
      <c r="F26" s="228" t="str">
        <f>IFERROR(__xludf.DUMMYFUNCTION("""COMPUTED_VALUE"""),"Office Assistant")</f>
        <v>Office Assistant</v>
      </c>
      <c r="G26" s="228" t="str">
        <f>IFERROR(__xludf.DUMMYFUNCTION("""COMPUTED_VALUE"""),"Admin")</f>
        <v>Admin</v>
      </c>
      <c r="H26" s="228" t="str">
        <f>IFERROR(__xludf.DUMMYFUNCTION("""COMPUTED_VALUE"""),"Admin Team")</f>
        <v>Admin Team</v>
      </c>
      <c r="I26" s="228" t="str">
        <f>IFERROR(__xludf.DUMMYFUNCTION("""COMPUTED_VALUE"""),"Full Time")</f>
        <v>Full Time</v>
      </c>
      <c r="J26" s="228"/>
      <c r="K26" s="228"/>
      <c r="L26" s="228"/>
      <c r="M26" s="228"/>
      <c r="N26" s="228"/>
      <c r="O26" s="228"/>
      <c r="P26" s="228" t="str">
        <f>IFERROR(__xludf.DUMMYFUNCTION("""COMPUTED_VALUE"""),"3095072720")</f>
        <v>3095072720</v>
      </c>
      <c r="Q26" s="228" t="str">
        <f>IFERROR(__xludf.DUMMYFUNCTION("""COMPUTED_VALUE"""),"37102-14191279")</f>
        <v>37102-14191279</v>
      </c>
      <c r="R26" s="228" t="str">
        <f>IFERROR(__xludf.DUMMYFUNCTION("""COMPUTED_VALUE"""),"Male")</f>
        <v>Male</v>
      </c>
      <c r="S26" s="228" t="str">
        <f>IFERROR(__xludf.DUMMYFUNCTION("""COMPUTED_VALUE"""),"Askari Bank")</f>
        <v>Askari Bank</v>
      </c>
      <c r="T26" s="228" t="str">
        <f>IFERROR(__xludf.DUMMYFUNCTION("""COMPUTED_VALUE"""),"1800610010561")</f>
        <v>1800610010561</v>
      </c>
      <c r="U26" s="228" t="str">
        <f>IFERROR(__xludf.DUMMYFUNCTION("""COMPUTED_VALUE"""),"1800610010561")</f>
        <v>1800610010561</v>
      </c>
      <c r="V26" s="228" t="str">
        <f>IFERROR(__xludf.DUMMYFUNCTION("""COMPUTED_VALUE"""),"12345")</f>
        <v>12345</v>
      </c>
      <c r="W26" s="228"/>
      <c r="X26" s="228"/>
      <c r="Y26" s="730">
        <f>IFERROR(__xludf.DUMMYFUNCTION("""COMPUTED_VALUE"""),36526.0)</f>
        <v>36526</v>
      </c>
      <c r="Z26" s="228" t="str">
        <f>IFERROR(__xludf.DUMMYFUNCTION("""COMPUTED_VALUE"""),"25 Years")</f>
        <v>25 Years</v>
      </c>
      <c r="AA26" s="228" t="str">
        <f>IFERROR(__xludf.DUMMYFUNCTION("""COMPUTED_VALUE"""),"Past office khas bhaal saidaan, tehsil Fateh jhang district Attock")</f>
        <v>Past office khas bhaal saidaan, tehsil Fateh jhang district Attock</v>
      </c>
      <c r="AB26" s="228" t="str">
        <f>IFERROR(__xludf.DUMMYFUNCTION("""COMPUTED_VALUE"""),"Pakistani")</f>
        <v>Pakistani</v>
      </c>
      <c r="AC26" s="228" t="str">
        <f>IFERROR(__xludf.DUMMYFUNCTION("""COMPUTED_VALUE"""),"Single")</f>
        <v>Single</v>
      </c>
      <c r="AD26" s="228"/>
      <c r="AE26" s="228"/>
      <c r="AF26" s="228"/>
      <c r="AG26" s="228" t="str">
        <f>IFERROR(__xludf.DUMMYFUNCTION("""COMPUTED_VALUE"""),"Muhammad Nawaz")</f>
        <v>Muhammad Nawaz</v>
      </c>
      <c r="AH26" s="228" t="str">
        <f>IFERROR(__xludf.DUMMYFUNCTION("""COMPUTED_VALUE"""),"brother in law")</f>
        <v>brother in law</v>
      </c>
      <c r="AI26" s="228">
        <f>IFERROR(__xludf.DUMMYFUNCTION("""COMPUTED_VALUE"""),3.09592268E9)</f>
        <v>3095922680</v>
      </c>
      <c r="AJ26" s="228" t="str">
        <f>IFERROR(__xludf.DUMMYFUNCTION("""COMPUTED_VALUE"""),"B+")</f>
        <v>B+</v>
      </c>
      <c r="AK26" s="228"/>
      <c r="AL26" s="228" t="str">
        <f>IFERROR(__xludf.DUMMYFUNCTION("""COMPUTED_VALUE"""),"Annum Inam")</f>
        <v>Annum Inam</v>
      </c>
      <c r="AM26" s="228"/>
      <c r="AN26" s="228"/>
      <c r="AO26" s="228"/>
      <c r="AP26" s="228" t="str">
        <f>IFERROR(__xludf.DUMMYFUNCTION("""COMPUTED_VALUE"""),"NO")</f>
        <v>NO</v>
      </c>
      <c r="AQ26" s="228" t="str">
        <f>IFERROR(__xludf.DUMMYFUNCTION("""COMPUTED_VALUE"""),"Active")</f>
        <v>Active</v>
      </c>
    </row>
    <row r="27">
      <c r="A27" s="228">
        <f>IFERROR(__xludf.DUMMYFUNCTION("""COMPUTED_VALUE"""),5184.0)</f>
        <v>5184</v>
      </c>
      <c r="B27" s="228" t="str">
        <f>IFERROR(__xludf.DUMMYFUNCTION("""COMPUTED_VALUE"""),"Ameer Hamza")</f>
        <v>Ameer Hamza</v>
      </c>
      <c r="C27" s="228" t="str">
        <f>IFERROR(__xludf.DUMMYFUNCTION("""COMPUTED_VALUE"""),"aameerhamza1801@gmail.com")</f>
        <v>aameerhamza1801@gmail.com</v>
      </c>
      <c r="D27" s="228" t="str">
        <f>IFERROR(__xludf.DUMMYFUNCTION("""COMPUTED_VALUE"""),"ameer.hamza@vyro.ai")</f>
        <v>ameer.hamza@vyro.ai</v>
      </c>
      <c r="E27" s="728">
        <f>IFERROR(__xludf.DUMMYFUNCTION("""COMPUTED_VALUE"""),45194.0)</f>
        <v>45194</v>
      </c>
      <c r="F27" s="228" t="str">
        <f>IFERROR(__xludf.DUMMYFUNCTION("""COMPUTED_VALUE"""),"Senior Machine Learning Engineer")</f>
        <v>Senior Machine Learning Engineer</v>
      </c>
      <c r="G27" s="228" t="str">
        <f>IFERROR(__xludf.DUMMYFUNCTION("""COMPUTED_VALUE"""),"Machine Learning")</f>
        <v>Machine Learning</v>
      </c>
      <c r="H27" s="228" t="str">
        <f>IFERROR(__xludf.DUMMYFUNCTION("""COMPUTED_VALUE"""),"M. Abdullah Rafique, CTO")</f>
        <v>M. Abdullah Rafique, CTO</v>
      </c>
      <c r="I27" s="228" t="str">
        <f>IFERROR(__xludf.DUMMYFUNCTION("""COMPUTED_VALUE"""),"Permanent")</f>
        <v>Permanent</v>
      </c>
      <c r="J27" s="228" t="str">
        <f>IFERROR(__xludf.DUMMYFUNCTION("""COMPUTED_VALUE"""),"Active")</f>
        <v>Active</v>
      </c>
      <c r="K27" s="228" t="str">
        <f>IFERROR(__xludf.DUMMYFUNCTION("""COMPUTED_VALUE"""),"3M")</f>
        <v>3M</v>
      </c>
      <c r="L27" s="729">
        <f>IFERROR(__xludf.DUMMYFUNCTION("""COMPUTED_VALUE"""),45285.0)</f>
        <v>45285</v>
      </c>
      <c r="M27" s="228"/>
      <c r="N27" s="228"/>
      <c r="O27" s="228"/>
      <c r="P27" s="228" t="str">
        <f>IFERROR(__xludf.DUMMYFUNCTION("""COMPUTED_VALUE"""),"0336-7962776")</f>
        <v>0336-7962776</v>
      </c>
      <c r="Q27" s="228" t="str">
        <f>IFERROR(__xludf.DUMMYFUNCTION("""COMPUTED_VALUE"""),"35202-9239547-1")</f>
        <v>35202-9239547-1</v>
      </c>
      <c r="R27" s="228" t="str">
        <f>IFERROR(__xludf.DUMMYFUNCTION("""COMPUTED_VALUE"""),"Male")</f>
        <v>Male</v>
      </c>
      <c r="S27" s="228" t="str">
        <f>IFERROR(__xludf.DUMMYFUNCTION("""COMPUTED_VALUE"""),"WISE, United States")</f>
        <v>WISE, United States</v>
      </c>
      <c r="T27" s="228" t="str">
        <f>IFERROR(__xludf.DUMMYFUNCTION("""COMPUTED_VALUE"""),"AMEER HAMZA")</f>
        <v>AMEER HAMZA</v>
      </c>
      <c r="U27" s="228" t="str">
        <f>IFERROR(__xludf.DUMMYFUNCTION("""COMPUTED_VALUE"""),"8312116973")</f>
        <v>8312116973</v>
      </c>
      <c r="V27" s="228"/>
      <c r="W27" s="228" t="str">
        <f>IFERROR(__xludf.DUMMYFUNCTION("""COMPUTED_VALUE"""),"026073150")</f>
        <v>026073150</v>
      </c>
      <c r="X27" s="228" t="str">
        <f>IFERROR(__xludf.DUMMYFUNCTION("""COMPUTED_VALUE"""),"Islamabad")</f>
        <v>Islamabad</v>
      </c>
      <c r="Y27" s="730">
        <f>IFERROR(__xludf.DUMMYFUNCTION("""COMPUTED_VALUE"""),35082.0)</f>
        <v>35082</v>
      </c>
      <c r="Z27" s="228" t="str">
        <f>IFERROR(__xludf.DUMMYFUNCTION("""COMPUTED_VALUE"""),"29 Years")</f>
        <v>29 Years</v>
      </c>
      <c r="AA27" s="228" t="str">
        <f>IFERROR(__xludf.DUMMYFUNCTION("""COMPUTED_VALUE"""),"House # 32, Sunflower Society, Block J1, Johertown, Lahore")</f>
        <v>House # 32, Sunflower Society, Block J1, Johertown, Lahore</v>
      </c>
      <c r="AB27" s="228" t="str">
        <f>IFERROR(__xludf.DUMMYFUNCTION("""COMPUTED_VALUE"""),"Pakistani")</f>
        <v>Pakistani</v>
      </c>
      <c r="AC27" s="228" t="str">
        <f>IFERROR(__xludf.DUMMYFUNCTION("""COMPUTED_VALUE"""),"Single")</f>
        <v>Single</v>
      </c>
      <c r="AD27" s="228"/>
      <c r="AE27" s="228"/>
      <c r="AF27" s="228"/>
      <c r="AG27" s="228" t="str">
        <f>IFERROR(__xludf.DUMMYFUNCTION("""COMPUTED_VALUE"""),"Imran Tahir (Late)")</f>
        <v>Imran Tahir (Late)</v>
      </c>
      <c r="AH27" s="228" t="str">
        <f>IFERROR(__xludf.DUMMYFUNCTION("""COMPUTED_VALUE"""),"Brother")</f>
        <v>Brother</v>
      </c>
      <c r="AI27" s="228">
        <f>IFERROR(__xludf.DUMMYFUNCTION("""COMPUTED_VALUE"""),3.345461969E9)</f>
        <v>3345461969</v>
      </c>
      <c r="AJ27" s="228" t="str">
        <f>IFERROR(__xludf.DUMMYFUNCTION("""COMPUTED_VALUE"""),"AB-")</f>
        <v>AB-</v>
      </c>
      <c r="AK27" s="731" t="str">
        <f>IFERROR(__xludf.DUMMYFUNCTION("""COMPUTED_VALUE"""),"https://www.linkedin.com/in/ameerhamza1801")</f>
        <v>https://www.linkedin.com/in/ameerhamza1801</v>
      </c>
      <c r="AL27" s="228"/>
      <c r="AM27" s="228"/>
      <c r="AN27" s="228" t="str">
        <f>IFERROR(__xludf.DUMMYFUNCTION("""COMPUTED_VALUE"""),"Machine Learning")</f>
        <v>Machine Learning</v>
      </c>
      <c r="AO27" s="228" t="str">
        <f>IFERROR(__xludf.DUMMYFUNCTION("""COMPUTED_VALUE"""),"ml.team@vyro.ai")</f>
        <v>ml.team@vyro.ai</v>
      </c>
      <c r="AP27" s="228" t="str">
        <f>IFERROR(__xludf.DUMMYFUNCTION("""COMPUTED_VALUE"""),"NO")</f>
        <v>NO</v>
      </c>
      <c r="AQ27" s="228" t="str">
        <f>IFERROR(__xludf.DUMMYFUNCTION("""COMPUTED_VALUE"""),"Active")</f>
        <v>Active</v>
      </c>
    </row>
    <row r="28">
      <c r="A28" s="228">
        <f>IFERROR(__xludf.DUMMYFUNCTION("""COMPUTED_VALUE"""),5187.0)</f>
        <v>5187</v>
      </c>
      <c r="B28" s="228" t="str">
        <f>IFERROR(__xludf.DUMMYFUNCTION("""COMPUTED_VALUE"""),"Shaiq Habib")</f>
        <v>Shaiq Habib</v>
      </c>
      <c r="C28" s="228" t="str">
        <f>IFERROR(__xludf.DUMMYFUNCTION("""COMPUTED_VALUE"""),"mshaiq99@gmail.com")</f>
        <v>mshaiq99@gmail.com</v>
      </c>
      <c r="D28" s="228" t="str">
        <f>IFERROR(__xludf.DUMMYFUNCTION("""COMPUTED_VALUE"""),"shaiq.habib@vyro.ai")</f>
        <v>shaiq.habib@vyro.ai</v>
      </c>
      <c r="E28" s="728">
        <f>IFERROR(__xludf.DUMMYFUNCTION("""COMPUTED_VALUE"""),45208.0)</f>
        <v>45208</v>
      </c>
      <c r="F28" s="228" t="str">
        <f>IFERROR(__xludf.DUMMYFUNCTION("""COMPUTED_VALUE"""),"Data Lead")</f>
        <v>Data Lead</v>
      </c>
      <c r="G28" s="228" t="str">
        <f>IFERROR(__xludf.DUMMYFUNCTION("""COMPUTED_VALUE"""),"Business &amp; Growth")</f>
        <v>Business &amp; Growth</v>
      </c>
      <c r="H28" s="228" t="str">
        <f>IFERROR(__xludf.DUMMYFUNCTION("""COMPUTED_VALUE"""),"Ahmed Abubakar, CEO")</f>
        <v>Ahmed Abubakar, CEO</v>
      </c>
      <c r="I28" s="228" t="str">
        <f>IFERROR(__xludf.DUMMYFUNCTION("""COMPUTED_VALUE"""),"Permanent")</f>
        <v>Permanent</v>
      </c>
      <c r="J28" s="228" t="str">
        <f>IFERROR(__xludf.DUMMYFUNCTION("""COMPUTED_VALUE"""),"Active")</f>
        <v>Active</v>
      </c>
      <c r="K28" s="228" t="str">
        <f>IFERROR(__xludf.DUMMYFUNCTION("""COMPUTED_VALUE"""),"3M")</f>
        <v>3M</v>
      </c>
      <c r="L28" s="729">
        <f>IFERROR(__xludf.DUMMYFUNCTION("""COMPUTED_VALUE"""),45300.0)</f>
        <v>45300</v>
      </c>
      <c r="M28" s="228"/>
      <c r="N28" s="228"/>
      <c r="O28" s="228"/>
      <c r="P28" s="228" t="str">
        <f>IFERROR(__xludf.DUMMYFUNCTION("""COMPUTED_VALUE"""),"03152829688")</f>
        <v>03152829688</v>
      </c>
      <c r="Q28" s="228" t="str">
        <f>IFERROR(__xludf.DUMMYFUNCTION("""COMPUTED_VALUE"""),"61101-1388832-7")</f>
        <v>61101-1388832-7</v>
      </c>
      <c r="R28" s="228" t="str">
        <f>IFERROR(__xludf.DUMMYFUNCTION("""COMPUTED_VALUE"""),"Male")</f>
        <v>Male</v>
      </c>
      <c r="S28" s="228" t="str">
        <f>IFERROR(__xludf.DUMMYFUNCTION("""COMPUTED_VALUE"""),"UBL")</f>
        <v>UBL</v>
      </c>
      <c r="T28" s="228" t="str">
        <f>IFERROR(__xludf.DUMMYFUNCTION("""COMPUTED_VALUE"""),"290437436")</f>
        <v>290437436</v>
      </c>
      <c r="U28" s="228" t="str">
        <f>IFERROR(__xludf.DUMMYFUNCTION("""COMPUTED_VALUE"""),"PK58UNIL0109000290437436")</f>
        <v>PK58UNIL0109000290437436</v>
      </c>
      <c r="V28" s="228" t="str">
        <f>IFERROR(__xludf.DUMMYFUNCTION("""COMPUTED_VALUE"""),"UNILPKKA")</f>
        <v>UNILPKKA</v>
      </c>
      <c r="W28" s="228"/>
      <c r="X28" s="228" t="str">
        <f>IFERROR(__xludf.DUMMYFUNCTION("""COMPUTED_VALUE"""),"Islamabad")</f>
        <v>Islamabad</v>
      </c>
      <c r="Y28" s="730">
        <f>IFERROR(__xludf.DUMMYFUNCTION("""COMPUTED_VALUE"""),36421.0)</f>
        <v>36421</v>
      </c>
      <c r="Z28" s="228" t="str">
        <f>IFERROR(__xludf.DUMMYFUNCTION("""COMPUTED_VALUE"""),"25 Years")</f>
        <v>25 Years</v>
      </c>
      <c r="AA28" s="228" t="str">
        <f>IFERROR(__xludf.DUMMYFUNCTION("""COMPUTED_VALUE"""),"G11-3, Street 93")</f>
        <v>G11-3, Street 93</v>
      </c>
      <c r="AB28" s="228" t="str">
        <f>IFERROR(__xludf.DUMMYFUNCTION("""COMPUTED_VALUE"""),"Pakistani")</f>
        <v>Pakistani</v>
      </c>
      <c r="AC28" s="228" t="str">
        <f>IFERROR(__xludf.DUMMYFUNCTION("""COMPUTED_VALUE"""),"Single")</f>
        <v>Single</v>
      </c>
      <c r="AD28" s="228"/>
      <c r="AE28" s="228"/>
      <c r="AF28" s="228"/>
      <c r="AG28" s="228" t="str">
        <f>IFERROR(__xludf.DUMMYFUNCTION("""COMPUTED_VALUE"""),"Muhammad Arif Habib")</f>
        <v>Muhammad Arif Habib</v>
      </c>
      <c r="AH28" s="228" t="str">
        <f>IFERROR(__xludf.DUMMYFUNCTION("""COMPUTED_VALUE"""),"Father")</f>
        <v>Father</v>
      </c>
      <c r="AI28" s="228">
        <f>IFERROR(__xludf.DUMMYFUNCTION("""COMPUTED_VALUE"""),3.072221703E9)</f>
        <v>3072221703</v>
      </c>
      <c r="AJ28" s="228" t="str">
        <f>IFERROR(__xludf.DUMMYFUNCTION("""COMPUTED_VALUE"""),"O+")</f>
        <v>O+</v>
      </c>
      <c r="AK28" s="731" t="str">
        <f>IFERROR(__xludf.DUMMYFUNCTION("""COMPUTED_VALUE"""),"https://www.linkedin.com/in/shaiq-habib/")</f>
        <v>https://www.linkedin.com/in/shaiq-habib/</v>
      </c>
      <c r="AL28" s="228"/>
      <c r="AM28" s="228"/>
      <c r="AN28" s="228" t="str">
        <f>IFERROR(__xludf.DUMMYFUNCTION("""COMPUTED_VALUE"""),"Affiliates, Marketing")</f>
        <v>Affiliates, Marketing</v>
      </c>
      <c r="AO28" s="228" t="str">
        <f>IFERROR(__xludf.DUMMYFUNCTION("""COMPUTED_VALUE"""),"affiliates.team@vyro.ai, marketing.team@vyro.ai")</f>
        <v>affiliates.team@vyro.ai, marketing.team@vyro.ai</v>
      </c>
      <c r="AP28" s="228" t="str">
        <f>IFERROR(__xludf.DUMMYFUNCTION("""COMPUTED_VALUE"""),"NO")</f>
        <v>NO</v>
      </c>
      <c r="AQ28" s="228" t="str">
        <f>IFERROR(__xludf.DUMMYFUNCTION("""COMPUTED_VALUE"""),"Active")</f>
        <v>Active</v>
      </c>
    </row>
    <row r="29">
      <c r="A29" s="228">
        <f>IFERROR(__xludf.DUMMYFUNCTION("""COMPUTED_VALUE"""),5198.0)</f>
        <v>5198</v>
      </c>
      <c r="B29" s="228" t="str">
        <f>IFERROR(__xludf.DUMMYFUNCTION("""COMPUTED_VALUE"""),"Atif Nawaz")</f>
        <v>Atif Nawaz</v>
      </c>
      <c r="C29" s="228" t="str">
        <f>IFERROR(__xludf.DUMMYFUNCTION("""COMPUTED_VALUE"""),"malikatifkandaan@gmail.com")</f>
        <v>malikatifkandaan@gmail.com</v>
      </c>
      <c r="D29" s="228" t="str">
        <f>IFERROR(__xludf.DUMMYFUNCTION("""COMPUTED_VALUE"""),"atif.nawaz@vyro.ai")</f>
        <v>atif.nawaz@vyro.ai</v>
      </c>
      <c r="E29" s="728">
        <f>IFERROR(__xludf.DUMMYFUNCTION("""COMPUTED_VALUE"""),45229.0)</f>
        <v>45229</v>
      </c>
      <c r="F29" s="228" t="str">
        <f>IFERROR(__xludf.DUMMYFUNCTION("""COMPUTED_VALUE"""),"Admin &amp; Procurement Associate")</f>
        <v>Admin &amp; Procurement Associate</v>
      </c>
      <c r="G29" s="228" t="str">
        <f>IFERROR(__xludf.DUMMYFUNCTION("""COMPUTED_VALUE"""),"Admin")</f>
        <v>Admin</v>
      </c>
      <c r="H29" s="228" t="str">
        <f>IFERROR(__xludf.DUMMYFUNCTION("""COMPUTED_VALUE"""),"Adnan")</f>
        <v>Adnan</v>
      </c>
      <c r="I29" s="228" t="str">
        <f>IFERROR(__xludf.DUMMYFUNCTION("""COMPUTED_VALUE"""),"Permanent")</f>
        <v>Permanent</v>
      </c>
      <c r="J29" s="228" t="str">
        <f>IFERROR(__xludf.DUMMYFUNCTION("""COMPUTED_VALUE"""),"Active")</f>
        <v>Active</v>
      </c>
      <c r="K29" s="228" t="str">
        <f>IFERROR(__xludf.DUMMYFUNCTION("""COMPUTED_VALUE"""),"3M")</f>
        <v>3M</v>
      </c>
      <c r="L29" s="729">
        <f>IFERROR(__xludf.DUMMYFUNCTION("""COMPUTED_VALUE"""),45321.0)</f>
        <v>45321</v>
      </c>
      <c r="M29" s="228"/>
      <c r="N29" s="228"/>
      <c r="O29" s="228"/>
      <c r="P29" s="228" t="str">
        <f>IFERROR(__xludf.DUMMYFUNCTION("""COMPUTED_VALUE"""),"0309-4022042")</f>
        <v>0309-4022042</v>
      </c>
      <c r="Q29" s="228" t="str">
        <f>IFERROR(__xludf.DUMMYFUNCTION("""COMPUTED_VALUE"""),"38404-7428636-7")</f>
        <v>38404-7428636-7</v>
      </c>
      <c r="R29" s="228" t="str">
        <f>IFERROR(__xludf.DUMMYFUNCTION("""COMPUTED_VALUE"""),"Male")</f>
        <v>Male</v>
      </c>
      <c r="S29" s="228" t="str">
        <f>IFERROR(__xludf.DUMMYFUNCTION("""COMPUTED_VALUE"""),"Askari")</f>
        <v>Askari</v>
      </c>
      <c r="T29" s="228" t="str">
        <f>IFERROR(__xludf.DUMMYFUNCTION("""COMPUTED_VALUE"""),"Atif nawaz")</f>
        <v>Atif nawaz</v>
      </c>
      <c r="U29" s="228" t="str">
        <f>IFERROR(__xludf.DUMMYFUNCTION("""COMPUTED_VALUE"""),"PK76ASCM0001520320229465")</f>
        <v>PK76ASCM0001520320229465</v>
      </c>
      <c r="V29" s="228"/>
      <c r="W29" s="228"/>
      <c r="X29" s="228" t="str">
        <f>IFERROR(__xludf.DUMMYFUNCTION("""COMPUTED_VALUE"""),"Islamabad")</f>
        <v>Islamabad</v>
      </c>
      <c r="Y29" s="730">
        <f>IFERROR(__xludf.DUMMYFUNCTION("""COMPUTED_VALUE"""),36399.0)</f>
        <v>36399</v>
      </c>
      <c r="Z29" s="228" t="str">
        <f>IFERROR(__xludf.DUMMYFUNCTION("""COMPUTED_VALUE"""),"25 Years")</f>
        <v>25 Years</v>
      </c>
      <c r="AA29" s="228" t="str">
        <f>IFERROR(__xludf.DUMMYFUNCTION("""COMPUTED_VALUE"""),"Street no 14 Altaf colony near rangers headquarters Lahore cantt")</f>
        <v>Street no 14 Altaf colony near rangers headquarters Lahore cantt</v>
      </c>
      <c r="AB29" s="228" t="str">
        <f>IFERROR(__xludf.DUMMYFUNCTION("""COMPUTED_VALUE"""),"Pakistani")</f>
        <v>Pakistani</v>
      </c>
      <c r="AC29" s="228" t="str">
        <f>IFERROR(__xludf.DUMMYFUNCTION("""COMPUTED_VALUE"""),"Single")</f>
        <v>Single</v>
      </c>
      <c r="AD29" s="228"/>
      <c r="AE29" s="228"/>
      <c r="AF29" s="228"/>
      <c r="AG29" s="228" t="str">
        <f>IFERROR(__xludf.DUMMYFUNCTION("""COMPUTED_VALUE"""),"Rab nawaz")</f>
        <v>Rab nawaz</v>
      </c>
      <c r="AH29" s="228" t="str">
        <f>IFERROR(__xludf.DUMMYFUNCTION("""COMPUTED_VALUE"""),"Parents")</f>
        <v>Parents</v>
      </c>
      <c r="AI29" s="228"/>
      <c r="AJ29" s="228" t="str">
        <f>IFERROR(__xludf.DUMMYFUNCTION("""COMPUTED_VALUE"""),"A+")</f>
        <v>A+</v>
      </c>
      <c r="AK29" s="731" t="str">
        <f>IFERROR(__xludf.DUMMYFUNCTION("""COMPUTED_VALUE"""),"https://www.linkedin.com/in/malik-atif-40a4a128b")</f>
        <v>https://www.linkedin.com/in/malik-atif-40a4a128b</v>
      </c>
      <c r="AL29" s="228"/>
      <c r="AM29" s="228"/>
      <c r="AN29" s="228" t="str">
        <f>IFERROR(__xludf.DUMMYFUNCTION("""COMPUTED_VALUE"""),"Admin")</f>
        <v>Admin</v>
      </c>
      <c r="AO29" s="228" t="str">
        <f>IFERROR(__xludf.DUMMYFUNCTION("""COMPUTED_VALUE"""),"admin.team@vyro.ai")</f>
        <v>admin.team@vyro.ai</v>
      </c>
      <c r="AP29" s="228" t="str">
        <f>IFERROR(__xludf.DUMMYFUNCTION("""COMPUTED_VALUE"""),"NO")</f>
        <v>NO</v>
      </c>
      <c r="AQ29" s="228" t="str">
        <f>IFERROR(__xludf.DUMMYFUNCTION("""COMPUTED_VALUE"""),"Active")</f>
        <v>Active</v>
      </c>
    </row>
    <row r="30">
      <c r="A30" s="228">
        <f>IFERROR(__xludf.DUMMYFUNCTION("""COMPUTED_VALUE"""),5194.0)</f>
        <v>5194</v>
      </c>
      <c r="B30" s="228" t="str">
        <f>IFERROR(__xludf.DUMMYFUNCTION("""COMPUTED_VALUE"""),"Saad Ahmed")</f>
        <v>Saad Ahmed</v>
      </c>
      <c r="C30" s="228" t="str">
        <f>IFERROR(__xludf.DUMMYFUNCTION("""COMPUTED_VALUE"""),"iamsaadahmed@outlook.com")</f>
        <v>iamsaadahmed@outlook.com</v>
      </c>
      <c r="D30" s="228" t="str">
        <f>IFERROR(__xludf.DUMMYFUNCTION("""COMPUTED_VALUE"""),"saad.ahmed@vyro.ai")</f>
        <v>saad.ahmed@vyro.ai</v>
      </c>
      <c r="E30" s="728">
        <f>IFERROR(__xludf.DUMMYFUNCTION("""COMPUTED_VALUE"""),45229.0)</f>
        <v>45229</v>
      </c>
      <c r="F30" s="228" t="str">
        <f>IFERROR(__xludf.DUMMYFUNCTION("""COMPUTED_VALUE"""),"Sr, Product Manager")</f>
        <v>Sr, Product Manager</v>
      </c>
      <c r="G30" s="228" t="str">
        <f>IFERROR(__xludf.DUMMYFUNCTION("""COMPUTED_VALUE"""),"Product")</f>
        <v>Product</v>
      </c>
      <c r="H30" s="228" t="str">
        <f>IFERROR(__xludf.DUMMYFUNCTION("""COMPUTED_VALUE"""),"M. Abdullah Rafique, CTO")</f>
        <v>M. Abdullah Rafique, CTO</v>
      </c>
      <c r="I30" s="228" t="str">
        <f>IFERROR(__xludf.DUMMYFUNCTION("""COMPUTED_VALUE"""),"Permanent")</f>
        <v>Permanent</v>
      </c>
      <c r="J30" s="228" t="str">
        <f>IFERROR(__xludf.DUMMYFUNCTION("""COMPUTED_VALUE"""),"Active")</f>
        <v>Active</v>
      </c>
      <c r="K30" s="228" t="str">
        <f>IFERROR(__xludf.DUMMYFUNCTION("""COMPUTED_VALUE"""),"3M")</f>
        <v>3M</v>
      </c>
      <c r="L30" s="729">
        <f>IFERROR(__xludf.DUMMYFUNCTION("""COMPUTED_VALUE"""),45321.0)</f>
        <v>45321</v>
      </c>
      <c r="M30" s="228"/>
      <c r="N30" s="228"/>
      <c r="O30" s="228"/>
      <c r="P30" s="228" t="str">
        <f>IFERROR(__xludf.DUMMYFUNCTION("""COMPUTED_VALUE"""),"3334728356")</f>
        <v>3334728356</v>
      </c>
      <c r="Q30" s="228" t="str">
        <f>IFERROR(__xludf.DUMMYFUNCTION("""COMPUTED_VALUE"""),"35202-3107480-5")</f>
        <v>35202-3107480-5</v>
      </c>
      <c r="R30" s="228" t="str">
        <f>IFERROR(__xludf.DUMMYFUNCTION("""COMPUTED_VALUE"""),"Male")</f>
        <v>Male</v>
      </c>
      <c r="S30" s="228" t="str">
        <f>IFERROR(__xludf.DUMMYFUNCTION("""COMPUTED_VALUE"""),"JS Bank")</f>
        <v>JS Bank</v>
      </c>
      <c r="T30" s="228" t="str">
        <f>IFERROR(__xludf.DUMMYFUNCTION("""COMPUTED_VALUE"""),"SAAD AHMED")</f>
        <v>SAAD AHMED</v>
      </c>
      <c r="U30" s="228" t="str">
        <f>IFERROR(__xludf.DUMMYFUNCTION("""COMPUTED_VALUE"""),"PK14JSBL9503000000969007")</f>
        <v>PK14JSBL9503000000969007</v>
      </c>
      <c r="V30" s="228" t="str">
        <f>IFERROR(__xludf.DUMMYFUNCTION("""COMPUTED_VALUE"""),"JSBLPKKA")</f>
        <v>JSBLPKKA</v>
      </c>
      <c r="W30" s="228"/>
      <c r="X30" s="228" t="str">
        <f>IFERROR(__xludf.DUMMYFUNCTION("""COMPUTED_VALUE"""),"Islamabad")</f>
        <v>Islamabad</v>
      </c>
      <c r="Y30" s="730">
        <f>IFERROR(__xludf.DUMMYFUNCTION("""COMPUTED_VALUE"""),33762.0)</f>
        <v>33762</v>
      </c>
      <c r="Z30" s="228" t="str">
        <f>IFERROR(__xludf.DUMMYFUNCTION("""COMPUTED_VALUE"""),"32 Years")</f>
        <v>32 Years</v>
      </c>
      <c r="AA30" s="228" t="str">
        <f>IFERROR(__xludf.DUMMYFUNCTION("""COMPUTED_VALUE"""),"17 Shadman-1, Jail Road, Lahore")</f>
        <v>17 Shadman-1, Jail Road, Lahore</v>
      </c>
      <c r="AB30" s="228" t="str">
        <f>IFERROR(__xludf.DUMMYFUNCTION("""COMPUTED_VALUE"""),"Pakistani")</f>
        <v>Pakistani</v>
      </c>
      <c r="AC30" s="228" t="str">
        <f>IFERROR(__xludf.DUMMYFUNCTION("""COMPUTED_VALUE"""),"Married")</f>
        <v>Married</v>
      </c>
      <c r="AD30" s="228"/>
      <c r="AE30" s="228"/>
      <c r="AF30" s="228"/>
      <c r="AG30" s="228" t="str">
        <f>IFERROR(__xludf.DUMMYFUNCTION("""COMPUTED_VALUE"""),"Riaz Ahmad")</f>
        <v>Riaz Ahmad</v>
      </c>
      <c r="AH30" s="228" t="str">
        <f>IFERROR(__xludf.DUMMYFUNCTION("""COMPUTED_VALUE"""),"Spouse")</f>
        <v>Spouse</v>
      </c>
      <c r="AI30" s="228">
        <f>IFERROR(__xludf.DUMMYFUNCTION("""COMPUTED_VALUE"""),3.347996022E9)</f>
        <v>3347996022</v>
      </c>
      <c r="AJ30" s="228" t="str">
        <f>IFERROR(__xludf.DUMMYFUNCTION("""COMPUTED_VALUE"""),"O+")</f>
        <v>O+</v>
      </c>
      <c r="AK30" s="731" t="str">
        <f>IFERROR(__xludf.DUMMYFUNCTION("""COMPUTED_VALUE"""),"https://www.linkedin.com/in/saad-ahmed-27b28b118")</f>
        <v>https://www.linkedin.com/in/saad-ahmed-27b28b118</v>
      </c>
      <c r="AL30" s="228"/>
      <c r="AM30" s="228"/>
      <c r="AN30" s="228" t="str">
        <f>IFERROR(__xludf.DUMMYFUNCTION("""COMPUTED_VALUE"""),"Product")</f>
        <v>Product</v>
      </c>
      <c r="AO30" s="228" t="str">
        <f>IFERROR(__xludf.DUMMYFUNCTION("""COMPUTED_VALUE"""),"product.team@vyro.ai")</f>
        <v>product.team@vyro.ai</v>
      </c>
      <c r="AP30" s="228" t="str">
        <f>IFERROR(__xludf.DUMMYFUNCTION("""COMPUTED_VALUE"""),"NO")</f>
        <v>NO</v>
      </c>
      <c r="AQ30" s="228" t="str">
        <f>IFERROR(__xludf.DUMMYFUNCTION("""COMPUTED_VALUE"""),"Active")</f>
        <v>Active</v>
      </c>
    </row>
    <row r="31">
      <c r="A31" s="228">
        <f>IFERROR(__xludf.DUMMYFUNCTION("""COMPUTED_VALUE"""),5207.0)</f>
        <v>5207</v>
      </c>
      <c r="B31" s="228" t="str">
        <f>IFERROR(__xludf.DUMMYFUNCTION("""COMPUTED_VALUE"""),"Asad Ullah")</f>
        <v>Asad Ullah</v>
      </c>
      <c r="C31" s="228" t="str">
        <f>IFERROR(__xludf.DUMMYFUNCTION("""COMPUTED_VALUE"""),"asad1260@yahoo.com")</f>
        <v>asad1260@yahoo.com</v>
      </c>
      <c r="D31" s="228" t="str">
        <f>IFERROR(__xludf.DUMMYFUNCTION("""COMPUTED_VALUE"""),"asad.ullah@vyro.ai")</f>
        <v>asad.ullah@vyro.ai</v>
      </c>
      <c r="E31" s="728">
        <f>IFERROR(__xludf.DUMMYFUNCTION("""COMPUTED_VALUE"""),45257.0)</f>
        <v>45257</v>
      </c>
      <c r="F31" s="228" t="str">
        <f>IFERROR(__xludf.DUMMYFUNCTION("""COMPUTED_VALUE"""),"Product Designer")</f>
        <v>Product Designer</v>
      </c>
      <c r="G31" s="228" t="str">
        <f>IFERROR(__xludf.DUMMYFUNCTION("""COMPUTED_VALUE"""),"Product Design")</f>
        <v>Product Design</v>
      </c>
      <c r="H31" s="228" t="str">
        <f>IFERROR(__xludf.DUMMYFUNCTION("""COMPUTED_VALUE"""),"Khadija Umer")</f>
        <v>Khadija Umer</v>
      </c>
      <c r="I31" s="228" t="str">
        <f>IFERROR(__xludf.DUMMYFUNCTION("""COMPUTED_VALUE"""),"Permanent")</f>
        <v>Permanent</v>
      </c>
      <c r="J31" s="228" t="str">
        <f>IFERROR(__xludf.DUMMYFUNCTION("""COMPUTED_VALUE"""),"Active")</f>
        <v>Active</v>
      </c>
      <c r="K31" s="228" t="str">
        <f>IFERROR(__xludf.DUMMYFUNCTION("""COMPUTED_VALUE"""),"3M")</f>
        <v>3M</v>
      </c>
      <c r="L31" s="729">
        <f>IFERROR(__xludf.DUMMYFUNCTION("""COMPUTED_VALUE"""),45323.0)</f>
        <v>45323</v>
      </c>
      <c r="M31" s="228"/>
      <c r="N31" s="228"/>
      <c r="O31" s="228"/>
      <c r="P31" s="228" t="str">
        <f>IFERROR(__xludf.DUMMYFUNCTION("""COMPUTED_VALUE"""),"03075413471")</f>
        <v>03075413471</v>
      </c>
      <c r="Q31" s="228" t="str">
        <f>IFERROR(__xludf.DUMMYFUNCTION("""COMPUTED_VALUE"""),"34401-8557347-3")</f>
        <v>34401-8557347-3</v>
      </c>
      <c r="R31" s="228" t="str">
        <f>IFERROR(__xludf.DUMMYFUNCTION("""COMPUTED_VALUE"""),"Male")</f>
        <v>Male</v>
      </c>
      <c r="S31" s="228" t="str">
        <f>IFERROR(__xludf.DUMMYFUNCTION("""COMPUTED_VALUE"""),"Habib Bank Limited (HBL)")</f>
        <v>Habib Bank Limited (HBL)</v>
      </c>
      <c r="T31" s="228" t="str">
        <f>IFERROR(__xludf.DUMMYFUNCTION("""COMPUTED_VALUE"""),"ASAD ULLAH")</f>
        <v>ASAD ULLAH</v>
      </c>
      <c r="U31" s="228" t="str">
        <f>IFERROR(__xludf.DUMMYFUNCTION("""COMPUTED_VALUE"""),"PK72HABB0005047902746103")</f>
        <v>PK72HABB0005047902746103</v>
      </c>
      <c r="V31" s="228"/>
      <c r="W31" s="228"/>
      <c r="X31" s="228" t="str">
        <f>IFERROR(__xludf.DUMMYFUNCTION("""COMPUTED_VALUE"""),"Islamabad")</f>
        <v>Islamabad</v>
      </c>
      <c r="Y31" s="730">
        <f>IFERROR(__xludf.DUMMYFUNCTION("""COMPUTED_VALUE"""),35047.0)</f>
        <v>35047</v>
      </c>
      <c r="Z31" s="228" t="str">
        <f>IFERROR(__xludf.DUMMYFUNCTION("""COMPUTED_VALUE"""),"29 Years")</f>
        <v>29 Years</v>
      </c>
      <c r="AA31" s="228" t="str">
        <f>IFERROR(__xludf.DUMMYFUNCTION("""COMPUTED_VALUE"""),"House no. 612 Street 6-E-2 Shabbir Lane Cantt, Rawalpindi")</f>
        <v>House no. 612 Street 6-E-2 Shabbir Lane Cantt, Rawalpindi</v>
      </c>
      <c r="AB31" s="228" t="str">
        <f>IFERROR(__xludf.DUMMYFUNCTION("""COMPUTED_VALUE"""),"Pakistani")</f>
        <v>Pakistani</v>
      </c>
      <c r="AC31" s="228" t="str">
        <f>IFERROR(__xludf.DUMMYFUNCTION("""COMPUTED_VALUE"""),"Single")</f>
        <v>Single</v>
      </c>
      <c r="AD31" s="228"/>
      <c r="AE31" s="228"/>
      <c r="AF31" s="228"/>
      <c r="AG31" s="228" t="str">
        <f>IFERROR(__xludf.DUMMYFUNCTION("""COMPUTED_VALUE"""),"Shafqat Ullah")</f>
        <v>Shafqat Ullah</v>
      </c>
      <c r="AH31" s="228" t="str">
        <f>IFERROR(__xludf.DUMMYFUNCTION("""COMPUTED_VALUE"""),"Elder Brother")</f>
        <v>Elder Brother</v>
      </c>
      <c r="AI31" s="228"/>
      <c r="AJ31" s="228" t="str">
        <f>IFERROR(__xludf.DUMMYFUNCTION("""COMPUTED_VALUE"""),"B+")</f>
        <v>B+</v>
      </c>
      <c r="AK31" s="731" t="str">
        <f>IFERROR(__xludf.DUMMYFUNCTION("""COMPUTED_VALUE"""),"https://www.linkedin.com/in/asad-ullah-01041411a/")</f>
        <v>https://www.linkedin.com/in/asad-ullah-01041411a/</v>
      </c>
      <c r="AL31" s="228"/>
      <c r="AM31" s="228"/>
      <c r="AN31" s="228" t="str">
        <f>IFERROR(__xludf.DUMMYFUNCTION("""COMPUTED_VALUE"""),"Product Design")</f>
        <v>Product Design</v>
      </c>
      <c r="AO31" s="228" t="str">
        <f>IFERROR(__xludf.DUMMYFUNCTION("""COMPUTED_VALUE"""),"product.design.team@vyro.ai")</f>
        <v>product.design.team@vyro.ai</v>
      </c>
      <c r="AP31" s="228" t="str">
        <f>IFERROR(__xludf.DUMMYFUNCTION("""COMPUTED_VALUE"""),"NO")</f>
        <v>NO</v>
      </c>
      <c r="AQ31" s="228" t="str">
        <f>IFERROR(__xludf.DUMMYFUNCTION("""COMPUTED_VALUE"""),"Active")</f>
        <v>Active</v>
      </c>
    </row>
    <row r="32">
      <c r="A32" s="228">
        <f>IFERROR(__xludf.DUMMYFUNCTION("""COMPUTED_VALUE"""),5214.0)</f>
        <v>5214</v>
      </c>
      <c r="B32" s="228" t="str">
        <f>IFERROR(__xludf.DUMMYFUNCTION("""COMPUTED_VALUE"""),"Ahmed Hussain")</f>
        <v>Ahmed Hussain</v>
      </c>
      <c r="C32" s="228" t="str">
        <f>IFERROR(__xludf.DUMMYFUNCTION("""COMPUTED_VALUE"""),"ahmed.niazi124@gmail.com")</f>
        <v>ahmed.niazi124@gmail.com</v>
      </c>
      <c r="D32" s="228" t="str">
        <f>IFERROR(__xludf.DUMMYFUNCTION("""COMPUTED_VALUE"""),"ahmed.hussain@vyro.ai")</f>
        <v>ahmed.hussain@vyro.ai</v>
      </c>
      <c r="E32" s="728">
        <f>IFERROR(__xludf.DUMMYFUNCTION("""COMPUTED_VALUE"""),45278.0)</f>
        <v>45278</v>
      </c>
      <c r="F32" s="228" t="str">
        <f>IFERROR(__xludf.DUMMYFUNCTION("""COMPUTED_VALUE"""),"Admin &amp; Procurement Executive")</f>
        <v>Admin &amp; Procurement Executive</v>
      </c>
      <c r="G32" s="228" t="str">
        <f>IFERROR(__xludf.DUMMYFUNCTION("""COMPUTED_VALUE"""),"Admin")</f>
        <v>Admin</v>
      </c>
      <c r="H32" s="228" t="str">
        <f>IFERROR(__xludf.DUMMYFUNCTION("""COMPUTED_VALUE"""),"Adnan")</f>
        <v>Adnan</v>
      </c>
      <c r="I32" s="228" t="str">
        <f>IFERROR(__xludf.DUMMYFUNCTION("""COMPUTED_VALUE"""),"Permanent")</f>
        <v>Permanent</v>
      </c>
      <c r="J32" s="228" t="str">
        <f>IFERROR(__xludf.DUMMYFUNCTION("""COMPUTED_VALUE"""),"Active")</f>
        <v>Active</v>
      </c>
      <c r="K32" s="228" t="str">
        <f>IFERROR(__xludf.DUMMYFUNCTION("""COMPUTED_VALUE"""),"3M")</f>
        <v>3M</v>
      </c>
      <c r="L32" s="729">
        <f>IFERROR(__xludf.DUMMYFUNCTION("""COMPUTED_VALUE"""),45369.0)</f>
        <v>45369</v>
      </c>
      <c r="M32" s="228"/>
      <c r="N32" s="228"/>
      <c r="O32" s="228"/>
      <c r="P32" s="228" t="str">
        <f>IFERROR(__xludf.DUMMYFUNCTION("""COMPUTED_VALUE"""),"3135122910")</f>
        <v>3135122910</v>
      </c>
      <c r="Q32" s="228" t="str">
        <f>IFERROR(__xludf.DUMMYFUNCTION("""COMPUTED_VALUE"""),"38102-5707136-9")</f>
        <v>38102-5707136-9</v>
      </c>
      <c r="R32" s="228" t="str">
        <f>IFERROR(__xludf.DUMMYFUNCTION("""COMPUTED_VALUE"""),"Male")</f>
        <v>Male</v>
      </c>
      <c r="S32" s="228" t="str">
        <f>IFERROR(__xludf.DUMMYFUNCTION("""COMPUTED_VALUE"""),"Habib Bank Limited")</f>
        <v>Habib Bank Limited</v>
      </c>
      <c r="T32" s="228" t="str">
        <f>IFERROR(__xludf.DUMMYFUNCTION("""COMPUTED_VALUE"""),"Ahmed Hussain")</f>
        <v>Ahmed Hussain</v>
      </c>
      <c r="U32" s="228" t="str">
        <f>IFERROR(__xludf.DUMMYFUNCTION("""COMPUTED_VALUE"""),"HBL:   PK55HABB0024937000278803            Bank Al Habib: PK50BAHL0004098106700701")</f>
        <v>HBL:   PK55HABB0024937000278803            Bank Al Habib: PK50BAHL0004098106700701</v>
      </c>
      <c r="V32" s="228"/>
      <c r="W32" s="228"/>
      <c r="X32" s="228" t="str">
        <f>IFERROR(__xludf.DUMMYFUNCTION("""COMPUTED_VALUE"""),"Islamabad")</f>
        <v>Islamabad</v>
      </c>
      <c r="Y32" s="730">
        <f>IFERROR(__xludf.DUMMYFUNCTION("""COMPUTED_VALUE"""),36353.0)</f>
        <v>36353</v>
      </c>
      <c r="Z32" s="228" t="str">
        <f>IFERROR(__xludf.DUMMYFUNCTION("""COMPUTED_VALUE"""),"25 Years")</f>
        <v>25 Years</v>
      </c>
      <c r="AA32" s="228" t="str">
        <f>IFERROR(__xludf.DUMMYFUNCTION("""COMPUTED_VALUE"""),"House no. 35e, Park View, New Lalazar, Morghaa More, Rawalpindi")</f>
        <v>House no. 35e, Park View, New Lalazar, Morghaa More, Rawalpindi</v>
      </c>
      <c r="AB32" s="228" t="str">
        <f>IFERROR(__xludf.DUMMYFUNCTION("""COMPUTED_VALUE"""),"Pakistani")</f>
        <v>Pakistani</v>
      </c>
      <c r="AC32" s="228" t="str">
        <f>IFERROR(__xludf.DUMMYFUNCTION("""COMPUTED_VALUE"""),"Single")</f>
        <v>Single</v>
      </c>
      <c r="AD32" s="228"/>
      <c r="AE32" s="228"/>
      <c r="AF32" s="228"/>
      <c r="AG32" s="228" t="str">
        <f>IFERROR(__xludf.DUMMYFUNCTION("""COMPUTED_VALUE"""),"Khalid Hussain")</f>
        <v>Khalid Hussain</v>
      </c>
      <c r="AH32" s="228" t="str">
        <f>IFERROR(__xludf.DUMMYFUNCTION("""COMPUTED_VALUE"""),"Son")</f>
        <v>Son</v>
      </c>
      <c r="AI32" s="228"/>
      <c r="AJ32" s="228" t="str">
        <f>IFERROR(__xludf.DUMMYFUNCTION("""COMPUTED_VALUE"""),"A+")</f>
        <v>A+</v>
      </c>
      <c r="AK32" s="731" t="str">
        <f>IFERROR(__xludf.DUMMYFUNCTION("""COMPUTED_VALUE"""),"https://www.linkedin.com/in/ahmed-niazi-ba6465194/")</f>
        <v>https://www.linkedin.com/in/ahmed-niazi-ba6465194/</v>
      </c>
      <c r="AL32" s="228"/>
      <c r="AM32" s="228"/>
      <c r="AN32" s="228" t="str">
        <f>IFERROR(__xludf.DUMMYFUNCTION("""COMPUTED_VALUE"""),"Admin")</f>
        <v>Admin</v>
      </c>
      <c r="AO32" s="228" t="str">
        <f>IFERROR(__xludf.DUMMYFUNCTION("""COMPUTED_VALUE"""),"admin.team@vyro.ai")</f>
        <v>admin.team@vyro.ai</v>
      </c>
      <c r="AP32" s="228" t="str">
        <f>IFERROR(__xludf.DUMMYFUNCTION("""COMPUTED_VALUE"""),"NO")</f>
        <v>NO</v>
      </c>
      <c r="AQ32" s="228" t="str">
        <f>IFERROR(__xludf.DUMMYFUNCTION("""COMPUTED_VALUE"""),"Active")</f>
        <v>Active</v>
      </c>
    </row>
    <row r="33">
      <c r="A33" s="228">
        <f>IFERROR(__xludf.DUMMYFUNCTION("""COMPUTED_VALUE"""),5212.0)</f>
        <v>5212</v>
      </c>
      <c r="B33" s="228" t="str">
        <f>IFERROR(__xludf.DUMMYFUNCTION("""COMPUTED_VALUE"""),"Umer Janjua")</f>
        <v>Umer Janjua</v>
      </c>
      <c r="C33" s="228" t="str">
        <f>IFERROR(__xludf.DUMMYFUNCTION("""COMPUTED_VALUE"""),"umerjanjua27@gmail.com")</f>
        <v>umerjanjua27@gmail.com</v>
      </c>
      <c r="D33" s="228" t="str">
        <f>IFERROR(__xludf.DUMMYFUNCTION("""COMPUTED_VALUE"""),"umer.janjua@vyro.ai")</f>
        <v>umer.janjua@vyro.ai</v>
      </c>
      <c r="E33" s="728">
        <f>IFERROR(__xludf.DUMMYFUNCTION("""COMPUTED_VALUE"""),45278.0)</f>
        <v>45278</v>
      </c>
      <c r="F33" s="228" t="str">
        <f>IFERROR(__xludf.DUMMYFUNCTION("""COMPUTED_VALUE"""),"Manager People &amp; Talent")</f>
        <v>Manager People &amp; Talent</v>
      </c>
      <c r="G33" s="228" t="str">
        <f>IFERROR(__xludf.DUMMYFUNCTION("""COMPUTED_VALUE"""),"People &amp; Talent")</f>
        <v>People &amp; Talent</v>
      </c>
      <c r="H33" s="228" t="str">
        <f>IFERROR(__xludf.DUMMYFUNCTION("""COMPUTED_VALUE"""),"Ahmed Abubakar, CEO")</f>
        <v>Ahmed Abubakar, CEO</v>
      </c>
      <c r="I33" s="228" t="str">
        <f>IFERROR(__xludf.DUMMYFUNCTION("""COMPUTED_VALUE"""),"Permanent")</f>
        <v>Permanent</v>
      </c>
      <c r="J33" s="228" t="str">
        <f>IFERROR(__xludf.DUMMYFUNCTION("""COMPUTED_VALUE"""),"Active")</f>
        <v>Active</v>
      </c>
      <c r="K33" s="228" t="str">
        <f>IFERROR(__xludf.DUMMYFUNCTION("""COMPUTED_VALUE"""),"3M")</f>
        <v>3M</v>
      </c>
      <c r="L33" s="729">
        <f>IFERROR(__xludf.DUMMYFUNCTION("""COMPUTED_VALUE"""),45369.0)</f>
        <v>45369</v>
      </c>
      <c r="M33" s="228"/>
      <c r="N33" s="228"/>
      <c r="O33" s="228"/>
      <c r="P33" s="228" t="str">
        <f>IFERROR(__xludf.DUMMYFUNCTION("""COMPUTED_VALUE"""),"3335333179")</f>
        <v>3335333179</v>
      </c>
      <c r="Q33" s="228" t="str">
        <f>IFERROR(__xludf.DUMMYFUNCTION("""COMPUTED_VALUE"""),"37405-1687332-7")</f>
        <v>37405-1687332-7</v>
      </c>
      <c r="R33" s="228" t="str">
        <f>IFERROR(__xludf.DUMMYFUNCTION("""COMPUTED_VALUE"""),"Male")</f>
        <v>Male</v>
      </c>
      <c r="S33" s="228" t="str">
        <f>IFERROR(__xludf.DUMMYFUNCTION("""COMPUTED_VALUE"""),"JS Bank")</f>
        <v>JS Bank</v>
      </c>
      <c r="T33" s="228" t="str">
        <f>IFERROR(__xludf.DUMMYFUNCTION("""COMPUTED_VALUE"""),"Umer Sultan Janjua")</f>
        <v>Umer Sultan Janjua</v>
      </c>
      <c r="U33" s="228" t="str">
        <f>IFERROR(__xludf.DUMMYFUNCTION("""COMPUTED_VALUE"""),"PK98JSBL9571000000712089")</f>
        <v>PK98JSBL9571000000712089</v>
      </c>
      <c r="V33" s="228" t="str">
        <f>IFERROR(__xludf.DUMMYFUNCTION("""COMPUTED_VALUE"""),"JSBLPKKA")</f>
        <v>JSBLPKKA</v>
      </c>
      <c r="W33" s="228"/>
      <c r="X33" s="228" t="str">
        <f>IFERROR(__xludf.DUMMYFUNCTION("""COMPUTED_VALUE"""),"Islamabad")</f>
        <v>Islamabad</v>
      </c>
      <c r="Y33" s="730">
        <f>IFERROR(__xludf.DUMMYFUNCTION("""COMPUTED_VALUE"""),32412.0)</f>
        <v>32412</v>
      </c>
      <c r="Z33" s="228" t="str">
        <f>IFERROR(__xludf.DUMMYFUNCTION("""COMPUTED_VALUE"""),"36 Years")</f>
        <v>36 Years</v>
      </c>
      <c r="AA33" s="228" t="str">
        <f>IFERROR(__xludf.DUMMYFUNCTION("""COMPUTED_VALUE"""),"Flat 4D Sector D Askari 14 Rawalpindi")</f>
        <v>Flat 4D Sector D Askari 14 Rawalpindi</v>
      </c>
      <c r="AB33" s="228" t="str">
        <f>IFERROR(__xludf.DUMMYFUNCTION("""COMPUTED_VALUE"""),"Pakistani")</f>
        <v>Pakistani</v>
      </c>
      <c r="AC33" s="228" t="str">
        <f>IFERROR(__xludf.DUMMYFUNCTION("""COMPUTED_VALUE"""),"Married")</f>
        <v>Married</v>
      </c>
      <c r="AD33" s="228"/>
      <c r="AE33" s="228"/>
      <c r="AF33" s="228"/>
      <c r="AG33" s="228" t="str">
        <f>IFERROR(__xludf.DUMMYFUNCTION("""COMPUTED_VALUE"""),"Sultan Sikander")</f>
        <v>Sultan Sikander</v>
      </c>
      <c r="AH33" s="228" t="str">
        <f>IFERROR(__xludf.DUMMYFUNCTION("""COMPUTED_VALUE"""),"Father")</f>
        <v>Father</v>
      </c>
      <c r="AI33" s="228"/>
      <c r="AJ33" s="228" t="str">
        <f>IFERROR(__xludf.DUMMYFUNCTION("""COMPUTED_VALUE"""),"O-")</f>
        <v>O-</v>
      </c>
      <c r="AK33" s="228"/>
      <c r="AL33" s="228"/>
      <c r="AM33" s="228"/>
      <c r="AN33" s="228" t="str">
        <f>IFERROR(__xludf.DUMMYFUNCTION("""COMPUTED_VALUE"""),"People, Talent")</f>
        <v>People, Talent</v>
      </c>
      <c r="AO33" s="228" t="str">
        <f>IFERROR(__xludf.DUMMYFUNCTION("""COMPUTED_VALUE"""),"people.team@vyro.ai, talent.team@vyro.ai")</f>
        <v>people.team@vyro.ai, talent.team@vyro.ai</v>
      </c>
      <c r="AP33" s="228" t="str">
        <f>IFERROR(__xludf.DUMMYFUNCTION("""COMPUTED_VALUE"""),"NO")</f>
        <v>NO</v>
      </c>
      <c r="AQ33" s="228" t="str">
        <f>IFERROR(__xludf.DUMMYFUNCTION("""COMPUTED_VALUE"""),"Active")</f>
        <v>Active</v>
      </c>
    </row>
    <row r="34">
      <c r="A34" s="228">
        <f>IFERROR(__xludf.DUMMYFUNCTION("""COMPUTED_VALUE"""),5011.0)</f>
        <v>5011</v>
      </c>
      <c r="B34" s="228" t="str">
        <f>IFERROR(__xludf.DUMMYFUNCTION("""COMPUTED_VALUE"""),"Muhammad Adnan")</f>
        <v>Muhammad Adnan</v>
      </c>
      <c r="C34" s="228" t="str">
        <f>IFERROR(__xludf.DUMMYFUNCTION("""COMPUTED_VALUE"""),"m.adnanvyro@gmail.com")</f>
        <v>m.adnanvyro@gmail.com</v>
      </c>
      <c r="D34" s="228" t="str">
        <f>IFERROR(__xludf.DUMMYFUNCTION("""COMPUTED_VALUE"""),"muhammad.adnan@vyro.ai")</f>
        <v>muhammad.adnan@vyro.ai</v>
      </c>
      <c r="E34" s="728">
        <f>IFERROR(__xludf.DUMMYFUNCTION("""COMPUTED_VALUE"""),45328.0)</f>
        <v>45328</v>
      </c>
      <c r="F34" s="228" t="str">
        <f>IFERROR(__xludf.DUMMYFUNCTION("""COMPUTED_VALUE"""),"Sr Admin &amp; Procurement Executive")</f>
        <v>Sr Admin &amp; Procurement Executive</v>
      </c>
      <c r="G34" s="228" t="str">
        <f>IFERROR(__xludf.DUMMYFUNCTION("""COMPUTED_VALUE"""),"Admin")</f>
        <v>Admin</v>
      </c>
      <c r="H34" s="228" t="str">
        <f>IFERROR(__xludf.DUMMYFUNCTION("""COMPUTED_VALUE"""),"Ahmed Abubakar, CEO")</f>
        <v>Ahmed Abubakar, CEO</v>
      </c>
      <c r="I34" s="228" t="str">
        <f>IFERROR(__xludf.DUMMYFUNCTION("""COMPUTED_VALUE"""),"Permanent")</f>
        <v>Permanent</v>
      </c>
      <c r="J34" s="228" t="str">
        <f>IFERROR(__xludf.DUMMYFUNCTION("""COMPUTED_VALUE"""),"Active")</f>
        <v>Active</v>
      </c>
      <c r="K34" s="228" t="str">
        <f>IFERROR(__xludf.DUMMYFUNCTION("""COMPUTED_VALUE"""),"3M")</f>
        <v>3M</v>
      </c>
      <c r="L34" s="729">
        <f>IFERROR(__xludf.DUMMYFUNCTION("""COMPUTED_VALUE"""),45418.0)</f>
        <v>45418</v>
      </c>
      <c r="M34" s="228"/>
      <c r="N34" s="228"/>
      <c r="O34" s="228"/>
      <c r="P34" s="228" t="str">
        <f>IFERROR(__xludf.DUMMYFUNCTION("""COMPUTED_VALUE"""),"0305 3750088")</f>
        <v>0305 3750088</v>
      </c>
      <c r="Q34" s="228" t="str">
        <f>IFERROR(__xludf.DUMMYFUNCTION("""COMPUTED_VALUE"""),"54401-7578020-9")</f>
        <v>54401-7578020-9</v>
      </c>
      <c r="R34" s="228" t="str">
        <f>IFERROR(__xludf.DUMMYFUNCTION("""COMPUTED_VALUE"""),"Male")</f>
        <v>Male</v>
      </c>
      <c r="S34" s="228" t="str">
        <f>IFERROR(__xludf.DUMMYFUNCTION("""COMPUTED_VALUE"""),"Meezan")</f>
        <v>Meezan</v>
      </c>
      <c r="T34" s="228" t="str">
        <f>IFERROR(__xludf.DUMMYFUNCTION("""COMPUTED_VALUE"""),"MUHAMMAD ADNAN")</f>
        <v>MUHAMMAD ADNAN</v>
      </c>
      <c r="U34" s="228" t="str">
        <f>IFERROR(__xludf.DUMMYFUNCTION("""COMPUTED_VALUE"""),"PK55MEZN0001120104034294")</f>
        <v>PK55MEZN0001120104034294</v>
      </c>
      <c r="V34" s="228" t="str">
        <f>IFERROR(__xludf.DUMMYFUNCTION("""COMPUTED_VALUE"""),"MEZNPKKAGRD")</f>
        <v>MEZNPKKAGRD</v>
      </c>
      <c r="W34" s="228"/>
      <c r="X34" s="228" t="str">
        <f>IFERROR(__xludf.DUMMYFUNCTION("""COMPUTED_VALUE"""),"Islamabad")</f>
        <v>Islamabad</v>
      </c>
      <c r="Y34" s="730">
        <f>IFERROR(__xludf.DUMMYFUNCTION("""COMPUTED_VALUE"""),33240.0)</f>
        <v>33240</v>
      </c>
      <c r="Z34" s="228" t="str">
        <f>IFERROR(__xludf.DUMMYFUNCTION("""COMPUTED_VALUE"""),"34 Years")</f>
        <v>34 Years</v>
      </c>
      <c r="AA34" s="228" t="str">
        <f>IFERROR(__xludf.DUMMYFUNCTION("""COMPUTED_VALUE"""),"NUST, H-12, Islamabad")</f>
        <v>NUST, H-12, Islamabad</v>
      </c>
      <c r="AB34" s="228" t="str">
        <f>IFERROR(__xludf.DUMMYFUNCTION("""COMPUTED_VALUE"""),"Pakistani")</f>
        <v>Pakistani</v>
      </c>
      <c r="AC34" s="228" t="str">
        <f>IFERROR(__xludf.DUMMYFUNCTION("""COMPUTED_VALUE"""),"Single")</f>
        <v>Single</v>
      </c>
      <c r="AD34" s="228"/>
      <c r="AE34" s="228"/>
      <c r="AF34" s="228"/>
      <c r="AG34" s="228" t="str">
        <f>IFERROR(__xludf.DUMMYFUNCTION("""COMPUTED_VALUE"""),"Nazar Hussain")</f>
        <v>Nazar Hussain</v>
      </c>
      <c r="AH34" s="228" t="str">
        <f>IFERROR(__xludf.DUMMYFUNCTION("""COMPUTED_VALUE"""),"Brother")</f>
        <v>Brother</v>
      </c>
      <c r="AI34" s="228">
        <f>IFERROR(__xludf.DUMMYFUNCTION("""COMPUTED_VALUE"""),3.337917585E9)</f>
        <v>3337917585</v>
      </c>
      <c r="AJ34" s="228" t="str">
        <f>IFERROR(__xludf.DUMMYFUNCTION("""COMPUTED_VALUE"""),"B+")</f>
        <v>B+</v>
      </c>
      <c r="AK34" s="228"/>
      <c r="AL34" s="228"/>
      <c r="AM34" s="228"/>
      <c r="AN34" s="228" t="str">
        <f>IFERROR(__xludf.DUMMYFUNCTION("""COMPUTED_VALUE"""),"Admin, Marketing")</f>
        <v>Admin, Marketing</v>
      </c>
      <c r="AO34" s="228" t="str">
        <f>IFERROR(__xludf.DUMMYFUNCTION("""COMPUTED_VALUE"""),"admin.team@vyro.ai, marketing.team@vyro.ai")</f>
        <v>admin.team@vyro.ai, marketing.team@vyro.ai</v>
      </c>
      <c r="AP34" s="228" t="str">
        <f>IFERROR(__xludf.DUMMYFUNCTION("""COMPUTED_VALUE"""),"NO")</f>
        <v>NO</v>
      </c>
      <c r="AQ34" s="228" t="str">
        <f>IFERROR(__xludf.DUMMYFUNCTION("""COMPUTED_VALUE"""),"Active")</f>
        <v>Active</v>
      </c>
    </row>
    <row r="35">
      <c r="A35" s="228">
        <f>IFERROR(__xludf.DUMMYFUNCTION("""COMPUTED_VALUE"""),5229.0)</f>
        <v>5229</v>
      </c>
      <c r="B35" s="228" t="str">
        <f>IFERROR(__xludf.DUMMYFUNCTION("""COMPUTED_VALUE"""),"Ayesha Syed")</f>
        <v>Ayesha Syed</v>
      </c>
      <c r="C35" s="228" t="str">
        <f>IFERROR(__xludf.DUMMYFUNCTION("""COMPUTED_VALUE"""),"ayesha.s.2002@gmail.com")</f>
        <v>ayesha.s.2002@gmail.com</v>
      </c>
      <c r="D35" s="228" t="str">
        <f>IFERROR(__xludf.DUMMYFUNCTION("""COMPUTED_VALUE"""),"ayesha.syed@vyro.ai")</f>
        <v>ayesha.syed@vyro.ai</v>
      </c>
      <c r="E35" s="728">
        <f>IFERROR(__xludf.DUMMYFUNCTION("""COMPUTED_VALUE"""),45334.0)</f>
        <v>45334</v>
      </c>
      <c r="F35" s="228" t="str">
        <f>IFERROR(__xludf.DUMMYFUNCTION("""COMPUTED_VALUE"""),"Marketig Artist")</f>
        <v>Marketig Artist</v>
      </c>
      <c r="G35" s="228" t="str">
        <f>IFERROR(__xludf.DUMMYFUNCTION("""COMPUTED_VALUE"""),"Social Media &amp; Community Growth")</f>
        <v>Social Media &amp; Community Growth</v>
      </c>
      <c r="H35" s="228" t="str">
        <f>IFERROR(__xludf.DUMMYFUNCTION("""COMPUTED_VALUE"""),"Shawal Fida")</f>
        <v>Shawal Fida</v>
      </c>
      <c r="I35" s="228" t="str">
        <f>IFERROR(__xludf.DUMMYFUNCTION("""COMPUTED_VALUE"""),"Permanent")</f>
        <v>Permanent</v>
      </c>
      <c r="J35" s="228" t="str">
        <f>IFERROR(__xludf.DUMMYFUNCTION("""COMPUTED_VALUE"""),"Active")</f>
        <v>Active</v>
      </c>
      <c r="K35" s="228" t="str">
        <f>IFERROR(__xludf.DUMMYFUNCTION("""COMPUTED_VALUE"""),"3M")</f>
        <v>3M</v>
      </c>
      <c r="L35" s="729">
        <f>IFERROR(__xludf.DUMMYFUNCTION("""COMPUTED_VALUE"""),45424.0)</f>
        <v>45424</v>
      </c>
      <c r="M35" s="228"/>
      <c r="N35" s="228"/>
      <c r="O35" s="228"/>
      <c r="P35" s="228" t="str">
        <f>IFERROR(__xludf.DUMMYFUNCTION("""COMPUTED_VALUE"""),"03348771102")</f>
        <v>03348771102</v>
      </c>
      <c r="Q35" s="228" t="str">
        <f>IFERROR(__xludf.DUMMYFUNCTION("""COMPUTED_VALUE"""),"37405-5537896-0")</f>
        <v>37405-5537896-0</v>
      </c>
      <c r="R35" s="228" t="str">
        <f>IFERROR(__xludf.DUMMYFUNCTION("""COMPUTED_VALUE"""),"Female")</f>
        <v>Female</v>
      </c>
      <c r="S35" s="228"/>
      <c r="T35" s="228" t="str">
        <f>IFERROR(__xludf.DUMMYFUNCTION("""COMPUTED_VALUE"""),"Ayesha Syed
AT53 2032 0325 0225 8712
ASPKAT2LXXX
EG/1, Leonfeldner Strasse 19
Austria
City: Linz
State: Upper Austria
Postal code: 4040")</f>
        <v>Ayesha Syed
AT53 2032 0325 0225 8712
ASPKAT2LXXX
EG/1, Leonfeldner Strasse 19
Austria
City: Linz
State: Upper Austria
Postal code: 4040</v>
      </c>
      <c r="U35" s="228" t="str">
        <f>IFERROR(__xludf.DUMMYFUNCTION("""COMPUTED_VALUE"""),"Account 1: AT53 2032 0325 0225 8712
Account 2: 
Account holder
Ayesha Syed
Account number
831702674361768
ACH Routing number
084009519
Swift/BIC
TRWIUS35XXX
Bank name and address
Wise US Inc
108 W 13th St
Wilmington
19801
United States
        ")</f>
        <v>Account 1: AT53 2032 0325 0225 8712
Account 2: 
Account holder
Ayesha Syed
Account number
831702674361768
ACH Routing number
084009519
Swift/BIC
TRWIUS35XXX
Bank name and address
Wise US Inc
108 W 13th St
Wilmington
19801
United States
        </v>
      </c>
      <c r="V35" s="228"/>
      <c r="W35" s="228"/>
      <c r="X35" s="228" t="str">
        <f>IFERROR(__xludf.DUMMYFUNCTION("""COMPUTED_VALUE"""),"remote")</f>
        <v>remote</v>
      </c>
      <c r="Y35" s="730">
        <f>IFERROR(__xludf.DUMMYFUNCTION("""COMPUTED_VALUE"""),37377.0)</f>
        <v>37377</v>
      </c>
      <c r="Z35" s="228" t="str">
        <f>IFERROR(__xludf.DUMMYFUNCTION("""COMPUTED_VALUE"""),"22 Years")</f>
        <v>22 Years</v>
      </c>
      <c r="AA35" s="228" t="str">
        <f>IFERROR(__xludf.DUMMYFUNCTION("""COMPUTED_VALUE"""),"House no.6, Lane no.2, Raja Habib Lane, Nadir Street, Adyala Road, Rawalpindi")</f>
        <v>House no.6, Lane no.2, Raja Habib Lane, Nadir Street, Adyala Road, Rawalpindi</v>
      </c>
      <c r="AB35" s="228" t="str">
        <f>IFERROR(__xludf.DUMMYFUNCTION("""COMPUTED_VALUE"""),"Pakistani")</f>
        <v>Pakistani</v>
      </c>
      <c r="AC35" s="228" t="str">
        <f>IFERROR(__xludf.DUMMYFUNCTION("""COMPUTED_VALUE"""),"Single")</f>
        <v>Single</v>
      </c>
      <c r="AD35" s="228"/>
      <c r="AE35" s="228"/>
      <c r="AF35" s="228"/>
      <c r="AG35" s="228" t="str">
        <f>IFERROR(__xludf.DUMMYFUNCTION("""COMPUTED_VALUE"""),"Syed Wajid Ali Shah")</f>
        <v>Syed Wajid Ali Shah</v>
      </c>
      <c r="AH35" s="228" t="str">
        <f>IFERROR(__xludf.DUMMYFUNCTION("""COMPUTED_VALUE"""),"Father")</f>
        <v>Father</v>
      </c>
      <c r="AI35" s="228"/>
      <c r="AJ35" s="228" t="str">
        <f>IFERROR(__xludf.DUMMYFUNCTION("""COMPUTED_VALUE"""),"O+")</f>
        <v>O+</v>
      </c>
      <c r="AK35" s="731" t="str">
        <f>IFERROR(__xludf.DUMMYFUNCTION("""COMPUTED_VALUE"""),"https://www.linkedin.com/in/ayesha-syed-8a5b981a2")</f>
        <v>https://www.linkedin.com/in/ayesha-syed-8a5b981a2</v>
      </c>
      <c r="AL35" s="228"/>
      <c r="AM35" s="228"/>
      <c r="AN35" s="228" t="str">
        <f>IFERROR(__xludf.DUMMYFUNCTION("""COMPUTED_VALUE"""),"Creatives, Content, Marketing")</f>
        <v>Creatives, Content, Marketing</v>
      </c>
      <c r="AO35" s="228" t="str">
        <f>IFERROR(__xludf.DUMMYFUNCTION("""COMPUTED_VALUE"""),"Creatives.team@vyro.ai, content.team@vyro.ai, marketing.team@vyro.ai")</f>
        <v>Creatives.team@vyro.ai, content.team@vyro.ai, marketing.team@vyro.ai</v>
      </c>
      <c r="AP35" s="228" t="str">
        <f>IFERROR(__xludf.DUMMYFUNCTION("""COMPUTED_VALUE"""),"NO")</f>
        <v>NO</v>
      </c>
      <c r="AQ35" s="228" t="str">
        <f>IFERROR(__xludf.DUMMYFUNCTION("""COMPUTED_VALUE"""),"Active")</f>
        <v>Active</v>
      </c>
    </row>
    <row r="36">
      <c r="A36" s="228">
        <f>IFERROR(__xludf.DUMMYFUNCTION("""COMPUTED_VALUE"""),5237.0)</f>
        <v>5237</v>
      </c>
      <c r="B36" s="228" t="str">
        <f>IFERROR(__xludf.DUMMYFUNCTION("""COMPUTED_VALUE"""),"Ahmad Abu Bakr")</f>
        <v>Ahmad Abu Bakr</v>
      </c>
      <c r="C36" s="228" t="str">
        <f>IFERROR(__xludf.DUMMYFUNCTION("""COMPUTED_VALUE"""),"ahmed.nums345@gmail.com")</f>
        <v>ahmed.nums345@gmail.com</v>
      </c>
      <c r="D36" s="228" t="str">
        <f>IFERROR(__xludf.DUMMYFUNCTION("""COMPUTED_VALUE"""),"ahmad.abubakar@vyro.ai")</f>
        <v>ahmad.abubakar@vyro.ai</v>
      </c>
      <c r="E36" s="728">
        <f>IFERROR(__xludf.DUMMYFUNCTION("""COMPUTED_VALUE"""),45355.0)</f>
        <v>45355</v>
      </c>
      <c r="F36" s="228" t="str">
        <f>IFERROR(__xludf.DUMMYFUNCTION("""COMPUTED_VALUE"""),"Frontend Intern")</f>
        <v>Frontend Intern</v>
      </c>
      <c r="G36" s="228" t="str">
        <f>IFERROR(__xludf.DUMMYFUNCTION("""COMPUTED_VALUE"""),"Frontend")</f>
        <v>Frontend</v>
      </c>
      <c r="H36" s="228" t="str">
        <f>IFERROR(__xludf.DUMMYFUNCTION("""COMPUTED_VALUE"""),"Hammad Maqsood")</f>
        <v>Hammad Maqsood</v>
      </c>
      <c r="I36" s="228" t="str">
        <f>IFERROR(__xludf.DUMMYFUNCTION("""COMPUTED_VALUE"""),"Intern")</f>
        <v>Intern</v>
      </c>
      <c r="J36" s="228" t="str">
        <f>IFERROR(__xludf.DUMMYFUNCTION("""COMPUTED_VALUE"""),"Active")</f>
        <v>Active</v>
      </c>
      <c r="K36" s="228" t="str">
        <f>IFERROR(__xludf.DUMMYFUNCTION("""COMPUTED_VALUE"""),"3M")</f>
        <v>3M</v>
      </c>
      <c r="L36" s="729">
        <f>IFERROR(__xludf.DUMMYFUNCTION("""COMPUTED_VALUE"""),45444.0)</f>
        <v>45444</v>
      </c>
      <c r="M36" s="228"/>
      <c r="N36" s="228"/>
      <c r="O36" s="228"/>
      <c r="P36" s="228" t="str">
        <f>IFERROR(__xludf.DUMMYFUNCTION("""COMPUTED_VALUE"""),"30366940541")</f>
        <v>30366940541</v>
      </c>
      <c r="Q36" s="228" t="str">
        <f>IFERROR(__xludf.DUMMYFUNCTION("""COMPUTED_VALUE"""),"38404-5340283-9")</f>
        <v>38404-5340283-9</v>
      </c>
      <c r="R36" s="228" t="str">
        <f>IFERROR(__xludf.DUMMYFUNCTION("""COMPUTED_VALUE"""),"Male")</f>
        <v>Male</v>
      </c>
      <c r="S36" s="228" t="str">
        <f>IFERROR(__xludf.DUMMYFUNCTION("""COMPUTED_VALUE"""),"Bank Alfalah")</f>
        <v>Bank Alfalah</v>
      </c>
      <c r="T36" s="228" t="str">
        <f>IFERROR(__xludf.DUMMYFUNCTION("""COMPUTED_VALUE"""),"Sher B")</f>
        <v>Sher B</v>
      </c>
      <c r="U36" s="228" t="str">
        <f>IFERROR(__xludf.DUMMYFUNCTION("""COMPUTED_VALUE"""),"PK75ALFH0918001008627163")</f>
        <v>PK75ALFH0918001008627163</v>
      </c>
      <c r="V36" s="228" t="str">
        <f>IFERROR(__xludf.DUMMYFUNCTION("""COMPUTED_VALUE"""),"0918")</f>
        <v>0918</v>
      </c>
      <c r="W36" s="228"/>
      <c r="X36" s="228" t="str">
        <f>IFERROR(__xludf.DUMMYFUNCTION("""COMPUTED_VALUE"""),"remote")</f>
        <v>remote</v>
      </c>
      <c r="Y36" s="730">
        <f>IFERROR(__xludf.DUMMYFUNCTION("""COMPUTED_VALUE"""),38263.0)</f>
        <v>38263</v>
      </c>
      <c r="Z36" s="228" t="str">
        <f>IFERROR(__xludf.DUMMYFUNCTION("""COMPUTED_VALUE"""),"20 Years")</f>
        <v>20 Years</v>
      </c>
      <c r="AA36" s="228" t="str">
        <f>IFERROR(__xludf.DUMMYFUNCTION("""COMPUTED_VALUE"""),"H-13 Islamabad")</f>
        <v>H-13 Islamabad</v>
      </c>
      <c r="AB36" s="228" t="str">
        <f>IFERROR(__xludf.DUMMYFUNCTION("""COMPUTED_VALUE"""),"Pakistani")</f>
        <v>Pakistani</v>
      </c>
      <c r="AC36" s="228" t="str">
        <f>IFERROR(__xludf.DUMMYFUNCTION("""COMPUTED_VALUE"""),"Single")</f>
        <v>Single</v>
      </c>
      <c r="AD36" s="228"/>
      <c r="AE36" s="228"/>
      <c r="AF36" s="228"/>
      <c r="AG36" s="228" t="str">
        <f>IFERROR(__xludf.DUMMYFUNCTION("""COMPUTED_VALUE"""),"Mohammad Nawaz")</f>
        <v>Mohammad Nawaz</v>
      </c>
      <c r="AH36" s="228" t="str">
        <f>IFERROR(__xludf.DUMMYFUNCTION("""COMPUTED_VALUE"""),"Father")</f>
        <v>Father</v>
      </c>
      <c r="AI36" s="228"/>
      <c r="AJ36" s="228" t="str">
        <f>IFERROR(__xludf.DUMMYFUNCTION("""COMPUTED_VALUE"""),"A+")</f>
        <v>A+</v>
      </c>
      <c r="AK36" s="731" t="str">
        <f>IFERROR(__xludf.DUMMYFUNCTION("""COMPUTED_VALUE"""),"https://www.linkedin.com/in/ahmad-abu-bakr-481270254/")</f>
        <v>https://www.linkedin.com/in/ahmad-abu-bakr-481270254/</v>
      </c>
      <c r="AL36" s="228"/>
      <c r="AM36" s="228"/>
      <c r="AN36" s="228" t="str">
        <f>IFERROR(__xludf.DUMMYFUNCTION("""COMPUTED_VALUE"""),"Imagine Web")</f>
        <v>Imagine Web</v>
      </c>
      <c r="AO36" s="228" t="str">
        <f>IFERROR(__xludf.DUMMYFUNCTION("""COMPUTED_VALUE"""),"imagine.web.team@vyro.ai")</f>
        <v>imagine.web.team@vyro.ai</v>
      </c>
      <c r="AP36" s="228" t="str">
        <f>IFERROR(__xludf.DUMMYFUNCTION("""COMPUTED_VALUE"""),"NO")</f>
        <v>NO</v>
      </c>
      <c r="AQ36" s="228" t="str">
        <f>IFERROR(__xludf.DUMMYFUNCTION("""COMPUTED_VALUE"""),"Active")</f>
        <v>Active</v>
      </c>
    </row>
    <row r="37">
      <c r="A37" s="228">
        <f>IFERROR(__xludf.DUMMYFUNCTION("""COMPUTED_VALUE"""),5236.0)</f>
        <v>5236</v>
      </c>
      <c r="B37" s="228" t="str">
        <f>IFERROR(__xludf.DUMMYFUNCTION("""COMPUTED_VALUE"""),"Muhammad Anas Khan")</f>
        <v>Muhammad Anas Khan</v>
      </c>
      <c r="C37" s="228" t="str">
        <f>IFERROR(__xludf.DUMMYFUNCTION("""COMPUTED_VALUE"""),"anasatwork01@gmail.com")</f>
        <v>anasatwork01@gmail.com</v>
      </c>
      <c r="D37" s="228" t="str">
        <f>IFERROR(__xludf.DUMMYFUNCTION("""COMPUTED_VALUE"""),"anas.khan@vyro.ai")</f>
        <v>anas.khan@vyro.ai</v>
      </c>
      <c r="E37" s="728">
        <f>IFERROR(__xludf.DUMMYFUNCTION("""COMPUTED_VALUE"""),45355.0)</f>
        <v>45355</v>
      </c>
      <c r="F37" s="228" t="str">
        <f>IFERROR(__xludf.DUMMYFUNCTION("""COMPUTED_VALUE"""),"Associate Software Engineer")</f>
        <v>Associate Software Engineer</v>
      </c>
      <c r="G37" s="228" t="str">
        <f>IFERROR(__xludf.DUMMYFUNCTION("""COMPUTED_VALUE"""),"Backend")</f>
        <v>Backend</v>
      </c>
      <c r="H37" s="228" t="str">
        <f>IFERROR(__xludf.DUMMYFUNCTION("""COMPUTED_VALUE"""),"Shariq Arif")</f>
        <v>Shariq Arif</v>
      </c>
      <c r="I37" s="228" t="str">
        <f>IFERROR(__xludf.DUMMYFUNCTION("""COMPUTED_VALUE"""),"Permanent")</f>
        <v>Permanent</v>
      </c>
      <c r="J37" s="228" t="str">
        <f>IFERROR(__xludf.DUMMYFUNCTION("""COMPUTED_VALUE"""),"active")</f>
        <v>active</v>
      </c>
      <c r="K37" s="228" t="str">
        <f>IFERROR(__xludf.DUMMYFUNCTION("""COMPUTED_VALUE"""),"3M")</f>
        <v>3M</v>
      </c>
      <c r="L37" s="729">
        <f>IFERROR(__xludf.DUMMYFUNCTION("""COMPUTED_VALUE"""),45447.0)</f>
        <v>45447</v>
      </c>
      <c r="M37" s="228"/>
      <c r="N37" s="228"/>
      <c r="O37" s="228"/>
      <c r="P37" s="228" t="str">
        <f>IFERROR(__xludf.DUMMYFUNCTION("""COMPUTED_VALUE"""),"03176886615")</f>
        <v>03176886615</v>
      </c>
      <c r="Q37" s="228" t="str">
        <f>IFERROR(__xludf.DUMMYFUNCTION("""COMPUTED_VALUE"""),"31202-1004575-1")</f>
        <v>31202-1004575-1</v>
      </c>
      <c r="R37" s="228" t="str">
        <f>IFERROR(__xludf.DUMMYFUNCTION("""COMPUTED_VALUE"""),"Male")</f>
        <v>Male</v>
      </c>
      <c r="S37" s="228" t="str">
        <f>IFERROR(__xludf.DUMMYFUNCTION("""COMPUTED_VALUE"""),"Habib Bank Limited")</f>
        <v>Habib Bank Limited</v>
      </c>
      <c r="T37" s="228" t="str">
        <f>IFERROR(__xludf.DUMMYFUNCTION("""COMPUTED_VALUE"""),"Muhammad Anas")</f>
        <v>Muhammad Anas</v>
      </c>
      <c r="U37" s="228" t="str">
        <f>IFERROR(__xludf.DUMMYFUNCTION("""COMPUTED_VALUE"""),"PK97HABB0053157000074003")</f>
        <v>PK97HABB0053157000074003</v>
      </c>
      <c r="V37" s="228" t="str">
        <f>IFERROR(__xludf.DUMMYFUNCTION("""COMPUTED_VALUE"""),"HABBPKKA")</f>
        <v>HABBPKKA</v>
      </c>
      <c r="W37" s="228" t="str">
        <f>IFERROR(__xludf.DUMMYFUNCTION("""COMPUTED_VALUE"""),"Bank Account 2:
Bank Account: HBL
Account Title: MUHAMMAD ANAS
Account Number: 22927917608203
IBAN: PK68HABB0022927917608203
Branch: NUST BRANCH ISLAMABAD")</f>
        <v>Bank Account 2:
Bank Account: HBL
Account Title: MUHAMMAD ANAS
Account Number: 22927917608203
IBAN: PK68HABB0022927917608203
Branch: NUST BRANCH ISLAMABAD</v>
      </c>
      <c r="X37" s="228" t="str">
        <f>IFERROR(__xludf.DUMMYFUNCTION("""COMPUTED_VALUE"""),"Islamabad")</f>
        <v>Islamabad</v>
      </c>
      <c r="Y37" s="730">
        <f>IFERROR(__xludf.DUMMYFUNCTION("""COMPUTED_VALUE"""),37964.0)</f>
        <v>37964</v>
      </c>
      <c r="Z37" s="228" t="str">
        <f>IFERROR(__xludf.DUMMYFUNCTION("""COMPUTED_VALUE"""),"21 Years")</f>
        <v>21 Years</v>
      </c>
      <c r="AA37" s="228" t="str">
        <f>IFERROR(__xludf.DUMMYFUNCTION("""COMPUTED_VALUE"""),"Hajveri hostels nust h12 Islamabad")</f>
        <v>Hajveri hostels nust h12 Islamabad</v>
      </c>
      <c r="AB37" s="228" t="str">
        <f>IFERROR(__xludf.DUMMYFUNCTION("""COMPUTED_VALUE"""),"Pakistani")</f>
        <v>Pakistani</v>
      </c>
      <c r="AC37" s="228" t="str">
        <f>IFERROR(__xludf.DUMMYFUNCTION("""COMPUTED_VALUE"""),"Single")</f>
        <v>Single</v>
      </c>
      <c r="AD37" s="228"/>
      <c r="AE37" s="228"/>
      <c r="AF37" s="228"/>
      <c r="AG37" s="228" t="str">
        <f>IFERROR(__xludf.DUMMYFUNCTION("""COMPUTED_VALUE"""),"Kamran Khan")</f>
        <v>Kamran Khan</v>
      </c>
      <c r="AH37" s="228" t="str">
        <f>IFERROR(__xludf.DUMMYFUNCTION("""COMPUTED_VALUE"""),"Father")</f>
        <v>Father</v>
      </c>
      <c r="AI37" s="228"/>
      <c r="AJ37" s="228" t="str">
        <f>IFERROR(__xludf.DUMMYFUNCTION("""COMPUTED_VALUE"""),"O+")</f>
        <v>O+</v>
      </c>
      <c r="AK37" s="731" t="str">
        <f>IFERROR(__xludf.DUMMYFUNCTION("""COMPUTED_VALUE"""),"https://www.linkedin.com/in/anas-khan-523267237/")</f>
        <v>https://www.linkedin.com/in/anas-khan-523267237/</v>
      </c>
      <c r="AL37" s="228"/>
      <c r="AM37" s="228"/>
      <c r="AN37" s="228" t="str">
        <f>IFERROR(__xludf.DUMMYFUNCTION("""COMPUTED_VALUE"""),"Web Front-End")</f>
        <v>Web Front-End</v>
      </c>
      <c r="AO37" s="228" t="str">
        <f>IFERROR(__xludf.DUMMYFUNCTION("""COMPUTED_VALUE"""),"web.front.end@vyro.ai")</f>
        <v>web.front.end@vyro.ai</v>
      </c>
      <c r="AP37" s="228" t="str">
        <f>IFERROR(__xludf.DUMMYFUNCTION("""COMPUTED_VALUE"""),"NO")</f>
        <v>NO</v>
      </c>
      <c r="AQ37" s="228" t="str">
        <f>IFERROR(__xludf.DUMMYFUNCTION("""COMPUTED_VALUE"""),"Active")</f>
        <v>Active</v>
      </c>
    </row>
    <row r="38">
      <c r="A38" s="228">
        <f>IFERROR(__xludf.DUMMYFUNCTION("""COMPUTED_VALUE"""),5235.0)</f>
        <v>5235</v>
      </c>
      <c r="B38" s="228" t="str">
        <f>IFERROR(__xludf.DUMMYFUNCTION("""COMPUTED_VALUE"""),"Muhammad Waleed Abdullah")</f>
        <v>Muhammad Waleed Abdullah</v>
      </c>
      <c r="C38" s="228" t="str">
        <f>IFERROR(__xludf.DUMMYFUNCTION("""COMPUTED_VALUE"""),"w26waleed@gmail.com")</f>
        <v>w26waleed@gmail.com</v>
      </c>
      <c r="D38" s="228" t="str">
        <f>IFERROR(__xludf.DUMMYFUNCTION("""COMPUTED_VALUE"""),"muhammad.waleed@vyro.ai")</f>
        <v>muhammad.waleed@vyro.ai</v>
      </c>
      <c r="E38" s="728">
        <f>IFERROR(__xludf.DUMMYFUNCTION("""COMPUTED_VALUE"""),45355.0)</f>
        <v>45355</v>
      </c>
      <c r="F38" s="228" t="str">
        <f>IFERROR(__xludf.DUMMYFUNCTION("""COMPUTED_VALUE"""),"Front End Lead")</f>
        <v>Front End Lead</v>
      </c>
      <c r="G38" s="228" t="str">
        <f>IFERROR(__xludf.DUMMYFUNCTION("""COMPUTED_VALUE"""),"Frontend")</f>
        <v>Frontend</v>
      </c>
      <c r="H38" s="228" t="str">
        <f>IFERROR(__xludf.DUMMYFUNCTION("""COMPUTED_VALUE"""),"Saad Ahmed")</f>
        <v>Saad Ahmed</v>
      </c>
      <c r="I38" s="228" t="str">
        <f>IFERROR(__xludf.DUMMYFUNCTION("""COMPUTED_VALUE"""),"Permanent")</f>
        <v>Permanent</v>
      </c>
      <c r="J38" s="228" t="str">
        <f>IFERROR(__xludf.DUMMYFUNCTION("""COMPUTED_VALUE"""),"active")</f>
        <v>active</v>
      </c>
      <c r="K38" s="228" t="str">
        <f>IFERROR(__xludf.DUMMYFUNCTION("""COMPUTED_VALUE"""),"3M")</f>
        <v>3M</v>
      </c>
      <c r="L38" s="729">
        <f>IFERROR(__xludf.DUMMYFUNCTION("""COMPUTED_VALUE"""),45447.0)</f>
        <v>45447</v>
      </c>
      <c r="M38" s="228"/>
      <c r="N38" s="228"/>
      <c r="O38" s="228"/>
      <c r="P38" s="228" t="str">
        <f>IFERROR(__xludf.DUMMYFUNCTION("""COMPUTED_VALUE"""),"03046613171")</f>
        <v>03046613171</v>
      </c>
      <c r="Q38" s="228" t="str">
        <f>IFERROR(__xludf.DUMMYFUNCTION("""COMPUTED_VALUE"""),"36601-1635702-5")</f>
        <v>36601-1635702-5</v>
      </c>
      <c r="R38" s="228" t="str">
        <f>IFERROR(__xludf.DUMMYFUNCTION("""COMPUTED_VALUE"""),"Male")</f>
        <v>Male</v>
      </c>
      <c r="S38" s="228" t="str">
        <f>IFERROR(__xludf.DUMMYFUNCTION("""COMPUTED_VALUE"""),"Habib Bank Limited")</f>
        <v>Habib Bank Limited</v>
      </c>
      <c r="T38" s="228" t="str">
        <f>IFERROR(__xludf.DUMMYFUNCTION("""COMPUTED_VALUE"""),"M WALEED")</f>
        <v>M WALEED</v>
      </c>
      <c r="U38" s="228" t="str">
        <f>IFERROR(__xludf.DUMMYFUNCTION("""COMPUTED_VALUE"""),"PK22HABB0016727901705803")</f>
        <v>PK22HABB0016727901705803</v>
      </c>
      <c r="V38" s="228" t="str">
        <f>IFERROR(__xludf.DUMMYFUNCTION("""COMPUTED_VALUE"""),"HABBPKKA")</f>
        <v>HABBPKKA</v>
      </c>
      <c r="W38" s="228"/>
      <c r="X38" s="228" t="str">
        <f>IFERROR(__xludf.DUMMYFUNCTION("""COMPUTED_VALUE"""),"Islamabad")</f>
        <v>Islamabad</v>
      </c>
      <c r="Y38" s="730">
        <f>IFERROR(__xludf.DUMMYFUNCTION("""COMPUTED_VALUE"""),37647.0)</f>
        <v>37647</v>
      </c>
      <c r="Z38" s="228" t="str">
        <f>IFERROR(__xludf.DUMMYFUNCTION("""COMPUTED_VALUE"""),"22 Years")</f>
        <v>22 Years</v>
      </c>
      <c r="AA38" s="228" t="str">
        <f>IFERROR(__xludf.DUMMYFUNCTION("""COMPUTED_VALUE"""),"Razi-1 Hostel NUST, H-12, Islamabad")</f>
        <v>Razi-1 Hostel NUST, H-12, Islamabad</v>
      </c>
      <c r="AB38" s="228" t="str">
        <f>IFERROR(__xludf.DUMMYFUNCTION("""COMPUTED_VALUE"""),"Pakistani")</f>
        <v>Pakistani</v>
      </c>
      <c r="AC38" s="228" t="str">
        <f>IFERROR(__xludf.DUMMYFUNCTION("""COMPUTED_VALUE"""),"Single")</f>
        <v>Single</v>
      </c>
      <c r="AD38" s="228"/>
      <c r="AE38" s="228"/>
      <c r="AF38" s="228"/>
      <c r="AG38" s="228" t="str">
        <f>IFERROR(__xludf.DUMMYFUNCTION("""COMPUTED_VALUE"""),"Muhammad Zaigham Tahir")</f>
        <v>Muhammad Zaigham Tahir</v>
      </c>
      <c r="AH38" s="228" t="str">
        <f>IFERROR(__xludf.DUMMYFUNCTION("""COMPUTED_VALUE"""),"My mother")</f>
        <v>My mother</v>
      </c>
      <c r="AI38" s="228"/>
      <c r="AJ38" s="228" t="str">
        <f>IFERROR(__xludf.DUMMYFUNCTION("""COMPUTED_VALUE"""),"A+")</f>
        <v>A+</v>
      </c>
      <c r="AK38" s="731" t="str">
        <f>IFERROR(__xludf.DUMMYFUNCTION("""COMPUTED_VALUE"""),"https://www.linkedin.com/in/waleed-abdullah/")</f>
        <v>https://www.linkedin.com/in/waleed-abdullah/</v>
      </c>
      <c r="AL38" s="228"/>
      <c r="AM38" s="228"/>
      <c r="AN38" s="228" t="str">
        <f>IFERROR(__xludf.DUMMYFUNCTION("""COMPUTED_VALUE"""),"Imagine Web, Imagine Web")</f>
        <v>Imagine Web, Imagine Web</v>
      </c>
      <c r="AO38" s="228" t="str">
        <f>IFERROR(__xludf.DUMMYFUNCTION("""COMPUTED_VALUE"""),"imagine.web.team@vyro.ai, web.front.end@vyro.ai")</f>
        <v>imagine.web.team@vyro.ai, web.front.end@vyro.ai</v>
      </c>
      <c r="AP38" s="228" t="str">
        <f>IFERROR(__xludf.DUMMYFUNCTION("""COMPUTED_VALUE"""),"NO")</f>
        <v>NO</v>
      </c>
      <c r="AQ38" s="228" t="str">
        <f>IFERROR(__xludf.DUMMYFUNCTION("""COMPUTED_VALUE"""),"Active")</f>
        <v>Active</v>
      </c>
    </row>
    <row r="39">
      <c r="A39" s="228">
        <f>IFERROR(__xludf.DUMMYFUNCTION("""COMPUTED_VALUE"""),5233.0)</f>
        <v>5233</v>
      </c>
      <c r="B39" s="228" t="str">
        <f>IFERROR(__xludf.DUMMYFUNCTION("""COMPUTED_VALUE"""),"Muiz Hussain")</f>
        <v>Muiz Hussain</v>
      </c>
      <c r="C39" s="228" t="str">
        <f>IFERROR(__xludf.DUMMYFUNCTION("""COMPUTED_VALUE"""),"muizshakeel@gmail.com")</f>
        <v>muizshakeel@gmail.com</v>
      </c>
      <c r="D39" s="228" t="str">
        <f>IFERROR(__xludf.DUMMYFUNCTION("""COMPUTED_VALUE"""),"muiz.shakeel@vyro.ai")</f>
        <v>muiz.shakeel@vyro.ai</v>
      </c>
      <c r="E39" s="728">
        <f>IFERROR(__xludf.DUMMYFUNCTION("""COMPUTED_VALUE"""),45355.0)</f>
        <v>45355</v>
      </c>
      <c r="F39" s="228" t="str">
        <f>IFERROR(__xludf.DUMMYFUNCTION("""COMPUTED_VALUE"""),"Brand Designer")</f>
        <v>Brand Designer</v>
      </c>
      <c r="G39" s="228" t="str">
        <f>IFERROR(__xludf.DUMMYFUNCTION("""COMPUTED_VALUE"""),"Social Media/ Youtube")</f>
        <v>Social Media/ Youtube</v>
      </c>
      <c r="H39" s="228" t="str">
        <f>IFERROR(__xludf.DUMMYFUNCTION("""COMPUTED_VALUE"""),"Awais Chaudhry")</f>
        <v>Awais Chaudhry</v>
      </c>
      <c r="I39" s="228" t="str">
        <f>IFERROR(__xludf.DUMMYFUNCTION("""COMPUTED_VALUE"""),"Permanent")</f>
        <v>Permanent</v>
      </c>
      <c r="J39" s="228" t="str">
        <f>IFERROR(__xludf.DUMMYFUNCTION("""COMPUTED_VALUE"""),"Active")</f>
        <v>Active</v>
      </c>
      <c r="K39" s="228" t="str">
        <f>IFERROR(__xludf.DUMMYFUNCTION("""COMPUTED_VALUE"""),"3M")</f>
        <v>3M</v>
      </c>
      <c r="L39" s="729">
        <f>IFERROR(__xludf.DUMMYFUNCTION("""COMPUTED_VALUE"""),45447.0)</f>
        <v>45447</v>
      </c>
      <c r="M39" s="228"/>
      <c r="N39" s="228"/>
      <c r="O39" s="228"/>
      <c r="P39" s="228" t="str">
        <f>IFERROR(__xludf.DUMMYFUNCTION("""COMPUTED_VALUE"""),"03153564794")</f>
        <v>03153564794</v>
      </c>
      <c r="Q39" s="228" t="str">
        <f>IFERROR(__xludf.DUMMYFUNCTION("""COMPUTED_VALUE"""),"42301-8666708-3")</f>
        <v>42301-8666708-3</v>
      </c>
      <c r="R39" s="228" t="str">
        <f>IFERROR(__xludf.DUMMYFUNCTION("""COMPUTED_VALUE"""),"Male")</f>
        <v>Male</v>
      </c>
      <c r="S39" s="228" t="str">
        <f>IFERROR(__xludf.DUMMYFUNCTION("""COMPUTED_VALUE"""),"Meezan Bank")</f>
        <v>Meezan Bank</v>
      </c>
      <c r="T39" s="228" t="str">
        <f>IFERROR(__xludf.DUMMYFUNCTION("""COMPUTED_VALUE"""),"Muiz Hussain")</f>
        <v>Muiz Hussain</v>
      </c>
      <c r="U39" s="228" t="str">
        <f>IFERROR(__xludf.DUMMYFUNCTION("""COMPUTED_VALUE"""),"PK44MEZN0008190108593963")</f>
        <v>PK44MEZN0008190108593963</v>
      </c>
      <c r="V39" s="228" t="str">
        <f>IFERROR(__xludf.DUMMYFUNCTION("""COMPUTED_VALUE"""),"MEZNPKKAISD")</f>
        <v>MEZNPKKAISD</v>
      </c>
      <c r="W39" s="228"/>
      <c r="X39" s="228" t="str">
        <f>IFERROR(__xludf.DUMMYFUNCTION("""COMPUTED_VALUE"""),"Islamabad")</f>
        <v>Islamabad</v>
      </c>
      <c r="Y39" s="730">
        <f>IFERROR(__xludf.DUMMYFUNCTION("""COMPUTED_VALUE"""),36412.0)</f>
        <v>36412</v>
      </c>
      <c r="Z39" s="228" t="str">
        <f>IFERROR(__xludf.DUMMYFUNCTION("""COMPUTED_VALUE"""),"25 Years")</f>
        <v>25 Years</v>
      </c>
      <c r="AA39" s="228" t="str">
        <f>IFERROR(__xludf.DUMMYFUNCTION("""COMPUTED_VALUE"""),"House 40, Lane 2, Askari 12, Rawalpindi")</f>
        <v>House 40, Lane 2, Askari 12, Rawalpindi</v>
      </c>
      <c r="AB39" s="228" t="str">
        <f>IFERROR(__xludf.DUMMYFUNCTION("""COMPUTED_VALUE"""),"Pakistani")</f>
        <v>Pakistani</v>
      </c>
      <c r="AC39" s="228" t="str">
        <f>IFERROR(__xludf.DUMMYFUNCTION("""COMPUTED_VALUE"""),"Single")</f>
        <v>Single</v>
      </c>
      <c r="AD39" s="228"/>
      <c r="AE39" s="228"/>
      <c r="AF39" s="228"/>
      <c r="AG39" s="228" t="str">
        <f>IFERROR(__xludf.DUMMYFUNCTION("""COMPUTED_VALUE"""),"Shakeel Hussain Memon")</f>
        <v>Shakeel Hussain Memon</v>
      </c>
      <c r="AH39" s="228" t="str">
        <f>IFERROR(__xludf.DUMMYFUNCTION("""COMPUTED_VALUE"""),"Mother")</f>
        <v>Mother</v>
      </c>
      <c r="AI39" s="228"/>
      <c r="AJ39" s="228" t="str">
        <f>IFERROR(__xludf.DUMMYFUNCTION("""COMPUTED_VALUE"""),"O+")</f>
        <v>O+</v>
      </c>
      <c r="AK39" s="731" t="str">
        <f>IFERROR(__xludf.DUMMYFUNCTION("""COMPUTED_VALUE"""),"https://www.linkedin.com/in/muiz-hussain-7a44b8263")</f>
        <v>https://www.linkedin.com/in/muiz-hussain-7a44b8263</v>
      </c>
      <c r="AL39" s="228"/>
      <c r="AM39" s="228"/>
      <c r="AN39" s="228" t="str">
        <f>IFERROR(__xludf.DUMMYFUNCTION("""COMPUTED_VALUE"""),"Branding, Creatives")</f>
        <v>Branding, Creatives</v>
      </c>
      <c r="AO39" s="228" t="str">
        <f>IFERROR(__xludf.DUMMYFUNCTION("""COMPUTED_VALUE"""),"branding.team@vyro.ai, Creatives.team@vyro.ai")</f>
        <v>branding.team@vyro.ai, Creatives.team@vyro.ai</v>
      </c>
      <c r="AP39" s="228" t="str">
        <f>IFERROR(__xludf.DUMMYFUNCTION("""COMPUTED_VALUE"""),"NO")</f>
        <v>NO</v>
      </c>
      <c r="AQ39" s="228" t="str">
        <f>IFERROR(__xludf.DUMMYFUNCTION("""COMPUTED_VALUE"""),"Active")</f>
        <v>Active</v>
      </c>
    </row>
    <row r="40">
      <c r="A40" s="228">
        <f>IFERROR(__xludf.DUMMYFUNCTION("""COMPUTED_VALUE"""),5241.0)</f>
        <v>5241</v>
      </c>
      <c r="B40" s="228" t="str">
        <f>IFERROR(__xludf.DUMMYFUNCTION("""COMPUTED_VALUE"""),"Muawiz Umer")</f>
        <v>Muawiz Umer</v>
      </c>
      <c r="C40" s="228" t="str">
        <f>IFERROR(__xludf.DUMMYFUNCTION("""COMPUTED_VALUE"""),"muawiz.umer20@gmail.com")</f>
        <v>muawiz.umer20@gmail.com</v>
      </c>
      <c r="D40" s="228" t="str">
        <f>IFERROR(__xludf.DUMMYFUNCTION("""COMPUTED_VALUE"""),"muawiz.umar@vyro.ai")</f>
        <v>muawiz.umar@vyro.ai</v>
      </c>
      <c r="E40" s="728">
        <f>IFERROR(__xludf.DUMMYFUNCTION("""COMPUTED_VALUE"""),45362.0)</f>
        <v>45362</v>
      </c>
      <c r="F40" s="228" t="str">
        <f>IFERROR(__xludf.DUMMYFUNCTION("""COMPUTED_VALUE"""),"Associate Machine Learning Engineer")</f>
        <v>Associate Machine Learning Engineer</v>
      </c>
      <c r="G40" s="228" t="str">
        <f>IFERROR(__xludf.DUMMYFUNCTION("""COMPUTED_VALUE"""),"Machine Learning")</f>
        <v>Machine Learning</v>
      </c>
      <c r="H40" s="228" t="str">
        <f>IFERROR(__xludf.DUMMYFUNCTION("""COMPUTED_VALUE"""),"Muhammad Ahmed")</f>
        <v>Muhammad Ahmed</v>
      </c>
      <c r="I40" s="228" t="str">
        <f>IFERROR(__xludf.DUMMYFUNCTION("""COMPUTED_VALUE"""),"Probation")</f>
        <v>Probation</v>
      </c>
      <c r="J40" s="228" t="str">
        <f>IFERROR(__xludf.DUMMYFUNCTION("""COMPUTED_VALUE"""),"Active")</f>
        <v>Active</v>
      </c>
      <c r="K40" s="228" t="str">
        <f>IFERROR(__xludf.DUMMYFUNCTION("""COMPUTED_VALUE"""),"3M")</f>
        <v>3M</v>
      </c>
      <c r="L40" s="729">
        <f>IFERROR(__xludf.DUMMYFUNCTION("""COMPUTED_VALUE"""),45454.0)</f>
        <v>45454</v>
      </c>
      <c r="M40" s="228"/>
      <c r="N40" s="228"/>
      <c r="O40" s="228"/>
      <c r="P40" s="228" t="str">
        <f>IFERROR(__xludf.DUMMYFUNCTION("""COMPUTED_VALUE"""),"03030593656")</f>
        <v>03030593656</v>
      </c>
      <c r="Q40" s="228" t="str">
        <f>IFERROR(__xludf.DUMMYFUNCTION("""COMPUTED_VALUE"""),"31202-0967091-9")</f>
        <v>31202-0967091-9</v>
      </c>
      <c r="R40" s="228" t="str">
        <f>IFERROR(__xludf.DUMMYFUNCTION("""COMPUTED_VALUE"""),"Male")</f>
        <v>Male</v>
      </c>
      <c r="S40" s="228" t="str">
        <f>IFERROR(__xludf.DUMMYFUNCTION("""COMPUTED_VALUE"""),"HBL")</f>
        <v>HBL</v>
      </c>
      <c r="T40" s="228" t="str">
        <f>IFERROR(__xludf.DUMMYFUNCTION("""COMPUTED_VALUE"""),"Bank Name: HBL
Account Title: MUAWIZ UMAR
Account Number: 22927917572303
IBAN: PK47HABB0022927917572303
Branch: NUST BRANCH ISLAMABA
Swift: HABBPKKA")</f>
        <v>Bank Name: HBL
Account Title: MUAWIZ UMAR
Account Number: 22927917572303
IBAN: PK47HABB0022927917572303
Branch: NUST BRANCH ISLAMABA
Swift: HABBPKKA</v>
      </c>
      <c r="U40" s="228" t="str">
        <f>IFERROR(__xludf.DUMMYFUNCTION("""COMPUTED_VALUE"""),"PK47HABB0022927917572303")</f>
        <v>PK47HABB0022927917572303</v>
      </c>
      <c r="V40" s="228" t="str">
        <f>IFERROR(__xludf.DUMMYFUNCTION("""COMPUTED_VALUE"""),"HABBPKKA")</f>
        <v>HABBPKKA</v>
      </c>
      <c r="W40" s="228"/>
      <c r="X40" s="228" t="str">
        <f>IFERROR(__xludf.DUMMYFUNCTION("""COMPUTED_VALUE"""),"Islamabad")</f>
        <v>Islamabad</v>
      </c>
      <c r="Y40" s="730">
        <f>IFERROR(__xludf.DUMMYFUNCTION("""COMPUTED_VALUE"""),37539.0)</f>
        <v>37539</v>
      </c>
      <c r="Z40" s="228" t="str">
        <f>IFERROR(__xludf.DUMMYFUNCTION("""COMPUTED_VALUE"""),"22 Years")</f>
        <v>22 Years</v>
      </c>
      <c r="AA40" s="228" t="str">
        <f>IFERROR(__xludf.DUMMYFUNCTION("""COMPUTED_VALUE"""),"Model Town C, Block Y, House 56c, Bahawalpur")</f>
        <v>Model Town C, Block Y, House 56c, Bahawalpur</v>
      </c>
      <c r="AB40" s="228" t="str">
        <f>IFERROR(__xludf.DUMMYFUNCTION("""COMPUTED_VALUE"""),"Pakistani")</f>
        <v>Pakistani</v>
      </c>
      <c r="AC40" s="228" t="str">
        <f>IFERROR(__xludf.DUMMYFUNCTION("""COMPUTED_VALUE"""),"Single")</f>
        <v>Single</v>
      </c>
      <c r="AD40" s="228"/>
      <c r="AE40" s="228"/>
      <c r="AF40" s="228"/>
      <c r="AG40" s="228" t="str">
        <f>IFERROR(__xludf.DUMMYFUNCTION("""COMPUTED_VALUE"""),"Umar Farooq")</f>
        <v>Umar Farooq</v>
      </c>
      <c r="AH40" s="228" t="str">
        <f>IFERROR(__xludf.DUMMYFUNCTION("""COMPUTED_VALUE"""),"Son")</f>
        <v>Son</v>
      </c>
      <c r="AI40" s="228">
        <f>IFERROR(__xludf.DUMMYFUNCTION("""COMPUTED_VALUE"""),3.216800598E9)</f>
        <v>3216800598</v>
      </c>
      <c r="AJ40" s="228" t="str">
        <f>IFERROR(__xludf.DUMMYFUNCTION("""COMPUTED_VALUE"""),"A+")</f>
        <v>A+</v>
      </c>
      <c r="AK40" s="731" t="str">
        <f>IFERROR(__xludf.DUMMYFUNCTION("""COMPUTED_VALUE"""),"https://www.linkedin.com/in/muawiz-umar-899861207")</f>
        <v>https://www.linkedin.com/in/muawiz-umar-899861207</v>
      </c>
      <c r="AL40" s="228"/>
      <c r="AM40" s="228"/>
      <c r="AN40" s="228" t="str">
        <f>IFERROR(__xludf.DUMMYFUNCTION("""COMPUTED_VALUE"""),"Machine Learning")</f>
        <v>Machine Learning</v>
      </c>
      <c r="AO40" s="228" t="str">
        <f>IFERROR(__xludf.DUMMYFUNCTION("""COMPUTED_VALUE"""),"ml.team@vyro.ai")</f>
        <v>ml.team@vyro.ai</v>
      </c>
      <c r="AP40" s="228" t="str">
        <f>IFERROR(__xludf.DUMMYFUNCTION("""COMPUTED_VALUE"""),"NO")</f>
        <v>NO</v>
      </c>
      <c r="AQ40" s="228" t="str">
        <f>IFERROR(__xludf.DUMMYFUNCTION("""COMPUTED_VALUE"""),"Active")</f>
        <v>Active</v>
      </c>
    </row>
    <row r="41">
      <c r="A41" s="228">
        <f>IFERROR(__xludf.DUMMYFUNCTION("""COMPUTED_VALUE"""),5242.0)</f>
        <v>5242</v>
      </c>
      <c r="B41" s="228" t="str">
        <f>IFERROR(__xludf.DUMMYFUNCTION("""COMPUTED_VALUE"""),"Muhammad Osama Ehsaan")</f>
        <v>Muhammad Osama Ehsaan</v>
      </c>
      <c r="C41" s="228" t="str">
        <f>IFERROR(__xludf.DUMMYFUNCTION("""COMPUTED_VALUE"""),"ocarts62@gmail.com")</f>
        <v>ocarts62@gmail.com</v>
      </c>
      <c r="D41" s="228" t="str">
        <f>IFERROR(__xludf.DUMMYFUNCTION("""COMPUTED_VALUE"""),"osama.ehsaan@vyro.ai")</f>
        <v>osama.ehsaan@vyro.ai</v>
      </c>
      <c r="E41" s="728">
        <f>IFERROR(__xludf.DUMMYFUNCTION("""COMPUTED_VALUE"""),45362.0)</f>
        <v>45362</v>
      </c>
      <c r="F41" s="228" t="str">
        <f>IFERROR(__xludf.DUMMYFUNCTION("""COMPUTED_VALUE"""),"Motion Designer")</f>
        <v>Motion Designer</v>
      </c>
      <c r="G41" s="228" t="str">
        <f>IFERROR(__xludf.DUMMYFUNCTION("""COMPUTED_VALUE"""),"Social Media &amp; Community Growth")</f>
        <v>Social Media &amp; Community Growth</v>
      </c>
      <c r="H41" s="228" t="str">
        <f>IFERROR(__xludf.DUMMYFUNCTION("""COMPUTED_VALUE"""),"Awais Chaudhry")</f>
        <v>Awais Chaudhry</v>
      </c>
      <c r="I41" s="228" t="str">
        <f>IFERROR(__xludf.DUMMYFUNCTION("""COMPUTED_VALUE"""),"Probation")</f>
        <v>Probation</v>
      </c>
      <c r="J41" s="228" t="str">
        <f>IFERROR(__xludf.DUMMYFUNCTION("""COMPUTED_VALUE"""),"Active")</f>
        <v>Active</v>
      </c>
      <c r="K41" s="228" t="str">
        <f>IFERROR(__xludf.DUMMYFUNCTION("""COMPUTED_VALUE"""),"4M")</f>
        <v>4M</v>
      </c>
      <c r="L41" s="729">
        <f>IFERROR(__xludf.DUMMYFUNCTION("""COMPUTED_VALUE"""),45484.0)</f>
        <v>45484</v>
      </c>
      <c r="M41" s="228"/>
      <c r="N41" s="228"/>
      <c r="O41" s="228"/>
      <c r="P41" s="228" t="str">
        <f>IFERROR(__xludf.DUMMYFUNCTION("""COMPUTED_VALUE"""),"03106342969")</f>
        <v>03106342969</v>
      </c>
      <c r="Q41" s="228" t="str">
        <f>IFERROR(__xludf.DUMMYFUNCTION("""COMPUTED_VALUE"""),"31203-9951845-1")</f>
        <v>31203-9951845-1</v>
      </c>
      <c r="R41" s="228" t="str">
        <f>IFERROR(__xludf.DUMMYFUNCTION("""COMPUTED_VALUE"""),"Male")</f>
        <v>Male</v>
      </c>
      <c r="S41" s="228" t="str">
        <f>IFERROR(__xludf.DUMMYFUNCTION("""COMPUTED_VALUE"""),"Meezan Bank")</f>
        <v>Meezan Bank</v>
      </c>
      <c r="T41" s="228" t="str">
        <f>IFERROR(__xludf.DUMMYFUNCTION("""COMPUTED_VALUE"""),"Muhammad Osama Ehsaan")</f>
        <v>Muhammad Osama Ehsaan</v>
      </c>
      <c r="U41" s="228" t="str">
        <f>IFERROR(__xludf.DUMMYFUNCTION("""COMPUTED_VALUE"""),"PK09MEZN0061010103587140")</f>
        <v>PK09MEZN0061010103587140</v>
      </c>
      <c r="V41" s="228" t="str">
        <f>IFERROR(__xludf.DUMMYFUNCTION("""COMPUTED_VALUE"""),"MEZNPKKAXXX")</f>
        <v>MEZNPKKAXXX</v>
      </c>
      <c r="W41" s="228"/>
      <c r="X41" s="228" t="str">
        <f>IFERROR(__xludf.DUMMYFUNCTION("""COMPUTED_VALUE"""),"Islamabad")</f>
        <v>Islamabad</v>
      </c>
      <c r="Y41" s="730">
        <f>IFERROR(__xludf.DUMMYFUNCTION("""COMPUTED_VALUE"""),36821.0)</f>
        <v>36821</v>
      </c>
      <c r="Z41" s="228" t="str">
        <f>IFERROR(__xludf.DUMMYFUNCTION("""COMPUTED_VALUE"""),"24 Years")</f>
        <v>24 Years</v>
      </c>
      <c r="AA41" s="228" t="str">
        <f>IFERROR(__xludf.DUMMYFUNCTION("""COMPUTED_VALUE"""),"NUST Hostels")</f>
        <v>NUST Hostels</v>
      </c>
      <c r="AB41" s="228" t="str">
        <f>IFERROR(__xludf.DUMMYFUNCTION("""COMPUTED_VALUE"""),"Pakistani")</f>
        <v>Pakistani</v>
      </c>
      <c r="AC41" s="228" t="str">
        <f>IFERROR(__xludf.DUMMYFUNCTION("""COMPUTED_VALUE"""),"Single")</f>
        <v>Single</v>
      </c>
      <c r="AD41" s="228"/>
      <c r="AE41" s="228"/>
      <c r="AF41" s="228"/>
      <c r="AG41" s="228" t="str">
        <f>IFERROR(__xludf.DUMMYFUNCTION("""COMPUTED_VALUE"""),"Ehsaan ul Haq")</f>
        <v>Ehsaan ul Haq</v>
      </c>
      <c r="AH41" s="228" t="str">
        <f>IFERROR(__xludf.DUMMYFUNCTION("""COMPUTED_VALUE"""),"Father")</f>
        <v>Father</v>
      </c>
      <c r="AI41" s="228"/>
      <c r="AJ41" s="228" t="str">
        <f>IFERROR(__xludf.DUMMYFUNCTION("""COMPUTED_VALUE"""),"AB+")</f>
        <v>AB+</v>
      </c>
      <c r="AK41" s="731" t="str">
        <f>IFERROR(__xludf.DUMMYFUNCTION("""COMPUTED_VALUE"""),"https://www.linkedin.com/in/muhammad-osama-ehsaan-a497441ba/")</f>
        <v>https://www.linkedin.com/in/muhammad-osama-ehsaan-a497441ba/</v>
      </c>
      <c r="AL41" s="228"/>
      <c r="AM41" s="228"/>
      <c r="AN41" s="228" t="str">
        <f>IFERROR(__xludf.DUMMYFUNCTION("""COMPUTED_VALUE"""),"NOT FOUND")</f>
        <v>NOT FOUND</v>
      </c>
      <c r="AO41" s="228" t="str">
        <f>IFERROR(__xludf.DUMMYFUNCTION("""COMPUTED_VALUE"""),"NOT FOUND")</f>
        <v>NOT FOUND</v>
      </c>
      <c r="AP41" s="228" t="str">
        <f>IFERROR(__xludf.DUMMYFUNCTION("""COMPUTED_VALUE"""),"NO")</f>
        <v>NO</v>
      </c>
      <c r="AQ41" s="228" t="str">
        <f>IFERROR(__xludf.DUMMYFUNCTION("""COMPUTED_VALUE"""),"Active")</f>
        <v>Active</v>
      </c>
    </row>
    <row r="42">
      <c r="A42" s="228">
        <f>IFERROR(__xludf.DUMMYFUNCTION("""COMPUTED_VALUE"""),5245.0)</f>
        <v>5245</v>
      </c>
      <c r="B42" s="228" t="str">
        <f>IFERROR(__xludf.DUMMYFUNCTION("""COMPUTED_VALUE"""),"Muhammad Ahmed")</f>
        <v>Muhammad Ahmed</v>
      </c>
      <c r="C42" s="228" t="str">
        <f>IFERROR(__xludf.DUMMYFUNCTION("""COMPUTED_VALUE"""),"i.am.a.pakistani.programmer@gmail.com")</f>
        <v>i.am.a.pakistani.programmer@gmail.com</v>
      </c>
      <c r="D42" s="228" t="str">
        <f>IFERROR(__xludf.DUMMYFUNCTION("""COMPUTED_VALUE"""),"muhammad.ahmed@vyro.ai")</f>
        <v>muhammad.ahmed@vyro.ai</v>
      </c>
      <c r="E42" s="728">
        <f>IFERROR(__xludf.DUMMYFUNCTION("""COMPUTED_VALUE"""),45369.0)</f>
        <v>45369</v>
      </c>
      <c r="F42" s="228" t="str">
        <f>IFERROR(__xludf.DUMMYFUNCTION("""COMPUTED_VALUE"""),"ML Lead")</f>
        <v>ML Lead</v>
      </c>
      <c r="G42" s="228" t="str">
        <f>IFERROR(__xludf.DUMMYFUNCTION("""COMPUTED_VALUE"""),"Machine Learning")</f>
        <v>Machine Learning</v>
      </c>
      <c r="H42" s="228" t="str">
        <f>IFERROR(__xludf.DUMMYFUNCTION("""COMPUTED_VALUE"""),"M. Abdullah Rafique, CTO")</f>
        <v>M. Abdullah Rafique, CTO</v>
      </c>
      <c r="I42" s="228" t="str">
        <f>IFERROR(__xludf.DUMMYFUNCTION("""COMPUTED_VALUE"""),"Permanent")</f>
        <v>Permanent</v>
      </c>
      <c r="J42" s="228" t="str">
        <f>IFERROR(__xludf.DUMMYFUNCTION("""COMPUTED_VALUE"""),"Active")</f>
        <v>Active</v>
      </c>
      <c r="K42" s="228" t="str">
        <f>IFERROR(__xludf.DUMMYFUNCTION("""COMPUTED_VALUE"""),"3M")</f>
        <v>3M</v>
      </c>
      <c r="L42" s="729">
        <f>IFERROR(__xludf.DUMMYFUNCTION("""COMPUTED_VALUE"""),45461.0)</f>
        <v>45461</v>
      </c>
      <c r="M42" s="228" t="str">
        <f>IFERROR(__xludf.DUMMYFUNCTION("""COMPUTED_VALUE"""),"didnt show up")</f>
        <v>didnt show up</v>
      </c>
      <c r="N42" s="228"/>
      <c r="O42" s="228"/>
      <c r="P42" s="228" t="str">
        <f>IFERROR(__xludf.DUMMYFUNCTION("""COMPUTED_VALUE"""),"03014902083")</f>
        <v>03014902083</v>
      </c>
      <c r="Q42" s="228" t="str">
        <f>IFERROR(__xludf.DUMMYFUNCTION("""COMPUTED_VALUE"""),"35104-0433950-3")</f>
        <v>35104-0433950-3</v>
      </c>
      <c r="R42" s="228" t="str">
        <f>IFERROR(__xludf.DUMMYFUNCTION("""COMPUTED_VALUE"""),"Male")</f>
        <v>Male</v>
      </c>
      <c r="S42" s="228" t="str">
        <f>IFERROR(__xludf.DUMMYFUNCTION("""COMPUTED_VALUE"""),"Meezan")</f>
        <v>Meezan</v>
      </c>
      <c r="T42" s="228"/>
      <c r="U42" s="228" t="str">
        <f>IFERROR(__xludf.DUMMYFUNCTION("""COMPUTED_VALUE"""),"Account 1: PK78MEZN0002040105733468
Account 2:
Bank name:
Citibank
Transfer type:
Local transfer
Bank address:
111 Wall Street New York, NY 10043 USA
Routing ACH (ABA):
031100209
SWIFT code:
CITIUS33
Account number:
70588950001991497
Account type:
"&amp;"CHECKING
Beneficiary name:
Muhammad Ahmed")</f>
        <v>Account 1: PK78MEZN0002040105733468
Account 2:
Bank name:
Citibank
Transfer type:
Local transfer
Bank address:
111 Wall Street New York, NY 10043 USA
Routing ACH (ABA):
031100209
SWIFT code:
CITIUS33
Account number:
70588950001991497
Account type:
CHECKING
Beneficiary name:
Muhammad Ahmed</v>
      </c>
      <c r="V42" s="228" t="str">
        <f>IFERROR(__xludf.DUMMYFUNCTION("""COMPUTED_VALUE"""),"MEZNPKKALHR")</f>
        <v>MEZNPKKALHR</v>
      </c>
      <c r="W42" s="228"/>
      <c r="X42" s="228" t="str">
        <f>IFERROR(__xludf.DUMMYFUNCTION("""COMPUTED_VALUE"""),"Islamabad")</f>
        <v>Islamabad</v>
      </c>
      <c r="Y42" s="730">
        <f>IFERROR(__xludf.DUMMYFUNCTION("""COMPUTED_VALUE"""),37047.0)</f>
        <v>37047</v>
      </c>
      <c r="Z42" s="228" t="str">
        <f>IFERROR(__xludf.DUMMYFUNCTION("""COMPUTED_VALUE"""),"23 Years")</f>
        <v>23 Years</v>
      </c>
      <c r="AA42" s="228" t="str">
        <f>IFERROR(__xludf.DUMMYFUNCTION("""COMPUTED_VALUE"""),"421-B B block, PUEHS, Raiwind Road, Lahore")</f>
        <v>421-B B block, PUEHS, Raiwind Road, Lahore</v>
      </c>
      <c r="AB42" s="228" t="str">
        <f>IFERROR(__xludf.DUMMYFUNCTION("""COMPUTED_VALUE"""),"Pakistani")</f>
        <v>Pakistani</v>
      </c>
      <c r="AC42" s="228" t="str">
        <f>IFERROR(__xludf.DUMMYFUNCTION("""COMPUTED_VALUE"""),"Single")</f>
        <v>Single</v>
      </c>
      <c r="AD42" s="228"/>
      <c r="AE42" s="228"/>
      <c r="AF42" s="228"/>
      <c r="AG42" s="228" t="str">
        <f>IFERROR(__xludf.DUMMYFUNCTION("""COMPUTED_VALUE"""),"Abdul Ghani")</f>
        <v>Abdul Ghani</v>
      </c>
      <c r="AH42" s="228" t="str">
        <f>IFERROR(__xludf.DUMMYFUNCTION("""COMPUTED_VALUE"""),"Brother")</f>
        <v>Brother</v>
      </c>
      <c r="AI42" s="228"/>
      <c r="AJ42" s="228" t="str">
        <f>IFERROR(__xludf.DUMMYFUNCTION("""COMPUTED_VALUE"""),"AB-")</f>
        <v>AB-</v>
      </c>
      <c r="AK42" s="731" t="str">
        <f>IFERROR(__xludf.DUMMYFUNCTION("""COMPUTED_VALUE"""),"https://www.linkedin.com/in/muhammad-ahmed-ghani-ai/")</f>
        <v>https://www.linkedin.com/in/muhammad-ahmed-ghani-ai/</v>
      </c>
      <c r="AL42" s="228"/>
      <c r="AM42" s="228"/>
      <c r="AN42" s="228" t="str">
        <f>IFERROR(__xludf.DUMMYFUNCTION("""COMPUTED_VALUE"""),"Machine Learning")</f>
        <v>Machine Learning</v>
      </c>
      <c r="AO42" s="228" t="str">
        <f>IFERROR(__xludf.DUMMYFUNCTION("""COMPUTED_VALUE"""),"ml.team@vyro.ai")</f>
        <v>ml.team@vyro.ai</v>
      </c>
      <c r="AP42" s="228" t="str">
        <f>IFERROR(__xludf.DUMMYFUNCTION("""COMPUTED_VALUE"""),"NO")</f>
        <v>NO</v>
      </c>
      <c r="AQ42" s="228" t="str">
        <f>IFERROR(__xludf.DUMMYFUNCTION("""COMPUTED_VALUE"""),"Active")</f>
        <v>Active</v>
      </c>
    </row>
    <row r="43">
      <c r="A43" s="228">
        <f>IFERROR(__xludf.DUMMYFUNCTION("""COMPUTED_VALUE"""),5256.0)</f>
        <v>5256</v>
      </c>
      <c r="B43" s="228" t="str">
        <f>IFERROR(__xludf.DUMMYFUNCTION("""COMPUTED_VALUE"""),"Muhammad Bilal Tanveer")</f>
        <v>Muhammad Bilal Tanveer</v>
      </c>
      <c r="C43" s="228" t="str">
        <f>IFERROR(__xludf.DUMMYFUNCTION("""COMPUTED_VALUE"""),"bilaalnizami007@gmail.com")</f>
        <v>bilaalnizami007@gmail.com</v>
      </c>
      <c r="D43" s="228" t="str">
        <f>IFERROR(__xludf.DUMMYFUNCTION("""COMPUTED_VALUE"""),"bilal.tanveer@vyro.ai")</f>
        <v>bilal.tanveer@vyro.ai</v>
      </c>
      <c r="E43" s="728">
        <f>IFERROR(__xludf.DUMMYFUNCTION("""COMPUTED_VALUE"""),45383.0)</f>
        <v>45383</v>
      </c>
      <c r="F43" s="228" t="str">
        <f>IFERROR(__xludf.DUMMYFUNCTION("""COMPUTED_VALUE"""),"Motion Graphics Designer")</f>
        <v>Motion Graphics Designer</v>
      </c>
      <c r="G43" s="228" t="str">
        <f>IFERROR(__xludf.DUMMYFUNCTION("""COMPUTED_VALUE"""),"Product Design")</f>
        <v>Product Design</v>
      </c>
      <c r="H43" s="228" t="str">
        <f>IFERROR(__xludf.DUMMYFUNCTION("""COMPUTED_VALUE"""),"Saad Aziz")</f>
        <v>Saad Aziz</v>
      </c>
      <c r="I43" s="228" t="str">
        <f>IFERROR(__xludf.DUMMYFUNCTION("""COMPUTED_VALUE"""),"Permanent")</f>
        <v>Permanent</v>
      </c>
      <c r="J43" s="228" t="str">
        <f>IFERROR(__xludf.DUMMYFUNCTION("""COMPUTED_VALUE"""),"Active")</f>
        <v>Active</v>
      </c>
      <c r="K43" s="228" t="str">
        <f>IFERROR(__xludf.DUMMYFUNCTION("""COMPUTED_VALUE"""),"3M")</f>
        <v>3M</v>
      </c>
      <c r="L43" s="729">
        <f>IFERROR(__xludf.DUMMYFUNCTION("""COMPUTED_VALUE"""),45474.0)</f>
        <v>45474</v>
      </c>
      <c r="M43" s="228"/>
      <c r="N43" s="228"/>
      <c r="O43" s="228"/>
      <c r="P43" s="228" t="str">
        <f>IFERROR(__xludf.DUMMYFUNCTION("""COMPUTED_VALUE"""),"03088982489")</f>
        <v>03088982489</v>
      </c>
      <c r="Q43" s="228" t="str">
        <f>IFERROR(__xludf.DUMMYFUNCTION("""COMPUTED_VALUE"""),"82203-3459651-7")</f>
        <v>82203-3459651-7</v>
      </c>
      <c r="R43" s="228" t="str">
        <f>IFERROR(__xludf.DUMMYFUNCTION("""COMPUTED_VALUE"""),"Male")</f>
        <v>Male</v>
      </c>
      <c r="S43" s="228" t="str">
        <f>IFERROR(__xludf.DUMMYFUNCTION("""COMPUTED_VALUE"""),"Bank Islami")</f>
        <v>Bank Islami</v>
      </c>
      <c r="T43" s="228" t="str">
        <f>IFERROR(__xludf.DUMMYFUNCTION("""COMPUTED_VALUE"""),"Muhammad Bilal Tanveer")</f>
        <v>Muhammad Bilal Tanveer</v>
      </c>
      <c r="U43" s="228" t="str">
        <f>IFERROR(__xludf.DUMMYFUNCTION("""COMPUTED_VALUE"""),"PK91BKIP0305200199680001")</f>
        <v>PK91BKIP0305200199680001</v>
      </c>
      <c r="V43" s="228" t="str">
        <f>IFERROR(__xludf.DUMMYFUNCTION("""COMPUTED_VALUE"""),"BKIPPKKAXXX")</f>
        <v>BKIPPKKAXXX</v>
      </c>
      <c r="W43" s="228"/>
      <c r="X43" s="228" t="str">
        <f>IFERROR(__xludf.DUMMYFUNCTION("""COMPUTED_VALUE"""),"Islamabad")</f>
        <v>Islamabad</v>
      </c>
      <c r="Y43" s="730">
        <f>IFERROR(__xludf.DUMMYFUNCTION("""COMPUTED_VALUE"""),35551.0)</f>
        <v>35551</v>
      </c>
      <c r="Z43" s="228" t="str">
        <f>IFERROR(__xludf.DUMMYFUNCTION("""COMPUTED_VALUE"""),"27 Years")</f>
        <v>27 Years</v>
      </c>
      <c r="AA43" s="228" t="str">
        <f>IFERROR(__xludf.DUMMYFUNCTION("""COMPUTED_VALUE"""),"Al Makkah Tower, E11-4, Islamabad")</f>
        <v>Al Makkah Tower, E11-4, Islamabad</v>
      </c>
      <c r="AB43" s="228" t="str">
        <f>IFERROR(__xludf.DUMMYFUNCTION("""COMPUTED_VALUE"""),"Pakistani")</f>
        <v>Pakistani</v>
      </c>
      <c r="AC43" s="228" t="str">
        <f>IFERROR(__xludf.DUMMYFUNCTION("""COMPUTED_VALUE"""),"Single")</f>
        <v>Single</v>
      </c>
      <c r="AD43" s="228"/>
      <c r="AE43" s="228"/>
      <c r="AF43" s="228"/>
      <c r="AG43" s="228" t="str">
        <f>IFERROR(__xludf.DUMMYFUNCTION("""COMPUTED_VALUE"""),"Tasneem Zubair")</f>
        <v>Tasneem Zubair</v>
      </c>
      <c r="AH43" s="228" t="str">
        <f>IFERROR(__xludf.DUMMYFUNCTION("""COMPUTED_VALUE"""),"mother")</f>
        <v>mother</v>
      </c>
      <c r="AI43" s="228"/>
      <c r="AJ43" s="228" t="str">
        <f>IFERROR(__xludf.DUMMYFUNCTION("""COMPUTED_VALUE"""),"B+")</f>
        <v>B+</v>
      </c>
      <c r="AK43" s="731" t="str">
        <f>IFERROR(__xludf.DUMMYFUNCTION("""COMPUTED_VALUE"""),"https://www.linkedin.com/in/muhammad-bilal-tanveer-81a521207/")</f>
        <v>https://www.linkedin.com/in/muhammad-bilal-tanveer-81a521207/</v>
      </c>
      <c r="AL43" s="228"/>
      <c r="AM43" s="228"/>
      <c r="AN43" s="228" t="str">
        <f>IFERROR(__xludf.DUMMYFUNCTION("""COMPUTED_VALUE"""),"Creatives, Content")</f>
        <v>Creatives, Content</v>
      </c>
      <c r="AO43" s="228" t="str">
        <f>IFERROR(__xludf.DUMMYFUNCTION("""COMPUTED_VALUE"""),"Creatives.team@vyro.ai, content.team@vyro.ai")</f>
        <v>Creatives.team@vyro.ai, content.team@vyro.ai</v>
      </c>
      <c r="AP43" s="228" t="str">
        <f>IFERROR(__xludf.DUMMYFUNCTION("""COMPUTED_VALUE"""),"NO")</f>
        <v>NO</v>
      </c>
      <c r="AQ43" s="228" t="str">
        <f>IFERROR(__xludf.DUMMYFUNCTION("""COMPUTED_VALUE"""),"Active")</f>
        <v>Active</v>
      </c>
    </row>
    <row r="44">
      <c r="A44" s="228">
        <f>IFERROR(__xludf.DUMMYFUNCTION("""COMPUTED_VALUE"""),5259.0)</f>
        <v>5259</v>
      </c>
      <c r="B44" s="228" t="str">
        <f>IFERROR(__xludf.DUMMYFUNCTION("""COMPUTED_VALUE"""),"Abdul Moiez Akhtar")</f>
        <v>Abdul Moiez Akhtar</v>
      </c>
      <c r="C44" s="228" t="str">
        <f>IFERROR(__xludf.DUMMYFUNCTION("""COMPUTED_VALUE"""),"abdul.moiez876@gmail.com")</f>
        <v>abdul.moiez876@gmail.com</v>
      </c>
      <c r="D44" s="228" t="str">
        <f>IFERROR(__xludf.DUMMYFUNCTION("""COMPUTED_VALUE"""),"abdul.moiez@vyro.ai")</f>
        <v>abdul.moiez@vyro.ai</v>
      </c>
      <c r="E44" s="728">
        <f>IFERROR(__xludf.DUMMYFUNCTION("""COMPUTED_VALUE"""),45397.0)</f>
        <v>45397</v>
      </c>
      <c r="F44" s="228" t="str">
        <f>IFERROR(__xludf.DUMMYFUNCTION("""COMPUTED_VALUE"""),"Associate Software Engineer")</f>
        <v>Associate Software Engineer</v>
      </c>
      <c r="G44" s="228" t="str">
        <f>IFERROR(__xludf.DUMMYFUNCTION("""COMPUTED_VALUE"""),"Frontend")</f>
        <v>Frontend</v>
      </c>
      <c r="H44" s="228" t="str">
        <f>IFERROR(__xludf.DUMMYFUNCTION("""COMPUTED_VALUE"""),"Saad Ahmed")</f>
        <v>Saad Ahmed</v>
      </c>
      <c r="I44" s="228" t="str">
        <f>IFERROR(__xludf.DUMMYFUNCTION("""COMPUTED_VALUE"""),"Permanent")</f>
        <v>Permanent</v>
      </c>
      <c r="J44" s="228" t="str">
        <f>IFERROR(__xludf.DUMMYFUNCTION("""COMPUTED_VALUE"""),"Active")</f>
        <v>Active</v>
      </c>
      <c r="K44" s="228" t="str">
        <f>IFERROR(__xludf.DUMMYFUNCTION("""COMPUTED_VALUE"""),"3M")</f>
        <v>3M</v>
      </c>
      <c r="L44" s="729">
        <f>IFERROR(__xludf.DUMMYFUNCTION("""COMPUTED_VALUE"""),45488.0)</f>
        <v>45488</v>
      </c>
      <c r="M44" s="228"/>
      <c r="N44" s="228"/>
      <c r="O44" s="228"/>
      <c r="P44" s="228" t="str">
        <f>IFERROR(__xludf.DUMMYFUNCTION("""COMPUTED_VALUE"""),"03430810984")</f>
        <v>03430810984</v>
      </c>
      <c r="Q44" s="228" t="str">
        <f>IFERROR(__xludf.DUMMYFUNCTION("""COMPUTED_VALUE"""),"34201-8434498-9")</f>
        <v>34201-8434498-9</v>
      </c>
      <c r="R44" s="228" t="str">
        <f>IFERROR(__xludf.DUMMYFUNCTION("""COMPUTED_VALUE"""),"Male")</f>
        <v>Male</v>
      </c>
      <c r="S44" s="228" t="str">
        <f>IFERROR(__xludf.DUMMYFUNCTION("""COMPUTED_VALUE"""),"HBL")</f>
        <v>HBL</v>
      </c>
      <c r="T44" s="228" t="str">
        <f>IFERROR(__xludf.DUMMYFUNCTION("""COMPUTED_VALUE"""),"Abdul Moiez")</f>
        <v>Abdul Moiez</v>
      </c>
      <c r="U44" s="228" t="str">
        <f>IFERROR(__xludf.DUMMYFUNCTION("""COMPUTED_VALUE"""),"PK93HABB0004057901178303")</f>
        <v>PK93HABB0004057901178303</v>
      </c>
      <c r="V44" s="228" t="str">
        <f>IFERROR(__xludf.DUMMYFUNCTION("""COMPUTED_VALUE"""),"HABBPKKA111")</f>
        <v>HABBPKKA111</v>
      </c>
      <c r="W44" s="228"/>
      <c r="X44" s="228" t="str">
        <f>IFERROR(__xludf.DUMMYFUNCTION("""COMPUTED_VALUE"""),"Islamabad")</f>
        <v>Islamabad</v>
      </c>
      <c r="Y44" s="730">
        <f>IFERROR(__xludf.DUMMYFUNCTION("""COMPUTED_VALUE"""),37149.0)</f>
        <v>37149</v>
      </c>
      <c r="Z44" s="228" t="str">
        <f>IFERROR(__xludf.DUMMYFUNCTION("""COMPUTED_VALUE"""),"23 Years")</f>
        <v>23 Years</v>
      </c>
      <c r="AA44" s="228" t="str">
        <f>IFERROR(__xludf.DUMMYFUNCTION("""COMPUTED_VALUE"""),"NUST Hostels, H-12, Islamabad")</f>
        <v>NUST Hostels, H-12, Islamabad</v>
      </c>
      <c r="AB44" s="228" t="str">
        <f>IFERROR(__xludf.DUMMYFUNCTION("""COMPUTED_VALUE"""),"Pakistani")</f>
        <v>Pakistani</v>
      </c>
      <c r="AC44" s="228" t="str">
        <f>IFERROR(__xludf.DUMMYFUNCTION("""COMPUTED_VALUE"""),"Single")</f>
        <v>Single</v>
      </c>
      <c r="AD44" s="228"/>
      <c r="AE44" s="228"/>
      <c r="AF44" s="228"/>
      <c r="AG44" s="228" t="str">
        <f>IFERROR(__xludf.DUMMYFUNCTION("""COMPUTED_VALUE"""),"Akhtar Javaid")</f>
        <v>Akhtar Javaid</v>
      </c>
      <c r="AH44" s="228" t="str">
        <f>IFERROR(__xludf.DUMMYFUNCTION("""COMPUTED_VALUE"""),"Brother")</f>
        <v>Brother</v>
      </c>
      <c r="AI44" s="228"/>
      <c r="AJ44" s="228" t="str">
        <f>IFERROR(__xludf.DUMMYFUNCTION("""COMPUTED_VALUE"""),"AB+")</f>
        <v>AB+</v>
      </c>
      <c r="AK44" s="731" t="str">
        <f>IFERROR(__xludf.DUMMYFUNCTION("""COMPUTED_VALUE"""),"https://www.linkedin.com/in/abdul-moiez-18a8761bb/")</f>
        <v>https://www.linkedin.com/in/abdul-moiez-18a8761bb/</v>
      </c>
      <c r="AL44" s="228"/>
      <c r="AM44" s="228"/>
      <c r="AN44" s="228" t="str">
        <f>IFERROR(__xludf.DUMMYFUNCTION("""COMPUTED_VALUE"""),"Imagine Web")</f>
        <v>Imagine Web</v>
      </c>
      <c r="AO44" s="228" t="str">
        <f>IFERROR(__xludf.DUMMYFUNCTION("""COMPUTED_VALUE"""),"imagine.web.team@vyro.ai")</f>
        <v>imagine.web.team@vyro.ai</v>
      </c>
      <c r="AP44" s="228" t="str">
        <f>IFERROR(__xludf.DUMMYFUNCTION("""COMPUTED_VALUE"""),"NO")</f>
        <v>NO</v>
      </c>
      <c r="AQ44" s="228" t="str">
        <f>IFERROR(__xludf.DUMMYFUNCTION("""COMPUTED_VALUE"""),"Active")</f>
        <v>Active</v>
      </c>
    </row>
    <row r="45">
      <c r="A45" s="228">
        <f>IFERROR(__xludf.DUMMYFUNCTION("""COMPUTED_VALUE"""),5264.0)</f>
        <v>5264</v>
      </c>
      <c r="B45" s="228" t="str">
        <f>IFERROR(__xludf.DUMMYFUNCTION("""COMPUTED_VALUE"""),"Umar Sheraz")</f>
        <v>Umar Sheraz</v>
      </c>
      <c r="C45" s="228" t="str">
        <f>IFERROR(__xludf.DUMMYFUNCTION("""COMPUTED_VALUE"""),"umarshrz@gmail.com")</f>
        <v>umarshrz@gmail.com</v>
      </c>
      <c r="D45" s="228" t="str">
        <f>IFERROR(__xludf.DUMMYFUNCTION("""COMPUTED_VALUE"""),"umar.sheraz@vyro.ai")</f>
        <v>umar.sheraz@vyro.ai</v>
      </c>
      <c r="E45" s="728">
        <f>IFERROR(__xludf.DUMMYFUNCTION("""COMPUTED_VALUE"""),45414.0)</f>
        <v>45414</v>
      </c>
      <c r="F45" s="228" t="str">
        <f>IFERROR(__xludf.DUMMYFUNCTION("""COMPUTED_VALUE"""),"Growth Executive")</f>
        <v>Growth Executive</v>
      </c>
      <c r="G45" s="228" t="str">
        <f>IFERROR(__xludf.DUMMYFUNCTION("""COMPUTED_VALUE"""),"Marketing")</f>
        <v>Marketing</v>
      </c>
      <c r="H45" s="228" t="str">
        <f>IFERROR(__xludf.DUMMYFUNCTION("""COMPUTED_VALUE"""),"Umaira Jabeen")</f>
        <v>Umaira Jabeen</v>
      </c>
      <c r="I45" s="228" t="str">
        <f>IFERROR(__xludf.DUMMYFUNCTION("""COMPUTED_VALUE"""),"Probation")</f>
        <v>Probation</v>
      </c>
      <c r="J45" s="228" t="str">
        <f>IFERROR(__xludf.DUMMYFUNCTION("""COMPUTED_VALUE"""),"Active")</f>
        <v>Active</v>
      </c>
      <c r="K45" s="228" t="str">
        <f>IFERROR(__xludf.DUMMYFUNCTION("""COMPUTED_VALUE"""),"3M")</f>
        <v>3M</v>
      </c>
      <c r="L45" s="729">
        <f>IFERROR(__xludf.DUMMYFUNCTION("""COMPUTED_VALUE"""),45506.0)</f>
        <v>45506</v>
      </c>
      <c r="M45" s="228"/>
      <c r="N45" s="228"/>
      <c r="O45" s="228"/>
      <c r="P45" s="228" t="str">
        <f>IFERROR(__xludf.DUMMYFUNCTION("""COMPUTED_VALUE"""),"03136703825")</f>
        <v>03136703825</v>
      </c>
      <c r="Q45" s="228" t="str">
        <f>IFERROR(__xludf.DUMMYFUNCTION("""COMPUTED_VALUE"""),"38403-8907880-9")</f>
        <v>38403-8907880-9</v>
      </c>
      <c r="R45" s="228" t="str">
        <f>IFERROR(__xludf.DUMMYFUNCTION("""COMPUTED_VALUE"""),"Male")</f>
        <v>Male</v>
      </c>
      <c r="S45" s="228" t="str">
        <f>IFERROR(__xludf.DUMMYFUNCTION("""COMPUTED_VALUE"""),"Meezan Bank")</f>
        <v>Meezan Bank</v>
      </c>
      <c r="T45" s="228" t="str">
        <f>IFERROR(__xludf.DUMMYFUNCTION("""COMPUTED_VALUE"""),"Umar Sheraz")</f>
        <v>Umar Sheraz</v>
      </c>
      <c r="U45" s="228" t="str">
        <f>IFERROR(__xludf.DUMMYFUNCTION("""COMPUTED_VALUE"""),"PK26MEZN0002600106756077")</f>
        <v>PK26MEZN0002600106756077</v>
      </c>
      <c r="V45" s="228" t="str">
        <f>IFERROR(__xludf.DUMMYFUNCTION("""COMPUTED_VALUE"""),"MEZNPKKAGRD")</f>
        <v>MEZNPKKAGRD</v>
      </c>
      <c r="W45" s="228"/>
      <c r="X45" s="228" t="str">
        <f>IFERROR(__xludf.DUMMYFUNCTION("""COMPUTED_VALUE"""),"Islamabad")</f>
        <v>Islamabad</v>
      </c>
      <c r="Y45" s="730">
        <f>IFERROR(__xludf.DUMMYFUNCTION("""COMPUTED_VALUE"""),35973.0)</f>
        <v>35973</v>
      </c>
      <c r="Z45" s="228" t="str">
        <f>IFERROR(__xludf.DUMMYFUNCTION("""COMPUTED_VALUE"""),"26 Years")</f>
        <v>26 Years</v>
      </c>
      <c r="AA45" s="228" t="str">
        <f>IFERROR(__xludf.DUMMYFUNCTION("""COMPUTED_VALUE"""),"Mitra street sham nagar road near ishaq haroon Hospital, Chauburji,  Lahore.")</f>
        <v>Mitra street sham nagar road near ishaq haroon Hospital, Chauburji,  Lahore.</v>
      </c>
      <c r="AB45" s="228" t="str">
        <f>IFERROR(__xludf.DUMMYFUNCTION("""COMPUTED_VALUE"""),"Pakistani")</f>
        <v>Pakistani</v>
      </c>
      <c r="AC45" s="228" t="str">
        <f>IFERROR(__xludf.DUMMYFUNCTION("""COMPUTED_VALUE"""),"Single")</f>
        <v>Single</v>
      </c>
      <c r="AD45" s="228"/>
      <c r="AE45" s="228"/>
      <c r="AF45" s="228"/>
      <c r="AG45" s="228" t="str">
        <f>IFERROR(__xludf.DUMMYFUNCTION("""COMPUTED_VALUE"""),"Muhammad Bashir")</f>
        <v>Muhammad Bashir</v>
      </c>
      <c r="AH45" s="228" t="str">
        <f>IFERROR(__xludf.DUMMYFUNCTION("""COMPUTED_VALUE"""),"Uncle")</f>
        <v>Uncle</v>
      </c>
      <c r="AI45" s="228"/>
      <c r="AJ45" s="228" t="str">
        <f>IFERROR(__xludf.DUMMYFUNCTION("""COMPUTED_VALUE"""),"AB+")</f>
        <v>AB+</v>
      </c>
      <c r="AK45" s="731" t="str">
        <f>IFERROR(__xludf.DUMMYFUNCTION("""COMPUTED_VALUE"""),"https://www.linkedin.com/in/umar-sheraz-1193a6132")</f>
        <v>https://www.linkedin.com/in/umar-sheraz-1193a6132</v>
      </c>
      <c r="AL45" s="228"/>
      <c r="AM45" s="228"/>
      <c r="AN45" s="228" t="str">
        <f>IFERROR(__xludf.DUMMYFUNCTION("""COMPUTED_VALUE"""),"Marketing")</f>
        <v>Marketing</v>
      </c>
      <c r="AO45" s="228" t="str">
        <f>IFERROR(__xludf.DUMMYFUNCTION("""COMPUTED_VALUE"""),"marketing.team@vyro.ai")</f>
        <v>marketing.team@vyro.ai</v>
      </c>
      <c r="AP45" s="228" t="str">
        <f>IFERROR(__xludf.DUMMYFUNCTION("""COMPUTED_VALUE"""),"NO")</f>
        <v>NO</v>
      </c>
      <c r="AQ45" s="228" t="str">
        <f>IFERROR(__xludf.DUMMYFUNCTION("""COMPUTED_VALUE"""),"Active")</f>
        <v>Active</v>
      </c>
    </row>
    <row r="46">
      <c r="A46" s="228">
        <f>IFERROR(__xludf.DUMMYFUNCTION("""COMPUTED_VALUE"""),5257.0)</f>
        <v>5257</v>
      </c>
      <c r="B46" s="228" t="str">
        <f>IFERROR(__xludf.DUMMYFUNCTION("""COMPUTED_VALUE"""),"Aun Ishfaq")</f>
        <v>Aun Ishfaq</v>
      </c>
      <c r="C46" s="228" t="str">
        <f>IFERROR(__xludf.DUMMYFUNCTION("""COMPUTED_VALUE"""),"aunishfaq928@gmail.com")</f>
        <v>aunishfaq928@gmail.com</v>
      </c>
      <c r="D46" s="228" t="str">
        <f>IFERROR(__xludf.DUMMYFUNCTION("""COMPUTED_VALUE"""),"aun.ishfaq@vyro.ai")</f>
        <v>aun.ishfaq@vyro.ai</v>
      </c>
      <c r="E46" s="728">
        <f>IFERROR(__xludf.DUMMYFUNCTION("""COMPUTED_VALUE"""),45418.0)</f>
        <v>45418</v>
      </c>
      <c r="F46" s="228" t="str">
        <f>IFERROR(__xludf.DUMMYFUNCTION("""COMPUTED_VALUE"""),"Finance Executive")</f>
        <v>Finance Executive</v>
      </c>
      <c r="G46" s="228" t="str">
        <f>IFERROR(__xludf.DUMMYFUNCTION("""COMPUTED_VALUE"""),"Finance")</f>
        <v>Finance</v>
      </c>
      <c r="H46" s="228" t="str">
        <f>IFERROR(__xludf.DUMMYFUNCTION("""COMPUTED_VALUE"""),"Talha Arshad")</f>
        <v>Talha Arshad</v>
      </c>
      <c r="I46" s="228" t="str">
        <f>IFERROR(__xludf.DUMMYFUNCTION("""COMPUTED_VALUE"""),"Probation")</f>
        <v>Probation</v>
      </c>
      <c r="J46" s="228" t="str">
        <f>IFERROR(__xludf.DUMMYFUNCTION("""COMPUTED_VALUE"""),"Active")</f>
        <v>Active</v>
      </c>
      <c r="K46" s="228" t="str">
        <f>IFERROR(__xludf.DUMMYFUNCTION("""COMPUTED_VALUE"""),"3M")</f>
        <v>3M</v>
      </c>
      <c r="L46" s="729">
        <f>IFERROR(__xludf.DUMMYFUNCTION("""COMPUTED_VALUE"""),45510.0)</f>
        <v>45510</v>
      </c>
      <c r="M46" s="228"/>
      <c r="N46" s="228"/>
      <c r="O46" s="228"/>
      <c r="P46" s="228" t="str">
        <f>IFERROR(__xludf.DUMMYFUNCTION("""COMPUTED_VALUE"""),"03328849948")</f>
        <v>03328849948</v>
      </c>
      <c r="Q46" s="228" t="str">
        <f>IFERROR(__xludf.DUMMYFUNCTION("""COMPUTED_VALUE"""),"90403-0143681-7")</f>
        <v>90403-0143681-7</v>
      </c>
      <c r="R46" s="228" t="str">
        <f>IFERROR(__xludf.DUMMYFUNCTION("""COMPUTED_VALUE"""),"Male")</f>
        <v>Male</v>
      </c>
      <c r="S46" s="228" t="str">
        <f>IFERROR(__xludf.DUMMYFUNCTION("""COMPUTED_VALUE"""),"United Bank limited")</f>
        <v>United Bank limited</v>
      </c>
      <c r="T46" s="228" t="str">
        <f>IFERROR(__xludf.DUMMYFUNCTION("""COMPUTED_VALUE"""),"Aun Ishfaq")</f>
        <v>Aun Ishfaq</v>
      </c>
      <c r="U46" s="228" t="str">
        <f>IFERROR(__xludf.DUMMYFUNCTION("""COMPUTED_VALUE"""),"PK87UNIL0109000276870785")</f>
        <v>PK87UNIL0109000276870785</v>
      </c>
      <c r="V46" s="228" t="str">
        <f>IFERROR(__xludf.DUMMYFUNCTION("""COMPUTED_VALUE"""),"UNILPKKA741")</f>
        <v>UNILPKKA741</v>
      </c>
      <c r="W46" s="228"/>
      <c r="X46" s="228" t="str">
        <f>IFERROR(__xludf.DUMMYFUNCTION("""COMPUTED_VALUE"""),"Islamabad")</f>
        <v>Islamabad</v>
      </c>
      <c r="Y46" s="730">
        <f>IFERROR(__xludf.DUMMYFUNCTION("""COMPUTED_VALUE"""),36517.0)</f>
        <v>36517</v>
      </c>
      <c r="Z46" s="228" t="str">
        <f>IFERROR(__xludf.DUMMYFUNCTION("""COMPUTED_VALUE"""),"25 Years")</f>
        <v>25 Years</v>
      </c>
      <c r="AA46" s="228" t="str">
        <f>IFERROR(__xludf.DUMMYFUNCTION("""COMPUTED_VALUE"""),"Islamabad Homes phase 1, Street 1-E, House 21, H-15, Islamabad")</f>
        <v>Islamabad Homes phase 1, Street 1-E, House 21, H-15, Islamabad</v>
      </c>
      <c r="AB46" s="228" t="str">
        <f>IFERROR(__xludf.DUMMYFUNCTION("""COMPUTED_VALUE"""),"Pakistani")</f>
        <v>Pakistani</v>
      </c>
      <c r="AC46" s="228" t="str">
        <f>IFERROR(__xludf.DUMMYFUNCTION("""COMPUTED_VALUE"""),"Single")</f>
        <v>Single</v>
      </c>
      <c r="AD46" s="228"/>
      <c r="AE46" s="228"/>
      <c r="AF46" s="228"/>
      <c r="AG46" s="228" t="str">
        <f>IFERROR(__xludf.DUMMYFUNCTION("""COMPUTED_VALUE"""),"Muhammad Ishfaq")</f>
        <v>Muhammad Ishfaq</v>
      </c>
      <c r="AH46" s="228" t="str">
        <f>IFERROR(__xludf.DUMMYFUNCTION("""COMPUTED_VALUE"""),"Brother")</f>
        <v>Brother</v>
      </c>
      <c r="AI46" s="228"/>
      <c r="AJ46" s="228" t="str">
        <f>IFERROR(__xludf.DUMMYFUNCTION("""COMPUTED_VALUE"""),"A+")</f>
        <v>A+</v>
      </c>
      <c r="AK46" s="731" t="str">
        <f>IFERROR(__xludf.DUMMYFUNCTION("""COMPUTED_VALUE"""),"www.linkedin.com/in/aun-ishfaq-b891a2289")</f>
        <v>www.linkedin.com/in/aun-ishfaq-b891a2289</v>
      </c>
      <c r="AL46" s="228"/>
      <c r="AM46" s="228"/>
      <c r="AN46" s="228" t="str">
        <f>IFERROR(__xludf.DUMMYFUNCTION("""COMPUTED_VALUE"""),"Finance")</f>
        <v>Finance</v>
      </c>
      <c r="AO46" s="228" t="str">
        <f>IFERROR(__xludf.DUMMYFUNCTION("""COMPUTED_VALUE"""),"finance.team@vyro.ai")</f>
        <v>finance.team@vyro.ai</v>
      </c>
      <c r="AP46" s="228" t="str">
        <f>IFERROR(__xludf.DUMMYFUNCTION("""COMPUTED_VALUE"""),"NO")</f>
        <v>NO</v>
      </c>
      <c r="AQ46" s="228" t="str">
        <f>IFERROR(__xludf.DUMMYFUNCTION("""COMPUTED_VALUE"""),"Active")</f>
        <v>Active</v>
      </c>
    </row>
    <row r="47">
      <c r="A47" s="228">
        <f>IFERROR(__xludf.DUMMYFUNCTION("""COMPUTED_VALUE"""),5265.0)</f>
        <v>5265</v>
      </c>
      <c r="B47" s="228" t="str">
        <f>IFERROR(__xludf.DUMMYFUNCTION("""COMPUTED_VALUE"""),"Luqman Ahmed")</f>
        <v>Luqman Ahmed</v>
      </c>
      <c r="C47" s="228" t="str">
        <f>IFERROR(__xludf.DUMMYFUNCTION("""COMPUTED_VALUE"""),"Luqmanahmed2088@gmail.com")</f>
        <v>Luqmanahmed2088@gmail.com</v>
      </c>
      <c r="D47" s="228" t="str">
        <f>IFERROR(__xludf.DUMMYFUNCTION("""COMPUTED_VALUE"""),"luqman.ahmed@vyro.ai")</f>
        <v>luqman.ahmed@vyro.ai</v>
      </c>
      <c r="E47" s="728">
        <f>IFERROR(__xludf.DUMMYFUNCTION("""COMPUTED_VALUE"""),45418.0)</f>
        <v>45418</v>
      </c>
      <c r="F47" s="228" t="str">
        <f>IFERROR(__xludf.DUMMYFUNCTION("""COMPUTED_VALUE"""),"Motion Graphics Designer")</f>
        <v>Motion Graphics Designer</v>
      </c>
      <c r="G47" s="228" t="str">
        <f>IFERROR(__xludf.DUMMYFUNCTION("""COMPUTED_VALUE"""),"Product Design")</f>
        <v>Product Design</v>
      </c>
      <c r="H47" s="228" t="str">
        <f>IFERROR(__xludf.DUMMYFUNCTION("""COMPUTED_VALUE"""),"Umaira Jabeen")</f>
        <v>Umaira Jabeen</v>
      </c>
      <c r="I47" s="228" t="str">
        <f>IFERROR(__xludf.DUMMYFUNCTION("""COMPUTED_VALUE"""),"Probation")</f>
        <v>Probation</v>
      </c>
      <c r="J47" s="228" t="str">
        <f>IFERROR(__xludf.DUMMYFUNCTION("""COMPUTED_VALUE"""),"Active")</f>
        <v>Active</v>
      </c>
      <c r="K47" s="228" t="str">
        <f>IFERROR(__xludf.DUMMYFUNCTION("""COMPUTED_VALUE"""),"3M")</f>
        <v>3M</v>
      </c>
      <c r="L47" s="729">
        <f>IFERROR(__xludf.DUMMYFUNCTION("""COMPUTED_VALUE"""),45510.0)</f>
        <v>45510</v>
      </c>
      <c r="M47" s="228"/>
      <c r="N47" s="228"/>
      <c r="O47" s="228"/>
      <c r="P47" s="228" t="str">
        <f>IFERROR(__xludf.DUMMYFUNCTION("""COMPUTED_VALUE"""),"03035524549")</f>
        <v>03035524549</v>
      </c>
      <c r="Q47" s="228" t="str">
        <f>IFERROR(__xludf.DUMMYFUNCTION("""COMPUTED_VALUE"""),"37102-2088988-7")</f>
        <v>37102-2088988-7</v>
      </c>
      <c r="R47" s="228" t="str">
        <f>IFERROR(__xludf.DUMMYFUNCTION("""COMPUTED_VALUE"""),"Male")</f>
        <v>Male</v>
      </c>
      <c r="S47" s="228" t="str">
        <f>IFERROR(__xludf.DUMMYFUNCTION("""COMPUTED_VALUE"""),"United Bank Limited(UBL)")</f>
        <v>United Bank Limited(UBL)</v>
      </c>
      <c r="T47" s="228" t="str">
        <f>IFERROR(__xludf.DUMMYFUNCTION("""COMPUTED_VALUE"""),"Luqman Ahmed")</f>
        <v>Luqman Ahmed</v>
      </c>
      <c r="U47" s="228" t="str">
        <f>IFERROR(__xludf.DUMMYFUNCTION("""COMPUTED_VALUE"""),"PK79UNIL0109000301245865")</f>
        <v>PK79UNIL0109000301245865</v>
      </c>
      <c r="V47" s="228" t="str">
        <f>IFERROR(__xludf.DUMMYFUNCTION("""COMPUTED_VALUE"""),"UNILPKKA741")</f>
        <v>UNILPKKA741</v>
      </c>
      <c r="W47" s="228"/>
      <c r="X47" s="228" t="str">
        <f>IFERROR(__xludf.DUMMYFUNCTION("""COMPUTED_VALUE"""),"Islamabad")</f>
        <v>Islamabad</v>
      </c>
      <c r="Y47" s="730">
        <f>IFERROR(__xludf.DUMMYFUNCTION("""COMPUTED_VALUE"""),34922.0)</f>
        <v>34922</v>
      </c>
      <c r="Z47" s="228" t="str">
        <f>IFERROR(__xludf.DUMMYFUNCTION("""COMPUTED_VALUE"""),"29 Years")</f>
        <v>29 Years</v>
      </c>
      <c r="AA47" s="228" t="str">
        <f>IFERROR(__xludf.DUMMYFUNCTION("""COMPUTED_VALUE"""),"Village Awan Pur, Tehsil Fateh Jang, District Attock")</f>
        <v>Village Awan Pur, Tehsil Fateh Jang, District Attock</v>
      </c>
      <c r="AB47" s="228" t="str">
        <f>IFERROR(__xludf.DUMMYFUNCTION("""COMPUTED_VALUE"""),"Pakistani")</f>
        <v>Pakistani</v>
      </c>
      <c r="AC47" s="228" t="str">
        <f>IFERROR(__xludf.DUMMYFUNCTION("""COMPUTED_VALUE"""),"Married")</f>
        <v>Married</v>
      </c>
      <c r="AD47" s="228"/>
      <c r="AE47" s="228"/>
      <c r="AF47" s="228"/>
      <c r="AG47" s="228" t="str">
        <f>IFERROR(__xludf.DUMMYFUNCTION("""COMPUTED_VALUE"""),"Ahmed Hussain")</f>
        <v>Ahmed Hussain</v>
      </c>
      <c r="AH47" s="228" t="str">
        <f>IFERROR(__xludf.DUMMYFUNCTION("""COMPUTED_VALUE"""),"Father")</f>
        <v>Father</v>
      </c>
      <c r="AI47" s="228">
        <f>IFERROR(__xludf.DUMMYFUNCTION("""COMPUTED_VALUE"""),3.158964754E9)</f>
        <v>3158964754</v>
      </c>
      <c r="AJ47" s="228" t="str">
        <f>IFERROR(__xludf.DUMMYFUNCTION("""COMPUTED_VALUE"""),"A+")</f>
        <v>A+</v>
      </c>
      <c r="AK47" s="731" t="str">
        <f>IFERROR(__xludf.DUMMYFUNCTION("""COMPUTED_VALUE"""),"https://www.linkedin.com/in/luqman-ahmed-4a7223140/")</f>
        <v>https://www.linkedin.com/in/luqman-ahmed-4a7223140/</v>
      </c>
      <c r="AL47" s="228"/>
      <c r="AM47" s="228"/>
      <c r="AN47" s="228" t="str">
        <f>IFERROR(__xludf.DUMMYFUNCTION("""COMPUTED_VALUE"""),"Creatives, Content")</f>
        <v>Creatives, Content</v>
      </c>
      <c r="AO47" s="228" t="str">
        <f>IFERROR(__xludf.DUMMYFUNCTION("""COMPUTED_VALUE"""),"Creatives.team@vyro.ai, content.team@vyro.ai")</f>
        <v>Creatives.team@vyro.ai, content.team@vyro.ai</v>
      </c>
      <c r="AP47" s="228" t="str">
        <f>IFERROR(__xludf.DUMMYFUNCTION("""COMPUTED_VALUE"""),"NO")</f>
        <v>NO</v>
      </c>
      <c r="AQ47" s="228" t="str">
        <f>IFERROR(__xludf.DUMMYFUNCTION("""COMPUTED_VALUE"""),"Active")</f>
        <v>Active</v>
      </c>
    </row>
    <row r="48">
      <c r="A48" s="228">
        <f>IFERROR(__xludf.DUMMYFUNCTION("""COMPUTED_VALUE"""),5317.0)</f>
        <v>5317</v>
      </c>
      <c r="B48" s="228" t="str">
        <f>IFERROR(__xludf.DUMMYFUNCTION("""COMPUTED_VALUE"""),"Tanveer Ahmed")</f>
        <v>Tanveer Ahmed</v>
      </c>
      <c r="C48" s="228"/>
      <c r="D48" s="228"/>
      <c r="E48" s="728">
        <f>IFERROR(__xludf.DUMMYFUNCTION("""COMPUTED_VALUE"""),45424.0)</f>
        <v>45424</v>
      </c>
      <c r="F48" s="228" t="str">
        <f>IFERROR(__xludf.DUMMYFUNCTION("""COMPUTED_VALUE"""),"Office Assistant")</f>
        <v>Office Assistant</v>
      </c>
      <c r="G48" s="228" t="str">
        <f>IFERROR(__xludf.DUMMYFUNCTION("""COMPUTED_VALUE"""),"Admin")</f>
        <v>Admin</v>
      </c>
      <c r="H48" s="228"/>
      <c r="I48" s="228"/>
      <c r="J48" s="228" t="str">
        <f>IFERROR(__xludf.DUMMYFUNCTION("""COMPUTED_VALUE"""),"Active")</f>
        <v>Active</v>
      </c>
      <c r="K48" s="228" t="str">
        <f>IFERROR(__xludf.DUMMYFUNCTION("""COMPUTED_VALUE"""),"3M")</f>
        <v>3M</v>
      </c>
      <c r="L48" s="228"/>
      <c r="M48" s="228"/>
      <c r="N48" s="228"/>
      <c r="O48" s="228"/>
      <c r="P48" s="228"/>
      <c r="Q48" s="228"/>
      <c r="R48" s="228" t="str">
        <f>IFERROR(__xludf.DUMMYFUNCTION("""COMPUTED_VALUE"""),"Male")</f>
        <v>Male</v>
      </c>
      <c r="S48" s="228"/>
      <c r="T48" s="228"/>
      <c r="U48" s="228"/>
      <c r="V48" s="228"/>
      <c r="W48" s="228"/>
      <c r="X48" s="228"/>
      <c r="Y48" s="228"/>
      <c r="Z48" s="228"/>
      <c r="AA48" s="228"/>
      <c r="AB48" s="228"/>
      <c r="AC48" s="228"/>
      <c r="AD48" s="228"/>
      <c r="AE48" s="228"/>
      <c r="AF48" s="228"/>
      <c r="AG48" s="228"/>
      <c r="AH48" s="228"/>
      <c r="AI48" s="228"/>
      <c r="AJ48" s="228"/>
      <c r="AK48" s="228"/>
      <c r="AL48" s="228"/>
      <c r="AM48" s="228"/>
      <c r="AN48" s="228"/>
      <c r="AO48" s="228"/>
      <c r="AP48" s="228" t="str">
        <f>IFERROR(__xludf.DUMMYFUNCTION("""COMPUTED_VALUE"""),"NO")</f>
        <v>NO</v>
      </c>
      <c r="AQ48" s="228" t="str">
        <f>IFERROR(__xludf.DUMMYFUNCTION("""COMPUTED_VALUE"""),"Active")</f>
        <v>Active</v>
      </c>
    </row>
    <row r="49">
      <c r="A49" s="228">
        <f>IFERROR(__xludf.DUMMYFUNCTION("""COMPUTED_VALUE"""),5415.0)</f>
        <v>5415</v>
      </c>
      <c r="B49" s="228" t="str">
        <f>IFERROR(__xludf.DUMMYFUNCTION("""COMPUTED_VALUE"""),"Kamran Khalid")</f>
        <v>Kamran Khalid</v>
      </c>
      <c r="C49" s="228" t="str">
        <f>IFERROR(__xludf.DUMMYFUNCTION("""COMPUTED_VALUE"""),"kamran.khalid@vyro.ai")</f>
        <v>kamran.khalid@vyro.ai</v>
      </c>
      <c r="D49" s="228" t="str">
        <f>IFERROR(__xludf.DUMMYFUNCTION("""COMPUTED_VALUE"""),"kamran.khalid@vyro.ai")</f>
        <v>kamran.khalid@vyro.ai</v>
      </c>
      <c r="E49" s="728">
        <f>IFERROR(__xludf.DUMMYFUNCTION("""COMPUTED_VALUE"""),45425.0)</f>
        <v>45425</v>
      </c>
      <c r="F49" s="228" t="str">
        <f>IFERROR(__xludf.DUMMYFUNCTION("""COMPUTED_VALUE"""),"Group Product Manager")</f>
        <v>Group Product Manager</v>
      </c>
      <c r="G49" s="228" t="str">
        <f>IFERROR(__xludf.DUMMYFUNCTION("""COMPUTED_VALUE"""),"Product")</f>
        <v>Product</v>
      </c>
      <c r="H49" s="228" t="str">
        <f>IFERROR(__xludf.DUMMYFUNCTION("""COMPUTED_VALUE"""),"Abdullah Rafique")</f>
        <v>Abdullah Rafique</v>
      </c>
      <c r="I49" s="228" t="str">
        <f>IFERROR(__xludf.DUMMYFUNCTION("""COMPUTED_VALUE"""),"Probation")</f>
        <v>Probation</v>
      </c>
      <c r="J49" s="228" t="str">
        <f>IFERROR(__xludf.DUMMYFUNCTION("""COMPUTED_VALUE"""),"Active")</f>
        <v>Active</v>
      </c>
      <c r="K49" s="228" t="str">
        <f>IFERROR(__xludf.DUMMYFUNCTION("""COMPUTED_VALUE"""),"3M")</f>
        <v>3M</v>
      </c>
      <c r="L49" s="729">
        <f>IFERROR(__xludf.DUMMYFUNCTION("""COMPUTED_VALUE"""),45517.0)</f>
        <v>45517</v>
      </c>
      <c r="M49" s="228"/>
      <c r="N49" s="228"/>
      <c r="O49" s="228"/>
      <c r="P49" s="228" t="str">
        <f>IFERROR(__xludf.DUMMYFUNCTION("""COMPUTED_VALUE"""),"0334 2459667")</f>
        <v>0334 2459667</v>
      </c>
      <c r="Q49" s="228" t="str">
        <f>IFERROR(__xludf.DUMMYFUNCTION("""COMPUTED_VALUE"""),"54401-6302377-9")</f>
        <v>54401-6302377-9</v>
      </c>
      <c r="R49" s="228" t="str">
        <f>IFERROR(__xludf.DUMMYFUNCTION("""COMPUTED_VALUE"""),"Male")</f>
        <v>Male</v>
      </c>
      <c r="S49" s="228" t="str">
        <f>IFERROR(__xludf.DUMMYFUNCTION("""COMPUTED_VALUE"""),"US Wise")</f>
        <v>US Wise</v>
      </c>
      <c r="T49" s="228"/>
      <c r="U49" s="228" t="str">
        <f>IFERROR(__xludf.DUMMYFUNCTION("""COMPUTED_VALUE"""),"2826160968")</f>
        <v>2826160968</v>
      </c>
      <c r="V49" s="228"/>
      <c r="W49" s="228" t="str">
        <f>IFERROR(__xludf.DUMMYFUNCTION("""COMPUTED_VALUE"""),"121000248")</f>
        <v>121000248</v>
      </c>
      <c r="X49" s="228" t="str">
        <f>IFERROR(__xludf.DUMMYFUNCTION("""COMPUTED_VALUE"""),"Remote")</f>
        <v>Remote</v>
      </c>
      <c r="Y49" s="730">
        <f>IFERROR(__xludf.DUMMYFUNCTION("""COMPUTED_VALUE"""),33798.0)</f>
        <v>33798</v>
      </c>
      <c r="Z49" s="228" t="str">
        <f>IFERROR(__xludf.DUMMYFUNCTION("""COMPUTED_VALUE"""),"32 Years")</f>
        <v>32 Years</v>
      </c>
      <c r="AA49" s="228" t="str">
        <f>IFERROR(__xludf.DUMMYFUNCTION("""COMPUTED_VALUE"""),"House 81 B , Street 26, F-11/2, Islamabad")</f>
        <v>House 81 B , Street 26, F-11/2, Islamabad</v>
      </c>
      <c r="AB49" s="228" t="str">
        <f>IFERROR(__xludf.DUMMYFUNCTION("""COMPUTED_VALUE"""),"Pakistani")</f>
        <v>Pakistani</v>
      </c>
      <c r="AC49" s="228" t="str">
        <f>IFERROR(__xludf.DUMMYFUNCTION("""COMPUTED_VALUE"""),"Single")</f>
        <v>Single</v>
      </c>
      <c r="AD49" s="228"/>
      <c r="AE49" s="228"/>
      <c r="AF49" s="228"/>
      <c r="AG49" s="228" t="str">
        <f>IFERROR(__xludf.DUMMYFUNCTION("""COMPUTED_VALUE"""),"Khalid Mehmood")</f>
        <v>Khalid Mehmood</v>
      </c>
      <c r="AH49" s="228" t="str">
        <f>IFERROR(__xludf.DUMMYFUNCTION("""COMPUTED_VALUE"""),"Father")</f>
        <v>Father</v>
      </c>
      <c r="AI49" s="228">
        <f>IFERROR(__xludf.DUMMYFUNCTION("""COMPUTED_VALUE"""),3.337836641E9)</f>
        <v>3337836641</v>
      </c>
      <c r="AJ49" s="228" t="str">
        <f>IFERROR(__xludf.DUMMYFUNCTION("""COMPUTED_VALUE"""),"B+")</f>
        <v>B+</v>
      </c>
      <c r="AK49" s="731" t="str">
        <f>IFERROR(__xludf.DUMMYFUNCTION("""COMPUTED_VALUE"""),"https://www.linkedin.com/in/kamran-khalid-98aa4552/")</f>
        <v>https://www.linkedin.com/in/kamran-khalid-98aa4552/</v>
      </c>
      <c r="AL49" s="228"/>
      <c r="AM49" s="228"/>
      <c r="AN49" s="228" t="str">
        <f>IFERROR(__xludf.DUMMYFUNCTION("""COMPUTED_VALUE"""),"iOS Growth, Product")</f>
        <v>iOS Growth, Product</v>
      </c>
      <c r="AO49" s="228" t="str">
        <f>IFERROR(__xludf.DUMMYFUNCTION("""COMPUTED_VALUE"""),"ios.growth.team@vyro.ai, product.team@vyro.ai")</f>
        <v>ios.growth.team@vyro.ai, product.team@vyro.ai</v>
      </c>
      <c r="AP49" s="228" t="str">
        <f>IFERROR(__xludf.DUMMYFUNCTION("""COMPUTED_VALUE"""),"YES")</f>
        <v>YES</v>
      </c>
      <c r="AQ49" s="228" t="str">
        <f>IFERROR(__xludf.DUMMYFUNCTION("""COMPUTED_VALUE"""),"Active")</f>
        <v>Active</v>
      </c>
    </row>
    <row r="50">
      <c r="A50" s="228">
        <f>IFERROR(__xludf.DUMMYFUNCTION("""COMPUTED_VALUE"""),5279.0)</f>
        <v>5279</v>
      </c>
      <c r="B50" s="228" t="str">
        <f>IFERROR(__xludf.DUMMYFUNCTION("""COMPUTED_VALUE"""),"Misbah Aziz")</f>
        <v>Misbah Aziz</v>
      </c>
      <c r="C50" s="228" t="str">
        <f>IFERROR(__xludf.DUMMYFUNCTION("""COMPUTED_VALUE"""),"misbhaziz@gmail.com")</f>
        <v>misbhaziz@gmail.com</v>
      </c>
      <c r="D50" s="228" t="str">
        <f>IFERROR(__xludf.DUMMYFUNCTION("""COMPUTED_VALUE"""),"misbah.aziz@vyro.ai")</f>
        <v>misbah.aziz@vyro.ai</v>
      </c>
      <c r="E50" s="728">
        <f>IFERROR(__xludf.DUMMYFUNCTION("""COMPUTED_VALUE"""),45446.0)</f>
        <v>45446</v>
      </c>
      <c r="F50" s="228" t="str">
        <f>IFERROR(__xludf.DUMMYFUNCTION("""COMPUTED_VALUE"""),"UX Designer")</f>
        <v>UX Designer</v>
      </c>
      <c r="G50" s="228" t="str">
        <f>IFERROR(__xludf.DUMMYFUNCTION("""COMPUTED_VALUE"""),"Product Design")</f>
        <v>Product Design</v>
      </c>
      <c r="H50" s="228" t="str">
        <f>IFERROR(__xludf.DUMMYFUNCTION("""COMPUTED_VALUE"""),"Khadija Umer")</f>
        <v>Khadija Umer</v>
      </c>
      <c r="I50" s="228" t="str">
        <f>IFERROR(__xludf.DUMMYFUNCTION("""COMPUTED_VALUE"""),"Probation")</f>
        <v>Probation</v>
      </c>
      <c r="J50" s="228" t="str">
        <f>IFERROR(__xludf.DUMMYFUNCTION("""COMPUTED_VALUE"""),"Active")</f>
        <v>Active</v>
      </c>
      <c r="K50" s="228" t="str">
        <f>IFERROR(__xludf.DUMMYFUNCTION("""COMPUTED_VALUE"""),"3M")</f>
        <v>3M</v>
      </c>
      <c r="L50" s="729">
        <f>IFERROR(__xludf.DUMMYFUNCTION("""COMPUTED_VALUE"""),45538.0)</f>
        <v>45538</v>
      </c>
      <c r="M50" s="228"/>
      <c r="N50" s="228"/>
      <c r="O50" s="228"/>
      <c r="P50" s="228" t="str">
        <f>IFERROR(__xludf.DUMMYFUNCTION("""COMPUTED_VALUE"""),"03487116129")</f>
        <v>03487116129</v>
      </c>
      <c r="Q50" s="228" t="str">
        <f>IFERROR(__xludf.DUMMYFUNCTION("""COMPUTED_VALUE"""),"36602-2764423-2")</f>
        <v>36602-2764423-2</v>
      </c>
      <c r="R50" s="228" t="str">
        <f>IFERROR(__xludf.DUMMYFUNCTION("""COMPUTED_VALUE"""),"Female")</f>
        <v>Female</v>
      </c>
      <c r="S50" s="228" t="str">
        <f>IFERROR(__xludf.DUMMYFUNCTION("""COMPUTED_VALUE"""),"Habib Bank Limited")</f>
        <v>Habib Bank Limited</v>
      </c>
      <c r="T50" s="228" t="str">
        <f>IFERROR(__xludf.DUMMYFUNCTION("""COMPUTED_VALUE"""),"Misbah Aziz")</f>
        <v>Misbah Aziz</v>
      </c>
      <c r="U50" s="228" t="str">
        <f>IFERROR(__xludf.DUMMYFUNCTION("""COMPUTED_VALUE"""),"PK82HABB0022927916940203")</f>
        <v>PK82HABB0022927916940203</v>
      </c>
      <c r="V50" s="228" t="str">
        <f>IFERROR(__xludf.DUMMYFUNCTION("""COMPUTED_VALUE"""),"HABBPKKAA")</f>
        <v>HABBPKKAA</v>
      </c>
      <c r="W50" s="228"/>
      <c r="X50" s="228" t="str">
        <f>IFERROR(__xludf.DUMMYFUNCTION("""COMPUTED_VALUE"""),"Islamabad")</f>
        <v>Islamabad</v>
      </c>
      <c r="Y50" s="730">
        <f>IFERROR(__xludf.DUMMYFUNCTION("""COMPUTED_VALUE"""),36443.0)</f>
        <v>36443</v>
      </c>
      <c r="Z50" s="228" t="str">
        <f>IFERROR(__xludf.DUMMYFUNCTION("""COMPUTED_VALUE"""),"25 Years")</f>
        <v>25 Years</v>
      </c>
      <c r="AA50" s="228" t="str">
        <f>IFERROR(__xludf.DUMMYFUNCTION("""COMPUTED_VALUE"""),"Meezan Bank Street, Near Post Office Muhala Riazabad City, Kabirwala District, Khanewal")</f>
        <v>Meezan Bank Street, Near Post Office Muhala Riazabad City, Kabirwala District, Khanewal</v>
      </c>
      <c r="AB50" s="228" t="str">
        <f>IFERROR(__xludf.DUMMYFUNCTION("""COMPUTED_VALUE"""),"Pakistani")</f>
        <v>Pakistani</v>
      </c>
      <c r="AC50" s="228" t="str">
        <f>IFERROR(__xludf.DUMMYFUNCTION("""COMPUTED_VALUE"""),"Single")</f>
        <v>Single</v>
      </c>
      <c r="AD50" s="228"/>
      <c r="AE50" s="228"/>
      <c r="AF50" s="228"/>
      <c r="AG50" s="228" t="str">
        <f>IFERROR(__xludf.DUMMYFUNCTION("""COMPUTED_VALUE"""),"Riaz Ahmed Aziz")</f>
        <v>Riaz Ahmed Aziz</v>
      </c>
      <c r="AH50" s="228" t="str">
        <f>IFERROR(__xludf.DUMMYFUNCTION("""COMPUTED_VALUE"""),"Mother")</f>
        <v>Mother</v>
      </c>
      <c r="AI50" s="228"/>
      <c r="AJ50" s="228" t="str">
        <f>IFERROR(__xludf.DUMMYFUNCTION("""COMPUTED_VALUE"""),"O+")</f>
        <v>O+</v>
      </c>
      <c r="AK50" s="731" t="str">
        <f>IFERROR(__xludf.DUMMYFUNCTION("""COMPUTED_VALUE"""),"https://www.linkedin.com/in/misbah-aziz-8625681b6/")</f>
        <v>https://www.linkedin.com/in/misbah-aziz-8625681b6/</v>
      </c>
      <c r="AL50" s="228"/>
      <c r="AM50" s="228"/>
      <c r="AN50" s="228" t="str">
        <f>IFERROR(__xludf.DUMMYFUNCTION("""COMPUTED_VALUE"""),"Creatives, Content")</f>
        <v>Creatives, Content</v>
      </c>
      <c r="AO50" s="228" t="str">
        <f>IFERROR(__xludf.DUMMYFUNCTION("""COMPUTED_VALUE"""),"Creatives.team@vyro.ai, content.team@vyro.ai")</f>
        <v>Creatives.team@vyro.ai, content.team@vyro.ai</v>
      </c>
      <c r="AP50" s="228" t="str">
        <f>IFERROR(__xludf.DUMMYFUNCTION("""COMPUTED_VALUE"""),"NO")</f>
        <v>NO</v>
      </c>
      <c r="AQ50" s="228" t="str">
        <f>IFERROR(__xludf.DUMMYFUNCTION("""COMPUTED_VALUE"""),"Active")</f>
        <v>Active</v>
      </c>
    </row>
    <row r="51">
      <c r="A51" s="228">
        <f>IFERROR(__xludf.DUMMYFUNCTION("""COMPUTED_VALUE"""),5277.0)</f>
        <v>5277</v>
      </c>
      <c r="B51" s="228" t="str">
        <f>IFERROR(__xludf.DUMMYFUNCTION("""COMPUTED_VALUE"""),"Muhammad Ubaid Ullah")</f>
        <v>Muhammad Ubaid Ullah</v>
      </c>
      <c r="C51" s="228" t="str">
        <f>IFERROR(__xludf.DUMMYFUNCTION("""COMPUTED_VALUE"""),"ubaidasim514@gmail.com")</f>
        <v>ubaidasim514@gmail.com</v>
      </c>
      <c r="D51" s="228" t="str">
        <f>IFERROR(__xludf.DUMMYFUNCTION("""COMPUTED_VALUE"""),"ubaid.ullah@vyro.ai")</f>
        <v>ubaid.ullah@vyro.ai</v>
      </c>
      <c r="E51" s="728">
        <f>IFERROR(__xludf.DUMMYFUNCTION("""COMPUTED_VALUE"""),45446.0)</f>
        <v>45446</v>
      </c>
      <c r="F51" s="228" t="str">
        <f>IFERROR(__xludf.DUMMYFUNCTION("""COMPUTED_VALUE"""),"Senior Product Designer")</f>
        <v>Senior Product Designer</v>
      </c>
      <c r="G51" s="228" t="str">
        <f>IFERROR(__xludf.DUMMYFUNCTION("""COMPUTED_VALUE"""),"Product Design")</f>
        <v>Product Design</v>
      </c>
      <c r="H51" s="228" t="str">
        <f>IFERROR(__xludf.DUMMYFUNCTION("""COMPUTED_VALUE"""),"Umaira Jabeen/ Saad Aziz")</f>
        <v>Umaira Jabeen/ Saad Aziz</v>
      </c>
      <c r="I51" s="228" t="str">
        <f>IFERROR(__xludf.DUMMYFUNCTION("""COMPUTED_VALUE"""),"Probation")</f>
        <v>Probation</v>
      </c>
      <c r="J51" s="228" t="str">
        <f>IFERROR(__xludf.DUMMYFUNCTION("""COMPUTED_VALUE"""),"Active")</f>
        <v>Active</v>
      </c>
      <c r="K51" s="228" t="str">
        <f>IFERROR(__xludf.DUMMYFUNCTION("""COMPUTED_VALUE"""),"3M")</f>
        <v>3M</v>
      </c>
      <c r="L51" s="729">
        <f>IFERROR(__xludf.DUMMYFUNCTION("""COMPUTED_VALUE"""),45538.0)</f>
        <v>45538</v>
      </c>
      <c r="M51" s="228"/>
      <c r="N51" s="228"/>
      <c r="O51" s="228"/>
      <c r="P51" s="228" t="str">
        <f>IFERROR(__xludf.DUMMYFUNCTION("""COMPUTED_VALUE"""),"03338355389")</f>
        <v>03338355389</v>
      </c>
      <c r="Q51" s="228" t="str">
        <f>IFERROR(__xludf.DUMMYFUNCTION("""COMPUTED_VALUE"""),"36103-3565578-3")</f>
        <v>36103-3565578-3</v>
      </c>
      <c r="R51" s="228" t="str">
        <f>IFERROR(__xludf.DUMMYFUNCTION("""COMPUTED_VALUE"""),"Male")</f>
        <v>Male</v>
      </c>
      <c r="S51" s="228" t="str">
        <f>IFERROR(__xludf.DUMMYFUNCTION("""COMPUTED_VALUE"""),"1. Meezan Bank                2.Habib Bank Limited")</f>
        <v>1. Meezan Bank                2.Habib Bank Limited</v>
      </c>
      <c r="T51" s="228" t="str">
        <f>IFERROR(__xludf.DUMMYFUNCTION("""COMPUTED_VALUE"""),"Muhammad Ubaid Ullah")</f>
        <v>Muhammad Ubaid Ullah</v>
      </c>
      <c r="U51" s="228" t="str">
        <f>IFERROR(__xludf.DUMMYFUNCTION("""COMPUTED_VALUE"""),"1. 08310110326805                           2.PK60HABB0001187902640103")</f>
        <v>1. 08310110326805                           2.PK60HABB0001187902640103</v>
      </c>
      <c r="V51" s="228" t="str">
        <f>IFERROR(__xludf.DUMMYFUNCTION("""COMPUTED_VALUE"""),"HABBPKKAA")</f>
        <v>HABBPKKAA</v>
      </c>
      <c r="W51" s="228"/>
      <c r="X51" s="228" t="str">
        <f>IFERROR(__xludf.DUMMYFUNCTION("""COMPUTED_VALUE"""),"Islamabad")</f>
        <v>Islamabad</v>
      </c>
      <c r="Y51" s="730">
        <f>IFERROR(__xludf.DUMMYFUNCTION("""COMPUTED_VALUE"""),36530.0)</f>
        <v>36530</v>
      </c>
      <c r="Z51" s="228" t="str">
        <f>IFERROR(__xludf.DUMMYFUNCTION("""COMPUTED_VALUE"""),"25 Years")</f>
        <v>25 Years</v>
      </c>
      <c r="AA51" s="228" t="str">
        <f>IFERROR(__xludf.DUMMYFUNCTION("""COMPUTED_VALUE"""),"House 11, Avenue 9, Block B, DHA Phase 3, Islamabad")</f>
        <v>House 11, Avenue 9, Block B, DHA Phase 3, Islamabad</v>
      </c>
      <c r="AB51" s="228" t="str">
        <f>IFERROR(__xludf.DUMMYFUNCTION("""COMPUTED_VALUE"""),"Pakistani")</f>
        <v>Pakistani</v>
      </c>
      <c r="AC51" s="228" t="str">
        <f>IFERROR(__xludf.DUMMYFUNCTION("""COMPUTED_VALUE"""),"Single")</f>
        <v>Single</v>
      </c>
      <c r="AD51" s="228"/>
      <c r="AE51" s="228"/>
      <c r="AF51" s="228"/>
      <c r="AG51" s="228" t="str">
        <f>IFERROR(__xludf.DUMMYFUNCTION("""COMPUTED_VALUE"""),"Asim Naeem Janjua")</f>
        <v>Asim Naeem Janjua</v>
      </c>
      <c r="AH51" s="228" t="str">
        <f>IFERROR(__xludf.DUMMYFUNCTION("""COMPUTED_VALUE"""),"Father")</f>
        <v>Father</v>
      </c>
      <c r="AI51" s="228">
        <f>IFERROR(__xludf.DUMMYFUNCTION("""COMPUTED_VALUE"""),3.336222368E9)</f>
        <v>3336222368</v>
      </c>
      <c r="AJ51" s="228" t="str">
        <f>IFERROR(__xludf.DUMMYFUNCTION("""COMPUTED_VALUE"""),"O+")</f>
        <v>O+</v>
      </c>
      <c r="AK51" s="731" t="str">
        <f>IFERROR(__xludf.DUMMYFUNCTION("""COMPUTED_VALUE"""),"https://www.linkedin.com/in/ubaidasim/")</f>
        <v>https://www.linkedin.com/in/ubaidasim/</v>
      </c>
      <c r="AL51" s="228"/>
      <c r="AM51" s="228"/>
      <c r="AN51" s="228" t="str">
        <f>IFERROR(__xludf.DUMMYFUNCTION("""COMPUTED_VALUE"""),"Product Design")</f>
        <v>Product Design</v>
      </c>
      <c r="AO51" s="228" t="str">
        <f>IFERROR(__xludf.DUMMYFUNCTION("""COMPUTED_VALUE"""),"product.design.team@vyro.ai")</f>
        <v>product.design.team@vyro.ai</v>
      </c>
      <c r="AP51" s="228" t="str">
        <f>IFERROR(__xludf.DUMMYFUNCTION("""COMPUTED_VALUE"""),"NO")</f>
        <v>NO</v>
      </c>
      <c r="AQ51" s="228" t="str">
        <f>IFERROR(__xludf.DUMMYFUNCTION("""COMPUTED_VALUE"""),"Active")</f>
        <v>Active</v>
      </c>
    </row>
    <row r="52">
      <c r="A52" s="228">
        <f>IFERROR(__xludf.DUMMYFUNCTION("""COMPUTED_VALUE"""),5283.0)</f>
        <v>5283</v>
      </c>
      <c r="B52" s="228" t="str">
        <f>IFERROR(__xludf.DUMMYFUNCTION("""COMPUTED_VALUE"""),"Annum Inam")</f>
        <v>Annum Inam</v>
      </c>
      <c r="C52" s="228" t="str">
        <f>IFERROR(__xludf.DUMMYFUNCTION("""COMPUTED_VALUE"""),"annum.shah3@gmail.com")</f>
        <v>annum.shah3@gmail.com</v>
      </c>
      <c r="D52" s="228" t="str">
        <f>IFERROR(__xludf.DUMMYFUNCTION("""COMPUTED_VALUE"""),"annum.inam@vyro.ai")</f>
        <v>annum.inam@vyro.ai</v>
      </c>
      <c r="E52" s="728">
        <f>IFERROR(__xludf.DUMMYFUNCTION("""COMPUTED_VALUE"""),45453.0)</f>
        <v>45453</v>
      </c>
      <c r="F52" s="228" t="str">
        <f>IFERROR(__xludf.DUMMYFUNCTION("""COMPUTED_VALUE"""),"Technical Recruiter")</f>
        <v>Technical Recruiter</v>
      </c>
      <c r="G52" s="228" t="str">
        <f>IFERROR(__xludf.DUMMYFUNCTION("""COMPUTED_VALUE"""),"People &amp; Talent")</f>
        <v>People &amp; Talent</v>
      </c>
      <c r="H52" s="228" t="str">
        <f>IFERROR(__xludf.DUMMYFUNCTION("""COMPUTED_VALUE"""),"Ahmed Abubakar, CEO")</f>
        <v>Ahmed Abubakar, CEO</v>
      </c>
      <c r="I52" s="228" t="str">
        <f>IFERROR(__xludf.DUMMYFUNCTION("""COMPUTED_VALUE"""),"Probation")</f>
        <v>Probation</v>
      </c>
      <c r="J52" s="228" t="str">
        <f>IFERROR(__xludf.DUMMYFUNCTION("""COMPUTED_VALUE"""),"Active")</f>
        <v>Active</v>
      </c>
      <c r="K52" s="228" t="str">
        <f>IFERROR(__xludf.DUMMYFUNCTION("""COMPUTED_VALUE"""),"3M")</f>
        <v>3M</v>
      </c>
      <c r="L52" s="729">
        <f>IFERROR(__xludf.DUMMYFUNCTION("""COMPUTED_VALUE"""),45545.0)</f>
        <v>45545</v>
      </c>
      <c r="M52" s="228"/>
      <c r="N52" s="228"/>
      <c r="O52" s="228"/>
      <c r="P52" s="228" t="str">
        <f>IFERROR(__xludf.DUMMYFUNCTION("""COMPUTED_VALUE"""),"03335024195")</f>
        <v>03335024195</v>
      </c>
      <c r="Q52" s="228" t="str">
        <f>IFERROR(__xludf.DUMMYFUNCTION("""COMPUTED_VALUE"""),"61101-7960847-6")</f>
        <v>61101-7960847-6</v>
      </c>
      <c r="R52" s="228" t="str">
        <f>IFERROR(__xludf.DUMMYFUNCTION("""COMPUTED_VALUE"""),"Female")</f>
        <v>Female</v>
      </c>
      <c r="S52" s="228" t="str">
        <f>IFERROR(__xludf.DUMMYFUNCTION("""COMPUTED_VALUE"""),"Meezan Bank")</f>
        <v>Meezan Bank</v>
      </c>
      <c r="T52" s="228" t="str">
        <f>IFERROR(__xludf.DUMMYFUNCTION("""COMPUTED_VALUE"""),"Annum inam")</f>
        <v>Annum inam</v>
      </c>
      <c r="U52" s="228" t="str">
        <f>IFERROR(__xludf.DUMMYFUNCTION("""COMPUTED_VALUE"""),"PK23MEZN0003230105461392")</f>
        <v>PK23MEZN0003230105461392</v>
      </c>
      <c r="V52" s="228" t="str">
        <f>IFERROR(__xludf.DUMMYFUNCTION("""COMPUTED_VALUE"""),"MEZNPKKAGRD")</f>
        <v>MEZNPKKAGRD</v>
      </c>
      <c r="W52" s="228"/>
      <c r="X52" s="228" t="str">
        <f>IFERROR(__xludf.DUMMYFUNCTION("""COMPUTED_VALUE"""),"Islamabad")</f>
        <v>Islamabad</v>
      </c>
      <c r="Y52" s="730">
        <f>IFERROR(__xludf.DUMMYFUNCTION("""COMPUTED_VALUE"""),33230.0)</f>
        <v>33230</v>
      </c>
      <c r="Z52" s="228" t="str">
        <f>IFERROR(__xludf.DUMMYFUNCTION("""COMPUTED_VALUE"""),"34 Years")</f>
        <v>34 Years</v>
      </c>
      <c r="AA52" s="228" t="str">
        <f>IFERROR(__xludf.DUMMYFUNCTION("""COMPUTED_VALUE"""),"House 23, Street 9, Block-B, Soan Gardens, Islamabad")</f>
        <v>House 23, Street 9, Block-B, Soan Gardens, Islamabad</v>
      </c>
      <c r="AB52" s="228" t="str">
        <f>IFERROR(__xludf.DUMMYFUNCTION("""COMPUTED_VALUE"""),"Pakistani")</f>
        <v>Pakistani</v>
      </c>
      <c r="AC52" s="228" t="str">
        <f>IFERROR(__xludf.DUMMYFUNCTION("""COMPUTED_VALUE"""),"Single")</f>
        <v>Single</v>
      </c>
      <c r="AD52" s="228"/>
      <c r="AE52" s="228"/>
      <c r="AF52" s="228"/>
      <c r="AG52" s="228" t="str">
        <f>IFERROR(__xludf.DUMMYFUNCTION("""COMPUTED_VALUE"""),"Syed Inam Ullah Tirmizi")</f>
        <v>Syed Inam Ullah Tirmizi</v>
      </c>
      <c r="AH52" s="228" t="str">
        <f>IFERROR(__xludf.DUMMYFUNCTION("""COMPUTED_VALUE"""),"Father")</f>
        <v>Father</v>
      </c>
      <c r="AI52" s="228">
        <f>IFERROR(__xludf.DUMMYFUNCTION("""COMPUTED_VALUE"""),3.33512896E9)</f>
        <v>3335128960</v>
      </c>
      <c r="AJ52" s="228" t="str">
        <f>IFERROR(__xludf.DUMMYFUNCTION("""COMPUTED_VALUE"""),"B+")</f>
        <v>B+</v>
      </c>
      <c r="AK52" s="731" t="str">
        <f>IFERROR(__xludf.DUMMYFUNCTION("""COMPUTED_VALUE"""),"www.linkedin.com/in/iannum")</f>
        <v>www.linkedin.com/in/iannum</v>
      </c>
      <c r="AL52" s="228"/>
      <c r="AM52" s="228"/>
      <c r="AN52" s="228" t="str">
        <f>IFERROR(__xludf.DUMMYFUNCTION("""COMPUTED_VALUE"""),"Talent")</f>
        <v>Talent</v>
      </c>
      <c r="AO52" s="228" t="str">
        <f>IFERROR(__xludf.DUMMYFUNCTION("""COMPUTED_VALUE"""),"talent.team@vyro.ai")</f>
        <v>talent.team@vyro.ai</v>
      </c>
      <c r="AP52" s="228" t="str">
        <f>IFERROR(__xludf.DUMMYFUNCTION("""COMPUTED_VALUE"""),"NO")</f>
        <v>NO</v>
      </c>
      <c r="AQ52" s="228" t="str">
        <f>IFERROR(__xludf.DUMMYFUNCTION("""COMPUTED_VALUE"""),"Active")</f>
        <v>Active</v>
      </c>
    </row>
    <row r="53">
      <c r="A53" s="228">
        <f>IFERROR(__xludf.DUMMYFUNCTION("""COMPUTED_VALUE"""),5280.0)</f>
        <v>5280</v>
      </c>
      <c r="B53" s="228" t="str">
        <f>IFERROR(__xludf.DUMMYFUNCTION("""COMPUTED_VALUE"""),"Muhammad Shoaib")</f>
        <v>Muhammad Shoaib</v>
      </c>
      <c r="C53" s="228" t="str">
        <f>IFERROR(__xludf.DUMMYFUNCTION("""COMPUTED_VALUE"""),"muhammadshoaibajk@gmail.com")</f>
        <v>muhammadshoaibajk@gmail.com</v>
      </c>
      <c r="D53" s="228" t="str">
        <f>IFERROR(__xludf.DUMMYFUNCTION("""COMPUTED_VALUE"""),"muhammad.shoaib@vyro.ai")</f>
        <v>muhammad.shoaib@vyro.ai</v>
      </c>
      <c r="E53" s="728">
        <f>IFERROR(__xludf.DUMMYFUNCTION("""COMPUTED_VALUE"""),45453.0)</f>
        <v>45453</v>
      </c>
      <c r="F53" s="228" t="str">
        <f>IFERROR(__xludf.DUMMYFUNCTION("""COMPUTED_VALUE"""),"Software Quality Assurance Engineer")</f>
        <v>Software Quality Assurance Engineer</v>
      </c>
      <c r="G53" s="228" t="str">
        <f>IFERROR(__xludf.DUMMYFUNCTION("""COMPUTED_VALUE"""),"Quality Assurance")</f>
        <v>Quality Assurance</v>
      </c>
      <c r="H53" s="228" t="str">
        <f>IFERROR(__xludf.DUMMYFUNCTION("""COMPUTED_VALUE"""),"Saad Ahmed")</f>
        <v>Saad Ahmed</v>
      </c>
      <c r="I53" s="228" t="str">
        <f>IFERROR(__xludf.DUMMYFUNCTION("""COMPUTED_VALUE"""),"Probation")</f>
        <v>Probation</v>
      </c>
      <c r="J53" s="228" t="str">
        <f>IFERROR(__xludf.DUMMYFUNCTION("""COMPUTED_VALUE"""),"Active")</f>
        <v>Active</v>
      </c>
      <c r="K53" s="228" t="str">
        <f>IFERROR(__xludf.DUMMYFUNCTION("""COMPUTED_VALUE"""),"3M")</f>
        <v>3M</v>
      </c>
      <c r="L53" s="729">
        <f>IFERROR(__xludf.DUMMYFUNCTION("""COMPUTED_VALUE"""),45545.0)</f>
        <v>45545</v>
      </c>
      <c r="M53" s="228"/>
      <c r="N53" s="228"/>
      <c r="O53" s="228"/>
      <c r="P53" s="228" t="str">
        <f>IFERROR(__xludf.DUMMYFUNCTION("""COMPUTED_VALUE"""),"03175419710")</f>
        <v>03175419710</v>
      </c>
      <c r="Q53" s="228" t="str">
        <f>IFERROR(__xludf.DUMMYFUNCTION("""COMPUTED_VALUE"""),"82401-2146189-7")</f>
        <v>82401-2146189-7</v>
      </c>
      <c r="R53" s="228" t="str">
        <f>IFERROR(__xludf.DUMMYFUNCTION("""COMPUTED_VALUE"""),"Male")</f>
        <v>Male</v>
      </c>
      <c r="S53" s="228" t="str">
        <f>IFERROR(__xludf.DUMMYFUNCTION("""COMPUTED_VALUE"""),"Standard Chartered")</f>
        <v>Standard Chartered</v>
      </c>
      <c r="T53" s="228" t="str">
        <f>IFERROR(__xludf.DUMMYFUNCTION("""COMPUTED_VALUE"""),"Muhammad Shoaib")</f>
        <v>Muhammad Shoaib</v>
      </c>
      <c r="U53" s="228" t="str">
        <f>IFERROR(__xludf.DUMMYFUNCTION("""COMPUTED_VALUE"""),"PK32SCBL0000001027746001")</f>
        <v>PK32SCBL0000001027746001</v>
      </c>
      <c r="V53" s="228" t="str">
        <f>IFERROR(__xludf.DUMMYFUNCTION("""COMPUTED_VALUE"""),"SCBLPKKX")</f>
        <v>SCBLPKKX</v>
      </c>
      <c r="W53" s="228"/>
      <c r="X53" s="228" t="str">
        <f>IFERROR(__xludf.DUMMYFUNCTION("""COMPUTED_VALUE"""),"Islamabad")</f>
        <v>Islamabad</v>
      </c>
      <c r="Y53" s="730">
        <f>IFERROR(__xludf.DUMMYFUNCTION("""COMPUTED_VALUE"""),36346.0)</f>
        <v>36346</v>
      </c>
      <c r="Z53" s="228" t="str">
        <f>IFERROR(__xludf.DUMMYFUNCTION("""COMPUTED_VALUE"""),"25 Years")</f>
        <v>25 Years</v>
      </c>
      <c r="AA53" s="228" t="str">
        <f>IFERROR(__xludf.DUMMYFUNCTION("""COMPUTED_VALUE"""),"Main street Bukhari Town, House next to jamia masjid Ashra Mubashra Jhangi Syedan Islamabad")</f>
        <v>Main street Bukhari Town, House next to jamia masjid Ashra Mubashra Jhangi Syedan Islamabad</v>
      </c>
      <c r="AB53" s="228" t="str">
        <f>IFERROR(__xludf.DUMMYFUNCTION("""COMPUTED_VALUE"""),"Pakistani")</f>
        <v>Pakistani</v>
      </c>
      <c r="AC53" s="228" t="str">
        <f>IFERROR(__xludf.DUMMYFUNCTION("""COMPUTED_VALUE"""),"Single")</f>
        <v>Single</v>
      </c>
      <c r="AD53" s="228"/>
      <c r="AE53" s="228"/>
      <c r="AF53" s="228"/>
      <c r="AG53" s="228" t="str">
        <f>IFERROR(__xludf.DUMMYFUNCTION("""COMPUTED_VALUE"""),"Muhammad Saqib")</f>
        <v>Muhammad Saqib</v>
      </c>
      <c r="AH53" s="228" t="str">
        <f>IFERROR(__xludf.DUMMYFUNCTION("""COMPUTED_VALUE"""),"Brother")</f>
        <v>Brother</v>
      </c>
      <c r="AI53" s="228">
        <f>IFERROR(__xludf.DUMMYFUNCTION("""COMPUTED_VALUE"""),3.405700499E9)</f>
        <v>3405700499</v>
      </c>
      <c r="AJ53" s="228" t="str">
        <f>IFERROR(__xludf.DUMMYFUNCTION("""COMPUTED_VALUE"""),"O+")</f>
        <v>O+</v>
      </c>
      <c r="AK53" s="731" t="str">
        <f>IFERROR(__xludf.DUMMYFUNCTION("""COMPUTED_VALUE"""),"https://www.linkedin.com/in/shoaaaib")</f>
        <v>https://www.linkedin.com/in/shoaaaib</v>
      </c>
      <c r="AL53" s="228"/>
      <c r="AM53" s="228"/>
      <c r="AN53" s="228" t="str">
        <f>IFERROR(__xludf.DUMMYFUNCTION("""COMPUTED_VALUE"""),"Quality Assurance")</f>
        <v>Quality Assurance</v>
      </c>
      <c r="AO53" s="228" t="str">
        <f>IFERROR(__xludf.DUMMYFUNCTION("""COMPUTED_VALUE"""),"qa.team@vyro.ai")</f>
        <v>qa.team@vyro.ai</v>
      </c>
      <c r="AP53" s="228" t="str">
        <f>IFERROR(__xludf.DUMMYFUNCTION("""COMPUTED_VALUE"""),"NO")</f>
        <v>NO</v>
      </c>
      <c r="AQ53" s="228" t="str">
        <f>IFERROR(__xludf.DUMMYFUNCTION("""COMPUTED_VALUE"""),"Active")</f>
        <v>Active</v>
      </c>
    </row>
    <row r="54">
      <c r="A54" s="228">
        <f>IFERROR(__xludf.DUMMYFUNCTION("""COMPUTED_VALUE"""),5284.0)</f>
        <v>5284</v>
      </c>
      <c r="B54" s="228" t="str">
        <f>IFERROR(__xludf.DUMMYFUNCTION("""COMPUTED_VALUE"""),"Uzma Shaheen")</f>
        <v>Uzma Shaheen</v>
      </c>
      <c r="C54" s="228" t="str">
        <f>IFERROR(__xludf.DUMMYFUNCTION("""COMPUTED_VALUE"""),"uzmakhattak89@gmail.com")</f>
        <v>uzmakhattak89@gmail.com</v>
      </c>
      <c r="D54" s="228" t="str">
        <f>IFERROR(__xludf.DUMMYFUNCTION("""COMPUTED_VALUE"""),"uzma.shaheen@vyro.ai")</f>
        <v>uzma.shaheen@vyro.ai</v>
      </c>
      <c r="E54" s="728">
        <f>IFERROR(__xludf.DUMMYFUNCTION("""COMPUTED_VALUE"""),45453.0)</f>
        <v>45453</v>
      </c>
      <c r="F54" s="228" t="str">
        <f>IFERROR(__xludf.DUMMYFUNCTION("""COMPUTED_VALUE"""),"Software Quality Assurance Associate")</f>
        <v>Software Quality Assurance Associate</v>
      </c>
      <c r="G54" s="228" t="str">
        <f>IFERROR(__xludf.DUMMYFUNCTION("""COMPUTED_VALUE"""),"Quality Assurance")</f>
        <v>Quality Assurance</v>
      </c>
      <c r="H54" s="228" t="str">
        <f>IFERROR(__xludf.DUMMYFUNCTION("""COMPUTED_VALUE"""),"Awais Chaudhry")</f>
        <v>Awais Chaudhry</v>
      </c>
      <c r="I54" s="228" t="str">
        <f>IFERROR(__xludf.DUMMYFUNCTION("""COMPUTED_VALUE"""),"Probation")</f>
        <v>Probation</v>
      </c>
      <c r="J54" s="228" t="str">
        <f>IFERROR(__xludf.DUMMYFUNCTION("""COMPUTED_VALUE"""),"Active")</f>
        <v>Active</v>
      </c>
      <c r="K54" s="228" t="str">
        <f>IFERROR(__xludf.DUMMYFUNCTION("""COMPUTED_VALUE"""),"3M")</f>
        <v>3M</v>
      </c>
      <c r="L54" s="729">
        <f>IFERROR(__xludf.DUMMYFUNCTION("""COMPUTED_VALUE"""),45545.0)</f>
        <v>45545</v>
      </c>
      <c r="M54" s="228"/>
      <c r="N54" s="228"/>
      <c r="O54" s="228"/>
      <c r="P54" s="228" t="str">
        <f>IFERROR(__xludf.DUMMYFUNCTION("""COMPUTED_VALUE"""),"03365825328")</f>
        <v>03365825328</v>
      </c>
      <c r="Q54" s="228" t="str">
        <f>IFERROR(__xludf.DUMMYFUNCTION("""COMPUTED_VALUE"""),"37104-4296305-6")</f>
        <v>37104-4296305-6</v>
      </c>
      <c r="R54" s="228" t="str">
        <f>IFERROR(__xludf.DUMMYFUNCTION("""COMPUTED_VALUE"""),"Female")</f>
        <v>Female</v>
      </c>
      <c r="S54" s="228" t="str">
        <f>IFERROR(__xludf.DUMMYFUNCTION("""COMPUTED_VALUE"""),"UBL")</f>
        <v>UBL</v>
      </c>
      <c r="T54" s="228" t="str">
        <f>IFERROR(__xludf.DUMMYFUNCTION("""COMPUTED_VALUE"""),"Uzma Shaheen")</f>
        <v>Uzma Shaheen</v>
      </c>
      <c r="U54" s="228" t="str">
        <f>IFERROR(__xludf.DUMMYFUNCTION("""COMPUTED_VALUE"""),"PK11UNIL0109000302966608")</f>
        <v>PK11UNIL0109000302966608</v>
      </c>
      <c r="V54" s="228" t="str">
        <f>IFERROR(__xludf.DUMMYFUNCTION("""COMPUTED_VALUE"""),"UNILPKKA939")</f>
        <v>UNILPKKA939</v>
      </c>
      <c r="W54" s="228"/>
      <c r="X54" s="228" t="str">
        <f>IFERROR(__xludf.DUMMYFUNCTION("""COMPUTED_VALUE"""),"Islamabad")</f>
        <v>Islamabad</v>
      </c>
      <c r="Y54" s="730">
        <f>IFERROR(__xludf.DUMMYFUNCTION("""COMPUTED_VALUE"""),36451.0)</f>
        <v>36451</v>
      </c>
      <c r="Z54" s="228" t="str">
        <f>IFERROR(__xludf.DUMMYFUNCTION("""COMPUTED_VALUE"""),"25 Years")</f>
        <v>25 Years</v>
      </c>
      <c r="AA54" s="228" t="str">
        <f>IFERROR(__xludf.DUMMYFUNCTION("""COMPUTED_VALUE"""),"Post Office Lakarmar, Malangi, Tehsil Jand, District Attock")</f>
        <v>Post Office Lakarmar, Malangi, Tehsil Jand, District Attock</v>
      </c>
      <c r="AB54" s="228" t="str">
        <f>IFERROR(__xludf.DUMMYFUNCTION("""COMPUTED_VALUE"""),"Pakistani")</f>
        <v>Pakistani</v>
      </c>
      <c r="AC54" s="228" t="str">
        <f>IFERROR(__xludf.DUMMYFUNCTION("""COMPUTED_VALUE"""),"Married")</f>
        <v>Married</v>
      </c>
      <c r="AD54" s="228"/>
      <c r="AE54" s="228"/>
      <c r="AF54" s="228"/>
      <c r="AG54" s="228" t="str">
        <f>IFERROR(__xludf.DUMMYFUNCTION("""COMPUTED_VALUE"""),"Anwar Khan")</f>
        <v>Anwar Khan</v>
      </c>
      <c r="AH54" s="228" t="str">
        <f>IFERROR(__xludf.DUMMYFUNCTION("""COMPUTED_VALUE"""),"Father")</f>
        <v>Father</v>
      </c>
      <c r="AI54" s="228">
        <f>IFERROR(__xludf.DUMMYFUNCTION("""COMPUTED_VALUE"""),3.333660591E9)</f>
        <v>3333660591</v>
      </c>
      <c r="AJ54" s="228" t="str">
        <f>IFERROR(__xludf.DUMMYFUNCTION("""COMPUTED_VALUE"""),"AB+")</f>
        <v>AB+</v>
      </c>
      <c r="AK54" s="731" t="str">
        <f>IFERROR(__xludf.DUMMYFUNCTION("""COMPUTED_VALUE"""),"https://www.linkedin.com/in/uzma-shaheen-6231701b2")</f>
        <v>https://www.linkedin.com/in/uzma-shaheen-6231701b2</v>
      </c>
      <c r="AL54" s="228"/>
      <c r="AM54" s="228"/>
      <c r="AN54" s="228" t="str">
        <f>IFERROR(__xludf.DUMMYFUNCTION("""COMPUTED_VALUE"""),"Quality Assurance")</f>
        <v>Quality Assurance</v>
      </c>
      <c r="AO54" s="228" t="str">
        <f>IFERROR(__xludf.DUMMYFUNCTION("""COMPUTED_VALUE"""),"qa.team@vyro.ai")</f>
        <v>qa.team@vyro.ai</v>
      </c>
      <c r="AP54" s="228" t="str">
        <f>IFERROR(__xludf.DUMMYFUNCTION("""COMPUTED_VALUE"""),"NO")</f>
        <v>NO</v>
      </c>
      <c r="AQ54" s="228" t="str">
        <f>IFERROR(__xludf.DUMMYFUNCTION("""COMPUTED_VALUE"""),"Active")</f>
        <v>Active</v>
      </c>
    </row>
    <row r="55">
      <c r="A55" s="228">
        <f>IFERROR(__xludf.DUMMYFUNCTION("""COMPUTED_VALUE"""),5285.0)</f>
        <v>5285</v>
      </c>
      <c r="B55" s="228" t="str">
        <f>IFERROR(__xludf.DUMMYFUNCTION("""COMPUTED_VALUE"""),"Syeda Fatima Shahid")</f>
        <v>Syeda Fatima Shahid</v>
      </c>
      <c r="C55" s="228" t="str">
        <f>IFERROR(__xludf.DUMMYFUNCTION("""COMPUTED_VALUE"""),"shahidfm01@gmail.com")</f>
        <v>shahidfm01@gmail.com</v>
      </c>
      <c r="D55" s="228" t="str">
        <f>IFERROR(__xludf.DUMMYFUNCTION("""COMPUTED_VALUE"""),"fatima.shahid@vyro.ai")</f>
        <v>fatima.shahid@vyro.ai</v>
      </c>
      <c r="E55" s="728">
        <f>IFERROR(__xludf.DUMMYFUNCTION("""COMPUTED_VALUE"""),45467.0)</f>
        <v>45467</v>
      </c>
      <c r="F55" s="228" t="str">
        <f>IFERROR(__xludf.DUMMYFUNCTION("""COMPUTED_VALUE"""),"Data Engineer")</f>
        <v>Data Engineer</v>
      </c>
      <c r="G55" s="228" t="str">
        <f>IFERROR(__xludf.DUMMYFUNCTION("""COMPUTED_VALUE"""),"Business &amp; Growth")</f>
        <v>Business &amp; Growth</v>
      </c>
      <c r="H55" s="228" t="str">
        <f>IFERROR(__xludf.DUMMYFUNCTION("""COMPUTED_VALUE"""),"Shaiq Habib")</f>
        <v>Shaiq Habib</v>
      </c>
      <c r="I55" s="228" t="str">
        <f>IFERROR(__xludf.DUMMYFUNCTION("""COMPUTED_VALUE"""),"Probation")</f>
        <v>Probation</v>
      </c>
      <c r="J55" s="228" t="str">
        <f>IFERROR(__xludf.DUMMYFUNCTION("""COMPUTED_VALUE"""),"Active")</f>
        <v>Active</v>
      </c>
      <c r="K55" s="228" t="str">
        <f>IFERROR(__xludf.DUMMYFUNCTION("""COMPUTED_VALUE"""),"3M")</f>
        <v>3M</v>
      </c>
      <c r="L55" s="729">
        <f>IFERROR(__xludf.DUMMYFUNCTION("""COMPUTED_VALUE"""),45559.0)</f>
        <v>45559</v>
      </c>
      <c r="M55" s="228"/>
      <c r="N55" s="228"/>
      <c r="O55" s="228"/>
      <c r="P55" s="228" t="str">
        <f>IFERROR(__xludf.DUMMYFUNCTION("""COMPUTED_VALUE"""),"03335099887")</f>
        <v>03335099887</v>
      </c>
      <c r="Q55" s="228" t="str">
        <f>IFERROR(__xludf.DUMMYFUNCTION("""COMPUTED_VALUE"""),"61101-4873618-6")</f>
        <v>61101-4873618-6</v>
      </c>
      <c r="R55" s="228" t="str">
        <f>IFERROR(__xludf.DUMMYFUNCTION("""COMPUTED_VALUE"""),"Female")</f>
        <v>Female</v>
      </c>
      <c r="S55" s="228" t="str">
        <f>IFERROR(__xludf.DUMMYFUNCTION("""COMPUTED_VALUE"""),"Bank Alfalah")</f>
        <v>Bank Alfalah</v>
      </c>
      <c r="T55" s="228" t="str">
        <f>IFERROR(__xludf.DUMMYFUNCTION("""COMPUTED_VALUE"""),"Syeda Fatima Shahid")</f>
        <v>Syeda Fatima Shahid</v>
      </c>
      <c r="U55" s="228" t="str">
        <f>IFERROR(__xludf.DUMMYFUNCTION("""COMPUTED_VALUE"""),"PK06ALFH5668005001546061")</f>
        <v>PK06ALFH5668005001546061</v>
      </c>
      <c r="V55" s="228"/>
      <c r="W55" s="228"/>
      <c r="X55" s="228" t="str">
        <f>IFERROR(__xludf.DUMMYFUNCTION("""COMPUTED_VALUE"""),"Islamabad")</f>
        <v>Islamabad</v>
      </c>
      <c r="Y55" s="730">
        <f>IFERROR(__xludf.DUMMYFUNCTION("""COMPUTED_VALUE"""),37818.0)</f>
        <v>37818</v>
      </c>
      <c r="Z55" s="228" t="str">
        <f>IFERROR(__xludf.DUMMYFUNCTION("""COMPUTED_VALUE"""),"21 Years")</f>
        <v>21 Years</v>
      </c>
      <c r="AA55" s="228" t="str">
        <f>IFERROR(__xludf.DUMMYFUNCTION("""COMPUTED_VALUE"""),"House 199, Street 6, Phase 4, Bahria Town, Islamabad")</f>
        <v>House 199, Street 6, Phase 4, Bahria Town, Islamabad</v>
      </c>
      <c r="AB55" s="228" t="str">
        <f>IFERROR(__xludf.DUMMYFUNCTION("""COMPUTED_VALUE"""),"Pakistani")</f>
        <v>Pakistani</v>
      </c>
      <c r="AC55" s="228" t="str">
        <f>IFERROR(__xludf.DUMMYFUNCTION("""COMPUTED_VALUE"""),"Single")</f>
        <v>Single</v>
      </c>
      <c r="AD55" s="228"/>
      <c r="AE55" s="228"/>
      <c r="AF55" s="228"/>
      <c r="AG55" s="228" t="str">
        <f>IFERROR(__xludf.DUMMYFUNCTION("""COMPUTED_VALUE"""),"Syeda Farida Mujtaba")</f>
        <v>Syeda Farida Mujtaba</v>
      </c>
      <c r="AH55" s="228" t="str">
        <f>IFERROR(__xludf.DUMMYFUNCTION("""COMPUTED_VALUE"""),"Mother")</f>
        <v>Mother</v>
      </c>
      <c r="AI55" s="228">
        <f>IFERROR(__xludf.DUMMYFUNCTION("""COMPUTED_VALUE"""),3.328550912E9)</f>
        <v>3328550912</v>
      </c>
      <c r="AJ55" s="228" t="str">
        <f>IFERROR(__xludf.DUMMYFUNCTION("""COMPUTED_VALUE"""),"O+")</f>
        <v>O+</v>
      </c>
      <c r="AK55" s="731" t="str">
        <f>IFERROR(__xludf.DUMMYFUNCTION("""COMPUTED_VALUE"""),"https://www.linkedin.com/in/syeda-fatima-148065268")</f>
        <v>https://www.linkedin.com/in/syeda-fatima-148065268</v>
      </c>
      <c r="AL55" s="228"/>
      <c r="AM55" s="228"/>
      <c r="AN55" s="228" t="str">
        <f>IFERROR(__xludf.DUMMYFUNCTION("""COMPUTED_VALUE"""),"Data")</f>
        <v>Data</v>
      </c>
      <c r="AO55" s="228" t="str">
        <f>IFERROR(__xludf.DUMMYFUNCTION("""COMPUTED_VALUE"""),"data.team@vyro.ai")</f>
        <v>data.team@vyro.ai</v>
      </c>
      <c r="AP55" s="228" t="str">
        <f>IFERROR(__xludf.DUMMYFUNCTION("""COMPUTED_VALUE"""),"NO")</f>
        <v>NO</v>
      </c>
      <c r="AQ55" s="228" t="str">
        <f>IFERROR(__xludf.DUMMYFUNCTION("""COMPUTED_VALUE"""),"Active")</f>
        <v>Active</v>
      </c>
    </row>
    <row r="56">
      <c r="A56" s="228">
        <f>IFERROR(__xludf.DUMMYFUNCTION("""COMPUTED_VALUE"""),5288.0)</f>
        <v>5288</v>
      </c>
      <c r="B56" s="228" t="str">
        <f>IFERROR(__xludf.DUMMYFUNCTION("""COMPUTED_VALUE"""),"Suleman Aamir")</f>
        <v>Suleman Aamir</v>
      </c>
      <c r="C56" s="228" t="str">
        <f>IFERROR(__xludf.DUMMYFUNCTION("""COMPUTED_VALUE"""),"sulemanaamir2@gmail.com")</f>
        <v>sulemanaamir2@gmail.com</v>
      </c>
      <c r="D56" s="228" t="str">
        <f>IFERROR(__xludf.DUMMYFUNCTION("""COMPUTED_VALUE"""),"suleman.aamir@vyro.ai")</f>
        <v>suleman.aamir@vyro.ai</v>
      </c>
      <c r="E56" s="728">
        <f>IFERROR(__xludf.DUMMYFUNCTION("""COMPUTED_VALUE"""),45481.0)</f>
        <v>45481</v>
      </c>
      <c r="F56" s="228" t="str">
        <f>IFERROR(__xludf.DUMMYFUNCTION("""COMPUTED_VALUE"""),"Customer Support Executive")</f>
        <v>Customer Support Executive</v>
      </c>
      <c r="G56" s="228" t="str">
        <f>IFERROR(__xludf.DUMMYFUNCTION("""COMPUTED_VALUE"""),"Customer Success")</f>
        <v>Customer Success</v>
      </c>
      <c r="H56" s="228" t="str">
        <f>IFERROR(__xludf.DUMMYFUNCTION("""COMPUTED_VALUE"""),"Muhammad Asad")</f>
        <v>Muhammad Asad</v>
      </c>
      <c r="I56" s="228" t="str">
        <f>IFERROR(__xludf.DUMMYFUNCTION("""COMPUTED_VALUE"""),"Probation")</f>
        <v>Probation</v>
      </c>
      <c r="J56" s="228" t="str">
        <f>IFERROR(__xludf.DUMMYFUNCTION("""COMPUTED_VALUE"""),"Active")</f>
        <v>Active</v>
      </c>
      <c r="K56" s="228" t="str">
        <f>IFERROR(__xludf.DUMMYFUNCTION("""COMPUTED_VALUE"""),"3M")</f>
        <v>3M</v>
      </c>
      <c r="L56" s="729">
        <f>IFERROR(__xludf.DUMMYFUNCTION("""COMPUTED_VALUE"""),45573.0)</f>
        <v>45573</v>
      </c>
      <c r="M56" s="228"/>
      <c r="N56" s="228"/>
      <c r="O56" s="228"/>
      <c r="P56" s="228" t="str">
        <f>IFERROR(__xludf.DUMMYFUNCTION("""COMPUTED_VALUE"""),"03333231759")</f>
        <v>03333231759</v>
      </c>
      <c r="Q56" s="228" t="str">
        <f>IFERROR(__xludf.DUMMYFUNCTION("""COMPUTED_VALUE"""),"37405-8086527-1")</f>
        <v>37405-8086527-1</v>
      </c>
      <c r="R56" s="228" t="str">
        <f>IFERROR(__xludf.DUMMYFUNCTION("""COMPUTED_VALUE"""),"Male")</f>
        <v>Male</v>
      </c>
      <c r="S56" s="228" t="str">
        <f>IFERROR(__xludf.DUMMYFUNCTION("""COMPUTED_VALUE"""),"Meezan Bank")</f>
        <v>Meezan Bank</v>
      </c>
      <c r="T56" s="228" t="str">
        <f>IFERROR(__xludf.DUMMYFUNCTION("""COMPUTED_VALUE"""),"Suleman Aamir")</f>
        <v>Suleman Aamir</v>
      </c>
      <c r="U56" s="228" t="str">
        <f>IFERROR(__xludf.DUMMYFUNCTION("""COMPUTED_VALUE"""),"PK65MEZN0008200106425198")</f>
        <v>PK65MEZN0008200106425198</v>
      </c>
      <c r="V56" s="228" t="str">
        <f>IFERROR(__xludf.DUMMYFUNCTION("""COMPUTED_VALUE"""),"MEZNPKKA")</f>
        <v>MEZNPKKA</v>
      </c>
      <c r="W56" s="228"/>
      <c r="X56" s="228" t="str">
        <f>IFERROR(__xludf.DUMMYFUNCTION("""COMPUTED_VALUE"""),"Islamabad")</f>
        <v>Islamabad</v>
      </c>
      <c r="Y56" s="730">
        <f>IFERROR(__xludf.DUMMYFUNCTION("""COMPUTED_VALUE"""),34504.0)</f>
        <v>34504</v>
      </c>
      <c r="Z56" s="228" t="str">
        <f>IFERROR(__xludf.DUMMYFUNCTION("""COMPUTED_VALUE"""),"30 Years")</f>
        <v>30 Years</v>
      </c>
      <c r="AA56" s="228" t="str">
        <f>IFERROR(__xludf.DUMMYFUNCTION("""COMPUTED_VALUE"""),"House no. 5A, lane number 4 Harley street Rawalpindi, Cantt, Pakistan")</f>
        <v>House no. 5A, lane number 4 Harley street Rawalpindi, Cantt, Pakistan</v>
      </c>
      <c r="AB56" s="228" t="str">
        <f>IFERROR(__xludf.DUMMYFUNCTION("""COMPUTED_VALUE"""),"Pakistani")</f>
        <v>Pakistani</v>
      </c>
      <c r="AC56" s="228" t="str">
        <f>IFERROR(__xludf.DUMMYFUNCTION("""COMPUTED_VALUE"""),"Married")</f>
        <v>Married</v>
      </c>
      <c r="AD56" s="228"/>
      <c r="AE56" s="228"/>
      <c r="AF56" s="228"/>
      <c r="AG56" s="228" t="str">
        <f>IFERROR(__xludf.DUMMYFUNCTION("""COMPUTED_VALUE"""),"Aamir Naseem")</f>
        <v>Aamir Naseem</v>
      </c>
      <c r="AH56" s="228" t="str">
        <f>IFERROR(__xludf.DUMMYFUNCTION("""COMPUTED_VALUE"""),"Brother")</f>
        <v>Brother</v>
      </c>
      <c r="AI56" s="228">
        <f>IFERROR(__xludf.DUMMYFUNCTION("""COMPUTED_VALUE"""),3.358082538E9)</f>
        <v>3358082538</v>
      </c>
      <c r="AJ56" s="228" t="str">
        <f>IFERROR(__xludf.DUMMYFUNCTION("""COMPUTED_VALUE"""),"B+")</f>
        <v>B+</v>
      </c>
      <c r="AK56" s="731" t="str">
        <f>IFERROR(__xludf.DUMMYFUNCTION("""COMPUTED_VALUE"""),"linkedin.com/in/suleman-aamir-5b094a195")</f>
        <v>linkedin.com/in/suleman-aamir-5b094a195</v>
      </c>
      <c r="AL56" s="228"/>
      <c r="AM56" s="228"/>
      <c r="AN56" s="228" t="str">
        <f>IFERROR(__xludf.DUMMYFUNCTION("""COMPUTED_VALUE"""),"Customer Support")</f>
        <v>Customer Support</v>
      </c>
      <c r="AO56" s="228" t="str">
        <f>IFERROR(__xludf.DUMMYFUNCTION("""COMPUTED_VALUE"""),"cx.team@vyro.ai")</f>
        <v>cx.team@vyro.ai</v>
      </c>
      <c r="AP56" s="228" t="str">
        <f>IFERROR(__xludf.DUMMYFUNCTION("""COMPUTED_VALUE"""),"NO")</f>
        <v>NO</v>
      </c>
      <c r="AQ56" s="228" t="str">
        <f>IFERROR(__xludf.DUMMYFUNCTION("""COMPUTED_VALUE"""),"Active")</f>
        <v>Active</v>
      </c>
    </row>
    <row r="57">
      <c r="A57" s="228">
        <f>IFERROR(__xludf.DUMMYFUNCTION("""COMPUTED_VALUE"""),5292.0)</f>
        <v>5292</v>
      </c>
      <c r="B57" s="228" t="str">
        <f>IFERROR(__xludf.DUMMYFUNCTION("""COMPUTED_VALUE"""),"Muhammad Hassam Khan")</f>
        <v>Muhammad Hassam Khan</v>
      </c>
      <c r="C57" s="228" t="str">
        <f>IFERROR(__xludf.DUMMYFUNCTION("""COMPUTED_VALUE"""),"hassamk@proton.me")</f>
        <v>hassamk@proton.me</v>
      </c>
      <c r="D57" s="228" t="str">
        <f>IFERROR(__xludf.DUMMYFUNCTION("""COMPUTED_VALUE"""),"hassam.khan@vyro.ai")</f>
        <v>hassam.khan@vyro.ai</v>
      </c>
      <c r="E57" s="728">
        <f>IFERROR(__xludf.DUMMYFUNCTION("""COMPUTED_VALUE"""),45502.0)</f>
        <v>45502</v>
      </c>
      <c r="F57" s="228" t="str">
        <f>IFERROR(__xludf.DUMMYFUNCTION("""COMPUTED_VALUE"""),"Frontend Developer")</f>
        <v>Frontend Developer</v>
      </c>
      <c r="G57" s="228" t="str">
        <f>IFERROR(__xludf.DUMMYFUNCTION("""COMPUTED_VALUE"""),"frontend")</f>
        <v>frontend</v>
      </c>
      <c r="H57" s="228" t="str">
        <f>IFERROR(__xludf.DUMMYFUNCTION("""COMPUTED_VALUE"""),"Awais Chaudhry")</f>
        <v>Awais Chaudhry</v>
      </c>
      <c r="I57" s="228" t="str">
        <f>IFERROR(__xludf.DUMMYFUNCTION("""COMPUTED_VALUE"""),"Probation")</f>
        <v>Probation</v>
      </c>
      <c r="J57" s="228" t="str">
        <f>IFERROR(__xludf.DUMMYFUNCTION("""COMPUTED_VALUE"""),"Active")</f>
        <v>Active</v>
      </c>
      <c r="K57" s="228" t="str">
        <f>IFERROR(__xludf.DUMMYFUNCTION("""COMPUTED_VALUE"""),"3M")</f>
        <v>3M</v>
      </c>
      <c r="L57" s="729">
        <f>IFERROR(__xludf.DUMMYFUNCTION("""COMPUTED_VALUE"""),45594.0)</f>
        <v>45594</v>
      </c>
      <c r="M57" s="228"/>
      <c r="N57" s="228"/>
      <c r="O57" s="228"/>
      <c r="P57" s="228" t="str">
        <f>IFERROR(__xludf.DUMMYFUNCTION("""COMPUTED_VALUE"""),"03352190046")</f>
        <v>03352190046</v>
      </c>
      <c r="Q57" s="228" t="str">
        <f>IFERROR(__xludf.DUMMYFUNCTION("""COMPUTED_VALUE"""),"16202-1272274-1")</f>
        <v>16202-1272274-1</v>
      </c>
      <c r="R57" s="228" t="str">
        <f>IFERROR(__xludf.DUMMYFUNCTION("""COMPUTED_VALUE"""),"Male")</f>
        <v>Male</v>
      </c>
      <c r="S57" s="228" t="str">
        <f>IFERROR(__xludf.DUMMYFUNCTION("""COMPUTED_VALUE"""),"United Bank Limited")</f>
        <v>United Bank Limited</v>
      </c>
      <c r="T57" s="228" t="str">
        <f>IFERROR(__xludf.DUMMYFUNCTION("""COMPUTED_VALUE"""),"Muhammad Hassam Khan")</f>
        <v>Muhammad Hassam Khan</v>
      </c>
      <c r="U57" s="228" t="str">
        <f>IFERROR(__xludf.DUMMYFUNCTION("""COMPUTED_VALUE"""),"PK68UNIL0109000259567879")</f>
        <v>PK68UNIL0109000259567879</v>
      </c>
      <c r="V57" s="228" t="str">
        <f>IFERROR(__xludf.DUMMYFUNCTION("""COMPUTED_VALUE"""),"UNILPKKA939")</f>
        <v>UNILPKKA939</v>
      </c>
      <c r="W57" s="228" t="str">
        <f>IFERROR(__xludf.DUMMYFUNCTION("""COMPUTED_VALUE"""),"Name: Muhammad Hassam Khan
Account number: 8313549276
Account type: Checking
Routing number (for wire and ACH): 026073150
Swift/BIC: CMFGUS33
Bank name and address: Community Federal Savings Bank, 89-16 Jamaica Ave, Woodhaven, NY, 11421, United States")</f>
        <v>Name: Muhammad Hassam Khan
Account number: 8313549276
Account type: Checking
Routing number (for wire and ACH): 026073150
Swift/BIC: CMFGUS33
Bank name and address: Community Federal Savings Bank, 89-16 Jamaica Ave, Woodhaven, NY, 11421, United States</v>
      </c>
      <c r="X57" s="228" t="str">
        <f>IFERROR(__xludf.DUMMYFUNCTION("""COMPUTED_VALUE"""),"Islamabad")</f>
        <v>Islamabad</v>
      </c>
      <c r="Y57" s="730">
        <f>IFERROR(__xludf.DUMMYFUNCTION("""COMPUTED_VALUE"""),37061.0)</f>
        <v>37061</v>
      </c>
      <c r="Z57" s="228" t="str">
        <f>IFERROR(__xludf.DUMMYFUNCTION("""COMPUTED_VALUE"""),"23 Years")</f>
        <v>23 Years</v>
      </c>
      <c r="AA57" s="228" t="str">
        <f>IFERROR(__xludf.DUMMYFUNCTION("""COMPUTED_VALUE"""),"House #2 Street #2 Mill Road Hakeemabad, Nowshera Cantt, Nowshera")</f>
        <v>House #2 Street #2 Mill Road Hakeemabad, Nowshera Cantt, Nowshera</v>
      </c>
      <c r="AB57" s="228" t="str">
        <f>IFERROR(__xludf.DUMMYFUNCTION("""COMPUTED_VALUE"""),"Pakistani")</f>
        <v>Pakistani</v>
      </c>
      <c r="AC57" s="228" t="str">
        <f>IFERROR(__xludf.DUMMYFUNCTION("""COMPUTED_VALUE"""),"Single")</f>
        <v>Single</v>
      </c>
      <c r="AD57" s="228"/>
      <c r="AE57" s="228"/>
      <c r="AF57" s="228"/>
      <c r="AG57" s="228" t="str">
        <f>IFERROR(__xludf.DUMMYFUNCTION("""COMPUTED_VALUE"""),"Irshad Ahmad")</f>
        <v>Irshad Ahmad</v>
      </c>
      <c r="AH57" s="228" t="str">
        <f>IFERROR(__xludf.DUMMYFUNCTION("""COMPUTED_VALUE"""),"Father")</f>
        <v>Father</v>
      </c>
      <c r="AI57" s="228">
        <f>IFERROR(__xludf.DUMMYFUNCTION("""COMPUTED_VALUE"""),3.439420517E9)</f>
        <v>3439420517</v>
      </c>
      <c r="AJ57" s="228" t="str">
        <f>IFERROR(__xludf.DUMMYFUNCTION("""COMPUTED_VALUE"""),"B+")</f>
        <v>B+</v>
      </c>
      <c r="AK57" s="731" t="str">
        <f>IFERROR(__xludf.DUMMYFUNCTION("""COMPUTED_VALUE"""),"https://linkedin.com/in/ihassamk")</f>
        <v>https://linkedin.com/in/ihassamk</v>
      </c>
      <c r="AL57" s="228"/>
      <c r="AM57" s="228"/>
      <c r="AN57" s="228" t="str">
        <f>IFERROR(__xludf.DUMMYFUNCTION("""COMPUTED_VALUE"""),"Web Front-End")</f>
        <v>Web Front-End</v>
      </c>
      <c r="AO57" s="228" t="str">
        <f>IFERROR(__xludf.DUMMYFUNCTION("""COMPUTED_VALUE"""),"web.front.end@vyro.ai")</f>
        <v>web.front.end@vyro.ai</v>
      </c>
      <c r="AP57" s="228" t="str">
        <f>IFERROR(__xludf.DUMMYFUNCTION("""COMPUTED_VALUE"""),"NO")</f>
        <v>NO</v>
      </c>
      <c r="AQ57" s="228" t="str">
        <f>IFERROR(__xludf.DUMMYFUNCTION("""COMPUTED_VALUE"""),"Active")</f>
        <v>Active</v>
      </c>
    </row>
    <row r="58">
      <c r="A58" s="228">
        <f>IFERROR(__xludf.DUMMYFUNCTION("""COMPUTED_VALUE"""),5293.0)</f>
        <v>5293</v>
      </c>
      <c r="B58" s="228" t="str">
        <f>IFERROR(__xludf.DUMMYFUNCTION("""COMPUTED_VALUE"""),"Syed Muhammad Wasi Abbas")</f>
        <v>Syed Muhammad Wasi Abbas</v>
      </c>
      <c r="C58" s="228" t="str">
        <f>IFERROR(__xludf.DUMMYFUNCTION("""COMPUTED_VALUE"""),"abbaswasi28@gmail.com")</f>
        <v>abbaswasi28@gmail.com</v>
      </c>
      <c r="D58" s="228" t="str">
        <f>IFERROR(__xludf.DUMMYFUNCTION("""COMPUTED_VALUE"""),"syed.wasi@vyro.ai")</f>
        <v>syed.wasi@vyro.ai</v>
      </c>
      <c r="E58" s="728">
        <f>IFERROR(__xludf.DUMMYFUNCTION("""COMPUTED_VALUE"""),45502.0)</f>
        <v>45502</v>
      </c>
      <c r="F58" s="228" t="str">
        <f>IFERROR(__xludf.DUMMYFUNCTION("""COMPUTED_VALUE"""),"Motion graphics Designer")</f>
        <v>Motion graphics Designer</v>
      </c>
      <c r="G58" s="228" t="str">
        <f>IFERROR(__xludf.DUMMYFUNCTION("""COMPUTED_VALUE"""),"Social Media/ Youtube")</f>
        <v>Social Media/ Youtube</v>
      </c>
      <c r="H58" s="228" t="str">
        <f>IFERROR(__xludf.DUMMYFUNCTION("""COMPUTED_VALUE"""),"Maha Manzoor")</f>
        <v>Maha Manzoor</v>
      </c>
      <c r="I58" s="228" t="str">
        <f>IFERROR(__xludf.DUMMYFUNCTION("""COMPUTED_VALUE"""),"Probation")</f>
        <v>Probation</v>
      </c>
      <c r="J58" s="228" t="str">
        <f>IFERROR(__xludf.DUMMYFUNCTION("""COMPUTED_VALUE"""),"Active")</f>
        <v>Active</v>
      </c>
      <c r="K58" s="228" t="str">
        <f>IFERROR(__xludf.DUMMYFUNCTION("""COMPUTED_VALUE"""),"3M")</f>
        <v>3M</v>
      </c>
      <c r="L58" s="729">
        <f>IFERROR(__xludf.DUMMYFUNCTION("""COMPUTED_VALUE"""),45594.0)</f>
        <v>45594</v>
      </c>
      <c r="M58" s="228"/>
      <c r="N58" s="228"/>
      <c r="O58" s="228"/>
      <c r="P58" s="228" t="str">
        <f>IFERROR(__xludf.DUMMYFUNCTION("""COMPUTED_VALUE"""),"03342360431")</f>
        <v>03342360431</v>
      </c>
      <c r="Q58" s="228" t="str">
        <f>IFERROR(__xludf.DUMMYFUNCTION("""COMPUTED_VALUE"""),"37405-8538265-5")</f>
        <v>37405-8538265-5</v>
      </c>
      <c r="R58" s="228" t="str">
        <f>IFERROR(__xludf.DUMMYFUNCTION("""COMPUTED_VALUE"""),"Male")</f>
        <v>Male</v>
      </c>
      <c r="S58" s="228" t="str">
        <f>IFERROR(__xludf.DUMMYFUNCTION("""COMPUTED_VALUE"""),"Bank Al Habib")</f>
        <v>Bank Al Habib</v>
      </c>
      <c r="T58" s="228" t="str">
        <f>IFERROR(__xludf.DUMMYFUNCTION("""COMPUTED_VALUE"""),"Syed Muhammad Wasi Abbas")</f>
        <v>Syed Muhammad Wasi Abbas</v>
      </c>
      <c r="U58" s="228" t="str">
        <f>IFERROR(__xludf.DUMMYFUNCTION("""COMPUTED_VALUE"""),"PK91BAHL0136098100383901")</f>
        <v>PK91BAHL0136098100383901</v>
      </c>
      <c r="V58" s="228" t="str">
        <f>IFERROR(__xludf.DUMMYFUNCTION("""COMPUTED_VALUE"""),"BAHLPKKA")</f>
        <v>BAHLPKKA</v>
      </c>
      <c r="W58" s="228"/>
      <c r="X58" s="228" t="str">
        <f>IFERROR(__xludf.DUMMYFUNCTION("""COMPUTED_VALUE"""),"Islamabad")</f>
        <v>Islamabad</v>
      </c>
      <c r="Y58" s="730">
        <f>IFERROR(__xludf.DUMMYFUNCTION("""COMPUTED_VALUE"""),36856.0)</f>
        <v>36856</v>
      </c>
      <c r="Z58" s="228" t="str">
        <f>IFERROR(__xludf.DUMMYFUNCTION("""COMPUTED_VALUE"""),"24 Years")</f>
        <v>24 Years</v>
      </c>
      <c r="AA58" s="228" t="str">
        <f>IFERROR(__xludf.DUMMYFUNCTION("""COMPUTED_VALUE"""),"Flat 4C, Block 9, Askari Tower 2, Sector D, DHA 2, Islamabad.")</f>
        <v>Flat 4C, Block 9, Askari Tower 2, Sector D, DHA 2, Islamabad.</v>
      </c>
      <c r="AB58" s="228" t="str">
        <f>IFERROR(__xludf.DUMMYFUNCTION("""COMPUTED_VALUE"""),"Pakistani")</f>
        <v>Pakistani</v>
      </c>
      <c r="AC58" s="228" t="str">
        <f>IFERROR(__xludf.DUMMYFUNCTION("""COMPUTED_VALUE"""),"Single")</f>
        <v>Single</v>
      </c>
      <c r="AD58" s="228"/>
      <c r="AE58" s="228"/>
      <c r="AF58" s="228"/>
      <c r="AG58" s="228" t="str">
        <f>IFERROR(__xludf.DUMMYFUNCTION("""COMPUTED_VALUE"""),"Syed Qamar Abbas")</f>
        <v>Syed Qamar Abbas</v>
      </c>
      <c r="AH58" s="228" t="str">
        <f>IFERROR(__xludf.DUMMYFUNCTION("""COMPUTED_VALUE"""),"Mother")</f>
        <v>Mother</v>
      </c>
      <c r="AI58" s="228"/>
      <c r="AJ58" s="228" t="str">
        <f>IFERROR(__xludf.DUMMYFUNCTION("""COMPUTED_VALUE"""),"O+")</f>
        <v>O+</v>
      </c>
      <c r="AK58" s="731" t="str">
        <f>IFERROR(__xludf.DUMMYFUNCTION("""COMPUTED_VALUE"""),"https://www.linkedin.com/in/syed-wasi-8452a71aa/")</f>
        <v>https://www.linkedin.com/in/syed-wasi-8452a71aa/</v>
      </c>
      <c r="AL58" s="228"/>
      <c r="AM58" s="728">
        <f>IFERROR(__xludf.DUMMYFUNCTION("""COMPUTED_VALUE"""),45975.0)</f>
        <v>45975</v>
      </c>
      <c r="AN58" s="228" t="str">
        <f>IFERROR(__xludf.DUMMYFUNCTION("""COMPUTED_VALUE"""),"Creatives")</f>
        <v>Creatives</v>
      </c>
      <c r="AO58" s="228" t="str">
        <f>IFERROR(__xludf.DUMMYFUNCTION("""COMPUTED_VALUE"""),"Creatives.team@vyro.ai")</f>
        <v>Creatives.team@vyro.ai</v>
      </c>
      <c r="AP58" s="228" t="str">
        <f>IFERROR(__xludf.DUMMYFUNCTION("""COMPUTED_VALUE"""),"NO")</f>
        <v>NO</v>
      </c>
      <c r="AQ58" s="228" t="str">
        <f>IFERROR(__xludf.DUMMYFUNCTION("""COMPUTED_VALUE"""),"Active")</f>
        <v>Active</v>
      </c>
    </row>
    <row r="59">
      <c r="A59" s="228">
        <f>IFERROR(__xludf.DUMMYFUNCTION("""COMPUTED_VALUE"""),5294.0)</f>
        <v>5294</v>
      </c>
      <c r="B59" s="228" t="str">
        <f>IFERROR(__xludf.DUMMYFUNCTION("""COMPUTED_VALUE"""),"Muhammad Hamza")</f>
        <v>Muhammad Hamza</v>
      </c>
      <c r="C59" s="228" t="str">
        <f>IFERROR(__xludf.DUMMYFUNCTION("""COMPUTED_VALUE"""),"hamzaramzan@hotmail.com")</f>
        <v>hamzaramzan@hotmail.com</v>
      </c>
      <c r="D59" s="228" t="str">
        <f>IFERROR(__xludf.DUMMYFUNCTION("""COMPUTED_VALUE"""),"muhammad.hamza@vyro.ai")</f>
        <v>muhammad.hamza@vyro.ai</v>
      </c>
      <c r="E59" s="728">
        <f>IFERROR(__xludf.DUMMYFUNCTION("""COMPUTED_VALUE"""),45523.0)</f>
        <v>45523</v>
      </c>
      <c r="F59" s="228" t="str">
        <f>IFERROR(__xludf.DUMMYFUNCTION("""COMPUTED_VALUE"""),"AM Business Ops")</f>
        <v>AM Business Ops</v>
      </c>
      <c r="G59" s="228" t="str">
        <f>IFERROR(__xludf.DUMMYFUNCTION("""COMPUTED_VALUE"""),"Business &amp; Growth")</f>
        <v>Business &amp; Growth</v>
      </c>
      <c r="H59" s="228" t="str">
        <f>IFERROR(__xludf.DUMMYFUNCTION("""COMPUTED_VALUE"""),"Ahmed Abubakar, CEO")</f>
        <v>Ahmed Abubakar, CEO</v>
      </c>
      <c r="I59" s="228" t="str">
        <f>IFERROR(__xludf.DUMMYFUNCTION("""COMPUTED_VALUE"""),"Probation")</f>
        <v>Probation</v>
      </c>
      <c r="J59" s="228" t="str">
        <f>IFERROR(__xludf.DUMMYFUNCTION("""COMPUTED_VALUE"""),"Active")</f>
        <v>Active</v>
      </c>
      <c r="K59" s="228" t="str">
        <f>IFERROR(__xludf.DUMMYFUNCTION("""COMPUTED_VALUE"""),"3M")</f>
        <v>3M</v>
      </c>
      <c r="L59" s="729">
        <f>IFERROR(__xludf.DUMMYFUNCTION("""COMPUTED_VALUE"""),45615.0)</f>
        <v>45615</v>
      </c>
      <c r="M59" s="228"/>
      <c r="N59" s="228"/>
      <c r="O59" s="228"/>
      <c r="P59" s="228" t="str">
        <f>IFERROR(__xludf.DUMMYFUNCTION("""COMPUTED_VALUE"""),"310 9776668")</f>
        <v>310 9776668</v>
      </c>
      <c r="Q59" s="228" t="str">
        <f>IFERROR(__xludf.DUMMYFUNCTION("""COMPUTED_VALUE"""),"37402-5036823-1")</f>
        <v>37402-5036823-1</v>
      </c>
      <c r="R59" s="228" t="str">
        <f>IFERROR(__xludf.DUMMYFUNCTION("""COMPUTED_VALUE"""),"Male")</f>
        <v>Male</v>
      </c>
      <c r="S59" s="228" t="str">
        <f>IFERROR(__xludf.DUMMYFUNCTION("""COMPUTED_VALUE"""),"Bank Alfalah")</f>
        <v>Bank Alfalah</v>
      </c>
      <c r="T59" s="228" t="str">
        <f>IFERROR(__xludf.DUMMYFUNCTION("""COMPUTED_VALUE"""),"Muhammad Hamza")</f>
        <v>Muhammad Hamza</v>
      </c>
      <c r="U59" s="228" t="str">
        <f>IFERROR(__xludf.DUMMYFUNCTION("""COMPUTED_VALUE"""),"PK96ALFH0407001005756206")</f>
        <v>PK96ALFH0407001005756206</v>
      </c>
      <c r="V59" s="228" t="str">
        <f>IFERROR(__xludf.DUMMYFUNCTION("""COMPUTED_VALUE"""),"ALFHPKKA")</f>
        <v>ALFHPKKA</v>
      </c>
      <c r="W59" s="228"/>
      <c r="X59" s="228" t="str">
        <f>IFERROR(__xludf.DUMMYFUNCTION("""COMPUTED_VALUE"""),"Islamabad")</f>
        <v>Islamabad</v>
      </c>
      <c r="Y59" s="730">
        <f>IFERROR(__xludf.DUMMYFUNCTION("""COMPUTED_VALUE"""),35872.0)</f>
        <v>35872</v>
      </c>
      <c r="Z59" s="228" t="str">
        <f>IFERROR(__xludf.DUMMYFUNCTION("""COMPUTED_VALUE"""),"27 Years")</f>
        <v>27 Years</v>
      </c>
      <c r="AA59" s="228" t="str">
        <f>IFERROR(__xludf.DUMMYFUNCTION("""COMPUTED_VALUE"""),"H#1, St#1, Sec F, DHA Phase 2, Islamabad")</f>
        <v>H#1, St#1, Sec F, DHA Phase 2, Islamabad</v>
      </c>
      <c r="AB59" s="228" t="str">
        <f>IFERROR(__xludf.DUMMYFUNCTION("""COMPUTED_VALUE"""),"Pakistani")</f>
        <v>Pakistani</v>
      </c>
      <c r="AC59" s="228" t="str">
        <f>IFERROR(__xludf.DUMMYFUNCTION("""COMPUTED_VALUE"""),"Single")</f>
        <v>Single</v>
      </c>
      <c r="AD59" s="228"/>
      <c r="AE59" s="228"/>
      <c r="AF59" s="228"/>
      <c r="AG59" s="228" t="str">
        <f>IFERROR(__xludf.DUMMYFUNCTION("""COMPUTED_VALUE"""),"Muhammad Ramzan")</f>
        <v>Muhammad Ramzan</v>
      </c>
      <c r="AH59" s="228" t="str">
        <f>IFERROR(__xludf.DUMMYFUNCTION("""COMPUTED_VALUE"""),"Father")</f>
        <v>Father</v>
      </c>
      <c r="AI59" s="228">
        <f>IFERROR(__xludf.DUMMYFUNCTION("""COMPUTED_VALUE"""),3.235157127E9)</f>
        <v>3235157127</v>
      </c>
      <c r="AJ59" s="228" t="str">
        <f>IFERROR(__xludf.DUMMYFUNCTION("""COMPUTED_VALUE"""),"O+")</f>
        <v>O+</v>
      </c>
      <c r="AK59" s="731" t="str">
        <f>IFERROR(__xludf.DUMMYFUNCTION("""COMPUTED_VALUE"""),"https://www.linkedin.com/in/mhamza-profile/")</f>
        <v>https://www.linkedin.com/in/mhamza-profile/</v>
      </c>
      <c r="AL59" s="228"/>
      <c r="AM59" s="228"/>
      <c r="AN59" s="228" t="str">
        <f>IFERROR(__xludf.DUMMYFUNCTION("""COMPUTED_VALUE"""),"NOT FOUND")</f>
        <v>NOT FOUND</v>
      </c>
      <c r="AO59" s="228" t="str">
        <f>IFERROR(__xludf.DUMMYFUNCTION("""COMPUTED_VALUE"""),"NOT FOUND")</f>
        <v>NOT FOUND</v>
      </c>
      <c r="AP59" s="228" t="str">
        <f>IFERROR(__xludf.DUMMYFUNCTION("""COMPUTED_VALUE"""),"NO")</f>
        <v>NO</v>
      </c>
      <c r="AQ59" s="228" t="str">
        <f>IFERROR(__xludf.DUMMYFUNCTION("""COMPUTED_VALUE"""),"Active")</f>
        <v>Active</v>
      </c>
    </row>
    <row r="60">
      <c r="A60" s="228">
        <f>IFERROR(__xludf.DUMMYFUNCTION("""COMPUTED_VALUE"""),5296.0)</f>
        <v>5296</v>
      </c>
      <c r="B60" s="228" t="str">
        <f>IFERROR(__xludf.DUMMYFUNCTION("""COMPUTED_VALUE"""),"Syed Osama Salahuddin")</f>
        <v>Syed Osama Salahuddin</v>
      </c>
      <c r="C60" s="228" t="str">
        <f>IFERROR(__xludf.DUMMYFUNCTION("""COMPUTED_VALUE"""),"syedosamasalahuddin@gmail.com")</f>
        <v>syedosamasalahuddin@gmail.com</v>
      </c>
      <c r="D60" s="228" t="str">
        <f>IFERROR(__xludf.DUMMYFUNCTION("""COMPUTED_VALUE"""),"syed.osama@vyro.ai")</f>
        <v>syed.osama@vyro.ai</v>
      </c>
      <c r="E60" s="728">
        <f>IFERROR(__xludf.DUMMYFUNCTION("""COMPUTED_VALUE"""),45530.0)</f>
        <v>45530</v>
      </c>
      <c r="F60" s="228" t="str">
        <f>IFERROR(__xludf.DUMMYFUNCTION("""COMPUTED_VALUE"""),"Senior SEO Lead")</f>
        <v>Senior SEO Lead</v>
      </c>
      <c r="G60" s="228" t="str">
        <f>IFERROR(__xludf.DUMMYFUNCTION("""COMPUTED_VALUE"""),"SEO")</f>
        <v>SEO</v>
      </c>
      <c r="H60" s="228" t="str">
        <f>IFERROR(__xludf.DUMMYFUNCTION("""COMPUTED_VALUE"""),"Zain Ul Abideen")</f>
        <v>Zain Ul Abideen</v>
      </c>
      <c r="I60" s="228" t="str">
        <f>IFERROR(__xludf.DUMMYFUNCTION("""COMPUTED_VALUE"""),"Probation")</f>
        <v>Probation</v>
      </c>
      <c r="J60" s="228" t="str">
        <f>IFERROR(__xludf.DUMMYFUNCTION("""COMPUTED_VALUE"""),"Active")</f>
        <v>Active</v>
      </c>
      <c r="K60" s="228" t="str">
        <f>IFERROR(__xludf.DUMMYFUNCTION("""COMPUTED_VALUE"""),"3M")</f>
        <v>3M</v>
      </c>
      <c r="L60" s="729">
        <f>IFERROR(__xludf.DUMMYFUNCTION("""COMPUTED_VALUE"""),45622.0)</f>
        <v>45622</v>
      </c>
      <c r="M60" s="228"/>
      <c r="N60" s="228"/>
      <c r="O60" s="228"/>
      <c r="P60" s="228" t="str">
        <f>IFERROR(__xludf.DUMMYFUNCTION("""COMPUTED_VALUE"""),"03340295575")</f>
        <v>03340295575</v>
      </c>
      <c r="Q60" s="228" t="str">
        <f>IFERROR(__xludf.DUMMYFUNCTION("""COMPUTED_VALUE"""),"42101-4814470-5")</f>
        <v>42101-4814470-5</v>
      </c>
      <c r="R60" s="228" t="str">
        <f>IFERROR(__xludf.DUMMYFUNCTION("""COMPUTED_VALUE"""),"Male")</f>
        <v>Male</v>
      </c>
      <c r="S60" s="228" t="str">
        <f>IFERROR(__xludf.DUMMYFUNCTION("""COMPUTED_VALUE"""),"Bank Al Habib")</f>
        <v>Bank Al Habib</v>
      </c>
      <c r="T60" s="228" t="str">
        <f>IFERROR(__xludf.DUMMYFUNCTION("""COMPUTED_VALUE"""),"SYED OSAMA SALAHUDDIN")</f>
        <v>SYED OSAMA SALAHUDDIN</v>
      </c>
      <c r="U60" s="228" t="str">
        <f>IFERROR(__xludf.DUMMYFUNCTION("""COMPUTED_VALUE"""),"PK39BAHL1027098102674301")</f>
        <v>PK39BAHL1027098102674301</v>
      </c>
      <c r="V60" s="228" t="str">
        <f>IFERROR(__xludf.DUMMYFUNCTION("""COMPUTED_VALUE"""),"BAHLPKKAXXX")</f>
        <v>BAHLPKKAXXX</v>
      </c>
      <c r="W60" s="228"/>
      <c r="X60" s="228" t="str">
        <f>IFERROR(__xludf.DUMMYFUNCTION("""COMPUTED_VALUE"""),"islamabad")</f>
        <v>islamabad</v>
      </c>
      <c r="Y60" s="730">
        <f>IFERROR(__xludf.DUMMYFUNCTION("""COMPUTED_VALUE"""),34588.0)</f>
        <v>34588</v>
      </c>
      <c r="Z60" s="228" t="str">
        <f>IFERROR(__xludf.DUMMYFUNCTION("""COMPUTED_VALUE"""),"30 Years")</f>
        <v>30 Years</v>
      </c>
      <c r="AA60" s="228" t="str">
        <f>IFERROR(__xludf.DUMMYFUNCTION("""COMPUTED_VALUE"""),"H-13 House#03 Street no 02,  Capital Street near Landmark 3, Landmark 3 Quetta Hotel")</f>
        <v>H-13 House#03 Street no 02,  Capital Street near Landmark 3, Landmark 3 Quetta Hotel</v>
      </c>
      <c r="AB60" s="228" t="str">
        <f>IFERROR(__xludf.DUMMYFUNCTION("""COMPUTED_VALUE"""),"Pakistani")</f>
        <v>Pakistani</v>
      </c>
      <c r="AC60" s="228" t="str">
        <f>IFERROR(__xludf.DUMMYFUNCTION("""COMPUTED_VALUE"""),"Married")</f>
        <v>Married</v>
      </c>
      <c r="AD60" s="228"/>
      <c r="AE60" s="228"/>
      <c r="AF60" s="228"/>
      <c r="AG60" s="228" t="str">
        <f>IFERROR(__xludf.DUMMYFUNCTION("""COMPUTED_VALUE"""),"Muhammad Salaudin")</f>
        <v>Muhammad Salaudin</v>
      </c>
      <c r="AH60" s="228" t="str">
        <f>IFERROR(__xludf.DUMMYFUNCTION("""COMPUTED_VALUE"""),"Sister")</f>
        <v>Sister</v>
      </c>
      <c r="AI60" s="228"/>
      <c r="AJ60" s="228"/>
      <c r="AK60" s="228"/>
      <c r="AL60" s="228"/>
      <c r="AM60" s="228"/>
      <c r="AN60" s="228" t="str">
        <f>IFERROR(__xludf.DUMMYFUNCTION("""COMPUTED_VALUE"""),"Search Engine Optimization")</f>
        <v>Search Engine Optimization</v>
      </c>
      <c r="AO60" s="228" t="str">
        <f>IFERROR(__xludf.DUMMYFUNCTION("""COMPUTED_VALUE"""),"seo.team@vyro.ai")</f>
        <v>seo.team@vyro.ai</v>
      </c>
      <c r="AP60" s="228" t="str">
        <f>IFERROR(__xludf.DUMMYFUNCTION("""COMPUTED_VALUE"""),"NO")</f>
        <v>NO</v>
      </c>
      <c r="AQ60" s="228" t="str">
        <f>IFERROR(__xludf.DUMMYFUNCTION("""COMPUTED_VALUE"""),"Active")</f>
        <v>Active</v>
      </c>
    </row>
    <row r="61">
      <c r="A61" s="228">
        <f>IFERROR(__xludf.DUMMYFUNCTION("""COMPUTED_VALUE"""),5297.0)</f>
        <v>5297</v>
      </c>
      <c r="B61" s="228" t="str">
        <f>IFERROR(__xludf.DUMMYFUNCTION("""COMPUTED_VALUE"""),"Izza Shakeel")</f>
        <v>Izza Shakeel</v>
      </c>
      <c r="C61" s="228" t="str">
        <f>IFERROR(__xludf.DUMMYFUNCTION("""COMPUTED_VALUE"""),"izzashakeel595@gmail.com")</f>
        <v>izzashakeel595@gmail.com</v>
      </c>
      <c r="D61" s="228" t="str">
        <f>IFERROR(__xludf.DUMMYFUNCTION("""COMPUTED_VALUE"""),"izza.shakeel@vyro.ai")</f>
        <v>izza.shakeel@vyro.ai</v>
      </c>
      <c r="E61" s="728">
        <f>IFERROR(__xludf.DUMMYFUNCTION("""COMPUTED_VALUE"""),45537.0)</f>
        <v>45537</v>
      </c>
      <c r="F61" s="228" t="str">
        <f>IFERROR(__xludf.DUMMYFUNCTION("""COMPUTED_VALUE"""),"SEO Executive")</f>
        <v>SEO Executive</v>
      </c>
      <c r="G61" s="228" t="str">
        <f>IFERROR(__xludf.DUMMYFUNCTION("""COMPUTED_VALUE"""),"SEO")</f>
        <v>SEO</v>
      </c>
      <c r="H61" s="228" t="str">
        <f>IFERROR(__xludf.DUMMYFUNCTION("""COMPUTED_VALUE"""),"Syed Osama")</f>
        <v>Syed Osama</v>
      </c>
      <c r="I61" s="228" t="str">
        <f>IFERROR(__xludf.DUMMYFUNCTION("""COMPUTED_VALUE"""),"Probation")</f>
        <v>Probation</v>
      </c>
      <c r="J61" s="228" t="str">
        <f>IFERROR(__xludf.DUMMYFUNCTION("""COMPUTED_VALUE"""),"Active")</f>
        <v>Active</v>
      </c>
      <c r="K61" s="228" t="str">
        <f>IFERROR(__xludf.DUMMYFUNCTION("""COMPUTED_VALUE"""),"3M")</f>
        <v>3M</v>
      </c>
      <c r="L61" s="729">
        <f>IFERROR(__xludf.DUMMYFUNCTION("""COMPUTED_VALUE"""),45628.0)</f>
        <v>45628</v>
      </c>
      <c r="M61" s="228"/>
      <c r="N61" s="228"/>
      <c r="O61" s="228"/>
      <c r="P61" s="228" t="str">
        <f>IFERROR(__xludf.DUMMYFUNCTION("""COMPUTED_VALUE"""),"03125038959")</f>
        <v>03125038959</v>
      </c>
      <c r="Q61" s="228" t="str">
        <f>IFERROR(__xludf.DUMMYFUNCTION("""COMPUTED_VALUE"""),"37102-6519320-4")</f>
        <v>37102-6519320-4</v>
      </c>
      <c r="R61" s="228" t="str">
        <f>IFERROR(__xludf.DUMMYFUNCTION("""COMPUTED_VALUE"""),"Female")</f>
        <v>Female</v>
      </c>
      <c r="S61" s="228" t="str">
        <f>IFERROR(__xludf.DUMMYFUNCTION("""COMPUTED_VALUE"""),"Askari Bank Nust Branch")</f>
        <v>Askari Bank Nust Branch</v>
      </c>
      <c r="T61" s="228" t="str">
        <f>IFERROR(__xludf.DUMMYFUNCTION("""COMPUTED_VALUE"""),"IZZA SHAK")</f>
        <v>IZZA SHAK</v>
      </c>
      <c r="U61" s="228" t="str">
        <f>IFERROR(__xludf.DUMMYFUNCTION("""COMPUTED_VALUE"""),"PK65ASCM0001800610009777")</f>
        <v>PK65ASCM0001800610009777</v>
      </c>
      <c r="V61" s="228" t="str">
        <f>IFERROR(__xludf.DUMMYFUNCTION("""COMPUTED_VALUE"""),"180A")</f>
        <v>180A</v>
      </c>
      <c r="W61" s="228"/>
      <c r="X61" s="228" t="str">
        <f>IFERROR(__xludf.DUMMYFUNCTION("""COMPUTED_VALUE"""),"Islamabad")</f>
        <v>Islamabad</v>
      </c>
      <c r="Y61" s="730">
        <f>IFERROR(__xludf.DUMMYFUNCTION("""COMPUTED_VALUE"""),35986.0)</f>
        <v>35986</v>
      </c>
      <c r="Z61" s="228" t="str">
        <f>IFERROR(__xludf.DUMMYFUNCTION("""COMPUTED_VALUE"""),"26 Years")</f>
        <v>26 Years</v>
      </c>
      <c r="AA61" s="228" t="str">
        <f>IFERROR(__xludf.DUMMYFUNCTION("""COMPUTED_VALUE"""),"Javed Plaza, Apartment 17, DHA Phase 2, Gate 2 opposite, Islamabad")</f>
        <v>Javed Plaza, Apartment 17, DHA Phase 2, Gate 2 opposite, Islamabad</v>
      </c>
      <c r="AB61" s="228" t="str">
        <f>IFERROR(__xludf.DUMMYFUNCTION("""COMPUTED_VALUE"""),"Pakistani")</f>
        <v>Pakistani</v>
      </c>
      <c r="AC61" s="228" t="str">
        <f>IFERROR(__xludf.DUMMYFUNCTION("""COMPUTED_VALUE"""),"Married")</f>
        <v>Married</v>
      </c>
      <c r="AD61" s="228"/>
      <c r="AE61" s="228"/>
      <c r="AF61" s="228"/>
      <c r="AG61" s="228" t="str">
        <f>IFERROR(__xludf.DUMMYFUNCTION("""COMPUTED_VALUE"""),"Shahzad Raza")</f>
        <v>Shahzad Raza</v>
      </c>
      <c r="AH61" s="228" t="str">
        <f>IFERROR(__xludf.DUMMYFUNCTION("""COMPUTED_VALUE"""),"Husband")</f>
        <v>Husband</v>
      </c>
      <c r="AI61" s="228">
        <f>IFERROR(__xludf.DUMMYFUNCTION("""COMPUTED_VALUE"""),3.127683691E9)</f>
        <v>3127683691</v>
      </c>
      <c r="AJ61" s="228" t="str">
        <f>IFERROR(__xludf.DUMMYFUNCTION("""COMPUTED_VALUE"""),"O+")</f>
        <v>O+</v>
      </c>
      <c r="AK61" s="731" t="str">
        <f>IFERROR(__xludf.DUMMYFUNCTION("""COMPUTED_VALUE"""),"www.linkedin.com/in/izza-shakeel-39824612a")</f>
        <v>www.linkedin.com/in/izza-shakeel-39824612a</v>
      </c>
      <c r="AL61" s="228"/>
      <c r="AM61" s="228"/>
      <c r="AN61" s="228"/>
      <c r="AO61" s="228"/>
      <c r="AP61" s="228" t="str">
        <f>IFERROR(__xludf.DUMMYFUNCTION("""COMPUTED_VALUE"""),"NO")</f>
        <v>NO</v>
      </c>
      <c r="AQ61" s="228" t="str">
        <f>IFERROR(__xludf.DUMMYFUNCTION("""COMPUTED_VALUE"""),"Active")</f>
        <v>Active</v>
      </c>
    </row>
    <row r="62">
      <c r="A62" s="228">
        <f>IFERROR(__xludf.DUMMYFUNCTION("""COMPUTED_VALUE"""),5300.0)</f>
        <v>5300</v>
      </c>
      <c r="B62" s="228" t="str">
        <f>IFERROR(__xludf.DUMMYFUNCTION("""COMPUTED_VALUE"""),"Omar Sibghat")</f>
        <v>Omar Sibghat</v>
      </c>
      <c r="C62" s="228" t="str">
        <f>IFERROR(__xludf.DUMMYFUNCTION("""COMPUTED_VALUE"""),"omarsibghat@gmail.com")</f>
        <v>omarsibghat@gmail.com</v>
      </c>
      <c r="D62" s="228" t="str">
        <f>IFERROR(__xludf.DUMMYFUNCTION("""COMPUTED_VALUE"""),"omar.sibghat@vyro.ai")</f>
        <v>omar.sibghat@vyro.ai</v>
      </c>
      <c r="E62" s="728">
        <f>IFERROR(__xludf.DUMMYFUNCTION("""COMPUTED_VALUE"""),45544.0)</f>
        <v>45544</v>
      </c>
      <c r="F62" s="228" t="str">
        <f>IFERROR(__xludf.DUMMYFUNCTION("""COMPUTED_VALUE"""),"Associate Machine Learning Engineer")</f>
        <v>Associate Machine Learning Engineer</v>
      </c>
      <c r="G62" s="228" t="str">
        <f>IFERROR(__xludf.DUMMYFUNCTION("""COMPUTED_VALUE"""),"Machine Learning")</f>
        <v>Machine Learning</v>
      </c>
      <c r="H62" s="228" t="str">
        <f>IFERROR(__xludf.DUMMYFUNCTION("""COMPUTED_VALUE"""),"Ameer Hamza")</f>
        <v>Ameer Hamza</v>
      </c>
      <c r="I62" s="228" t="str">
        <f>IFERROR(__xludf.DUMMYFUNCTION("""COMPUTED_VALUE"""),"Probation")</f>
        <v>Probation</v>
      </c>
      <c r="J62" s="228" t="str">
        <f>IFERROR(__xludf.DUMMYFUNCTION("""COMPUTED_VALUE"""),"Active")</f>
        <v>Active</v>
      </c>
      <c r="K62" s="228" t="str">
        <f>IFERROR(__xludf.DUMMYFUNCTION("""COMPUTED_VALUE"""),"3M")</f>
        <v>3M</v>
      </c>
      <c r="L62" s="729">
        <f>IFERROR(__xludf.DUMMYFUNCTION("""COMPUTED_VALUE"""),45635.0)</f>
        <v>45635</v>
      </c>
      <c r="M62" s="228"/>
      <c r="N62" s="228"/>
      <c r="O62" s="228"/>
      <c r="P62" s="228" t="str">
        <f>IFERROR(__xludf.DUMMYFUNCTION("""COMPUTED_VALUE"""),"03178081823")</f>
        <v>03178081823</v>
      </c>
      <c r="Q62" s="228" t="str">
        <f>IFERROR(__xludf.DUMMYFUNCTION("""COMPUTED_VALUE"""),"61101-8740927-3")</f>
        <v>61101-8740927-3</v>
      </c>
      <c r="R62" s="228" t="str">
        <f>IFERROR(__xludf.DUMMYFUNCTION("""COMPUTED_VALUE"""),"Male")</f>
        <v>Male</v>
      </c>
      <c r="S62" s="228" t="str">
        <f>IFERROR(__xludf.DUMMYFUNCTION("""COMPUTED_VALUE"""),"UBL")</f>
        <v>UBL</v>
      </c>
      <c r="T62" s="228" t="str">
        <f>IFERROR(__xludf.DUMMYFUNCTION("""COMPUTED_VALUE"""),"Omar Sibghat")</f>
        <v>Omar Sibghat</v>
      </c>
      <c r="U62" s="228" t="str">
        <f>IFERROR(__xludf.DUMMYFUNCTION("""COMPUTED_VALUE"""),"PK24 UNIL 0109 0003 2865 5078")</f>
        <v>PK24 UNIL 0109 0003 2865 5078</v>
      </c>
      <c r="V62" s="228" t="str">
        <f>IFERROR(__xludf.DUMMYFUNCTION("""COMPUTED_VALUE"""),"UNILPKKA")</f>
        <v>UNILPKKA</v>
      </c>
      <c r="W62" s="228"/>
      <c r="X62" s="228" t="str">
        <f>IFERROR(__xludf.DUMMYFUNCTION("""COMPUTED_VALUE"""),"Islamabad")</f>
        <v>Islamabad</v>
      </c>
      <c r="Y62" s="730">
        <f>IFERROR(__xludf.DUMMYFUNCTION("""COMPUTED_VALUE"""),37278.0)</f>
        <v>37278</v>
      </c>
      <c r="Z62" s="228" t="str">
        <f>IFERROR(__xludf.DUMMYFUNCTION("""COMPUTED_VALUE"""),"23 Years")</f>
        <v>23 Years</v>
      </c>
      <c r="AA62" s="228" t="str">
        <f>IFERROR(__xludf.DUMMYFUNCTION("""COMPUTED_VALUE"""),"House #1122 street #10 sector G14 / 4, Islamabad")</f>
        <v>House #1122 street #10 sector G14 / 4, Islamabad</v>
      </c>
      <c r="AB62" s="228" t="str">
        <f>IFERROR(__xludf.DUMMYFUNCTION("""COMPUTED_VALUE"""),"Pakistani")</f>
        <v>Pakistani</v>
      </c>
      <c r="AC62" s="228" t="str">
        <f>IFERROR(__xludf.DUMMYFUNCTION("""COMPUTED_VALUE"""),"Single")</f>
        <v>Single</v>
      </c>
      <c r="AD62" s="228"/>
      <c r="AE62" s="228"/>
      <c r="AF62" s="228"/>
      <c r="AG62" s="228" t="str">
        <f>IFERROR(__xludf.DUMMYFUNCTION("""COMPUTED_VALUE"""),"Sibghat Ullah")</f>
        <v>Sibghat Ullah</v>
      </c>
      <c r="AH62" s="228" t="str">
        <f>IFERROR(__xludf.DUMMYFUNCTION("""COMPUTED_VALUE"""),"Father")</f>
        <v>Father</v>
      </c>
      <c r="AI62" s="228">
        <f>IFERROR(__xludf.DUMMYFUNCTION("""COMPUTED_VALUE"""),3.219501227E9)</f>
        <v>3219501227</v>
      </c>
      <c r="AJ62" s="228" t="str">
        <f>IFERROR(__xludf.DUMMYFUNCTION("""COMPUTED_VALUE"""),"O+")</f>
        <v>O+</v>
      </c>
      <c r="AK62" s="731" t="str">
        <f>IFERROR(__xludf.DUMMYFUNCTION("""COMPUTED_VALUE"""),"https://www.linkedin.com/in/omar-sibghat-037180210/")</f>
        <v>https://www.linkedin.com/in/omar-sibghat-037180210/</v>
      </c>
      <c r="AL62" s="228"/>
      <c r="AM62" s="228"/>
      <c r="AN62" s="228" t="str">
        <f>IFERROR(__xludf.DUMMYFUNCTION("""COMPUTED_VALUE"""),"Machine Learning")</f>
        <v>Machine Learning</v>
      </c>
      <c r="AO62" s="228" t="str">
        <f>IFERROR(__xludf.DUMMYFUNCTION("""COMPUTED_VALUE"""),"ml.team@vyro.ai")</f>
        <v>ml.team@vyro.ai</v>
      </c>
      <c r="AP62" s="228" t="str">
        <f>IFERROR(__xludf.DUMMYFUNCTION("""COMPUTED_VALUE"""),"NO")</f>
        <v>NO</v>
      </c>
      <c r="AQ62" s="228" t="str">
        <f>IFERROR(__xludf.DUMMYFUNCTION("""COMPUTED_VALUE"""),"Active")</f>
        <v>Active</v>
      </c>
    </row>
    <row r="63">
      <c r="A63" s="228">
        <f>IFERROR(__xludf.DUMMYFUNCTION("""COMPUTED_VALUE"""),5301.0)</f>
        <v>5301</v>
      </c>
      <c r="B63" s="228" t="str">
        <f>IFERROR(__xludf.DUMMYFUNCTION("""COMPUTED_VALUE"""),"Mohid Khan")</f>
        <v>Mohid Khan</v>
      </c>
      <c r="C63" s="228" t="str">
        <f>IFERROR(__xludf.DUMMYFUNCTION("""COMPUTED_VALUE"""),"mohidkhaan06@gmail.com")</f>
        <v>mohidkhaan06@gmail.com</v>
      </c>
      <c r="D63" s="228" t="str">
        <f>IFERROR(__xludf.DUMMYFUNCTION("""COMPUTED_VALUE"""),"mohid.khan@vyro.ai")</f>
        <v>mohid.khan@vyro.ai</v>
      </c>
      <c r="E63" s="728">
        <f>IFERROR(__xludf.DUMMYFUNCTION("""COMPUTED_VALUE"""),45551.0)</f>
        <v>45551</v>
      </c>
      <c r="F63" s="228" t="str">
        <f>IFERROR(__xludf.DUMMYFUNCTION("""COMPUTED_VALUE"""),"Visual designer")</f>
        <v>Visual designer</v>
      </c>
      <c r="G63" s="228" t="str">
        <f>IFERROR(__xludf.DUMMYFUNCTION("""COMPUTED_VALUE"""),"Product Design")</f>
        <v>Product Design</v>
      </c>
      <c r="H63" s="228" t="str">
        <f>IFERROR(__xludf.DUMMYFUNCTION("""COMPUTED_VALUE"""),"Umaira Jabeen")</f>
        <v>Umaira Jabeen</v>
      </c>
      <c r="I63" s="228" t="str">
        <f>IFERROR(__xludf.DUMMYFUNCTION("""COMPUTED_VALUE"""),"Probation")</f>
        <v>Probation</v>
      </c>
      <c r="J63" s="228" t="str">
        <f>IFERROR(__xludf.DUMMYFUNCTION("""COMPUTED_VALUE"""),"Active")</f>
        <v>Active</v>
      </c>
      <c r="K63" s="228" t="str">
        <f>IFERROR(__xludf.DUMMYFUNCTION("""COMPUTED_VALUE"""),"3M")</f>
        <v>3M</v>
      </c>
      <c r="L63" s="729">
        <f>IFERROR(__xludf.DUMMYFUNCTION("""COMPUTED_VALUE"""),45642.0)</f>
        <v>45642</v>
      </c>
      <c r="M63" s="228"/>
      <c r="N63" s="228"/>
      <c r="O63" s="228"/>
      <c r="P63" s="228" t="str">
        <f>IFERROR(__xludf.DUMMYFUNCTION("""COMPUTED_VALUE"""),"3363978239")</f>
        <v>3363978239</v>
      </c>
      <c r="Q63" s="228" t="str">
        <f>IFERROR(__xludf.DUMMYFUNCTION("""COMPUTED_VALUE"""),"42301-2297702-9")</f>
        <v>42301-2297702-9</v>
      </c>
      <c r="R63" s="228" t="str">
        <f>IFERROR(__xludf.DUMMYFUNCTION("""COMPUTED_VALUE"""),"Male")</f>
        <v>Male</v>
      </c>
      <c r="S63" s="228" t="str">
        <f>IFERROR(__xludf.DUMMYFUNCTION("""COMPUTED_VALUE"""),"Bank Alfalah")</f>
        <v>Bank Alfalah</v>
      </c>
      <c r="T63" s="228" t="str">
        <f>IFERROR(__xludf.DUMMYFUNCTION("""COMPUTED_VALUE"""),"MOHID KHAN")</f>
        <v>MOHID KHAN</v>
      </c>
      <c r="U63" s="228" t="str">
        <f>IFERROR(__xludf.DUMMYFUNCTION("""COMPUTED_VALUE"""),"PK93ALFH0089001008150212")</f>
        <v>PK93ALFH0089001008150212</v>
      </c>
      <c r="V63" s="228" t="str">
        <f>IFERROR(__xludf.DUMMYFUNCTION("""COMPUTED_VALUE"""),"ALFHPKKA")</f>
        <v>ALFHPKKA</v>
      </c>
      <c r="W63" s="228"/>
      <c r="X63" s="228" t="str">
        <f>IFERROR(__xludf.DUMMYFUNCTION("""COMPUTED_VALUE"""),"Islamabad")</f>
        <v>Islamabad</v>
      </c>
      <c r="Y63" s="730">
        <f>IFERROR(__xludf.DUMMYFUNCTION("""COMPUTED_VALUE"""),37278.0)</f>
        <v>37278</v>
      </c>
      <c r="Z63" s="228" t="str">
        <f>IFERROR(__xludf.DUMMYFUNCTION("""COMPUTED_VALUE"""),"23 Years")</f>
        <v>23 Years</v>
      </c>
      <c r="AA63" s="228" t="str">
        <f>IFERROR(__xludf.DUMMYFUNCTION("""COMPUTED_VALUE"""),"House #1122 street #10 sector G14 / 4, Islamabad")</f>
        <v>House #1122 street #10 sector G14 / 4, Islamabad</v>
      </c>
      <c r="AB63" s="228" t="str">
        <f>IFERROR(__xludf.DUMMYFUNCTION("""COMPUTED_VALUE"""),"Pakistani")</f>
        <v>Pakistani</v>
      </c>
      <c r="AC63" s="228" t="str">
        <f>IFERROR(__xludf.DUMMYFUNCTION("""COMPUTED_VALUE"""),"Single")</f>
        <v>Single</v>
      </c>
      <c r="AD63" s="228"/>
      <c r="AE63" s="228"/>
      <c r="AF63" s="228"/>
      <c r="AG63" s="228" t="str">
        <f>IFERROR(__xludf.DUMMYFUNCTION("""COMPUTED_VALUE"""),"Ejaz Khan")</f>
        <v>Ejaz Khan</v>
      </c>
      <c r="AH63" s="228" t="str">
        <f>IFERROR(__xludf.DUMMYFUNCTION("""COMPUTED_VALUE"""),"Father")</f>
        <v>Father</v>
      </c>
      <c r="AI63" s="228">
        <f>IFERROR(__xludf.DUMMYFUNCTION("""COMPUTED_VALUE"""),3.312199848E9)</f>
        <v>3312199848</v>
      </c>
      <c r="AJ63" s="228" t="str">
        <f>IFERROR(__xludf.DUMMYFUNCTION("""COMPUTED_VALUE"""),"AB+")</f>
        <v>AB+</v>
      </c>
      <c r="AK63" s="731" t="str">
        <f>IFERROR(__xludf.DUMMYFUNCTION("""COMPUTED_VALUE"""),"https://www.linkedin.com/in/mohid-khan-0a8065217?utm_source=share&amp;utm_campaign=share_via&amp;utm_content=profile&amp;utm_medium=ios_app")</f>
        <v>https://www.linkedin.com/in/mohid-khan-0a8065217?utm_source=share&amp;utm_campaign=share_via&amp;utm_content=profile&amp;utm_medium=ios_app</v>
      </c>
      <c r="AL63" s="228"/>
      <c r="AM63" s="228"/>
      <c r="AN63" s="228" t="str">
        <f>IFERROR(__xludf.DUMMYFUNCTION("""COMPUTED_VALUE"""),"Creatives")</f>
        <v>Creatives</v>
      </c>
      <c r="AO63" s="228" t="str">
        <f>IFERROR(__xludf.DUMMYFUNCTION("""COMPUTED_VALUE"""),"Creatives.team@vyro.ai")</f>
        <v>Creatives.team@vyro.ai</v>
      </c>
      <c r="AP63" s="228" t="str">
        <f>IFERROR(__xludf.DUMMYFUNCTION("""COMPUTED_VALUE"""),"NO")</f>
        <v>NO</v>
      </c>
      <c r="AQ63" s="228" t="str">
        <f>IFERROR(__xludf.DUMMYFUNCTION("""COMPUTED_VALUE"""),"Active")</f>
        <v>Active</v>
      </c>
    </row>
    <row r="64">
      <c r="A64" s="228">
        <f>IFERROR(__xludf.DUMMYFUNCTION("""COMPUTED_VALUE"""),5302.0)</f>
        <v>5302</v>
      </c>
      <c r="B64" s="228" t="str">
        <f>IFERROR(__xludf.DUMMYFUNCTION("""COMPUTED_VALUE"""),"Muhammad Zakria Amir")</f>
        <v>Muhammad Zakria Amir</v>
      </c>
      <c r="C64" s="228" t="str">
        <f>IFERROR(__xludf.DUMMYFUNCTION("""COMPUTED_VALUE"""),"zakria_amir@hotmail.com")</f>
        <v>zakria_amir@hotmail.com</v>
      </c>
      <c r="D64" s="228" t="str">
        <f>IFERROR(__xludf.DUMMYFUNCTION("""COMPUTED_VALUE"""),"zakria.amir@vyro.ai")</f>
        <v>zakria.amir@vyro.ai</v>
      </c>
      <c r="E64" s="728">
        <f>IFERROR(__xludf.DUMMYFUNCTION("""COMPUTED_VALUE"""),45551.0)</f>
        <v>45551</v>
      </c>
      <c r="F64" s="228" t="str">
        <f>IFERROR(__xludf.DUMMYFUNCTION("""COMPUTED_VALUE"""),"Manager Affiliate &amp; Partnership")</f>
        <v>Manager Affiliate &amp; Partnership</v>
      </c>
      <c r="G64" s="228" t="str">
        <f>IFERROR(__xludf.DUMMYFUNCTION("""COMPUTED_VALUE"""),"Business Solutions")</f>
        <v>Business Solutions</v>
      </c>
      <c r="H64" s="228" t="str">
        <f>IFERROR(__xludf.DUMMYFUNCTION("""COMPUTED_VALUE"""),"Ahmed Abubakar, CEO")</f>
        <v>Ahmed Abubakar, CEO</v>
      </c>
      <c r="I64" s="228" t="str">
        <f>IFERROR(__xludf.DUMMYFUNCTION("""COMPUTED_VALUE"""),"Probation")</f>
        <v>Probation</v>
      </c>
      <c r="J64" s="228" t="str">
        <f>IFERROR(__xludf.DUMMYFUNCTION("""COMPUTED_VALUE"""),"Active")</f>
        <v>Active</v>
      </c>
      <c r="K64" s="228" t="str">
        <f>IFERROR(__xludf.DUMMYFUNCTION("""COMPUTED_VALUE"""),"3M")</f>
        <v>3M</v>
      </c>
      <c r="L64" s="729">
        <f>IFERROR(__xludf.DUMMYFUNCTION("""COMPUTED_VALUE"""),45642.0)</f>
        <v>45642</v>
      </c>
      <c r="M64" s="228"/>
      <c r="N64" s="228"/>
      <c r="O64" s="228"/>
      <c r="P64" s="228" t="str">
        <f>IFERROR(__xludf.DUMMYFUNCTION("""COMPUTED_VALUE"""),"3325027330")</f>
        <v>3325027330</v>
      </c>
      <c r="Q64" s="228" t="str">
        <f>IFERROR(__xludf.DUMMYFUNCTION("""COMPUTED_VALUE"""),"37405-2885273-9")</f>
        <v>37405-2885273-9</v>
      </c>
      <c r="R64" s="228" t="str">
        <f>IFERROR(__xludf.DUMMYFUNCTION("""COMPUTED_VALUE"""),"Male")</f>
        <v>Male</v>
      </c>
      <c r="S64" s="228" t="str">
        <f>IFERROR(__xludf.DUMMYFUNCTION("""COMPUTED_VALUE"""),"Meezan Bank")</f>
        <v>Meezan Bank</v>
      </c>
      <c r="T64" s="228" t="str">
        <f>IFERROR(__xludf.DUMMYFUNCTION("""COMPUTED_VALUE"""),"MUHAMMAD ZAKRIA AMIIR")</f>
        <v>MUHAMMAD ZAKRIA AMIIR</v>
      </c>
      <c r="U64" s="228" t="str">
        <f>IFERROR(__xludf.DUMMYFUNCTION("""COMPUTED_VALUE"""),"PK62MEZN0008010102282246")</f>
        <v>PK62MEZN0008010102282246</v>
      </c>
      <c r="V64" s="228" t="str">
        <f>IFERROR(__xludf.DUMMYFUNCTION("""COMPUTED_VALUE"""),"MEZNPKKA")</f>
        <v>MEZNPKKA</v>
      </c>
      <c r="W64" s="228" t="str">
        <f>IFERROR(__xludf.DUMMYFUNCTION("""COMPUTED_VALUE"""),"Account Title: MUHAMMAD ZAKRIA AMIR
Account Number: 3252 1050 0745
ACH Routing Number: 121000358
Bank: Bank of America")</f>
        <v>Account Title: MUHAMMAD ZAKRIA AMIR
Account Number: 3252 1050 0745
ACH Routing Number: 121000358
Bank: Bank of America</v>
      </c>
      <c r="X64" s="228" t="str">
        <f>IFERROR(__xludf.DUMMYFUNCTION("""COMPUTED_VALUE"""),"Islamabad")</f>
        <v>Islamabad</v>
      </c>
      <c r="Y64" s="730">
        <f>IFERROR(__xludf.DUMMYFUNCTION("""COMPUTED_VALUE"""),34910.0)</f>
        <v>34910</v>
      </c>
      <c r="Z64" s="228" t="str">
        <f>IFERROR(__xludf.DUMMYFUNCTION("""COMPUTED_VALUE"""),"29 Years")</f>
        <v>29 Years</v>
      </c>
      <c r="AA64" s="228" t="str">
        <f>IFERROR(__xludf.DUMMYFUNCTION("""COMPUTED_VALUE"""),"House 27-A, Streett 31, Valley Road, Westridge 1, Rawalpindi")</f>
        <v>House 27-A, Streett 31, Valley Road, Westridge 1, Rawalpindi</v>
      </c>
      <c r="AB64" s="228" t="str">
        <f>IFERROR(__xludf.DUMMYFUNCTION("""COMPUTED_VALUE"""),"Pakistani")</f>
        <v>Pakistani</v>
      </c>
      <c r="AC64" s="228" t="str">
        <f>IFERROR(__xludf.DUMMYFUNCTION("""COMPUTED_VALUE"""),"Single")</f>
        <v>Single</v>
      </c>
      <c r="AD64" s="228"/>
      <c r="AE64" s="228"/>
      <c r="AF64" s="228"/>
      <c r="AG64" s="228" t="str">
        <f>IFERROR(__xludf.DUMMYFUNCTION("""COMPUTED_VALUE"""),"Muhammad Amir Shahzad")</f>
        <v>Muhammad Amir Shahzad</v>
      </c>
      <c r="AH64" s="228" t="str">
        <f>IFERROR(__xludf.DUMMYFUNCTION("""COMPUTED_VALUE"""),"Mother")</f>
        <v>Mother</v>
      </c>
      <c r="AI64" s="228">
        <f>IFERROR(__xludf.DUMMYFUNCTION("""COMPUTED_VALUE"""),3.35507095E9)</f>
        <v>3355070950</v>
      </c>
      <c r="AJ64" s="228" t="str">
        <f>IFERROR(__xludf.DUMMYFUNCTION("""COMPUTED_VALUE"""),"B+")</f>
        <v>B+</v>
      </c>
      <c r="AK64" s="731" t="str">
        <f>IFERROR(__xludf.DUMMYFUNCTION("""COMPUTED_VALUE"""),"https://www.linkedin.com/in/zakriaamir/")</f>
        <v>https://www.linkedin.com/in/zakriaamir/</v>
      </c>
      <c r="AL64" s="228"/>
      <c r="AM64" s="228"/>
      <c r="AN64" s="228" t="str">
        <f>IFERROR(__xludf.DUMMYFUNCTION("""COMPUTED_VALUE"""),"Affiliates")</f>
        <v>Affiliates</v>
      </c>
      <c r="AO64" s="228" t="str">
        <f>IFERROR(__xludf.DUMMYFUNCTION("""COMPUTED_VALUE"""),"affiliates.team@vyro.ai")</f>
        <v>affiliates.team@vyro.ai</v>
      </c>
      <c r="AP64" s="228" t="str">
        <f>IFERROR(__xludf.DUMMYFUNCTION("""COMPUTED_VALUE"""),"NO")</f>
        <v>NO</v>
      </c>
      <c r="AQ64" s="228" t="str">
        <f>IFERROR(__xludf.DUMMYFUNCTION("""COMPUTED_VALUE"""),"Active")</f>
        <v>Active</v>
      </c>
    </row>
    <row r="65">
      <c r="A65" s="228">
        <f>IFERROR(__xludf.DUMMYFUNCTION("""COMPUTED_VALUE"""),5311.0)</f>
        <v>5311</v>
      </c>
      <c r="B65" s="228" t="str">
        <f>IFERROR(__xludf.DUMMYFUNCTION("""COMPUTED_VALUE"""),"Saif ur Rehman")</f>
        <v>Saif ur Rehman</v>
      </c>
      <c r="C65" s="228" t="str">
        <f>IFERROR(__xludf.DUMMYFUNCTION("""COMPUTED_VALUE"""),"21020530@lums.edu.pk")</f>
        <v>21020530@lums.edu.pk</v>
      </c>
      <c r="D65" s="228" t="str">
        <f>IFERROR(__xludf.DUMMYFUNCTION("""COMPUTED_VALUE"""),"saif.rehman@vyro.ai")</f>
        <v>saif.rehman@vyro.ai</v>
      </c>
      <c r="E65" s="728">
        <f>IFERROR(__xludf.DUMMYFUNCTION("""COMPUTED_VALUE"""),45586.0)</f>
        <v>45586</v>
      </c>
      <c r="F65" s="228" t="str">
        <f>IFERROR(__xludf.DUMMYFUNCTION("""COMPUTED_VALUE"""),"Technical Product Manager")</f>
        <v>Technical Product Manager</v>
      </c>
      <c r="G65" s="228" t="str">
        <f>IFERROR(__xludf.DUMMYFUNCTION("""COMPUTED_VALUE"""),"Product")</f>
        <v>Product</v>
      </c>
      <c r="H65" s="228" t="str">
        <f>IFERROR(__xludf.DUMMYFUNCTION("""COMPUTED_VALUE"""),"Saad Ahmed")</f>
        <v>Saad Ahmed</v>
      </c>
      <c r="I65" s="228" t="str">
        <f>IFERROR(__xludf.DUMMYFUNCTION("""COMPUTED_VALUE"""),"Probation")</f>
        <v>Probation</v>
      </c>
      <c r="J65" s="228" t="str">
        <f>IFERROR(__xludf.DUMMYFUNCTION("""COMPUTED_VALUE"""),"Active")</f>
        <v>Active</v>
      </c>
      <c r="K65" s="228" t="str">
        <f>IFERROR(__xludf.DUMMYFUNCTION("""COMPUTED_VALUE"""),"3M")</f>
        <v>3M</v>
      </c>
      <c r="L65" s="729">
        <f>IFERROR(__xludf.DUMMYFUNCTION("""COMPUTED_VALUE"""),45678.0)</f>
        <v>45678</v>
      </c>
      <c r="M65" s="228"/>
      <c r="N65" s="228"/>
      <c r="O65" s="228"/>
      <c r="P65" s="228" t="str">
        <f>IFERROR(__xludf.DUMMYFUNCTION("""COMPUTED_VALUE"""),"03184314731")</f>
        <v>03184314731</v>
      </c>
      <c r="Q65" s="228" t="str">
        <f>IFERROR(__xludf.DUMMYFUNCTION("""COMPUTED_VALUE"""),"36302-1620856-7")</f>
        <v>36302-1620856-7</v>
      </c>
      <c r="R65" s="228" t="str">
        <f>IFERROR(__xludf.DUMMYFUNCTION("""COMPUTED_VALUE"""),"Male")</f>
        <v>Male</v>
      </c>
      <c r="S65" s="228" t="str">
        <f>IFERROR(__xludf.DUMMYFUNCTION("""COMPUTED_VALUE""")," Merchants Commercial Bank")</f>
        <v> Merchants Commercial Bank</v>
      </c>
      <c r="T65" s="228" t="str">
        <f>IFERROR(__xludf.DUMMYFUNCTION("""COMPUTED_VALUE"""),"Saif Ur Rehman")</f>
        <v>Saif Ur Rehman</v>
      </c>
      <c r="U65" s="228" t="str">
        <f>IFERROR(__xludf.DUMMYFUNCTION("""COMPUTED_VALUE"""),"///////////////////////////////////////////////////// NEW ACCOUNT DETAILS ///////////////////////////////////////////////////////
Beneficiary Name: Saif Ur Rehman
Beneficiary Address: Flat 7, Golden Heights, F-11 Markaz, Islamabad, 44008, Pakistan
Account"&amp;" Number: 900100083265
Routing Number (ACH / ABA): 021606742
Account Type: Checking
Bank Name: Merchants Commercial Bank
////////////////////////////////////////////// OLD Details /////////////////////////////////////////////////////////////////////"&amp;"////
1. Bank Name: Emirates NBD
Account name: Haseeb ur Rehman
IBAN: AE15 0260 0010 1588 8392 301
Account number: 1015888392301
Swift code: EBILAEAD
Routing number: 302620122
Purpose code: 102
Country: United Arab Emirates
Address: A257 DAMAC Celestia A, "&amp;"Dubai South                                                                                                                                                                                                                                                    "&amp;"                                                                                                                                             2, Beneficiary Name: Saif Ur Rehman
Beneficiary Address: Flat 7, Golden Heights, F-11 Markaz, Islamabad, 44008, Pa"&amp;"kistan
Account Number: 650517175819
Routing Number (ACH/ABA): 011275484
Account Type: Checking
Bank Name: Bangor Savings Bank
Meezan :PK26MEZN0002160107938141")</f>
        <v>///////////////////////////////////////////////////// NEW ACCOUNT DETAILS ///////////////////////////////////////////////////////
Beneficiary Name: Saif Ur Rehman
Beneficiary Address: Flat 7, Golden Heights, F-11 Markaz, Islamabad, 44008, Pakistan
Account Number: 900100083265
Routing Number (ACH / ABA): 021606742
Account Type: Checking
Bank Name: Merchants Commercial Bank
////////////////////////////////////////////// OLD Details /////////////////////////////////////////////////////////////////////////
1. Bank Name: Emirates NBD
Account name: Haseeb ur Rehman
IBAN: AE15 0260 0010 1588 8392 301
Account number: 1015888392301
Swift code: EBILAEAD
Routing number: 302620122
Purpose code: 102
Country: United Arab Emirates
Address: A257 DAMAC Celestia A, Dubai South                                                                                                                                                                                                                                                                                                                                                                                                 2, Beneficiary Name: Saif Ur Rehman
Beneficiary Address: Flat 7, Golden Heights, F-11 Markaz, Islamabad, 44008, Pakistan
Account Number: 650517175819
Routing Number (ACH/ABA): 011275484
Account Type: Checking
Bank Name: Bangor Savings Bank
Meezan :PK26MEZN0002160107938141</v>
      </c>
      <c r="V65" s="228" t="str">
        <f>IFERROR(__xludf.DUMMYFUNCTION("""COMPUTED_VALUE"""),"
//////////////////////// OLD ACCOUNT /////////////////////////
MEZNPKKALHR")</f>
        <v>
//////////////////////// OLD ACCOUNT /////////////////////////
MEZNPKKALHR</v>
      </c>
      <c r="W65" s="228"/>
      <c r="X65" s="228" t="str">
        <f>IFERROR(__xludf.DUMMYFUNCTION("""COMPUTED_VALUE"""),"Islamabad")</f>
        <v>Islamabad</v>
      </c>
      <c r="Y65" s="730">
        <f>IFERROR(__xludf.DUMMYFUNCTION("""COMPUTED_VALUE"""),36617.0)</f>
        <v>36617</v>
      </c>
      <c r="Z65" s="228" t="str">
        <f>IFERROR(__xludf.DUMMYFUNCTION("""COMPUTED_VALUE"""),"24 Years")</f>
        <v>24 Years</v>
      </c>
      <c r="AA65" s="228" t="str">
        <f>IFERROR(__xludf.DUMMYFUNCTION("""COMPUTED_VALUE"""),"Model Town T chowk MashAllah street Multan")</f>
        <v>Model Town T chowk MashAllah street Multan</v>
      </c>
      <c r="AB65" s="228" t="str">
        <f>IFERROR(__xludf.DUMMYFUNCTION("""COMPUTED_VALUE"""),"Pakistani")</f>
        <v>Pakistani</v>
      </c>
      <c r="AC65" s="228" t="str">
        <f>IFERROR(__xludf.DUMMYFUNCTION("""COMPUTED_VALUE"""),"Single")</f>
        <v>Single</v>
      </c>
      <c r="AD65" s="228"/>
      <c r="AE65" s="228"/>
      <c r="AF65" s="228"/>
      <c r="AG65" s="228" t="str">
        <f>IFERROR(__xludf.DUMMYFUNCTION("""COMPUTED_VALUE"""),"Waseem Shahzad")</f>
        <v>Waseem Shahzad</v>
      </c>
      <c r="AH65" s="228" t="str">
        <f>IFERROR(__xludf.DUMMYFUNCTION("""COMPUTED_VALUE"""),"Father")</f>
        <v>Father</v>
      </c>
      <c r="AI65" s="228">
        <f>IFERROR(__xludf.DUMMYFUNCTION("""COMPUTED_VALUE"""),3.039772341E9)</f>
        <v>3039772341</v>
      </c>
      <c r="AJ65" s="228" t="str">
        <f>IFERROR(__xludf.DUMMYFUNCTION("""COMPUTED_VALUE"""),"B+")</f>
        <v>B+</v>
      </c>
      <c r="AK65" s="731" t="str">
        <f>IFERROR(__xludf.DUMMYFUNCTION("""COMPUTED_VALUE"""),"https://www.linkedin.com/in/saifurrehman000")</f>
        <v>https://www.linkedin.com/in/saifurrehman000</v>
      </c>
      <c r="AL65" s="228"/>
      <c r="AM65" s="228"/>
      <c r="AN65" s="228" t="str">
        <f>IFERROR(__xludf.DUMMYFUNCTION("""COMPUTED_VALUE"""),"Product")</f>
        <v>Product</v>
      </c>
      <c r="AO65" s="228" t="str">
        <f>IFERROR(__xludf.DUMMYFUNCTION("""COMPUTED_VALUE"""),"product.team@vyro.ai")</f>
        <v>product.team@vyro.ai</v>
      </c>
      <c r="AP65" s="228" t="str">
        <f>IFERROR(__xludf.DUMMYFUNCTION("""COMPUTED_VALUE"""),"NO")</f>
        <v>NO</v>
      </c>
      <c r="AQ65" s="228" t="str">
        <f>IFERROR(__xludf.DUMMYFUNCTION("""COMPUTED_VALUE"""),"Active")</f>
        <v>Active</v>
      </c>
    </row>
    <row r="66">
      <c r="A66" s="228">
        <f>IFERROR(__xludf.DUMMYFUNCTION("""COMPUTED_VALUE"""),5367.0)</f>
        <v>5367</v>
      </c>
      <c r="B66" s="228" t="str">
        <f>IFERROR(__xludf.DUMMYFUNCTION("""COMPUTED_VALUE"""),"Muhammad Rizwan (Driver)")</f>
        <v>Muhammad Rizwan (Driver)</v>
      </c>
      <c r="C66" s="228"/>
      <c r="D66" s="228"/>
      <c r="E66" s="728">
        <f>IFERROR(__xludf.DUMMYFUNCTION("""COMPUTED_VALUE"""),45620.0)</f>
        <v>45620</v>
      </c>
      <c r="F66" s="228" t="str">
        <f>IFERROR(__xludf.DUMMYFUNCTION("""COMPUTED_VALUE"""),"Office Assistant")</f>
        <v>Office Assistant</v>
      </c>
      <c r="G66" s="228" t="str">
        <f>IFERROR(__xludf.DUMMYFUNCTION("""COMPUTED_VALUE"""),"Admin")</f>
        <v>Admin</v>
      </c>
      <c r="H66" s="228"/>
      <c r="I66" s="228"/>
      <c r="J66" s="228" t="str">
        <f>IFERROR(__xludf.DUMMYFUNCTION("""COMPUTED_VALUE"""),"Active")</f>
        <v>Active</v>
      </c>
      <c r="K66" s="228" t="str">
        <f>IFERROR(__xludf.DUMMYFUNCTION("""COMPUTED_VALUE"""),"3M")</f>
        <v>3M</v>
      </c>
      <c r="L66" s="228"/>
      <c r="M66" s="228"/>
      <c r="N66" s="228"/>
      <c r="O66" s="228"/>
      <c r="P66" s="228"/>
      <c r="Q66" s="228"/>
      <c r="R66" s="228" t="str">
        <f>IFERROR(__xludf.DUMMYFUNCTION("""COMPUTED_VALUE"""),"Male")</f>
        <v>Male</v>
      </c>
      <c r="S66" s="228"/>
      <c r="T66" s="228"/>
      <c r="U66" s="228"/>
      <c r="V66" s="228"/>
      <c r="W66" s="228"/>
      <c r="X66" s="228"/>
      <c r="Y66" s="228"/>
      <c r="Z66" s="228"/>
      <c r="AA66" s="228"/>
      <c r="AB66" s="228"/>
      <c r="AC66" s="228"/>
      <c r="AD66" s="228"/>
      <c r="AE66" s="228"/>
      <c r="AF66" s="228"/>
      <c r="AG66" s="228"/>
      <c r="AH66" s="228"/>
      <c r="AI66" s="228"/>
      <c r="AJ66" s="228"/>
      <c r="AK66" s="228"/>
      <c r="AL66" s="228"/>
      <c r="AM66" s="228"/>
      <c r="AN66" s="228"/>
      <c r="AO66" s="228"/>
      <c r="AP66" s="228" t="str">
        <f>IFERROR(__xludf.DUMMYFUNCTION("""COMPUTED_VALUE"""),"NO")</f>
        <v>NO</v>
      </c>
      <c r="AQ66" s="228" t="str">
        <f>IFERROR(__xludf.DUMMYFUNCTION("""COMPUTED_VALUE"""),"Active")</f>
        <v>Active</v>
      </c>
    </row>
    <row r="67">
      <c r="A67" s="228">
        <f>IFERROR(__xludf.DUMMYFUNCTION("""COMPUTED_VALUE"""),5332.0)</f>
        <v>5332</v>
      </c>
      <c r="B67" s="228" t="str">
        <f>IFERROR(__xludf.DUMMYFUNCTION("""COMPUTED_VALUE"""),"Suha Saeed Jokhio")</f>
        <v>Suha Saeed Jokhio</v>
      </c>
      <c r="C67" s="228" t="str">
        <f>IFERROR(__xludf.DUMMYFUNCTION("""COMPUTED_VALUE"""),"suhajokhio@gmail.com")</f>
        <v>suhajokhio@gmail.com</v>
      </c>
      <c r="D67" s="228" t="str">
        <f>IFERROR(__xludf.DUMMYFUNCTION("""COMPUTED_VALUE"""),"suha.jokhio@vyro.ai")</f>
        <v>suha.jokhio@vyro.ai</v>
      </c>
      <c r="E67" s="728">
        <f>IFERROR(__xludf.DUMMYFUNCTION("""COMPUTED_VALUE"""),45628.0)</f>
        <v>45628</v>
      </c>
      <c r="F67" s="228" t="str">
        <f>IFERROR(__xludf.DUMMYFUNCTION("""COMPUTED_VALUE"""),"Product Marketing Specialist")</f>
        <v>Product Marketing Specialist</v>
      </c>
      <c r="G67" s="228" t="str">
        <f>IFERROR(__xludf.DUMMYFUNCTION("""COMPUTED_VALUE"""),"Marketing")</f>
        <v>Marketing</v>
      </c>
      <c r="H67" s="228" t="str">
        <f>IFERROR(__xludf.DUMMYFUNCTION("""COMPUTED_VALUE"""),"Zain ul Abideen")</f>
        <v>Zain ul Abideen</v>
      </c>
      <c r="I67" s="228" t="str">
        <f>IFERROR(__xludf.DUMMYFUNCTION("""COMPUTED_VALUE"""),"Probation")</f>
        <v>Probation</v>
      </c>
      <c r="J67" s="228" t="str">
        <f>IFERROR(__xludf.DUMMYFUNCTION("""COMPUTED_VALUE"""),"Active")</f>
        <v>Active</v>
      </c>
      <c r="K67" s="228" t="str">
        <f>IFERROR(__xludf.DUMMYFUNCTION("""COMPUTED_VALUE"""),"3M")</f>
        <v>3M</v>
      </c>
      <c r="L67" s="729">
        <f>IFERROR(__xludf.DUMMYFUNCTION("""COMPUTED_VALUE"""),45718.0)</f>
        <v>45718</v>
      </c>
      <c r="M67" s="228"/>
      <c r="N67" s="228"/>
      <c r="O67" s="228"/>
      <c r="P67" s="228" t="str">
        <f>IFERROR(__xludf.DUMMYFUNCTION("""COMPUTED_VALUE"""),"03008231670")</f>
        <v>03008231670</v>
      </c>
      <c r="Q67" s="228" t="str">
        <f>IFERROR(__xludf.DUMMYFUNCTION("""COMPUTED_VALUE"""),"42000-8598019-8")</f>
        <v>42000-8598019-8</v>
      </c>
      <c r="R67" s="228" t="str">
        <f>IFERROR(__xludf.DUMMYFUNCTION("""COMPUTED_VALUE"""),"Female")</f>
        <v>Female</v>
      </c>
      <c r="S67" s="228" t="str">
        <f>IFERROR(__xludf.DUMMYFUNCTION("""COMPUTED_VALUE"""),"Habib Bank Limited - HBL")</f>
        <v>Habib Bank Limited - HBL</v>
      </c>
      <c r="T67" s="228" t="str">
        <f>IFERROR(__xludf.DUMMYFUNCTION("""COMPUTED_VALUE"""),"SUHA SAEED")</f>
        <v>SUHA SAEED</v>
      </c>
      <c r="U67" s="228" t="str">
        <f>IFERROR(__xludf.DUMMYFUNCTION("""COMPUTED_VALUE"""),"Bank Name: Citibank
Routing Number(ACH): 031100209
Account Number: 70583190001804517
Account Type: Checking
Account Holder Name: Suha Jokhio")</f>
        <v>Bank Name: Citibank
Routing Number(ACH): 031100209
Account Number: 70583190001804517
Account Type: Checking
Account Holder Name: Suha Jokhio</v>
      </c>
      <c r="V67" s="228"/>
      <c r="W67" s="228"/>
      <c r="X67" s="228" t="str">
        <f>IFERROR(__xludf.DUMMYFUNCTION("""COMPUTED_VALUE"""),"remote")</f>
        <v>remote</v>
      </c>
      <c r="Y67" s="730">
        <f>IFERROR(__xludf.DUMMYFUNCTION("""COMPUTED_VALUE"""),36144.0)</f>
        <v>36144</v>
      </c>
      <c r="Z67" s="228" t="str">
        <f>IFERROR(__xludf.DUMMYFUNCTION("""COMPUTED_VALUE"""),"26 Years")</f>
        <v>26 Years</v>
      </c>
      <c r="AA67" s="228" t="str">
        <f>IFERROR(__xludf.DUMMYFUNCTION("""COMPUTED_VALUE"""),"Block 95 House Number 2B Askari V, Malir Cantt Karachi")</f>
        <v>Block 95 House Number 2B Askari V, Malir Cantt Karachi</v>
      </c>
      <c r="AB67" s="228" t="str">
        <f>IFERROR(__xludf.DUMMYFUNCTION("""COMPUTED_VALUE"""),"Pakistani")</f>
        <v>Pakistani</v>
      </c>
      <c r="AC67" s="228" t="str">
        <f>IFERROR(__xludf.DUMMYFUNCTION("""COMPUTED_VALUE"""),"Single")</f>
        <v>Single</v>
      </c>
      <c r="AD67" s="228"/>
      <c r="AE67" s="228"/>
      <c r="AF67" s="228"/>
      <c r="AG67" s="228" t="str">
        <f>IFERROR(__xludf.DUMMYFUNCTION("""COMPUTED_VALUE"""),"Saeed Ahmed Jokhio")</f>
        <v>Saeed Ahmed Jokhio</v>
      </c>
      <c r="AH67" s="228" t="str">
        <f>IFERROR(__xludf.DUMMYFUNCTION("""COMPUTED_VALUE"""),"Father")</f>
        <v>Father</v>
      </c>
      <c r="AI67" s="228"/>
      <c r="AJ67" s="228" t="str">
        <f>IFERROR(__xludf.DUMMYFUNCTION("""COMPUTED_VALUE"""),"O+")</f>
        <v>O+</v>
      </c>
      <c r="AK67" s="731" t="str">
        <f>IFERROR(__xludf.DUMMYFUNCTION("""COMPUTED_VALUE"""),"https://www.linkedin.com/in/suhajokhio/")</f>
        <v>https://www.linkedin.com/in/suhajokhio/</v>
      </c>
      <c r="AL67" s="228"/>
      <c r="AM67" s="228"/>
      <c r="AN67" s="228" t="str">
        <f>IFERROR(__xludf.DUMMYFUNCTION("""COMPUTED_VALUE"""),"NOT FOUND")</f>
        <v>NOT FOUND</v>
      </c>
      <c r="AO67" s="228" t="str">
        <f>IFERROR(__xludf.DUMMYFUNCTION("""COMPUTED_VALUE"""),"NOT FOUND")</f>
        <v>NOT FOUND</v>
      </c>
      <c r="AP67" s="228" t="str">
        <f>IFERROR(__xludf.DUMMYFUNCTION("""COMPUTED_VALUE"""),"NO")</f>
        <v>NO</v>
      </c>
      <c r="AQ67" s="228" t="str">
        <f>IFERROR(__xludf.DUMMYFUNCTION("""COMPUTED_VALUE"""),"Active")</f>
        <v>Active</v>
      </c>
    </row>
    <row r="68">
      <c r="A68" s="228">
        <f>IFERROR(__xludf.DUMMYFUNCTION("""COMPUTED_VALUE"""),5335.0)</f>
        <v>5335</v>
      </c>
      <c r="B68" s="228" t="str">
        <f>IFERROR(__xludf.DUMMYFUNCTION("""COMPUTED_VALUE"""),"Faique Ahmad Khan")</f>
        <v>Faique Ahmad Khan</v>
      </c>
      <c r="C68" s="228" t="str">
        <f>IFERROR(__xludf.DUMMYFUNCTION("""COMPUTED_VALUE"""),"faiqueahmadkhan@gmail.com")</f>
        <v>faiqueahmadkhan@gmail.com</v>
      </c>
      <c r="D68" s="228" t="str">
        <f>IFERROR(__xludf.DUMMYFUNCTION("""COMPUTED_VALUE"""),"faique.ahmed@vyro.ai")</f>
        <v>faique.ahmed@vyro.ai</v>
      </c>
      <c r="E68" s="728">
        <f>IFERROR(__xludf.DUMMYFUNCTION("""COMPUTED_VALUE"""),45635.0)</f>
        <v>45635</v>
      </c>
      <c r="F68" s="228" t="str">
        <f>IFERROR(__xludf.DUMMYFUNCTION("""COMPUTED_VALUE"""),"Junior Frontend Developer")</f>
        <v>Junior Frontend Developer</v>
      </c>
      <c r="G68" s="228" t="str">
        <f>IFERROR(__xludf.DUMMYFUNCTION("""COMPUTED_VALUE"""),"Frontend")</f>
        <v>Frontend</v>
      </c>
      <c r="H68" s="228" t="str">
        <f>IFERROR(__xludf.DUMMYFUNCTION("""COMPUTED_VALUE"""),"Awais Chaudhry")</f>
        <v>Awais Chaudhry</v>
      </c>
      <c r="I68" s="228" t="str">
        <f>IFERROR(__xludf.DUMMYFUNCTION("""COMPUTED_VALUE"""),"Probation")</f>
        <v>Probation</v>
      </c>
      <c r="J68" s="228" t="str">
        <f>IFERROR(__xludf.DUMMYFUNCTION("""COMPUTED_VALUE"""),"Active")</f>
        <v>Active</v>
      </c>
      <c r="K68" s="228" t="str">
        <f>IFERROR(__xludf.DUMMYFUNCTION("""COMPUTED_VALUE"""),"3M")</f>
        <v>3M</v>
      </c>
      <c r="L68" s="729">
        <f>IFERROR(__xludf.DUMMYFUNCTION("""COMPUTED_VALUE"""),45725.0)</f>
        <v>45725</v>
      </c>
      <c r="M68" s="228"/>
      <c r="N68" s="228"/>
      <c r="O68" s="228"/>
      <c r="P68" s="228" t="str">
        <f>IFERROR(__xludf.DUMMYFUNCTION("""COMPUTED_VALUE"""),"03336118864")</f>
        <v>03336118864</v>
      </c>
      <c r="Q68" s="228" t="str">
        <f>IFERROR(__xludf.DUMMYFUNCTION("""COMPUTED_VALUE"""),"36302-8165823-1")</f>
        <v>36302-8165823-1</v>
      </c>
      <c r="R68" s="228" t="str">
        <f>IFERROR(__xludf.DUMMYFUNCTION("""COMPUTED_VALUE"""),"Male")</f>
        <v>Male</v>
      </c>
      <c r="S68" s="228" t="str">
        <f>IFERROR(__xludf.DUMMYFUNCTION("""COMPUTED_VALUE"""),"Meezan Bank- Jinnah Super")</f>
        <v>Meezan Bank- Jinnah Super</v>
      </c>
      <c r="T68" s="228" t="str">
        <f>IFERROR(__xludf.DUMMYFUNCTION("""COMPUTED_VALUE"""),"Faique Ahmad Khan")</f>
        <v>Faique Ahmad Khan</v>
      </c>
      <c r="U68" s="228" t="str">
        <f>IFERROR(__xludf.DUMMYFUNCTION("""COMPUTED_VALUE"""),"PK95MEZN0003030110614201")</f>
        <v>PK95MEZN0003030110614201</v>
      </c>
      <c r="V68" s="228" t="str">
        <f>IFERROR(__xludf.DUMMYFUNCTION("""COMPUTED_VALUE"""),"MEZNPKKAISD")</f>
        <v>MEZNPKKAISD</v>
      </c>
      <c r="W68" s="228"/>
      <c r="X68" s="228" t="str">
        <f>IFERROR(__xludf.DUMMYFUNCTION("""COMPUTED_VALUE"""),"Islamabad")</f>
        <v>Islamabad</v>
      </c>
      <c r="Y68" s="730">
        <f>IFERROR(__xludf.DUMMYFUNCTION("""COMPUTED_VALUE"""),37422.0)</f>
        <v>37422</v>
      </c>
      <c r="Z68" s="228" t="str">
        <f>IFERROR(__xludf.DUMMYFUNCTION("""COMPUTED_VALUE"""),"22 Years")</f>
        <v>22 Years</v>
      </c>
      <c r="AA68" s="228" t="str">
        <f>IFERROR(__xludf.DUMMYFUNCTION("""COMPUTED_VALUE"""),"C.B 1-K/A Near Masjid Al Ghafoor Garden Town Multan Cantt")</f>
        <v>C.B 1-K/A Near Masjid Al Ghafoor Garden Town Multan Cantt</v>
      </c>
      <c r="AB68" s="228" t="str">
        <f>IFERROR(__xludf.DUMMYFUNCTION("""COMPUTED_VALUE"""),"Pakistani")</f>
        <v>Pakistani</v>
      </c>
      <c r="AC68" s="228" t="str">
        <f>IFERROR(__xludf.DUMMYFUNCTION("""COMPUTED_VALUE"""),"Single")</f>
        <v>Single</v>
      </c>
      <c r="AD68" s="228"/>
      <c r="AE68" s="228"/>
      <c r="AF68" s="228"/>
      <c r="AG68" s="228" t="str">
        <f>IFERROR(__xludf.DUMMYFUNCTION("""COMPUTED_VALUE"""),"Masood Ahmad Khan")</f>
        <v>Masood Ahmad Khan</v>
      </c>
      <c r="AH68" s="228" t="str">
        <f>IFERROR(__xludf.DUMMYFUNCTION("""COMPUTED_VALUE"""),"Father")</f>
        <v>Father</v>
      </c>
      <c r="AI68" s="228"/>
      <c r="AJ68" s="228" t="str">
        <f>IFERROR(__xludf.DUMMYFUNCTION("""COMPUTED_VALUE"""),"B+")</f>
        <v>B+</v>
      </c>
      <c r="AK68" s="731" t="str">
        <f>IFERROR(__xludf.DUMMYFUNCTION("""COMPUTED_VALUE"""),"https://www.linkedin.com/in/faiqueahmadkhan")</f>
        <v>https://www.linkedin.com/in/faiqueahmadkhan</v>
      </c>
      <c r="AL68" s="228"/>
      <c r="AM68" s="228"/>
      <c r="AN68" s="228"/>
      <c r="AO68" s="228"/>
      <c r="AP68" s="228" t="str">
        <f>IFERROR(__xludf.DUMMYFUNCTION("""COMPUTED_VALUE"""),"NO")</f>
        <v>NO</v>
      </c>
      <c r="AQ68" s="228" t="str">
        <f>IFERROR(__xludf.DUMMYFUNCTION("""COMPUTED_VALUE"""),"Active")</f>
        <v>Active</v>
      </c>
    </row>
    <row r="69">
      <c r="A69" s="228">
        <f>IFERROR(__xludf.DUMMYFUNCTION("""COMPUTED_VALUE"""),5336.0)</f>
        <v>5336</v>
      </c>
      <c r="B69" s="228" t="str">
        <f>IFERROR(__xludf.DUMMYFUNCTION("""COMPUTED_VALUE"""),"Hamza Ali Khan VD")</f>
        <v>Hamza Ali Khan VD</v>
      </c>
      <c r="C69" s="228" t="str">
        <f>IFERROR(__xludf.DUMMYFUNCTION("""COMPUTED_VALUE"""),"haalikhan2000@gmail.com")</f>
        <v>haalikhan2000@gmail.com</v>
      </c>
      <c r="D69" s="228" t="str">
        <f>IFERROR(__xludf.DUMMYFUNCTION("""COMPUTED_VALUE"""),"hamza.ali.khan@vyro.ai")</f>
        <v>hamza.ali.khan@vyro.ai</v>
      </c>
      <c r="E69" s="728">
        <f>IFERROR(__xludf.DUMMYFUNCTION("""COMPUTED_VALUE"""),45635.0)</f>
        <v>45635</v>
      </c>
      <c r="F69" s="228" t="str">
        <f>IFERROR(__xludf.DUMMYFUNCTION("""COMPUTED_VALUE"""),"Visual Designer")</f>
        <v>Visual Designer</v>
      </c>
      <c r="G69" s="228" t="str">
        <f>IFERROR(__xludf.DUMMYFUNCTION("""COMPUTED_VALUE"""),"Business Solutions")</f>
        <v>Business Solutions</v>
      </c>
      <c r="H69" s="228" t="str">
        <f>IFERROR(__xludf.DUMMYFUNCTION("""COMPUTED_VALUE"""),"Zakria Aamir")</f>
        <v>Zakria Aamir</v>
      </c>
      <c r="I69" s="228" t="str">
        <f>IFERROR(__xludf.DUMMYFUNCTION("""COMPUTED_VALUE"""),"Probation")</f>
        <v>Probation</v>
      </c>
      <c r="J69" s="228" t="str">
        <f>IFERROR(__xludf.DUMMYFUNCTION("""COMPUTED_VALUE"""),"Active")</f>
        <v>Active</v>
      </c>
      <c r="K69" s="228" t="str">
        <f>IFERROR(__xludf.DUMMYFUNCTION("""COMPUTED_VALUE"""),"3M")</f>
        <v>3M</v>
      </c>
      <c r="L69" s="729">
        <f>IFERROR(__xludf.DUMMYFUNCTION("""COMPUTED_VALUE"""),45725.0)</f>
        <v>45725</v>
      </c>
      <c r="M69" s="228"/>
      <c r="N69" s="228"/>
      <c r="O69" s="228"/>
      <c r="P69" s="228" t="str">
        <f>IFERROR(__xludf.DUMMYFUNCTION("""COMPUTED_VALUE"""),"03325987214")</f>
        <v>03325987214</v>
      </c>
      <c r="Q69" s="228" t="str">
        <f>IFERROR(__xludf.DUMMYFUNCTION("""COMPUTED_VALUE"""),"37405-7013478-7")</f>
        <v>37405-7013478-7</v>
      </c>
      <c r="R69" s="228" t="str">
        <f>IFERROR(__xludf.DUMMYFUNCTION("""COMPUTED_VALUE"""),"Male")</f>
        <v>Male</v>
      </c>
      <c r="S69" s="228" t="str">
        <f>IFERROR(__xludf.DUMMYFUNCTION("""COMPUTED_VALUE"""),"Allied Bank Limited")</f>
        <v>Allied Bank Limited</v>
      </c>
      <c r="T69" s="228" t="str">
        <f>IFERROR(__xludf.DUMMYFUNCTION("""COMPUTED_VALUE"""),"Hamza Ali Khan")</f>
        <v>Hamza Ali Khan</v>
      </c>
      <c r="U69" s="228" t="str">
        <f>IFERROR(__xludf.DUMMYFUNCTION("""COMPUTED_VALUE"""),"PK39ABPA0010076977640019")</f>
        <v>PK39ABPA0010076977640019</v>
      </c>
      <c r="V69" s="228" t="str">
        <f>IFERROR(__xludf.DUMMYFUNCTION("""COMPUTED_VALUE"""),"ABPAPKKA238")</f>
        <v>ABPAPKKA238</v>
      </c>
      <c r="W69" s="228"/>
      <c r="X69" s="228" t="str">
        <f>IFERROR(__xludf.DUMMYFUNCTION("""COMPUTED_VALUE"""),"Islamabad")</f>
        <v>Islamabad</v>
      </c>
      <c r="Y69" s="730">
        <f>IFERROR(__xludf.DUMMYFUNCTION("""COMPUTED_VALUE"""),36725.0)</f>
        <v>36725</v>
      </c>
      <c r="Z69" s="228" t="str">
        <f>IFERROR(__xludf.DUMMYFUNCTION("""COMPUTED_VALUE"""),"24 Years")</f>
        <v>24 Years</v>
      </c>
      <c r="AA69" s="228" t="str">
        <f>IFERROR(__xludf.DUMMYFUNCTION("""COMPUTED_VALUE"""),"Flat 2, Block 3, Sector G-7/2, Islamabad")</f>
        <v>Flat 2, Block 3, Sector G-7/2, Islamabad</v>
      </c>
      <c r="AB69" s="228" t="str">
        <f>IFERROR(__xludf.DUMMYFUNCTION("""COMPUTED_VALUE"""),"Pakistani")</f>
        <v>Pakistani</v>
      </c>
      <c r="AC69" s="228" t="str">
        <f>IFERROR(__xludf.DUMMYFUNCTION("""COMPUTED_VALUE"""),"Single")</f>
        <v>Single</v>
      </c>
      <c r="AD69" s="228"/>
      <c r="AE69" s="228"/>
      <c r="AF69" s="228"/>
      <c r="AG69" s="228" t="str">
        <f>IFERROR(__xludf.DUMMYFUNCTION("""COMPUTED_VALUE"""),"Muhammad Abid Abdullah Khan")</f>
        <v>Muhammad Abid Abdullah Khan</v>
      </c>
      <c r="AH69" s="228" t="str">
        <f>IFERROR(__xludf.DUMMYFUNCTION("""COMPUTED_VALUE"""),"Father")</f>
        <v>Father</v>
      </c>
      <c r="AI69" s="228"/>
      <c r="AJ69" s="228" t="str">
        <f>IFERROR(__xludf.DUMMYFUNCTION("""COMPUTED_VALUE"""),"O+")</f>
        <v>O+</v>
      </c>
      <c r="AK69" s="228"/>
      <c r="AL69" s="228"/>
      <c r="AM69" s="228"/>
      <c r="AN69" s="228"/>
      <c r="AO69" s="228"/>
      <c r="AP69" s="228" t="str">
        <f>IFERROR(__xludf.DUMMYFUNCTION("""COMPUTED_VALUE"""),"NO")</f>
        <v>NO</v>
      </c>
      <c r="AQ69" s="228" t="str">
        <f>IFERROR(__xludf.DUMMYFUNCTION("""COMPUTED_VALUE"""),"Active")</f>
        <v>Active</v>
      </c>
    </row>
    <row r="70">
      <c r="A70" s="228">
        <f>IFERROR(__xludf.DUMMYFUNCTION("""COMPUTED_VALUE"""),5337.0)</f>
        <v>5337</v>
      </c>
      <c r="B70" s="228" t="str">
        <f>IFERROR(__xludf.DUMMYFUNCTION("""COMPUTED_VALUE"""),"Muhammad Noman Akhtar")</f>
        <v>Muhammad Noman Akhtar</v>
      </c>
      <c r="C70" s="228" t="str">
        <f>IFERROR(__xludf.DUMMYFUNCTION("""COMPUTED_VALUE"""),"nakhtar313@outlook.com")</f>
        <v>nakhtar313@outlook.com</v>
      </c>
      <c r="D70" s="228" t="str">
        <f>IFERROR(__xludf.DUMMYFUNCTION("""COMPUTED_VALUE"""),"noman.khan@vyro.ai")</f>
        <v>noman.khan@vyro.ai</v>
      </c>
      <c r="E70" s="728">
        <f>IFERROR(__xludf.DUMMYFUNCTION("""COMPUTED_VALUE"""),45642.0)</f>
        <v>45642</v>
      </c>
      <c r="F70" s="228" t="str">
        <f>IFERROR(__xludf.DUMMYFUNCTION("""COMPUTED_VALUE"""),"Backend Developer")</f>
        <v>Backend Developer</v>
      </c>
      <c r="G70" s="228" t="str">
        <f>IFERROR(__xludf.DUMMYFUNCTION("""COMPUTED_VALUE"""),"Backend")</f>
        <v>Backend</v>
      </c>
      <c r="H70" s="228" t="str">
        <f>IFERROR(__xludf.DUMMYFUNCTION("""COMPUTED_VALUE"""),"Shariq Arif")</f>
        <v>Shariq Arif</v>
      </c>
      <c r="I70" s="228" t="str">
        <f>IFERROR(__xludf.DUMMYFUNCTION("""COMPUTED_VALUE"""),"Probation")</f>
        <v>Probation</v>
      </c>
      <c r="J70" s="228" t="str">
        <f>IFERROR(__xludf.DUMMYFUNCTION("""COMPUTED_VALUE"""),"Active")</f>
        <v>Active</v>
      </c>
      <c r="K70" s="228" t="str">
        <f>IFERROR(__xludf.DUMMYFUNCTION("""COMPUTED_VALUE"""),"3M")</f>
        <v>3M</v>
      </c>
      <c r="L70" s="729">
        <f>IFERROR(__xludf.DUMMYFUNCTION("""COMPUTED_VALUE"""),45732.0)</f>
        <v>45732</v>
      </c>
      <c r="M70" s="228"/>
      <c r="N70" s="228"/>
      <c r="O70" s="228"/>
      <c r="P70" s="228" t="str">
        <f>IFERROR(__xludf.DUMMYFUNCTION("""COMPUTED_VALUE"""),"03155399457")</f>
        <v>03155399457</v>
      </c>
      <c r="Q70" s="228" t="str">
        <f>IFERROR(__xludf.DUMMYFUNCTION("""COMPUTED_VALUE"""),"37405-5009174-3")</f>
        <v>37405-5009174-3</v>
      </c>
      <c r="R70" s="228" t="str">
        <f>IFERROR(__xludf.DUMMYFUNCTION("""COMPUTED_VALUE"""),"Male")</f>
        <v>Male</v>
      </c>
      <c r="S70" s="228" t="str">
        <f>IFERROR(__xludf.DUMMYFUNCTION("""COMPUTED_VALUE"""),"UBL")</f>
        <v>UBL</v>
      </c>
      <c r="T70" s="228" t="str">
        <f>IFERROR(__xludf.DUMMYFUNCTION("""COMPUTED_VALUE"""),"Muhammad Noman Akhtar")</f>
        <v>Muhammad Noman Akhtar</v>
      </c>
      <c r="U70" s="228" t="str">
        <f>IFERROR(__xludf.DUMMYFUNCTION("""COMPUTED_VALUE"""),"PK50UNIL0109000292147302")</f>
        <v>PK50UNIL0109000292147302</v>
      </c>
      <c r="V70" s="228" t="str">
        <f>IFERROR(__xludf.DUMMYFUNCTION("""COMPUTED_VALUE"""),"UNILPKKA")</f>
        <v>UNILPKKA</v>
      </c>
      <c r="W70" s="228"/>
      <c r="X70" s="228" t="str">
        <f>IFERROR(__xludf.DUMMYFUNCTION("""COMPUTED_VALUE"""),"Islamabad")</f>
        <v>Islamabad</v>
      </c>
      <c r="Y70" s="730">
        <f>IFERROR(__xludf.DUMMYFUNCTION("""COMPUTED_VALUE"""),36981.0)</f>
        <v>36981</v>
      </c>
      <c r="Z70" s="228" t="str">
        <f>IFERROR(__xludf.DUMMYFUNCTION("""COMPUTED_VALUE"""),"23 Years")</f>
        <v>23 Years</v>
      </c>
      <c r="AA70" s="228" t="str">
        <f>IFERROR(__xludf.DUMMYFUNCTION("""COMPUTED_VALUE"""),"House no DD-178, mohalla Moti masjid, Jhanda Chichi, Rawalpindi")</f>
        <v>House no DD-178, mohalla Moti masjid, Jhanda Chichi, Rawalpindi</v>
      </c>
      <c r="AB70" s="228" t="str">
        <f>IFERROR(__xludf.DUMMYFUNCTION("""COMPUTED_VALUE"""),"Pakistani")</f>
        <v>Pakistani</v>
      </c>
      <c r="AC70" s="228" t="str">
        <f>IFERROR(__xludf.DUMMYFUNCTION("""COMPUTED_VALUE"""),"Single")</f>
        <v>Single</v>
      </c>
      <c r="AD70" s="228"/>
      <c r="AE70" s="228"/>
      <c r="AF70" s="228"/>
      <c r="AG70" s="228" t="str">
        <f>IFERROR(__xludf.DUMMYFUNCTION("""COMPUTED_VALUE"""),"Akhtar Rafiq")</f>
        <v>Akhtar Rafiq</v>
      </c>
      <c r="AH70" s="228" t="str">
        <f>IFERROR(__xludf.DUMMYFUNCTION("""COMPUTED_VALUE"""),"Father")</f>
        <v>Father</v>
      </c>
      <c r="AI70" s="228"/>
      <c r="AJ70" s="228" t="str">
        <f>IFERROR(__xludf.DUMMYFUNCTION("""COMPUTED_VALUE"""),"AB+")</f>
        <v>AB+</v>
      </c>
      <c r="AK70" s="731" t="str">
        <f>IFERROR(__xludf.DUMMYFUNCTION("""COMPUTED_VALUE"""),"https://www.linkedin.com/in/nakhtar313/")</f>
        <v>https://www.linkedin.com/in/nakhtar313/</v>
      </c>
      <c r="AL70" s="228"/>
      <c r="AM70" s="228"/>
      <c r="AN70" s="228"/>
      <c r="AO70" s="228"/>
      <c r="AP70" s="228" t="str">
        <f>IFERROR(__xludf.DUMMYFUNCTION("""COMPUTED_VALUE"""),"NO")</f>
        <v>NO</v>
      </c>
      <c r="AQ70" s="228" t="str">
        <f>IFERROR(__xludf.DUMMYFUNCTION("""COMPUTED_VALUE"""),"Active")</f>
        <v>Active</v>
      </c>
    </row>
    <row r="71">
      <c r="A71" s="228">
        <f>IFERROR(__xludf.DUMMYFUNCTION("""COMPUTED_VALUE"""),5340.0)</f>
        <v>5340</v>
      </c>
      <c r="B71" s="228" t="str">
        <f>IFERROR(__xludf.DUMMYFUNCTION("""COMPUTED_VALUE"""),"Muhammad Arsalan")</f>
        <v>Muhammad Arsalan</v>
      </c>
      <c r="C71" s="228" t="str">
        <f>IFERROR(__xludf.DUMMYFUNCTION("""COMPUTED_VALUE"""),"marsalanmalik455@gmail.com")</f>
        <v>marsalanmalik455@gmail.com</v>
      </c>
      <c r="D71" s="228" t="str">
        <f>IFERROR(__xludf.DUMMYFUNCTION("""COMPUTED_VALUE"""),"muhammad.arsalan@vyro.ai")</f>
        <v>muhammad.arsalan@vyro.ai</v>
      </c>
      <c r="E71" s="728">
        <f>IFERROR(__xludf.DUMMYFUNCTION("""COMPUTED_VALUE"""),45649.0)</f>
        <v>45649</v>
      </c>
      <c r="F71" s="228" t="str">
        <f>IFERROR(__xludf.DUMMYFUNCTION("""COMPUTED_VALUE"""),"Frontend Developer")</f>
        <v>Frontend Developer</v>
      </c>
      <c r="G71" s="228" t="str">
        <f>IFERROR(__xludf.DUMMYFUNCTION("""COMPUTED_VALUE"""),"Frontend")</f>
        <v>Frontend</v>
      </c>
      <c r="H71" s="228" t="str">
        <f>IFERROR(__xludf.DUMMYFUNCTION("""COMPUTED_VALUE"""),"Saad Ahmed")</f>
        <v>Saad Ahmed</v>
      </c>
      <c r="I71" s="228" t="str">
        <f>IFERROR(__xludf.DUMMYFUNCTION("""COMPUTED_VALUE"""),"Probation")</f>
        <v>Probation</v>
      </c>
      <c r="J71" s="228" t="str">
        <f>IFERROR(__xludf.DUMMYFUNCTION("""COMPUTED_VALUE"""),"Active")</f>
        <v>Active</v>
      </c>
      <c r="K71" s="228" t="str">
        <f>IFERROR(__xludf.DUMMYFUNCTION("""COMPUTED_VALUE"""),"3M")</f>
        <v>3M</v>
      </c>
      <c r="L71" s="228"/>
      <c r="M71" s="228"/>
      <c r="N71" s="228"/>
      <c r="O71" s="228"/>
      <c r="P71" s="228" t="str">
        <f>IFERROR(__xludf.DUMMYFUNCTION("""COMPUTED_VALUE"""),"03487368167")</f>
        <v>03487368167</v>
      </c>
      <c r="Q71" s="228" t="str">
        <f>IFERROR(__xludf.DUMMYFUNCTION("""COMPUTED_VALUE"""),"33202-7088430-3")</f>
        <v>33202-7088430-3</v>
      </c>
      <c r="R71" s="228" t="str">
        <f>IFERROR(__xludf.DUMMYFUNCTION("""COMPUTED_VALUE"""),"Male")</f>
        <v>Male</v>
      </c>
      <c r="S71" s="228" t="str">
        <f>IFERROR(__xludf.DUMMYFUNCTION("""COMPUTED_VALUE"""),"Mcb bank")</f>
        <v>Mcb bank</v>
      </c>
      <c r="T71" s="228" t="str">
        <f>IFERROR(__xludf.DUMMYFUNCTION("""COMPUTED_VALUE"""),"Muhammad arsalan")</f>
        <v>Muhammad arsalan</v>
      </c>
      <c r="U71" s="228" t="str">
        <f>IFERROR(__xludf.DUMMYFUNCTION("""COMPUTED_VALUE"""),"PK34MUCB1478876011008607")</f>
        <v>PK34MUCB1478876011008607</v>
      </c>
      <c r="V71" s="228" t="str">
        <f>IFERROR(__xludf.DUMMYFUNCTION("""COMPUTED_VALUE"""),"MUCBPKKASCK")</f>
        <v>MUCBPKKASCK</v>
      </c>
      <c r="W71" s="228"/>
      <c r="X71" s="228" t="str">
        <f>IFERROR(__xludf.DUMMYFUNCTION("""COMPUTED_VALUE"""),"Islamabad")</f>
        <v>Islamabad</v>
      </c>
      <c r="Y71" s="730">
        <f>IFERROR(__xludf.DUMMYFUNCTION("""COMPUTED_VALUE"""),36637.0)</f>
        <v>36637</v>
      </c>
      <c r="Z71" s="228" t="str">
        <f>IFERROR(__xludf.DUMMYFUNCTION("""COMPUTED_VALUE"""),"24 Years")</f>
        <v>24 Years</v>
      </c>
      <c r="AA71" s="228" t="str">
        <f>IFERROR(__xludf.DUMMYFUNCTION("""COMPUTED_VALUE"""),"Street 5, bilal town,khana dak Islamabad")</f>
        <v>Street 5, bilal town,khana dak Islamabad</v>
      </c>
      <c r="AB71" s="228" t="str">
        <f>IFERROR(__xludf.DUMMYFUNCTION("""COMPUTED_VALUE"""),"Pakistani")</f>
        <v>Pakistani</v>
      </c>
      <c r="AC71" s="228" t="str">
        <f>IFERROR(__xludf.DUMMYFUNCTION("""COMPUTED_VALUE"""),"Single")</f>
        <v>Single</v>
      </c>
      <c r="AD71" s="228"/>
      <c r="AE71" s="228"/>
      <c r="AF71" s="228"/>
      <c r="AG71" s="228" t="str">
        <f>IFERROR(__xludf.DUMMYFUNCTION("""COMPUTED_VALUE"""),"Muhammad Rizwan")</f>
        <v>Muhammad Rizwan</v>
      </c>
      <c r="AH71" s="228" t="str">
        <f>IFERROR(__xludf.DUMMYFUNCTION("""COMPUTED_VALUE"""),"Brother")</f>
        <v>Brother</v>
      </c>
      <c r="AI71" s="228"/>
      <c r="AJ71" s="228" t="str">
        <f>IFERROR(__xludf.DUMMYFUNCTION("""COMPUTED_VALUE"""),"B+")</f>
        <v>B+</v>
      </c>
      <c r="AK71" s="731" t="str">
        <f>IFERROR(__xludf.DUMMYFUNCTION("""COMPUTED_VALUE"""),"https://www.linkedin.com/in/muhammad-arsalan-15939920a?utm_source=share&amp;utm_campaign=share_via&amp;utm_content=profile&amp;utm_medium=android_app")</f>
        <v>https://www.linkedin.com/in/muhammad-arsalan-15939920a?utm_source=share&amp;utm_campaign=share_via&amp;utm_content=profile&amp;utm_medium=android_app</v>
      </c>
      <c r="AL71" s="228"/>
      <c r="AM71" s="228"/>
      <c r="AN71" s="228"/>
      <c r="AO71" s="228"/>
      <c r="AP71" s="228" t="str">
        <f>IFERROR(__xludf.DUMMYFUNCTION("""COMPUTED_VALUE"""),"NO")</f>
        <v>NO</v>
      </c>
      <c r="AQ71" s="228" t="str">
        <f>IFERROR(__xludf.DUMMYFUNCTION("""COMPUTED_VALUE"""),"Active")</f>
        <v>Active</v>
      </c>
    </row>
    <row r="72">
      <c r="A72" s="228">
        <f>IFERROR(__xludf.DUMMYFUNCTION("""COMPUTED_VALUE"""),5341.0)</f>
        <v>5341</v>
      </c>
      <c r="B72" s="228" t="str">
        <f>IFERROR(__xludf.DUMMYFUNCTION("""COMPUTED_VALUE"""),"Malik Muhammad Muneeb Mehmood Awan")</f>
        <v>Malik Muhammad Muneeb Mehmood Awan</v>
      </c>
      <c r="C72" s="228" t="str">
        <f>IFERROR(__xludf.DUMMYFUNCTION("""COMPUTED_VALUE"""),"mmm906191@gmail.com")</f>
        <v>mmm906191@gmail.com</v>
      </c>
      <c r="D72" s="228" t="str">
        <f>IFERROR(__xludf.DUMMYFUNCTION("""COMPUTED_VALUE"""),"malik.muneeb@vyro.ai")</f>
        <v>malik.muneeb@vyro.ai</v>
      </c>
      <c r="E72" s="728">
        <f>IFERROR(__xludf.DUMMYFUNCTION("""COMPUTED_VALUE"""),45653.0)</f>
        <v>45653</v>
      </c>
      <c r="F72" s="228" t="str">
        <f>IFERROR(__xludf.DUMMYFUNCTION("""COMPUTED_VALUE"""),"OPE Intern")</f>
        <v>OPE Intern</v>
      </c>
      <c r="G72" s="228" t="str">
        <f>IFERROR(__xludf.DUMMYFUNCTION("""COMPUTED_VALUE"""),"Operations &amp; Process Excellence")</f>
        <v>Operations &amp; Process Excellence</v>
      </c>
      <c r="H72" s="228" t="str">
        <f>IFERROR(__xludf.DUMMYFUNCTION("""COMPUTED_VALUE"""),"Shahzad Farooq")</f>
        <v>Shahzad Farooq</v>
      </c>
      <c r="I72" s="228" t="str">
        <f>IFERROR(__xludf.DUMMYFUNCTION("""COMPUTED_VALUE"""),"NA")</f>
        <v>NA</v>
      </c>
      <c r="J72" s="228" t="str">
        <f>IFERROR(__xludf.DUMMYFUNCTION("""COMPUTED_VALUE"""),"Active")</f>
        <v>Active</v>
      </c>
      <c r="K72" s="228" t="str">
        <f>IFERROR(__xludf.DUMMYFUNCTION("""COMPUTED_VALUE"""),"NA")</f>
        <v>NA</v>
      </c>
      <c r="L72" s="228"/>
      <c r="M72" s="228"/>
      <c r="N72" s="228"/>
      <c r="O72" s="228"/>
      <c r="P72" s="228" t="str">
        <f>IFERROR(__xludf.DUMMYFUNCTION("""COMPUTED_VALUE"""),"3433022498")</f>
        <v>3433022498</v>
      </c>
      <c r="Q72" s="228" t="str">
        <f>IFERROR(__xludf.DUMMYFUNCTION("""COMPUTED_VALUE"""),"42301-8626005-7")</f>
        <v>42301-8626005-7</v>
      </c>
      <c r="R72" s="228" t="str">
        <f>IFERROR(__xludf.DUMMYFUNCTION("""COMPUTED_VALUE"""),"Male")</f>
        <v>Male</v>
      </c>
      <c r="S72" s="228" t="str">
        <f>IFERROR(__xludf.DUMMYFUNCTION("""COMPUTED_VALUE"""),"MCB")</f>
        <v>MCB</v>
      </c>
      <c r="T72" s="228" t="str">
        <f>IFERROR(__xludf.DUMMYFUNCTION("""COMPUTED_VALUE"""),"Khudadad Malik")</f>
        <v>Khudadad Malik</v>
      </c>
      <c r="U72" s="228" t="str">
        <f>IFERROR(__xludf.DUMMYFUNCTION("""COMPUTED_VALUE"""),"PK36ASCM0001800610013209")</f>
        <v>PK36ASCM0001800610013209</v>
      </c>
      <c r="V72" s="228" t="str">
        <f>IFERROR(__xludf.DUMMYFUNCTION("""COMPUTED_VALUE"""),"MUCBPKKA")</f>
        <v>MUCBPKKA</v>
      </c>
      <c r="W72" s="228"/>
      <c r="X72" s="228" t="str">
        <f>IFERROR(__xludf.DUMMYFUNCTION("""COMPUTED_VALUE"""),"Islamabad")</f>
        <v>Islamabad</v>
      </c>
      <c r="Y72" s="730">
        <f>IFERROR(__xludf.DUMMYFUNCTION("""COMPUTED_VALUE"""),38255.0)</f>
        <v>38255</v>
      </c>
      <c r="Z72" s="228" t="str">
        <f>IFERROR(__xludf.DUMMYFUNCTION("""COMPUTED_VALUE"""),"20 Years")</f>
        <v>20 Years</v>
      </c>
      <c r="AA72" s="228" t="str">
        <f>IFERROR(__xludf.DUMMYFUNCTION("""COMPUTED_VALUE"""),"H-13/3, Abu bakar Block, Street No 3, House no 80, Near savvy school, Islamabad.")</f>
        <v>H-13/3, Abu bakar Block, Street No 3, House no 80, Near savvy school, Islamabad.</v>
      </c>
      <c r="AB72" s="228" t="str">
        <f>IFERROR(__xludf.DUMMYFUNCTION("""COMPUTED_VALUE"""),"Pakistani")</f>
        <v>Pakistani</v>
      </c>
      <c r="AC72" s="228" t="str">
        <f>IFERROR(__xludf.DUMMYFUNCTION("""COMPUTED_VALUE"""),"Single")</f>
        <v>Single</v>
      </c>
      <c r="AD72" s="228"/>
      <c r="AE72" s="228"/>
      <c r="AF72" s="228"/>
      <c r="AG72" s="228" t="str">
        <f>IFERROR(__xludf.DUMMYFUNCTION("""COMPUTED_VALUE"""),"Khudadad")</f>
        <v>Khudadad</v>
      </c>
      <c r="AH72" s="228" t="str">
        <f>IFERROR(__xludf.DUMMYFUNCTION("""COMPUTED_VALUE"""),"My Father.")</f>
        <v>My Father.</v>
      </c>
      <c r="AI72" s="228"/>
      <c r="AJ72" s="228" t="str">
        <f>IFERROR(__xludf.DUMMYFUNCTION("""COMPUTED_VALUE"""),"A+")</f>
        <v>A+</v>
      </c>
      <c r="AK72" s="731" t="str">
        <f>IFERROR(__xludf.DUMMYFUNCTION("""COMPUTED_VALUE"""),"www.linkedin.com/in/malik-muhammad-muneeb-379410204")</f>
        <v>www.linkedin.com/in/malik-muhammad-muneeb-379410204</v>
      </c>
      <c r="AL72" s="228"/>
      <c r="AM72" s="228"/>
      <c r="AN72" s="228"/>
      <c r="AO72" s="228"/>
      <c r="AP72" s="228" t="str">
        <f>IFERROR(__xludf.DUMMYFUNCTION("""COMPUTED_VALUE"""),"NO")</f>
        <v>NO</v>
      </c>
      <c r="AQ72" s="228" t="str">
        <f>IFERROR(__xludf.DUMMYFUNCTION("""COMPUTED_VALUE"""),"Active")</f>
        <v>Active</v>
      </c>
    </row>
    <row r="73">
      <c r="A73" s="228">
        <f>IFERROR(__xludf.DUMMYFUNCTION("""COMPUTED_VALUE"""),5357.0)</f>
        <v>5357</v>
      </c>
      <c r="B73" s="228" t="str">
        <f>IFERROR(__xludf.DUMMYFUNCTION("""COMPUTED_VALUE"""),"Danish iqbal ( Office boy )")</f>
        <v>Danish iqbal ( Office boy )</v>
      </c>
      <c r="C73" s="228"/>
      <c r="D73" s="228"/>
      <c r="E73" s="728">
        <f>IFERROR(__xludf.DUMMYFUNCTION("""COMPUTED_VALUE"""),45656.0)</f>
        <v>45656</v>
      </c>
      <c r="F73" s="228" t="str">
        <f>IFERROR(__xludf.DUMMYFUNCTION("""COMPUTED_VALUE"""),"Office Assistant")</f>
        <v>Office Assistant</v>
      </c>
      <c r="G73" s="228" t="str">
        <f>IFERROR(__xludf.DUMMYFUNCTION("""COMPUTED_VALUE"""),"Admin")</f>
        <v>Admin</v>
      </c>
      <c r="H73" s="228"/>
      <c r="I73" s="228"/>
      <c r="J73" s="228" t="str">
        <f>IFERROR(__xludf.DUMMYFUNCTION("""COMPUTED_VALUE"""),"Active")</f>
        <v>Active</v>
      </c>
      <c r="K73" s="228" t="str">
        <f>IFERROR(__xludf.DUMMYFUNCTION("""COMPUTED_VALUE"""),"3M")</f>
        <v>3M</v>
      </c>
      <c r="L73" s="228"/>
      <c r="M73" s="228"/>
      <c r="N73" s="228"/>
      <c r="O73" s="228"/>
      <c r="P73" s="228"/>
      <c r="Q73" s="228"/>
      <c r="R73" s="228" t="str">
        <f>IFERROR(__xludf.DUMMYFUNCTION("""COMPUTED_VALUE"""),"Male")</f>
        <v>Male</v>
      </c>
      <c r="S73" s="228"/>
      <c r="T73" s="228"/>
      <c r="U73" s="228"/>
      <c r="V73" s="228"/>
      <c r="W73" s="228"/>
      <c r="X73" s="228"/>
      <c r="Y73" s="228"/>
      <c r="Z73" s="228"/>
      <c r="AA73" s="228"/>
      <c r="AB73" s="228"/>
      <c r="AC73" s="228"/>
      <c r="AD73" s="228"/>
      <c r="AE73" s="228"/>
      <c r="AF73" s="228"/>
      <c r="AG73" s="228"/>
      <c r="AH73" s="228"/>
      <c r="AI73" s="228"/>
      <c r="AJ73" s="228"/>
      <c r="AK73" s="228"/>
      <c r="AL73" s="228"/>
      <c r="AM73" s="228"/>
      <c r="AN73" s="228"/>
      <c r="AO73" s="228"/>
      <c r="AP73" s="228" t="str">
        <f>IFERROR(__xludf.DUMMYFUNCTION("""COMPUTED_VALUE"""),"NO")</f>
        <v>NO</v>
      </c>
      <c r="AQ73" s="228" t="str">
        <f>IFERROR(__xludf.DUMMYFUNCTION("""COMPUTED_VALUE"""),"Active")</f>
        <v>Active</v>
      </c>
    </row>
    <row r="74">
      <c r="A74" s="228">
        <f>IFERROR(__xludf.DUMMYFUNCTION("""COMPUTED_VALUE"""),5315.0)</f>
        <v>5315</v>
      </c>
      <c r="B74" s="228" t="str">
        <f>IFERROR(__xludf.DUMMYFUNCTION("""COMPUTED_VALUE"""),"Muhammad Pervez")</f>
        <v>Muhammad Pervez</v>
      </c>
      <c r="C74" s="228"/>
      <c r="D74" s="228"/>
      <c r="E74" s="728">
        <f>IFERROR(__xludf.DUMMYFUNCTION("""COMPUTED_VALUE"""),45667.0)</f>
        <v>45667</v>
      </c>
      <c r="F74" s="228" t="str">
        <f>IFERROR(__xludf.DUMMYFUNCTION("""COMPUTED_VALUE"""),"Office Assistant")</f>
        <v>Office Assistant</v>
      </c>
      <c r="G74" s="228" t="str">
        <f>IFERROR(__xludf.DUMMYFUNCTION("""COMPUTED_VALUE"""),"Admin")</f>
        <v>Admin</v>
      </c>
      <c r="H74" s="228"/>
      <c r="I74" s="228"/>
      <c r="J74" s="228" t="str">
        <f>IFERROR(__xludf.DUMMYFUNCTION("""COMPUTED_VALUE"""),"Active")</f>
        <v>Active</v>
      </c>
      <c r="K74" s="228" t="str">
        <f>IFERROR(__xludf.DUMMYFUNCTION("""COMPUTED_VALUE"""),"3M")</f>
        <v>3M</v>
      </c>
      <c r="L74" s="228"/>
      <c r="M74" s="228"/>
      <c r="N74" s="228"/>
      <c r="O74" s="228"/>
      <c r="P74" s="228"/>
      <c r="Q74" s="228"/>
      <c r="R74" s="228" t="str">
        <f>IFERROR(__xludf.DUMMYFUNCTION("""COMPUTED_VALUE"""),"Male")</f>
        <v>Male</v>
      </c>
      <c r="S74" s="228"/>
      <c r="T74" s="228"/>
      <c r="U74" s="228"/>
      <c r="V74" s="228"/>
      <c r="W74" s="228"/>
      <c r="X74" s="228"/>
      <c r="Y74" s="228"/>
      <c r="Z74" s="228"/>
      <c r="AA74" s="228"/>
      <c r="AB74" s="228"/>
      <c r="AC74" s="228"/>
      <c r="AD74" s="228"/>
      <c r="AE74" s="228"/>
      <c r="AF74" s="228"/>
      <c r="AG74" s="228"/>
      <c r="AH74" s="228"/>
      <c r="AI74" s="228"/>
      <c r="AJ74" s="228"/>
      <c r="AK74" s="731" t="str">
        <f>IFERROR(__xludf.DUMMYFUNCTION("""COMPUTED_VALUE"""),"https://www.linkedin.com/in/mueed-hassan-350944265?utm_source=share&amp;utm_campaign=share_via&amp;utm_content=profile&amp;utm_medium=android_app")</f>
        <v>https://www.linkedin.com/in/mueed-hassan-350944265?utm_source=share&amp;utm_campaign=share_via&amp;utm_content=profile&amp;utm_medium=android_app</v>
      </c>
      <c r="AL74" s="228"/>
      <c r="AM74" s="228"/>
      <c r="AN74" s="228"/>
      <c r="AO74" s="228"/>
      <c r="AP74" s="228" t="str">
        <f>IFERROR(__xludf.DUMMYFUNCTION("""COMPUTED_VALUE"""),"NO")</f>
        <v>NO</v>
      </c>
      <c r="AQ74" s="228" t="str">
        <f>IFERROR(__xludf.DUMMYFUNCTION("""COMPUTED_VALUE"""),"Active")</f>
        <v>Active</v>
      </c>
    </row>
    <row r="75">
      <c r="A75" s="228">
        <f>IFERROR(__xludf.DUMMYFUNCTION("""COMPUTED_VALUE"""),5349.0)</f>
        <v>5349</v>
      </c>
      <c r="B75" s="228" t="str">
        <f>IFERROR(__xludf.DUMMYFUNCTION("""COMPUTED_VALUE"""),"Ali Haider Saeed")</f>
        <v>Ali Haider Saeed</v>
      </c>
      <c r="C75" s="228" t="str">
        <f>IFERROR(__xludf.DUMMYFUNCTION("""COMPUTED_VALUE"""),"alihaidersaeed2@gmail.com")</f>
        <v>alihaidersaeed2@gmail.com</v>
      </c>
      <c r="D75" s="228" t="str">
        <f>IFERROR(__xludf.DUMMYFUNCTION("""COMPUTED_VALUE"""),"ali.haider.saeed@vyro.ai")</f>
        <v>ali.haider.saeed@vyro.ai</v>
      </c>
      <c r="E75" s="728">
        <f>IFERROR(__xludf.DUMMYFUNCTION("""COMPUTED_VALUE"""),45670.0)</f>
        <v>45670</v>
      </c>
      <c r="F75" s="228" t="str">
        <f>IFERROR(__xludf.DUMMYFUNCTION("""COMPUTED_VALUE"""),"Motion Graphics Designer")</f>
        <v>Motion Graphics Designer</v>
      </c>
      <c r="G75" s="228" t="str">
        <f>IFERROR(__xludf.DUMMYFUNCTION("""COMPUTED_VALUE"""),"Marketing")</f>
        <v>Marketing</v>
      </c>
      <c r="H75" s="228" t="str">
        <f>IFERROR(__xludf.DUMMYFUNCTION("""COMPUTED_VALUE"""),"Shawal Fida")</f>
        <v>Shawal Fida</v>
      </c>
      <c r="I75" s="228" t="str">
        <f>IFERROR(__xludf.DUMMYFUNCTION("""COMPUTED_VALUE"""),"Probation")</f>
        <v>Probation</v>
      </c>
      <c r="J75" s="228" t="str">
        <f>IFERROR(__xludf.DUMMYFUNCTION("""COMPUTED_VALUE"""),"Active")</f>
        <v>Active</v>
      </c>
      <c r="K75" s="228" t="str">
        <f>IFERROR(__xludf.DUMMYFUNCTION("""COMPUTED_VALUE"""),"3M")</f>
        <v>3M</v>
      </c>
      <c r="L75" s="729">
        <f>IFERROR(__xludf.DUMMYFUNCTION("""COMPUTED_VALUE"""),45760.0)</f>
        <v>45760</v>
      </c>
      <c r="M75" s="228"/>
      <c r="N75" s="228"/>
      <c r="O75" s="228"/>
      <c r="P75" s="228" t="str">
        <f>IFERROR(__xludf.DUMMYFUNCTION("""COMPUTED_VALUE"""),"3349895226")</f>
        <v>3349895226</v>
      </c>
      <c r="Q75" s="228" t="str">
        <f>IFERROR(__xludf.DUMMYFUNCTION("""COMPUTED_VALUE"""),"34201-0214602-9")</f>
        <v>34201-0214602-9</v>
      </c>
      <c r="R75" s="228" t="str">
        <f>IFERROR(__xludf.DUMMYFUNCTION("""COMPUTED_VALUE"""),"Male")</f>
        <v>Male</v>
      </c>
      <c r="S75" s="228" t="str">
        <f>IFERROR(__xludf.DUMMYFUNCTION("""COMPUTED_VALUE"""),"Meezan Bank")</f>
        <v>Meezan Bank</v>
      </c>
      <c r="T75" s="228" t="str">
        <f>IFERROR(__xludf.DUMMYFUNCTION("""COMPUTED_VALUE"""),"ALI HAIDER SAEED
Meezan Bank-Gulberg Greens Branch Islamabad
Account Number: 03350108400896
IBAN: PK11MEZN0003350108400896")</f>
        <v>ALI HAIDER SAEED
Meezan Bank-Gulberg Greens Branch Islamabad
Account Number: 03350108400896
IBAN: PK11MEZN0003350108400896</v>
      </c>
      <c r="U75" s="228"/>
      <c r="V75" s="228"/>
      <c r="W75" s="228"/>
      <c r="X75" s="228" t="str">
        <f>IFERROR(__xludf.DUMMYFUNCTION("""COMPUTED_VALUE"""),"Islamabad")</f>
        <v>Islamabad</v>
      </c>
      <c r="Y75" s="730">
        <f>IFERROR(__xludf.DUMMYFUNCTION("""COMPUTED_VALUE"""),34799.0)</f>
        <v>34799</v>
      </c>
      <c r="Z75" s="228" t="str">
        <f>IFERROR(__xludf.DUMMYFUNCTION("""COMPUTED_VALUE"""),"29 Years")</f>
        <v>29 Years</v>
      </c>
      <c r="AA75" s="228" t="str">
        <f>IFERROR(__xludf.DUMMYFUNCTION("""COMPUTED_VALUE"""),"Apartment 605 Ahad Residencia E11/4")</f>
        <v>Apartment 605 Ahad Residencia E11/4</v>
      </c>
      <c r="AB75" s="228" t="str">
        <f>IFERROR(__xludf.DUMMYFUNCTION("""COMPUTED_VALUE"""),"Pakistani")</f>
        <v>Pakistani</v>
      </c>
      <c r="AC75" s="228" t="str">
        <f>IFERROR(__xludf.DUMMYFUNCTION("""COMPUTED_VALUE"""),"Married")</f>
        <v>Married</v>
      </c>
      <c r="AD75" s="228"/>
      <c r="AE75" s="228"/>
      <c r="AF75" s="228"/>
      <c r="AG75" s="228" t="str">
        <f>IFERROR(__xludf.DUMMYFUNCTION("""COMPUTED_VALUE"""),"Ayesha Saeed")</f>
        <v>Ayesha Saeed</v>
      </c>
      <c r="AH75" s="228" t="str">
        <f>IFERROR(__xludf.DUMMYFUNCTION("""COMPUTED_VALUE"""),"Sister")</f>
        <v>Sister</v>
      </c>
      <c r="AI75" s="228"/>
      <c r="AJ75" s="228" t="str">
        <f>IFERROR(__xludf.DUMMYFUNCTION("""COMPUTED_VALUE"""),"B+")</f>
        <v>B+</v>
      </c>
      <c r="AK75" s="731" t="str">
        <f>IFERROR(__xludf.DUMMYFUNCTION("""COMPUTED_VALUE"""),"https://www.linkedin.com/in/ali-haider-saeed-b8b19b264?utm_source=share&amp;utm_campaign=share_via&amp;utm_content=profile&amp;utm_medium=android_app")</f>
        <v>https://www.linkedin.com/in/ali-haider-saeed-b8b19b264?utm_source=share&amp;utm_campaign=share_via&amp;utm_content=profile&amp;utm_medium=android_app</v>
      </c>
      <c r="AL75" s="228"/>
      <c r="AM75" s="228"/>
      <c r="AN75" s="228"/>
      <c r="AO75" s="228"/>
      <c r="AP75" s="228" t="str">
        <f>IFERROR(__xludf.DUMMYFUNCTION("""COMPUTED_VALUE"""),"NO")</f>
        <v>NO</v>
      </c>
      <c r="AQ75" s="228" t="str">
        <f>IFERROR(__xludf.DUMMYFUNCTION("""COMPUTED_VALUE"""),"Active")</f>
        <v>Active</v>
      </c>
    </row>
    <row r="76">
      <c r="A76" s="228">
        <f>IFERROR(__xludf.DUMMYFUNCTION("""COMPUTED_VALUE"""),5353.0)</f>
        <v>5353</v>
      </c>
      <c r="B76" s="228" t="str">
        <f>IFERROR(__xludf.DUMMYFUNCTION("""COMPUTED_VALUE"""),"Maheen Waqar")</f>
        <v>Maheen Waqar</v>
      </c>
      <c r="C76" s="228" t="str">
        <f>IFERROR(__xludf.DUMMYFUNCTION("""COMPUTED_VALUE"""),"importantmgmt@gmail.com")</f>
        <v>importantmgmt@gmail.com</v>
      </c>
      <c r="D76" s="228" t="str">
        <f>IFERROR(__xludf.DUMMYFUNCTION("""COMPUTED_VALUE"""),"maheen.waqar@vyro.ai")</f>
        <v>maheen.waqar@vyro.ai</v>
      </c>
      <c r="E76" s="728">
        <f>IFERROR(__xludf.DUMMYFUNCTION("""COMPUTED_VALUE"""),45677.0)</f>
        <v>45677</v>
      </c>
      <c r="F76" s="228" t="str">
        <f>IFERROR(__xludf.DUMMYFUNCTION("""COMPUTED_VALUE"""),"Content Educator (Part Time)")</f>
        <v>Content Educator (Part Time)</v>
      </c>
      <c r="G76" s="228" t="str">
        <f>IFERROR(__xludf.DUMMYFUNCTION("""COMPUTED_VALUE"""),"Marketing")</f>
        <v>Marketing</v>
      </c>
      <c r="H76" s="228" t="str">
        <f>IFERROR(__xludf.DUMMYFUNCTION("""COMPUTED_VALUE"""),"Awais Chaudhry")</f>
        <v>Awais Chaudhry</v>
      </c>
      <c r="I76" s="228" t="str">
        <f>IFERROR(__xludf.DUMMYFUNCTION("""COMPUTED_VALUE"""),"Probation")</f>
        <v>Probation</v>
      </c>
      <c r="J76" s="228" t="str">
        <f>IFERROR(__xludf.DUMMYFUNCTION("""COMPUTED_VALUE"""),"Active")</f>
        <v>Active</v>
      </c>
      <c r="K76" s="228" t="str">
        <f>IFERROR(__xludf.DUMMYFUNCTION("""COMPUTED_VALUE"""),"3M")</f>
        <v>3M</v>
      </c>
      <c r="L76" s="729">
        <f>IFERROR(__xludf.DUMMYFUNCTION("""COMPUTED_VALUE"""),45767.0)</f>
        <v>45767</v>
      </c>
      <c r="M76" s="228"/>
      <c r="N76" s="228"/>
      <c r="O76" s="228"/>
      <c r="P76" s="228" t="str">
        <f>IFERROR(__xludf.DUMMYFUNCTION("""COMPUTED_VALUE"""),"3155968948")</f>
        <v>3155968948</v>
      </c>
      <c r="Q76" s="228" t="str">
        <f>IFERROR(__xludf.DUMMYFUNCTION("""COMPUTED_VALUE"""),"17301-9671367-6")</f>
        <v>17301-9671367-6</v>
      </c>
      <c r="R76" s="228" t="str">
        <f>IFERROR(__xludf.DUMMYFUNCTION("""COMPUTED_VALUE"""),"Female")</f>
        <v>Female</v>
      </c>
      <c r="S76" s="228" t="str">
        <f>IFERROR(__xludf.DUMMYFUNCTION("""COMPUTED_VALUE"""),"Askari Bank")</f>
        <v>Askari Bank</v>
      </c>
      <c r="T76" s="228" t="str">
        <f>IFERROR(__xludf.DUMMYFUNCTION("""COMPUTED_VALUE"""),"Maheen waqar")</f>
        <v>Maheen waqar</v>
      </c>
      <c r="U76" s="228" t="str">
        <f>IFERROR(__xludf.DUMMYFUNCTION("""COMPUTED_VALUE"""),"PK70ASCM0001752610000358")</f>
        <v>PK70ASCM0001752610000358</v>
      </c>
      <c r="V76" s="228" t="str">
        <f>IFERROR(__xludf.DUMMYFUNCTION("""COMPUTED_VALUE"""),"ASCMPKKA175")</f>
        <v>ASCMPKKA175</v>
      </c>
      <c r="W76" s="228"/>
      <c r="X76" s="228" t="str">
        <f>IFERROR(__xludf.DUMMYFUNCTION("""COMPUTED_VALUE"""),"Islamabad")</f>
        <v>Islamabad</v>
      </c>
      <c r="Y76" s="730">
        <f>IFERROR(__xludf.DUMMYFUNCTION("""COMPUTED_VALUE"""),37944.0)</f>
        <v>37944</v>
      </c>
      <c r="Z76" s="228" t="str">
        <f>IFERROR(__xludf.DUMMYFUNCTION("""COMPUTED_VALUE"""),"21 Years")</f>
        <v>21 Years</v>
      </c>
      <c r="AA76" s="228" t="str">
        <f>IFERROR(__xludf.DUMMYFUNCTION("""COMPUTED_VALUE"""),"house 14, street 13, sector c, dha phase 1, rawalpindi")</f>
        <v>house 14, street 13, sector c, dha phase 1, rawalpindi</v>
      </c>
      <c r="AB76" s="228" t="str">
        <f>IFERROR(__xludf.DUMMYFUNCTION("""COMPUTED_VALUE"""),"Pakistani")</f>
        <v>Pakistani</v>
      </c>
      <c r="AC76" s="228" t="str">
        <f>IFERROR(__xludf.DUMMYFUNCTION("""COMPUTED_VALUE"""),"Single")</f>
        <v>Single</v>
      </c>
      <c r="AD76" s="228"/>
      <c r="AE76" s="228"/>
      <c r="AF76" s="228"/>
      <c r="AG76" s="228" t="str">
        <f>IFERROR(__xludf.DUMMYFUNCTION("""COMPUTED_VALUE"""),"Humaira Latif")</f>
        <v>Humaira Latif</v>
      </c>
      <c r="AH76" s="228" t="str">
        <f>IFERROR(__xludf.DUMMYFUNCTION("""COMPUTED_VALUE"""),"mother")</f>
        <v>mother</v>
      </c>
      <c r="AI76" s="228"/>
      <c r="AJ76" s="228" t="str">
        <f>IFERROR(__xludf.DUMMYFUNCTION("""COMPUTED_VALUE"""),"O+")</f>
        <v>O+</v>
      </c>
      <c r="AK76" s="731" t="str">
        <f>IFERROR(__xludf.DUMMYFUNCTION("""COMPUTED_VALUE"""),"https://www.linkedin.com/in/maheen-waqar-ba8496196/")</f>
        <v>https://www.linkedin.com/in/maheen-waqar-ba8496196/</v>
      </c>
      <c r="AL76" s="228"/>
      <c r="AM76" s="228"/>
      <c r="AN76" s="228"/>
      <c r="AO76" s="228"/>
      <c r="AP76" s="228" t="str">
        <f>IFERROR(__xludf.DUMMYFUNCTION("""COMPUTED_VALUE"""),"NO")</f>
        <v>NO</v>
      </c>
      <c r="AQ76" s="228" t="str">
        <f>IFERROR(__xludf.DUMMYFUNCTION("""COMPUTED_VALUE"""),"Active")</f>
        <v>Active</v>
      </c>
    </row>
    <row r="77">
      <c r="A77" s="228">
        <f>IFERROR(__xludf.DUMMYFUNCTION("""COMPUTED_VALUE"""),5354.0)</f>
        <v>5354</v>
      </c>
      <c r="B77" s="228" t="str">
        <f>IFERROR(__xludf.DUMMYFUNCTION("""COMPUTED_VALUE"""),"Muhammad Abdullah MG")</f>
        <v>Muhammad Abdullah MG</v>
      </c>
      <c r="C77" s="228" t="str">
        <f>IFERROR(__xludf.DUMMYFUNCTION("""COMPUTED_VALUE"""),"abdullahtanveer050@gmail.com")</f>
        <v>abdullahtanveer050@gmail.com</v>
      </c>
      <c r="D77" s="228" t="str">
        <f>IFERROR(__xludf.DUMMYFUNCTION("""COMPUTED_VALUE"""),"muhammad.abdullah@vyro.ai")</f>
        <v>muhammad.abdullah@vyro.ai</v>
      </c>
      <c r="E77" s="728">
        <f>IFERROR(__xludf.DUMMYFUNCTION("""COMPUTED_VALUE"""),45677.0)</f>
        <v>45677</v>
      </c>
      <c r="F77" s="228" t="str">
        <f>IFERROR(__xludf.DUMMYFUNCTION("""COMPUTED_VALUE"""),"Motion Graphics Designer")</f>
        <v>Motion Graphics Designer</v>
      </c>
      <c r="G77" s="228" t="str">
        <f>IFERROR(__xludf.DUMMYFUNCTION("""COMPUTED_VALUE"""),"Marketing")</f>
        <v>Marketing</v>
      </c>
      <c r="H77" s="228" t="str">
        <f>IFERROR(__xludf.DUMMYFUNCTION("""COMPUTED_VALUE"""),"Suha Jokhio")</f>
        <v>Suha Jokhio</v>
      </c>
      <c r="I77" s="228" t="str">
        <f>IFERROR(__xludf.DUMMYFUNCTION("""COMPUTED_VALUE"""),"Probation")</f>
        <v>Probation</v>
      </c>
      <c r="J77" s="228" t="str">
        <f>IFERROR(__xludf.DUMMYFUNCTION("""COMPUTED_VALUE"""),"Active")</f>
        <v>Active</v>
      </c>
      <c r="K77" s="228" t="str">
        <f>IFERROR(__xludf.DUMMYFUNCTION("""COMPUTED_VALUE"""),"3M")</f>
        <v>3M</v>
      </c>
      <c r="L77" s="729">
        <f>IFERROR(__xludf.DUMMYFUNCTION("""COMPUTED_VALUE"""),45767.0)</f>
        <v>45767</v>
      </c>
      <c r="M77" s="228"/>
      <c r="N77" s="228"/>
      <c r="O77" s="228"/>
      <c r="P77" s="228" t="str">
        <f>IFERROR(__xludf.DUMMYFUNCTION("""COMPUTED_VALUE"""),"03315039583")</f>
        <v>03315039583</v>
      </c>
      <c r="Q77" s="228" t="str">
        <f>IFERROR(__xludf.DUMMYFUNCTION("""COMPUTED_VALUE"""),"61101-8415956-9")</f>
        <v>61101-8415956-9</v>
      </c>
      <c r="R77" s="228" t="str">
        <f>IFERROR(__xludf.DUMMYFUNCTION("""COMPUTED_VALUE"""),"Male")</f>
        <v>Male</v>
      </c>
      <c r="S77" s="228" t="str">
        <f>IFERROR(__xludf.DUMMYFUNCTION("""COMPUTED_VALUE"""),"Faysal Bank Limited")</f>
        <v>Faysal Bank Limited</v>
      </c>
      <c r="T77" s="228" t="str">
        <f>IFERROR(__xludf.DUMMYFUNCTION("""COMPUTED_VALUE"""),"Muhammad Abdullah")</f>
        <v>Muhammad Abdullah</v>
      </c>
      <c r="U77" s="228" t="str">
        <f>IFERROR(__xludf.DUMMYFUNCTION("""COMPUTED_VALUE"""),"PK28FAYS3296301000003312")</f>
        <v>PK28FAYS3296301000003312</v>
      </c>
      <c r="V77" s="228" t="str">
        <f>IFERROR(__xludf.DUMMYFUNCTION("""COMPUTED_VALUE"""),"FAYSPKKA")</f>
        <v>FAYSPKKA</v>
      </c>
      <c r="W77" s="228"/>
      <c r="X77" s="228" t="str">
        <f>IFERROR(__xludf.DUMMYFUNCTION("""COMPUTED_VALUE"""),"Islamabad")</f>
        <v>Islamabad</v>
      </c>
      <c r="Y77" s="730">
        <f>IFERROR(__xludf.DUMMYFUNCTION("""COMPUTED_VALUE"""),37609.0)</f>
        <v>37609</v>
      </c>
      <c r="Z77" s="228" t="str">
        <f>IFERROR(__xludf.DUMMYFUNCTION("""COMPUTED_VALUE"""),"22 Years")</f>
        <v>22 Years</v>
      </c>
      <c r="AA77" s="228" t="str">
        <f>IFERROR(__xludf.DUMMYFUNCTION("""COMPUTED_VALUE"""),"House No#484, Street#47, G-10/4, Islamabad, Pakistan")</f>
        <v>House No#484, Street#47, G-10/4, Islamabad, Pakistan</v>
      </c>
      <c r="AB77" s="228" t="str">
        <f>IFERROR(__xludf.DUMMYFUNCTION("""COMPUTED_VALUE"""),"Pakistani")</f>
        <v>Pakistani</v>
      </c>
      <c r="AC77" s="228" t="str">
        <f>IFERROR(__xludf.DUMMYFUNCTION("""COMPUTED_VALUE"""),"Single")</f>
        <v>Single</v>
      </c>
      <c r="AD77" s="228"/>
      <c r="AE77" s="228"/>
      <c r="AF77" s="228"/>
      <c r="AG77" s="228" t="str">
        <f>IFERROR(__xludf.DUMMYFUNCTION("""COMPUTED_VALUE"""),"Sameed Ansari")</f>
        <v>Sameed Ansari</v>
      </c>
      <c r="AH77" s="228" t="str">
        <f>IFERROR(__xludf.DUMMYFUNCTION("""COMPUTED_VALUE"""),"Cousin")</f>
        <v>Cousin</v>
      </c>
      <c r="AI77" s="228"/>
      <c r="AJ77" s="228" t="str">
        <f>IFERROR(__xludf.DUMMYFUNCTION("""COMPUTED_VALUE"""),"A+")</f>
        <v>A+</v>
      </c>
      <c r="AK77" s="228"/>
      <c r="AL77" s="228"/>
      <c r="AM77" s="228"/>
      <c r="AN77" s="228"/>
      <c r="AO77" s="228"/>
      <c r="AP77" s="228" t="str">
        <f>IFERROR(__xludf.DUMMYFUNCTION("""COMPUTED_VALUE"""),"NO")</f>
        <v>NO</v>
      </c>
      <c r="AQ77" s="228" t="str">
        <f>IFERROR(__xludf.DUMMYFUNCTION("""COMPUTED_VALUE"""),"Active")</f>
        <v>Active</v>
      </c>
    </row>
    <row r="78">
      <c r="A78" s="228">
        <f>IFERROR(__xludf.DUMMYFUNCTION("""COMPUTED_VALUE"""),5361.0)</f>
        <v>5361</v>
      </c>
      <c r="B78" s="228" t="str">
        <f>IFERROR(__xludf.DUMMYFUNCTION("""COMPUTED_VALUE"""),"Hajra Shakeel")</f>
        <v>Hajra Shakeel</v>
      </c>
      <c r="C78" s="228" t="str">
        <f>IFERROR(__xludf.DUMMYFUNCTION("""COMPUTED_VALUE"""),"abbasihajra461@gmail.com")</f>
        <v>abbasihajra461@gmail.com</v>
      </c>
      <c r="D78" s="228" t="str">
        <f>IFERROR(__xludf.DUMMYFUNCTION("""COMPUTED_VALUE"""),"hajra.shakeel@vyro.ai")</f>
        <v>hajra.shakeel@vyro.ai</v>
      </c>
      <c r="E78" s="728">
        <f>IFERROR(__xludf.DUMMYFUNCTION("""COMPUTED_VALUE"""),45684.0)</f>
        <v>45684</v>
      </c>
      <c r="F78" s="228" t="str">
        <f>IFERROR(__xludf.DUMMYFUNCTION("""COMPUTED_VALUE"""),"Brand Designer")</f>
        <v>Brand Designer</v>
      </c>
      <c r="G78" s="228" t="str">
        <f>IFERROR(__xludf.DUMMYFUNCTION("""COMPUTED_VALUE"""),"Branding")</f>
        <v>Branding</v>
      </c>
      <c r="H78" s="228" t="str">
        <f>IFERROR(__xludf.DUMMYFUNCTION("""COMPUTED_VALUE"""),"Awais Chaudhry")</f>
        <v>Awais Chaudhry</v>
      </c>
      <c r="I78" s="228" t="str">
        <f>IFERROR(__xludf.DUMMYFUNCTION("""COMPUTED_VALUE"""),"Probation")</f>
        <v>Probation</v>
      </c>
      <c r="J78" s="228" t="str">
        <f>IFERROR(__xludf.DUMMYFUNCTION("""COMPUTED_VALUE"""),"Active")</f>
        <v>Active</v>
      </c>
      <c r="K78" s="228" t="str">
        <f>IFERROR(__xludf.DUMMYFUNCTION("""COMPUTED_VALUE"""),"3M")</f>
        <v>3M</v>
      </c>
      <c r="L78" s="729">
        <f>IFERROR(__xludf.DUMMYFUNCTION("""COMPUTED_VALUE"""),45774.0)</f>
        <v>45774</v>
      </c>
      <c r="M78" s="228"/>
      <c r="N78" s="228"/>
      <c r="O78" s="228"/>
      <c r="P78" s="228" t="str">
        <f>IFERROR(__xludf.DUMMYFUNCTION("""COMPUTED_VALUE"""),"03305464014")</f>
        <v>03305464014</v>
      </c>
      <c r="Q78" s="228" t="str">
        <f>IFERROR(__xludf.DUMMYFUNCTION("""COMPUTED_VALUE"""),"61101-0780219-0")</f>
        <v>61101-0780219-0</v>
      </c>
      <c r="R78" s="228" t="str">
        <f>IFERROR(__xludf.DUMMYFUNCTION("""COMPUTED_VALUE"""),"Female")</f>
        <v>Female</v>
      </c>
      <c r="S78" s="228" t="str">
        <f>IFERROR(__xludf.DUMMYFUNCTION("""COMPUTED_VALUE"""),"Meezan Bank")</f>
        <v>Meezan Bank</v>
      </c>
      <c r="T78" s="228" t="str">
        <f>IFERROR(__xludf.DUMMYFUNCTION("""COMPUTED_VALUE"""),"Meezan Women First Account")</f>
        <v>Meezan Women First Account</v>
      </c>
      <c r="U78" s="228" t="str">
        <f>IFERROR(__xludf.DUMMYFUNCTION("""COMPUTED_VALUE"""),"PK95MEZN0003200109777034")</f>
        <v>PK95MEZN0003200109777034</v>
      </c>
      <c r="V78" s="228" t="str">
        <f>IFERROR(__xludf.DUMMYFUNCTION("""COMPUTED_VALUE"""),"MEZNPKKA")</f>
        <v>MEZNPKKA</v>
      </c>
      <c r="W78" s="228"/>
      <c r="X78" s="228" t="str">
        <f>IFERROR(__xludf.DUMMYFUNCTION("""COMPUTED_VALUE"""),"Islamabad")</f>
        <v>Islamabad</v>
      </c>
      <c r="Y78" s="730">
        <f>IFERROR(__xludf.DUMMYFUNCTION("""COMPUTED_VALUE"""),37807.0)</f>
        <v>37807</v>
      </c>
      <c r="Z78" s="228" t="str">
        <f>IFERROR(__xludf.DUMMYFUNCTION("""COMPUTED_VALUE"""),"21 Years")</f>
        <v>21 Years</v>
      </c>
      <c r="AA78" s="228" t="str">
        <f>IFERROR(__xludf.DUMMYFUNCTION("""COMPUTED_VALUE"""),"House#441 gali#8 sector#g10/1")</f>
        <v>House#441 gali#8 sector#g10/1</v>
      </c>
      <c r="AB78" s="228" t="str">
        <f>IFERROR(__xludf.DUMMYFUNCTION("""COMPUTED_VALUE"""),"Pakistani")</f>
        <v>Pakistani</v>
      </c>
      <c r="AC78" s="228" t="str">
        <f>IFERROR(__xludf.DUMMYFUNCTION("""COMPUTED_VALUE"""),"Single")</f>
        <v>Single</v>
      </c>
      <c r="AD78" s="228"/>
      <c r="AE78" s="228"/>
      <c r="AF78" s="228"/>
      <c r="AG78" s="228" t="str">
        <f>IFERROR(__xludf.DUMMYFUNCTION("""COMPUTED_VALUE"""),"Shakeel Abbasi")</f>
        <v>Shakeel Abbasi</v>
      </c>
      <c r="AH78" s="228" t="str">
        <f>IFERROR(__xludf.DUMMYFUNCTION("""COMPUTED_VALUE"""),"Father")</f>
        <v>Father</v>
      </c>
      <c r="AI78" s="228"/>
      <c r="AJ78" s="228" t="str">
        <f>IFERROR(__xludf.DUMMYFUNCTION("""COMPUTED_VALUE"""),"B+")</f>
        <v>B+</v>
      </c>
      <c r="AK78" s="731" t="str">
        <f>IFERROR(__xludf.DUMMYFUNCTION("""COMPUTED_VALUE"""),"https://www.linkedin.com/in/hajraabbasi2003")</f>
        <v>https://www.linkedin.com/in/hajraabbasi2003</v>
      </c>
      <c r="AL78" s="228"/>
      <c r="AM78" s="228"/>
      <c r="AN78" s="228"/>
      <c r="AO78" s="228"/>
      <c r="AP78" s="228" t="str">
        <f>IFERROR(__xludf.DUMMYFUNCTION("""COMPUTED_VALUE"""),"NO")</f>
        <v>NO</v>
      </c>
      <c r="AQ78" s="228" t="str">
        <f>IFERROR(__xludf.DUMMYFUNCTION("""COMPUTED_VALUE"""),"Active")</f>
        <v>Active</v>
      </c>
    </row>
    <row r="79">
      <c r="A79" s="228">
        <f>IFERROR(__xludf.DUMMYFUNCTION("""COMPUTED_VALUE"""),5358.0)</f>
        <v>5358</v>
      </c>
      <c r="B79" s="228" t="str">
        <f>IFERROR(__xludf.DUMMYFUNCTION("""COMPUTED_VALUE"""),"Hamza Nasir")</f>
        <v>Hamza Nasir</v>
      </c>
      <c r="C79" s="228" t="str">
        <f>IFERROR(__xludf.DUMMYFUNCTION("""COMPUTED_VALUE"""),"hamzanasir123123@gmail.com")</f>
        <v>hamzanasir123123@gmail.com</v>
      </c>
      <c r="D79" s="228" t="str">
        <f>IFERROR(__xludf.DUMMYFUNCTION("""COMPUTED_VALUE"""),"hamza.nasir@vyro.ai")</f>
        <v>hamza.nasir@vyro.ai</v>
      </c>
      <c r="E79" s="728">
        <f>IFERROR(__xludf.DUMMYFUNCTION("""COMPUTED_VALUE"""),45684.0)</f>
        <v>45684</v>
      </c>
      <c r="F79" s="228" t="str">
        <f>IFERROR(__xludf.DUMMYFUNCTION("""COMPUTED_VALUE"""),"Frontend Developer")</f>
        <v>Frontend Developer</v>
      </c>
      <c r="G79" s="228" t="str">
        <f>IFERROR(__xludf.DUMMYFUNCTION("""COMPUTED_VALUE"""),"Frontend")</f>
        <v>Frontend</v>
      </c>
      <c r="H79" s="228" t="str">
        <f>IFERROR(__xludf.DUMMYFUNCTION("""COMPUTED_VALUE"""),"Abdullah Rafique")</f>
        <v>Abdullah Rafique</v>
      </c>
      <c r="I79" s="228" t="str">
        <f>IFERROR(__xludf.DUMMYFUNCTION("""COMPUTED_VALUE"""),"Probation")</f>
        <v>Probation</v>
      </c>
      <c r="J79" s="228" t="str">
        <f>IFERROR(__xludf.DUMMYFUNCTION("""COMPUTED_VALUE"""),"Active")</f>
        <v>Active</v>
      </c>
      <c r="K79" s="228" t="str">
        <f>IFERROR(__xludf.DUMMYFUNCTION("""COMPUTED_VALUE"""),"3M")</f>
        <v>3M</v>
      </c>
      <c r="L79" s="729">
        <f>IFERROR(__xludf.DUMMYFUNCTION("""COMPUTED_VALUE"""),45774.0)</f>
        <v>45774</v>
      </c>
      <c r="M79" s="228"/>
      <c r="N79" s="228"/>
      <c r="O79" s="228"/>
      <c r="P79" s="228" t="str">
        <f>IFERROR(__xludf.DUMMYFUNCTION("""COMPUTED_VALUE"""),"03319057685")</f>
        <v>03319057685</v>
      </c>
      <c r="Q79" s="228" t="str">
        <f>IFERROR(__xludf.DUMMYFUNCTION("""COMPUTED_VALUE"""),"37405-9807769-5")</f>
        <v>37405-9807769-5</v>
      </c>
      <c r="R79" s="228" t="str">
        <f>IFERROR(__xludf.DUMMYFUNCTION("""COMPUTED_VALUE"""),"Male")</f>
        <v>Male</v>
      </c>
      <c r="S79" s="228" t="str">
        <f>IFERROR(__xludf.DUMMYFUNCTION("""COMPUTED_VALUE"""),"Meezan")</f>
        <v>Meezan</v>
      </c>
      <c r="T79" s="228" t="str">
        <f>IFERROR(__xludf.DUMMYFUNCTION("""COMPUTED_VALUE"""),"HAMZA NASIR")</f>
        <v>HAMZA NASIR</v>
      </c>
      <c r="U79" s="228" t="str">
        <f>IFERROR(__xludf.DUMMYFUNCTION("""COMPUTED_VALUE"""),"PK58MEZN0008070107465316")</f>
        <v>PK58MEZN0008070107465316</v>
      </c>
      <c r="V79" s="228" t="str">
        <f>IFERROR(__xludf.DUMMYFUNCTION("""COMPUTED_VALUE"""),"Not sure")</f>
        <v>Not sure</v>
      </c>
      <c r="W79" s="228"/>
      <c r="X79" s="228" t="str">
        <f>IFERROR(__xludf.DUMMYFUNCTION("""COMPUTED_VALUE"""),"Islamabad")</f>
        <v>Islamabad</v>
      </c>
      <c r="Y79" s="730">
        <f>IFERROR(__xludf.DUMMYFUNCTION("""COMPUTED_VALUE"""),37041.0)</f>
        <v>37041</v>
      </c>
      <c r="Z79" s="228" t="str">
        <f>IFERROR(__xludf.DUMMYFUNCTION("""COMPUTED_VALUE"""),"23 Years")</f>
        <v>23 Years</v>
      </c>
      <c r="AA79" s="228" t="str">
        <f>IFERROR(__xludf.DUMMYFUNCTION("""COMPUTED_VALUE"""),"House # 107, Street # 10, Chaklala Scheme 3")</f>
        <v>House # 107, Street # 10, Chaklala Scheme 3</v>
      </c>
      <c r="AB79" s="228" t="str">
        <f>IFERROR(__xludf.DUMMYFUNCTION("""COMPUTED_VALUE"""),"Pakistani")</f>
        <v>Pakistani</v>
      </c>
      <c r="AC79" s="228" t="str">
        <f>IFERROR(__xludf.DUMMYFUNCTION("""COMPUTED_VALUE"""),"Single")</f>
        <v>Single</v>
      </c>
      <c r="AD79" s="228"/>
      <c r="AE79" s="228"/>
      <c r="AF79" s="228"/>
      <c r="AG79" s="228" t="str">
        <f>IFERROR(__xludf.DUMMYFUNCTION("""COMPUTED_VALUE"""),"Muhammad Zaheer Ul Islam")</f>
        <v>Muhammad Zaheer Ul Islam</v>
      </c>
      <c r="AH79" s="228" t="str">
        <f>IFERROR(__xludf.DUMMYFUNCTION("""COMPUTED_VALUE"""),"Father")</f>
        <v>Father</v>
      </c>
      <c r="AI79" s="228"/>
      <c r="AJ79" s="228" t="str">
        <f>IFERROR(__xludf.DUMMYFUNCTION("""COMPUTED_VALUE"""),"A+")</f>
        <v>A+</v>
      </c>
      <c r="AK79" s="731" t="str">
        <f>IFERROR(__xludf.DUMMYFUNCTION("""COMPUTED_VALUE"""),"https://www.linkedin.com/in/hmza-nasir/")</f>
        <v>https://www.linkedin.com/in/hmza-nasir/</v>
      </c>
      <c r="AL79" s="228"/>
      <c r="AM79" s="228"/>
      <c r="AN79" s="228"/>
      <c r="AO79" s="228"/>
      <c r="AP79" s="228" t="str">
        <f>IFERROR(__xludf.DUMMYFUNCTION("""COMPUTED_VALUE"""),"NO")</f>
        <v>NO</v>
      </c>
      <c r="AQ79" s="228" t="str">
        <f>IFERROR(__xludf.DUMMYFUNCTION("""COMPUTED_VALUE"""),"Active")</f>
        <v>Active</v>
      </c>
    </row>
    <row r="80">
      <c r="A80" s="228">
        <f>IFERROR(__xludf.DUMMYFUNCTION("""COMPUTED_VALUE"""),5359.0)</f>
        <v>5359</v>
      </c>
      <c r="B80" s="228" t="str">
        <f>IFERROR(__xludf.DUMMYFUNCTION("""COMPUTED_VALUE"""),"Syed Tabeed Hassan Rizvi")</f>
        <v>Syed Tabeed Hassan Rizvi</v>
      </c>
      <c r="C80" s="228" t="str">
        <f>IFERROR(__xludf.DUMMYFUNCTION("""COMPUTED_VALUE"""),"tabeed68@gmail.com")</f>
        <v>tabeed68@gmail.com</v>
      </c>
      <c r="D80" s="228" t="str">
        <f>IFERROR(__xludf.DUMMYFUNCTION("""COMPUTED_VALUE"""),"tabeed.rizvi@vyro.ai")</f>
        <v>tabeed.rizvi@vyro.ai</v>
      </c>
      <c r="E80" s="728">
        <f>IFERROR(__xludf.DUMMYFUNCTION("""COMPUTED_VALUE"""),45684.0)</f>
        <v>45684</v>
      </c>
      <c r="F80" s="228" t="str">
        <f>IFERROR(__xludf.DUMMYFUNCTION("""COMPUTED_VALUE"""),"DevOps Engineer")</f>
        <v>DevOps Engineer</v>
      </c>
      <c r="G80" s="228" t="str">
        <f>IFERROR(__xludf.DUMMYFUNCTION("""COMPUTED_VALUE"""),"Devops")</f>
        <v>Devops</v>
      </c>
      <c r="H80" s="228" t="str">
        <f>IFERROR(__xludf.DUMMYFUNCTION("""COMPUTED_VALUE"""),"Abdullah Rafique")</f>
        <v>Abdullah Rafique</v>
      </c>
      <c r="I80" s="228" t="str">
        <f>IFERROR(__xludf.DUMMYFUNCTION("""COMPUTED_VALUE"""),"Probation")</f>
        <v>Probation</v>
      </c>
      <c r="J80" s="228" t="str">
        <f>IFERROR(__xludf.DUMMYFUNCTION("""COMPUTED_VALUE"""),"Active")</f>
        <v>Active</v>
      </c>
      <c r="K80" s="228" t="str">
        <f>IFERROR(__xludf.DUMMYFUNCTION("""COMPUTED_VALUE"""),"3M")</f>
        <v>3M</v>
      </c>
      <c r="L80" s="729">
        <f>IFERROR(__xludf.DUMMYFUNCTION("""COMPUTED_VALUE"""),45774.0)</f>
        <v>45774</v>
      </c>
      <c r="M80" s="228"/>
      <c r="N80" s="228"/>
      <c r="O80" s="228"/>
      <c r="P80" s="228" t="str">
        <f>IFERROR(__xludf.DUMMYFUNCTION("""COMPUTED_VALUE"""),"3214832712")</f>
        <v>3214832712</v>
      </c>
      <c r="Q80" s="228" t="str">
        <f>IFERROR(__xludf.DUMMYFUNCTION("""COMPUTED_VALUE"""),"35202-8915449-7")</f>
        <v>35202-8915449-7</v>
      </c>
      <c r="R80" s="228" t="str">
        <f>IFERROR(__xludf.DUMMYFUNCTION("""COMPUTED_VALUE"""),"Male")</f>
        <v>Male</v>
      </c>
      <c r="S80" s="228" t="str">
        <f>IFERROR(__xludf.DUMMYFUNCTION("""COMPUTED_VALUE"""),"HBL")</f>
        <v>HBL</v>
      </c>
      <c r="T80" s="228" t="str">
        <f>IFERROR(__xludf.DUMMYFUNCTION("""COMPUTED_VALUE"""),"S Tabeed")</f>
        <v>S Tabeed</v>
      </c>
      <c r="U80" s="228" t="str">
        <f>IFERROR(__xludf.DUMMYFUNCTION("""COMPUTED_VALUE"""),"Name: Tabeed Rizvi
Account number: 8312902553
Account type: Checking
Use when sending money from the US
Routing number (for wire and ACH): 026073150
Use when sending money from the US
Swift/BIC: CMFGUS33
Use when sending money from outside the US
Bank nam"&amp;"e and address: Community Federal Savings Bank, 89-16 Jamaica Ave, Woodhaven, NY, 11421, United States")</f>
        <v>Name: Tabeed Rizvi
Account number: 8312902553
Account type: Checking
Use when sending money from the US
Routing number (for wire and ACH): 026073150
Use when sending money from the US
Swift/BIC: CMFGUS33
Use when sending money from outside the US
Bank name and address: Community Federal Savings Bank, 89-16 Jamaica Ave, Woodhaven, NY, 11421, United States</v>
      </c>
      <c r="V80" s="228" t="str">
        <f>IFERROR(__xludf.DUMMYFUNCTION("""COMPUTED_VALUE"""),"HABBPKKA")</f>
        <v>HABBPKKA</v>
      </c>
      <c r="W80" s="228"/>
      <c r="X80" s="228" t="str">
        <f>IFERROR(__xludf.DUMMYFUNCTION("""COMPUTED_VALUE"""),"Islamabad")</f>
        <v>Islamabad</v>
      </c>
      <c r="Y80" s="730">
        <f>IFERROR(__xludf.DUMMYFUNCTION("""COMPUTED_VALUE"""),36061.0)</f>
        <v>36061</v>
      </c>
      <c r="Z80" s="228" t="str">
        <f>IFERROR(__xludf.DUMMYFUNCTION("""COMPUTED_VALUE"""),"26 Years")</f>
        <v>26 Years</v>
      </c>
      <c r="AA80" s="228" t="str">
        <f>IFERROR(__xludf.DUMMYFUNCTION("""COMPUTED_VALUE"""),"87 C T&amp;T Abpara Housing Society")</f>
        <v>87 C T&amp;T Abpara Housing Society</v>
      </c>
      <c r="AB80" s="228" t="str">
        <f>IFERROR(__xludf.DUMMYFUNCTION("""COMPUTED_VALUE"""),"Pakistani")</f>
        <v>Pakistani</v>
      </c>
      <c r="AC80" s="228" t="str">
        <f>IFERROR(__xludf.DUMMYFUNCTION("""COMPUTED_VALUE"""),"Single")</f>
        <v>Single</v>
      </c>
      <c r="AD80" s="228"/>
      <c r="AE80" s="228"/>
      <c r="AF80" s="228"/>
      <c r="AG80" s="228" t="str">
        <f>IFERROR(__xludf.DUMMYFUNCTION("""COMPUTED_VALUE"""),"Salman Rizvi")</f>
        <v>Salman Rizvi</v>
      </c>
      <c r="AH80" s="228" t="str">
        <f>IFERROR(__xludf.DUMMYFUNCTION("""COMPUTED_VALUE"""),"Wife")</f>
        <v>Wife</v>
      </c>
      <c r="AI80" s="228"/>
      <c r="AJ80" s="228" t="str">
        <f>IFERROR(__xludf.DUMMYFUNCTION("""COMPUTED_VALUE"""),"B+")</f>
        <v>B+</v>
      </c>
      <c r="AK80" s="731" t="str">
        <f>IFERROR(__xludf.DUMMYFUNCTION("""COMPUTED_VALUE"""),"https://www.linkedin.com/in/tabeed-hassan-20267a180/")</f>
        <v>https://www.linkedin.com/in/tabeed-hassan-20267a180/</v>
      </c>
      <c r="AL80" s="228"/>
      <c r="AM80" s="228"/>
      <c r="AN80" s="228"/>
      <c r="AO80" s="228"/>
      <c r="AP80" s="228" t="str">
        <f>IFERROR(__xludf.DUMMYFUNCTION("""COMPUTED_VALUE"""),"NO")</f>
        <v>NO</v>
      </c>
      <c r="AQ80" s="228" t="str">
        <f>IFERROR(__xludf.DUMMYFUNCTION("""COMPUTED_VALUE"""),"Active")</f>
        <v>Active</v>
      </c>
    </row>
    <row r="81">
      <c r="A81" s="228">
        <f>IFERROR(__xludf.DUMMYFUNCTION("""COMPUTED_VALUE"""),5362.0)</f>
        <v>5362</v>
      </c>
      <c r="B81" s="228" t="str">
        <f>IFERROR(__xludf.DUMMYFUNCTION("""COMPUTED_VALUE"""),"Zahida Misher")</f>
        <v>Zahida Misher</v>
      </c>
      <c r="C81" s="228" t="str">
        <f>IFERROR(__xludf.DUMMYFUNCTION("""COMPUTED_VALUE"""),"zahidamisher@yahoo.com")</f>
        <v>zahidamisher@yahoo.com</v>
      </c>
      <c r="D81" s="228" t="str">
        <f>IFERROR(__xludf.DUMMYFUNCTION("""COMPUTED_VALUE"""),"zahida.misher@vyro.ai")</f>
        <v>zahida.misher@vyro.ai</v>
      </c>
      <c r="E81" s="728">
        <f>IFERROR(__xludf.DUMMYFUNCTION("""COMPUTED_VALUE"""),45684.0)</f>
        <v>45684</v>
      </c>
      <c r="F81" s="228" t="str">
        <f>IFERROR(__xludf.DUMMYFUNCTION("""COMPUTED_VALUE"""),"SEO Content Strategist")</f>
        <v>SEO Content Strategist</v>
      </c>
      <c r="G81" s="228" t="str">
        <f>IFERROR(__xludf.DUMMYFUNCTION("""COMPUTED_VALUE"""),"SEO")</f>
        <v>SEO</v>
      </c>
      <c r="H81" s="228" t="str">
        <f>IFERROR(__xludf.DUMMYFUNCTION("""COMPUTED_VALUE"""),"Syed Osama")</f>
        <v>Syed Osama</v>
      </c>
      <c r="I81" s="228" t="str">
        <f>IFERROR(__xludf.DUMMYFUNCTION("""COMPUTED_VALUE"""),"Probation")</f>
        <v>Probation</v>
      </c>
      <c r="J81" s="228" t="str">
        <f>IFERROR(__xludf.DUMMYFUNCTION("""COMPUTED_VALUE"""),"Active")</f>
        <v>Active</v>
      </c>
      <c r="K81" s="228" t="str">
        <f>IFERROR(__xludf.DUMMYFUNCTION("""COMPUTED_VALUE"""),"3M")</f>
        <v>3M</v>
      </c>
      <c r="L81" s="729">
        <f>IFERROR(__xludf.DUMMYFUNCTION("""COMPUTED_VALUE"""),45774.0)</f>
        <v>45774</v>
      </c>
      <c r="M81" s="228"/>
      <c r="N81" s="228"/>
      <c r="O81" s="228"/>
      <c r="P81" s="228" t="str">
        <f>IFERROR(__xludf.DUMMYFUNCTION("""COMPUTED_VALUE"""),"03110043457")</f>
        <v>03110043457</v>
      </c>
      <c r="Q81" s="228" t="str">
        <f>IFERROR(__xludf.DUMMYFUNCTION("""COMPUTED_VALUE"""),"42201-7429312-2")</f>
        <v>42201-7429312-2</v>
      </c>
      <c r="R81" s="228" t="str">
        <f>IFERROR(__xludf.DUMMYFUNCTION("""COMPUTED_VALUE"""),"Female")</f>
        <v>Female</v>
      </c>
      <c r="S81" s="228" t="str">
        <f>IFERROR(__xludf.DUMMYFUNCTION("""COMPUTED_VALUE"""),"Bank Al Habib")</f>
        <v>Bank Al Habib</v>
      </c>
      <c r="T81" s="228" t="str">
        <f>IFERROR(__xludf.DUMMYFUNCTION("""COMPUTED_VALUE"""),"Zahida Misher")</f>
        <v>Zahida Misher</v>
      </c>
      <c r="U81" s="228" t="str">
        <f>IFERROR(__xludf.DUMMYFUNCTION("""COMPUTED_VALUE"""),"PK60BAHL1027182502895201")</f>
        <v>PK60BAHL1027182502895201</v>
      </c>
      <c r="V81" s="228" t="str">
        <f>IFERROR(__xludf.DUMMYFUNCTION("""COMPUTED_VALUE"""),"BAHLPKKA")</f>
        <v>BAHLPKKA</v>
      </c>
      <c r="W81" s="228"/>
      <c r="X81" s="228" t="str">
        <f>IFERROR(__xludf.DUMMYFUNCTION("""COMPUTED_VALUE"""),"remote")</f>
        <v>remote</v>
      </c>
      <c r="Y81" s="730">
        <f>IFERROR(__xludf.DUMMYFUNCTION("""COMPUTED_VALUE"""),35827.0)</f>
        <v>35827</v>
      </c>
      <c r="Z81" s="228" t="str">
        <f>IFERROR(__xludf.DUMMYFUNCTION("""COMPUTED_VALUE"""),"27 Years")</f>
        <v>27 Years</v>
      </c>
      <c r="AA81" s="228" t="str">
        <f>IFERROR(__xludf.DUMMYFUNCTION("""COMPUTED_VALUE"""),"149-D, street 1, Askari 4, Karachi, Pakistan")</f>
        <v>149-D, street 1, Askari 4, Karachi, Pakistan</v>
      </c>
      <c r="AB81" s="228" t="str">
        <f>IFERROR(__xludf.DUMMYFUNCTION("""COMPUTED_VALUE"""),"Pakistani")</f>
        <v>Pakistani</v>
      </c>
      <c r="AC81" s="228" t="str">
        <f>IFERROR(__xludf.DUMMYFUNCTION("""COMPUTED_VALUE"""),"Married")</f>
        <v>Married</v>
      </c>
      <c r="AD81" s="228"/>
      <c r="AE81" s="228"/>
      <c r="AF81" s="228"/>
      <c r="AG81" s="228" t="str">
        <f>IFERROR(__xludf.DUMMYFUNCTION("""COMPUTED_VALUE"""),"Husband - Shayan Shahzad")</f>
        <v>Husband - Shayan Shahzad</v>
      </c>
      <c r="AH81" s="228" t="str">
        <f>IFERROR(__xludf.DUMMYFUNCTION("""COMPUTED_VALUE"""),"Husband")</f>
        <v>Husband</v>
      </c>
      <c r="AI81" s="228"/>
      <c r="AJ81" s="228" t="str">
        <f>IFERROR(__xludf.DUMMYFUNCTION("""COMPUTED_VALUE"""),"B+")</f>
        <v>B+</v>
      </c>
      <c r="AK81" s="731" t="str">
        <f>IFERROR(__xludf.DUMMYFUNCTION("""COMPUTED_VALUE"""),"https://pk.linkedin.com/in/zahida-misher-707b23230")</f>
        <v>https://pk.linkedin.com/in/zahida-misher-707b23230</v>
      </c>
      <c r="AL81" s="228"/>
      <c r="AM81" s="228"/>
      <c r="AN81" s="228"/>
      <c r="AO81" s="228"/>
      <c r="AP81" s="228" t="str">
        <f>IFERROR(__xludf.DUMMYFUNCTION("""COMPUTED_VALUE"""),"NO")</f>
        <v>NO</v>
      </c>
      <c r="AQ81" s="228" t="str">
        <f>IFERROR(__xludf.DUMMYFUNCTION("""COMPUTED_VALUE"""),"Active")</f>
        <v>Active</v>
      </c>
    </row>
    <row r="82">
      <c r="A82" s="228">
        <f>IFERROR(__xludf.DUMMYFUNCTION("""COMPUTED_VALUE"""),5368.0)</f>
        <v>5368</v>
      </c>
      <c r="B82" s="228" t="str">
        <f>IFERROR(__xludf.DUMMYFUNCTION("""COMPUTED_VALUE"""),"Asad Ahsan")</f>
        <v>Asad Ahsan</v>
      </c>
      <c r="C82" s="228" t="str">
        <f>IFERROR(__xludf.DUMMYFUNCTION("""COMPUTED_VALUE"""),"asad.ahsann2@gmail.com")</f>
        <v>asad.ahsann2@gmail.com</v>
      </c>
      <c r="D82" s="228" t="str">
        <f>IFERROR(__xludf.DUMMYFUNCTION("""COMPUTED_VALUE"""),"asad.ahsan@vyro.ai")</f>
        <v>asad.ahsan@vyro.ai</v>
      </c>
      <c r="E82" s="728">
        <f>IFERROR(__xludf.DUMMYFUNCTION("""COMPUTED_VALUE"""),45691.0)</f>
        <v>45691</v>
      </c>
      <c r="F82" s="228" t="str">
        <f>IFERROR(__xludf.DUMMYFUNCTION("""COMPUTED_VALUE"""),"Business Operations Associate")</f>
        <v>Business Operations Associate</v>
      </c>
      <c r="G82" s="228" t="str">
        <f>IFERROR(__xludf.DUMMYFUNCTION("""COMPUTED_VALUE"""),"Business &amp; Growth")</f>
        <v>Business &amp; Growth</v>
      </c>
      <c r="H82" s="228" t="str">
        <f>IFERROR(__xludf.DUMMYFUNCTION("""COMPUTED_VALUE"""),"Talha Arshad")</f>
        <v>Talha Arshad</v>
      </c>
      <c r="I82" s="228" t="str">
        <f>IFERROR(__xludf.DUMMYFUNCTION("""COMPUTED_VALUE"""),"Probation")</f>
        <v>Probation</v>
      </c>
      <c r="J82" s="228" t="str">
        <f>IFERROR(__xludf.DUMMYFUNCTION("""COMPUTED_VALUE"""),"Active")</f>
        <v>Active</v>
      </c>
      <c r="K82" s="228" t="str">
        <f>IFERROR(__xludf.DUMMYFUNCTION("""COMPUTED_VALUE"""),"3M")</f>
        <v>3M</v>
      </c>
      <c r="L82" s="729">
        <f>IFERROR(__xludf.DUMMYFUNCTION("""COMPUTED_VALUE"""),45780.0)</f>
        <v>45780</v>
      </c>
      <c r="M82" s="228"/>
      <c r="N82" s="228"/>
      <c r="O82" s="228"/>
      <c r="P82" s="228" t="str">
        <f>IFERROR(__xludf.DUMMYFUNCTION("""COMPUTED_VALUE"""),"3331527226")</f>
        <v>3331527226</v>
      </c>
      <c r="Q82" s="228" t="str">
        <f>IFERROR(__xludf.DUMMYFUNCTION("""COMPUTED_VALUE"""),"42301-5782862-9")</f>
        <v>42301-5782862-9</v>
      </c>
      <c r="R82" s="228" t="str">
        <f>IFERROR(__xludf.DUMMYFUNCTION("""COMPUTED_VALUE"""),"Male")</f>
        <v>Male</v>
      </c>
      <c r="S82" s="228" t="str">
        <f>IFERROR(__xludf.DUMMYFUNCTION("""COMPUTED_VALUE"""),"United Bank Limited")</f>
        <v>United Bank Limited</v>
      </c>
      <c r="T82" s="228" t="str">
        <f>IFERROR(__xludf.DUMMYFUNCTION("""COMPUTED_VALUE"""),"Asad Ahsan")</f>
        <v>Asad Ahsan</v>
      </c>
      <c r="U82" s="228" t="str">
        <f>IFERROR(__xludf.DUMMYFUNCTION("""COMPUTED_VALUE"""),"PK34UNIL0109000316721279")</f>
        <v>PK34UNIL0109000316721279</v>
      </c>
      <c r="V82" s="228" t="str">
        <f>IFERROR(__xludf.DUMMYFUNCTION("""COMPUTED_VALUE"""),"UNILPKKA1155")</f>
        <v>UNILPKKA1155</v>
      </c>
      <c r="W82" s="228"/>
      <c r="X82" s="228" t="str">
        <f>IFERROR(__xludf.DUMMYFUNCTION("""COMPUTED_VALUE"""),"Islamabad")</f>
        <v>Islamabad</v>
      </c>
      <c r="Y82" s="730">
        <f>IFERROR(__xludf.DUMMYFUNCTION("""COMPUTED_VALUE"""),36959.0)</f>
        <v>36959</v>
      </c>
      <c r="Z82" s="228" t="str">
        <f>IFERROR(__xludf.DUMMYFUNCTION("""COMPUTED_VALUE"""),"24 Years")</f>
        <v>24 Years</v>
      </c>
      <c r="AA82" s="228" t="str">
        <f>IFERROR(__xludf.DUMMYFUNCTION("""COMPUTED_VALUE"""),"house no 34 hill road f-6/3")</f>
        <v>house no 34 hill road f-6/3</v>
      </c>
      <c r="AB82" s="228" t="str">
        <f>IFERROR(__xludf.DUMMYFUNCTION("""COMPUTED_VALUE"""),"Pakistani")</f>
        <v>Pakistani</v>
      </c>
      <c r="AC82" s="228" t="str">
        <f>IFERROR(__xludf.DUMMYFUNCTION("""COMPUTED_VALUE"""),"Single")</f>
        <v>Single</v>
      </c>
      <c r="AD82" s="228"/>
      <c r="AE82" s="228"/>
      <c r="AF82" s="228"/>
      <c r="AG82" s="228" t="str">
        <f>IFERROR(__xludf.DUMMYFUNCTION("""COMPUTED_VALUE"""),"Rao ahsan ali khan")</f>
        <v>Rao ahsan ali khan</v>
      </c>
      <c r="AH82" s="228" t="str">
        <f>IFERROR(__xludf.DUMMYFUNCTION("""COMPUTED_VALUE"""),"father/son")</f>
        <v>father/son</v>
      </c>
      <c r="AI82" s="228"/>
      <c r="AJ82" s="228" t="str">
        <f>IFERROR(__xludf.DUMMYFUNCTION("""COMPUTED_VALUE"""),"B+")</f>
        <v>B+</v>
      </c>
      <c r="AK82" s="731" t="str">
        <f>IFERROR(__xludf.DUMMYFUNCTION("""COMPUTED_VALUE"""),"www.linkedin.com/in/asad-ahsan-67b346235")</f>
        <v>www.linkedin.com/in/asad-ahsan-67b346235</v>
      </c>
      <c r="AL82" s="228"/>
      <c r="AM82" s="228"/>
      <c r="AN82" s="228"/>
      <c r="AO82" s="228"/>
      <c r="AP82" s="228" t="str">
        <f>IFERROR(__xludf.DUMMYFUNCTION("""COMPUTED_VALUE"""),"NO")</f>
        <v>NO</v>
      </c>
      <c r="AQ82" s="228" t="str">
        <f>IFERROR(__xludf.DUMMYFUNCTION("""COMPUTED_VALUE"""),"Active")</f>
        <v>Active</v>
      </c>
    </row>
    <row r="83">
      <c r="A83" s="228">
        <f>IFERROR(__xludf.DUMMYFUNCTION("""COMPUTED_VALUE"""),5370.0)</f>
        <v>5370</v>
      </c>
      <c r="B83" s="228" t="str">
        <f>IFERROR(__xludf.DUMMYFUNCTION("""COMPUTED_VALUE"""),"Honglang Qin")</f>
        <v>Honglang Qin</v>
      </c>
      <c r="C83" s="228" t="str">
        <f>IFERROR(__xludf.DUMMYFUNCTION("""COMPUTED_VALUE"""),"jingyifsy@gmail.com")</f>
        <v>jingyifsy@gmail.com</v>
      </c>
      <c r="D83" s="228" t="str">
        <f>IFERROR(__xludf.DUMMYFUNCTION("""COMPUTED_VALUE"""),"honglang.qin@vyro.ai")</f>
        <v>honglang.qin@vyro.ai</v>
      </c>
      <c r="E83" s="728">
        <f>IFERROR(__xludf.DUMMYFUNCTION("""COMPUTED_VALUE"""),45691.0)</f>
        <v>45691</v>
      </c>
      <c r="F83" s="228" t="str">
        <f>IFERROR(__xludf.DUMMYFUNCTION("""COMPUTED_VALUE"""),"Backend Engineer")</f>
        <v>Backend Engineer</v>
      </c>
      <c r="G83" s="228" t="str">
        <f>IFERROR(__xludf.DUMMYFUNCTION("""COMPUTED_VALUE"""),"Backend")</f>
        <v>Backend</v>
      </c>
      <c r="H83" s="228" t="str">
        <f>IFERROR(__xludf.DUMMYFUNCTION("""COMPUTED_VALUE"""),"Shariq Arif")</f>
        <v>Shariq Arif</v>
      </c>
      <c r="I83" s="228" t="str">
        <f>IFERROR(__xludf.DUMMYFUNCTION("""COMPUTED_VALUE"""),"Probation")</f>
        <v>Probation</v>
      </c>
      <c r="J83" s="228" t="str">
        <f>IFERROR(__xludf.DUMMYFUNCTION("""COMPUTED_VALUE"""),"Active")</f>
        <v>Active</v>
      </c>
      <c r="K83" s="228" t="str">
        <f>IFERROR(__xludf.DUMMYFUNCTION("""COMPUTED_VALUE"""),"3M")</f>
        <v>3M</v>
      </c>
      <c r="L83" s="729">
        <f>IFERROR(__xludf.DUMMYFUNCTION("""COMPUTED_VALUE"""),45780.0)</f>
        <v>45780</v>
      </c>
      <c r="M83" s="228"/>
      <c r="N83" s="228"/>
      <c r="O83" s="228"/>
      <c r="P83" s="228"/>
      <c r="Q83" s="228"/>
      <c r="R83" s="228"/>
      <c r="S83" s="228"/>
      <c r="T83" s="228" t="str">
        <f>IFERROR(__xludf.DUMMYFUNCTION("""COMPUTED_VALUE"""),"Beneficiary’s Bank: China Merchants Bank, H.O.,CMB TOWER,7088 SHENNAN BOULEVARD, Shenzhen, China, SWIFT Code: CMBCCNBS
Beneficiary’s name: QIN HONGLANG
Beneficiary’s A/C No.: 6214 8309 1072 2312")</f>
        <v>Beneficiary’s Bank: China Merchants Bank, H.O.,CMB TOWER,7088 SHENNAN BOULEVARD, Shenzhen, China, SWIFT Code: CMBCCNBS
Beneficiary’s name: QIN HONGLANG
Beneficiary’s A/C No.: 6214 8309 1072 2312</v>
      </c>
      <c r="U83" s="228"/>
      <c r="V83" s="228"/>
      <c r="W83" s="228"/>
      <c r="X83" s="228"/>
      <c r="Y83" s="228"/>
      <c r="Z83" s="228" t="str">
        <f>IFERROR(__xludf.DUMMYFUNCTION("""COMPUTED_VALUE"""),"-")</f>
        <v>-</v>
      </c>
      <c r="AA83" s="228"/>
      <c r="AB83" s="228"/>
      <c r="AC83" s="228"/>
      <c r="AD83" s="228"/>
      <c r="AE83" s="228"/>
      <c r="AF83" s="228"/>
      <c r="AG83" s="228"/>
      <c r="AH83" s="228"/>
      <c r="AI83" s="228"/>
      <c r="AJ83" s="228"/>
      <c r="AK83" s="731" t="str">
        <f>IFERROR(__xludf.DUMMYFUNCTION("""COMPUTED_VALUE"""),"https://www.linkedin.com/in/aeilang/")</f>
        <v>https://www.linkedin.com/in/aeilang/</v>
      </c>
      <c r="AL83" s="228"/>
      <c r="AM83" s="228"/>
      <c r="AN83" s="228"/>
      <c r="AO83" s="228"/>
      <c r="AP83" s="228" t="str">
        <f>IFERROR(__xludf.DUMMYFUNCTION("""COMPUTED_VALUE"""),"NO")</f>
        <v>NO</v>
      </c>
      <c r="AQ83" s="228" t="str">
        <f>IFERROR(__xludf.DUMMYFUNCTION("""COMPUTED_VALUE"""),"Active")</f>
        <v>Active</v>
      </c>
    </row>
    <row r="84">
      <c r="A84" s="228">
        <f>IFERROR(__xludf.DUMMYFUNCTION("""COMPUTED_VALUE"""),5371.0)</f>
        <v>5371</v>
      </c>
      <c r="B84" s="228" t="str">
        <f>IFERROR(__xludf.DUMMYFUNCTION("""COMPUTED_VALUE"""),"Mahmoud Nasim Abouelmaati Mohamed Abouelenin")</f>
        <v>Mahmoud Nasim Abouelmaati Mohamed Abouelenin</v>
      </c>
      <c r="C84" s="228" t="str">
        <f>IFERROR(__xludf.DUMMYFUNCTION("""COMPUTED_VALUE"""),"mnessim0@gmail.com")</f>
        <v>mnessim0@gmail.com</v>
      </c>
      <c r="D84" s="228" t="str">
        <f>IFERROR(__xludf.DUMMYFUNCTION("""COMPUTED_VALUE"""),"mahmoud.nessim@vyro.ai")</f>
        <v>mahmoud.nessim@vyro.ai</v>
      </c>
      <c r="E84" s="728">
        <f>IFERROR(__xludf.DUMMYFUNCTION("""COMPUTED_VALUE"""),45691.0)</f>
        <v>45691</v>
      </c>
      <c r="F84" s="228" t="str">
        <f>IFERROR(__xludf.DUMMYFUNCTION("""COMPUTED_VALUE"""),"SEO Consultant")</f>
        <v>SEO Consultant</v>
      </c>
      <c r="G84" s="228" t="str">
        <f>IFERROR(__xludf.DUMMYFUNCTION("""COMPUTED_VALUE"""),"SEO")</f>
        <v>SEO</v>
      </c>
      <c r="H84" s="228" t="str">
        <f>IFERROR(__xludf.DUMMYFUNCTION("""COMPUTED_VALUE"""),"Zain")</f>
        <v>Zain</v>
      </c>
      <c r="I84" s="228" t="str">
        <f>IFERROR(__xludf.DUMMYFUNCTION("""COMPUTED_VALUE"""),"NA")</f>
        <v>NA</v>
      </c>
      <c r="J84" s="228" t="str">
        <f>IFERROR(__xludf.DUMMYFUNCTION("""COMPUTED_VALUE"""),"NA")</f>
        <v>NA</v>
      </c>
      <c r="K84" s="228" t="str">
        <f>IFERROR(__xludf.DUMMYFUNCTION("""COMPUTED_VALUE"""),"NA")</f>
        <v>NA</v>
      </c>
      <c r="L84" s="228"/>
      <c r="M84" s="228"/>
      <c r="N84" s="228"/>
      <c r="O84" s="228"/>
      <c r="P84" s="228"/>
      <c r="Q84" s="228"/>
      <c r="R84" s="228"/>
      <c r="S84" s="228" t="str">
        <f>IFERROR(__xludf.DUMMYFUNCTION("""COMPUTED_VALUE"""),"Emirates NBD        
MAHMOUD NASIM ABOUELMAATI MOHAMED ABOUELENIN        
AE920260000315851412901        
EBILAEAD                                                                                                                                             "&amp;"                                                                                                                 Barsha Heights (Tecom), Dubai, United Arab Emirates                                                                                           "&amp;"                                                                                   ")</f>
        <v>Emirates NBD        
MAHMOUD NASIM ABOUELMAATI MOHAMED ABOUELENIN        
AE920260000315851412901        
EBILAEAD                                                                                                                                                                                                                                                              Barsha Heights (Tecom), Dubai, United Arab Emirates                                                                                                                                                                              </v>
      </c>
      <c r="T84" s="228"/>
      <c r="U84" s="228"/>
      <c r="V84" s="228"/>
      <c r="W84" s="228"/>
      <c r="X84" s="228"/>
      <c r="Y84" s="228"/>
      <c r="Z84" s="228" t="str">
        <f>IFERROR(__xludf.DUMMYFUNCTION("""COMPUTED_VALUE"""),"-")</f>
        <v>-</v>
      </c>
      <c r="AA84" s="228"/>
      <c r="AB84" s="228"/>
      <c r="AC84" s="228"/>
      <c r="AD84" s="228"/>
      <c r="AE84" s="228"/>
      <c r="AF84" s="228"/>
      <c r="AG84" s="228"/>
      <c r="AH84" s="228"/>
      <c r="AI84" s="228"/>
      <c r="AJ84" s="228"/>
      <c r="AK84" s="731" t="str">
        <f>IFERROR(__xludf.DUMMYFUNCTION("""COMPUTED_VALUE"""),"https://www.linkedin.com/in/mahmoud-nessim-al-amir-seo/")</f>
        <v>https://www.linkedin.com/in/mahmoud-nessim-al-amir-seo/</v>
      </c>
      <c r="AL84" s="228"/>
      <c r="AM84" s="228"/>
      <c r="AN84" s="228"/>
      <c r="AO84" s="228"/>
      <c r="AP84" s="228" t="str">
        <f>IFERROR(__xludf.DUMMYFUNCTION("""COMPUTED_VALUE"""),"NO")</f>
        <v>NO</v>
      </c>
      <c r="AQ84" s="228" t="str">
        <f>IFERROR(__xludf.DUMMYFUNCTION("""COMPUTED_VALUE"""),"Active")</f>
        <v>Active</v>
      </c>
    </row>
    <row r="85">
      <c r="A85" s="228">
        <f>IFERROR(__xludf.DUMMYFUNCTION("""COMPUTED_VALUE"""),5374.0)</f>
        <v>5374</v>
      </c>
      <c r="B85" s="228" t="str">
        <f>IFERROR(__xludf.DUMMYFUNCTION("""COMPUTED_VALUE"""),"Maha Manzoor")</f>
        <v>Maha Manzoor</v>
      </c>
      <c r="C85" s="228" t="str">
        <f>IFERROR(__xludf.DUMMYFUNCTION("""COMPUTED_VALUE"""),"iammaha98@gmail.com")</f>
        <v>iammaha98@gmail.com</v>
      </c>
      <c r="D85" s="228" t="str">
        <f>IFERROR(__xludf.DUMMYFUNCTION("""COMPUTED_VALUE"""),"maha.manzoor@vyro.ai")</f>
        <v>maha.manzoor@vyro.ai</v>
      </c>
      <c r="E85" s="728">
        <f>IFERROR(__xludf.DUMMYFUNCTION("""COMPUTED_VALUE"""),45698.0)</f>
        <v>45698</v>
      </c>
      <c r="F85" s="228" t="str">
        <f>IFERROR(__xludf.DUMMYFUNCTION("""COMPUTED_VALUE"""),"Content Strategy Executive")</f>
        <v>Content Strategy Executive</v>
      </c>
      <c r="G85" s="228" t="str">
        <f>IFERROR(__xludf.DUMMYFUNCTION("""COMPUTED_VALUE"""),"Social Media/ Youtube")</f>
        <v>Social Media/ Youtube</v>
      </c>
      <c r="H85" s="228" t="str">
        <f>IFERROR(__xludf.DUMMYFUNCTION("""COMPUTED_VALUE"""),"Zain")</f>
        <v>Zain</v>
      </c>
      <c r="I85" s="228" t="str">
        <f>IFERROR(__xludf.DUMMYFUNCTION("""COMPUTED_VALUE"""),"Probation")</f>
        <v>Probation</v>
      </c>
      <c r="J85" s="228" t="str">
        <f>IFERROR(__xludf.DUMMYFUNCTION("""COMPUTED_VALUE"""),"Active")</f>
        <v>Active</v>
      </c>
      <c r="K85" s="228" t="str">
        <f>IFERROR(__xludf.DUMMYFUNCTION("""COMPUTED_VALUE"""),"3M")</f>
        <v>3M</v>
      </c>
      <c r="L85" s="729">
        <f>IFERROR(__xludf.DUMMYFUNCTION("""COMPUTED_VALUE"""),45787.0)</f>
        <v>45787</v>
      </c>
      <c r="M85" s="228"/>
      <c r="N85" s="228"/>
      <c r="O85" s="228"/>
      <c r="P85" s="228" t="str">
        <f>IFERROR(__xludf.DUMMYFUNCTION("""COMPUTED_VALUE"""),"03340971275")</f>
        <v>03340971275</v>
      </c>
      <c r="Q85" s="228" t="str">
        <f>IFERROR(__xludf.DUMMYFUNCTION("""COMPUTED_VALUE"""),"37405-9097995-4")</f>
        <v>37405-9097995-4</v>
      </c>
      <c r="R85" s="228" t="str">
        <f>IFERROR(__xludf.DUMMYFUNCTION("""COMPUTED_VALUE"""),"Female")</f>
        <v>Female</v>
      </c>
      <c r="S85" s="228" t="str">
        <f>IFERROR(__xludf.DUMMYFUNCTION("""COMPUTED_VALUE"""),"JS Bank")</f>
        <v>JS Bank</v>
      </c>
      <c r="T85" s="228" t="str">
        <f>IFERROR(__xludf.DUMMYFUNCTION("""COMPUTED_VALUE"""),"Maha Manzoor")</f>
        <v>Maha Manzoor</v>
      </c>
      <c r="U85" s="228" t="str">
        <f>IFERROR(__xludf.DUMMYFUNCTION("""COMPUTED_VALUE"""),"PK92JSBL9517000002041178")</f>
        <v>PK92JSBL9517000002041178</v>
      </c>
      <c r="V85" s="228" t="str">
        <f>IFERROR(__xludf.DUMMYFUNCTION("""COMPUTED_VALUE"""),"JSBLPKKA")</f>
        <v>JSBLPKKA</v>
      </c>
      <c r="W85" s="228"/>
      <c r="X85" s="228" t="str">
        <f>IFERROR(__xludf.DUMMYFUNCTION("""COMPUTED_VALUE"""),"Islamabad")</f>
        <v>Islamabad</v>
      </c>
      <c r="Y85" s="730">
        <f>IFERROR(__xludf.DUMMYFUNCTION("""COMPUTED_VALUE"""),36474.0)</f>
        <v>36474</v>
      </c>
      <c r="Z85" s="228" t="str">
        <f>IFERROR(__xludf.DUMMYFUNCTION("""COMPUTED_VALUE"""),"25 Years")</f>
        <v>25 Years</v>
      </c>
      <c r="AA85" s="228" t="str">
        <f>IFERROR(__xludf.DUMMYFUNCTION("""COMPUTED_VALUE"""),"House No 640/A, Street No 4, Ibrahim Nagar, City Saddar Road, Rawalpindi")</f>
        <v>House No 640/A, Street No 4, Ibrahim Nagar, City Saddar Road, Rawalpindi</v>
      </c>
      <c r="AB85" s="228" t="str">
        <f>IFERROR(__xludf.DUMMYFUNCTION("""COMPUTED_VALUE"""),"Pakistani")</f>
        <v>Pakistani</v>
      </c>
      <c r="AC85" s="228" t="str">
        <f>IFERROR(__xludf.DUMMYFUNCTION("""COMPUTED_VALUE"""),"Single")</f>
        <v>Single</v>
      </c>
      <c r="AD85" s="228"/>
      <c r="AE85" s="228"/>
      <c r="AF85" s="228"/>
      <c r="AG85" s="228" t="str">
        <f>IFERROR(__xludf.DUMMYFUNCTION("""COMPUTED_VALUE"""),"Taimoor Ahmed")</f>
        <v>Taimoor Ahmed</v>
      </c>
      <c r="AH85" s="228" t="str">
        <f>IFERROR(__xludf.DUMMYFUNCTION("""COMPUTED_VALUE"""),"Brother")</f>
        <v>Brother</v>
      </c>
      <c r="AI85" s="228"/>
      <c r="AJ85" s="228" t="str">
        <f>IFERROR(__xludf.DUMMYFUNCTION("""COMPUTED_VALUE"""),"AB+")</f>
        <v>AB+</v>
      </c>
      <c r="AK85" s="731" t="str">
        <f>IFERROR(__xludf.DUMMYFUNCTION("""COMPUTED_VALUE"""),"https://www.linkedin.com/in/maha-manzoor/")</f>
        <v>https://www.linkedin.com/in/maha-manzoor/</v>
      </c>
      <c r="AL85" s="228"/>
      <c r="AM85" s="228"/>
      <c r="AN85" s="228"/>
      <c r="AO85" s="228"/>
      <c r="AP85" s="228" t="str">
        <f>IFERROR(__xludf.DUMMYFUNCTION("""COMPUTED_VALUE"""),"NO")</f>
        <v>NO</v>
      </c>
      <c r="AQ85" s="228" t="str">
        <f>IFERROR(__xludf.DUMMYFUNCTION("""COMPUTED_VALUE"""),"Active")</f>
        <v>Active</v>
      </c>
    </row>
    <row r="86">
      <c r="A86" s="228">
        <f>IFERROR(__xludf.DUMMYFUNCTION("""COMPUTED_VALUE"""),5375.0)</f>
        <v>5375</v>
      </c>
      <c r="B86" s="228" t="str">
        <f>IFERROR(__xludf.DUMMYFUNCTION("""COMPUTED_VALUE"""),"Maheen Shahid")</f>
        <v>Maheen Shahid</v>
      </c>
      <c r="C86" s="228" t="str">
        <f>IFERROR(__xludf.DUMMYFUNCTION("""COMPUTED_VALUE"""),"khanmaheen0007@gmail.com")</f>
        <v>khanmaheen0007@gmail.com</v>
      </c>
      <c r="D86" s="228" t="str">
        <f>IFERROR(__xludf.DUMMYFUNCTION("""COMPUTED_VALUE"""),"maheen.shahid@vyro.ai")</f>
        <v>maheen.shahid@vyro.ai</v>
      </c>
      <c r="E86" s="728">
        <f>IFERROR(__xludf.DUMMYFUNCTION("""COMPUTED_VALUE"""),45698.0)</f>
        <v>45698</v>
      </c>
      <c r="F86" s="228" t="str">
        <f>IFERROR(__xludf.DUMMYFUNCTION("""COMPUTED_VALUE"""),"Social Partnerships Associate")</f>
        <v>Social Partnerships Associate</v>
      </c>
      <c r="G86" s="228" t="str">
        <f>IFERROR(__xludf.DUMMYFUNCTION("""COMPUTED_VALUE"""),"Social Media &amp; Community Growth")</f>
        <v>Social Media &amp; Community Growth</v>
      </c>
      <c r="H86" s="228" t="str">
        <f>IFERROR(__xludf.DUMMYFUNCTION("""COMPUTED_VALUE"""),"Shawal Fida")</f>
        <v>Shawal Fida</v>
      </c>
      <c r="I86" s="228" t="str">
        <f>IFERROR(__xludf.DUMMYFUNCTION("""COMPUTED_VALUE"""),"Probation")</f>
        <v>Probation</v>
      </c>
      <c r="J86" s="228" t="str">
        <f>IFERROR(__xludf.DUMMYFUNCTION("""COMPUTED_VALUE"""),"Active")</f>
        <v>Active</v>
      </c>
      <c r="K86" s="228" t="str">
        <f>IFERROR(__xludf.DUMMYFUNCTION("""COMPUTED_VALUE"""),"3M")</f>
        <v>3M</v>
      </c>
      <c r="L86" s="729">
        <f>IFERROR(__xludf.DUMMYFUNCTION("""COMPUTED_VALUE"""),45787.0)</f>
        <v>45787</v>
      </c>
      <c r="M86" s="228"/>
      <c r="N86" s="228"/>
      <c r="O86" s="228"/>
      <c r="P86" s="228" t="str">
        <f>IFERROR(__xludf.DUMMYFUNCTION("""COMPUTED_VALUE"""),"03329061443")</f>
        <v>03329061443</v>
      </c>
      <c r="Q86" s="228" t="str">
        <f>IFERROR(__xludf.DUMMYFUNCTION("""COMPUTED_VALUE"""),"61101-3565538-2")</f>
        <v>61101-3565538-2</v>
      </c>
      <c r="R86" s="228" t="str">
        <f>IFERROR(__xludf.DUMMYFUNCTION("""COMPUTED_VALUE"""),"Female")</f>
        <v>Female</v>
      </c>
      <c r="S86" s="228" t="str">
        <f>IFERROR(__xludf.DUMMYFUNCTION("""COMPUTED_VALUE"""),"HBL")</f>
        <v>HBL</v>
      </c>
      <c r="T86" s="228" t="str">
        <f>IFERROR(__xludf.DUMMYFUNCTION("""COMPUTED_VALUE"""),"Maheen Shahid")</f>
        <v>Maheen Shahid</v>
      </c>
      <c r="U86" s="228" t="str">
        <f>IFERROR(__xludf.DUMMYFUNCTION("""COMPUTED_VALUE"""),"PK32HABB0022737981383499")</f>
        <v>PK32HABB0022737981383499</v>
      </c>
      <c r="V86" s="228" t="str">
        <f>IFERROR(__xludf.DUMMYFUNCTION("""COMPUTED_VALUE"""),"HABBPKKATRY")</f>
        <v>HABBPKKATRY</v>
      </c>
      <c r="W86" s="228"/>
      <c r="X86" s="228" t="str">
        <f>IFERROR(__xludf.DUMMYFUNCTION("""COMPUTED_VALUE"""),"Islamabad")</f>
        <v>Islamabad</v>
      </c>
      <c r="Y86" s="730">
        <f>IFERROR(__xludf.DUMMYFUNCTION("""COMPUTED_VALUE"""),36811.0)</f>
        <v>36811</v>
      </c>
      <c r="Z86" s="228" t="str">
        <f>IFERROR(__xludf.DUMMYFUNCTION("""COMPUTED_VALUE"""),"24 Years")</f>
        <v>24 Years</v>
      </c>
      <c r="AA86" s="228" t="str">
        <f>IFERROR(__xludf.DUMMYFUNCTION("""COMPUTED_VALUE"""),"House: 200, Street: 52, G-10/3, Islamabad")</f>
        <v>House: 200, Street: 52, G-10/3, Islamabad</v>
      </c>
      <c r="AB86" s="228" t="str">
        <f>IFERROR(__xludf.DUMMYFUNCTION("""COMPUTED_VALUE"""),"Pakistani")</f>
        <v>Pakistani</v>
      </c>
      <c r="AC86" s="228" t="str">
        <f>IFERROR(__xludf.DUMMYFUNCTION("""COMPUTED_VALUE"""),"Single")</f>
        <v>Single</v>
      </c>
      <c r="AD86" s="228"/>
      <c r="AE86" s="228"/>
      <c r="AF86" s="228"/>
      <c r="AG86" s="228" t="str">
        <f>IFERROR(__xludf.DUMMYFUNCTION("""COMPUTED_VALUE"""),"Shahid Iqbal")</f>
        <v>Shahid Iqbal</v>
      </c>
      <c r="AH86" s="228" t="str">
        <f>IFERROR(__xludf.DUMMYFUNCTION("""COMPUTED_VALUE"""),"Mother")</f>
        <v>Mother</v>
      </c>
      <c r="AI86" s="228"/>
      <c r="AJ86" s="228" t="str">
        <f>IFERROR(__xludf.DUMMYFUNCTION("""COMPUTED_VALUE"""),"B+")</f>
        <v>B+</v>
      </c>
      <c r="AK86" s="731" t="str">
        <f>IFERROR(__xludf.DUMMYFUNCTION("""COMPUTED_VALUE"""),"https://www.linkedin.com/in/maheenshahidkhan/")</f>
        <v>https://www.linkedin.com/in/maheenshahidkhan/</v>
      </c>
      <c r="AL86" s="228"/>
      <c r="AM86" s="228"/>
      <c r="AN86" s="228"/>
      <c r="AO86" s="228"/>
      <c r="AP86" s="228" t="str">
        <f>IFERROR(__xludf.DUMMYFUNCTION("""COMPUTED_VALUE"""),"NO")</f>
        <v>NO</v>
      </c>
      <c r="AQ86" s="228" t="str">
        <f>IFERROR(__xludf.DUMMYFUNCTION("""COMPUTED_VALUE"""),"Active")</f>
        <v>Active</v>
      </c>
    </row>
    <row r="87">
      <c r="A87" s="228">
        <f>IFERROR(__xludf.DUMMYFUNCTION("""COMPUTED_VALUE"""),5377.0)</f>
        <v>5377</v>
      </c>
      <c r="B87" s="228" t="str">
        <f>IFERROR(__xludf.DUMMYFUNCTION("""COMPUTED_VALUE"""),"Muhammad Noman Shahid")</f>
        <v>Muhammad Noman Shahid</v>
      </c>
      <c r="C87" s="228" t="str">
        <f>IFERROR(__xludf.DUMMYFUNCTION("""COMPUTED_VALUE"""),"nomanshahid265@gmail.com")</f>
        <v>nomanshahid265@gmail.com</v>
      </c>
      <c r="D87" s="228" t="str">
        <f>IFERROR(__xludf.DUMMYFUNCTION("""COMPUTED_VALUE"""),"noman.shahid@vyro.ai")</f>
        <v>noman.shahid@vyro.ai</v>
      </c>
      <c r="E87" s="728">
        <f>IFERROR(__xludf.DUMMYFUNCTION("""COMPUTED_VALUE"""),45705.0)</f>
        <v>45705</v>
      </c>
      <c r="F87" s="228" t="str">
        <f>IFERROR(__xludf.DUMMYFUNCTION("""COMPUTED_VALUE"""),"Machine Learning Engineer.")</f>
        <v>Machine Learning Engineer.</v>
      </c>
      <c r="G87" s="228" t="str">
        <f>IFERROR(__xludf.DUMMYFUNCTION("""COMPUTED_VALUE"""),"Machine Learning")</f>
        <v>Machine Learning</v>
      </c>
      <c r="H87" s="228" t="str">
        <f>IFERROR(__xludf.DUMMYFUNCTION("""COMPUTED_VALUE"""),"Awais Chaudhry")</f>
        <v>Awais Chaudhry</v>
      </c>
      <c r="I87" s="228" t="str">
        <f>IFERROR(__xludf.DUMMYFUNCTION("""COMPUTED_VALUE"""),"Probation")</f>
        <v>Probation</v>
      </c>
      <c r="J87" s="228" t="str">
        <f>IFERROR(__xludf.DUMMYFUNCTION("""COMPUTED_VALUE"""),"Active")</f>
        <v>Active</v>
      </c>
      <c r="K87" s="228" t="str">
        <f>IFERROR(__xludf.DUMMYFUNCTION("""COMPUTED_VALUE"""),"3M")</f>
        <v>3M</v>
      </c>
      <c r="L87" s="729">
        <f>IFERROR(__xludf.DUMMYFUNCTION("""COMPUTED_VALUE"""),45794.0)</f>
        <v>45794</v>
      </c>
      <c r="M87" s="228"/>
      <c r="N87" s="228"/>
      <c r="O87" s="228"/>
      <c r="P87" s="228" t="str">
        <f>IFERROR(__xludf.DUMMYFUNCTION("""COMPUTED_VALUE"""),"3000206265")</f>
        <v>3000206265</v>
      </c>
      <c r="Q87" s="228" t="str">
        <f>IFERROR(__xludf.DUMMYFUNCTION("""COMPUTED_VALUE"""),"36601-8709082-3")</f>
        <v>36601-8709082-3</v>
      </c>
      <c r="R87" s="228" t="str">
        <f>IFERROR(__xludf.DUMMYFUNCTION("""COMPUTED_VALUE"""),"Male")</f>
        <v>Male</v>
      </c>
      <c r="S87" s="228" t="str">
        <f>IFERROR(__xludf.DUMMYFUNCTION("""COMPUTED_VALUE"""),"Standard Chartered")</f>
        <v>Standard Chartered</v>
      </c>
      <c r="T87" s="228" t="str">
        <f>IFERROR(__xludf.DUMMYFUNCTION("""COMPUTED_VALUE"""),"MUHAMMAD NOMAN SHAHID")</f>
        <v>MUHAMMAD NOMAN SHAHID</v>
      </c>
      <c r="U87" s="228" t="str">
        <f>IFERROR(__xludf.DUMMYFUNCTION("""COMPUTED_VALUE"""),"PK34SCBL0000001030334701")</f>
        <v>PK34SCBL0000001030334701</v>
      </c>
      <c r="V87" s="228" t="str">
        <f>IFERROR(__xludf.DUMMYFUNCTION("""COMPUTED_VALUE"""),"SCBLPKKX")</f>
        <v>SCBLPKKX</v>
      </c>
      <c r="W87" s="228"/>
      <c r="X87" s="228" t="str">
        <f>IFERROR(__xludf.DUMMYFUNCTION("""COMPUTED_VALUE"""),"Islamabad")</f>
        <v>Islamabad</v>
      </c>
      <c r="Y87" s="730">
        <f>IFERROR(__xludf.DUMMYFUNCTION("""COMPUTED_VALUE"""),37028.0)</f>
        <v>37028</v>
      </c>
      <c r="Z87" s="228" t="str">
        <f>IFERROR(__xludf.DUMMYFUNCTION("""COMPUTED_VALUE"""),"23 Years")</f>
        <v>23 Years</v>
      </c>
      <c r="AA87" s="228" t="str">
        <f>IFERROR(__xludf.DUMMYFUNCTION("""COMPUTED_VALUE"""),"Post Office Khas, Chak No. 265 E.B, Burewala, District Vehari")</f>
        <v>Post Office Khas, Chak No. 265 E.B, Burewala, District Vehari</v>
      </c>
      <c r="AB87" s="228" t="str">
        <f>IFERROR(__xludf.DUMMYFUNCTION("""COMPUTED_VALUE"""),"Pakistani")</f>
        <v>Pakistani</v>
      </c>
      <c r="AC87" s="228" t="str">
        <f>IFERROR(__xludf.DUMMYFUNCTION("""COMPUTED_VALUE"""),"Single")</f>
        <v>Single</v>
      </c>
      <c r="AD87" s="228"/>
      <c r="AE87" s="228"/>
      <c r="AF87" s="228"/>
      <c r="AG87" s="228" t="str">
        <f>IFERROR(__xludf.DUMMYFUNCTION("""COMPUTED_VALUE"""),"Manzoor Ahmed")</f>
        <v>Manzoor Ahmed</v>
      </c>
      <c r="AH87" s="228" t="str">
        <f>IFERROR(__xludf.DUMMYFUNCTION("""COMPUTED_VALUE"""),"Father")</f>
        <v>Father</v>
      </c>
      <c r="AI87" s="228"/>
      <c r="AJ87" s="228" t="str">
        <f>IFERROR(__xludf.DUMMYFUNCTION("""COMPUTED_VALUE"""),"B+")</f>
        <v>B+</v>
      </c>
      <c r="AK87" s="731" t="str">
        <f>IFERROR(__xludf.DUMMYFUNCTION("""COMPUTED_VALUE"""),"https://www.linkedin.com/in/muhammad-noman-shahid/")</f>
        <v>https://www.linkedin.com/in/muhammad-noman-shahid/</v>
      </c>
      <c r="AL87" s="228"/>
      <c r="AM87" s="228"/>
      <c r="AN87" s="228"/>
      <c r="AO87" s="228"/>
      <c r="AP87" s="228" t="str">
        <f>IFERROR(__xludf.DUMMYFUNCTION("""COMPUTED_VALUE"""),"NO")</f>
        <v>NO</v>
      </c>
      <c r="AQ87" s="228" t="str">
        <f>IFERROR(__xludf.DUMMYFUNCTION("""COMPUTED_VALUE"""),"Active")</f>
        <v>Active</v>
      </c>
    </row>
    <row r="88">
      <c r="A88" s="228">
        <f>IFERROR(__xludf.DUMMYFUNCTION("""COMPUTED_VALUE"""),5376.0)</f>
        <v>5376</v>
      </c>
      <c r="B88" s="228" t="str">
        <f>IFERROR(__xludf.DUMMYFUNCTION("""COMPUTED_VALUE"""),"Muhammad Usama")</f>
        <v>Muhammad Usama</v>
      </c>
      <c r="C88" s="228" t="str">
        <f>IFERROR(__xludf.DUMMYFUNCTION("""COMPUTED_VALUE"""),"muhammad.usamaaa@gmail.com")</f>
        <v>muhammad.usamaaa@gmail.com</v>
      </c>
      <c r="D88" s="228" t="str">
        <f>IFERROR(__xludf.DUMMYFUNCTION("""COMPUTED_VALUE"""),"muhammad.usama@vyro.ai")</f>
        <v>muhammad.usama@vyro.ai</v>
      </c>
      <c r="E88" s="728">
        <f>IFERROR(__xludf.DUMMYFUNCTION("""COMPUTED_VALUE"""),45705.0)</f>
        <v>45705</v>
      </c>
      <c r="F88" s="228" t="str">
        <f>IFERROR(__xludf.DUMMYFUNCTION("""COMPUTED_VALUE"""),"Product Manager Associate")</f>
        <v>Product Manager Associate</v>
      </c>
      <c r="G88" s="228" t="str">
        <f>IFERROR(__xludf.DUMMYFUNCTION("""COMPUTED_VALUE"""),"Product")</f>
        <v>Product</v>
      </c>
      <c r="H88" s="228" t="str">
        <f>IFERROR(__xludf.DUMMYFUNCTION("""COMPUTED_VALUE"""),"Abdullah Rafique")</f>
        <v>Abdullah Rafique</v>
      </c>
      <c r="I88" s="228" t="str">
        <f>IFERROR(__xludf.DUMMYFUNCTION("""COMPUTED_VALUE"""),"Probation")</f>
        <v>Probation</v>
      </c>
      <c r="J88" s="228" t="str">
        <f>IFERROR(__xludf.DUMMYFUNCTION("""COMPUTED_VALUE"""),"Active")</f>
        <v>Active</v>
      </c>
      <c r="K88" s="228" t="str">
        <f>IFERROR(__xludf.DUMMYFUNCTION("""COMPUTED_VALUE"""),"3M")</f>
        <v>3M</v>
      </c>
      <c r="L88" s="729">
        <f>IFERROR(__xludf.DUMMYFUNCTION("""COMPUTED_VALUE"""),45794.0)</f>
        <v>45794</v>
      </c>
      <c r="M88" s="228"/>
      <c r="N88" s="228"/>
      <c r="O88" s="228"/>
      <c r="P88" s="228" t="str">
        <f>IFERROR(__xludf.DUMMYFUNCTION("""COMPUTED_VALUE"""),"03365509058")</f>
        <v>03365509058</v>
      </c>
      <c r="Q88" s="228" t="str">
        <f>IFERROR(__xludf.DUMMYFUNCTION("""COMPUTED_VALUE"""),"37405-7801373-9")</f>
        <v>37405-7801373-9</v>
      </c>
      <c r="R88" s="228" t="str">
        <f>IFERROR(__xludf.DUMMYFUNCTION("""COMPUTED_VALUE"""),"Male")</f>
        <v>Male</v>
      </c>
      <c r="S88" s="228" t="str">
        <f>IFERROR(__xludf.DUMMYFUNCTION("""COMPUTED_VALUE"""),"Habib Bank Limited")</f>
        <v>Habib Bank Limited</v>
      </c>
      <c r="T88" s="228" t="str">
        <f>IFERROR(__xludf.DUMMYFUNCTION("""COMPUTED_VALUE"""),"Muhammad Usama")</f>
        <v>Muhammad Usama</v>
      </c>
      <c r="U88" s="228" t="str">
        <f>IFERROR(__xludf.DUMMYFUNCTION("""COMPUTED_VALUE"""),"PK62HABB0022927917398403")</f>
        <v>PK62HABB0022927917398403</v>
      </c>
      <c r="V88" s="228" t="str">
        <f>IFERROR(__xludf.DUMMYFUNCTION("""COMPUTED_VALUE"""),"HABBPKKA")</f>
        <v>HABBPKKA</v>
      </c>
      <c r="W88" s="228"/>
      <c r="X88" s="228" t="str">
        <f>IFERROR(__xludf.DUMMYFUNCTION("""COMPUTED_VALUE"""),"Islamabad")</f>
        <v>Islamabad</v>
      </c>
      <c r="Y88" s="730">
        <f>IFERROR(__xludf.DUMMYFUNCTION("""COMPUTED_VALUE"""),35714.0)</f>
        <v>35714</v>
      </c>
      <c r="Z88" s="228" t="str">
        <f>IFERROR(__xludf.DUMMYFUNCTION("""COMPUTED_VALUE"""),"27 Years")</f>
        <v>27 Years</v>
      </c>
      <c r="AA88" s="228" t="str">
        <f>IFERROR(__xludf.DUMMYFUNCTION("""COMPUTED_VALUE"""),"House 16 Street 32 G-9/1 Islamabad")</f>
        <v>House 16 Street 32 G-9/1 Islamabad</v>
      </c>
      <c r="AB88" s="228" t="str">
        <f>IFERROR(__xludf.DUMMYFUNCTION("""COMPUTED_VALUE"""),"Pakistani")</f>
        <v>Pakistani</v>
      </c>
      <c r="AC88" s="228" t="str">
        <f>IFERROR(__xludf.DUMMYFUNCTION("""COMPUTED_VALUE"""),"Married")</f>
        <v>Married</v>
      </c>
      <c r="AD88" s="228"/>
      <c r="AE88" s="228"/>
      <c r="AF88" s="228"/>
      <c r="AG88" s="228" t="str">
        <f>IFERROR(__xludf.DUMMYFUNCTION("""COMPUTED_VALUE"""),"Maj. Shahzad Ghafoor")</f>
        <v>Maj. Shahzad Ghafoor</v>
      </c>
      <c r="AH88" s="228" t="str">
        <f>IFERROR(__xludf.DUMMYFUNCTION("""COMPUTED_VALUE"""),"Father")</f>
        <v>Father</v>
      </c>
      <c r="AI88" s="228"/>
      <c r="AJ88" s="228" t="str">
        <f>IFERROR(__xludf.DUMMYFUNCTION("""COMPUTED_VALUE"""),"AB+")</f>
        <v>AB+</v>
      </c>
      <c r="AK88" s="731" t="str">
        <f>IFERROR(__xludf.DUMMYFUNCTION("""COMPUTED_VALUE"""),"https://www.linkedin.com/in/-muhammad-usama")</f>
        <v>https://www.linkedin.com/in/-muhammad-usama</v>
      </c>
      <c r="AL88" s="228"/>
      <c r="AM88" s="228"/>
      <c r="AN88" s="228"/>
      <c r="AO88" s="228"/>
      <c r="AP88" s="228" t="str">
        <f>IFERROR(__xludf.DUMMYFUNCTION("""COMPUTED_VALUE"""),"NO")</f>
        <v>NO</v>
      </c>
      <c r="AQ88" s="228" t="str">
        <f>IFERROR(__xludf.DUMMYFUNCTION("""COMPUTED_VALUE"""),"Active")</f>
        <v>Active</v>
      </c>
    </row>
    <row r="89">
      <c r="A89" s="228">
        <f>IFERROR(__xludf.DUMMYFUNCTION("""COMPUTED_VALUE"""),5381.0)</f>
        <v>5381</v>
      </c>
      <c r="B89" s="228" t="str">
        <f>IFERROR(__xludf.DUMMYFUNCTION("""COMPUTED_VALUE"""),"Muhammad Asad")</f>
        <v>Muhammad Asad</v>
      </c>
      <c r="C89" s="228" t="str">
        <f>IFERROR(__xludf.DUMMYFUNCTION("""COMPUTED_VALUE"""),"asadmalik901@gmail.com")</f>
        <v>asadmalik901@gmail.com</v>
      </c>
      <c r="D89" s="228" t="str">
        <f>IFERROR(__xludf.DUMMYFUNCTION("""COMPUTED_VALUE"""),"muhammad.asad@vyro.ai")</f>
        <v>muhammad.asad@vyro.ai</v>
      </c>
      <c r="E89" s="728">
        <f>IFERROR(__xludf.DUMMYFUNCTION("""COMPUTED_VALUE"""),45712.0)</f>
        <v>45712</v>
      </c>
      <c r="F89" s="228" t="str">
        <f>IFERROR(__xludf.DUMMYFUNCTION("""COMPUTED_VALUE"""),"AM Business Solutions")</f>
        <v>AM Business Solutions</v>
      </c>
      <c r="G89" s="228" t="str">
        <f>IFERROR(__xludf.DUMMYFUNCTION("""COMPUTED_VALUE"""),"Business Solutions")</f>
        <v>Business Solutions</v>
      </c>
      <c r="H89" s="228" t="str">
        <f>IFERROR(__xludf.DUMMYFUNCTION("""COMPUTED_VALUE"""),"Zakria Aamir")</f>
        <v>Zakria Aamir</v>
      </c>
      <c r="I89" s="228" t="str">
        <f>IFERROR(__xludf.DUMMYFUNCTION("""COMPUTED_VALUE"""),"Probation")</f>
        <v>Probation</v>
      </c>
      <c r="J89" s="228" t="str">
        <f>IFERROR(__xludf.DUMMYFUNCTION("""COMPUTED_VALUE"""),"Active")</f>
        <v>Active</v>
      </c>
      <c r="K89" s="228" t="str">
        <f>IFERROR(__xludf.DUMMYFUNCTION("""COMPUTED_VALUE"""),"3M")</f>
        <v>3M</v>
      </c>
      <c r="L89" s="729">
        <f>IFERROR(__xludf.DUMMYFUNCTION("""COMPUTED_VALUE"""),45801.0)</f>
        <v>45801</v>
      </c>
      <c r="M89" s="228"/>
      <c r="N89" s="228"/>
      <c r="O89" s="228"/>
      <c r="P89" s="228" t="str">
        <f>IFERROR(__xludf.DUMMYFUNCTION("""COMPUTED_VALUE"""),"3033377570")</f>
        <v>3033377570</v>
      </c>
      <c r="Q89" s="228" t="str">
        <f>IFERROR(__xludf.DUMMYFUNCTION("""COMPUTED_VALUE"""),"31202-5275039-5")</f>
        <v>31202-5275039-5</v>
      </c>
      <c r="R89" s="228" t="str">
        <f>IFERROR(__xludf.DUMMYFUNCTION("""COMPUTED_VALUE"""),"Male")</f>
        <v>Male</v>
      </c>
      <c r="S89" s="228" t="str">
        <f>IFERROR(__xludf.DUMMYFUNCTION("""COMPUTED_VALUE"""),"Bank Alfalah")</f>
        <v>Bank Alfalah</v>
      </c>
      <c r="T89" s="228" t="str">
        <f>IFERROR(__xludf.DUMMYFUNCTION("""COMPUTED_VALUE"""),"MUHAMMAD ASAD")</f>
        <v>MUHAMMAD ASAD</v>
      </c>
      <c r="U89" s="228" t="str">
        <f>IFERROR(__xludf.DUMMYFUNCTION("""COMPUTED_VALUE"""),"PK12ALFH0006001007824565")</f>
        <v>PK12ALFH0006001007824565</v>
      </c>
      <c r="V89" s="228" t="str">
        <f>IFERROR(__xludf.DUMMYFUNCTION("""COMPUTED_VALUE"""),"ALFHPKKALDA")</f>
        <v>ALFHPKKALDA</v>
      </c>
      <c r="W89" s="228"/>
      <c r="X89" s="228" t="str">
        <f>IFERROR(__xludf.DUMMYFUNCTION("""COMPUTED_VALUE"""),"Islamabad")</f>
        <v>Islamabad</v>
      </c>
      <c r="Y89" s="730">
        <f>IFERROR(__xludf.DUMMYFUNCTION("""COMPUTED_VALUE"""),35599.0)</f>
        <v>35599</v>
      </c>
      <c r="Z89" s="228" t="str">
        <f>IFERROR(__xludf.DUMMYFUNCTION("""COMPUTED_VALUE"""),"27 Years")</f>
        <v>27 Years</v>
      </c>
      <c r="AA89" s="228" t="str">
        <f>IFERROR(__xludf.DUMMYFUNCTION("""COMPUTED_VALUE"""),"House No VII(408/121), Street No 01, Riaz Colony Bahawalpur.")</f>
        <v>House No VII(408/121), Street No 01, Riaz Colony Bahawalpur.</v>
      </c>
      <c r="AB89" s="228" t="str">
        <f>IFERROR(__xludf.DUMMYFUNCTION("""COMPUTED_VALUE"""),"Pakistani")</f>
        <v>Pakistani</v>
      </c>
      <c r="AC89" s="228" t="str">
        <f>IFERROR(__xludf.DUMMYFUNCTION("""COMPUTED_VALUE"""),"Single")</f>
        <v>Single</v>
      </c>
      <c r="AD89" s="228"/>
      <c r="AE89" s="228"/>
      <c r="AF89" s="228"/>
      <c r="AG89" s="228" t="str">
        <f>IFERROR(__xludf.DUMMYFUNCTION("""COMPUTED_VALUE"""),"Muhammad Afzal")</f>
        <v>Muhammad Afzal</v>
      </c>
      <c r="AH89" s="228" t="str">
        <f>IFERROR(__xludf.DUMMYFUNCTION("""COMPUTED_VALUE"""),"Father")</f>
        <v>Father</v>
      </c>
      <c r="AI89" s="228"/>
      <c r="AJ89" s="228" t="str">
        <f>IFERROR(__xludf.DUMMYFUNCTION("""COMPUTED_VALUE"""),"B+")</f>
        <v>B+</v>
      </c>
      <c r="AK89" s="731" t="str">
        <f>IFERROR(__xludf.DUMMYFUNCTION("""COMPUTED_VALUE"""),"https://www.linkedin.com/in/asadmalik901/")</f>
        <v>https://www.linkedin.com/in/asadmalik901/</v>
      </c>
      <c r="AL89" s="228" t="str">
        <f>IFERROR(__xludf.DUMMYFUNCTION("""COMPUTED_VALUE"""),"Annum Inam Tirmizi")</f>
        <v>Annum Inam Tirmizi</v>
      </c>
      <c r="AM89" s="228"/>
      <c r="AN89" s="228"/>
      <c r="AO89" s="228"/>
      <c r="AP89" s="228" t="str">
        <f>IFERROR(__xludf.DUMMYFUNCTION("""COMPUTED_VALUE"""),"NO")</f>
        <v>NO</v>
      </c>
      <c r="AQ89" s="228" t="str">
        <f>IFERROR(__xludf.DUMMYFUNCTION("""COMPUTED_VALUE"""),"Active")</f>
        <v>Active</v>
      </c>
    </row>
    <row r="90">
      <c r="A90" s="228">
        <f>IFERROR(__xludf.DUMMYFUNCTION("""COMPUTED_VALUE"""),5382.0)</f>
        <v>5382</v>
      </c>
      <c r="B90" s="228" t="str">
        <f>IFERROR(__xludf.DUMMYFUNCTION("""COMPUTED_VALUE"""),"Muzammil Mohammad")</f>
        <v>Muzammil Mohammad</v>
      </c>
      <c r="C90" s="228" t="str">
        <f>IFERROR(__xludf.DUMMYFUNCTION("""COMPUTED_VALUE"""),"muzammil.mohamma7@gmail.com")</f>
        <v>muzammil.mohamma7@gmail.com</v>
      </c>
      <c r="D90" s="228" t="str">
        <f>IFERROR(__xludf.DUMMYFUNCTION("""COMPUTED_VALUE"""),"muzammil.muhammad@vyro.ai")</f>
        <v>muzammil.muhammad@vyro.ai</v>
      </c>
      <c r="E90" s="728">
        <f>IFERROR(__xludf.DUMMYFUNCTION("""COMPUTED_VALUE"""),45712.0)</f>
        <v>45712</v>
      </c>
      <c r="F90" s="228" t="str">
        <f>IFERROR(__xludf.DUMMYFUNCTION("""COMPUTED_VALUE"""),"Sketch Artist")</f>
        <v>Sketch Artist</v>
      </c>
      <c r="G90" s="228" t="str">
        <f>IFERROR(__xludf.DUMMYFUNCTION("""COMPUTED_VALUE"""),"Product")</f>
        <v>Product</v>
      </c>
      <c r="H90" s="228" t="str">
        <f>IFERROR(__xludf.DUMMYFUNCTION("""COMPUTED_VALUE"""),"Khadija Umer")</f>
        <v>Khadija Umer</v>
      </c>
      <c r="I90" s="228" t="str">
        <f>IFERROR(__xludf.DUMMYFUNCTION("""COMPUTED_VALUE"""),"Probation")</f>
        <v>Probation</v>
      </c>
      <c r="J90" s="228" t="str">
        <f>IFERROR(__xludf.DUMMYFUNCTION("""COMPUTED_VALUE"""),"Active")</f>
        <v>Active</v>
      </c>
      <c r="K90" s="228" t="str">
        <f>IFERROR(__xludf.DUMMYFUNCTION("""COMPUTED_VALUE"""),"3M")</f>
        <v>3M</v>
      </c>
      <c r="L90" s="729">
        <f>IFERROR(__xludf.DUMMYFUNCTION("""COMPUTED_VALUE"""),45801.0)</f>
        <v>45801</v>
      </c>
      <c r="M90" s="228"/>
      <c r="N90" s="228"/>
      <c r="O90" s="228"/>
      <c r="P90" s="228" t="str">
        <f>IFERROR(__xludf.DUMMYFUNCTION("""COMPUTED_VALUE"""),"3135269757")</f>
        <v>3135269757</v>
      </c>
      <c r="Q90" s="228" t="str">
        <f>IFERROR(__xludf.DUMMYFUNCTION("""COMPUTED_VALUE"""),"61101-5724775-7")</f>
        <v>61101-5724775-7</v>
      </c>
      <c r="R90" s="228" t="str">
        <f>IFERROR(__xludf.DUMMYFUNCTION("""COMPUTED_VALUE"""),"Male")</f>
        <v>Male</v>
      </c>
      <c r="S90" s="228" t="str">
        <f>IFERROR(__xludf.DUMMYFUNCTION("""COMPUTED_VALUE"""),"HBL")</f>
        <v>HBL</v>
      </c>
      <c r="T90" s="228" t="str">
        <f>IFERROR(__xludf.DUMMYFUNCTION("""COMPUTED_VALUE"""),"Muzammil Mohammad")</f>
        <v>Muzammil Mohammad</v>
      </c>
      <c r="U90" s="228" t="str">
        <f>IFERROR(__xludf.DUMMYFUNCTION("""COMPUTED_VALUE"""),"PK76HABB0022927917302703")</f>
        <v>PK76HABB0022927917302703</v>
      </c>
      <c r="V90" s="228" t="str">
        <f>IFERROR(__xludf.DUMMYFUNCTION("""COMPUTED_VALUE"""),"HABBPKKA122")</f>
        <v>HABBPKKA122</v>
      </c>
      <c r="W90" s="228"/>
      <c r="X90" s="228" t="str">
        <f>IFERROR(__xludf.DUMMYFUNCTION("""COMPUTED_VALUE"""),"Islamabad")</f>
        <v>Islamabad</v>
      </c>
      <c r="Y90" s="730">
        <f>IFERROR(__xludf.DUMMYFUNCTION("""COMPUTED_VALUE"""),36594.0)</f>
        <v>36594</v>
      </c>
      <c r="Z90" s="228" t="str">
        <f>IFERROR(__xludf.DUMMYFUNCTION("""COMPUTED_VALUE"""),"25 Years")</f>
        <v>25 Years</v>
      </c>
      <c r="AA90" s="228" t="str">
        <f>IFERROR(__xludf.DUMMYFUNCTION("""COMPUTED_VALUE"""),"House #13/B Street # 2 Phase 2 Ghouri Town")</f>
        <v>House #13/B Street # 2 Phase 2 Ghouri Town</v>
      </c>
      <c r="AB90" s="228" t="str">
        <f>IFERROR(__xludf.DUMMYFUNCTION("""COMPUTED_VALUE"""),"Pakistani")</f>
        <v>Pakistani</v>
      </c>
      <c r="AC90" s="228" t="str">
        <f>IFERROR(__xludf.DUMMYFUNCTION("""COMPUTED_VALUE"""),"Single")</f>
        <v>Single</v>
      </c>
      <c r="AD90" s="228"/>
      <c r="AE90" s="228"/>
      <c r="AF90" s="228"/>
      <c r="AG90" s="228" t="str">
        <f>IFERROR(__xludf.DUMMYFUNCTION("""COMPUTED_VALUE"""),"Asher Mohammad")</f>
        <v>Asher Mohammad</v>
      </c>
      <c r="AH90" s="228" t="str">
        <f>IFERROR(__xludf.DUMMYFUNCTION("""COMPUTED_VALUE"""),"Father")</f>
        <v>Father</v>
      </c>
      <c r="AI90" s="228">
        <f>IFERROR(__xludf.DUMMYFUNCTION("""COMPUTED_VALUE"""),3.455113117E9)</f>
        <v>3455113117</v>
      </c>
      <c r="AJ90" s="228" t="str">
        <f>IFERROR(__xludf.DUMMYFUNCTION("""COMPUTED_VALUE"""),"O+")</f>
        <v>O+</v>
      </c>
      <c r="AK90" s="731" t="str">
        <f>IFERROR(__xludf.DUMMYFUNCTION("""COMPUTED_VALUE"""),"https://www.linkedin.com/in/muzammil-mohammad-id/")</f>
        <v>https://www.linkedin.com/in/muzammil-mohammad-id/</v>
      </c>
      <c r="AL90" s="228" t="str">
        <f>IFERROR(__xludf.DUMMYFUNCTION("""COMPUTED_VALUE"""),"Annum Tirmizi")</f>
        <v>Annum Tirmizi</v>
      </c>
      <c r="AM90" s="228"/>
      <c r="AN90" s="228"/>
      <c r="AO90" s="228"/>
      <c r="AP90" s="228" t="str">
        <f>IFERROR(__xludf.DUMMYFUNCTION("""COMPUTED_VALUE"""),"NO")</f>
        <v>NO</v>
      </c>
      <c r="AQ90" s="228" t="str">
        <f>IFERROR(__xludf.DUMMYFUNCTION("""COMPUTED_VALUE"""),"Active")</f>
        <v>Active</v>
      </c>
    </row>
    <row r="91">
      <c r="A91" s="228">
        <f>IFERROR(__xludf.DUMMYFUNCTION("""COMPUTED_VALUE"""),5380.0)</f>
        <v>5380</v>
      </c>
      <c r="B91" s="228" t="str">
        <f>IFERROR(__xludf.DUMMYFUNCTION("""COMPUTED_VALUE"""),"Saba Sohail")</f>
        <v>Saba Sohail</v>
      </c>
      <c r="C91" s="228" t="str">
        <f>IFERROR(__xludf.DUMMYFUNCTION("""COMPUTED_VALUE"""),"sabasohail.ss45@gmail.com")</f>
        <v>sabasohail.ss45@gmail.com</v>
      </c>
      <c r="D91" s="228" t="str">
        <f>IFERROR(__xludf.DUMMYFUNCTION("""COMPUTED_VALUE"""),"saba.sohail@vyro.ai")</f>
        <v>saba.sohail@vyro.ai</v>
      </c>
      <c r="E91" s="728">
        <f>IFERROR(__xludf.DUMMYFUNCTION("""COMPUTED_VALUE"""),45712.0)</f>
        <v>45712</v>
      </c>
      <c r="F91" s="228" t="str">
        <f>IFERROR(__xludf.DUMMYFUNCTION("""COMPUTED_VALUE"""),"SEO Content Strategist")</f>
        <v>SEO Content Strategist</v>
      </c>
      <c r="G91" s="228" t="str">
        <f>IFERROR(__xludf.DUMMYFUNCTION("""COMPUTED_VALUE"""),"SEO")</f>
        <v>SEO</v>
      </c>
      <c r="H91" s="228" t="str">
        <f>IFERROR(__xludf.DUMMYFUNCTION("""COMPUTED_VALUE"""),"Syed Osama")</f>
        <v>Syed Osama</v>
      </c>
      <c r="I91" s="228" t="str">
        <f>IFERROR(__xludf.DUMMYFUNCTION("""COMPUTED_VALUE"""),"Probation")</f>
        <v>Probation</v>
      </c>
      <c r="J91" s="228" t="str">
        <f>IFERROR(__xludf.DUMMYFUNCTION("""COMPUTED_VALUE"""),"Active")</f>
        <v>Active</v>
      </c>
      <c r="K91" s="228" t="str">
        <f>IFERROR(__xludf.DUMMYFUNCTION("""COMPUTED_VALUE"""),"3M")</f>
        <v>3M</v>
      </c>
      <c r="L91" s="729">
        <f>IFERROR(__xludf.DUMMYFUNCTION("""COMPUTED_VALUE"""),45801.0)</f>
        <v>45801</v>
      </c>
      <c r="M91" s="228"/>
      <c r="N91" s="228"/>
      <c r="O91" s="228"/>
      <c r="P91" s="228" t="str">
        <f>IFERROR(__xludf.DUMMYFUNCTION("""COMPUTED_VALUE"""),"3313118689")</f>
        <v>3313118689</v>
      </c>
      <c r="Q91" s="228" t="str">
        <f>IFERROR(__xludf.DUMMYFUNCTION("""COMPUTED_VALUE"""),"42201-4234340-0")</f>
        <v>42201-4234340-0</v>
      </c>
      <c r="R91" s="228" t="str">
        <f>IFERROR(__xludf.DUMMYFUNCTION("""COMPUTED_VALUE"""),"Female")</f>
        <v>Female</v>
      </c>
      <c r="S91" s="228" t="str">
        <f>IFERROR(__xludf.DUMMYFUNCTION("""COMPUTED_VALUE"""),"Standard Chartered")</f>
        <v>Standard Chartered</v>
      </c>
      <c r="T91" s="228" t="str">
        <f>IFERROR(__xludf.DUMMYFUNCTION("""COMPUTED_VALUE"""),"SABA")</f>
        <v>SABA</v>
      </c>
      <c r="U91" s="228" t="str">
        <f>IFERROR(__xludf.DUMMYFUNCTION("""COMPUTED_VALUE"""),"PK90SCBL0000001734210701")</f>
        <v>PK90SCBL0000001734210701</v>
      </c>
      <c r="V91" s="228" t="str">
        <f>IFERROR(__xludf.DUMMYFUNCTION("""COMPUTED_VALUE"""),"SCBLPKKX")</f>
        <v>SCBLPKKX</v>
      </c>
      <c r="W91" s="228"/>
      <c r="X91" s="228" t="str">
        <f>IFERROR(__xludf.DUMMYFUNCTION("""COMPUTED_VALUE"""),"remote")</f>
        <v>remote</v>
      </c>
      <c r="Y91" s="730">
        <f>IFERROR(__xludf.DUMMYFUNCTION("""COMPUTED_VALUE"""),34694.0)</f>
        <v>34694</v>
      </c>
      <c r="Z91" s="228" t="str">
        <f>IFERROR(__xludf.DUMMYFUNCTION("""COMPUTED_VALUE"""),"30 Years")</f>
        <v>30 Years</v>
      </c>
      <c r="AA91" s="228" t="str">
        <f>IFERROR(__xludf.DUMMYFUNCTION("""COMPUTED_VALUE"""),"A62, Lucky Center, Gulshan e Iqbal Block 3")</f>
        <v>A62, Lucky Center, Gulshan e Iqbal Block 3</v>
      </c>
      <c r="AB91" s="228" t="str">
        <f>IFERROR(__xludf.DUMMYFUNCTION("""COMPUTED_VALUE"""),"Pakistani")</f>
        <v>Pakistani</v>
      </c>
      <c r="AC91" s="228" t="str">
        <f>IFERROR(__xludf.DUMMYFUNCTION("""COMPUTED_VALUE"""),"Married")</f>
        <v>Married</v>
      </c>
      <c r="AD91" s="228"/>
      <c r="AE91" s="228"/>
      <c r="AF91" s="228"/>
      <c r="AG91" s="228" t="str">
        <f>IFERROR(__xludf.DUMMYFUNCTION("""COMPUTED_VALUE"""),"Muhammad Sohail")</f>
        <v>Muhammad Sohail</v>
      </c>
      <c r="AH91" s="228" t="str">
        <f>IFERROR(__xludf.DUMMYFUNCTION("""COMPUTED_VALUE"""),"Father - daughter")</f>
        <v>Father - daughter</v>
      </c>
      <c r="AI91" s="228"/>
      <c r="AJ91" s="228" t="str">
        <f>IFERROR(__xludf.DUMMYFUNCTION("""COMPUTED_VALUE"""),"A+")</f>
        <v>A+</v>
      </c>
      <c r="AK91" s="228"/>
      <c r="AL91" s="228"/>
      <c r="AM91" s="228"/>
      <c r="AN91" s="228"/>
      <c r="AO91" s="228"/>
      <c r="AP91" s="228" t="str">
        <f>IFERROR(__xludf.DUMMYFUNCTION("""COMPUTED_VALUE"""),"NO")</f>
        <v>NO</v>
      </c>
      <c r="AQ91" s="228" t="str">
        <f>IFERROR(__xludf.DUMMYFUNCTION("""COMPUTED_VALUE"""),"Active")</f>
        <v>Active</v>
      </c>
    </row>
    <row r="92">
      <c r="A92" s="228">
        <f>IFERROR(__xludf.DUMMYFUNCTION("""COMPUTED_VALUE"""),5379.0)</f>
        <v>5379</v>
      </c>
      <c r="B92" s="228" t="str">
        <f>IFERROR(__xludf.DUMMYFUNCTION("""COMPUTED_VALUE"""),"Umair Khalid")</f>
        <v>Umair Khalid</v>
      </c>
      <c r="C92" s="228" t="str">
        <f>IFERROR(__xludf.DUMMYFUNCTION("""COMPUTED_VALUE"""),"umairkhalidpersonal@gmail.com")</f>
        <v>umairkhalidpersonal@gmail.com</v>
      </c>
      <c r="D92" s="228" t="str">
        <f>IFERROR(__xludf.DUMMYFUNCTION("""COMPUTED_VALUE"""),"umair.khalid@vyro.ai")</f>
        <v>umair.khalid@vyro.ai</v>
      </c>
      <c r="E92" s="728">
        <f>IFERROR(__xludf.DUMMYFUNCTION("""COMPUTED_VALUE"""),45712.0)</f>
        <v>45712</v>
      </c>
      <c r="F92" s="228" t="str">
        <f>IFERROR(__xludf.DUMMYFUNCTION("""COMPUTED_VALUE"""),"SEO Executive")</f>
        <v>SEO Executive</v>
      </c>
      <c r="G92" s="228" t="str">
        <f>IFERROR(__xludf.DUMMYFUNCTION("""COMPUTED_VALUE"""),"SEO")</f>
        <v>SEO</v>
      </c>
      <c r="H92" s="228" t="str">
        <f>IFERROR(__xludf.DUMMYFUNCTION("""COMPUTED_VALUE"""),"Syed Osama")</f>
        <v>Syed Osama</v>
      </c>
      <c r="I92" s="228" t="str">
        <f>IFERROR(__xludf.DUMMYFUNCTION("""COMPUTED_VALUE"""),"Probation")</f>
        <v>Probation</v>
      </c>
      <c r="J92" s="228" t="str">
        <f>IFERROR(__xludf.DUMMYFUNCTION("""COMPUTED_VALUE"""),"Active")</f>
        <v>Active</v>
      </c>
      <c r="K92" s="228" t="str">
        <f>IFERROR(__xludf.DUMMYFUNCTION("""COMPUTED_VALUE"""),"3M")</f>
        <v>3M</v>
      </c>
      <c r="L92" s="729">
        <f>IFERROR(__xludf.DUMMYFUNCTION("""COMPUTED_VALUE"""),45801.0)</f>
        <v>45801</v>
      </c>
      <c r="M92" s="228"/>
      <c r="N92" s="228"/>
      <c r="O92" s="228"/>
      <c r="P92" s="228" t="str">
        <f>IFERROR(__xludf.DUMMYFUNCTION("""COMPUTED_VALUE"""),"3105404701")</f>
        <v>3105404701</v>
      </c>
      <c r="Q92" s="228" t="str">
        <f>IFERROR(__xludf.DUMMYFUNCTION("""COMPUTED_VALUE"""),"61101-4301476-1")</f>
        <v>61101-4301476-1</v>
      </c>
      <c r="R92" s="228" t="str">
        <f>IFERROR(__xludf.DUMMYFUNCTION("""COMPUTED_VALUE"""),"Male")</f>
        <v>Male</v>
      </c>
      <c r="S92" s="228" t="str">
        <f>IFERROR(__xludf.DUMMYFUNCTION("""COMPUTED_VALUE"""),"Meezan Bank")</f>
        <v>Meezan Bank</v>
      </c>
      <c r="T92" s="228" t="str">
        <f>IFERROR(__xludf.DUMMYFUNCTION("""COMPUTED_VALUE"""),"UMAIR KHALID")</f>
        <v>UMAIR KHALID</v>
      </c>
      <c r="U92" s="228" t="str">
        <f>IFERROR(__xludf.DUMMYFUNCTION("""COMPUTED_VALUE"""),"PK41MEZN0000300108876245")</f>
        <v>PK41MEZN0000300108876245</v>
      </c>
      <c r="V92" s="228" t="str">
        <f>IFERROR(__xludf.DUMMYFUNCTION("""COMPUTED_VALUE"""),"MEZNPKKA")</f>
        <v>MEZNPKKA</v>
      </c>
      <c r="W92" s="228"/>
      <c r="X92" s="228" t="str">
        <f>IFERROR(__xludf.DUMMYFUNCTION("""COMPUTED_VALUE"""),"Islamabad")</f>
        <v>Islamabad</v>
      </c>
      <c r="Y92" s="730">
        <f>IFERROR(__xludf.DUMMYFUNCTION("""COMPUTED_VALUE"""),36505.0)</f>
        <v>36505</v>
      </c>
      <c r="Z92" s="228" t="str">
        <f>IFERROR(__xludf.DUMMYFUNCTION("""COMPUTED_VALUE"""),"25 Years")</f>
        <v>25 Years</v>
      </c>
      <c r="AA92" s="228" t="str">
        <f>IFERROR(__xludf.DUMMYFUNCTION("""COMPUTED_VALUE"""),"flat#01, Block# 98-B, G-9/2")</f>
        <v>flat#01, Block# 98-B, G-9/2</v>
      </c>
      <c r="AB92" s="228" t="str">
        <f>IFERROR(__xludf.DUMMYFUNCTION("""COMPUTED_VALUE"""),"Pakistani")</f>
        <v>Pakistani</v>
      </c>
      <c r="AC92" s="228" t="str">
        <f>IFERROR(__xludf.DUMMYFUNCTION("""COMPUTED_VALUE"""),"Single")</f>
        <v>Single</v>
      </c>
      <c r="AD92" s="228"/>
      <c r="AE92" s="228"/>
      <c r="AF92" s="228"/>
      <c r="AG92" s="228" t="str">
        <f>IFERROR(__xludf.DUMMYFUNCTION("""COMPUTED_VALUE"""),"MUHAMMAD KHALID")</f>
        <v>MUHAMMAD KHALID</v>
      </c>
      <c r="AH92" s="228" t="str">
        <f>IFERROR(__xludf.DUMMYFUNCTION("""COMPUTED_VALUE"""),"He (Muhammad Khalid) is my father")</f>
        <v>He (Muhammad Khalid) is my father</v>
      </c>
      <c r="AI92" s="228"/>
      <c r="AJ92" s="228" t="str">
        <f>IFERROR(__xludf.DUMMYFUNCTION("""COMPUTED_VALUE"""),"B+")</f>
        <v>B+</v>
      </c>
      <c r="AK92" s="731" t="str">
        <f>IFERROR(__xludf.DUMMYFUNCTION("""COMPUTED_VALUE"""),"https://www.linkedin.com/in/umair-khalid-seo/")</f>
        <v>https://www.linkedin.com/in/umair-khalid-seo/</v>
      </c>
      <c r="AL92" s="228" t="str">
        <f>IFERROR(__xludf.DUMMYFUNCTION("""COMPUTED_VALUE"""),"Mustafa Shakil")</f>
        <v>Mustafa Shakil</v>
      </c>
      <c r="AM92" s="228"/>
      <c r="AN92" s="228"/>
      <c r="AO92" s="228"/>
      <c r="AP92" s="228" t="str">
        <f>IFERROR(__xludf.DUMMYFUNCTION("""COMPUTED_VALUE"""),"NO")</f>
        <v>NO</v>
      </c>
      <c r="AQ92" s="228" t="str">
        <f>IFERROR(__xludf.DUMMYFUNCTION("""COMPUTED_VALUE"""),"Active")</f>
        <v>Active</v>
      </c>
    </row>
    <row r="93">
      <c r="A93" s="228">
        <f>IFERROR(__xludf.DUMMYFUNCTION("""COMPUTED_VALUE"""),5384.0)</f>
        <v>5384</v>
      </c>
      <c r="B93" s="228" t="str">
        <f>IFERROR(__xludf.DUMMYFUNCTION("""COMPUTED_VALUE"""),"Hamza Bin Hassan")</f>
        <v>Hamza Bin Hassan</v>
      </c>
      <c r="C93" s="228" t="str">
        <f>IFERROR(__xludf.DUMMYFUNCTION("""COMPUTED_VALUE"""),"Hamzabinhassan02@gmail.com")</f>
        <v>Hamzabinhassan02@gmail.com</v>
      </c>
      <c r="D93" s="228" t="str">
        <f>IFERROR(__xludf.DUMMYFUNCTION("""COMPUTED_VALUE"""),"hamza.hassan@vyro.ai")</f>
        <v>hamza.hassan@vyro.ai</v>
      </c>
      <c r="E93" s="728">
        <f>IFERROR(__xludf.DUMMYFUNCTION("""COMPUTED_VALUE"""),45726.0)</f>
        <v>45726</v>
      </c>
      <c r="F93" s="228" t="str">
        <f>IFERROR(__xludf.DUMMYFUNCTION("""COMPUTED_VALUE"""),"Motion Graphics Designer")</f>
        <v>Motion Graphics Designer</v>
      </c>
      <c r="G93" s="228" t="str">
        <f>IFERROR(__xludf.DUMMYFUNCTION("""COMPUTED_VALUE"""),"Product Design")</f>
        <v>Product Design</v>
      </c>
      <c r="H93" s="228" t="str">
        <f>IFERROR(__xludf.DUMMYFUNCTION("""COMPUTED_VALUE"""),"Zain ul abedien,")</f>
        <v>Zain ul abedien,</v>
      </c>
      <c r="I93" s="228" t="str">
        <f>IFERROR(__xludf.DUMMYFUNCTION("""COMPUTED_VALUE"""),"Probation")</f>
        <v>Probation</v>
      </c>
      <c r="J93" s="228" t="str">
        <f>IFERROR(__xludf.DUMMYFUNCTION("""COMPUTED_VALUE"""),"Active")</f>
        <v>Active</v>
      </c>
      <c r="K93" s="228" t="str">
        <f>IFERROR(__xludf.DUMMYFUNCTION("""COMPUTED_VALUE"""),"3M")</f>
        <v>3M</v>
      </c>
      <c r="L93" s="729">
        <f>IFERROR(__xludf.DUMMYFUNCTION("""COMPUTED_VALUE"""),45818.0)</f>
        <v>45818</v>
      </c>
      <c r="M93" s="228"/>
      <c r="N93" s="228"/>
      <c r="O93" s="228"/>
      <c r="P93" s="228" t="str">
        <f>IFERROR(__xludf.DUMMYFUNCTION("""COMPUTED_VALUE"""),"3154686566")</f>
        <v>3154686566</v>
      </c>
      <c r="Q93" s="228" t="str">
        <f>IFERROR(__xludf.DUMMYFUNCTION("""COMPUTED_VALUE"""),"35201-7498395-7")</f>
        <v>35201-7498395-7</v>
      </c>
      <c r="R93" s="228" t="str">
        <f>IFERROR(__xludf.DUMMYFUNCTION("""COMPUTED_VALUE"""),"Male")</f>
        <v>Male</v>
      </c>
      <c r="S93" s="228" t="str">
        <f>IFERROR(__xludf.DUMMYFUNCTION("""COMPUTED_VALUE"""),"JS Bank")</f>
        <v>JS Bank</v>
      </c>
      <c r="T93" s="228" t="str">
        <f>IFERROR(__xludf.DUMMYFUNCTION("""COMPUTED_VALUE"""),"Hamza Bin Hassan")</f>
        <v>Hamza Bin Hassan</v>
      </c>
      <c r="U93" s="228" t="str">
        <f>IFERROR(__xludf.DUMMYFUNCTION("""COMPUTED_VALUE"""),"PK85JSBL9008000001933476")</f>
        <v>PK85JSBL9008000001933476</v>
      </c>
      <c r="V93" s="228" t="str">
        <f>IFERROR(__xludf.DUMMYFUNCTION("""COMPUTED_VALUE"""),"Nil")</f>
        <v>Nil</v>
      </c>
      <c r="W93" s="228"/>
      <c r="X93" s="228" t="str">
        <f>IFERROR(__xludf.DUMMYFUNCTION("""COMPUTED_VALUE"""),"Islamabad")</f>
        <v>Islamabad</v>
      </c>
      <c r="Y93" s="730">
        <f>IFERROR(__xludf.DUMMYFUNCTION("""COMPUTED_VALUE"""),37479.0)</f>
        <v>37479</v>
      </c>
      <c r="Z93" s="228" t="str">
        <f>IFERROR(__xludf.DUMMYFUNCTION("""COMPUTED_VALUE"""),"22 Years")</f>
        <v>22 Years</v>
      </c>
      <c r="AA93" s="228" t="str">
        <f>IFERROR(__xludf.DUMMYFUNCTION("""COMPUTED_VALUE"""),"23-C, Block D, PWD Society O-8, Islamabad")</f>
        <v>23-C, Block D, PWD Society O-8, Islamabad</v>
      </c>
      <c r="AB93" s="228" t="str">
        <f>IFERROR(__xludf.DUMMYFUNCTION("""COMPUTED_VALUE"""),"Pakistani")</f>
        <v>Pakistani</v>
      </c>
      <c r="AC93" s="228" t="str">
        <f>IFERROR(__xludf.DUMMYFUNCTION("""COMPUTED_VALUE"""),"Single")</f>
        <v>Single</v>
      </c>
      <c r="AD93" s="228"/>
      <c r="AE93" s="228"/>
      <c r="AF93" s="228"/>
      <c r="AG93" s="228" t="str">
        <f>IFERROR(__xludf.DUMMYFUNCTION("""COMPUTED_VALUE"""),"Mohammad Hassan")</f>
        <v>Mohammad Hassan</v>
      </c>
      <c r="AH93" s="228" t="str">
        <f>IFERROR(__xludf.DUMMYFUNCTION("""COMPUTED_VALUE"""),"Brother")</f>
        <v>Brother</v>
      </c>
      <c r="AI93" s="228"/>
      <c r="AJ93" s="228" t="str">
        <f>IFERROR(__xludf.DUMMYFUNCTION("""COMPUTED_VALUE"""),"B+")</f>
        <v>B+</v>
      </c>
      <c r="AK93" s="731" t="str">
        <f>IFERROR(__xludf.DUMMYFUNCTION("""COMPUTED_VALUE"""),"https://www.linkedin.com/in/hamzabinhassan?utm_source=share&amp;utm_campaign=share_via&amp;utm_content=profile&amp;utm_medium=ios_app")</f>
        <v>https://www.linkedin.com/in/hamzabinhassan?utm_source=share&amp;utm_campaign=share_via&amp;utm_content=profile&amp;utm_medium=ios_app</v>
      </c>
      <c r="AL93" s="228" t="str">
        <f>IFERROR(__xludf.DUMMYFUNCTION("""COMPUTED_VALUE"""),"Annum")</f>
        <v>Annum</v>
      </c>
      <c r="AM93" s="228"/>
      <c r="AN93" s="228"/>
      <c r="AO93" s="228"/>
      <c r="AP93" s="228" t="str">
        <f>IFERROR(__xludf.DUMMYFUNCTION("""COMPUTED_VALUE"""),"NO")</f>
        <v>NO</v>
      </c>
      <c r="AQ93" s="228" t="str">
        <f>IFERROR(__xludf.DUMMYFUNCTION("""COMPUTED_VALUE"""),"Active")</f>
        <v>Active</v>
      </c>
    </row>
    <row r="94">
      <c r="A94" s="228">
        <f>IFERROR(__xludf.DUMMYFUNCTION("""COMPUTED_VALUE"""),5385.0)</f>
        <v>5385</v>
      </c>
      <c r="B94" s="228" t="str">
        <f>IFERROR(__xludf.DUMMYFUNCTION("""COMPUTED_VALUE"""),"Zaeem Ather")</f>
        <v>Zaeem Ather</v>
      </c>
      <c r="C94" s="228" t="str">
        <f>IFERROR(__xludf.DUMMYFUNCTION("""COMPUTED_VALUE"""),"zaeemather7@gmail.com")</f>
        <v>zaeemather7@gmail.com</v>
      </c>
      <c r="D94" s="228" t="str">
        <f>IFERROR(__xludf.DUMMYFUNCTION("""COMPUTED_VALUE"""),"zaeem.ather@vyro.ai")</f>
        <v>zaeem.ather@vyro.ai</v>
      </c>
      <c r="E94" s="728">
        <f>IFERROR(__xludf.DUMMYFUNCTION("""COMPUTED_VALUE"""),45733.0)</f>
        <v>45733</v>
      </c>
      <c r="F94" s="228" t="str">
        <f>IFERROR(__xludf.DUMMYFUNCTION("""COMPUTED_VALUE"""),"Influencer Marketing Associate")</f>
        <v>Influencer Marketing Associate</v>
      </c>
      <c r="G94" s="228" t="str">
        <f>IFERROR(__xludf.DUMMYFUNCTION("""COMPUTED_VALUE"""),"Social Media &amp; Community Growth")</f>
        <v>Social Media &amp; Community Growth</v>
      </c>
      <c r="H94" s="228" t="str">
        <f>IFERROR(__xludf.DUMMYFUNCTION("""COMPUTED_VALUE"""),"Shawal Fida")</f>
        <v>Shawal Fida</v>
      </c>
      <c r="I94" s="228" t="str">
        <f>IFERROR(__xludf.DUMMYFUNCTION("""COMPUTED_VALUE"""),"Probation")</f>
        <v>Probation</v>
      </c>
      <c r="J94" s="228" t="str">
        <f>IFERROR(__xludf.DUMMYFUNCTION("""COMPUTED_VALUE"""),"Active")</f>
        <v>Active</v>
      </c>
      <c r="K94" s="228" t="str">
        <f>IFERROR(__xludf.DUMMYFUNCTION("""COMPUTED_VALUE"""),"3M")</f>
        <v>3M</v>
      </c>
      <c r="L94" s="729">
        <f>IFERROR(__xludf.DUMMYFUNCTION("""COMPUTED_VALUE"""),45825.0)</f>
        <v>45825</v>
      </c>
      <c r="M94" s="228"/>
      <c r="N94" s="228"/>
      <c r="O94" s="228"/>
      <c r="P94" s="228" t="str">
        <f>IFERROR(__xludf.DUMMYFUNCTION("""COMPUTED_VALUE"""),"03488612008")</f>
        <v>03488612008</v>
      </c>
      <c r="Q94" s="228" t="str">
        <f>IFERROR(__xludf.DUMMYFUNCTION("""COMPUTED_VALUE"""),"13101-9775801-9")</f>
        <v>13101-9775801-9</v>
      </c>
      <c r="R94" s="228" t="str">
        <f>IFERROR(__xludf.DUMMYFUNCTION("""COMPUTED_VALUE"""),"Male")</f>
        <v>Male</v>
      </c>
      <c r="S94" s="228" t="str">
        <f>IFERROR(__xludf.DUMMYFUNCTION("""COMPUTED_VALUE"""),"Meezan Bank")</f>
        <v>Meezan Bank</v>
      </c>
      <c r="T94" s="228" t="str">
        <f>IFERROR(__xludf.DUMMYFUNCTION("""COMPUTED_VALUE"""),"Zaeem Ather")</f>
        <v>Zaeem Ather</v>
      </c>
      <c r="U94" s="228" t="str">
        <f>IFERROR(__xludf.DUMMYFUNCTION("""COMPUTED_VALUE"""),"PK80MEZN0003070108348937")</f>
        <v>PK80MEZN0003070108348937</v>
      </c>
      <c r="V94" s="228" t="str">
        <f>IFERROR(__xludf.DUMMYFUNCTION("""COMPUTED_VALUE"""),"MEZNPKKAISD")</f>
        <v>MEZNPKKAISD</v>
      </c>
      <c r="W94" s="228"/>
      <c r="X94" s="228" t="str">
        <f>IFERROR(__xludf.DUMMYFUNCTION("""COMPUTED_VALUE"""),"Islamabad")</f>
        <v>Islamabad</v>
      </c>
      <c r="Y94" s="730">
        <f>IFERROR(__xludf.DUMMYFUNCTION("""COMPUTED_VALUE"""),37314.0)</f>
        <v>37314</v>
      </c>
      <c r="Z94" s="228" t="str">
        <f>IFERROR(__xludf.DUMMYFUNCTION("""COMPUTED_VALUE"""),"23 Years")</f>
        <v>23 Years</v>
      </c>
      <c r="AA94" s="228" t="str">
        <f>IFERROR(__xludf.DUMMYFUNCTION("""COMPUTED_VALUE"""),"Army Flats Narian, Flat no. 3-D, Abbottabad Cantt, Abbottabad")</f>
        <v>Army Flats Narian, Flat no. 3-D, Abbottabad Cantt, Abbottabad</v>
      </c>
      <c r="AB94" s="228" t="str">
        <f>IFERROR(__xludf.DUMMYFUNCTION("""COMPUTED_VALUE"""),"Pakistan")</f>
        <v>Pakistan</v>
      </c>
      <c r="AC94" s="228" t="str">
        <f>IFERROR(__xludf.DUMMYFUNCTION("""COMPUTED_VALUE"""),"Single")</f>
        <v>Single</v>
      </c>
      <c r="AD94" s="228"/>
      <c r="AE94" s="228"/>
      <c r="AF94" s="228"/>
      <c r="AG94" s="228" t="str">
        <f>IFERROR(__xludf.DUMMYFUNCTION("""COMPUTED_VALUE"""),"Ather Hussain")</f>
        <v>Ather Hussain</v>
      </c>
      <c r="AH94" s="228" t="str">
        <f>IFERROR(__xludf.DUMMYFUNCTION("""COMPUTED_VALUE"""),"Father")</f>
        <v>Father</v>
      </c>
      <c r="AI94" s="228"/>
      <c r="AJ94" s="228" t="str">
        <f>IFERROR(__xludf.DUMMYFUNCTION("""COMPUTED_VALUE"""),"A+")</f>
        <v>A+</v>
      </c>
      <c r="AK94" s="731" t="str">
        <f>IFERROR(__xludf.DUMMYFUNCTION("""COMPUTED_VALUE"""),"https://www.linkedin.com/in/zaeem-ather")</f>
        <v>https://www.linkedin.com/in/zaeem-ather</v>
      </c>
      <c r="AL94" s="228" t="str">
        <f>IFERROR(__xludf.DUMMYFUNCTION("""COMPUTED_VALUE"""),"Mustafa Shakil")</f>
        <v>Mustafa Shakil</v>
      </c>
      <c r="AM94" s="228"/>
      <c r="AN94" s="228"/>
      <c r="AO94" s="228"/>
      <c r="AP94" s="228" t="str">
        <f>IFERROR(__xludf.DUMMYFUNCTION("""COMPUTED_VALUE"""),"NO")</f>
        <v>NO</v>
      </c>
      <c r="AQ94" s="228" t="str">
        <f>IFERROR(__xludf.DUMMYFUNCTION("""COMPUTED_VALUE"""),"Active")</f>
        <v>Active</v>
      </c>
    </row>
    <row r="95">
      <c r="A95" s="228">
        <f>IFERROR(__xludf.DUMMYFUNCTION("""COMPUTED_VALUE"""),5387.0)</f>
        <v>5387</v>
      </c>
      <c r="B95" s="228" t="str">
        <f>IFERROR(__xludf.DUMMYFUNCTION("""COMPUTED_VALUE"""),"Muhammad Ali Chaudhry")</f>
        <v>Muhammad Ali Chaudhry</v>
      </c>
      <c r="C95" s="228" t="str">
        <f>IFERROR(__xludf.DUMMYFUNCTION("""COMPUTED_VALUE"""),"muhammadalichaudhry.98@gmail.com")</f>
        <v>muhammadalichaudhry.98@gmail.com</v>
      </c>
      <c r="D95" s="228" t="str">
        <f>IFERROR(__xludf.DUMMYFUNCTION("""COMPUTED_VALUE"""),"muhammad.ali@vyro.ai")</f>
        <v>muhammad.ali@vyro.ai</v>
      </c>
      <c r="E95" s="728">
        <f>IFERROR(__xludf.DUMMYFUNCTION("""COMPUTED_VALUE"""),45740.0)</f>
        <v>45740</v>
      </c>
      <c r="F95" s="228" t="str">
        <f>IFERROR(__xludf.DUMMYFUNCTION("""COMPUTED_VALUE"""),"Senior Customer Success Manager")</f>
        <v>Senior Customer Success Manager</v>
      </c>
      <c r="G95" s="228" t="str">
        <f>IFERROR(__xludf.DUMMYFUNCTION("""COMPUTED_VALUE"""),"Customer Success")</f>
        <v>Customer Success</v>
      </c>
      <c r="H95" s="228" t="str">
        <f>IFERROR(__xludf.DUMMYFUNCTION("""COMPUTED_VALUE"""),"CTO")</f>
        <v>CTO</v>
      </c>
      <c r="I95" s="228" t="str">
        <f>IFERROR(__xludf.DUMMYFUNCTION("""COMPUTED_VALUE"""),"Probation")</f>
        <v>Probation</v>
      </c>
      <c r="J95" s="228" t="str">
        <f>IFERROR(__xludf.DUMMYFUNCTION("""COMPUTED_VALUE"""),"Active")</f>
        <v>Active</v>
      </c>
      <c r="K95" s="228" t="str">
        <f>IFERROR(__xludf.DUMMYFUNCTION("""COMPUTED_VALUE"""),"3M")</f>
        <v>3M</v>
      </c>
      <c r="L95" s="729">
        <f>IFERROR(__xludf.DUMMYFUNCTION("""COMPUTED_VALUE"""),45832.0)</f>
        <v>45832</v>
      </c>
      <c r="M95" s="228"/>
      <c r="N95" s="228"/>
      <c r="O95" s="228"/>
      <c r="P95" s="228" t="str">
        <f>IFERROR(__xludf.DUMMYFUNCTION("""COMPUTED_VALUE"""),"03321587616")</f>
        <v>03321587616</v>
      </c>
      <c r="Q95" s="228" t="str">
        <f>IFERROR(__xludf.DUMMYFUNCTION("""COMPUTED_VALUE"""),"61101-2458256-3")</f>
        <v>61101-2458256-3</v>
      </c>
      <c r="R95" s="228" t="str">
        <f>IFERROR(__xludf.DUMMYFUNCTION("""COMPUTED_VALUE"""),"Male")</f>
        <v>Male</v>
      </c>
      <c r="S95" s="228" t="str">
        <f>IFERROR(__xludf.DUMMYFUNCTION("""COMPUTED_VALUE"""),"Meezan Bank Ltd")</f>
        <v>Meezan Bank Ltd</v>
      </c>
      <c r="T95" s="228" t="str">
        <f>IFERROR(__xludf.DUMMYFUNCTION("""COMPUTED_VALUE"""),"Muhammad Ali Chaudhry")</f>
        <v>Muhammad Ali Chaudhry</v>
      </c>
      <c r="U95" s="228" t="str">
        <f>IFERROR(__xludf.DUMMYFUNCTION("""COMPUTED_VALUE"""),"PK60MEZN0003070107669327")</f>
        <v>PK60MEZN0003070107669327</v>
      </c>
      <c r="V95" s="228" t="str">
        <f>IFERROR(__xludf.DUMMYFUNCTION("""COMPUTED_VALUE"""),"-")</f>
        <v>-</v>
      </c>
      <c r="W95" s="228"/>
      <c r="X95" s="228" t="str">
        <f>IFERROR(__xludf.DUMMYFUNCTION("""COMPUTED_VALUE"""),"Islamabad")</f>
        <v>Islamabad</v>
      </c>
      <c r="Y95" s="730">
        <f>IFERROR(__xludf.DUMMYFUNCTION("""COMPUTED_VALUE"""),35870.0)</f>
        <v>35870</v>
      </c>
      <c r="Z95" s="228" t="str">
        <f>IFERROR(__xludf.DUMMYFUNCTION("""COMPUTED_VALUE"""),"27 Years")</f>
        <v>27 Years</v>
      </c>
      <c r="AA95" s="228" t="str">
        <f>IFERROR(__xludf.DUMMYFUNCTION("""COMPUTED_VALUE"""),"H 830, St 11, I-8/2, Islamabad (This is the current one, not on CNIC)")</f>
        <v>H 830, St 11, I-8/2, Islamabad (This is the current one, not on CNIC)</v>
      </c>
      <c r="AB95" s="228" t="str">
        <f>IFERROR(__xludf.DUMMYFUNCTION("""COMPUTED_VALUE"""),"Pakistani")</f>
        <v>Pakistani</v>
      </c>
      <c r="AC95" s="228" t="str">
        <f>IFERROR(__xludf.DUMMYFUNCTION("""COMPUTED_VALUE"""),"Single")</f>
        <v>Single</v>
      </c>
      <c r="AD95" s="228"/>
      <c r="AE95" s="228"/>
      <c r="AF95" s="228"/>
      <c r="AG95" s="228" t="str">
        <f>IFERROR(__xludf.DUMMYFUNCTION("""COMPUTED_VALUE"""),"Imdad Hussain Chaudhry")</f>
        <v>Imdad Hussain Chaudhry</v>
      </c>
      <c r="AH95" s="228" t="str">
        <f>IFERROR(__xludf.DUMMYFUNCTION("""COMPUTED_VALUE"""),"Father")</f>
        <v>Father</v>
      </c>
      <c r="AI95" s="228"/>
      <c r="AJ95" s="228" t="str">
        <f>IFERROR(__xludf.DUMMYFUNCTION("""COMPUTED_VALUE"""),"O+")</f>
        <v>O+</v>
      </c>
      <c r="AK95" s="731" t="str">
        <f>IFERROR(__xludf.DUMMYFUNCTION("""COMPUTED_VALUE"""),"https://www.linkedin.com/in/muhammad-ali-chaudhry-/")</f>
        <v>https://www.linkedin.com/in/muhammad-ali-chaudhry-/</v>
      </c>
      <c r="AL95" s="228" t="str">
        <f>IFERROR(__xludf.DUMMYFUNCTION("""COMPUTED_VALUE"""),"Anam/Fatima")</f>
        <v>Anam/Fatima</v>
      </c>
      <c r="AM95" s="228"/>
      <c r="AN95" s="228"/>
      <c r="AO95" s="228"/>
      <c r="AP95" s="228" t="str">
        <f>IFERROR(__xludf.DUMMYFUNCTION("""COMPUTED_VALUE"""),"NO")</f>
        <v>NO</v>
      </c>
      <c r="AQ95" s="228" t="str">
        <f>IFERROR(__xludf.DUMMYFUNCTION("""COMPUTED_VALUE"""),"Active")</f>
        <v>Active</v>
      </c>
    </row>
    <row r="96">
      <c r="A96" s="228">
        <f>IFERROR(__xludf.DUMMYFUNCTION("""COMPUTED_VALUE"""),5386.0)</f>
        <v>5386</v>
      </c>
      <c r="B96" s="228" t="str">
        <f>IFERROR(__xludf.DUMMYFUNCTION("""COMPUTED_VALUE"""),"Muhammad Rizwan")</f>
        <v>Muhammad Rizwan</v>
      </c>
      <c r="C96" s="228" t="str">
        <f>IFERROR(__xludf.DUMMYFUNCTION("""COMPUTED_VALUE"""),"rizwanmrc1@gmail.com")</f>
        <v>rizwanmrc1@gmail.com</v>
      </c>
      <c r="D96" s="228" t="str">
        <f>IFERROR(__xludf.DUMMYFUNCTION("""COMPUTED_VALUE"""),"rizwan.chauhan@vyro.ai")</f>
        <v>rizwan.chauhan@vyro.ai</v>
      </c>
      <c r="E96" s="728">
        <f>IFERROR(__xludf.DUMMYFUNCTION("""COMPUTED_VALUE"""),45740.0)</f>
        <v>45740</v>
      </c>
      <c r="F96" s="228" t="str">
        <f>IFERROR(__xludf.DUMMYFUNCTION("""COMPUTED_VALUE"""),"Visual Designer")</f>
        <v>Visual Designer</v>
      </c>
      <c r="G96" s="228" t="str">
        <f>IFERROR(__xludf.DUMMYFUNCTION("""COMPUTED_VALUE"""),"Marketing")</f>
        <v>Marketing</v>
      </c>
      <c r="H96" s="228" t="str">
        <f>IFERROR(__xludf.DUMMYFUNCTION("""COMPUTED_VALUE"""),"Zain ul Abideen, Co-founder")</f>
        <v>Zain ul Abideen, Co-founder</v>
      </c>
      <c r="I96" s="228" t="str">
        <f>IFERROR(__xludf.DUMMYFUNCTION("""COMPUTED_VALUE"""),"Probation")</f>
        <v>Probation</v>
      </c>
      <c r="J96" s="228" t="str">
        <f>IFERROR(__xludf.DUMMYFUNCTION("""COMPUTED_VALUE"""),"Active")</f>
        <v>Active</v>
      </c>
      <c r="K96" s="228" t="str">
        <f>IFERROR(__xludf.DUMMYFUNCTION("""COMPUTED_VALUE"""),"3M")</f>
        <v>3M</v>
      </c>
      <c r="L96" s="729">
        <f>IFERROR(__xludf.DUMMYFUNCTION("""COMPUTED_VALUE"""),45832.0)</f>
        <v>45832</v>
      </c>
      <c r="M96" s="228"/>
      <c r="N96" s="228"/>
      <c r="O96" s="228"/>
      <c r="P96" s="228" t="str">
        <f>IFERROR(__xludf.DUMMYFUNCTION("""COMPUTED_VALUE"""),"03095532712")</f>
        <v>03095532712</v>
      </c>
      <c r="Q96" s="228" t="str">
        <f>IFERROR(__xludf.DUMMYFUNCTION("""COMPUTED_VALUE"""),"61101-2530021-5")</f>
        <v>61101-2530021-5</v>
      </c>
      <c r="R96" s="228" t="str">
        <f>IFERROR(__xludf.DUMMYFUNCTION("""COMPUTED_VALUE"""),"Male")</f>
        <v>Male</v>
      </c>
      <c r="S96" s="228" t="str">
        <f>IFERROR(__xludf.DUMMYFUNCTION("""COMPUTED_VALUE"""),"Meezan Bank")</f>
        <v>Meezan Bank</v>
      </c>
      <c r="T96" s="228" t="str">
        <f>IFERROR(__xludf.DUMMYFUNCTION("""COMPUTED_VALUE"""),"Muhammad Rizwan")</f>
        <v>Muhammad Rizwan</v>
      </c>
      <c r="U96" s="228" t="str">
        <f>IFERROR(__xludf.DUMMYFUNCTION("""COMPUTED_VALUE"""),"PK22MEZN0003170104964288")</f>
        <v>PK22MEZN0003170104964288</v>
      </c>
      <c r="V96" s="228" t="str">
        <f>IFERROR(__xludf.DUMMYFUNCTION("""COMPUTED_VALUE"""),"MEZNPKKAISD")</f>
        <v>MEZNPKKAISD</v>
      </c>
      <c r="W96" s="228"/>
      <c r="X96" s="228" t="str">
        <f>IFERROR(__xludf.DUMMYFUNCTION("""COMPUTED_VALUE"""),"Islamabad")</f>
        <v>Islamabad</v>
      </c>
      <c r="Y96" s="730">
        <f>IFERROR(__xludf.DUMMYFUNCTION("""COMPUTED_VALUE"""),36581.0)</f>
        <v>36581</v>
      </c>
      <c r="Z96" s="228" t="str">
        <f>IFERROR(__xludf.DUMMYFUNCTION("""COMPUTED_VALUE"""),"25 Years")</f>
        <v>25 Years</v>
      </c>
      <c r="AA96" s="228" t="str">
        <f>IFERROR(__xludf.DUMMYFUNCTION("""COMPUTED_VALUE"""),"House#31 College Road, F-7/2, Islamabad")</f>
        <v>House#31 College Road, F-7/2, Islamabad</v>
      </c>
      <c r="AB96" s="228" t="str">
        <f>IFERROR(__xludf.DUMMYFUNCTION("""COMPUTED_VALUE"""),"Pakistani")</f>
        <v>Pakistani</v>
      </c>
      <c r="AC96" s="228" t="str">
        <f>IFERROR(__xludf.DUMMYFUNCTION("""COMPUTED_VALUE"""),"Married")</f>
        <v>Married</v>
      </c>
      <c r="AD96" s="228"/>
      <c r="AE96" s="228"/>
      <c r="AF96" s="228"/>
      <c r="AG96" s="228" t="str">
        <f>IFERROR(__xludf.DUMMYFUNCTION("""COMPUTED_VALUE"""),"Muhammad Riaz")</f>
        <v>Muhammad Riaz</v>
      </c>
      <c r="AH96" s="228" t="str">
        <f>IFERROR(__xludf.DUMMYFUNCTION("""COMPUTED_VALUE"""),"Father")</f>
        <v>Father</v>
      </c>
      <c r="AI96" s="228"/>
      <c r="AJ96" s="228" t="str">
        <f>IFERROR(__xludf.DUMMYFUNCTION("""COMPUTED_VALUE"""),"B+")</f>
        <v>B+</v>
      </c>
      <c r="AK96" s="731" t="str">
        <f>IFERROR(__xludf.DUMMYFUNCTION("""COMPUTED_VALUE"""),"https://www.linkedin.com/in/mrizzzwan/")</f>
        <v>https://www.linkedin.com/in/mrizzzwan/</v>
      </c>
      <c r="AL96" s="228" t="str">
        <f>IFERROR(__xludf.DUMMYFUNCTION("""COMPUTED_VALUE"""),"Mehreen Jafri")</f>
        <v>Mehreen Jafri</v>
      </c>
      <c r="AM96" s="228"/>
      <c r="AN96" s="228"/>
      <c r="AO96" s="228"/>
      <c r="AP96" s="228" t="str">
        <f>IFERROR(__xludf.DUMMYFUNCTION("""COMPUTED_VALUE"""),"NO")</f>
        <v>NO</v>
      </c>
      <c r="AQ96" s="228" t="str">
        <f>IFERROR(__xludf.DUMMYFUNCTION("""COMPUTED_VALUE"""),"Active")</f>
        <v>Active</v>
      </c>
    </row>
    <row r="97">
      <c r="A97" s="228">
        <f>IFERROR(__xludf.DUMMYFUNCTION("""COMPUTED_VALUE"""),5390.0)</f>
        <v>5390</v>
      </c>
      <c r="B97" s="228" t="str">
        <f>IFERROR(__xludf.DUMMYFUNCTION("""COMPUTED_VALUE"""),"Muhammad Haris Mukhtar")</f>
        <v>Muhammad Haris Mukhtar</v>
      </c>
      <c r="C97" s="228" t="str">
        <f>IFERROR(__xludf.DUMMYFUNCTION("""COMPUTED_VALUE"""),"haris_mukhtar@outlook.com")</f>
        <v>haris_mukhtar@outlook.com</v>
      </c>
      <c r="D97" s="228" t="str">
        <f>IFERROR(__xludf.DUMMYFUNCTION("""COMPUTED_VALUE"""),"haris.mukhtar@vyro.ai")</f>
        <v>haris.mukhtar@vyro.ai</v>
      </c>
      <c r="E97" s="728">
        <f>IFERROR(__xludf.DUMMYFUNCTION("""COMPUTED_VALUE"""),45754.0)</f>
        <v>45754</v>
      </c>
      <c r="F97" s="228" t="str">
        <f>IFERROR(__xludf.DUMMYFUNCTION("""COMPUTED_VALUE"""),"Senior Finance Executive")</f>
        <v>Senior Finance Executive</v>
      </c>
      <c r="G97" s="228" t="str">
        <f>IFERROR(__xludf.DUMMYFUNCTION("""COMPUTED_VALUE"""),"Finance")</f>
        <v>Finance</v>
      </c>
      <c r="H97" s="228" t="str">
        <f>IFERROR(__xludf.DUMMYFUNCTION("""COMPUTED_VALUE"""),"Talha Arshad")</f>
        <v>Talha Arshad</v>
      </c>
      <c r="I97" s="228" t="str">
        <f>IFERROR(__xludf.DUMMYFUNCTION("""COMPUTED_VALUE"""),"Probation")</f>
        <v>Probation</v>
      </c>
      <c r="J97" s="228" t="str">
        <f>IFERROR(__xludf.DUMMYFUNCTION("""COMPUTED_VALUE"""),"Active")</f>
        <v>Active</v>
      </c>
      <c r="K97" s="228"/>
      <c r="L97" s="729">
        <f>IFERROR(__xludf.DUMMYFUNCTION("""COMPUTED_VALUE"""),45845.0)</f>
        <v>45845</v>
      </c>
      <c r="M97" s="228"/>
      <c r="N97" s="228"/>
      <c r="O97" s="228"/>
      <c r="P97" s="228" t="str">
        <f>IFERROR(__xludf.DUMMYFUNCTION("""COMPUTED_VALUE"""),"03275270489")</f>
        <v>03275270489</v>
      </c>
      <c r="Q97" s="228" t="str">
        <f>IFERROR(__xludf.DUMMYFUNCTION("""COMPUTED_VALUE"""),"37101-7906699-9")</f>
        <v>37101-7906699-9</v>
      </c>
      <c r="R97" s="228" t="str">
        <f>IFERROR(__xludf.DUMMYFUNCTION("""COMPUTED_VALUE"""),"Male")</f>
        <v>Male</v>
      </c>
      <c r="S97" s="228" t="str">
        <f>IFERROR(__xludf.DUMMYFUNCTION("""COMPUTED_VALUE"""),"Meezan")</f>
        <v>Meezan</v>
      </c>
      <c r="T97" s="228" t="str">
        <f>IFERROR(__xludf.DUMMYFUNCTION("""COMPUTED_VALUE"""),"Muhammad Haris Mukhtar")</f>
        <v>Muhammad Haris Mukhtar</v>
      </c>
      <c r="U97" s="228" t="str">
        <f>IFERROR(__xludf.DUMMYFUNCTION("""COMPUTED_VALUE"""),"PK80MEZN0003270112150842")</f>
        <v>PK80MEZN0003270112150842</v>
      </c>
      <c r="V97" s="228" t="str">
        <f>IFERROR(__xludf.DUMMYFUNCTION("""COMPUTED_VALUE"""),"MEZNPKKA")</f>
        <v>MEZNPKKA</v>
      </c>
      <c r="W97" s="228"/>
      <c r="X97" s="228" t="str">
        <f>IFERROR(__xludf.DUMMYFUNCTION("""COMPUTED_VALUE"""),"Islamabad")</f>
        <v>Islamabad</v>
      </c>
      <c r="Y97" s="730">
        <f>IFERROR(__xludf.DUMMYFUNCTION("""COMPUTED_VALUE"""),34528.0)</f>
        <v>34528</v>
      </c>
      <c r="Z97" s="228" t="str">
        <f>IFERROR(__xludf.DUMMYFUNCTION("""COMPUTED_VALUE"""),"30 Years")</f>
        <v>30 Years</v>
      </c>
      <c r="AA97" s="228" t="str">
        <f>IFERROR(__xludf.DUMMYFUNCTION("""COMPUTED_VALUE"""),"Unit G03 1 the crescent yagoona sydney , NSW Australia")</f>
        <v>Unit G03 1 the crescent yagoona sydney , NSW Australia</v>
      </c>
      <c r="AB97" s="228" t="str">
        <f>IFERROR(__xludf.DUMMYFUNCTION("""COMPUTED_VALUE"""),"Pakistani/Australian")</f>
        <v>Pakistani/Australian</v>
      </c>
      <c r="AC97" s="228" t="str">
        <f>IFERROR(__xludf.DUMMYFUNCTION("""COMPUTED_VALUE"""),"Single")</f>
        <v>Single</v>
      </c>
      <c r="AD97" s="228"/>
      <c r="AE97" s="228"/>
      <c r="AF97" s="228"/>
      <c r="AG97" s="228" t="str">
        <f>IFERROR(__xludf.DUMMYFUNCTION("""COMPUTED_VALUE"""),"Tahir Mukhtar")</f>
        <v>Tahir Mukhtar</v>
      </c>
      <c r="AH97" s="228" t="str">
        <f>IFERROR(__xludf.DUMMYFUNCTION("""COMPUTED_VALUE"""),"Father")</f>
        <v>Father</v>
      </c>
      <c r="AI97" s="228"/>
      <c r="AJ97" s="228" t="str">
        <f>IFERROR(__xludf.DUMMYFUNCTION("""COMPUTED_VALUE"""),"A+")</f>
        <v>A+</v>
      </c>
      <c r="AK97" s="731" t="str">
        <f>IFERROR(__xludf.DUMMYFUNCTION("""COMPUTED_VALUE"""),"https://www.linkedin.com/in/haris-mukhtar-b14134173/")</f>
        <v>https://www.linkedin.com/in/haris-mukhtar-b14134173/</v>
      </c>
      <c r="AL97" s="228" t="str">
        <f>IFERROR(__xludf.DUMMYFUNCTION("""COMPUTED_VALUE"""),"Mustafa Shakil")</f>
        <v>Mustafa Shakil</v>
      </c>
      <c r="AM97" s="228"/>
      <c r="AN97" s="228"/>
      <c r="AO97" s="228"/>
      <c r="AP97" s="228" t="str">
        <f>IFERROR(__xludf.DUMMYFUNCTION("""COMPUTED_VALUE"""),"NO")</f>
        <v>NO</v>
      </c>
      <c r="AQ97" s="228" t="str">
        <f>IFERROR(__xludf.DUMMYFUNCTION("""COMPUTED_VALUE"""),"Active")</f>
        <v>Active</v>
      </c>
    </row>
    <row r="98">
      <c r="A98" s="228">
        <f>IFERROR(__xludf.DUMMYFUNCTION("""COMPUTED_VALUE"""),5393.0)</f>
        <v>5393</v>
      </c>
      <c r="B98" s="228" t="str">
        <f>IFERROR(__xludf.DUMMYFUNCTION("""COMPUTED_VALUE"""),"Hamza Mehmood")</f>
        <v>Hamza Mehmood</v>
      </c>
      <c r="C98" s="228" t="str">
        <f>IFERROR(__xludf.DUMMYFUNCTION("""COMPUTED_VALUE"""),"Hamzaartistry@gmail.com")</f>
        <v>Hamzaartistry@gmail.com</v>
      </c>
      <c r="D98" s="228" t="str">
        <f>IFERROR(__xludf.DUMMYFUNCTION("""COMPUTED_VALUE"""),"hamza.mehmood@vyro.ai")</f>
        <v>hamza.mehmood@vyro.ai</v>
      </c>
      <c r="E98" s="728">
        <f>IFERROR(__xludf.DUMMYFUNCTION("""COMPUTED_VALUE"""),45761.0)</f>
        <v>45761</v>
      </c>
      <c r="F98" s="228" t="str">
        <f>IFERROR(__xludf.DUMMYFUNCTION("""COMPUTED_VALUE"""),"Sketch Artist")</f>
        <v>Sketch Artist</v>
      </c>
      <c r="G98" s="228" t="str">
        <f>IFERROR(__xludf.DUMMYFUNCTION("""COMPUTED_VALUE"""),"Product")</f>
        <v>Product</v>
      </c>
      <c r="H98" s="228" t="str">
        <f>IFERROR(__xludf.DUMMYFUNCTION("""COMPUTED_VALUE"""),"Abdullah, CTO")</f>
        <v>Abdullah, CTO</v>
      </c>
      <c r="I98" s="228" t="str">
        <f>IFERROR(__xludf.DUMMYFUNCTION("""COMPUTED_VALUE"""),"Probation")</f>
        <v>Probation</v>
      </c>
      <c r="J98" s="228" t="str">
        <f>IFERROR(__xludf.DUMMYFUNCTION("""COMPUTED_VALUE"""),"Active")</f>
        <v>Active</v>
      </c>
      <c r="K98" s="228"/>
      <c r="L98" s="729">
        <f>IFERROR(__xludf.DUMMYFUNCTION("""COMPUTED_VALUE"""),45852.0)</f>
        <v>45852</v>
      </c>
      <c r="M98" s="228"/>
      <c r="N98" s="228"/>
      <c r="O98" s="228"/>
      <c r="P98" s="228" t="str">
        <f>IFERROR(__xludf.DUMMYFUNCTION("""COMPUTED_VALUE"""),"3015456747")</f>
        <v>3015456747</v>
      </c>
      <c r="Q98" s="228" t="str">
        <f>IFERROR(__xludf.DUMMYFUNCTION("""COMPUTED_VALUE"""),"37406-7401172-1")</f>
        <v>37406-7401172-1</v>
      </c>
      <c r="R98" s="228" t="str">
        <f>IFERROR(__xludf.DUMMYFUNCTION("""COMPUTED_VALUE"""),"Male")</f>
        <v>Male</v>
      </c>
      <c r="S98" s="228" t="str">
        <f>IFERROR(__xludf.DUMMYFUNCTION("""COMPUTED_VALUE"""),"Allied bank")</f>
        <v>Allied bank</v>
      </c>
      <c r="T98" s="228" t="str">
        <f>IFERROR(__xludf.DUMMYFUNCTION("""COMPUTED_VALUE"""),"Hamza Mehmood")</f>
        <v>Hamza Mehmood</v>
      </c>
      <c r="U98" s="228" t="str">
        <f>IFERROR(__xludf.DUMMYFUNCTION("""COMPUTED_VALUE"""),"PK81ABPA0010123236860014")</f>
        <v>PK81ABPA0010123236860014</v>
      </c>
      <c r="V98" s="228" t="str">
        <f>IFERROR(__xludf.DUMMYFUNCTION("""COMPUTED_VALUE"""),"PK81ABPA")</f>
        <v>PK81ABPA</v>
      </c>
      <c r="W98" s="228"/>
      <c r="X98" s="228"/>
      <c r="Y98" s="730">
        <f>IFERROR(__xludf.DUMMYFUNCTION("""COMPUTED_VALUE"""),36087.0)</f>
        <v>36087</v>
      </c>
      <c r="Z98" s="228" t="str">
        <f>IFERROR(__xludf.DUMMYFUNCTION("""COMPUTED_VALUE"""),"26 Years")</f>
        <v>26 Years</v>
      </c>
      <c r="AA98" s="228" t="str">
        <f>IFERROR(__xludf.DUMMYFUNCTION("""COMPUTED_VALUE"""),"E-75 lane 15 Awc Hoising society wah cantt")</f>
        <v>E-75 lane 15 Awc Hoising society wah cantt</v>
      </c>
      <c r="AB98" s="228" t="str">
        <f>IFERROR(__xludf.DUMMYFUNCTION("""COMPUTED_VALUE"""),"Pakistani")</f>
        <v>Pakistani</v>
      </c>
      <c r="AC98" s="228" t="str">
        <f>IFERROR(__xludf.DUMMYFUNCTION("""COMPUTED_VALUE"""),"Single")</f>
        <v>Single</v>
      </c>
      <c r="AD98" s="228"/>
      <c r="AE98" s="228"/>
      <c r="AF98" s="228"/>
      <c r="AG98" s="228" t="str">
        <f>IFERROR(__xludf.DUMMYFUNCTION("""COMPUTED_VALUE"""),"Mehmood Hussain")</f>
        <v>Mehmood Hussain</v>
      </c>
      <c r="AH98" s="228" t="str">
        <f>IFERROR(__xludf.DUMMYFUNCTION("""COMPUTED_VALUE"""),"Brother")</f>
        <v>Brother</v>
      </c>
      <c r="AI98" s="228"/>
      <c r="AJ98" s="228" t="str">
        <f>IFERROR(__xludf.DUMMYFUNCTION("""COMPUTED_VALUE"""),"B+")</f>
        <v>B+</v>
      </c>
      <c r="AK98" s="731" t="str">
        <f>IFERROR(__xludf.DUMMYFUNCTION("""COMPUTED_VALUE"""),"linkedin.com/in/hamza-mehmood-84622420b/")</f>
        <v>linkedin.com/in/hamza-mehmood-84622420b/</v>
      </c>
      <c r="AL98" s="228" t="str">
        <f>IFERROR(__xludf.DUMMYFUNCTION("""COMPUTED_VALUE"""),"Mehreen jafri")</f>
        <v>Mehreen jafri</v>
      </c>
      <c r="AM98" s="228"/>
      <c r="AN98" s="228"/>
      <c r="AO98" s="228"/>
      <c r="AP98" s="228" t="str">
        <f>IFERROR(__xludf.DUMMYFUNCTION("""COMPUTED_VALUE"""),"NO")</f>
        <v>NO</v>
      </c>
      <c r="AQ98" s="228" t="str">
        <f>IFERROR(__xludf.DUMMYFUNCTION("""COMPUTED_VALUE"""),"Active")</f>
        <v>Active</v>
      </c>
    </row>
    <row r="99">
      <c r="A99" s="228">
        <f>IFERROR(__xludf.DUMMYFUNCTION("""COMPUTED_VALUE"""),5399.0)</f>
        <v>5399</v>
      </c>
      <c r="B99" s="228" t="str">
        <f>IFERROR(__xludf.DUMMYFUNCTION("""COMPUTED_VALUE"""),"Shah Zaib")</f>
        <v>Shah Zaib</v>
      </c>
      <c r="C99" s="228"/>
      <c r="D99" s="228"/>
      <c r="E99" s="728">
        <f>IFERROR(__xludf.DUMMYFUNCTION("""COMPUTED_VALUE"""),45764.0)</f>
        <v>45764</v>
      </c>
      <c r="F99" s="228" t="str">
        <f>IFERROR(__xludf.DUMMYFUNCTION("""COMPUTED_VALUE"""),"Office Assistant")</f>
        <v>Office Assistant</v>
      </c>
      <c r="G99" s="228" t="str">
        <f>IFERROR(__xludf.DUMMYFUNCTION("""COMPUTED_VALUE"""),"Admin")</f>
        <v>Admin</v>
      </c>
      <c r="H99" s="228"/>
      <c r="I99" s="228"/>
      <c r="J99" s="228" t="str">
        <f>IFERROR(__xludf.DUMMYFUNCTION("""COMPUTED_VALUE"""),"Active")</f>
        <v>Active</v>
      </c>
      <c r="K99" s="228"/>
      <c r="L99" s="729">
        <f>IFERROR(__xludf.DUMMYFUNCTION("""COMPUTED_VALUE"""),45855.0)</f>
        <v>45855</v>
      </c>
      <c r="M99" s="228"/>
      <c r="N99" s="228"/>
      <c r="O99" s="228"/>
      <c r="P99" s="228"/>
      <c r="Q99" s="228"/>
      <c r="R99" s="228"/>
      <c r="S99" s="228"/>
      <c r="T99" s="228"/>
      <c r="U99" s="228"/>
      <c r="V99" s="228"/>
      <c r="W99" s="228"/>
      <c r="X99" s="228"/>
      <c r="Y99" s="228"/>
      <c r="Z99" s="228"/>
      <c r="AA99" s="228"/>
      <c r="AB99" s="228"/>
      <c r="AC99" s="228"/>
      <c r="AD99" s="228"/>
      <c r="AE99" s="228"/>
      <c r="AF99" s="228"/>
      <c r="AG99" s="228"/>
      <c r="AH99" s="228"/>
      <c r="AI99" s="228"/>
      <c r="AJ99" s="228"/>
      <c r="AK99" s="228"/>
      <c r="AL99" s="228"/>
      <c r="AM99" s="228"/>
      <c r="AN99" s="228"/>
      <c r="AO99" s="228"/>
      <c r="AP99" s="228" t="str">
        <f>IFERROR(__xludf.DUMMYFUNCTION("""COMPUTED_VALUE"""),"NO")</f>
        <v>NO</v>
      </c>
      <c r="AQ99" s="228" t="str">
        <f>IFERROR(__xludf.DUMMYFUNCTION("""COMPUTED_VALUE"""),"Active")</f>
        <v>Active</v>
      </c>
    </row>
    <row r="100">
      <c r="A100" s="228">
        <f>IFERROR(__xludf.DUMMYFUNCTION("""COMPUTED_VALUE"""),5400.0)</f>
        <v>5400</v>
      </c>
      <c r="B100" s="228" t="str">
        <f>IFERROR(__xludf.DUMMYFUNCTION("""COMPUTED_VALUE"""),"David Israel")</f>
        <v>David Israel</v>
      </c>
      <c r="C100" s="228" t="str">
        <f>IFERROR(__xludf.DUMMYFUNCTION("""COMPUTED_VALUE"""),"theovercomer8@gmail.com")</f>
        <v>theovercomer8@gmail.com</v>
      </c>
      <c r="D100" s="228" t="str">
        <f>IFERROR(__xludf.DUMMYFUNCTION("""COMPUTED_VALUE"""),"david.israel@vyro.ai")</f>
        <v>david.israel@vyro.ai</v>
      </c>
      <c r="E100" s="728">
        <f>IFERROR(__xludf.DUMMYFUNCTION("""COMPUTED_VALUE"""),45768.0)</f>
        <v>45768</v>
      </c>
      <c r="F100" s="228" t="str">
        <f>IFERROR(__xludf.DUMMYFUNCTION("""COMPUTED_VALUE"""),"Machine Learning Engineer")</f>
        <v>Machine Learning Engineer</v>
      </c>
      <c r="G100" s="228" t="str">
        <f>IFERROR(__xludf.DUMMYFUNCTION("""COMPUTED_VALUE"""),"Machine Learning")</f>
        <v>Machine Learning</v>
      </c>
      <c r="H100" s="228" t="str">
        <f>IFERROR(__xludf.DUMMYFUNCTION("""COMPUTED_VALUE"""),"M. Abdullah Rafique, CTO")</f>
        <v>M. Abdullah Rafique, CTO</v>
      </c>
      <c r="I100" s="228" t="str">
        <f>IFERROR(__xludf.DUMMYFUNCTION("""COMPUTED_VALUE"""),"Permanent")</f>
        <v>Permanent</v>
      </c>
      <c r="J100" s="228" t="str">
        <f>IFERROR(__xludf.DUMMYFUNCTION("""COMPUTED_VALUE"""),"Active")</f>
        <v>Active</v>
      </c>
      <c r="K100" s="228"/>
      <c r="L100" s="228"/>
      <c r="M100" s="228"/>
      <c r="N100" s="228"/>
      <c r="O100" s="228"/>
      <c r="P100" s="228" t="str">
        <f>IFERROR(__xludf.DUMMYFUNCTION("""COMPUTED_VALUE"""),"8045712959")</f>
        <v>8045712959</v>
      </c>
      <c r="Q100" s="228"/>
      <c r="R100" s="228" t="str">
        <f>IFERROR(__xludf.DUMMYFUNCTION("""COMPUTED_VALUE"""),"Male")</f>
        <v>Male</v>
      </c>
      <c r="S100" s="228" t="str">
        <f>IFERROR(__xludf.DUMMYFUNCTION("""COMPUTED_VALUE"""),"Sutton Bank")</f>
        <v>Sutton Bank</v>
      </c>
      <c r="T100" s="228"/>
      <c r="U100" s="228" t="str">
        <f>IFERROR(__xludf.DUMMYFUNCTION("""COMPUTED_VALUE"""),"Account title: Amy Gleason, ACH Routing: 041215663, Account number: 1306385497573")</f>
        <v>Account title: Amy Gleason, ACH Routing: 041215663, Account number: 1306385497573</v>
      </c>
      <c r="V100" s="228"/>
      <c r="W100" s="228"/>
      <c r="X100" s="228" t="str">
        <f>IFERROR(__xludf.DUMMYFUNCTION("""COMPUTED_VALUE"""),"Remote")</f>
        <v>Remote</v>
      </c>
      <c r="Y100" s="730">
        <f>IFERROR(__xludf.DUMMYFUNCTION("""COMPUTED_VALUE"""),29773.0)</f>
        <v>29773</v>
      </c>
      <c r="Z100" s="228" t="str">
        <f>IFERROR(__xludf.DUMMYFUNCTION("""COMPUTED_VALUE"""),"43 Years")</f>
        <v>43 Years</v>
      </c>
      <c r="AA100" s="228"/>
      <c r="AB100" s="228" t="str">
        <f>IFERROR(__xludf.DUMMYFUNCTION("""COMPUTED_VALUE"""),"American")</f>
        <v>American</v>
      </c>
      <c r="AC100" s="228" t="str">
        <f>IFERROR(__xludf.DUMMYFUNCTION("""COMPUTED_VALUE"""),"Married")</f>
        <v>Married</v>
      </c>
      <c r="AD100" s="228"/>
      <c r="AE100" s="228"/>
      <c r="AF100" s="228"/>
      <c r="AG100" s="228"/>
      <c r="AH100" s="228"/>
      <c r="AI100" s="228"/>
      <c r="AJ100" s="228"/>
      <c r="AK100" s="228"/>
      <c r="AL100" s="228"/>
      <c r="AM100" s="228"/>
      <c r="AN100" s="228"/>
      <c r="AO100" s="228"/>
      <c r="AP100" s="228" t="str">
        <f>IFERROR(__xludf.DUMMYFUNCTION("""COMPUTED_VALUE"""),"YES")</f>
        <v>YES</v>
      </c>
      <c r="AQ100" s="228" t="str">
        <f>IFERROR(__xludf.DUMMYFUNCTION("""COMPUTED_VALUE"""),"Active")</f>
        <v>Active</v>
      </c>
    </row>
    <row r="101">
      <c r="A101" s="228">
        <f>IFERROR(__xludf.DUMMYFUNCTION("""COMPUTED_VALUE"""),5398.0)</f>
        <v>5398</v>
      </c>
      <c r="B101" s="228" t="str">
        <f>IFERROR(__xludf.DUMMYFUNCTION("""COMPUTED_VALUE"""),"Nida Rehman")</f>
        <v>Nida Rehman</v>
      </c>
      <c r="C101" s="228" t="str">
        <f>IFERROR(__xludf.DUMMYFUNCTION("""COMPUTED_VALUE"""),"nidarehman785@gmail.com")</f>
        <v>nidarehman785@gmail.com</v>
      </c>
      <c r="D101" s="228" t="str">
        <f>IFERROR(__xludf.DUMMYFUNCTION("""COMPUTED_VALUE"""),"nida.rehman@vyro.ai")</f>
        <v>nida.rehman@vyro.ai</v>
      </c>
      <c r="E101" s="728">
        <f>IFERROR(__xludf.DUMMYFUNCTION("""COMPUTED_VALUE"""),45775.0)</f>
        <v>45775</v>
      </c>
      <c r="F101" s="228" t="str">
        <f>IFERROR(__xludf.DUMMYFUNCTION("""COMPUTED_VALUE"""),"SQA Engineer")</f>
        <v>SQA Engineer</v>
      </c>
      <c r="G101" s="228" t="str">
        <f>IFERROR(__xludf.DUMMYFUNCTION("""COMPUTED_VALUE"""),"Quality Assurance")</f>
        <v>Quality Assurance</v>
      </c>
      <c r="H101" s="228" t="str">
        <f>IFERROR(__xludf.DUMMYFUNCTION("""COMPUTED_VALUE"""),"Mehdi")</f>
        <v>Mehdi</v>
      </c>
      <c r="I101" s="228" t="str">
        <f>IFERROR(__xludf.DUMMYFUNCTION("""COMPUTED_VALUE"""),"Onsite")</f>
        <v>Onsite</v>
      </c>
      <c r="J101" s="228" t="str">
        <f>IFERROR(__xludf.DUMMYFUNCTION("""COMPUTED_VALUE"""),"Active")</f>
        <v>Active</v>
      </c>
      <c r="K101" s="228"/>
      <c r="L101" s="729">
        <f>IFERROR(__xludf.DUMMYFUNCTION("""COMPUTED_VALUE"""),45866.0)</f>
        <v>45866</v>
      </c>
      <c r="M101" s="228"/>
      <c r="N101" s="228"/>
      <c r="O101" s="228"/>
      <c r="P101" s="228" t="str">
        <f>IFERROR(__xludf.DUMMYFUNCTION("""COMPUTED_VALUE"""),"3339187918")</f>
        <v>3339187918</v>
      </c>
      <c r="Q101" s="228" t="str">
        <f>IFERROR(__xludf.DUMMYFUNCTION("""COMPUTED_VALUE"""),"17301-8501267-2")</f>
        <v>17301-8501267-2</v>
      </c>
      <c r="R101" s="228" t="str">
        <f>IFERROR(__xludf.DUMMYFUNCTION("""COMPUTED_VALUE"""),"Female")</f>
        <v>Female</v>
      </c>
      <c r="S101" s="228" t="str">
        <f>IFERROR(__xludf.DUMMYFUNCTION("""COMPUTED_VALUE"""),"Meezan Bank")</f>
        <v>Meezan Bank</v>
      </c>
      <c r="T101" s="228" t="str">
        <f>IFERROR(__xludf.DUMMYFUNCTION("""COMPUTED_VALUE"""),"NIDA REHMAN")</f>
        <v>NIDA REHMAN</v>
      </c>
      <c r="U101" s="228" t="str">
        <f>IFERROR(__xludf.DUMMYFUNCTION("""COMPUTED_VALUE"""),"Account Number: 07090107018677 IBAN: PK42MEZN0007090107018677")</f>
        <v>Account Number: 07090107018677 IBAN: PK42MEZN0007090107018677</v>
      </c>
      <c r="V101" s="228" t="str">
        <f>IFERROR(__xludf.DUMMYFUNCTION("""COMPUTED_VALUE"""),"MEZNPKKA089")</f>
        <v>MEZNPKKA089</v>
      </c>
      <c r="W101" s="228"/>
      <c r="X101" s="228" t="str">
        <f>IFERROR(__xludf.DUMMYFUNCTION("""COMPUTED_VALUE"""),"Islamabad")</f>
        <v>Islamabad</v>
      </c>
      <c r="Y101" s="730">
        <f>IFERROR(__xludf.DUMMYFUNCTION("""COMPUTED_VALUE"""),36857.0)</f>
        <v>36857</v>
      </c>
      <c r="Z101" s="228" t="str">
        <f>IFERROR(__xludf.DUMMYFUNCTION("""COMPUTED_VALUE"""),"24 Years")</f>
        <v>24 Years</v>
      </c>
      <c r="AA101" s="228" t="str">
        <f>IFERROR(__xludf.DUMMYFUNCTION("""COMPUTED_VALUE"""),"House No 1794 Azizabad colony near murshadabad kohat road peshawar")</f>
        <v>House No 1794 Azizabad colony near murshadabad kohat road peshawar</v>
      </c>
      <c r="AB101" s="228" t="str">
        <f>IFERROR(__xludf.DUMMYFUNCTION("""COMPUTED_VALUE"""),"Pakistan")</f>
        <v>Pakistan</v>
      </c>
      <c r="AC101" s="228" t="str">
        <f>IFERROR(__xludf.DUMMYFUNCTION("""COMPUTED_VALUE"""),"Single")</f>
        <v>Single</v>
      </c>
      <c r="AD101" s="228"/>
      <c r="AE101" s="228"/>
      <c r="AF101" s="228"/>
      <c r="AG101" s="228" t="str">
        <f>IFERROR(__xludf.DUMMYFUNCTION("""COMPUTED_VALUE"""),"Attiq-ur-Rehman")</f>
        <v>Attiq-ur-Rehman</v>
      </c>
      <c r="AH101" s="228" t="str">
        <f>IFERROR(__xludf.DUMMYFUNCTION("""COMPUTED_VALUE"""),"Sister")</f>
        <v>Sister</v>
      </c>
      <c r="AI101" s="228"/>
      <c r="AJ101" s="228" t="str">
        <f>IFERROR(__xludf.DUMMYFUNCTION("""COMPUTED_VALUE"""),"A+")</f>
        <v>A+</v>
      </c>
      <c r="AK101" s="228" t="str">
        <f>IFERROR(__xludf.DUMMYFUNCTION("""COMPUTED_VALUE"""),"www.linkedin.com/in/ nida-rehman-594599209")</f>
        <v>www.linkedin.com/in/ nida-rehman-594599209</v>
      </c>
      <c r="AL101" s="228" t="str">
        <f>IFERROR(__xludf.DUMMYFUNCTION("""COMPUTED_VALUE"""),"Mustafa Shakil")</f>
        <v>Mustafa Shakil</v>
      </c>
      <c r="AM101" s="228"/>
      <c r="AN101" s="228"/>
      <c r="AO101" s="228"/>
      <c r="AP101" s="228" t="str">
        <f>IFERROR(__xludf.DUMMYFUNCTION("""COMPUTED_VALUE"""),"NO")</f>
        <v>NO</v>
      </c>
      <c r="AQ101" s="228" t="str">
        <f>IFERROR(__xludf.DUMMYFUNCTION("""COMPUTED_VALUE"""),"Active")</f>
        <v>Active</v>
      </c>
    </row>
    <row r="102">
      <c r="A102" s="228">
        <f>IFERROR(__xludf.DUMMYFUNCTION("""COMPUTED_VALUE"""),5401.0)</f>
        <v>5401</v>
      </c>
      <c r="B102" s="228" t="str">
        <f>IFERROR(__xludf.DUMMYFUNCTION("""COMPUTED_VALUE"""),"Rashid Minhas")</f>
        <v>Rashid Minhas</v>
      </c>
      <c r="C102" s="228" t="str">
        <f>IFERROR(__xludf.DUMMYFUNCTION("""COMPUTED_VALUE"""),"minhasokz2@gmail.com")</f>
        <v>minhasokz2@gmail.com</v>
      </c>
      <c r="D102" s="228" t="str">
        <f>IFERROR(__xludf.DUMMYFUNCTION("""COMPUTED_VALUE"""),"rashid.minhas@vyro.ai")</f>
        <v>rashid.minhas@vyro.ai</v>
      </c>
      <c r="E102" s="728">
        <f>IFERROR(__xludf.DUMMYFUNCTION("""COMPUTED_VALUE"""),45775.0)</f>
        <v>45775</v>
      </c>
      <c r="F102" s="228" t="str">
        <f>IFERROR(__xludf.DUMMYFUNCTION("""COMPUTED_VALUE"""),"SEO Executive")</f>
        <v>SEO Executive</v>
      </c>
      <c r="G102" s="228" t="str">
        <f>IFERROR(__xludf.DUMMYFUNCTION("""COMPUTED_VALUE"""),"SEO")</f>
        <v>SEO</v>
      </c>
      <c r="H102" s="228" t="str">
        <f>IFERROR(__xludf.DUMMYFUNCTION("""COMPUTED_VALUE"""),"Syed Osama")</f>
        <v>Syed Osama</v>
      </c>
      <c r="I102" s="228" t="str">
        <f>IFERROR(__xludf.DUMMYFUNCTION("""COMPUTED_VALUE"""),"Onsite")</f>
        <v>Onsite</v>
      </c>
      <c r="J102" s="228" t="str">
        <f>IFERROR(__xludf.DUMMYFUNCTION("""COMPUTED_VALUE"""),"Active")</f>
        <v>Active</v>
      </c>
      <c r="K102" s="228"/>
      <c r="L102" s="729">
        <f>IFERROR(__xludf.DUMMYFUNCTION("""COMPUTED_VALUE"""),45866.0)</f>
        <v>45866</v>
      </c>
      <c r="M102" s="228"/>
      <c r="N102" s="228"/>
      <c r="O102" s="228"/>
      <c r="P102" s="228" t="str">
        <f>IFERROR(__xludf.DUMMYFUNCTION("""COMPUTED_VALUE"""),"03329806866")</f>
        <v>03329806866</v>
      </c>
      <c r="Q102" s="228" t="str">
        <f>IFERROR(__xludf.DUMMYFUNCTION("""COMPUTED_VALUE"""),"14101-8586879-3")</f>
        <v>14101-8586879-3</v>
      </c>
      <c r="R102" s="228" t="str">
        <f>IFERROR(__xludf.DUMMYFUNCTION("""COMPUTED_VALUE"""),"Male")</f>
        <v>Male</v>
      </c>
      <c r="S102" s="228" t="str">
        <f>IFERROR(__xludf.DUMMYFUNCTION("""COMPUTED_VALUE"""),"Rashid Minhas")</f>
        <v>Rashid Minhas</v>
      </c>
      <c r="T102" s="228" t="str">
        <f>IFERROR(__xludf.DUMMYFUNCTION("""COMPUTED_VALUE"""),"Rashid Minhas")</f>
        <v>Rashid Minhas</v>
      </c>
      <c r="U102" s="228" t="str">
        <f>IFERROR(__xludf.DUMMYFUNCTION("""COMPUTED_VALUE"""),"PK48UNIL0109000242555991")</f>
        <v>PK48UNIL0109000242555991</v>
      </c>
      <c r="V102" s="228" t="str">
        <f>IFERROR(__xludf.DUMMYFUNCTION("""COMPUTED_VALUE"""),"UNILPKKA")</f>
        <v>UNILPKKA</v>
      </c>
      <c r="W102" s="228"/>
      <c r="X102" s="228" t="str">
        <f>IFERROR(__xludf.DUMMYFUNCTION("""COMPUTED_VALUE"""),"Islamabad")</f>
        <v>Islamabad</v>
      </c>
      <c r="Y102" s="730">
        <f>IFERROR(__xludf.DUMMYFUNCTION("""COMPUTED_VALUE"""),35148.0)</f>
        <v>35148</v>
      </c>
      <c r="Z102" s="228" t="str">
        <f>IFERROR(__xludf.DUMMYFUNCTION("""COMPUTED_VALUE"""),"29 Years")</f>
        <v>29 Years</v>
      </c>
      <c r="AA102" s="228" t="str">
        <f>IFERROR(__xludf.DUMMYFUNCTION("""COMPUTED_VALUE"""),"Mishti Mela, Sarla , Upper Orakzai KPK")</f>
        <v>Mishti Mela, Sarla , Upper Orakzai KPK</v>
      </c>
      <c r="AB102" s="228" t="str">
        <f>IFERROR(__xludf.DUMMYFUNCTION("""COMPUTED_VALUE"""),"Pakistan")</f>
        <v>Pakistan</v>
      </c>
      <c r="AC102" s="228" t="str">
        <f>IFERROR(__xludf.DUMMYFUNCTION("""COMPUTED_VALUE"""),"Married")</f>
        <v>Married</v>
      </c>
      <c r="AD102" s="228"/>
      <c r="AE102" s="228"/>
      <c r="AF102" s="228"/>
      <c r="AG102" s="228" t="str">
        <f>IFERROR(__xludf.DUMMYFUNCTION("""COMPUTED_VALUE"""),"Mumtaz Khan")</f>
        <v>Mumtaz Khan</v>
      </c>
      <c r="AH102" s="228" t="str">
        <f>IFERROR(__xludf.DUMMYFUNCTION("""COMPUTED_VALUE"""),"Brother ( Abdul Aziz )")</f>
        <v>Brother ( Abdul Aziz )</v>
      </c>
      <c r="AI102" s="228"/>
      <c r="AJ102" s="228" t="str">
        <f>IFERROR(__xludf.DUMMYFUNCTION("""COMPUTED_VALUE"""),"B+")</f>
        <v>B+</v>
      </c>
      <c r="AK102" s="731" t="str">
        <f>IFERROR(__xludf.DUMMYFUNCTION("""COMPUTED_VALUE"""),"https://pk.linkedin.com/in/merashidminhas")</f>
        <v>https://pk.linkedin.com/in/merashidminhas</v>
      </c>
      <c r="AL102" s="228" t="str">
        <f>IFERROR(__xludf.DUMMYFUNCTION("""COMPUTED_VALUE"""),"Mustafa Shakeel")</f>
        <v>Mustafa Shakeel</v>
      </c>
      <c r="AM102" s="228"/>
      <c r="AN102" s="228"/>
      <c r="AO102" s="228"/>
      <c r="AP102" s="228" t="str">
        <f>IFERROR(__xludf.DUMMYFUNCTION("""COMPUTED_VALUE"""),"NO")</f>
        <v>NO</v>
      </c>
      <c r="AQ102" s="228" t="str">
        <f>IFERROR(__xludf.DUMMYFUNCTION("""COMPUTED_VALUE"""),"Active")</f>
        <v>Active</v>
      </c>
    </row>
    <row r="103">
      <c r="A103" s="228">
        <f>IFERROR(__xludf.DUMMYFUNCTION("""COMPUTED_VALUE"""),5391.0)</f>
        <v>5391</v>
      </c>
      <c r="B103" s="228" t="str">
        <f>IFERROR(__xludf.DUMMYFUNCTION("""COMPUTED_VALUE"""),"Zaurayz Kashan Shah")</f>
        <v>Zaurayz Kashan Shah</v>
      </c>
      <c r="C103" s="228" t="str">
        <f>IFERROR(__xludf.DUMMYFUNCTION("""COMPUTED_VALUE"""),"zaurayzs15@gmail.com")</f>
        <v>zaurayzs15@gmail.com</v>
      </c>
      <c r="D103" s="228" t="str">
        <f>IFERROR(__xludf.DUMMYFUNCTION("""COMPUTED_VALUE"""),"zaurayz.kashan@vyro.ai")</f>
        <v>zaurayz.kashan@vyro.ai</v>
      </c>
      <c r="E103" s="728">
        <f>IFERROR(__xludf.DUMMYFUNCTION("""COMPUTED_VALUE"""),45775.0)</f>
        <v>45775</v>
      </c>
      <c r="F103" s="228" t="str">
        <f>IFERROR(__xludf.DUMMYFUNCTION("""COMPUTED_VALUE"""),"Outreach Associate")</f>
        <v>Outreach Associate</v>
      </c>
      <c r="G103" s="228" t="str">
        <f>IFERROR(__xludf.DUMMYFUNCTION("""COMPUTED_VALUE"""),"Social Media &amp; Community Growth")</f>
        <v>Social Media &amp; Community Growth</v>
      </c>
      <c r="H103" s="228" t="str">
        <f>IFERROR(__xludf.DUMMYFUNCTION("""COMPUTED_VALUE"""),"Shawal Fida")</f>
        <v>Shawal Fida</v>
      </c>
      <c r="I103" s="228" t="str">
        <f>IFERROR(__xludf.DUMMYFUNCTION("""COMPUTED_VALUE"""),"Onsite")</f>
        <v>Onsite</v>
      </c>
      <c r="J103" s="228" t="str">
        <f>IFERROR(__xludf.DUMMYFUNCTION("""COMPUTED_VALUE"""),"Active")</f>
        <v>Active</v>
      </c>
      <c r="K103" s="228"/>
      <c r="L103" s="729">
        <f>IFERROR(__xludf.DUMMYFUNCTION("""COMPUTED_VALUE"""),45866.0)</f>
        <v>45866</v>
      </c>
      <c r="M103" s="228"/>
      <c r="N103" s="228"/>
      <c r="O103" s="228"/>
      <c r="P103" s="228" t="str">
        <f>IFERROR(__xludf.DUMMYFUNCTION("""COMPUTED_VALUE"""),"03359110402")</f>
        <v>03359110402</v>
      </c>
      <c r="Q103" s="228" t="str">
        <f>IFERROR(__xludf.DUMMYFUNCTION("""COMPUTED_VALUE"""),"17301-7071105-3")</f>
        <v>17301-7071105-3</v>
      </c>
      <c r="R103" s="228" t="str">
        <f>IFERROR(__xludf.DUMMYFUNCTION("""COMPUTED_VALUE"""),"Male")</f>
        <v>Male</v>
      </c>
      <c r="S103" s="228" t="str">
        <f>IFERROR(__xludf.DUMMYFUNCTION("""COMPUTED_VALUE"""),"SadaPay")</f>
        <v>SadaPay</v>
      </c>
      <c r="T103" s="228" t="str">
        <f>IFERROR(__xludf.DUMMYFUNCTION("""COMPUTED_VALUE"""),"Zaurayz Kashan Shah")</f>
        <v>Zaurayz Kashan Shah</v>
      </c>
      <c r="U103" s="228" t="str">
        <f>IFERROR(__xludf.DUMMYFUNCTION("""COMPUTED_VALUE"""),"PK49SADA0000003359110402")</f>
        <v>PK49SADA0000003359110402</v>
      </c>
      <c r="V103" s="228" t="str">
        <f>IFERROR(__xludf.DUMMYFUNCTION("""COMPUTED_VALUE"""),"SADAPKKA")</f>
        <v>SADAPKKA</v>
      </c>
      <c r="W103" s="228"/>
      <c r="X103" s="228" t="str">
        <f>IFERROR(__xludf.DUMMYFUNCTION("""COMPUTED_VALUE"""),"Islamabad")</f>
        <v>Islamabad</v>
      </c>
      <c r="Y103" s="730">
        <f>IFERROR(__xludf.DUMMYFUNCTION("""COMPUTED_VALUE"""),37940.0)</f>
        <v>37940</v>
      </c>
      <c r="Z103" s="228" t="str">
        <f>IFERROR(__xludf.DUMMYFUNCTION("""COMPUTED_VALUE"""),"21 Years")</f>
        <v>21 Years</v>
      </c>
      <c r="AA103" s="228" t="str">
        <f>IFERROR(__xludf.DUMMYFUNCTION("""COMPUTED_VALUE"""),"Flat#5, Ace Homes, Street#1, Shah Allah Detta, Islamabad")</f>
        <v>Flat#5, Ace Homes, Street#1, Shah Allah Detta, Islamabad</v>
      </c>
      <c r="AB103" s="228" t="str">
        <f>IFERROR(__xludf.DUMMYFUNCTION("""COMPUTED_VALUE"""),"Pakistani")</f>
        <v>Pakistani</v>
      </c>
      <c r="AC103" s="228" t="str">
        <f>IFERROR(__xludf.DUMMYFUNCTION("""COMPUTED_VALUE"""),"Single")</f>
        <v>Single</v>
      </c>
      <c r="AD103" s="228"/>
      <c r="AE103" s="228"/>
      <c r="AF103" s="228"/>
      <c r="AG103" s="228" t="str">
        <f>IFERROR(__xludf.DUMMYFUNCTION("""COMPUTED_VALUE"""),"Kashan Aslam Shah")</f>
        <v>Kashan Aslam Shah</v>
      </c>
      <c r="AH103" s="228" t="str">
        <f>IFERROR(__xludf.DUMMYFUNCTION("""COMPUTED_VALUE"""),"Father")</f>
        <v>Father</v>
      </c>
      <c r="AI103" s="228"/>
      <c r="AJ103" s="228" t="str">
        <f>IFERROR(__xludf.DUMMYFUNCTION("""COMPUTED_VALUE"""),"B+")</f>
        <v>B+</v>
      </c>
      <c r="AK103" s="731" t="str">
        <f>IFERROR(__xludf.DUMMYFUNCTION("""COMPUTED_VALUE"""),"http://linkedin.com/in/zaurayz-kashan-shah-43232a350")</f>
        <v>http://linkedin.com/in/zaurayz-kashan-shah-43232a350</v>
      </c>
      <c r="AL103" s="228" t="str">
        <f>IFERROR(__xludf.DUMMYFUNCTION("""COMPUTED_VALUE"""),"Mustafa Shakil")</f>
        <v>Mustafa Shakil</v>
      </c>
      <c r="AM103" s="228"/>
      <c r="AN103" s="228"/>
      <c r="AO103" s="228"/>
      <c r="AP103" s="228" t="str">
        <f>IFERROR(__xludf.DUMMYFUNCTION("""COMPUTED_VALUE"""),"NO")</f>
        <v>NO</v>
      </c>
      <c r="AQ103" s="228" t="str">
        <f>IFERROR(__xludf.DUMMYFUNCTION("""COMPUTED_VALUE"""),"Active")</f>
        <v>Active</v>
      </c>
    </row>
    <row r="104">
      <c r="A104" s="228">
        <f>IFERROR(__xludf.DUMMYFUNCTION("""COMPUTED_VALUE"""),5396.0)</f>
        <v>5396</v>
      </c>
      <c r="B104" s="228" t="str">
        <f>IFERROR(__xludf.DUMMYFUNCTION("""COMPUTED_VALUE"""),"Abdullah Najam Qureshi")</f>
        <v>Abdullah Najam Qureshi</v>
      </c>
      <c r="C104" s="228" t="str">
        <f>IFERROR(__xludf.DUMMYFUNCTION("""COMPUTED_VALUE"""),"abdullah.n.qureshi99@gmail.com")</f>
        <v>abdullah.n.qureshi99@gmail.com</v>
      </c>
      <c r="D104" s="228" t="str">
        <f>IFERROR(__xludf.DUMMYFUNCTION("""COMPUTED_VALUE"""),"abdullah.qureshi@vyro.ai")</f>
        <v>abdullah.qureshi@vyro.ai</v>
      </c>
      <c r="E104" s="728">
        <f>IFERROR(__xludf.DUMMYFUNCTION("""COMPUTED_VALUE"""),45782.0)</f>
        <v>45782</v>
      </c>
      <c r="F104" s="228" t="str">
        <f>IFERROR(__xludf.DUMMYFUNCTION("""COMPUTED_VALUE"""),"Product Manager - Associate")</f>
        <v>Product Manager - Associate</v>
      </c>
      <c r="G104" s="228" t="str">
        <f>IFERROR(__xludf.DUMMYFUNCTION("""COMPUTED_VALUE"""),"Product")</f>
        <v>Product</v>
      </c>
      <c r="H104" s="228" t="str">
        <f>IFERROR(__xludf.DUMMYFUNCTION("""COMPUTED_VALUE"""),"Awais Chaudhry")</f>
        <v>Awais Chaudhry</v>
      </c>
      <c r="I104" s="228" t="str">
        <f>IFERROR(__xludf.DUMMYFUNCTION("""COMPUTED_VALUE"""),"Onsite")</f>
        <v>Onsite</v>
      </c>
      <c r="J104" s="228" t="str">
        <f>IFERROR(__xludf.DUMMYFUNCTION("""COMPUTED_VALUE"""),"Active")</f>
        <v>Active</v>
      </c>
      <c r="K104" s="228"/>
      <c r="L104" s="729">
        <f>IFERROR(__xludf.DUMMYFUNCTION("""COMPUTED_VALUE"""),45874.0)</f>
        <v>45874</v>
      </c>
      <c r="M104" s="228"/>
      <c r="N104" s="228"/>
      <c r="O104" s="228"/>
      <c r="P104" s="228" t="str">
        <f>IFERROR(__xludf.DUMMYFUNCTION("""COMPUTED_VALUE"""),"3314770668")</f>
        <v>3314770668</v>
      </c>
      <c r="Q104" s="228" t="str">
        <f>IFERROR(__xludf.DUMMYFUNCTION("""COMPUTED_VALUE"""),"37405-7481458-5")</f>
        <v>37405-7481458-5</v>
      </c>
      <c r="R104" s="228" t="str">
        <f>IFERROR(__xludf.DUMMYFUNCTION("""COMPUTED_VALUE"""),"Male")</f>
        <v>Male</v>
      </c>
      <c r="S104" s="228" t="str">
        <f>IFERROR(__xludf.DUMMYFUNCTION("""COMPUTED_VALUE"""),"Meezan Bank")</f>
        <v>Meezan Bank</v>
      </c>
      <c r="T104" s="228" t="str">
        <f>IFERROR(__xludf.DUMMYFUNCTION("""COMPUTED_VALUE"""),"Abdullah Najam Qureshi")</f>
        <v>Abdullah Najam Qureshi</v>
      </c>
      <c r="U104" s="228" t="str">
        <f>IFERROR(__xludf.DUMMYFUNCTION("""COMPUTED_VALUE"""),"PK16MEZN0003350107641975")</f>
        <v>PK16MEZN0003350107641975</v>
      </c>
      <c r="V104" s="228" t="str">
        <f>IFERROR(__xludf.DUMMYFUNCTION("""COMPUTED_VALUE"""),"MEZNPKKAGRD")</f>
        <v>MEZNPKKAGRD</v>
      </c>
      <c r="W104" s="228"/>
      <c r="X104" s="228" t="str">
        <f>IFERROR(__xludf.DUMMYFUNCTION("""COMPUTED_VALUE"""),"Islamabad")</f>
        <v>Islamabad</v>
      </c>
      <c r="Y104" s="730">
        <f>IFERROR(__xludf.DUMMYFUNCTION("""COMPUTED_VALUE"""),36197.0)</f>
        <v>36197</v>
      </c>
      <c r="Z104" s="228" t="str">
        <f>IFERROR(__xludf.DUMMYFUNCTION("""COMPUTED_VALUE"""),"26 Years")</f>
        <v>26 Years</v>
      </c>
      <c r="AA104" s="228" t="str">
        <f>IFERROR(__xludf.DUMMYFUNCTION("""COMPUTED_VALUE"""),"House No 179-C, Street 12/1, Block D, National Police Foundation, PWD, Islamabad")</f>
        <v>House No 179-C, Street 12/1, Block D, National Police Foundation, PWD, Islamabad</v>
      </c>
      <c r="AB104" s="228" t="str">
        <f>IFERROR(__xludf.DUMMYFUNCTION("""COMPUTED_VALUE"""),"Pakistani")</f>
        <v>Pakistani</v>
      </c>
      <c r="AC104" s="228" t="str">
        <f>IFERROR(__xludf.DUMMYFUNCTION("""COMPUTED_VALUE"""),"Single")</f>
        <v>Single</v>
      </c>
      <c r="AD104" s="228"/>
      <c r="AE104" s="228"/>
      <c r="AF104" s="228"/>
      <c r="AG104" s="228" t="str">
        <f>IFERROR(__xludf.DUMMYFUNCTION("""COMPUTED_VALUE"""),"Najam Ahmed Qureshi")</f>
        <v>Najam Ahmed Qureshi</v>
      </c>
      <c r="AH104" s="228" t="str">
        <f>IFERROR(__xludf.DUMMYFUNCTION("""COMPUTED_VALUE"""),"Brother")</f>
        <v>Brother</v>
      </c>
      <c r="AI104" s="228">
        <f>IFERROR(__xludf.DUMMYFUNCTION("""COMPUTED_VALUE"""),3.360444812E9)</f>
        <v>3360444812</v>
      </c>
      <c r="AJ104" s="228" t="str">
        <f>IFERROR(__xludf.DUMMYFUNCTION("""COMPUTED_VALUE"""),"O+")</f>
        <v>O+</v>
      </c>
      <c r="AK104" s="731" t="str">
        <f>IFERROR(__xludf.DUMMYFUNCTION("""COMPUTED_VALUE"""),"https://www.linkedin.com/in/abdullah-qureshi5/")</f>
        <v>https://www.linkedin.com/in/abdullah-qureshi5/</v>
      </c>
      <c r="AL104" s="228" t="str">
        <f>IFERROR(__xludf.DUMMYFUNCTION("""COMPUTED_VALUE"""),"Annum Inam Tirmizi")</f>
        <v>Annum Inam Tirmizi</v>
      </c>
      <c r="AM104" s="228"/>
      <c r="AN104" s="228"/>
      <c r="AO104" s="228"/>
      <c r="AP104" s="228" t="str">
        <f>IFERROR(__xludf.DUMMYFUNCTION("""COMPUTED_VALUE"""),"NO")</f>
        <v>NO</v>
      </c>
      <c r="AQ104" s="228" t="str">
        <f>IFERROR(__xludf.DUMMYFUNCTION("""COMPUTED_VALUE"""),"Active")</f>
        <v>Active</v>
      </c>
    </row>
    <row r="105">
      <c r="A105" s="228">
        <f>IFERROR(__xludf.DUMMYFUNCTION("""COMPUTED_VALUE"""),5405.0)</f>
        <v>5405</v>
      </c>
      <c r="B105" s="228" t="str">
        <f>IFERROR(__xludf.DUMMYFUNCTION("""COMPUTED_VALUE"""),"Moosah Masood Butt")</f>
        <v>Moosah Masood Butt</v>
      </c>
      <c r="C105" s="228" t="str">
        <f>IFERROR(__xludf.DUMMYFUNCTION("""COMPUTED_VALUE"""),"moosathebutt@gmail.com")</f>
        <v>moosathebutt@gmail.com</v>
      </c>
      <c r="D105" s="228" t="str">
        <f>IFERROR(__xludf.DUMMYFUNCTION("""COMPUTED_VALUE"""),"moosah.masood@vyro.ai")</f>
        <v>moosah.masood@vyro.ai</v>
      </c>
      <c r="E105" s="728">
        <f>IFERROR(__xludf.DUMMYFUNCTION("""COMPUTED_VALUE"""),45782.0)</f>
        <v>45782</v>
      </c>
      <c r="F105" s="228" t="str">
        <f>IFERROR(__xludf.DUMMYFUNCTION("""COMPUTED_VALUE"""),"Jr Frontend Developer")</f>
        <v>Jr Frontend Developer</v>
      </c>
      <c r="G105" s="228" t="str">
        <f>IFERROR(__xludf.DUMMYFUNCTION("""COMPUTED_VALUE"""),"Frontend")</f>
        <v>Frontend</v>
      </c>
      <c r="H105" s="228" t="str">
        <f>IFERROR(__xludf.DUMMYFUNCTION("""COMPUTED_VALUE"""),"Saif ur Rehman")</f>
        <v>Saif ur Rehman</v>
      </c>
      <c r="I105" s="228" t="str">
        <f>IFERROR(__xludf.DUMMYFUNCTION("""COMPUTED_VALUE"""),"Onsite")</f>
        <v>Onsite</v>
      </c>
      <c r="J105" s="228" t="str">
        <f>IFERROR(__xludf.DUMMYFUNCTION("""COMPUTED_VALUE"""),"Active")</f>
        <v>Active</v>
      </c>
      <c r="K105" s="228"/>
      <c r="L105" s="729">
        <f>IFERROR(__xludf.DUMMYFUNCTION("""COMPUTED_VALUE"""),45874.0)</f>
        <v>45874</v>
      </c>
      <c r="M105" s="228"/>
      <c r="N105" s="228"/>
      <c r="O105" s="228"/>
      <c r="P105" s="228" t="str">
        <f>IFERROR(__xludf.DUMMYFUNCTION("""COMPUTED_VALUE"""),"3335123480")</f>
        <v>3335123480</v>
      </c>
      <c r="Q105" s="228" t="str">
        <f>IFERROR(__xludf.DUMMYFUNCTION("""COMPUTED_VALUE"""),"61101-6964071-3")</f>
        <v>61101-6964071-3</v>
      </c>
      <c r="R105" s="228" t="str">
        <f>IFERROR(__xludf.DUMMYFUNCTION("""COMPUTED_VALUE"""),"Male")</f>
        <v>Male</v>
      </c>
      <c r="S105" s="228" t="str">
        <f>IFERROR(__xludf.DUMMYFUNCTION("""COMPUTED_VALUE"""),"Allied Bank Limited")</f>
        <v>Allied Bank Limited</v>
      </c>
      <c r="T105" s="228" t="str">
        <f>IFERROR(__xludf.DUMMYFUNCTION("""COMPUTED_VALUE"""),"MOOSAH MASOOD BUTT")</f>
        <v>MOOSAH MASOOD BUTT</v>
      </c>
      <c r="U105" s="228" t="str">
        <f>IFERROR(__xludf.DUMMYFUNCTION("""COMPUTED_VALUE"""),"PK27ABPA0010019366980031")</f>
        <v>PK27ABPA0010019366980031</v>
      </c>
      <c r="V105" s="228" t="str">
        <f>IFERROR(__xludf.DUMMYFUNCTION("""COMPUTED_VALUE"""),"ABPAPKKA584")</f>
        <v>ABPAPKKA584</v>
      </c>
      <c r="W105" s="228"/>
      <c r="X105" s="228" t="str">
        <f>IFERROR(__xludf.DUMMYFUNCTION("""COMPUTED_VALUE"""),"Islamabad")</f>
        <v>Islamabad</v>
      </c>
      <c r="Y105" s="730">
        <f>IFERROR(__xludf.DUMMYFUNCTION("""COMPUTED_VALUE"""),37173.0)</f>
        <v>37173</v>
      </c>
      <c r="Z105" s="228" t="str">
        <f>IFERROR(__xludf.DUMMYFUNCTION("""COMPUTED_VALUE"""),"23 Years")</f>
        <v>23 Years</v>
      </c>
      <c r="AA105" s="228" t="str">
        <f>IFERROR(__xludf.DUMMYFUNCTION("""COMPUTED_VALUE"""),"f-8/3 street#6 house #35 Islamabad")</f>
        <v>f-8/3 street#6 house #35 Islamabad</v>
      </c>
      <c r="AB105" s="228" t="str">
        <f>IFERROR(__xludf.DUMMYFUNCTION("""COMPUTED_VALUE"""),"Pakistan")</f>
        <v>Pakistan</v>
      </c>
      <c r="AC105" s="228" t="str">
        <f>IFERROR(__xludf.DUMMYFUNCTION("""COMPUTED_VALUE"""),"Single")</f>
        <v>Single</v>
      </c>
      <c r="AD105" s="228"/>
      <c r="AE105" s="228"/>
      <c r="AF105" s="228"/>
      <c r="AG105" s="228" t="str">
        <f>IFERROR(__xludf.DUMMYFUNCTION("""COMPUTED_VALUE"""),"Masood Ahmed Butt")</f>
        <v>Masood Ahmed Butt</v>
      </c>
      <c r="AH105" s="228" t="str">
        <f>IFERROR(__xludf.DUMMYFUNCTION("""COMPUTED_VALUE"""),"Father")</f>
        <v>Father</v>
      </c>
      <c r="AI105" s="228">
        <f>IFERROR(__xludf.DUMMYFUNCTION("""COMPUTED_VALUE"""),3.215155021E9)</f>
        <v>3215155021</v>
      </c>
      <c r="AJ105" s="228" t="str">
        <f>IFERROR(__xludf.DUMMYFUNCTION("""COMPUTED_VALUE"""),"A-")</f>
        <v>A-</v>
      </c>
      <c r="AK105" s="731" t="str">
        <f>IFERROR(__xludf.DUMMYFUNCTION("""COMPUTED_VALUE"""),"https://www.linkedin.com/in/moosa-butt/")</f>
        <v>https://www.linkedin.com/in/moosa-butt/</v>
      </c>
      <c r="AL105" s="228" t="str">
        <f>IFERROR(__xludf.DUMMYFUNCTION("""COMPUTED_VALUE"""),"Annum Inam")</f>
        <v>Annum Inam</v>
      </c>
      <c r="AM105" s="228"/>
      <c r="AN105" s="228"/>
      <c r="AO105" s="228"/>
      <c r="AP105" s="228" t="str">
        <f>IFERROR(__xludf.DUMMYFUNCTION("""COMPUTED_VALUE"""),"NO")</f>
        <v>NO</v>
      </c>
      <c r="AQ105" s="228" t="str">
        <f>IFERROR(__xludf.DUMMYFUNCTION("""COMPUTED_VALUE"""),"Active")</f>
        <v>Active</v>
      </c>
    </row>
    <row r="106">
      <c r="A106" s="228">
        <f>IFERROR(__xludf.DUMMYFUNCTION("""COMPUTED_VALUE"""),5395.0)</f>
        <v>5395</v>
      </c>
      <c r="B106" s="228" t="str">
        <f>IFERROR(__xludf.DUMMYFUNCTION("""COMPUTED_VALUE"""),"Abdul Ahad Qureshi")</f>
        <v>Abdul Ahad Qureshi</v>
      </c>
      <c r="C106" s="228" t="str">
        <f>IFERROR(__xludf.DUMMYFUNCTION("""COMPUTED_VALUE"""),"abdulahad.proff@gmail.com")</f>
        <v>abdulahad.proff@gmail.com</v>
      </c>
      <c r="D106" s="228" t="str">
        <f>IFERROR(__xludf.DUMMYFUNCTION("""COMPUTED_VALUE"""),"abdul.ahad@vyro.ai")</f>
        <v>abdul.ahad@vyro.ai</v>
      </c>
      <c r="E106" s="728">
        <f>IFERROR(__xludf.DUMMYFUNCTION("""COMPUTED_VALUE"""),45789.0)</f>
        <v>45789</v>
      </c>
      <c r="F106" s="228" t="str">
        <f>IFERROR(__xludf.DUMMYFUNCTION("""COMPUTED_VALUE"""),"Associate Full Stack Engineer")</f>
        <v>Associate Full Stack Engineer</v>
      </c>
      <c r="G106" s="228" t="str">
        <f>IFERROR(__xludf.DUMMYFUNCTION("""COMPUTED_VALUE"""),"Frontend")</f>
        <v>Frontend</v>
      </c>
      <c r="H106" s="228" t="str">
        <f>IFERROR(__xludf.DUMMYFUNCTION("""COMPUTED_VALUE"""),"Saad Ahmed, Senior Product Manager")</f>
        <v>Saad Ahmed, Senior Product Manager</v>
      </c>
      <c r="I106" s="228" t="str">
        <f>IFERROR(__xludf.DUMMYFUNCTION("""COMPUTED_VALUE"""),"Onsite")</f>
        <v>Onsite</v>
      </c>
      <c r="J106" s="228" t="str">
        <f>IFERROR(__xludf.DUMMYFUNCTION("""COMPUTED_VALUE"""),"Active")</f>
        <v>Active</v>
      </c>
      <c r="K106" s="228"/>
      <c r="L106" s="729">
        <f>IFERROR(__xludf.DUMMYFUNCTION("""COMPUTED_VALUE"""),45881.0)</f>
        <v>45881</v>
      </c>
      <c r="M106" s="228"/>
      <c r="N106" s="228"/>
      <c r="O106" s="228"/>
      <c r="P106" s="228" t="str">
        <f>IFERROR(__xludf.DUMMYFUNCTION("""COMPUTED_VALUE"""),"3260144411")</f>
        <v>3260144411</v>
      </c>
      <c r="Q106" s="228" t="str">
        <f>IFERROR(__xludf.DUMMYFUNCTION("""COMPUTED_VALUE"""),"61101-9758421-5")</f>
        <v>61101-9758421-5</v>
      </c>
      <c r="R106" s="228" t="str">
        <f>IFERROR(__xludf.DUMMYFUNCTION("""COMPUTED_VALUE"""),"Male")</f>
        <v>Male</v>
      </c>
      <c r="S106" s="228" t="str">
        <f>IFERROR(__xludf.DUMMYFUNCTION("""COMPUTED_VALUE"""),"Meezan Bank")</f>
        <v>Meezan Bank</v>
      </c>
      <c r="T106" s="228" t="str">
        <f>IFERROR(__xludf.DUMMYFUNCTION("""COMPUTED_VALUE"""),"ABDUL AHAD QURESHI")</f>
        <v>ABDUL AHAD QURESHI</v>
      </c>
      <c r="U106" s="228" t="str">
        <f>IFERROR(__xludf.DUMMYFUNCTION("""COMPUTED_VALUE"""),"PK07MEZN0000300111880268")</f>
        <v>PK07MEZN0000300111880268</v>
      </c>
      <c r="V106" s="228" t="str">
        <f>IFERROR(__xludf.DUMMYFUNCTION("""COMPUTED_VALUE"""),"MEZNPKKA")</f>
        <v>MEZNPKKA</v>
      </c>
      <c r="W106" s="228"/>
      <c r="X106" s="228" t="str">
        <f>IFERROR(__xludf.DUMMYFUNCTION("""COMPUTED_VALUE"""),"Islamabad")</f>
        <v>Islamabad</v>
      </c>
      <c r="Y106" s="730">
        <f>IFERROR(__xludf.DUMMYFUNCTION("""COMPUTED_VALUE"""),38089.0)</f>
        <v>38089</v>
      </c>
      <c r="Z106" s="228" t="str">
        <f>IFERROR(__xludf.DUMMYFUNCTION("""COMPUTED_VALUE"""),"21 Years")</f>
        <v>21 Years</v>
      </c>
      <c r="AA106" s="228" t="str">
        <f>IFERROR(__xludf.DUMMYFUNCTION("""COMPUTED_VALUE"""),"House#19, Block C-3, Residential Colony, Allama Iqbal Open University, Sector H-8, Islamabad")</f>
        <v>House#19, Block C-3, Residential Colony, Allama Iqbal Open University, Sector H-8, Islamabad</v>
      </c>
      <c r="AB106" s="228" t="str">
        <f>IFERROR(__xludf.DUMMYFUNCTION("""COMPUTED_VALUE"""),"Pakistani")</f>
        <v>Pakistani</v>
      </c>
      <c r="AC106" s="228" t="str">
        <f>IFERROR(__xludf.DUMMYFUNCTION("""COMPUTED_VALUE"""),"Single")</f>
        <v>Single</v>
      </c>
      <c r="AD106" s="228"/>
      <c r="AE106" s="228"/>
      <c r="AF106" s="228"/>
      <c r="AG106" s="228" t="str">
        <f>IFERROR(__xludf.DUMMYFUNCTION("""COMPUTED_VALUE"""),"Muhammad Asad Faheem Qureshi")</f>
        <v>Muhammad Asad Faheem Qureshi</v>
      </c>
      <c r="AH106" s="228" t="str">
        <f>IFERROR(__xludf.DUMMYFUNCTION("""COMPUTED_VALUE"""),"Father")</f>
        <v>Father</v>
      </c>
      <c r="AI106" s="228">
        <f>IFERROR(__xludf.DUMMYFUNCTION("""COMPUTED_VALUE"""),3.218570566E9)</f>
        <v>3218570566</v>
      </c>
      <c r="AJ106" s="228" t="str">
        <f>IFERROR(__xludf.DUMMYFUNCTION("""COMPUTED_VALUE"""),"O+")</f>
        <v>O+</v>
      </c>
      <c r="AK106" s="731" t="str">
        <f>IFERROR(__xludf.DUMMYFUNCTION("""COMPUTED_VALUE"""),"https://www.linkedin.com/in/abdul-ahad-q/")</f>
        <v>https://www.linkedin.com/in/abdul-ahad-q/</v>
      </c>
      <c r="AL106" s="228" t="str">
        <f>IFERROR(__xludf.DUMMYFUNCTION("""COMPUTED_VALUE"""),"Shaheryar Ehsan")</f>
        <v>Shaheryar Ehsan</v>
      </c>
      <c r="AM106" s="228"/>
      <c r="AN106" s="228"/>
      <c r="AO106" s="228"/>
      <c r="AP106" s="228" t="str">
        <f>IFERROR(__xludf.DUMMYFUNCTION("""COMPUTED_VALUE"""),"NO")</f>
        <v>NO</v>
      </c>
      <c r="AQ106" s="228" t="str">
        <f>IFERROR(__xludf.DUMMYFUNCTION("""COMPUTED_VALUE"""),"Active")</f>
        <v>Active</v>
      </c>
    </row>
    <row r="107">
      <c r="A107" s="228">
        <f>IFERROR(__xludf.DUMMYFUNCTION("""COMPUTED_VALUE"""),5392.0)</f>
        <v>5392</v>
      </c>
      <c r="B107" s="228" t="str">
        <f>IFERROR(__xludf.DUMMYFUNCTION("""COMPUTED_VALUE"""),"Javeria Ali")</f>
        <v>Javeria Ali</v>
      </c>
      <c r="C107" s="228" t="str">
        <f>IFERROR(__xludf.DUMMYFUNCTION("""COMPUTED_VALUE"""),"javeriaali457@gmail.com")</f>
        <v>javeriaali457@gmail.com</v>
      </c>
      <c r="D107" s="228" t="str">
        <f>IFERROR(__xludf.DUMMYFUNCTION("""COMPUTED_VALUE"""),"javeria.ali@vyro.ai")</f>
        <v>javeria.ali@vyro.ai</v>
      </c>
      <c r="E107" s="728">
        <f>IFERROR(__xludf.DUMMYFUNCTION("""COMPUTED_VALUE"""),45789.0)</f>
        <v>45789</v>
      </c>
      <c r="F107" s="228" t="str">
        <f>IFERROR(__xludf.DUMMYFUNCTION("""COMPUTED_VALUE"""),"Marketing Strategist")</f>
        <v>Marketing Strategist</v>
      </c>
      <c r="G107" s="228" t="str">
        <f>IFERROR(__xludf.DUMMYFUNCTION("""COMPUTED_VALUE"""),"Marketing")</f>
        <v>Marketing</v>
      </c>
      <c r="H107" s="228" t="str">
        <f>IFERROR(__xludf.DUMMYFUNCTION("""COMPUTED_VALUE"""),"Shaiq Habib")</f>
        <v>Shaiq Habib</v>
      </c>
      <c r="I107" s="228" t="str">
        <f>IFERROR(__xludf.DUMMYFUNCTION("""COMPUTED_VALUE"""),"Onsite")</f>
        <v>Onsite</v>
      </c>
      <c r="J107" s="228" t="str">
        <f>IFERROR(__xludf.DUMMYFUNCTION("""COMPUTED_VALUE"""),"Active")</f>
        <v>Active</v>
      </c>
      <c r="K107" s="228"/>
      <c r="L107" s="729">
        <f>IFERROR(__xludf.DUMMYFUNCTION("""COMPUTED_VALUE"""),45881.0)</f>
        <v>45881</v>
      </c>
      <c r="M107" s="228"/>
      <c r="N107" s="228"/>
      <c r="O107" s="228"/>
      <c r="P107" s="228" t="str">
        <f>IFERROR(__xludf.DUMMYFUNCTION("""COMPUTED_VALUE"""),"3131513807")</f>
        <v>3131513807</v>
      </c>
      <c r="Q107" s="228" t="str">
        <f>IFERROR(__xludf.DUMMYFUNCTION("""COMPUTED_VALUE"""),"37405-2588095-8")</f>
        <v>37405-2588095-8</v>
      </c>
      <c r="R107" s="228" t="str">
        <f>IFERROR(__xludf.DUMMYFUNCTION("""COMPUTED_VALUE"""),"Female")</f>
        <v>Female</v>
      </c>
      <c r="S107" s="228" t="str">
        <f>IFERROR(__xludf.DUMMYFUNCTION("""COMPUTED_VALUE"""),"Habib Bank Limited")</f>
        <v>Habib Bank Limited</v>
      </c>
      <c r="T107" s="228" t="str">
        <f>IFERROR(__xludf.DUMMYFUNCTION("""COMPUTED_VALUE"""),"JAVERIA")</f>
        <v>JAVERIA</v>
      </c>
      <c r="U107" s="228" t="str">
        <f>IFERROR(__xludf.DUMMYFUNCTION("""COMPUTED_VALUE"""),"PK57HABB0050377000371003")</f>
        <v>PK57HABB0050377000371003</v>
      </c>
      <c r="V107" s="228" t="str">
        <f>IFERROR(__xludf.DUMMYFUNCTION("""COMPUTED_VALUE"""),"HABBPKKA")</f>
        <v>HABBPKKA</v>
      </c>
      <c r="W107" s="228"/>
      <c r="X107" s="228" t="str">
        <f>IFERROR(__xludf.DUMMYFUNCTION("""COMPUTED_VALUE"""),"Islamabad")</f>
        <v>Islamabad</v>
      </c>
      <c r="Y107" s="730">
        <f>IFERROR(__xludf.DUMMYFUNCTION("""COMPUTED_VALUE"""),37709.0)</f>
        <v>37709</v>
      </c>
      <c r="Z107" s="228" t="str">
        <f>IFERROR(__xludf.DUMMYFUNCTION("""COMPUTED_VALUE"""),"22 Years")</f>
        <v>22 Years</v>
      </c>
      <c r="AA107" s="228" t="str">
        <f>IFERROR(__xludf.DUMMYFUNCTION("""COMPUTED_VALUE"""),"House 140-B Railway Stadium Road, Westridge Rawalpindi")</f>
        <v>House 140-B Railway Stadium Road, Westridge Rawalpindi</v>
      </c>
      <c r="AB107" s="228" t="str">
        <f>IFERROR(__xludf.DUMMYFUNCTION("""COMPUTED_VALUE"""),"Pakistani")</f>
        <v>Pakistani</v>
      </c>
      <c r="AC107" s="228" t="str">
        <f>IFERROR(__xludf.DUMMYFUNCTION("""COMPUTED_VALUE"""),"Single")</f>
        <v>Single</v>
      </c>
      <c r="AD107" s="228"/>
      <c r="AE107" s="228"/>
      <c r="AF107" s="228"/>
      <c r="AG107" s="228" t="str">
        <f>IFERROR(__xludf.DUMMYFUNCTION("""COMPUTED_VALUE"""),"Warasat Ali")</f>
        <v>Warasat Ali</v>
      </c>
      <c r="AH107" s="228" t="str">
        <f>IFERROR(__xludf.DUMMYFUNCTION("""COMPUTED_VALUE"""),"Father")</f>
        <v>Father</v>
      </c>
      <c r="AI107" s="228">
        <f>IFERROR(__xludf.DUMMYFUNCTION("""COMPUTED_VALUE"""),3.315044929E9)</f>
        <v>3315044929</v>
      </c>
      <c r="AJ107" s="228" t="str">
        <f>IFERROR(__xludf.DUMMYFUNCTION("""COMPUTED_VALUE"""),"A+")</f>
        <v>A+</v>
      </c>
      <c r="AK107" s="731" t="str">
        <f>IFERROR(__xludf.DUMMYFUNCTION("""COMPUTED_VALUE"""),"www.linkedin.com/in/javeria-ali-")</f>
        <v>www.linkedin.com/in/javeria-ali-</v>
      </c>
      <c r="AL107" s="228" t="str">
        <f>IFERROR(__xludf.DUMMYFUNCTION("""COMPUTED_VALUE"""),"Shaheryar Ehsan")</f>
        <v>Shaheryar Ehsan</v>
      </c>
      <c r="AM107" s="228"/>
      <c r="AN107" s="228"/>
      <c r="AO107" s="228"/>
      <c r="AP107" s="228" t="str">
        <f>IFERROR(__xludf.DUMMYFUNCTION("""COMPUTED_VALUE"""),"NO")</f>
        <v>NO</v>
      </c>
      <c r="AQ107" s="228" t="str">
        <f>IFERROR(__xludf.DUMMYFUNCTION("""COMPUTED_VALUE"""),"Active")</f>
        <v>Active</v>
      </c>
    </row>
    <row r="108">
      <c r="A108" s="228">
        <f>IFERROR(__xludf.DUMMYFUNCTION("""COMPUTED_VALUE"""),5402.0)</f>
        <v>5402</v>
      </c>
      <c r="B108" s="228" t="str">
        <f>IFERROR(__xludf.DUMMYFUNCTION("""COMPUTED_VALUE"""),"Ghayas Ahmad")</f>
        <v>Ghayas Ahmad</v>
      </c>
      <c r="C108" s="228" t="str">
        <f>IFERROR(__xludf.DUMMYFUNCTION("""COMPUTED_VALUE"""),"sheikhghayas47@gmail.com")</f>
        <v>sheikhghayas47@gmail.com</v>
      </c>
      <c r="D108" s="228" t="str">
        <f>IFERROR(__xludf.DUMMYFUNCTION("""COMPUTED_VALUE"""),"ghayas.ahmad@vyro.ai")</f>
        <v>ghayas.ahmad@vyro.ai</v>
      </c>
      <c r="E108" s="728">
        <f>IFERROR(__xludf.DUMMYFUNCTION("""COMPUTED_VALUE"""),45796.0)</f>
        <v>45796</v>
      </c>
      <c r="F108" s="228" t="str">
        <f>IFERROR(__xludf.DUMMYFUNCTION("""COMPUTED_VALUE"""),"Android Developer")</f>
        <v>Android Developer</v>
      </c>
      <c r="G108" s="228" t="str">
        <f>IFERROR(__xludf.DUMMYFUNCTION("""COMPUTED_VALUE"""),"Mobile")</f>
        <v>Mobile</v>
      </c>
      <c r="H108" s="228" t="str">
        <f>IFERROR(__xludf.DUMMYFUNCTION("""COMPUTED_VALUE"""),"Saad Aziz")</f>
        <v>Saad Aziz</v>
      </c>
      <c r="I108" s="228" t="str">
        <f>IFERROR(__xludf.DUMMYFUNCTION("""COMPUTED_VALUE"""),"Onsite")</f>
        <v>Onsite</v>
      </c>
      <c r="J108" s="228" t="str">
        <f>IFERROR(__xludf.DUMMYFUNCTION("""COMPUTED_VALUE"""),"Active")</f>
        <v>Active</v>
      </c>
      <c r="K108" s="228"/>
      <c r="L108" s="729">
        <f>IFERROR(__xludf.DUMMYFUNCTION("""COMPUTED_VALUE"""),45888.0)</f>
        <v>45888</v>
      </c>
      <c r="M108" s="228"/>
      <c r="N108" s="228"/>
      <c r="O108" s="228"/>
      <c r="P108" s="228" t="str">
        <f>IFERROR(__xludf.DUMMYFUNCTION("""COMPUTED_VALUE"""),"3340809511")</f>
        <v>3340809511</v>
      </c>
      <c r="Q108" s="228" t="str">
        <f>IFERROR(__xludf.DUMMYFUNCTION("""COMPUTED_VALUE"""),"61101-5790495-9")</f>
        <v>61101-5790495-9</v>
      </c>
      <c r="R108" s="228" t="str">
        <f>IFERROR(__xludf.DUMMYFUNCTION("""COMPUTED_VALUE"""),"Male")</f>
        <v>Male</v>
      </c>
      <c r="S108" s="228" t="str">
        <f>IFERROR(__xludf.DUMMYFUNCTION("""COMPUTED_VALUE"""),"United Bank Limited")</f>
        <v>United Bank Limited</v>
      </c>
      <c r="T108" s="228" t="str">
        <f>IFERROR(__xludf.DUMMYFUNCTION("""COMPUTED_VALUE"""),"Ghayas Ahmad")</f>
        <v>Ghayas Ahmad</v>
      </c>
      <c r="U108" s="228" t="str">
        <f>IFERROR(__xludf.DUMMYFUNCTION("""COMPUTED_VALUE"""),"PK67UNIL0109000273623003")</f>
        <v>PK67UNIL0109000273623003</v>
      </c>
      <c r="V108" s="228" t="str">
        <f>IFERROR(__xludf.DUMMYFUNCTION("""COMPUTED_VALUE"""),"UNILPKKA")</f>
        <v>UNILPKKA</v>
      </c>
      <c r="W108" s="228"/>
      <c r="X108" s="228" t="str">
        <f>IFERROR(__xludf.DUMMYFUNCTION("""COMPUTED_VALUE"""),"Islamabad")</f>
        <v>Islamabad</v>
      </c>
      <c r="Y108" s="730">
        <f>IFERROR(__xludf.DUMMYFUNCTION("""COMPUTED_VALUE"""),36061.0)</f>
        <v>36061</v>
      </c>
      <c r="Z108" s="228" t="str">
        <f>IFERROR(__xludf.DUMMYFUNCTION("""COMPUTED_VALUE"""),"26 Years")</f>
        <v>26 Years</v>
      </c>
      <c r="AA108" s="228" t="str">
        <f>IFERROR(__xludf.DUMMYFUNCTION("""COMPUTED_VALUE"""),"House# 895, Street# 44, Sector# I-14/4, Islamabad")</f>
        <v>House# 895, Street# 44, Sector# I-14/4, Islamabad</v>
      </c>
      <c r="AB108" s="228" t="str">
        <f>IFERROR(__xludf.DUMMYFUNCTION("""COMPUTED_VALUE"""),"Pakistani")</f>
        <v>Pakistani</v>
      </c>
      <c r="AC108" s="228" t="str">
        <f>IFERROR(__xludf.DUMMYFUNCTION("""COMPUTED_VALUE"""),"Married")</f>
        <v>Married</v>
      </c>
      <c r="AD108" s="228"/>
      <c r="AE108" s="228"/>
      <c r="AF108" s="228"/>
      <c r="AG108" s="228" t="str">
        <f>IFERROR(__xludf.DUMMYFUNCTION("""COMPUTED_VALUE"""),"Rizwan Ahmad")</f>
        <v>Rizwan Ahmad</v>
      </c>
      <c r="AH108" s="228" t="str">
        <f>IFERROR(__xludf.DUMMYFUNCTION("""COMPUTED_VALUE"""),"Father")</f>
        <v>Father</v>
      </c>
      <c r="AI108" s="228">
        <f>IFERROR(__xludf.DUMMYFUNCTION("""COMPUTED_VALUE"""),3.335134057E9)</f>
        <v>3335134057</v>
      </c>
      <c r="AJ108" s="228" t="str">
        <f>IFERROR(__xludf.DUMMYFUNCTION("""COMPUTED_VALUE"""),"B+")</f>
        <v>B+</v>
      </c>
      <c r="AK108" s="731" t="str">
        <f>IFERROR(__xludf.DUMMYFUNCTION("""COMPUTED_VALUE"""),"https://www.linkedin.com/in/ghayasahmad47")</f>
        <v>https://www.linkedin.com/in/ghayasahmad47</v>
      </c>
      <c r="AL108" s="228" t="str">
        <f>IFERROR(__xludf.DUMMYFUNCTION("""COMPUTED_VALUE"""),"Annum Inam")</f>
        <v>Annum Inam</v>
      </c>
      <c r="AM108" s="228"/>
      <c r="AN108" s="228"/>
      <c r="AO108" s="228"/>
      <c r="AP108" s="228" t="str">
        <f>IFERROR(__xludf.DUMMYFUNCTION("""COMPUTED_VALUE"""),"NO")</f>
        <v>NO</v>
      </c>
      <c r="AQ108" s="228" t="str">
        <f>IFERROR(__xludf.DUMMYFUNCTION("""COMPUTED_VALUE"""),"Active")</f>
        <v>Active</v>
      </c>
    </row>
    <row r="109">
      <c r="A109" s="228">
        <f>IFERROR(__xludf.DUMMYFUNCTION("""COMPUTED_VALUE"""),5421.0)</f>
        <v>5421</v>
      </c>
      <c r="B109" s="228" t="str">
        <f>IFERROR(__xludf.DUMMYFUNCTION("""COMPUTED_VALUE"""),"Fahad Shafique")</f>
        <v>Fahad Shafique</v>
      </c>
      <c r="C109" s="228" t="str">
        <f>IFERROR(__xludf.DUMMYFUNCTION("""COMPUTED_VALUE"""),"fahad6911@gmail.com")</f>
        <v>fahad6911@gmail.com</v>
      </c>
      <c r="D109" s="228" t="str">
        <f>IFERROR(__xludf.DUMMYFUNCTION("""COMPUTED_VALUE"""),"fahad.shafique@vyro.ai")</f>
        <v>fahad.shafique@vyro.ai</v>
      </c>
      <c r="E109" s="728">
        <f>IFERROR(__xludf.DUMMYFUNCTION("""COMPUTED_VALUE"""),45806.0)</f>
        <v>45806</v>
      </c>
      <c r="F109" s="228" t="str">
        <f>IFERROR(__xludf.DUMMYFUNCTION("""COMPUTED_VALUE"""),"Customer Support Executive")</f>
        <v>Customer Support Executive</v>
      </c>
      <c r="G109" s="228" t="str">
        <f>IFERROR(__xludf.DUMMYFUNCTION("""COMPUTED_VALUE"""),"Customer Success")</f>
        <v>Customer Success</v>
      </c>
      <c r="H109" s="228" t="str">
        <f>IFERROR(__xludf.DUMMYFUNCTION("""COMPUTED_VALUE"""),"Ahmed Abubakar")</f>
        <v>Ahmed Abubakar</v>
      </c>
      <c r="I109" s="228" t="str">
        <f>IFERROR(__xludf.DUMMYFUNCTION("""COMPUTED_VALUE"""),"Remote")</f>
        <v>Remote</v>
      </c>
      <c r="J109" s="228" t="str">
        <f>IFERROR(__xludf.DUMMYFUNCTION("""COMPUTED_VALUE"""),"Active")</f>
        <v>Active</v>
      </c>
      <c r="K109" s="228"/>
      <c r="L109" s="729">
        <f>IFERROR(__xludf.DUMMYFUNCTION("""COMPUTED_VALUE"""),45898.0)</f>
        <v>45898</v>
      </c>
      <c r="M109" s="228"/>
      <c r="N109" s="228"/>
      <c r="O109" s="228"/>
      <c r="P109" s="228" t="str">
        <f>IFERROR(__xludf.DUMMYFUNCTION("""COMPUTED_VALUE"""),"3222268894")</f>
        <v>3222268894</v>
      </c>
      <c r="Q109" s="228" t="str">
        <f>IFERROR(__xludf.DUMMYFUNCTION("""COMPUTED_VALUE"""),"42401-9373370-5")</f>
        <v>42401-9373370-5</v>
      </c>
      <c r="R109" s="228" t="str">
        <f>IFERROR(__xludf.DUMMYFUNCTION("""COMPUTED_VALUE"""),"Male")</f>
        <v>Male</v>
      </c>
      <c r="S109" s="228" t="str">
        <f>IFERROR(__xludf.DUMMYFUNCTION("""COMPUTED_VALUE"""),"Meezan Bank")</f>
        <v>Meezan Bank</v>
      </c>
      <c r="T109" s="228" t="str">
        <f>IFERROR(__xludf.DUMMYFUNCTION("""COMPUTED_VALUE"""),"FAHAD SHAFIQUE")</f>
        <v>FAHAD SHAFIQUE</v>
      </c>
      <c r="U109" s="228" t="str">
        <f>IFERROR(__xludf.DUMMYFUNCTION("""COMPUTED_VALUE"""),"PK31MEZN0099390102400552")</f>
        <v>PK31MEZN0099390102400552</v>
      </c>
      <c r="V109" s="228" t="str">
        <f>IFERROR(__xludf.DUMMYFUNCTION("""COMPUTED_VALUE"""),"MEZNPKKA")</f>
        <v>MEZNPKKA</v>
      </c>
      <c r="W109" s="228"/>
      <c r="X109" s="228" t="str">
        <f>IFERROR(__xludf.DUMMYFUNCTION("""COMPUTED_VALUE"""),"Remote")</f>
        <v>Remote</v>
      </c>
      <c r="Y109" s="730">
        <f>IFERROR(__xludf.DUMMYFUNCTION("""COMPUTED_VALUE"""),33637.0)</f>
        <v>33637</v>
      </c>
      <c r="Z109" s="228" t="str">
        <f>IFERROR(__xludf.DUMMYFUNCTION("""COMPUTED_VALUE"""),"33 Years")</f>
        <v>33 Years</v>
      </c>
      <c r="AA109" s="228" t="str">
        <f>IFERROR(__xludf.DUMMYFUNCTION("""COMPUTED_VALUE"""),"Flat B-1 House # 7/14 Block 2E Nazimabad # 2, Karachi
Near Jama Masjid Zamzam, Karachi")</f>
        <v>Flat B-1 House # 7/14 Block 2E Nazimabad # 2, Karachi
Near Jama Masjid Zamzam, Karachi</v>
      </c>
      <c r="AB109" s="228" t="str">
        <f>IFERROR(__xludf.DUMMYFUNCTION("""COMPUTED_VALUE"""),"Pakistani")</f>
        <v>Pakistani</v>
      </c>
      <c r="AC109" s="228" t="str">
        <f>IFERROR(__xludf.DUMMYFUNCTION("""COMPUTED_VALUE"""),"Married")</f>
        <v>Married</v>
      </c>
      <c r="AD109" s="228"/>
      <c r="AE109" s="228"/>
      <c r="AF109" s="228"/>
      <c r="AG109" s="228" t="str">
        <f>IFERROR(__xludf.DUMMYFUNCTION("""COMPUTED_VALUE"""),"Muhammad Shafique Ahmed")</f>
        <v>Muhammad Shafique Ahmed</v>
      </c>
      <c r="AH109" s="228" t="str">
        <f>IFERROR(__xludf.DUMMYFUNCTION("""COMPUTED_VALUE"""),"Wife")</f>
        <v>Wife</v>
      </c>
      <c r="AI109" s="228">
        <f>IFERROR(__xludf.DUMMYFUNCTION("""COMPUTED_VALUE"""),3.3332598E9)</f>
        <v>3333259800</v>
      </c>
      <c r="AJ109" s="228" t="str">
        <f>IFERROR(__xludf.DUMMYFUNCTION("""COMPUTED_VALUE"""),"O+")</f>
        <v>O+</v>
      </c>
      <c r="AK109" s="731" t="str">
        <f>IFERROR(__xludf.DUMMYFUNCTION("""COMPUTED_VALUE"""),"https://www.linkedin.com/in/fahad-shafique-9317bbaa/")</f>
        <v>https://www.linkedin.com/in/fahad-shafique-9317bbaa/</v>
      </c>
      <c r="AL109" s="228" t="str">
        <f>IFERROR(__xludf.DUMMYFUNCTION("""COMPUTED_VALUE"""),"Mustafa Shakil")</f>
        <v>Mustafa Shakil</v>
      </c>
      <c r="AM109" s="228"/>
      <c r="AN109" s="228"/>
      <c r="AO109" s="228"/>
      <c r="AP109" s="228" t="str">
        <f>IFERROR(__xludf.DUMMYFUNCTION("""COMPUTED_VALUE"""),"NO")</f>
        <v>NO</v>
      </c>
      <c r="AQ109" s="228" t="str">
        <f>IFERROR(__xludf.DUMMYFUNCTION("""COMPUTED_VALUE"""),"Active")</f>
        <v>Active</v>
      </c>
    </row>
    <row r="110">
      <c r="A110" s="228">
        <f>IFERROR(__xludf.DUMMYFUNCTION("""COMPUTED_VALUE"""),5446.0)</f>
        <v>5446</v>
      </c>
      <c r="B110" s="228" t="str">
        <f>IFERROR(__xludf.DUMMYFUNCTION("""COMPUTED_VALUE"""),"Muhammad bilal")</f>
        <v>Muhammad bilal</v>
      </c>
      <c r="C110" s="228" t="str">
        <f>IFERROR(__xludf.DUMMYFUNCTION("""COMPUTED_VALUE"""),"mb0477207@gmail.com")</f>
        <v>mb0477207@gmail.com</v>
      </c>
      <c r="D110" s="228" t="str">
        <f>IFERROR(__xludf.DUMMYFUNCTION("""COMPUTED_VALUE"""),"mb0477207@gmail.com")</f>
        <v>mb0477207@gmail.com</v>
      </c>
      <c r="E110" s="728">
        <f>IFERROR(__xludf.DUMMYFUNCTION("""COMPUTED_VALUE"""),45806.0)</f>
        <v>45806</v>
      </c>
      <c r="F110" s="228" t="str">
        <f>IFERROR(__xludf.DUMMYFUNCTION("""COMPUTED_VALUE"""),"Office Assistant")</f>
        <v>Office Assistant</v>
      </c>
      <c r="G110" s="228" t="str">
        <f>IFERROR(__xludf.DUMMYFUNCTION("""COMPUTED_VALUE"""),"Admin")</f>
        <v>Admin</v>
      </c>
      <c r="H110" s="228" t="str">
        <f>IFERROR(__xludf.DUMMYFUNCTION("""COMPUTED_VALUE"""),"Atif Nawaz")</f>
        <v>Atif Nawaz</v>
      </c>
      <c r="I110" s="228" t="str">
        <f>IFERROR(__xludf.DUMMYFUNCTION("""COMPUTED_VALUE"""),"Full Time")</f>
        <v>Full Time</v>
      </c>
      <c r="J110" s="228"/>
      <c r="K110" s="228"/>
      <c r="L110" s="228"/>
      <c r="M110" s="228"/>
      <c r="N110" s="228"/>
      <c r="O110" s="228"/>
      <c r="P110" s="228" t="str">
        <f>IFERROR(__xludf.DUMMYFUNCTION("""COMPUTED_VALUE"""),"3068152639")</f>
        <v>3068152639</v>
      </c>
      <c r="Q110" s="228" t="str">
        <f>IFERROR(__xludf.DUMMYFUNCTION("""COMPUTED_VALUE"""),"36102-3021471-9")</f>
        <v>36102-3021471-9</v>
      </c>
      <c r="R110" s="228" t="str">
        <f>IFERROR(__xludf.DUMMYFUNCTION("""COMPUTED_VALUE"""),"Male")</f>
        <v>Male</v>
      </c>
      <c r="S110" s="228" t="str">
        <f>IFERROR(__xludf.DUMMYFUNCTION("""COMPUTED_VALUE"""),"Askari Bank")</f>
        <v>Askari Bank</v>
      </c>
      <c r="T110" s="228" t="str">
        <f>IFERROR(__xludf.DUMMYFUNCTION("""COMPUTED_VALUE"""),"1800900003960")</f>
        <v>1800900003960</v>
      </c>
      <c r="U110" s="228" t="str">
        <f>IFERROR(__xludf.DUMMYFUNCTION("""COMPUTED_VALUE"""),"PK34ASCM0001800900003960")</f>
        <v>PK34ASCM0001800900003960</v>
      </c>
      <c r="V110" s="228" t="str">
        <f>IFERROR(__xludf.DUMMYFUNCTION("""COMPUTED_VALUE"""),"ASCMPKKA")</f>
        <v>ASCMPKKA</v>
      </c>
      <c r="W110" s="228"/>
      <c r="X110" s="228"/>
      <c r="Y110" s="730">
        <f>IFERROR(__xludf.DUMMYFUNCTION("""COMPUTED_VALUE"""),37712.0)</f>
        <v>37712</v>
      </c>
      <c r="Z110" s="228" t="str">
        <f>IFERROR(__xludf.DUMMYFUNCTION("""COMPUTED_VALUE"""),"22 Years")</f>
        <v>22 Years</v>
      </c>
      <c r="AA110" s="228" t="str">
        <f>IFERROR(__xludf.DUMMYFUNCTION("""COMPUTED_VALUE"""),"Moza Sikandar pur , Dakkhana Khas , Kabir wala Khaniwal District ")</f>
        <v>Moza Sikandar pur , Dakkhana Khas , Kabir wala Khaniwal District </v>
      </c>
      <c r="AB110" s="228" t="str">
        <f>IFERROR(__xludf.DUMMYFUNCTION("""COMPUTED_VALUE"""),"pakistani")</f>
        <v>pakistani</v>
      </c>
      <c r="AC110" s="228" t="str">
        <f>IFERROR(__xludf.DUMMYFUNCTION("""COMPUTED_VALUE"""),"Married")</f>
        <v>Married</v>
      </c>
      <c r="AD110" s="228"/>
      <c r="AE110" s="228"/>
      <c r="AF110" s="228"/>
      <c r="AG110" s="228" t="str">
        <f>IFERROR(__xludf.DUMMYFUNCTION("""COMPUTED_VALUE"""),"Muhammad Iqbal")</f>
        <v>Muhammad Iqbal</v>
      </c>
      <c r="AH110" s="228" t="str">
        <f>IFERROR(__xludf.DUMMYFUNCTION("""COMPUTED_VALUE"""),"3026995039")</f>
        <v>3026995039</v>
      </c>
      <c r="AI110" s="228"/>
      <c r="AJ110" s="228" t="str">
        <f>IFERROR(__xludf.DUMMYFUNCTION("""COMPUTED_VALUE"""),"B+")</f>
        <v>B+</v>
      </c>
      <c r="AK110" s="228"/>
      <c r="AL110" s="228" t="str">
        <f>IFERROR(__xludf.DUMMYFUNCTION("""COMPUTED_VALUE"""),"Annum Inam")</f>
        <v>Annum Inam</v>
      </c>
      <c r="AM110" s="228"/>
      <c r="AN110" s="228"/>
      <c r="AO110" s="228"/>
      <c r="AP110" s="228" t="str">
        <f>IFERROR(__xludf.DUMMYFUNCTION("""COMPUTED_VALUE"""),"NO")</f>
        <v>NO</v>
      </c>
      <c r="AQ110" s="228" t="str">
        <f>IFERROR(__xludf.DUMMYFUNCTION("""COMPUTED_VALUE"""),"Active")</f>
        <v>Active</v>
      </c>
    </row>
    <row r="111">
      <c r="A111" s="228">
        <f>IFERROR(__xludf.DUMMYFUNCTION("""COMPUTED_VALUE"""),5406.0)</f>
        <v>5406</v>
      </c>
      <c r="B111" s="228" t="str">
        <f>IFERROR(__xludf.DUMMYFUNCTION("""COMPUTED_VALUE"""),"Abdullah Akhtar")</f>
        <v>Abdullah Akhtar</v>
      </c>
      <c r="C111" s="228" t="str">
        <f>IFERROR(__xludf.DUMMYFUNCTION("""COMPUTED_VALUE"""),"mailsendkrdo@gmail.com")</f>
        <v>mailsendkrdo@gmail.com</v>
      </c>
      <c r="D111" s="228" t="str">
        <f>IFERROR(__xludf.DUMMYFUNCTION("""COMPUTED_VALUE"""),"abdullah.akhtar@vyro.ai")</f>
        <v>abdullah.akhtar@vyro.ai</v>
      </c>
      <c r="E111" s="728">
        <f>IFERROR(__xludf.DUMMYFUNCTION("""COMPUTED_VALUE"""),45810.0)</f>
        <v>45810</v>
      </c>
      <c r="F111" s="228" t="str">
        <f>IFERROR(__xludf.DUMMYFUNCTION("""COMPUTED_VALUE"""),"Motion Graphics Designer")</f>
        <v>Motion Graphics Designer</v>
      </c>
      <c r="G111" s="228" t="str">
        <f>IFERROR(__xludf.DUMMYFUNCTION("""COMPUTED_VALUE"""),"Social Media/ Youtube")</f>
        <v>Social Media/ Youtube</v>
      </c>
      <c r="H111" s="228" t="str">
        <f>IFERROR(__xludf.DUMMYFUNCTION("""COMPUTED_VALUE"""),"Zain ul Abideen, Co-founder")</f>
        <v>Zain ul Abideen, Co-founder</v>
      </c>
      <c r="I111" s="228" t="str">
        <f>IFERROR(__xludf.DUMMYFUNCTION("""COMPUTED_VALUE"""),"Onsite")</f>
        <v>Onsite</v>
      </c>
      <c r="J111" s="228" t="str">
        <f>IFERROR(__xludf.DUMMYFUNCTION("""COMPUTED_VALUE"""),"Active")</f>
        <v>Active</v>
      </c>
      <c r="K111" s="228"/>
      <c r="L111" s="729">
        <f>IFERROR(__xludf.DUMMYFUNCTION("""COMPUTED_VALUE"""),45902.0)</f>
        <v>45902</v>
      </c>
      <c r="M111" s="228"/>
      <c r="N111" s="228"/>
      <c r="O111" s="228"/>
      <c r="P111" s="228" t="str">
        <f>IFERROR(__xludf.DUMMYFUNCTION("""COMPUTED_VALUE"""),"3095604091")</f>
        <v>3095604091</v>
      </c>
      <c r="Q111" s="228" t="str">
        <f>IFERROR(__xludf.DUMMYFUNCTION("""COMPUTED_VALUE"""),"35201-9548533-9")</f>
        <v>35201-9548533-9</v>
      </c>
      <c r="R111" s="228" t="str">
        <f>IFERROR(__xludf.DUMMYFUNCTION("""COMPUTED_VALUE"""),"Male")</f>
        <v>Male</v>
      </c>
      <c r="S111" s="228" t="str">
        <f>IFERROR(__xludf.DUMMYFUNCTION("""COMPUTED_VALUE"""),"Bank Alfalah")</f>
        <v>Bank Alfalah</v>
      </c>
      <c r="T111" s="228" t="str">
        <f>IFERROR(__xludf.DUMMYFUNCTION("""COMPUTED_VALUE"""),"ABDULLAH")</f>
        <v>ABDULLAH</v>
      </c>
      <c r="U111" s="228" t="str">
        <f>IFERROR(__xludf.DUMMYFUNCTION("""COMPUTED_VALUE"""),"PK19ALFH5501005001225832")</f>
        <v>PK19ALFH5501005001225832</v>
      </c>
      <c r="V111" s="228" t="str">
        <f>IFERROR(__xludf.DUMMYFUNCTION("""COMPUTED_VALUE"""),"ALFHPKKAXXX")</f>
        <v>ALFHPKKAXXX</v>
      </c>
      <c r="W111" s="228"/>
      <c r="X111" s="228" t="str">
        <f>IFERROR(__xludf.DUMMYFUNCTION("""COMPUTED_VALUE"""),"Islamabad")</f>
        <v>Islamabad</v>
      </c>
      <c r="Y111" s="730">
        <f>IFERROR(__xludf.DUMMYFUNCTION("""COMPUTED_VALUE"""),36113.0)</f>
        <v>36113</v>
      </c>
      <c r="Z111" s="228" t="str">
        <f>IFERROR(__xludf.DUMMYFUNCTION("""COMPUTED_VALUE"""),"26 Years")</f>
        <v>26 Years</v>
      </c>
      <c r="AA111" s="228" t="str">
        <f>IFERROR(__xludf.DUMMYFUNCTION("""COMPUTED_VALUE"""),"House No. E-679-4-D-B-3, Street No. 1, Akramabad Colony, Lahore")</f>
        <v>House No. E-679-4-D-B-3, Street No. 1, Akramabad Colony, Lahore</v>
      </c>
      <c r="AB111" s="228" t="str">
        <f>IFERROR(__xludf.DUMMYFUNCTION("""COMPUTED_VALUE"""),"Pakistani")</f>
        <v>Pakistani</v>
      </c>
      <c r="AC111" s="228" t="str">
        <f>IFERROR(__xludf.DUMMYFUNCTION("""COMPUTED_VALUE"""),"Single")</f>
        <v>Single</v>
      </c>
      <c r="AD111" s="228"/>
      <c r="AE111" s="228"/>
      <c r="AF111" s="228"/>
      <c r="AG111" s="228" t="str">
        <f>IFERROR(__xludf.DUMMYFUNCTION("""COMPUTED_VALUE"""),"Muhammad Akhtar")</f>
        <v>Muhammad Akhtar</v>
      </c>
      <c r="AH111" s="228" t="str">
        <f>IFERROR(__xludf.DUMMYFUNCTION("""COMPUTED_VALUE"""),"Father")</f>
        <v>Father</v>
      </c>
      <c r="AI111" s="228">
        <f>IFERROR(__xludf.DUMMYFUNCTION("""COMPUTED_VALUE"""),3.204329447E9)</f>
        <v>3204329447</v>
      </c>
      <c r="AJ111" s="228" t="str">
        <f>IFERROR(__xludf.DUMMYFUNCTION("""COMPUTED_VALUE"""),"B+")</f>
        <v>B+</v>
      </c>
      <c r="AK111" s="731" t="str">
        <f>IFERROR(__xludf.DUMMYFUNCTION("""COMPUTED_VALUE"""),"https://www.linkedin.com/in/hafiz-abdullah-akhtar/")</f>
        <v>https://www.linkedin.com/in/hafiz-abdullah-akhtar/</v>
      </c>
      <c r="AL111" s="228" t="str">
        <f>IFERROR(__xludf.DUMMYFUNCTION("""COMPUTED_VALUE"""),"Mehreen Jafri")</f>
        <v>Mehreen Jafri</v>
      </c>
      <c r="AM111" s="228"/>
      <c r="AN111" s="228"/>
      <c r="AO111" s="228"/>
      <c r="AP111" s="228" t="str">
        <f>IFERROR(__xludf.DUMMYFUNCTION("""COMPUTED_VALUE"""),"NO")</f>
        <v>NO</v>
      </c>
      <c r="AQ111" s="228" t="str">
        <f>IFERROR(__xludf.DUMMYFUNCTION("""COMPUTED_VALUE"""),"Active")</f>
        <v>Active</v>
      </c>
    </row>
    <row r="112">
      <c r="A112" s="228">
        <f>IFERROR(__xludf.DUMMYFUNCTION("""COMPUTED_VALUE"""),5425.0)</f>
        <v>5425</v>
      </c>
      <c r="B112" s="228" t="str">
        <f>IFERROR(__xludf.DUMMYFUNCTION("""COMPUTED_VALUE"""),"Aizaz Ahmad")</f>
        <v>Aizaz Ahmad</v>
      </c>
      <c r="C112" s="228" t="str">
        <f>IFERROR(__xludf.DUMMYFUNCTION("""COMPUTED_VALUE"""),"aizazahmad56@gmail.com")</f>
        <v>aizazahmad56@gmail.com</v>
      </c>
      <c r="D112" s="228" t="str">
        <f>IFERROR(__xludf.DUMMYFUNCTION("""COMPUTED_VALUE"""),"aizaz.ahmad@vyro.ai")</f>
        <v>aizaz.ahmad@vyro.ai</v>
      </c>
      <c r="E112" s="728">
        <f>IFERROR(__xludf.DUMMYFUNCTION("""COMPUTED_VALUE"""),45824.0)</f>
        <v>45824</v>
      </c>
      <c r="F112" s="228" t="str">
        <f>IFERROR(__xludf.DUMMYFUNCTION("""COMPUTED_VALUE"""),"Senior Product Designer")</f>
        <v>Senior Product Designer</v>
      </c>
      <c r="G112" s="228" t="str">
        <f>IFERROR(__xludf.DUMMYFUNCTION("""COMPUTED_VALUE"""),"Product Design")</f>
        <v>Product Design</v>
      </c>
      <c r="H112" s="228" t="str">
        <f>IFERROR(__xludf.DUMMYFUNCTION("""COMPUTED_VALUE"""),"Muhammad Abdullah Rafique")</f>
        <v>Muhammad Abdullah Rafique</v>
      </c>
      <c r="I112" s="228" t="str">
        <f>IFERROR(__xludf.DUMMYFUNCTION("""COMPUTED_VALUE"""),"Onsite")</f>
        <v>Onsite</v>
      </c>
      <c r="J112" s="228" t="str">
        <f>IFERROR(__xludf.DUMMYFUNCTION("""COMPUTED_VALUE"""),"Active")</f>
        <v>Active</v>
      </c>
      <c r="K112" s="228"/>
      <c r="L112" s="729">
        <f>IFERROR(__xludf.DUMMYFUNCTION("""COMPUTED_VALUE"""),45916.0)</f>
        <v>45916</v>
      </c>
      <c r="M112" s="228"/>
      <c r="N112" s="228"/>
      <c r="O112" s="228"/>
      <c r="P112" s="228" t="str">
        <f>IFERROR(__xludf.DUMMYFUNCTION("""COMPUTED_VALUE"""),"3139093548")</f>
        <v>3139093548</v>
      </c>
      <c r="Q112" s="228" t="str">
        <f>IFERROR(__xludf.DUMMYFUNCTION("""COMPUTED_VALUE"""),"17301-6350962-5")</f>
        <v>17301-6350962-5</v>
      </c>
      <c r="R112" s="228" t="str">
        <f>IFERROR(__xludf.DUMMYFUNCTION("""COMPUTED_VALUE"""),"Male")</f>
        <v>Male</v>
      </c>
      <c r="S112" s="228" t="str">
        <f>IFERROR(__xludf.DUMMYFUNCTION("""COMPUTED_VALUE"""),"Standard Chartered Bank")</f>
        <v>Standard Chartered Bank</v>
      </c>
      <c r="T112" s="228" t="str">
        <f>IFERROR(__xludf.DUMMYFUNCTION("""COMPUTED_VALUE"""),"Aizaz Ahmad")</f>
        <v>Aizaz Ahmad</v>
      </c>
      <c r="U112" s="228" t="str">
        <f>IFERROR(__xludf.DUMMYFUNCTION("""COMPUTED_VALUE"""),"PK78SCBL0000001727534601")</f>
        <v>PK78SCBL0000001727534601</v>
      </c>
      <c r="V112" s="228" t="str">
        <f>IFERROR(__xludf.DUMMYFUNCTION("""COMPUTED_VALUE"""),"SCBLPKKXXXX")</f>
        <v>SCBLPKKXXXX</v>
      </c>
      <c r="W112" s="228"/>
      <c r="X112" s="228"/>
      <c r="Y112" s="730">
        <f>IFERROR(__xludf.DUMMYFUNCTION("""COMPUTED_VALUE"""),34342.0)</f>
        <v>34342</v>
      </c>
      <c r="Z112" s="228" t="str">
        <f>IFERROR(__xludf.DUMMYFUNCTION("""COMPUTED_VALUE"""),"31 Years")</f>
        <v>31 Years</v>
      </c>
      <c r="AA112" s="228" t="str">
        <f>IFERROR(__xludf.DUMMYFUNCTION("""COMPUTED_VALUE"""),"House 26, Street 687, G-13/3, Islamabad (Current)
House 1045, Street 109, G-9/4, Islamabad (Id Card)")</f>
        <v>House 26, Street 687, G-13/3, Islamabad (Current)
House 1045, Street 109, G-9/4, Islamabad (Id Card)</v>
      </c>
      <c r="AB112" s="228" t="str">
        <f>IFERROR(__xludf.DUMMYFUNCTION("""COMPUTED_VALUE"""),"Pakistani")</f>
        <v>Pakistani</v>
      </c>
      <c r="AC112" s="228" t="str">
        <f>IFERROR(__xludf.DUMMYFUNCTION("""COMPUTED_VALUE"""),"Married")</f>
        <v>Married</v>
      </c>
      <c r="AD112" s="228"/>
      <c r="AE112" s="228"/>
      <c r="AF112" s="228"/>
      <c r="AG112" s="228" t="str">
        <f>IFERROR(__xludf.DUMMYFUNCTION("""COMPUTED_VALUE"""),"Imtiaz Ahmad")</f>
        <v>Imtiaz Ahmad</v>
      </c>
      <c r="AH112" s="228" t="str">
        <f>IFERROR(__xludf.DUMMYFUNCTION("""COMPUTED_VALUE"""),"Wife")</f>
        <v>Wife</v>
      </c>
      <c r="AI112" s="228">
        <f>IFERROR(__xludf.DUMMYFUNCTION("""COMPUTED_VALUE"""),3.342790676E9)</f>
        <v>3342790676</v>
      </c>
      <c r="AJ112" s="228" t="str">
        <f>IFERROR(__xludf.DUMMYFUNCTION("""COMPUTED_VALUE"""),"B+")</f>
        <v>B+</v>
      </c>
      <c r="AK112" s="731" t="str">
        <f>IFERROR(__xludf.DUMMYFUNCTION("""COMPUTED_VALUE"""),"linkedin.com/in/aizaz56")</f>
        <v>linkedin.com/in/aizaz56</v>
      </c>
      <c r="AL112" s="228" t="str">
        <f>IFERROR(__xludf.DUMMYFUNCTION("""COMPUTED_VALUE"""),"Annum Tirmizi")</f>
        <v>Annum Tirmizi</v>
      </c>
      <c r="AM112" s="228"/>
      <c r="AN112" s="228"/>
      <c r="AO112" s="228"/>
      <c r="AP112" s="228" t="str">
        <f>IFERROR(__xludf.DUMMYFUNCTION("""COMPUTED_VALUE"""),"NO")</f>
        <v>NO</v>
      </c>
      <c r="AQ112" s="228" t="str">
        <f>IFERROR(__xludf.DUMMYFUNCTION("""COMPUTED_VALUE"""),"Active")</f>
        <v>Active</v>
      </c>
    </row>
    <row r="113">
      <c r="A113" s="228">
        <f>IFERROR(__xludf.DUMMYFUNCTION("""COMPUTED_VALUE"""),5426.0)</f>
        <v>5426</v>
      </c>
      <c r="B113" s="228" t="str">
        <f>IFERROR(__xludf.DUMMYFUNCTION("""COMPUTED_VALUE"""),"Muhammad Awais")</f>
        <v>Muhammad Awais</v>
      </c>
      <c r="C113" s="228" t="str">
        <f>IFERROR(__xludf.DUMMYFUNCTION("""COMPUTED_VALUE"""),"m.awaisayy@gmail.com")</f>
        <v>m.awaisayy@gmail.com</v>
      </c>
      <c r="D113" s="228" t="str">
        <f>IFERROR(__xludf.DUMMYFUNCTION("""COMPUTED_VALUE"""),"muhammad.awais@vyro.ai")</f>
        <v>muhammad.awais@vyro.ai</v>
      </c>
      <c r="E113" s="728">
        <f>IFERROR(__xludf.DUMMYFUNCTION("""COMPUTED_VALUE"""),45824.0)</f>
        <v>45824</v>
      </c>
      <c r="F113" s="228" t="str">
        <f>IFERROR(__xludf.DUMMYFUNCTION("""COMPUTED_VALUE"""),"Customer Support Executive")</f>
        <v>Customer Support Executive</v>
      </c>
      <c r="G113" s="228" t="str">
        <f>IFERROR(__xludf.DUMMYFUNCTION("""COMPUTED_VALUE"""),"Customer Success")</f>
        <v>Customer Success</v>
      </c>
      <c r="H113" s="228" t="str">
        <f>IFERROR(__xludf.DUMMYFUNCTION("""COMPUTED_VALUE"""),"Ahmed Abubakar, CEO")</f>
        <v>Ahmed Abubakar, CEO</v>
      </c>
      <c r="I113" s="228" t="str">
        <f>IFERROR(__xludf.DUMMYFUNCTION("""COMPUTED_VALUE"""),"Hybrid")</f>
        <v>Hybrid</v>
      </c>
      <c r="J113" s="228" t="str">
        <f>IFERROR(__xludf.DUMMYFUNCTION("""COMPUTED_VALUE"""),"Active")</f>
        <v>Active</v>
      </c>
      <c r="K113" s="228"/>
      <c r="L113" s="729">
        <f>IFERROR(__xludf.DUMMYFUNCTION("""COMPUTED_VALUE"""),45916.0)</f>
        <v>45916</v>
      </c>
      <c r="M113" s="228"/>
      <c r="N113" s="228"/>
      <c r="O113" s="228"/>
      <c r="P113" s="228" t="str">
        <f>IFERROR(__xludf.DUMMYFUNCTION("""COMPUTED_VALUE"""),"3369962441")</f>
        <v>3369962441</v>
      </c>
      <c r="Q113" s="228" t="str">
        <f>IFERROR(__xludf.DUMMYFUNCTION("""COMPUTED_VALUE"""),"13101-2262774-5")</f>
        <v>13101-2262774-5</v>
      </c>
      <c r="R113" s="228" t="str">
        <f>IFERROR(__xludf.DUMMYFUNCTION("""COMPUTED_VALUE"""),"Male")</f>
        <v>Male</v>
      </c>
      <c r="S113" s="228" t="str">
        <f>IFERROR(__xludf.DUMMYFUNCTION("""COMPUTED_VALUE"""),"Bank Alfalah")</f>
        <v>Bank Alfalah</v>
      </c>
      <c r="T113" s="228" t="str">
        <f>IFERROR(__xludf.DUMMYFUNCTION("""COMPUTED_VALUE"""),"981007090215")</f>
        <v>981007090215</v>
      </c>
      <c r="U113" s="228" t="str">
        <f>IFERROR(__xludf.DUMMYFUNCTION("""COMPUTED_VALUE"""),"PK40ALFH0098001007090215")</f>
        <v>PK40ALFH0098001007090215</v>
      </c>
      <c r="V113" s="228" t="str">
        <f>IFERROR(__xludf.DUMMYFUNCTION("""COMPUTED_VALUE"""),"ALFHPKKA098")</f>
        <v>ALFHPKKA098</v>
      </c>
      <c r="W113" s="228"/>
      <c r="X113" s="228"/>
      <c r="Y113" s="730">
        <f>IFERROR(__xludf.DUMMYFUNCTION("""COMPUTED_VALUE"""),36585.0)</f>
        <v>36585</v>
      </c>
      <c r="Z113" s="228" t="str">
        <f>IFERROR(__xludf.DUMMYFUNCTION("""COMPUTED_VALUE"""),"25 Years")</f>
        <v>25 Years</v>
      </c>
      <c r="AA113" s="228" t="str">
        <f>IFERROR(__xludf.DUMMYFUNCTION("""COMPUTED_VALUE"""),"House No. 319 Street No. 3 Walayat Khan Colony Rawalpindi")</f>
        <v>House No. 319 Street No. 3 Walayat Khan Colony Rawalpindi</v>
      </c>
      <c r="AB113" s="228" t="str">
        <f>IFERROR(__xludf.DUMMYFUNCTION("""COMPUTED_VALUE"""),"Pakistani")</f>
        <v>Pakistani</v>
      </c>
      <c r="AC113" s="228" t="str">
        <f>IFERROR(__xludf.DUMMYFUNCTION("""COMPUTED_VALUE"""),"Single")</f>
        <v>Single</v>
      </c>
      <c r="AD113" s="228"/>
      <c r="AE113" s="228"/>
      <c r="AF113" s="228"/>
      <c r="AG113" s="228" t="str">
        <f>IFERROR(__xludf.DUMMYFUNCTION("""COMPUTED_VALUE"""),"Laal Muhammad")</f>
        <v>Laal Muhammad</v>
      </c>
      <c r="AH113" s="228" t="str">
        <f>IFERROR(__xludf.DUMMYFUNCTION("""COMPUTED_VALUE"""),"Mother")</f>
        <v>Mother</v>
      </c>
      <c r="AI113" s="228">
        <f>IFERROR(__xludf.DUMMYFUNCTION("""COMPUTED_VALUE"""),3.345091721E9)</f>
        <v>3345091721</v>
      </c>
      <c r="AJ113" s="228" t="str">
        <f>IFERROR(__xludf.DUMMYFUNCTION("""COMPUTED_VALUE"""),"A+")</f>
        <v>A+</v>
      </c>
      <c r="AK113" s="731" t="str">
        <f>IFERROR(__xludf.DUMMYFUNCTION("""COMPUTED_VALUE"""),"https://www.linkedin.com/in/mawais29/")</f>
        <v>https://www.linkedin.com/in/mawais29/</v>
      </c>
      <c r="AL113" s="228" t="str">
        <f>IFERROR(__xludf.DUMMYFUNCTION("""COMPUTED_VALUE"""),"Mushtafa Shakil")</f>
        <v>Mushtafa Shakil</v>
      </c>
      <c r="AM113" s="228"/>
      <c r="AN113" s="228"/>
      <c r="AO113" s="228"/>
      <c r="AP113" s="228" t="str">
        <f>IFERROR(__xludf.DUMMYFUNCTION("""COMPUTED_VALUE"""),"NO")</f>
        <v>NO</v>
      </c>
      <c r="AQ113" s="228" t="str">
        <f>IFERROR(__xludf.DUMMYFUNCTION("""COMPUTED_VALUE"""),"Active")</f>
        <v>Active</v>
      </c>
    </row>
    <row r="114">
      <c r="A114" s="228">
        <f>IFERROR(__xludf.DUMMYFUNCTION("""COMPUTED_VALUE"""),5419.0)</f>
        <v>5419</v>
      </c>
      <c r="B114" s="228" t="str">
        <f>IFERROR(__xludf.DUMMYFUNCTION("""COMPUTED_VALUE"""),"Muhammad Shayan")</f>
        <v>Muhammad Shayan</v>
      </c>
      <c r="C114" s="228" t="str">
        <f>IFERROR(__xludf.DUMMYFUNCTION("""COMPUTED_VALUE"""),"shayanshahzad189@gmail.com")</f>
        <v>shayanshahzad189@gmail.com</v>
      </c>
      <c r="D114" s="228" t="str">
        <f>IFERROR(__xludf.DUMMYFUNCTION("""COMPUTED_VALUE"""),"muhammad.shayan@vyro.ai")</f>
        <v>muhammad.shayan@vyro.ai</v>
      </c>
      <c r="E114" s="728">
        <f>IFERROR(__xludf.DUMMYFUNCTION("""COMPUTED_VALUE"""),45824.0)</f>
        <v>45824</v>
      </c>
      <c r="F114" s="228" t="str">
        <f>IFERROR(__xludf.DUMMYFUNCTION("""COMPUTED_VALUE"""),"SEO Content Strategist")</f>
        <v>SEO Content Strategist</v>
      </c>
      <c r="G114" s="228" t="str">
        <f>IFERROR(__xludf.DUMMYFUNCTION("""COMPUTED_VALUE"""),"SEO")</f>
        <v>SEO</v>
      </c>
      <c r="H114" s="228" t="str">
        <f>IFERROR(__xludf.DUMMYFUNCTION("""COMPUTED_VALUE"""),"Syed Osama")</f>
        <v>Syed Osama</v>
      </c>
      <c r="I114" s="228" t="str">
        <f>IFERROR(__xludf.DUMMYFUNCTION("""COMPUTED_VALUE"""),"Onsite")</f>
        <v>Onsite</v>
      </c>
      <c r="J114" s="228" t="str">
        <f>IFERROR(__xludf.DUMMYFUNCTION("""COMPUTED_VALUE"""),"Active")</f>
        <v>Active</v>
      </c>
      <c r="K114" s="228"/>
      <c r="L114" s="729">
        <f>IFERROR(__xludf.DUMMYFUNCTION("""COMPUTED_VALUE"""),45916.0)</f>
        <v>45916</v>
      </c>
      <c r="M114" s="228"/>
      <c r="N114" s="228"/>
      <c r="O114" s="228"/>
      <c r="P114" s="228" t="str">
        <f>IFERROR(__xludf.DUMMYFUNCTION("""COMPUTED_VALUE"""),"3343800606")</f>
        <v>3343800606</v>
      </c>
      <c r="Q114" s="228" t="str">
        <f>IFERROR(__xludf.DUMMYFUNCTION("""COMPUTED_VALUE"""),"42101-7161842-5")</f>
        <v>42101-7161842-5</v>
      </c>
      <c r="R114" s="228" t="str">
        <f>IFERROR(__xludf.DUMMYFUNCTION("""COMPUTED_VALUE"""),"Male")</f>
        <v>Male</v>
      </c>
      <c r="S114" s="228" t="str">
        <f>IFERROR(__xludf.DUMMYFUNCTION("""COMPUTED_VALUE"""),"Bank Al-Habib")</f>
        <v>Bank Al-Habib</v>
      </c>
      <c r="T114" s="228" t="str">
        <f>IFERROR(__xludf.DUMMYFUNCTION("""COMPUTED_VALUE"""),"MUHAMMAD SHAYAN")</f>
        <v>MUHAMMAD SHAYAN</v>
      </c>
      <c r="U114" s="228" t="str">
        <f>IFERROR(__xludf.DUMMYFUNCTION("""COMPUTED_VALUE"""),"PK94BAHL1027098102728601")</f>
        <v>PK94BAHL1027098102728601</v>
      </c>
      <c r="V114" s="228" t="str">
        <f>IFERROR(__xludf.DUMMYFUNCTION("""COMPUTED_VALUE"""),"BAHLPKKA")</f>
        <v>BAHLPKKA</v>
      </c>
      <c r="W114" s="228"/>
      <c r="X114" s="228" t="str">
        <f>IFERROR(__xludf.DUMMYFUNCTION("""COMPUTED_VALUE"""),"Islamabad")</f>
        <v>Islamabad</v>
      </c>
      <c r="Y114" s="730">
        <f>IFERROR(__xludf.DUMMYFUNCTION("""COMPUTED_VALUE"""),36175.0)</f>
        <v>36175</v>
      </c>
      <c r="Z114" s="228" t="str">
        <f>IFERROR(__xludf.DUMMYFUNCTION("""COMPUTED_VALUE"""),"26 Years")</f>
        <v>26 Years</v>
      </c>
      <c r="AA114" s="228" t="str">
        <f>IFERROR(__xludf.DUMMYFUNCTION("""COMPUTED_VALUE"""),"Flat number 703, Falak Tower, Nazimabad Block 4")</f>
        <v>Flat number 703, Falak Tower, Nazimabad Block 4</v>
      </c>
      <c r="AB114" s="228" t="str">
        <f>IFERROR(__xludf.DUMMYFUNCTION("""COMPUTED_VALUE"""),"Pakistani")</f>
        <v>Pakistani</v>
      </c>
      <c r="AC114" s="228" t="str">
        <f>IFERROR(__xludf.DUMMYFUNCTION("""COMPUTED_VALUE"""),"Married")</f>
        <v>Married</v>
      </c>
      <c r="AD114" s="228"/>
      <c r="AE114" s="228"/>
      <c r="AF114" s="228"/>
      <c r="AG114" s="228" t="str">
        <f>IFERROR(__xludf.DUMMYFUNCTION("""COMPUTED_VALUE"""),"Muhammad Shahzad")</f>
        <v>Muhammad Shahzad</v>
      </c>
      <c r="AH114" s="228" t="str">
        <f>IFERROR(__xludf.DUMMYFUNCTION("""COMPUTED_VALUE"""),"Father")</f>
        <v>Father</v>
      </c>
      <c r="AI114" s="228">
        <f>IFERROR(__xludf.DUMMYFUNCTION("""COMPUTED_VALUE"""),3.037771039E9)</f>
        <v>3037771039</v>
      </c>
      <c r="AJ114" s="228" t="str">
        <f>IFERROR(__xludf.DUMMYFUNCTION("""COMPUTED_VALUE"""),"A+")</f>
        <v>A+</v>
      </c>
      <c r="AK114" s="731" t="str">
        <f>IFERROR(__xludf.DUMMYFUNCTION("""COMPUTED_VALUE"""),"www.linkedin.com/in/shayan-shahzad-a4123b213")</f>
        <v>www.linkedin.com/in/shayan-shahzad-a4123b213</v>
      </c>
      <c r="AL114" s="228" t="str">
        <f>IFERROR(__xludf.DUMMYFUNCTION("""COMPUTED_VALUE"""),"Mustufa")</f>
        <v>Mustufa</v>
      </c>
      <c r="AM114" s="228"/>
      <c r="AN114" s="228"/>
      <c r="AO114" s="228"/>
      <c r="AP114" s="228" t="str">
        <f>IFERROR(__xludf.DUMMYFUNCTION("""COMPUTED_VALUE"""),"NO")</f>
        <v>NO</v>
      </c>
      <c r="AQ114" s="228" t="str">
        <f>IFERROR(__xludf.DUMMYFUNCTION("""COMPUTED_VALUE"""),"Active")</f>
        <v>Active</v>
      </c>
    </row>
    <row r="115">
      <c r="A115" s="228">
        <f>IFERROR(__xludf.DUMMYFUNCTION("""COMPUTED_VALUE"""),5410.0)</f>
        <v>5410</v>
      </c>
      <c r="B115" s="228" t="str">
        <f>IFERROR(__xludf.DUMMYFUNCTION("""COMPUTED_VALUE"""),"Sana Hasan")</f>
        <v>Sana Hasan</v>
      </c>
      <c r="C115" s="228" t="str">
        <f>IFERROR(__xludf.DUMMYFUNCTION("""COMPUTED_VALUE"""),"ssrizvi118@gmail.com")</f>
        <v>ssrizvi118@gmail.com</v>
      </c>
      <c r="D115" s="228" t="str">
        <f>IFERROR(__xludf.DUMMYFUNCTION("""COMPUTED_VALUE"""),"sana.hasan@vyro.ai")</f>
        <v>sana.hasan@vyro.ai</v>
      </c>
      <c r="E115" s="728">
        <f>IFERROR(__xludf.DUMMYFUNCTION("""COMPUTED_VALUE"""),45824.0)</f>
        <v>45824</v>
      </c>
      <c r="F115" s="228" t="str">
        <f>IFERROR(__xludf.DUMMYFUNCTION("""COMPUTED_VALUE"""),"Marketing Specialist")</f>
        <v>Marketing Specialist</v>
      </c>
      <c r="G115" s="228" t="str">
        <f>IFERROR(__xludf.DUMMYFUNCTION("""COMPUTED_VALUE"""),"Marketing")</f>
        <v>Marketing</v>
      </c>
      <c r="H115" s="228" t="str">
        <f>IFERROR(__xludf.DUMMYFUNCTION("""COMPUTED_VALUE"""),"Awais Chaudhry")</f>
        <v>Awais Chaudhry</v>
      </c>
      <c r="I115" s="228" t="str">
        <f>IFERROR(__xludf.DUMMYFUNCTION("""COMPUTED_VALUE"""),"Onsite")</f>
        <v>Onsite</v>
      </c>
      <c r="J115" s="228" t="str">
        <f>IFERROR(__xludf.DUMMYFUNCTION("""COMPUTED_VALUE"""),"Active")</f>
        <v>Active</v>
      </c>
      <c r="K115" s="228"/>
      <c r="L115" s="729">
        <f>IFERROR(__xludf.DUMMYFUNCTION("""COMPUTED_VALUE"""),45916.0)</f>
        <v>45916</v>
      </c>
      <c r="M115" s="228"/>
      <c r="N115" s="228"/>
      <c r="O115" s="228"/>
      <c r="P115" s="228" t="str">
        <f>IFERROR(__xludf.DUMMYFUNCTION("""COMPUTED_VALUE"""),"3345730118")</f>
        <v>3345730118</v>
      </c>
      <c r="Q115" s="228" t="str">
        <f>IFERROR(__xludf.DUMMYFUNCTION("""COMPUTED_VALUE"""),"61101-4182431-8")</f>
        <v>61101-4182431-8</v>
      </c>
      <c r="R115" s="228" t="str">
        <f>IFERROR(__xludf.DUMMYFUNCTION("""COMPUTED_VALUE"""),"Female")</f>
        <v>Female</v>
      </c>
      <c r="S115" s="228" t="str">
        <f>IFERROR(__xludf.DUMMYFUNCTION("""COMPUTED_VALUE"""),"Habib Metro")</f>
        <v>Habib Metro</v>
      </c>
      <c r="T115" s="228" t="str">
        <f>IFERROR(__xludf.DUMMYFUNCTION("""COMPUTED_VALUE"""),"Sana hasan")</f>
        <v>Sana hasan</v>
      </c>
      <c r="U115" s="228" t="str">
        <f>IFERROR(__xludf.DUMMYFUNCTION("""COMPUTED_VALUE"""),"PK59MPBL9866637140107334")</f>
        <v>PK59MPBL9866637140107334</v>
      </c>
      <c r="V115" s="228" t="str">
        <f>IFERROR(__xludf.DUMMYFUNCTION("""COMPUTED_VALUE"""),"N/a")</f>
        <v>N/a</v>
      </c>
      <c r="W115" s="228"/>
      <c r="X115" s="228" t="str">
        <f>IFERROR(__xludf.DUMMYFUNCTION("""COMPUTED_VALUE"""),"Islamabad")</f>
        <v>Islamabad</v>
      </c>
      <c r="Y115" s="730">
        <f>IFERROR(__xludf.DUMMYFUNCTION("""COMPUTED_VALUE"""),36180.0)</f>
        <v>36180</v>
      </c>
      <c r="Z115" s="228" t="str">
        <f>IFERROR(__xludf.DUMMYFUNCTION("""COMPUTED_VALUE"""),"26 Years")</f>
        <v>26 Years</v>
      </c>
      <c r="AA115" s="228" t="str">
        <f>IFERROR(__xludf.DUMMYFUNCTION("""COMPUTED_VALUE"""),"House#1310 st#58 G11/2 islamabad")</f>
        <v>House#1310 st#58 G11/2 islamabad</v>
      </c>
      <c r="AB115" s="228" t="str">
        <f>IFERROR(__xludf.DUMMYFUNCTION("""COMPUTED_VALUE"""),"Pakistani")</f>
        <v>Pakistani</v>
      </c>
      <c r="AC115" s="228" t="str">
        <f>IFERROR(__xludf.DUMMYFUNCTION("""COMPUTED_VALUE"""),"Single")</f>
        <v>Single</v>
      </c>
      <c r="AD115" s="228"/>
      <c r="AE115" s="228"/>
      <c r="AF115" s="228"/>
      <c r="AG115" s="228" t="str">
        <f>IFERROR(__xludf.DUMMYFUNCTION("""COMPUTED_VALUE"""),"Syed Meraj ul Hasan")</f>
        <v>Syed Meraj ul Hasan</v>
      </c>
      <c r="AH115" s="228" t="str">
        <f>IFERROR(__xludf.DUMMYFUNCTION("""COMPUTED_VALUE"""),"Brother")</f>
        <v>Brother</v>
      </c>
      <c r="AI115" s="228">
        <f>IFERROR(__xludf.DUMMYFUNCTION("""COMPUTED_VALUE"""),3.335690978E9)</f>
        <v>3335690978</v>
      </c>
      <c r="AJ115" s="228" t="str">
        <f>IFERROR(__xludf.DUMMYFUNCTION("""COMPUTED_VALUE"""),"B+")</f>
        <v>B+</v>
      </c>
      <c r="AK115" s="731" t="str">
        <f>IFERROR(__xludf.DUMMYFUNCTION("""COMPUTED_VALUE"""),"https://www.linkedin.com/in/sanahasan-rizvi/")</f>
        <v>https://www.linkedin.com/in/sanahasan-rizvi/</v>
      </c>
      <c r="AL115" s="228" t="str">
        <f>IFERROR(__xludf.DUMMYFUNCTION("""COMPUTED_VALUE"""),"Shaheryar Ehsan")</f>
        <v>Shaheryar Ehsan</v>
      </c>
      <c r="AM115" s="228"/>
      <c r="AN115" s="228"/>
      <c r="AO115" s="228"/>
      <c r="AP115" s="228" t="str">
        <f>IFERROR(__xludf.DUMMYFUNCTION("""COMPUTED_VALUE"""),"NO")</f>
        <v>NO</v>
      </c>
      <c r="AQ115" s="228" t="str">
        <f>IFERROR(__xludf.DUMMYFUNCTION("""COMPUTED_VALUE"""),"Active")</f>
        <v>Active</v>
      </c>
    </row>
    <row r="116">
      <c r="A116" s="228">
        <f>IFERROR(__xludf.DUMMYFUNCTION("""COMPUTED_VALUE"""),5427.0)</f>
        <v>5427</v>
      </c>
      <c r="B116" s="228" t="str">
        <f>IFERROR(__xludf.DUMMYFUNCTION("""COMPUTED_VALUE"""),"Zain Waseem")</f>
        <v>Zain Waseem</v>
      </c>
      <c r="C116" s="228" t="str">
        <f>IFERROR(__xludf.DUMMYFUNCTION("""COMPUTED_VALUE"""),"zainwaseem9371@gmail.com")</f>
        <v>zainwaseem9371@gmail.com</v>
      </c>
      <c r="D116" s="228" t="str">
        <f>IFERROR(__xludf.DUMMYFUNCTION("""COMPUTED_VALUE"""),"zain.waseem@vyro.ai")</f>
        <v>zain.waseem@vyro.ai</v>
      </c>
      <c r="E116" s="728">
        <f>IFERROR(__xludf.DUMMYFUNCTION("""COMPUTED_VALUE"""),45824.0)</f>
        <v>45824</v>
      </c>
      <c r="F116" s="228" t="str">
        <f>IFERROR(__xludf.DUMMYFUNCTION("""COMPUTED_VALUE"""),"Senior Frontend Developer")</f>
        <v>Senior Frontend Developer</v>
      </c>
      <c r="G116" s="228" t="str">
        <f>IFERROR(__xludf.DUMMYFUNCTION("""COMPUTED_VALUE"""),"Frontend")</f>
        <v>Frontend</v>
      </c>
      <c r="H116" s="228" t="str">
        <f>IFERROR(__xludf.DUMMYFUNCTION("""COMPUTED_VALUE"""),"Hammad Maqsood")</f>
        <v>Hammad Maqsood</v>
      </c>
      <c r="I116" s="228" t="str">
        <f>IFERROR(__xludf.DUMMYFUNCTION("""COMPUTED_VALUE"""),"Remote")</f>
        <v>Remote</v>
      </c>
      <c r="J116" s="228" t="str">
        <f>IFERROR(__xludf.DUMMYFUNCTION("""COMPUTED_VALUE"""),"Active")</f>
        <v>Active</v>
      </c>
      <c r="K116" s="228"/>
      <c r="L116" s="729">
        <f>IFERROR(__xludf.DUMMYFUNCTION("""COMPUTED_VALUE"""),45916.0)</f>
        <v>45916</v>
      </c>
      <c r="M116" s="228"/>
      <c r="N116" s="228"/>
      <c r="O116" s="228"/>
      <c r="P116" s="228" t="str">
        <f>IFERROR(__xludf.DUMMYFUNCTION("""COMPUTED_VALUE"""),"3017049476")</f>
        <v>3017049476</v>
      </c>
      <c r="Q116" s="228" t="str">
        <f>IFERROR(__xludf.DUMMYFUNCTION("""COMPUTED_VALUE"""),"38201-0546368-9")</f>
        <v>38201-0546368-9</v>
      </c>
      <c r="R116" s="228" t="str">
        <f>IFERROR(__xludf.DUMMYFUNCTION("""COMPUTED_VALUE"""),"Male")</f>
        <v>Male</v>
      </c>
      <c r="S116" s="228" t="str">
        <f>IFERROR(__xludf.DUMMYFUNCTION("""COMPUTED_VALUE"""),"United Bank Limited UBL")</f>
        <v>United Bank Limited UBL</v>
      </c>
      <c r="T116" s="228" t="str">
        <f>IFERROR(__xludf.DUMMYFUNCTION("""COMPUTED_VALUE"""),"Zain Waseem")</f>
        <v>Zain Waseem</v>
      </c>
      <c r="U116" s="228" t="str">
        <f>IFERROR(__xludf.DUMMYFUNCTION("""COMPUTED_VALUE"""),"PK36UNIL0109000308226759")</f>
        <v>PK36UNIL0109000308226759</v>
      </c>
      <c r="V116" s="228" t="str">
        <f>IFERROR(__xludf.DUMMYFUNCTION("""COMPUTED_VALUE"""),"UNILPKKA028")</f>
        <v>UNILPKKA028</v>
      </c>
      <c r="W116" s="228"/>
      <c r="X116" s="228"/>
      <c r="Y116" s="730">
        <f>IFERROR(__xludf.DUMMYFUNCTION("""COMPUTED_VALUE"""),36931.0)</f>
        <v>36931</v>
      </c>
      <c r="Z116" s="228" t="str">
        <f>IFERROR(__xludf.DUMMYFUNCTION("""COMPUTED_VALUE"""),"24 Years")</f>
        <v>24 Years</v>
      </c>
      <c r="AA116" s="228" t="str">
        <f>IFERROR(__xludf.DUMMYFUNCTION("""COMPUTED_VALUE"""),"Chak No 60.MB Khushab")</f>
        <v>Chak No 60.MB Khushab</v>
      </c>
      <c r="AB116" s="228" t="str">
        <f>IFERROR(__xludf.DUMMYFUNCTION("""COMPUTED_VALUE"""),"Pakistan")</f>
        <v>Pakistan</v>
      </c>
      <c r="AC116" s="228" t="str">
        <f>IFERROR(__xludf.DUMMYFUNCTION("""COMPUTED_VALUE"""),"Single")</f>
        <v>Single</v>
      </c>
      <c r="AD116" s="228"/>
      <c r="AE116" s="228"/>
      <c r="AF116" s="228"/>
      <c r="AG116" s="228" t="str">
        <f>IFERROR(__xludf.DUMMYFUNCTION("""COMPUTED_VALUE"""),"Muhammad Waseem")</f>
        <v>Muhammad Waseem</v>
      </c>
      <c r="AH116" s="228" t="str">
        <f>IFERROR(__xludf.DUMMYFUNCTION("""COMPUTED_VALUE"""),"Brother")</f>
        <v>Brother</v>
      </c>
      <c r="AI116" s="228">
        <f>IFERROR(__xludf.DUMMYFUNCTION("""COMPUTED_VALUE"""),3.049821834E9)</f>
        <v>3049821834</v>
      </c>
      <c r="AJ116" s="228" t="str">
        <f>IFERROR(__xludf.DUMMYFUNCTION("""COMPUTED_VALUE"""),"B-")</f>
        <v>B-</v>
      </c>
      <c r="AK116" s="731" t="str">
        <f>IFERROR(__xludf.DUMMYFUNCTION("""COMPUTED_VALUE"""),"https://www.linkedin.com/in/zainwasem/")</f>
        <v>https://www.linkedin.com/in/zainwasem/</v>
      </c>
      <c r="AL116" s="228" t="str">
        <f>IFERROR(__xludf.DUMMYFUNCTION("""COMPUTED_VALUE"""),"Annum Inam Tirmizi")</f>
        <v>Annum Inam Tirmizi</v>
      </c>
      <c r="AM116" s="728">
        <f>IFERROR(__xludf.DUMMYFUNCTION("""COMPUTED_VALUE"""),45975.0)</f>
        <v>45975</v>
      </c>
      <c r="AN116" s="228"/>
      <c r="AO116" s="228"/>
      <c r="AP116" s="228" t="str">
        <f>IFERROR(__xludf.DUMMYFUNCTION("""COMPUTED_VALUE"""),"NO")</f>
        <v>NO</v>
      </c>
      <c r="AQ116" s="228" t="str">
        <f>IFERROR(__xludf.DUMMYFUNCTION("""COMPUTED_VALUE"""),"Active")</f>
        <v>Active</v>
      </c>
    </row>
    <row r="117">
      <c r="A117" s="228">
        <f>IFERROR(__xludf.DUMMYFUNCTION("""COMPUTED_VALUE"""),5432.0)</f>
        <v>5432</v>
      </c>
      <c r="B117" s="228" t="str">
        <f>IFERROR(__xludf.DUMMYFUNCTION("""COMPUTED_VALUE"""),"Aown Raza")</f>
        <v>Aown Raza</v>
      </c>
      <c r="C117" s="228" t="str">
        <f>IFERROR(__xludf.DUMMYFUNCTION("""COMPUTED_VALUE"""),"ownkhan91@gmail.com")</f>
        <v>ownkhan91@gmail.com</v>
      </c>
      <c r="D117" s="228" t="str">
        <f>IFERROR(__xludf.DUMMYFUNCTION("""COMPUTED_VALUE"""),"aown.raza@vyro.ai")</f>
        <v>aown.raza@vyro.ai</v>
      </c>
      <c r="E117" s="728">
        <f>IFERROR(__xludf.DUMMYFUNCTION("""COMPUTED_VALUE"""),45831.0)</f>
        <v>45831</v>
      </c>
      <c r="F117" s="228" t="str">
        <f>IFERROR(__xludf.DUMMYFUNCTION("""COMPUTED_VALUE"""),"Youtube Production Strategist")</f>
        <v>Youtube Production Strategist</v>
      </c>
      <c r="G117" s="228" t="str">
        <f>IFERROR(__xludf.DUMMYFUNCTION("""COMPUTED_VALUE"""),"Marketing")</f>
        <v>Marketing</v>
      </c>
      <c r="H117" s="228"/>
      <c r="I117" s="228" t="str">
        <f>IFERROR(__xludf.DUMMYFUNCTION("""COMPUTED_VALUE"""),"Hybrid")</f>
        <v>Hybrid</v>
      </c>
      <c r="J117" s="228" t="str">
        <f>IFERROR(__xludf.DUMMYFUNCTION("""COMPUTED_VALUE"""),"Active")</f>
        <v>Active</v>
      </c>
      <c r="K117" s="228"/>
      <c r="L117" s="729">
        <f>IFERROR(__xludf.DUMMYFUNCTION("""COMPUTED_VALUE"""),45923.0)</f>
        <v>45923</v>
      </c>
      <c r="M117" s="228"/>
      <c r="N117" s="228"/>
      <c r="O117" s="228"/>
      <c r="P117" s="228" t="str">
        <f>IFERROR(__xludf.DUMMYFUNCTION("""COMPUTED_VALUE"""),"92 3487088792")</f>
        <v>92 3487088792</v>
      </c>
      <c r="Q117" s="228" t="str">
        <f>IFERROR(__xludf.DUMMYFUNCTION("""COMPUTED_VALUE"""),"32303-5853766-3")</f>
        <v>32303-5853766-3</v>
      </c>
      <c r="R117" s="228" t="str">
        <f>IFERROR(__xludf.DUMMYFUNCTION("""COMPUTED_VALUE"""),"Male")</f>
        <v>Male</v>
      </c>
      <c r="S117" s="228" t="str">
        <f>IFERROR(__xludf.DUMMYFUNCTION("""COMPUTED_VALUE"""),"Bank Alflah")</f>
        <v>Bank Alflah</v>
      </c>
      <c r="T117" s="228" t="str">
        <f>IFERROR(__xludf.DUMMYFUNCTION("""COMPUTED_VALUE"""),"AWN RAZA")</f>
        <v>AWN RAZA</v>
      </c>
      <c r="U117" s="228" t="str">
        <f>IFERROR(__xludf.DUMMYFUNCTION("""COMPUTED_VALUE"""),"PK94ALFH0131001008544242")</f>
        <v>PK94ALFH0131001008544242</v>
      </c>
      <c r="V117" s="228"/>
      <c r="W117" s="228"/>
      <c r="X117" s="228"/>
      <c r="Y117" s="730">
        <f>IFERROR(__xludf.DUMMYFUNCTION("""COMPUTED_VALUE"""),35157.0)</f>
        <v>35157</v>
      </c>
      <c r="Z117" s="228" t="str">
        <f>IFERROR(__xludf.DUMMYFUNCTION("""COMPUTED_VALUE"""),"29 Years")</f>
        <v>29 Years</v>
      </c>
      <c r="AA117" s="228" t="str">
        <f>IFERROR(__xludf.DUMMYFUNCTION("""COMPUTED_VALUE"""),"Ibn e sina road g11/3 ,pha c type apartment ,gate no 8 ,block 38 ,3rd floor ,flat no 7")</f>
        <v>Ibn e sina road g11/3 ,pha c type apartment ,gate no 8 ,block 38 ,3rd floor ,flat no 7</v>
      </c>
      <c r="AB117" s="228" t="str">
        <f>IFERROR(__xludf.DUMMYFUNCTION("""COMPUTED_VALUE"""),"Pakistani")</f>
        <v>Pakistani</v>
      </c>
      <c r="AC117" s="228"/>
      <c r="AD117" s="228"/>
      <c r="AE117" s="228"/>
      <c r="AF117" s="228"/>
      <c r="AG117" s="228" t="str">
        <f>IFERROR(__xludf.DUMMYFUNCTION("""COMPUTED_VALUE"""),"Muhammad Afzal")</f>
        <v>Muhammad Afzal</v>
      </c>
      <c r="AH117" s="228"/>
      <c r="AI117" s="228"/>
      <c r="AJ117" s="228"/>
      <c r="AK117" s="228"/>
      <c r="AL117" s="228"/>
      <c r="AM117" s="228"/>
      <c r="AN117" s="228"/>
      <c r="AO117" s="228"/>
      <c r="AP117" s="228" t="str">
        <f>IFERROR(__xludf.DUMMYFUNCTION("""COMPUTED_VALUE"""),"NO")</f>
        <v>NO</v>
      </c>
      <c r="AQ117" s="228" t="str">
        <f>IFERROR(__xludf.DUMMYFUNCTION("""COMPUTED_VALUE"""),"Active")</f>
        <v>Active</v>
      </c>
    </row>
    <row r="118">
      <c r="A118" s="228">
        <f>IFERROR(__xludf.DUMMYFUNCTION("""COMPUTED_VALUE"""),5429.0)</f>
        <v>5429</v>
      </c>
      <c r="B118" s="228" t="str">
        <f>IFERROR(__xludf.DUMMYFUNCTION("""COMPUTED_VALUE"""),"Muhammad Bin Habib")</f>
        <v>Muhammad Bin Habib</v>
      </c>
      <c r="C118" s="228" t="str">
        <f>IFERROR(__xludf.DUMMYFUNCTION("""COMPUTED_VALUE"""),"m.habib522@gmail.com")</f>
        <v>m.habib522@gmail.com</v>
      </c>
      <c r="D118" s="228" t="str">
        <f>IFERROR(__xludf.DUMMYFUNCTION("""COMPUTED_VALUE"""),"muhammad.habib@vyro.ai")</f>
        <v>muhammad.habib@vyro.ai</v>
      </c>
      <c r="E118" s="728">
        <f>IFERROR(__xludf.DUMMYFUNCTION("""COMPUTED_VALUE"""),45831.0)</f>
        <v>45831</v>
      </c>
      <c r="F118" s="228" t="str">
        <f>IFERROR(__xludf.DUMMYFUNCTION("""COMPUTED_VALUE"""),"SEO Content Strategist")</f>
        <v>SEO Content Strategist</v>
      </c>
      <c r="G118" s="228" t="str">
        <f>IFERROR(__xludf.DUMMYFUNCTION("""COMPUTED_VALUE"""),"SEO")</f>
        <v>SEO</v>
      </c>
      <c r="H118" s="228" t="str">
        <f>IFERROR(__xludf.DUMMYFUNCTION("""COMPUTED_VALUE"""),"Awais Chaudhry")</f>
        <v>Awais Chaudhry</v>
      </c>
      <c r="I118" s="228" t="str">
        <f>IFERROR(__xludf.DUMMYFUNCTION("""COMPUTED_VALUE"""),"Onsite")</f>
        <v>Onsite</v>
      </c>
      <c r="J118" s="228" t="str">
        <f>IFERROR(__xludf.DUMMYFUNCTION("""COMPUTED_VALUE"""),"Active")</f>
        <v>Active</v>
      </c>
      <c r="K118" s="228"/>
      <c r="L118" s="729">
        <f>IFERROR(__xludf.DUMMYFUNCTION("""COMPUTED_VALUE"""),45923.0)</f>
        <v>45923</v>
      </c>
      <c r="M118" s="228"/>
      <c r="N118" s="228"/>
      <c r="O118" s="228"/>
      <c r="P118" s="228" t="str">
        <f>IFERROR(__xludf.DUMMYFUNCTION("""COMPUTED_VALUE"""),"3126691125")</f>
        <v>3126691125</v>
      </c>
      <c r="Q118" s="228" t="str">
        <f>IFERROR(__xludf.DUMMYFUNCTION("""COMPUTED_VALUE"""),"42101-6881599-1")</f>
        <v>42101-6881599-1</v>
      </c>
      <c r="R118" s="228" t="str">
        <f>IFERROR(__xludf.DUMMYFUNCTION("""COMPUTED_VALUE"""),"Male")</f>
        <v>Male</v>
      </c>
      <c r="S118" s="228" t="str">
        <f>IFERROR(__xludf.DUMMYFUNCTION("""COMPUTED_VALUE"""),"Meezan Bank - KHADIJA MARKET BR - KHI")</f>
        <v>Meezan Bank - KHADIJA MARKET BR - KHI</v>
      </c>
      <c r="T118" s="228" t="str">
        <f>IFERROR(__xludf.DUMMYFUNCTION("""COMPUTED_VALUE"""),"MUHAMMAD BIN HABIB")</f>
        <v>MUHAMMAD BIN HABIB</v>
      </c>
      <c r="U118" s="228" t="str">
        <f>IFERROR(__xludf.DUMMYFUNCTION("""COMPUTED_VALUE"""),"PK03MEZN0099060101609019")</f>
        <v>PK03MEZN0099060101609019</v>
      </c>
      <c r="V118" s="228" t="str">
        <f>IFERROR(__xludf.DUMMYFUNCTION("""COMPUTED_VALUE"""),"MEZNPKKA089")</f>
        <v>MEZNPKKA089</v>
      </c>
      <c r="W118" s="228"/>
      <c r="X118" s="228"/>
      <c r="Y118" s="730">
        <f>IFERROR(__xludf.DUMMYFUNCTION("""COMPUTED_VALUE"""),35415.0)</f>
        <v>35415</v>
      </c>
      <c r="Z118" s="228" t="str">
        <f>IFERROR(__xludf.DUMMYFUNCTION("""COMPUTED_VALUE"""),"28 Years")</f>
        <v>28 Years</v>
      </c>
      <c r="AA118" s="228" t="str">
        <f>IFERROR(__xludf.DUMMYFUNCTION("""COMPUTED_VALUE"""),"House No. R-676, Sector 14-A, Shadman Town, North Nazimabad, Karachi - 75850")</f>
        <v>House No. R-676, Sector 14-A, Shadman Town, North Nazimabad, Karachi - 75850</v>
      </c>
      <c r="AB118" s="228" t="str">
        <f>IFERROR(__xludf.DUMMYFUNCTION("""COMPUTED_VALUE"""),"Pakistani")</f>
        <v>Pakistani</v>
      </c>
      <c r="AC118" s="228" t="str">
        <f>IFERROR(__xludf.DUMMYFUNCTION("""COMPUTED_VALUE"""),"Married")</f>
        <v>Married</v>
      </c>
      <c r="AD118" s="228"/>
      <c r="AE118" s="228"/>
      <c r="AF118" s="228"/>
      <c r="AG118" s="228" t="str">
        <f>IFERROR(__xludf.DUMMYFUNCTION("""COMPUTED_VALUE"""),"Habib Ahmed")</f>
        <v>Habib Ahmed</v>
      </c>
      <c r="AH118" s="228" t="str">
        <f>IFERROR(__xludf.DUMMYFUNCTION("""COMPUTED_VALUE"""),"Cousin - Zain")</f>
        <v>Cousin - Zain</v>
      </c>
      <c r="AI118" s="228">
        <f>IFERROR(__xludf.DUMMYFUNCTION("""COMPUTED_VALUE"""),3.256617913E9)</f>
        <v>3256617913</v>
      </c>
      <c r="AJ118" s="228" t="str">
        <f>IFERROR(__xludf.DUMMYFUNCTION("""COMPUTED_VALUE"""),"O+")</f>
        <v>O+</v>
      </c>
      <c r="AK118" s="731" t="str">
        <f>IFERROR(__xludf.DUMMYFUNCTION("""COMPUTED_VALUE"""),"https://www.linkedin.com/in/muhammadbinhabib")</f>
        <v>https://www.linkedin.com/in/muhammadbinhabib</v>
      </c>
      <c r="AL118" s="228" t="str">
        <f>IFERROR(__xludf.DUMMYFUNCTION("""COMPUTED_VALUE"""),"Mustafa Shakil")</f>
        <v>Mustafa Shakil</v>
      </c>
      <c r="AM118" s="228"/>
      <c r="AN118" s="228"/>
      <c r="AO118" s="228"/>
      <c r="AP118" s="228" t="str">
        <f>IFERROR(__xludf.DUMMYFUNCTION("""COMPUTED_VALUE"""),"NO")</f>
        <v>NO</v>
      </c>
      <c r="AQ118" s="228" t="str">
        <f>IFERROR(__xludf.DUMMYFUNCTION("""COMPUTED_VALUE"""),"Active")</f>
        <v>Active</v>
      </c>
    </row>
    <row r="119">
      <c r="A119" s="228">
        <f>IFERROR(__xludf.DUMMYFUNCTION("""COMPUTED_VALUE"""),5430.0)</f>
        <v>5430</v>
      </c>
      <c r="B119" s="228" t="str">
        <f>IFERROR(__xludf.DUMMYFUNCTION("""COMPUTED_VALUE"""),"Tooba Siddiqui")</f>
        <v>Tooba Siddiqui</v>
      </c>
      <c r="C119" s="228" t="str">
        <f>IFERROR(__xludf.DUMMYFUNCTION("""COMPUTED_VALUE"""),"toobasiddiqui230@gmail.com")</f>
        <v>toobasiddiqui230@gmail.com</v>
      </c>
      <c r="D119" s="228" t="str">
        <f>IFERROR(__xludf.DUMMYFUNCTION("""COMPUTED_VALUE"""),"tooba.siddiqui@vyro.ai")</f>
        <v>tooba.siddiqui@vyro.ai</v>
      </c>
      <c r="E119" s="728">
        <f>IFERROR(__xludf.DUMMYFUNCTION("""COMPUTED_VALUE"""),45831.0)</f>
        <v>45831</v>
      </c>
      <c r="F119" s="228" t="str">
        <f>IFERROR(__xludf.DUMMYFUNCTION("""COMPUTED_VALUE"""),"SEO Content Writer")</f>
        <v>SEO Content Writer</v>
      </c>
      <c r="G119" s="228" t="str">
        <f>IFERROR(__xludf.DUMMYFUNCTION("""COMPUTED_VALUE"""),"SEO")</f>
        <v>SEO</v>
      </c>
      <c r="H119" s="228" t="str">
        <f>IFERROR(__xludf.DUMMYFUNCTION("""COMPUTED_VALUE"""),"Syed Osama")</f>
        <v>Syed Osama</v>
      </c>
      <c r="I119" s="228" t="str">
        <f>IFERROR(__xludf.DUMMYFUNCTION("""COMPUTED_VALUE"""),"Remote")</f>
        <v>Remote</v>
      </c>
      <c r="J119" s="228" t="str">
        <f>IFERROR(__xludf.DUMMYFUNCTION("""COMPUTED_VALUE"""),"Active")</f>
        <v>Active</v>
      </c>
      <c r="K119" s="228"/>
      <c r="L119" s="729">
        <f>IFERROR(__xludf.DUMMYFUNCTION("""COMPUTED_VALUE"""),45923.0)</f>
        <v>45923</v>
      </c>
      <c r="M119" s="228"/>
      <c r="N119" s="228"/>
      <c r="O119" s="228"/>
      <c r="P119" s="228" t="str">
        <f>IFERROR(__xludf.DUMMYFUNCTION("""COMPUTED_VALUE"""),"3471235618")</f>
        <v>3471235618</v>
      </c>
      <c r="Q119" s="228" t="str">
        <f>IFERROR(__xludf.DUMMYFUNCTION("""COMPUTED_VALUE"""),"42101-4260498-8")</f>
        <v>42101-4260498-8</v>
      </c>
      <c r="R119" s="228" t="str">
        <f>IFERROR(__xludf.DUMMYFUNCTION("""COMPUTED_VALUE"""),"Female")</f>
        <v>Female</v>
      </c>
      <c r="S119" s="228" t="str">
        <f>IFERROR(__xludf.DUMMYFUNCTION("""COMPUTED_VALUE"""),"Meezan Bank")</f>
        <v>Meezan Bank</v>
      </c>
      <c r="T119" s="228" t="str">
        <f>IFERROR(__xludf.DUMMYFUNCTION("""COMPUTED_VALUE"""),"Tooba Siddiqui")</f>
        <v>Tooba Siddiqui</v>
      </c>
      <c r="U119" s="228" t="str">
        <f>IFERROR(__xludf.DUMMYFUNCTION("""COMPUTED_VALUE"""),"PK15MEZN0099060104083758")</f>
        <v>PK15MEZN0099060104083758</v>
      </c>
      <c r="V119" s="228" t="str">
        <f>IFERROR(__xludf.DUMMYFUNCTION("""COMPUTED_VALUE"""),"MEZNPKKA")</f>
        <v>MEZNPKKA</v>
      </c>
      <c r="W119" s="228"/>
      <c r="X119" s="228"/>
      <c r="Y119" s="730">
        <f>IFERROR(__xludf.DUMMYFUNCTION("""COMPUTED_VALUE"""),34912.0)</f>
        <v>34912</v>
      </c>
      <c r="Z119" s="228" t="str">
        <f>IFERROR(__xludf.DUMMYFUNCTION("""COMPUTED_VALUE"""),"29 Years")</f>
        <v>29 Years</v>
      </c>
      <c r="AA119" s="228" t="str">
        <f>IFERROR(__xludf.DUMMYFUNCTION("""COMPUTED_VALUE"""),"R-361, Al-Hira New City, Gulshan-e-azeem, Scheme 33, Safoora Goth, Karachi")</f>
        <v>R-361, Al-Hira New City, Gulshan-e-azeem, Scheme 33, Safoora Goth, Karachi</v>
      </c>
      <c r="AB119" s="228" t="str">
        <f>IFERROR(__xludf.DUMMYFUNCTION("""COMPUTED_VALUE"""),"Pakistani")</f>
        <v>Pakistani</v>
      </c>
      <c r="AC119" s="228" t="str">
        <f>IFERROR(__xludf.DUMMYFUNCTION("""COMPUTED_VALUE"""),"Married")</f>
        <v>Married</v>
      </c>
      <c r="AD119" s="228"/>
      <c r="AE119" s="228"/>
      <c r="AF119" s="228"/>
      <c r="AG119" s="228" t="str">
        <f>IFERROR(__xludf.DUMMYFUNCTION("""COMPUTED_VALUE"""),"Khalid Jalal Siddiqui")</f>
        <v>Khalid Jalal Siddiqui</v>
      </c>
      <c r="AH119" s="228" t="str">
        <f>IFERROR(__xludf.DUMMYFUNCTION("""COMPUTED_VALUE"""),"Husband")</f>
        <v>Husband</v>
      </c>
      <c r="AI119" s="228">
        <f>IFERROR(__xludf.DUMMYFUNCTION("""COMPUTED_VALUE"""),3.463149431E9)</f>
        <v>3463149431</v>
      </c>
      <c r="AJ119" s="228" t="str">
        <f>IFERROR(__xludf.DUMMYFUNCTION("""COMPUTED_VALUE"""),"O+")</f>
        <v>O+</v>
      </c>
      <c r="AK119" s="731" t="str">
        <f>IFERROR(__xludf.DUMMYFUNCTION("""COMPUTED_VALUE"""),"https://www.linkedin.com/in/tooba-siddiqui-50288b18b?utm_source=share&amp;utm_campaign=share_via&amp;utm_content=profile&amp;utm_medium=android_app")</f>
        <v>https://www.linkedin.com/in/tooba-siddiqui-50288b18b?utm_source=share&amp;utm_campaign=share_via&amp;utm_content=profile&amp;utm_medium=android_app</v>
      </c>
      <c r="AL119" s="228" t="str">
        <f>IFERROR(__xludf.DUMMYFUNCTION("""COMPUTED_VALUE"""),"Mustafa Shakil")</f>
        <v>Mustafa Shakil</v>
      </c>
      <c r="AM119" s="228"/>
      <c r="AN119" s="228"/>
      <c r="AO119" s="228"/>
      <c r="AP119" s="228" t="str">
        <f>IFERROR(__xludf.DUMMYFUNCTION("""COMPUTED_VALUE"""),"NO")</f>
        <v>NO</v>
      </c>
      <c r="AQ119" s="228" t="str">
        <f>IFERROR(__xludf.DUMMYFUNCTION("""COMPUTED_VALUE"""),"Active")</f>
        <v>Active</v>
      </c>
    </row>
    <row r="120">
      <c r="A120" s="228">
        <f>IFERROR(__xludf.DUMMYFUNCTION("""COMPUTED_VALUE"""),5435.0)</f>
        <v>5435</v>
      </c>
      <c r="B120" s="228" t="str">
        <f>IFERROR(__xludf.DUMMYFUNCTION("""COMPUTED_VALUE"""),"Muhammad Mehdi")</f>
        <v>Muhammad Mehdi</v>
      </c>
      <c r="C120" s="228" t="str">
        <f>IFERROR(__xludf.DUMMYFUNCTION("""COMPUTED_VALUE"""),"muhammad.roohani@gmail.com")</f>
        <v>muhammad.roohani@gmail.com</v>
      </c>
      <c r="D120" s="228" t="str">
        <f>IFERROR(__xludf.DUMMYFUNCTION("""COMPUTED_VALUE"""),"muhammad.mehdi@vyro.ai")</f>
        <v>muhammad.mehdi@vyro.ai</v>
      </c>
      <c r="E120" s="728">
        <f>IFERROR(__xludf.DUMMYFUNCTION("""COMPUTED_VALUE"""),45834.0)</f>
        <v>45834</v>
      </c>
      <c r="F120" s="228" t="str">
        <f>IFERROR(__xludf.DUMMYFUNCTION("""COMPUTED_VALUE"""),"Product Manager")</f>
        <v>Product Manager</v>
      </c>
      <c r="G120" s="228" t="str">
        <f>IFERROR(__xludf.DUMMYFUNCTION("""COMPUTED_VALUE"""),"Product")</f>
        <v>Product</v>
      </c>
      <c r="H120" s="228" t="str">
        <f>IFERROR(__xludf.DUMMYFUNCTION("""COMPUTED_VALUE"""),"M. Abdullah")</f>
        <v>M. Abdullah</v>
      </c>
      <c r="I120" s="228" t="str">
        <f>IFERROR(__xludf.DUMMYFUNCTION("""COMPUTED_VALUE"""),"Probation")</f>
        <v>Probation</v>
      </c>
      <c r="J120" s="228" t="str">
        <f>IFERROR(__xludf.DUMMYFUNCTION("""COMPUTED_VALUE"""),"Active")</f>
        <v>Active</v>
      </c>
      <c r="K120" s="228" t="str">
        <f>IFERROR(__xludf.DUMMYFUNCTION("""COMPUTED_VALUE"""),"3M")</f>
        <v>3M</v>
      </c>
      <c r="L120" s="729">
        <f>IFERROR(__xludf.DUMMYFUNCTION("""COMPUTED_VALUE"""),45926.0)</f>
        <v>45926</v>
      </c>
      <c r="M120" s="228"/>
      <c r="N120" s="228"/>
      <c r="O120" s="228"/>
      <c r="P120" s="228" t="str">
        <f>IFERROR(__xludf.DUMMYFUNCTION("""COMPUTED_VALUE"""),"03332397563")</f>
        <v>03332397563</v>
      </c>
      <c r="Q120" s="228" t="str">
        <f>IFERROR(__xludf.DUMMYFUNCTION("""COMPUTED_VALUE"""),"42000-3437534-7")</f>
        <v>42000-3437534-7</v>
      </c>
      <c r="R120" s="228" t="str">
        <f>IFERROR(__xludf.DUMMYFUNCTION("""COMPUTED_VALUE"""),"Male")</f>
        <v>Male</v>
      </c>
      <c r="S120" s="228" t="str">
        <f>IFERROR(__xludf.DUMMYFUNCTION("""COMPUTED_VALUE"""),"Habib Bank Limited")</f>
        <v>Habib Bank Limited</v>
      </c>
      <c r="T120" s="228" t="str">
        <f>IFERROR(__xludf.DUMMYFUNCTION("""COMPUTED_VALUE"""),"Muhammad Mehdi")</f>
        <v>Muhammad Mehdi</v>
      </c>
      <c r="U120" s="228" t="str">
        <f>IFERROR(__xludf.DUMMYFUNCTION("""COMPUTED_VALUE"""),"PK95HABB0005437901074699")</f>
        <v>PK95HABB0005437901074699</v>
      </c>
      <c r="V120" s="228" t="str">
        <f>IFERROR(__xludf.DUMMYFUNCTION("""COMPUTED_VALUE"""),"HABBPKKA")</f>
        <v>HABBPKKA</v>
      </c>
      <c r="W120" s="228"/>
      <c r="X120" s="228" t="str">
        <f>IFERROR(__xludf.DUMMYFUNCTION("""COMPUTED_VALUE"""),"Islamabad")</f>
        <v>Islamabad</v>
      </c>
      <c r="Y120" s="730">
        <f>IFERROR(__xludf.DUMMYFUNCTION("""COMPUTED_VALUE"""),35580.0)</f>
        <v>35580</v>
      </c>
      <c r="Z120" s="228" t="str">
        <f>IFERROR(__xludf.DUMMYFUNCTION("""COMPUTED_VALUE"""),"27 Years")</f>
        <v>27 Years</v>
      </c>
      <c r="AA120" s="228" t="str">
        <f>IFERROR(__xludf.DUMMYFUNCTION("""COMPUTED_VALUE"""),"Flat 3, zulekha manzil, karimjee street, Soldier bazar, karachi")</f>
        <v>Flat 3, zulekha manzil, karimjee street, Soldier bazar, karachi</v>
      </c>
      <c r="AB120" s="228" t="str">
        <f>IFERROR(__xludf.DUMMYFUNCTION("""COMPUTED_VALUE"""),"Pakistani")</f>
        <v>Pakistani</v>
      </c>
      <c r="AC120" s="228" t="str">
        <f>IFERROR(__xludf.DUMMYFUNCTION("""COMPUTED_VALUE"""),"Single")</f>
        <v>Single</v>
      </c>
      <c r="AD120" s="228"/>
      <c r="AE120" s="228"/>
      <c r="AF120" s="228"/>
      <c r="AG120" s="228" t="str">
        <f>IFERROR(__xludf.DUMMYFUNCTION("""COMPUTED_VALUE"""),"Raza Hussain")</f>
        <v>Raza Hussain</v>
      </c>
      <c r="AH120" s="228" t="str">
        <f>IFERROR(__xludf.DUMMYFUNCTION("""COMPUTED_VALUE"""),"Father")</f>
        <v>Father</v>
      </c>
      <c r="AI120" s="228"/>
      <c r="AJ120" s="228" t="str">
        <f>IFERROR(__xludf.DUMMYFUNCTION("""COMPUTED_VALUE"""),"B+")</f>
        <v>B+</v>
      </c>
      <c r="AK120" s="731" t="str">
        <f>IFERROR(__xludf.DUMMYFUNCTION("""COMPUTED_VALUE"""),"Linkedin.com/in/mehdiroohani")</f>
        <v>Linkedin.com/in/mehdiroohani</v>
      </c>
      <c r="AL120" s="228"/>
      <c r="AM120" s="228"/>
      <c r="AN120" s="228"/>
      <c r="AO120" s="228"/>
      <c r="AP120" s="228" t="str">
        <f>IFERROR(__xludf.DUMMYFUNCTION("""COMPUTED_VALUE"""),"YES")</f>
        <v>YES</v>
      </c>
      <c r="AQ120" s="228" t="str">
        <f>IFERROR(__xludf.DUMMYFUNCTION("""COMPUTED_VALUE"""),"Active")</f>
        <v>Active</v>
      </c>
    </row>
    <row r="121">
      <c r="A121" s="228">
        <f>IFERROR(__xludf.DUMMYFUNCTION("""COMPUTED_VALUE"""),5438.0)</f>
        <v>5438</v>
      </c>
      <c r="B121" s="228" t="str">
        <f>IFERROR(__xludf.DUMMYFUNCTION("""COMPUTED_VALUE"""),"Muhammad Salman Afzal")</f>
        <v>Muhammad Salman Afzal</v>
      </c>
      <c r="C121" s="228" t="str">
        <f>IFERROR(__xludf.DUMMYFUNCTION("""COMPUTED_VALUE"""),"m.salmanafzal@proton.me")</f>
        <v>m.salmanafzal@proton.me</v>
      </c>
      <c r="D121" s="228" t="str">
        <f>IFERROR(__xludf.DUMMYFUNCTION("""COMPUTED_VALUE"""),"salman.afzal@vyro.ai")</f>
        <v>salman.afzal@vyro.ai</v>
      </c>
      <c r="E121" s="728">
        <f>IFERROR(__xludf.DUMMYFUNCTION("""COMPUTED_VALUE"""),45839.0)</f>
        <v>45839</v>
      </c>
      <c r="F121" s="228" t="str">
        <f>IFERROR(__xludf.DUMMYFUNCTION("""COMPUTED_VALUE"""),"Senior Frontend Developer")</f>
        <v>Senior Frontend Developer</v>
      </c>
      <c r="G121" s="228" t="str">
        <f>IFERROR(__xludf.DUMMYFUNCTION("""COMPUTED_VALUE"""),"Frontend")</f>
        <v>Frontend</v>
      </c>
      <c r="H121" s="228" t="str">
        <f>IFERROR(__xludf.DUMMYFUNCTION("""COMPUTED_VALUE"""),"Awais Chaudhry")</f>
        <v>Awais Chaudhry</v>
      </c>
      <c r="I121" s="228" t="str">
        <f>IFERROR(__xludf.DUMMYFUNCTION("""COMPUTED_VALUE"""),"Remote")</f>
        <v>Remote</v>
      </c>
      <c r="J121" s="228" t="str">
        <f>IFERROR(__xludf.DUMMYFUNCTION("""COMPUTED_VALUE"""),"Active")</f>
        <v>Active</v>
      </c>
      <c r="K121" s="228"/>
      <c r="L121" s="729">
        <f>IFERROR(__xludf.DUMMYFUNCTION("""COMPUTED_VALUE"""),45931.0)</f>
        <v>45931</v>
      </c>
      <c r="M121" s="228"/>
      <c r="N121" s="228"/>
      <c r="O121" s="228"/>
      <c r="P121" s="228" t="str">
        <f>IFERROR(__xludf.DUMMYFUNCTION("""COMPUTED_VALUE"""),"3336562222")</f>
        <v>3336562222</v>
      </c>
      <c r="Q121" s="228" t="str">
        <f>IFERROR(__xludf.DUMMYFUNCTION("""COMPUTED_VALUE"""),"33100-1143058-5")</f>
        <v>33100-1143058-5</v>
      </c>
      <c r="R121" s="228" t="str">
        <f>IFERROR(__xludf.DUMMYFUNCTION("""COMPUTED_VALUE"""),"Male")</f>
        <v>Male</v>
      </c>
      <c r="S121" s="228" t="str">
        <f>IFERROR(__xludf.DUMMYFUNCTION("""COMPUTED_VALUE"""),"Standard Chartered")</f>
        <v>Standard Chartered</v>
      </c>
      <c r="T121" s="228" t="str">
        <f>IFERROR(__xludf.DUMMYFUNCTION("""COMPUTED_VALUE"""),"M Salman")</f>
        <v>M Salman</v>
      </c>
      <c r="U121" s="228" t="str">
        <f>IFERROR(__xludf.DUMMYFUNCTION("""COMPUTED_VALUE"""),"PK93SCBL0000001031880401")</f>
        <v>PK93SCBL0000001031880401</v>
      </c>
      <c r="V121" s="228" t="str">
        <f>IFERROR(__xludf.DUMMYFUNCTION("""COMPUTED_VALUE"""),"SCBLPKXXXX")</f>
        <v>SCBLPKXXXX</v>
      </c>
      <c r="W121" s="228"/>
      <c r="X121" s="228"/>
      <c r="Y121" s="730">
        <f>IFERROR(__xludf.DUMMYFUNCTION("""COMPUTED_VALUE"""),36431.0)</f>
        <v>36431</v>
      </c>
      <c r="Z121" s="228" t="str">
        <f>IFERROR(__xludf.DUMMYFUNCTION("""COMPUTED_VALUE"""),"25 Years")</f>
        <v>25 Years</v>
      </c>
      <c r="AA121" s="228" t="str">
        <f>IFERROR(__xludf.DUMMYFUNCTION("""COMPUTED_VALUE"""),"House 158, Muslim Town B, Sargodha Road, Faisalabad")</f>
        <v>House 158, Muslim Town B, Sargodha Road, Faisalabad</v>
      </c>
      <c r="AB121" s="228" t="str">
        <f>IFERROR(__xludf.DUMMYFUNCTION("""COMPUTED_VALUE"""),"Pakistani")</f>
        <v>Pakistani</v>
      </c>
      <c r="AC121" s="228" t="str">
        <f>IFERROR(__xludf.DUMMYFUNCTION("""COMPUTED_VALUE"""),"Single")</f>
        <v>Single</v>
      </c>
      <c r="AD121" s="228"/>
      <c r="AE121" s="228"/>
      <c r="AF121" s="228"/>
      <c r="AG121" s="228" t="str">
        <f>IFERROR(__xludf.DUMMYFUNCTION("""COMPUTED_VALUE"""),"Muhammad Afzal Suleman")</f>
        <v>Muhammad Afzal Suleman</v>
      </c>
      <c r="AH121" s="228" t="str">
        <f>IFERROR(__xludf.DUMMYFUNCTION("""COMPUTED_VALUE"""),"Father")</f>
        <v>Father</v>
      </c>
      <c r="AI121" s="228">
        <f>IFERROR(__xludf.DUMMYFUNCTION("""COMPUTED_VALUE"""),3.336666575E9)</f>
        <v>3336666575</v>
      </c>
      <c r="AJ121" s="228" t="str">
        <f>IFERROR(__xludf.DUMMYFUNCTION("""COMPUTED_VALUE"""),"B+")</f>
        <v>B+</v>
      </c>
      <c r="AK121" s="731" t="str">
        <f>IFERROR(__xludf.DUMMYFUNCTION("""COMPUTED_VALUE"""),"https://www.linkedin.com/in/m-salman-afzal/")</f>
        <v>https://www.linkedin.com/in/m-salman-afzal/</v>
      </c>
      <c r="AL121" s="228" t="str">
        <f>IFERROR(__xludf.DUMMYFUNCTION("""COMPUTED_VALUE"""),"Annum Inam Tirmizi")</f>
        <v>Annum Inam Tirmizi</v>
      </c>
      <c r="AM121" s="228"/>
      <c r="AN121" s="228"/>
      <c r="AO121" s="228"/>
      <c r="AP121" s="228" t="str">
        <f>IFERROR(__xludf.DUMMYFUNCTION("""COMPUTED_VALUE"""),"NO")</f>
        <v>NO</v>
      </c>
      <c r="AQ121" s="228" t="str">
        <f>IFERROR(__xludf.DUMMYFUNCTION("""COMPUTED_VALUE"""),"Active")</f>
        <v>Active</v>
      </c>
    </row>
    <row r="122">
      <c r="A122" s="228">
        <f>IFERROR(__xludf.DUMMYFUNCTION("""COMPUTED_VALUE"""),5434.0)</f>
        <v>5434</v>
      </c>
      <c r="B122" s="228" t="str">
        <f>IFERROR(__xludf.DUMMYFUNCTION("""COMPUTED_VALUE"""),"Muhammad Aqib Sher")</f>
        <v>Muhammad Aqib Sher</v>
      </c>
      <c r="C122" s="228" t="str">
        <f>IFERROR(__xludf.DUMMYFUNCTION("""COMPUTED_VALUE"""),"sheraqib492@gmail.com")</f>
        <v>sheraqib492@gmail.com</v>
      </c>
      <c r="D122" s="228" t="str">
        <f>IFERROR(__xludf.DUMMYFUNCTION("""COMPUTED_VALUE"""),"aqib.sher@vyro.ai")</f>
        <v>aqib.sher@vyro.ai</v>
      </c>
      <c r="E122" s="728">
        <f>IFERROR(__xludf.DUMMYFUNCTION("""COMPUTED_VALUE"""),45842.0)</f>
        <v>45842</v>
      </c>
      <c r="F122" s="228" t="str">
        <f>IFERROR(__xludf.DUMMYFUNCTION("""COMPUTED_VALUE"""),"Visual designer")</f>
        <v>Visual designer</v>
      </c>
      <c r="G122" s="228" t="str">
        <f>IFERROR(__xludf.DUMMYFUNCTION("""COMPUTED_VALUE"""),"Product Design")</f>
        <v>Product Design</v>
      </c>
      <c r="H122" s="228" t="str">
        <f>IFERROR(__xludf.DUMMYFUNCTION("""COMPUTED_VALUE"""),"Abdullah Rafique (CTO)")</f>
        <v>Abdullah Rafique (CTO)</v>
      </c>
      <c r="I122" s="228" t="str">
        <f>IFERROR(__xludf.DUMMYFUNCTION("""COMPUTED_VALUE"""),"Onsite")</f>
        <v>Onsite</v>
      </c>
      <c r="J122" s="228" t="str">
        <f>IFERROR(__xludf.DUMMYFUNCTION("""COMPUTED_VALUE"""),"Active")</f>
        <v>Active</v>
      </c>
      <c r="K122" s="228"/>
      <c r="L122" s="729">
        <f>IFERROR(__xludf.DUMMYFUNCTION("""COMPUTED_VALUE"""),45934.0)</f>
        <v>45934</v>
      </c>
      <c r="M122" s="228"/>
      <c r="N122" s="228"/>
      <c r="O122" s="228"/>
      <c r="P122" s="228" t="str">
        <f>IFERROR(__xludf.DUMMYFUNCTION("""COMPUTED_VALUE"""),"3365945769")</f>
        <v>3365945769</v>
      </c>
      <c r="Q122" s="228" t="str">
        <f>IFERROR(__xludf.DUMMYFUNCTION("""COMPUTED_VALUE"""),"38404-8888249-3")</f>
        <v>38404-8888249-3</v>
      </c>
      <c r="R122" s="228" t="str">
        <f>IFERROR(__xludf.DUMMYFUNCTION("""COMPUTED_VALUE"""),"Male")</f>
        <v>Male</v>
      </c>
      <c r="S122" s="228" t="str">
        <f>IFERROR(__xludf.DUMMYFUNCTION("""COMPUTED_VALUE"""),"Askari bank")</f>
        <v>Askari bank</v>
      </c>
      <c r="T122" s="228" t="str">
        <f>IFERROR(__xludf.DUMMYFUNCTION("""COMPUTED_VALUE"""),"Mohammad Aqib Sher")</f>
        <v>Mohammad Aqib Sher</v>
      </c>
      <c r="U122" s="228" t="str">
        <f>IFERROR(__xludf.DUMMYFUNCTION("""COMPUTED_VALUE"""),"PK81ASCM0001640320207350")</f>
        <v>PK81ASCM0001640320207350</v>
      </c>
      <c r="V122" s="228" t="str">
        <f>IFERROR(__xludf.DUMMYFUNCTION("""COMPUTED_VALUE"""),"ASCMPKKA001")</f>
        <v>ASCMPKKA001</v>
      </c>
      <c r="W122" s="228"/>
      <c r="X122" s="228"/>
      <c r="Y122" s="730">
        <f>IFERROR(__xludf.DUMMYFUNCTION("""COMPUTED_VALUE"""),37642.0)</f>
        <v>37642</v>
      </c>
      <c r="Z122" s="228" t="str">
        <f>IFERROR(__xludf.DUMMYFUNCTION("""COMPUTED_VALUE"""),"0 Years")</f>
        <v>0 Years</v>
      </c>
      <c r="AA122" s="228" t="str">
        <f>IFERROR(__xludf.DUMMYFUNCTION("""COMPUTED_VALUE"""),"street no 2 mohala rabani town ghaziabad rawalpindi pakistan")</f>
        <v>street no 2 mohala rabani town ghaziabad rawalpindi pakistan</v>
      </c>
      <c r="AB122" s="228" t="str">
        <f>IFERROR(__xludf.DUMMYFUNCTION("""COMPUTED_VALUE"""),"Pakistani")</f>
        <v>Pakistani</v>
      </c>
      <c r="AC122" s="228" t="str">
        <f>IFERROR(__xludf.DUMMYFUNCTION("""COMPUTED_VALUE"""),"Single")</f>
        <v>Single</v>
      </c>
      <c r="AD122" s="228"/>
      <c r="AE122" s="228"/>
      <c r="AF122" s="228"/>
      <c r="AG122" s="228" t="str">
        <f>IFERROR(__xludf.DUMMYFUNCTION("""COMPUTED_VALUE"""),"Mohammad Sher")</f>
        <v>Mohammad Sher</v>
      </c>
      <c r="AH122" s="228" t="str">
        <f>IFERROR(__xludf.DUMMYFUNCTION("""COMPUTED_VALUE"""),"Father")</f>
        <v>Father</v>
      </c>
      <c r="AI122" s="228">
        <f>IFERROR(__xludf.DUMMYFUNCTION("""COMPUTED_VALUE"""),3.235332806E9)</f>
        <v>3235332806</v>
      </c>
      <c r="AJ122" s="228" t="str">
        <f>IFERROR(__xludf.DUMMYFUNCTION("""COMPUTED_VALUE"""),"A+")</f>
        <v>A+</v>
      </c>
      <c r="AK122" s="731" t="str">
        <f>IFERROR(__xludf.DUMMYFUNCTION("""COMPUTED_VALUE"""),"https://www.linkedin.com/in/aqib-sher-5705aa307")</f>
        <v>https://www.linkedin.com/in/aqib-sher-5705aa307</v>
      </c>
      <c r="AL122" s="228" t="str">
        <f>IFERROR(__xludf.DUMMYFUNCTION("""COMPUTED_VALUE"""),"Mehreen Jafri")</f>
        <v>Mehreen Jafri</v>
      </c>
      <c r="AM122" s="228"/>
      <c r="AN122" s="228"/>
      <c r="AO122" s="228"/>
      <c r="AP122" s="228" t="str">
        <f>IFERROR(__xludf.DUMMYFUNCTION("""COMPUTED_VALUE"""),"NO")</f>
        <v>NO</v>
      </c>
      <c r="AQ122" s="228" t="str">
        <f>IFERROR(__xludf.DUMMYFUNCTION("""COMPUTED_VALUE"""),"Active")</f>
        <v>Active</v>
      </c>
    </row>
    <row r="123">
      <c r="A123" s="228">
        <f>IFERROR(__xludf.DUMMYFUNCTION("""COMPUTED_VALUE"""),5440.0)</f>
        <v>5440</v>
      </c>
      <c r="B123" s="228" t="str">
        <f>IFERROR(__xludf.DUMMYFUNCTION("""COMPUTED_VALUE"""),"Areeba Sohail")</f>
        <v>Areeba Sohail</v>
      </c>
      <c r="C123" s="228" t="str">
        <f>IFERROR(__xludf.DUMMYFUNCTION("""COMPUTED_VALUE"""),"ar33ba.x@gmail.com")</f>
        <v>ar33ba.x@gmail.com</v>
      </c>
      <c r="D123" s="228" t="str">
        <f>IFERROR(__xludf.DUMMYFUNCTION("""COMPUTED_VALUE"""),"areeba.sohail@vyro.ai")</f>
        <v>areeba.sohail@vyro.ai</v>
      </c>
      <c r="E123" s="728">
        <f>IFERROR(__xludf.DUMMYFUNCTION("""COMPUTED_VALUE"""),45845.0)</f>
        <v>45845</v>
      </c>
      <c r="F123" s="228" t="str">
        <f>IFERROR(__xludf.DUMMYFUNCTION("""COMPUTED_VALUE"""),"Product Designer Associate")</f>
        <v>Product Designer Associate</v>
      </c>
      <c r="G123" s="228" t="str">
        <f>IFERROR(__xludf.DUMMYFUNCTION("""COMPUTED_VALUE"""),"Product Design")</f>
        <v>Product Design</v>
      </c>
      <c r="H123" s="228" t="str">
        <f>IFERROR(__xludf.DUMMYFUNCTION("""COMPUTED_VALUE"""),"Awais Chaudhry")</f>
        <v>Awais Chaudhry</v>
      </c>
      <c r="I123" s="228" t="str">
        <f>IFERROR(__xludf.DUMMYFUNCTION("""COMPUTED_VALUE"""),"Onsite")</f>
        <v>Onsite</v>
      </c>
      <c r="J123" s="228" t="str">
        <f>IFERROR(__xludf.DUMMYFUNCTION("""COMPUTED_VALUE"""),"Active")</f>
        <v>Active</v>
      </c>
      <c r="K123" s="228"/>
      <c r="L123" s="729">
        <f>IFERROR(__xludf.DUMMYFUNCTION("""COMPUTED_VALUE"""),45937.0)</f>
        <v>45937</v>
      </c>
      <c r="M123" s="228"/>
      <c r="N123" s="228"/>
      <c r="O123" s="228"/>
      <c r="P123" s="228" t="str">
        <f>IFERROR(__xludf.DUMMYFUNCTION("""COMPUTED_VALUE"""),"3049201491")</f>
        <v>3049201491</v>
      </c>
      <c r="Q123" s="228" t="str">
        <f>IFERROR(__xludf.DUMMYFUNCTION("""COMPUTED_VALUE"""),"37405-5543241-0")</f>
        <v>37405-5543241-0</v>
      </c>
      <c r="R123" s="228" t="str">
        <f>IFERROR(__xludf.DUMMYFUNCTION("""COMPUTED_VALUE"""),"Female")</f>
        <v>Female</v>
      </c>
      <c r="S123" s="228" t="str">
        <f>IFERROR(__xludf.DUMMYFUNCTION("""COMPUTED_VALUE"""),"HBL")</f>
        <v>HBL</v>
      </c>
      <c r="T123" s="228" t="str">
        <f>IFERROR(__xludf.DUMMYFUNCTION("""COMPUTED_VALUE"""),"AREEBA")</f>
        <v>AREEBA</v>
      </c>
      <c r="U123" s="228" t="str">
        <f>IFERROR(__xludf.DUMMYFUNCTION("""COMPUTED_VALUE"""),"PK91HABB0005987918198299")</f>
        <v>PK91HABB0005987918198299</v>
      </c>
      <c r="V123" s="228" t="str">
        <f>IFERROR(__xludf.DUMMYFUNCTION("""COMPUTED_VALUE"""),"HABBPKKA")</f>
        <v>HABBPKKA</v>
      </c>
      <c r="W123" s="228"/>
      <c r="X123" s="228"/>
      <c r="Y123" s="730">
        <f>IFERROR(__xludf.DUMMYFUNCTION("""COMPUTED_VALUE"""),37465.0)</f>
        <v>37465</v>
      </c>
      <c r="Z123" s="228" t="str">
        <f>IFERROR(__xludf.DUMMYFUNCTION("""COMPUTED_VALUE"""),"22 Years")</f>
        <v>22 Years</v>
      </c>
      <c r="AA123" s="228" t="str">
        <f>IFERROR(__xludf.DUMMYFUNCTION("""COMPUTED_VALUE"""),"House # 1, Street # 1, Mushtaqabad, Jhamrah, Morgah, Rawalpindi")</f>
        <v>House # 1, Street # 1, Mushtaqabad, Jhamrah, Morgah, Rawalpindi</v>
      </c>
      <c r="AB123" s="228" t="str">
        <f>IFERROR(__xludf.DUMMYFUNCTION("""COMPUTED_VALUE"""),"Pakistani")</f>
        <v>Pakistani</v>
      </c>
      <c r="AC123" s="228" t="str">
        <f>IFERROR(__xludf.DUMMYFUNCTION("""COMPUTED_VALUE"""),"Single")</f>
        <v>Single</v>
      </c>
      <c r="AD123" s="228"/>
      <c r="AE123" s="228"/>
      <c r="AF123" s="228"/>
      <c r="AG123" s="228" t="str">
        <f>IFERROR(__xludf.DUMMYFUNCTION("""COMPUTED_VALUE"""),"Syed Sohail Ahmed")</f>
        <v>Syed Sohail Ahmed</v>
      </c>
      <c r="AH123" s="228" t="str">
        <f>IFERROR(__xludf.DUMMYFUNCTION("""COMPUTED_VALUE"""),"Brother")</f>
        <v>Brother</v>
      </c>
      <c r="AI123" s="228">
        <f>IFERROR(__xludf.DUMMYFUNCTION("""COMPUTED_VALUE"""),3.091001827E9)</f>
        <v>3091001827</v>
      </c>
      <c r="AJ123" s="228" t="str">
        <f>IFERROR(__xludf.DUMMYFUNCTION("""COMPUTED_VALUE"""),"A-")</f>
        <v>A-</v>
      </c>
      <c r="AK123" s="731" t="str">
        <f>IFERROR(__xludf.DUMMYFUNCTION("""COMPUTED_VALUE"""),"https://www.linkedin.com/in/ar33ba/")</f>
        <v>https://www.linkedin.com/in/ar33ba/</v>
      </c>
      <c r="AL123" s="228" t="str">
        <f>IFERROR(__xludf.DUMMYFUNCTION("""COMPUTED_VALUE"""),"Mehreen Jafri")</f>
        <v>Mehreen Jafri</v>
      </c>
      <c r="AM123" s="228"/>
      <c r="AN123" s="228"/>
      <c r="AO123" s="228"/>
      <c r="AP123" s="228" t="str">
        <f>IFERROR(__xludf.DUMMYFUNCTION("""COMPUTED_VALUE"""),"NO")</f>
        <v>NO</v>
      </c>
      <c r="AQ123" s="228" t="str">
        <f>IFERROR(__xludf.DUMMYFUNCTION("""COMPUTED_VALUE"""),"Active")</f>
        <v>Active</v>
      </c>
    </row>
    <row r="124">
      <c r="A124" s="228">
        <f>IFERROR(__xludf.DUMMYFUNCTION("""COMPUTED_VALUE"""),5439.0)</f>
        <v>5439</v>
      </c>
      <c r="B124" s="228" t="str">
        <f>IFERROR(__xludf.DUMMYFUNCTION("""COMPUTED_VALUE"""),"Malak Hasan Khan")</f>
        <v>Malak Hasan Khan</v>
      </c>
      <c r="C124" s="228" t="str">
        <f>IFERROR(__xludf.DUMMYFUNCTION("""COMPUTED_VALUE"""),"malakhasankhan@outlook.com")</f>
        <v>malakhasankhan@outlook.com</v>
      </c>
      <c r="D124" s="228" t="str">
        <f>IFERROR(__xludf.DUMMYFUNCTION("""COMPUTED_VALUE"""),"malak.hasan@vyro.ai")</f>
        <v>malak.hasan@vyro.ai</v>
      </c>
      <c r="E124" s="728">
        <f>IFERROR(__xludf.DUMMYFUNCTION("""COMPUTED_VALUE"""),45845.0)</f>
        <v>45845</v>
      </c>
      <c r="F124" s="228" t="str">
        <f>IFERROR(__xludf.DUMMYFUNCTION("""COMPUTED_VALUE"""),"Data Analyst")</f>
        <v>Data Analyst</v>
      </c>
      <c r="G124" s="228" t="str">
        <f>IFERROR(__xludf.DUMMYFUNCTION("""COMPUTED_VALUE"""),"Business &amp; Growth")</f>
        <v>Business &amp; Growth</v>
      </c>
      <c r="H124" s="228" t="str">
        <f>IFERROR(__xludf.DUMMYFUNCTION("""COMPUTED_VALUE"""),"Shaiq Habib")</f>
        <v>Shaiq Habib</v>
      </c>
      <c r="I124" s="228" t="str">
        <f>IFERROR(__xludf.DUMMYFUNCTION("""COMPUTED_VALUE"""),"Onsite")</f>
        <v>Onsite</v>
      </c>
      <c r="J124" s="228" t="str">
        <f>IFERROR(__xludf.DUMMYFUNCTION("""COMPUTED_VALUE"""),"Active")</f>
        <v>Active</v>
      </c>
      <c r="K124" s="228"/>
      <c r="L124" s="729">
        <f>IFERROR(__xludf.DUMMYFUNCTION("""COMPUTED_VALUE"""),45937.0)</f>
        <v>45937</v>
      </c>
      <c r="M124" s="228"/>
      <c r="N124" s="228"/>
      <c r="O124" s="228"/>
      <c r="P124" s="228" t="str">
        <f>IFERROR(__xludf.DUMMYFUNCTION("""COMPUTED_VALUE"""),"3254955955")</f>
        <v>3254955955</v>
      </c>
      <c r="Q124" s="228" t="str">
        <f>IFERROR(__xludf.DUMMYFUNCTION("""COMPUTED_VALUE"""),"15602-1856910-3")</f>
        <v>15602-1856910-3</v>
      </c>
      <c r="R124" s="228" t="str">
        <f>IFERROR(__xludf.DUMMYFUNCTION("""COMPUTED_VALUE"""),"Male")</f>
        <v>Male</v>
      </c>
      <c r="S124" s="228" t="str">
        <f>IFERROR(__xludf.DUMMYFUNCTION("""COMPUTED_VALUE"""),"Meezan Bank")</f>
        <v>Meezan Bank</v>
      </c>
      <c r="T124" s="228" t="str">
        <f>IFERROR(__xludf.DUMMYFUNCTION("""COMPUTED_VALUE"""),"Malak Hasan Khan")</f>
        <v>Malak Hasan Khan</v>
      </c>
      <c r="U124" s="228" t="str">
        <f>IFERROR(__xludf.DUMMYFUNCTION("""COMPUTED_VALUE"""),"PK66MEZN0002550110057676")</f>
        <v>PK66MEZN0002550110057676</v>
      </c>
      <c r="V124" s="228" t="str">
        <f>IFERROR(__xludf.DUMMYFUNCTION("""COMPUTED_VALUE"""),"MEZNPKKA")</f>
        <v>MEZNPKKA</v>
      </c>
      <c r="W124" s="228"/>
      <c r="X124" s="228"/>
      <c r="Y124" s="730">
        <f>IFERROR(__xludf.DUMMYFUNCTION("""COMPUTED_VALUE"""),37326.0)</f>
        <v>37326</v>
      </c>
      <c r="Z124" s="228" t="str">
        <f>IFERROR(__xludf.DUMMYFUNCTION("""COMPUTED_VALUE"""),"23 Years")</f>
        <v>23 Years</v>
      </c>
      <c r="AA124" s="228" t="str">
        <f>IFERROR(__xludf.DUMMYFUNCTION("""COMPUTED_VALUE"""),"Landikas, Moh Cheena Dag, Mingora, Tehsil Babuzai, District Swat")</f>
        <v>Landikas, Moh Cheena Dag, Mingora, Tehsil Babuzai, District Swat</v>
      </c>
      <c r="AB124" s="228" t="str">
        <f>IFERROR(__xludf.DUMMYFUNCTION("""COMPUTED_VALUE"""),"Pakistani")</f>
        <v>Pakistani</v>
      </c>
      <c r="AC124" s="228" t="str">
        <f>IFERROR(__xludf.DUMMYFUNCTION("""COMPUTED_VALUE"""),"Single")</f>
        <v>Single</v>
      </c>
      <c r="AD124" s="228"/>
      <c r="AE124" s="228"/>
      <c r="AF124" s="228"/>
      <c r="AG124" s="228" t="str">
        <f>IFERROR(__xludf.DUMMYFUNCTION("""COMPUTED_VALUE"""),"Muhammad Najeeb Khan")</f>
        <v>Muhammad Najeeb Khan</v>
      </c>
      <c r="AH124" s="228" t="str">
        <f>IFERROR(__xludf.DUMMYFUNCTION("""COMPUTED_VALUE"""),"Father")</f>
        <v>Father</v>
      </c>
      <c r="AI124" s="228">
        <f>IFERROR(__xludf.DUMMYFUNCTION("""COMPUTED_VALUE"""),3.005742699E9)</f>
        <v>3005742699</v>
      </c>
      <c r="AJ124" s="228" t="str">
        <f>IFERROR(__xludf.DUMMYFUNCTION("""COMPUTED_VALUE"""),"O+")</f>
        <v>O+</v>
      </c>
      <c r="AK124" s="731" t="str">
        <f>IFERROR(__xludf.DUMMYFUNCTION("""COMPUTED_VALUE"""),"https://www.linkedin.com/in/malakhasankhan/")</f>
        <v>https://www.linkedin.com/in/malakhasankhan/</v>
      </c>
      <c r="AL124" s="228" t="str">
        <f>IFERROR(__xludf.DUMMYFUNCTION("""COMPUTED_VALUE"""),"Mustafa Shakil")</f>
        <v>Mustafa Shakil</v>
      </c>
      <c r="AM124" s="228"/>
      <c r="AN124" s="228"/>
      <c r="AO124" s="228"/>
      <c r="AP124" s="228" t="str">
        <f>IFERROR(__xludf.DUMMYFUNCTION("""COMPUTED_VALUE"""),"NO")</f>
        <v>NO</v>
      </c>
      <c r="AQ124" s="228" t="str">
        <f>IFERROR(__xludf.DUMMYFUNCTION("""COMPUTED_VALUE"""),"Active")</f>
        <v>Active</v>
      </c>
    </row>
    <row r="125">
      <c r="A125" s="228">
        <f>IFERROR(__xludf.DUMMYFUNCTION("""COMPUTED_VALUE"""),5437.0)</f>
        <v>5437</v>
      </c>
      <c r="B125" s="228" t="str">
        <f>IFERROR(__xludf.DUMMYFUNCTION("""COMPUTED_VALUE"""),"Owais Asif")</f>
        <v>Owais Asif</v>
      </c>
      <c r="C125" s="228" t="str">
        <f>IFERROR(__xludf.DUMMYFUNCTION("""COMPUTED_VALUE"""),"oasc.100@gmail.com")</f>
        <v>oasc.100@gmail.com</v>
      </c>
      <c r="D125" s="228" t="str">
        <f>IFERROR(__xludf.DUMMYFUNCTION("""COMPUTED_VALUE"""),"owais.asif@vyro.ai")</f>
        <v>owais.asif@vyro.ai</v>
      </c>
      <c r="E125" s="728">
        <f>IFERROR(__xludf.DUMMYFUNCTION("""COMPUTED_VALUE"""),45845.0)</f>
        <v>45845</v>
      </c>
      <c r="F125" s="228" t="str">
        <f>IFERROR(__xludf.DUMMYFUNCTION("""COMPUTED_VALUE"""),"Customer Support Executive")</f>
        <v>Customer Support Executive</v>
      </c>
      <c r="G125" s="228" t="str">
        <f>IFERROR(__xludf.DUMMYFUNCTION("""COMPUTED_VALUE"""),"Customer Success")</f>
        <v>Customer Success</v>
      </c>
      <c r="H125" s="228" t="str">
        <f>IFERROR(__xludf.DUMMYFUNCTION("""COMPUTED_VALUE"""),"Muhammad Asad")</f>
        <v>Muhammad Asad</v>
      </c>
      <c r="I125" s="228" t="str">
        <f>IFERROR(__xludf.DUMMYFUNCTION("""COMPUTED_VALUE"""),"Onsite")</f>
        <v>Onsite</v>
      </c>
      <c r="J125" s="228" t="str">
        <f>IFERROR(__xludf.DUMMYFUNCTION("""COMPUTED_VALUE"""),"Active")</f>
        <v>Active</v>
      </c>
      <c r="K125" s="228"/>
      <c r="L125" s="729">
        <f>IFERROR(__xludf.DUMMYFUNCTION("""COMPUTED_VALUE"""),45937.0)</f>
        <v>45937</v>
      </c>
      <c r="M125" s="228"/>
      <c r="N125" s="228"/>
      <c r="O125" s="228"/>
      <c r="P125" s="228" t="str">
        <f>IFERROR(__xludf.DUMMYFUNCTION("""COMPUTED_VALUE"""),"3359924334")</f>
        <v>3359924334</v>
      </c>
      <c r="Q125" s="228" t="str">
        <f>IFERROR(__xludf.DUMMYFUNCTION("""COMPUTED_VALUE"""),"61101-1316783-5")</f>
        <v>61101-1316783-5</v>
      </c>
      <c r="R125" s="228" t="str">
        <f>IFERROR(__xludf.DUMMYFUNCTION("""COMPUTED_VALUE"""),"Male")</f>
        <v>Male</v>
      </c>
      <c r="S125" s="228" t="str">
        <f>IFERROR(__xludf.DUMMYFUNCTION("""COMPUTED_VALUE"""),"Meezan Bank")</f>
        <v>Meezan Bank</v>
      </c>
      <c r="T125" s="228" t="str">
        <f>IFERROR(__xludf.DUMMYFUNCTION("""COMPUTED_VALUE"""),"Owais Asif")</f>
        <v>Owais Asif</v>
      </c>
      <c r="U125" s="228" t="str">
        <f>IFERROR(__xludf.DUMMYFUNCTION("""COMPUTED_VALUE"""),"PK95MEZN0003170109416244")</f>
        <v>PK95MEZN0003170109416244</v>
      </c>
      <c r="V125" s="228" t="str">
        <f>IFERROR(__xludf.DUMMYFUNCTION("""COMPUTED_VALUE"""),"MEZNPKKAISD")</f>
        <v>MEZNPKKAISD</v>
      </c>
      <c r="W125" s="228"/>
      <c r="X125" s="228"/>
      <c r="Y125" s="730">
        <f>IFERROR(__xludf.DUMMYFUNCTION("""COMPUTED_VALUE"""),34878.0)</f>
        <v>34878</v>
      </c>
      <c r="Z125" s="228" t="str">
        <f>IFERROR(__xludf.DUMMYFUNCTION("""COMPUTED_VALUE"""),"30 Years")</f>
        <v>30 Years</v>
      </c>
      <c r="AA125" s="228" t="str">
        <f>IFERROR(__xludf.DUMMYFUNCTION("""COMPUTED_VALUE"""),"House 15, Street 44, Sector F-7/1, Islamabad")</f>
        <v>House 15, Street 44, Sector F-7/1, Islamabad</v>
      </c>
      <c r="AB125" s="228" t="str">
        <f>IFERROR(__xludf.DUMMYFUNCTION("""COMPUTED_VALUE"""),"Pakistani")</f>
        <v>Pakistani</v>
      </c>
      <c r="AC125" s="228" t="str">
        <f>IFERROR(__xludf.DUMMYFUNCTION("""COMPUTED_VALUE"""),"Married")</f>
        <v>Married</v>
      </c>
      <c r="AD125" s="228"/>
      <c r="AE125" s="228"/>
      <c r="AF125" s="228"/>
      <c r="AG125" s="228" t="str">
        <f>IFERROR(__xludf.DUMMYFUNCTION("""COMPUTED_VALUE"""),"Asif Saleem Chaudhary")</f>
        <v>Asif Saleem Chaudhary</v>
      </c>
      <c r="AH125" s="228" t="str">
        <f>IFERROR(__xludf.DUMMYFUNCTION("""COMPUTED_VALUE"""),"Father")</f>
        <v>Father</v>
      </c>
      <c r="AI125" s="228">
        <f>IFERROR(__xludf.DUMMYFUNCTION("""COMPUTED_VALUE"""),3.21343466E9)</f>
        <v>3213434660</v>
      </c>
      <c r="AJ125" s="228" t="str">
        <f>IFERROR(__xludf.DUMMYFUNCTION("""COMPUTED_VALUE"""),"B+")</f>
        <v>B+</v>
      </c>
      <c r="AK125" s="731" t="str">
        <f>IFERROR(__xludf.DUMMYFUNCTION("""COMPUTED_VALUE"""),"https://www.linkedin.com/in/owaisasif/")</f>
        <v>https://www.linkedin.com/in/owaisasif/</v>
      </c>
      <c r="AL125" s="228" t="str">
        <f>IFERROR(__xludf.DUMMYFUNCTION("""COMPUTED_VALUE"""),"Mustafa Shakil")</f>
        <v>Mustafa Shakil</v>
      </c>
      <c r="AM125" s="228"/>
      <c r="AN125" s="228"/>
      <c r="AO125" s="228"/>
      <c r="AP125" s="228" t="str">
        <f>IFERROR(__xludf.DUMMYFUNCTION("""COMPUTED_VALUE"""),"NO")</f>
        <v>NO</v>
      </c>
      <c r="AQ125" s="228" t="str">
        <f>IFERROR(__xludf.DUMMYFUNCTION("""COMPUTED_VALUE"""),"Active")</f>
        <v>Active</v>
      </c>
    </row>
    <row r="126">
      <c r="A126" s="228">
        <f>IFERROR(__xludf.DUMMYFUNCTION("""COMPUTED_VALUE"""),5442.0)</f>
        <v>5442</v>
      </c>
      <c r="B126" s="228" t="str">
        <f>IFERROR(__xludf.DUMMYFUNCTION("""COMPUTED_VALUE"""),"Nouman Sial")</f>
        <v>Nouman Sial</v>
      </c>
      <c r="C126" s="228" t="str">
        <f>IFERROR(__xludf.DUMMYFUNCTION("""COMPUTED_VALUE"""),"noumansial.work@gmail.com")</f>
        <v>noumansial.work@gmail.com</v>
      </c>
      <c r="D126" s="228" t="str">
        <f>IFERROR(__xludf.DUMMYFUNCTION("""COMPUTED_VALUE"""),"nouman.sial@vyro.ai")</f>
        <v>nouman.sial@vyro.ai</v>
      </c>
      <c r="E126" s="728">
        <f>IFERROR(__xludf.DUMMYFUNCTION("""COMPUTED_VALUE"""),45860.0)</f>
        <v>45860</v>
      </c>
      <c r="F126" s="228" t="str">
        <f>IFERROR(__xludf.DUMMYFUNCTION("""COMPUTED_VALUE"""),"AM Admin and Procurement")</f>
        <v>AM Admin and Procurement</v>
      </c>
      <c r="G126" s="228" t="str">
        <f>IFERROR(__xludf.DUMMYFUNCTION("""COMPUTED_VALUE"""),"Admin")</f>
        <v>Admin</v>
      </c>
      <c r="H126" s="228" t="str">
        <f>IFERROR(__xludf.DUMMYFUNCTION("""COMPUTED_VALUE"""),"Ahmed Abu-bakar")</f>
        <v>Ahmed Abu-bakar</v>
      </c>
      <c r="I126" s="228" t="str">
        <f>IFERROR(__xludf.DUMMYFUNCTION("""COMPUTED_VALUE"""),"Full Time")</f>
        <v>Full Time</v>
      </c>
      <c r="J126" s="228" t="str">
        <f>IFERROR(__xludf.DUMMYFUNCTION("""COMPUTED_VALUE"""),"Active")</f>
        <v>Active</v>
      </c>
      <c r="K126" s="228" t="str">
        <f>IFERROR(__xludf.DUMMYFUNCTION("""COMPUTED_VALUE"""),"3M")</f>
        <v>3M</v>
      </c>
      <c r="L126" s="729">
        <f>IFERROR(__xludf.DUMMYFUNCTION("""COMPUTED_VALUE"""),45952.0)</f>
        <v>45952</v>
      </c>
      <c r="M126" s="228"/>
      <c r="N126" s="228"/>
      <c r="O126" s="228"/>
      <c r="P126" s="228" t="str">
        <f>IFERROR(__xludf.DUMMYFUNCTION("""COMPUTED_VALUE"""),"3155134295")</f>
        <v>3155134295</v>
      </c>
      <c r="Q126" s="228" t="str">
        <f>IFERROR(__xludf.DUMMYFUNCTION("""COMPUTED_VALUE"""),"37405-8046887-1")</f>
        <v>37405-8046887-1</v>
      </c>
      <c r="R126" s="228" t="str">
        <f>IFERROR(__xludf.DUMMYFUNCTION("""COMPUTED_VALUE"""),"Male")</f>
        <v>Male</v>
      </c>
      <c r="S126" s="228" t="str">
        <f>IFERROR(__xludf.DUMMYFUNCTION("""COMPUTED_VALUE"""),"Habib Bank Limited")</f>
        <v>Habib Bank Limited</v>
      </c>
      <c r="T126" s="228" t="str">
        <f>IFERROR(__xludf.DUMMYFUNCTION("""COMPUTED_VALUE"""),"Nouman Sial")</f>
        <v>Nouman Sial</v>
      </c>
      <c r="U126" s="228" t="str">
        <f>IFERROR(__xludf.DUMMYFUNCTION("""COMPUTED_VALUE"""),"PK18HABB0024597000324203")</f>
        <v>PK18HABB0024597000324203</v>
      </c>
      <c r="V126" s="228" t="str">
        <f>IFERROR(__xludf.DUMMYFUNCTION("""COMPUTED_VALUE"""),"HABBPKKA")</f>
        <v>HABBPKKA</v>
      </c>
      <c r="W126" s="228"/>
      <c r="X126" s="228"/>
      <c r="Y126" s="730">
        <f>IFERROR(__xludf.DUMMYFUNCTION("""COMPUTED_VALUE"""),35010.0)</f>
        <v>35010</v>
      </c>
      <c r="Z126" s="228" t="str">
        <f>IFERROR(__xludf.DUMMYFUNCTION("""COMPUTED_VALUE"""),"30 Years")</f>
        <v>30 Years</v>
      </c>
      <c r="AA126" s="228" t="str">
        <f>IFERROR(__xludf.DUMMYFUNCTION("""COMPUTED_VALUE"""),"House no CB-104/5 near ghousia store,Shallay valley road, Range road,Rawalpindi")</f>
        <v>House no CB-104/5 near ghousia store,Shallay valley road, Range road,Rawalpindi</v>
      </c>
      <c r="AB126" s="228" t="str">
        <f>IFERROR(__xludf.DUMMYFUNCTION("""COMPUTED_VALUE"""),"Pakistani")</f>
        <v>Pakistani</v>
      </c>
      <c r="AC126" s="228" t="str">
        <f>IFERROR(__xludf.DUMMYFUNCTION("""COMPUTED_VALUE"""),"Married")</f>
        <v>Married</v>
      </c>
      <c r="AD126" s="228"/>
      <c r="AE126" s="228"/>
      <c r="AF126" s="228"/>
      <c r="AG126" s="228" t="str">
        <f>IFERROR(__xludf.DUMMYFUNCTION("""COMPUTED_VALUE"""),"Abdul Khaliq Sial")</f>
        <v>Abdul Khaliq Sial</v>
      </c>
      <c r="AH126" s="228" t="str">
        <f>IFERROR(__xludf.DUMMYFUNCTION("""COMPUTED_VALUE"""),"Wife")</f>
        <v>Wife</v>
      </c>
      <c r="AI126" s="228">
        <f>IFERROR(__xludf.DUMMYFUNCTION("""COMPUTED_VALUE"""),3.078910626E9)</f>
        <v>3078910626</v>
      </c>
      <c r="AJ126" s="228" t="str">
        <f>IFERROR(__xludf.DUMMYFUNCTION("""COMPUTED_VALUE"""),"A-")</f>
        <v>A-</v>
      </c>
      <c r="AK126" s="731" t="str">
        <f>IFERROR(__xludf.DUMMYFUNCTION("""COMPUTED_VALUE"""),"https://www.linkedin.com/in/nouman-sial-8988aaa0/")</f>
        <v>https://www.linkedin.com/in/nouman-sial-8988aaa0/</v>
      </c>
      <c r="AL126" s="228" t="str">
        <f>IFERROR(__xludf.DUMMYFUNCTION("""COMPUTED_VALUE"""),"Mustafa Shakil")</f>
        <v>Mustafa Shakil</v>
      </c>
      <c r="AM126" s="228"/>
      <c r="AN126" s="228"/>
      <c r="AO126" s="228"/>
      <c r="AP126" s="228" t="str">
        <f>IFERROR(__xludf.DUMMYFUNCTION("""COMPUTED_VALUE"""),"NO")</f>
        <v>NO</v>
      </c>
      <c r="AQ126" s="228" t="str">
        <f>IFERROR(__xludf.DUMMYFUNCTION("""COMPUTED_VALUE"""),"Active")</f>
        <v>Active</v>
      </c>
    </row>
    <row r="127">
      <c r="A127" s="228">
        <f>IFERROR(__xludf.DUMMYFUNCTION("""COMPUTED_VALUE"""),5443.0)</f>
        <v>5443</v>
      </c>
      <c r="B127" s="228" t="str">
        <f>IFERROR(__xludf.DUMMYFUNCTION("""COMPUTED_VALUE"""),"Awais Chaudhry")</f>
        <v>Awais Chaudhry</v>
      </c>
      <c r="C127" s="228" t="str">
        <f>IFERROR(__xludf.DUMMYFUNCTION("""COMPUTED_VALUE"""),"awais.chaudhry36@me.ceme.edu.pk")</f>
        <v>awais.chaudhry36@me.ceme.edu.pk</v>
      </c>
      <c r="D127" s="228" t="str">
        <f>IFERROR(__xludf.DUMMYFUNCTION("""COMPUTED_VALUE"""),"awais.chaudhry@vyro.ai")</f>
        <v>awais.chaudhry@vyro.ai</v>
      </c>
      <c r="E127" s="728">
        <f>IFERROR(__xludf.DUMMYFUNCTION("""COMPUTED_VALUE"""),45887.0)</f>
        <v>45887</v>
      </c>
      <c r="F127" s="228" t="str">
        <f>IFERROR(__xludf.DUMMYFUNCTION("""COMPUTED_VALUE"""),"Senior Product Manager ")</f>
        <v>Senior Product Manager </v>
      </c>
      <c r="G127" s="228" t="str">
        <f>IFERROR(__xludf.DUMMYFUNCTION("""COMPUTED_VALUE"""),"Product")</f>
        <v>Product</v>
      </c>
      <c r="H127" s="228" t="str">
        <f>IFERROR(__xludf.DUMMYFUNCTION("""COMPUTED_VALUE"""),"Abdullah (CTO) ")</f>
        <v>Abdullah (CTO) </v>
      </c>
      <c r="I127" s="228" t="str">
        <f>IFERROR(__xludf.DUMMYFUNCTION("""COMPUTED_VALUE"""),"Full Time")</f>
        <v>Full Time</v>
      </c>
      <c r="J127" s="228" t="str">
        <f>IFERROR(__xludf.DUMMYFUNCTION("""COMPUTED_VALUE"""),"Active")</f>
        <v>Active</v>
      </c>
      <c r="K127" s="228"/>
      <c r="L127" s="729">
        <f>IFERROR(__xludf.DUMMYFUNCTION("""COMPUTED_VALUE"""),45979.0)</f>
        <v>45979</v>
      </c>
      <c r="M127" s="228"/>
      <c r="N127" s="228"/>
      <c r="O127" s="228"/>
      <c r="P127" s="228" t="str">
        <f>IFERROR(__xludf.DUMMYFUNCTION("""COMPUTED_VALUE"""),"3125678903")</f>
        <v>3125678903</v>
      </c>
      <c r="Q127" s="228" t="str">
        <f>IFERROR(__xludf.DUMMYFUNCTION("""COMPUTED_VALUE"""),"6110125873755")</f>
        <v>6110125873755</v>
      </c>
      <c r="R127" s="228" t="str">
        <f>IFERROR(__xludf.DUMMYFUNCTION("""COMPUTED_VALUE"""),"Male")</f>
        <v>Male</v>
      </c>
      <c r="S127" s="228" t="str">
        <f>IFERROR(__xludf.DUMMYFUNCTION("""COMPUTED_VALUE"""),"United Bank Limited ")</f>
        <v>United Bank Limited </v>
      </c>
      <c r="T127" s="228" t="str">
        <f>IFERROR(__xludf.DUMMYFUNCTION("""COMPUTED_VALUE"""),"Awais Chaudhry")</f>
        <v>Awais Chaudhry</v>
      </c>
      <c r="U127" s="228" t="str">
        <f>IFERROR(__xludf.DUMMYFUNCTION("""COMPUTED_VALUE"""),"PK35UNIL0109000295037299")</f>
        <v>PK35UNIL0109000295037299</v>
      </c>
      <c r="V127" s="228" t="str">
        <f>IFERROR(__xludf.DUMMYFUNCTION("""COMPUTED_VALUE"""),"UNILPKKA")</f>
        <v>UNILPKKA</v>
      </c>
      <c r="W127" s="228"/>
      <c r="X127" s="228"/>
      <c r="Y127" s="730">
        <f>IFERROR(__xludf.DUMMYFUNCTION("""COMPUTED_VALUE"""),35069.0)</f>
        <v>35069</v>
      </c>
      <c r="Z127" s="228" t="str">
        <f>IFERROR(__xludf.DUMMYFUNCTION("""COMPUTED_VALUE"""),"29 Years")</f>
        <v>29 Years</v>
      </c>
      <c r="AA127" s="228" t="str">
        <f>IFERROR(__xludf.DUMMYFUNCTION("""COMPUTED_VALUE"""),"House#14, Road#3, Sector-H, Bahria ")</f>
        <v>House#14, Road#3, Sector-H, Bahria </v>
      </c>
      <c r="AB127" s="228" t="str">
        <f>IFERROR(__xludf.DUMMYFUNCTION("""COMPUTED_VALUE"""),"Pakistani")</f>
        <v>Pakistani</v>
      </c>
      <c r="AC127" s="228" t="str">
        <f>IFERROR(__xludf.DUMMYFUNCTION("""COMPUTED_VALUE"""),"Single")</f>
        <v>Single</v>
      </c>
      <c r="AD127" s="228"/>
      <c r="AE127" s="228"/>
      <c r="AF127" s="228"/>
      <c r="AG127" s="228" t="str">
        <f>IFERROR(__xludf.DUMMYFUNCTION("""COMPUTED_VALUE"""),"Chaudhry Jahanghir Iqbal")</f>
        <v>Chaudhry Jahanghir Iqbal</v>
      </c>
      <c r="AH127" s="228" t="str">
        <f>IFERROR(__xludf.DUMMYFUNCTION("""COMPUTED_VALUE"""),"Mother ")</f>
        <v>Mother </v>
      </c>
      <c r="AI127" s="228">
        <f>IFERROR(__xludf.DUMMYFUNCTION("""COMPUTED_VALUE"""),3.009760062E9)</f>
        <v>3009760062</v>
      </c>
      <c r="AJ127" s="228" t="str">
        <f>IFERROR(__xludf.DUMMYFUNCTION("""COMPUTED_VALUE"""),"B+")</f>
        <v>B+</v>
      </c>
      <c r="AK127" s="228"/>
      <c r="AL127" s="228" t="str">
        <f>IFERROR(__xludf.DUMMYFUNCTION("""COMPUTED_VALUE"""),"Mustafa Shakil")</f>
        <v>Mustafa Shakil</v>
      </c>
      <c r="AM127" s="228"/>
      <c r="AN127" s="228"/>
      <c r="AO127" s="228"/>
      <c r="AP127" s="228" t="str">
        <f>IFERROR(__xludf.DUMMYFUNCTION("""COMPUTED_VALUE"""),"NO")</f>
        <v>NO</v>
      </c>
      <c r="AQ127" s="228" t="str">
        <f>IFERROR(__xludf.DUMMYFUNCTION("""COMPUTED_VALUE"""),"Active")</f>
        <v>Active</v>
      </c>
    </row>
    <row r="128">
      <c r="A128" s="228">
        <f>IFERROR(__xludf.DUMMYFUNCTION("""COMPUTED_VALUE"""),5445.0)</f>
        <v>5445</v>
      </c>
      <c r="B128" s="228" t="str">
        <f>IFERROR(__xludf.DUMMYFUNCTION("""COMPUTED_VALUE"""),"Hamza Mumtaz")</f>
        <v>Hamza Mumtaz</v>
      </c>
      <c r="C128" s="228" t="str">
        <f>IFERROR(__xludf.DUMMYFUNCTION("""COMPUTED_VALUE"""),"Hamzadotkahn@gmail.com")</f>
        <v>Hamzadotkahn@gmail.com</v>
      </c>
      <c r="D128" s="228" t="str">
        <f>IFERROR(__xludf.DUMMYFUNCTION("""COMPUTED_VALUE"""),"hamza.mumtaz@vyro.ai")</f>
        <v>hamza.mumtaz@vyro.ai</v>
      </c>
      <c r="E128" s="728">
        <f>IFERROR(__xludf.DUMMYFUNCTION("""COMPUTED_VALUE"""),45901.0)</f>
        <v>45901</v>
      </c>
      <c r="F128" s="228" t="str">
        <f>IFERROR(__xludf.DUMMYFUNCTION("""COMPUTED_VALUE"""),"Visual designer ")</f>
        <v>Visual designer </v>
      </c>
      <c r="G128" s="228" t="str">
        <f>IFERROR(__xludf.DUMMYFUNCTION("""COMPUTED_VALUE"""),"Branding")</f>
        <v>Branding</v>
      </c>
      <c r="H128" s="228" t="str">
        <f>IFERROR(__xludf.DUMMYFUNCTION("""COMPUTED_VALUE"""),"Syed Osama")</f>
        <v>Syed Osama</v>
      </c>
      <c r="I128" s="228" t="str">
        <f>IFERROR(__xludf.DUMMYFUNCTION("""COMPUTED_VALUE"""),"Full Time")</f>
        <v>Full Time</v>
      </c>
      <c r="J128" s="228" t="str">
        <f>IFERROR(__xludf.DUMMYFUNCTION("""COMPUTED_VALUE"""),"Active")</f>
        <v>Active</v>
      </c>
      <c r="K128" s="228"/>
      <c r="L128" s="729">
        <f>IFERROR(__xludf.DUMMYFUNCTION("""COMPUTED_VALUE"""),45992.0)</f>
        <v>45992</v>
      </c>
      <c r="M128" s="228"/>
      <c r="N128" s="228"/>
      <c r="O128" s="228"/>
      <c r="P128" s="228" t="str">
        <f>IFERROR(__xludf.DUMMYFUNCTION("""COMPUTED_VALUE"""),"3709322052")</f>
        <v>3709322052</v>
      </c>
      <c r="Q128" s="228" t="str">
        <f>IFERROR(__xludf.DUMMYFUNCTION("""COMPUTED_VALUE"""),"17201-9930252-5")</f>
        <v>17201-9930252-5</v>
      </c>
      <c r="R128" s="228" t="str">
        <f>IFERROR(__xludf.DUMMYFUNCTION("""COMPUTED_VALUE"""),"Male")</f>
        <v>Male</v>
      </c>
      <c r="S128" s="228" t="str">
        <f>IFERROR(__xludf.DUMMYFUNCTION("""COMPUTED_VALUE"""),"Alfalah")</f>
        <v>Alfalah</v>
      </c>
      <c r="T128" s="228" t="str">
        <f>IFERROR(__xludf.DUMMYFUNCTION("""COMPUTED_VALUE"""),"Hamza Mumtaz ")</f>
        <v>Hamza Mumtaz </v>
      </c>
      <c r="U128" s="228" t="str">
        <f>IFERROR(__xludf.DUMMYFUNCTION("""COMPUTED_VALUE"""),"PK17ALFH0404001009858356")</f>
        <v>PK17ALFH0404001009858356</v>
      </c>
      <c r="V128" s="228" t="str">
        <f>IFERROR(__xludf.DUMMYFUNCTION("""COMPUTED_VALUE"""),"ALFHPKKAXXX")</f>
        <v>ALFHPKKAXXX</v>
      </c>
      <c r="W128" s="228"/>
      <c r="X128" s="228"/>
      <c r="Y128" s="730">
        <f>IFERROR(__xludf.DUMMYFUNCTION("""COMPUTED_VALUE"""),36636.0)</f>
        <v>36636</v>
      </c>
      <c r="Z128" s="228" t="str">
        <f>IFERROR(__xludf.DUMMYFUNCTION("""COMPUTED_VALUE"""),"25 Years")</f>
        <v>25 Years</v>
      </c>
      <c r="AA128" s="228" t="str">
        <f>IFERROR(__xludf.DUMMYFUNCTION("""COMPUTED_VALUE"""),"Mohalla sahibzadgan nowshera Kalan tehseel nowshera kpk")</f>
        <v>Mohalla sahibzadgan nowshera Kalan tehseel nowshera kpk</v>
      </c>
      <c r="AB128" s="228" t="str">
        <f>IFERROR(__xludf.DUMMYFUNCTION("""COMPUTED_VALUE"""),"Pakistani ")</f>
        <v>Pakistani </v>
      </c>
      <c r="AC128" s="228" t="str">
        <f>IFERROR(__xludf.DUMMYFUNCTION("""COMPUTED_VALUE"""),"Single")</f>
        <v>Single</v>
      </c>
      <c r="AD128" s="228"/>
      <c r="AE128" s="228"/>
      <c r="AF128" s="228"/>
      <c r="AG128" s="228" t="str">
        <f>IFERROR(__xludf.DUMMYFUNCTION("""COMPUTED_VALUE"""),"Mumtaz ali")</f>
        <v>Mumtaz ali</v>
      </c>
      <c r="AH128" s="228" t="str">
        <f>IFERROR(__xludf.DUMMYFUNCTION("""COMPUTED_VALUE"""),"Brother")</f>
        <v>Brother</v>
      </c>
      <c r="AI128" s="228"/>
      <c r="AJ128" s="228" t="str">
        <f>IFERROR(__xludf.DUMMYFUNCTION("""COMPUTED_VALUE"""),"B+")</f>
        <v>B+</v>
      </c>
      <c r="AK128" s="731" t="str">
        <f>IFERROR(__xludf.DUMMYFUNCTION("""COMPUTED_VALUE"""),"https://www.linkedin.com/in/hamza-kahn-327640233?utm_source=share&amp;utm_campaign=share_via&amp;utm_content=profile&amp;utm_medium=android_app")</f>
        <v>https://www.linkedin.com/in/hamza-kahn-327640233?utm_source=share&amp;utm_campaign=share_via&amp;utm_content=profile&amp;utm_medium=android_app</v>
      </c>
      <c r="AL128" s="228" t="str">
        <f>IFERROR(__xludf.DUMMYFUNCTION("""COMPUTED_VALUE"""),"Mahreen Jafri")</f>
        <v>Mahreen Jafri</v>
      </c>
      <c r="AM128" s="228"/>
      <c r="AN128" s="228"/>
      <c r="AO128" s="228"/>
      <c r="AP128" s="228" t="str">
        <f>IFERROR(__xludf.DUMMYFUNCTION("""COMPUTED_VALUE"""),"NO")</f>
        <v>NO</v>
      </c>
      <c r="AQ128" s="228" t="str">
        <f>IFERROR(__xludf.DUMMYFUNCTION("""COMPUTED_VALUE"""),"Active")</f>
        <v>Active</v>
      </c>
    </row>
    <row r="129">
      <c r="A129" s="228">
        <f>IFERROR(__xludf.DUMMYFUNCTION("""COMPUTED_VALUE"""),5448.0)</f>
        <v>5448</v>
      </c>
      <c r="B129" s="228" t="str">
        <f>IFERROR(__xludf.DUMMYFUNCTION("""COMPUTED_VALUE"""),"Anwarul Islam")</f>
        <v>Anwarul Islam</v>
      </c>
      <c r="C129" s="228" t="str">
        <f>IFERROR(__xludf.DUMMYFUNCTION("""COMPUTED_VALUE"""),"anwaarulislaam@gmail.com")</f>
        <v>anwaarulislaam@gmail.com</v>
      </c>
      <c r="D129" s="228" t="str">
        <f>IFERROR(__xludf.DUMMYFUNCTION("""COMPUTED_VALUE"""),"anwarul.islam@vyro.ai")</f>
        <v>anwarul.islam@vyro.ai</v>
      </c>
      <c r="E129" s="728">
        <f>IFERROR(__xludf.DUMMYFUNCTION("""COMPUTED_VALUE"""),45904.0)</f>
        <v>45904</v>
      </c>
      <c r="F129" s="228" t="str">
        <f>IFERROR(__xludf.DUMMYFUNCTION("""COMPUTED_VALUE"""),"Front End Developer")</f>
        <v>Front End Developer</v>
      </c>
      <c r="G129" s="228" t="str">
        <f>IFERROR(__xludf.DUMMYFUNCTION("""COMPUTED_VALUE"""),"Frontend")</f>
        <v>Frontend</v>
      </c>
      <c r="H129" s="228" t="str">
        <f>IFERROR(__xludf.DUMMYFUNCTION("""COMPUTED_VALUE"""),"Muhammad Mutahhar")</f>
        <v>Muhammad Mutahhar</v>
      </c>
      <c r="I129" s="228" t="str">
        <f>IFERROR(__xludf.DUMMYFUNCTION("""COMPUTED_VALUE"""),"Part Time")</f>
        <v>Part Time</v>
      </c>
      <c r="J129" s="228" t="str">
        <f>IFERROR(__xludf.DUMMYFUNCTION("""COMPUTED_VALUE"""),"Active")</f>
        <v>Active</v>
      </c>
      <c r="K129" s="228"/>
      <c r="L129" s="729">
        <f>IFERROR(__xludf.DUMMYFUNCTION("""COMPUTED_VALUE"""),45995.0)</f>
        <v>45995</v>
      </c>
      <c r="M129" s="228"/>
      <c r="N129" s="228"/>
      <c r="O129" s="228"/>
      <c r="P129" s="228" t="str">
        <f>IFERROR(__xludf.DUMMYFUNCTION("""COMPUTED_VALUE"""),"+8801815651830")</f>
        <v>+8801815651830</v>
      </c>
      <c r="Q129" s="228" t="str">
        <f>IFERROR(__xludf.DUMMYFUNCTION("""COMPUTED_VALUE"""),"A19030487")</f>
        <v>A19030487</v>
      </c>
      <c r="R129" s="228" t="str">
        <f>IFERROR(__xludf.DUMMYFUNCTION("""COMPUTED_VALUE"""),"Male")</f>
        <v>Male</v>
      </c>
      <c r="S129" s="228" t="str">
        <f>IFERROR(__xludf.DUMMYFUNCTION("""COMPUTED_VALUE"""),"Community Federal Savings Bank")</f>
        <v>Community Federal Savings Bank</v>
      </c>
      <c r="T129" s="228" t="str">
        <f>IFERROR(__xludf.DUMMYFUNCTION("""COMPUTED_VALUE"""),"Anwarul Islam")</f>
        <v>Anwarul Islam</v>
      </c>
      <c r="U129" s="228" t="str">
        <f>IFERROR(__xludf.DUMMYFUNCTION("""COMPUTED_VALUE"""),"8311677256")</f>
        <v>8311677256</v>
      </c>
      <c r="V129" s="228" t="str">
        <f>IFERROR(__xludf.DUMMYFUNCTION("""COMPUTED_VALUE"""),"Routing Number (From US for wire and ACH): 026073150, Swift/BIC (From outside US): CMFGUS33")</f>
        <v>Routing Number (From US for wire and ACH): 026073150, Swift/BIC (From outside US): CMFGUS33</v>
      </c>
      <c r="W129" s="228"/>
      <c r="X129" s="228"/>
      <c r="Y129" s="730">
        <f>IFERROR(__xludf.DUMMYFUNCTION("""COMPUTED_VALUE"""),36031.0)</f>
        <v>36031</v>
      </c>
      <c r="Z129" s="228" t="str">
        <f>IFERROR(__xludf.DUMMYFUNCTION("""COMPUTED_VALUE"""),"27 Years")</f>
        <v>27 Years</v>
      </c>
      <c r="AA129" s="228" t="str">
        <f>IFERROR(__xludf.DUMMYFUNCTION("""COMPUTED_VALUE"""),"Kha-82, 13/B, Talertek, Khilkhet, Dhaka-1229, Bangladesh")</f>
        <v>Kha-82, 13/B, Talertek, Khilkhet, Dhaka-1229, Bangladesh</v>
      </c>
      <c r="AB129" s="228" t="str">
        <f>IFERROR(__xludf.DUMMYFUNCTION("""COMPUTED_VALUE"""),"Bangladeshi")</f>
        <v>Bangladeshi</v>
      </c>
      <c r="AC129" s="228" t="str">
        <f>IFERROR(__xludf.DUMMYFUNCTION("""COMPUTED_VALUE"""),"Single")</f>
        <v>Single</v>
      </c>
      <c r="AD129" s="228"/>
      <c r="AE129" s="228"/>
      <c r="AF129" s="228"/>
      <c r="AG129" s="228" t="str">
        <f>IFERROR(__xludf.DUMMYFUNCTION("""COMPUTED_VALUE"""),"Nozrul Islam")</f>
        <v>Nozrul Islam</v>
      </c>
      <c r="AH129" s="228" t="str">
        <f>IFERROR(__xludf.DUMMYFUNCTION("""COMPUTED_VALUE"""),"Father")</f>
        <v>Father</v>
      </c>
      <c r="AI129" s="228"/>
      <c r="AJ129" s="228" t="str">
        <f>IFERROR(__xludf.DUMMYFUNCTION("""COMPUTED_VALUE"""),"O+")</f>
        <v>O+</v>
      </c>
      <c r="AK129" s="731" t="str">
        <f>IFERROR(__xludf.DUMMYFUNCTION("""COMPUTED_VALUE"""),"https://linkedin.com/in/anwaarulislaam")</f>
        <v>https://linkedin.com/in/anwaarulislaam</v>
      </c>
      <c r="AL129" s="228" t="str">
        <f>IFERROR(__xludf.DUMMYFUNCTION("""COMPUTED_VALUE"""),"Annum Inam")</f>
        <v>Annum Inam</v>
      </c>
      <c r="AM129" s="228"/>
      <c r="AN129" s="228"/>
      <c r="AO129" s="228"/>
      <c r="AP129" s="228" t="str">
        <f>IFERROR(__xludf.DUMMYFUNCTION("""COMPUTED_VALUE"""),"NO")</f>
        <v>NO</v>
      </c>
      <c r="AQ129" s="228" t="str">
        <f>IFERROR(__xludf.DUMMYFUNCTION("""COMPUTED_VALUE"""),"Active")</f>
        <v>Active</v>
      </c>
    </row>
    <row r="130">
      <c r="A130" s="228">
        <f>IFERROR(__xludf.DUMMYFUNCTION("""COMPUTED_VALUE"""),5450.0)</f>
        <v>5450</v>
      </c>
      <c r="B130" s="228" t="str">
        <f>IFERROR(__xludf.DUMMYFUNCTION("""COMPUTED_VALUE"""),"Haris Elahi")</f>
        <v>Haris Elahi</v>
      </c>
      <c r="C130" s="228" t="str">
        <f>IFERROR(__xludf.DUMMYFUNCTION("""COMPUTED_VALUE"""),"hariselahi7.9@gmail.com")</f>
        <v>hariselahi7.9@gmail.com</v>
      </c>
      <c r="D130" s="228" t="str">
        <f>IFERROR(__xludf.DUMMYFUNCTION("""COMPUTED_VALUE"""),"haris.elahi@vyro.ai")</f>
        <v>haris.elahi@vyro.ai</v>
      </c>
      <c r="E130" s="728">
        <f>IFERROR(__xludf.DUMMYFUNCTION("""COMPUTED_VALUE"""),45920.0)</f>
        <v>45920</v>
      </c>
      <c r="F130" s="228" t="str">
        <f>IFERROR(__xludf.DUMMYFUNCTION("""COMPUTED_VALUE"""),"IT and Admin Executive ")</f>
        <v>IT and Admin Executive </v>
      </c>
      <c r="G130" s="228" t="str">
        <f>IFERROR(__xludf.DUMMYFUNCTION("""COMPUTED_VALUE"""),"Admin")</f>
        <v>Admin</v>
      </c>
      <c r="H130" s="228" t="str">
        <f>IFERROR(__xludf.DUMMYFUNCTION("""COMPUTED_VALUE"""),"Nouman Sial")</f>
        <v>Nouman Sial</v>
      </c>
      <c r="I130" s="228" t="str">
        <f>IFERROR(__xludf.DUMMYFUNCTION("""COMPUTED_VALUE"""),"Full Time")</f>
        <v>Full Time</v>
      </c>
      <c r="J130" s="228" t="str">
        <f>IFERROR(__xludf.DUMMYFUNCTION("""COMPUTED_VALUE"""),"Active")</f>
        <v>Active</v>
      </c>
      <c r="K130" s="228"/>
      <c r="L130" s="729">
        <f>IFERROR(__xludf.DUMMYFUNCTION("""COMPUTED_VALUE"""),46011.0)</f>
        <v>46011</v>
      </c>
      <c r="M130" s="228"/>
      <c r="N130" s="228"/>
      <c r="O130" s="228"/>
      <c r="P130" s="228" t="str">
        <f>IFERROR(__xludf.DUMMYFUNCTION("""COMPUTED_VALUE"""),"3205370709")</f>
        <v>3205370709</v>
      </c>
      <c r="Q130" s="228" t="str">
        <f>IFERROR(__xludf.DUMMYFUNCTION("""COMPUTED_VALUE"""),"54400-3989260-3")</f>
        <v>54400-3989260-3</v>
      </c>
      <c r="R130" s="228" t="str">
        <f>IFERROR(__xludf.DUMMYFUNCTION("""COMPUTED_VALUE"""),"Male")</f>
        <v>Male</v>
      </c>
      <c r="S130" s="228" t="str">
        <f>IFERROR(__xludf.DUMMYFUNCTION("""COMPUTED_VALUE"""),"ABL")</f>
        <v>ABL</v>
      </c>
      <c r="T130" s="228" t="str">
        <f>IFERROR(__xludf.DUMMYFUNCTION("""COMPUTED_VALUE"""),"Haris Elahi")</f>
        <v>Haris Elahi</v>
      </c>
      <c r="U130" s="228" t="str">
        <f>IFERROR(__xludf.DUMMYFUNCTION("""COMPUTED_VALUE"""),"PK54ABPA0010048247980026")</f>
        <v>PK54ABPA0010048247980026</v>
      </c>
      <c r="V130" s="228" t="str">
        <f>IFERROR(__xludf.DUMMYFUNCTION("""COMPUTED_VALUE"""),"ABPAPKKA")</f>
        <v>ABPAPKKA</v>
      </c>
      <c r="W130" s="228"/>
      <c r="X130" s="228"/>
      <c r="Y130" s="730">
        <f>IFERROR(__xludf.DUMMYFUNCTION("""COMPUTED_VALUE"""),35111.0)</f>
        <v>35111</v>
      </c>
      <c r="Z130" s="228" t="str">
        <f>IFERROR(__xludf.DUMMYFUNCTION("""COMPUTED_VALUE"""),"29 Years")</f>
        <v>29 Years</v>
      </c>
      <c r="AA130" s="228" t="str">
        <f>IFERROR(__xludf.DUMMYFUNCTION("""COMPUTED_VALUE"""),"House No. 816H, I-8/4 Islamabad.")</f>
        <v>House No. 816H, I-8/4 Islamabad.</v>
      </c>
      <c r="AB130" s="228" t="str">
        <f>IFERROR(__xludf.DUMMYFUNCTION("""COMPUTED_VALUE"""),"Pakistani")</f>
        <v>Pakistani</v>
      </c>
      <c r="AC130" s="228" t="str">
        <f>IFERROR(__xludf.DUMMYFUNCTION("""COMPUTED_VALUE"""),"Single")</f>
        <v>Single</v>
      </c>
      <c r="AD130" s="228"/>
      <c r="AE130" s="228"/>
      <c r="AF130" s="228"/>
      <c r="AG130" s="228" t="str">
        <f>IFERROR(__xludf.DUMMYFUNCTION("""COMPUTED_VALUE"""),"Azmat Elahi")</f>
        <v>Azmat Elahi</v>
      </c>
      <c r="AH130" s="228" t="str">
        <f>IFERROR(__xludf.DUMMYFUNCTION("""COMPUTED_VALUE"""),"Father")</f>
        <v>Father</v>
      </c>
      <c r="AI130" s="228">
        <f>IFERROR(__xludf.DUMMYFUNCTION("""COMPUTED_VALUE"""),3.083746497E9)</f>
        <v>3083746497</v>
      </c>
      <c r="AJ130" s="228" t="str">
        <f>IFERROR(__xludf.DUMMYFUNCTION("""COMPUTED_VALUE"""),"A+")</f>
        <v>A+</v>
      </c>
      <c r="AK130" s="731" t="str">
        <f>IFERROR(__xludf.DUMMYFUNCTION("""COMPUTED_VALUE"""),"https://www.linkedin.com/in/haris-elahi-07/")</f>
        <v>https://www.linkedin.com/in/haris-elahi-07/</v>
      </c>
      <c r="AL130" s="228" t="str">
        <f>IFERROR(__xludf.DUMMYFUNCTION("""COMPUTED_VALUE"""),"Mustafa Shakil")</f>
        <v>Mustafa Shakil</v>
      </c>
      <c r="AM130" s="228"/>
      <c r="AN130" s="228"/>
      <c r="AO130" s="228"/>
      <c r="AP130" s="228" t="str">
        <f>IFERROR(__xludf.DUMMYFUNCTION("""COMPUTED_VALUE"""),"NO")</f>
        <v>NO</v>
      </c>
      <c r="AQ130" s="228" t="str">
        <f>IFERROR(__xludf.DUMMYFUNCTION("""COMPUTED_VALUE"""),"Active")</f>
        <v>Active</v>
      </c>
    </row>
    <row r="131">
      <c r="A131" s="228">
        <f>IFERROR(__xludf.DUMMYFUNCTION("""COMPUTED_VALUE"""),5451.0)</f>
        <v>5451</v>
      </c>
      <c r="B131" s="228" t="str">
        <f>IFERROR(__xludf.DUMMYFUNCTION("""COMPUTED_VALUE"""),"Aqsa Nazir Kayani")</f>
        <v>Aqsa Nazir Kayani</v>
      </c>
      <c r="C131" s="228" t="str">
        <f>IFERROR(__xludf.DUMMYFUNCTION("""COMPUTED_VALUE"""),"aqsa-kiyani21@hotmail.com")</f>
        <v>aqsa-kiyani21@hotmail.com</v>
      </c>
      <c r="D131" s="228" t="str">
        <f>IFERROR(__xludf.DUMMYFUNCTION("""COMPUTED_VALUE"""),"aqsa.kiyani@vyro.ai")</f>
        <v>aqsa.kiyani@vyro.ai</v>
      </c>
      <c r="E131" s="728">
        <f>IFERROR(__xludf.DUMMYFUNCTION("""COMPUTED_VALUE"""),45922.0)</f>
        <v>45922</v>
      </c>
      <c r="F131" s="228" t="str">
        <f>IFERROR(__xludf.DUMMYFUNCTION("""COMPUTED_VALUE"""),"SEO Content Strategist")</f>
        <v>SEO Content Strategist</v>
      </c>
      <c r="G131" s="228" t="str">
        <f>IFERROR(__xludf.DUMMYFUNCTION("""COMPUTED_VALUE"""),"SEO")</f>
        <v>SEO</v>
      </c>
      <c r="H131" s="228" t="str">
        <f>IFERROR(__xludf.DUMMYFUNCTION("""COMPUTED_VALUE"""),"Syed Osama")</f>
        <v>Syed Osama</v>
      </c>
      <c r="I131" s="228" t="str">
        <f>IFERROR(__xludf.DUMMYFUNCTION("""COMPUTED_VALUE"""),"Full Time")</f>
        <v>Full Time</v>
      </c>
      <c r="J131" s="228" t="str">
        <f>IFERROR(__xludf.DUMMYFUNCTION("""COMPUTED_VALUE"""),"Active")</f>
        <v>Active</v>
      </c>
      <c r="K131" s="228"/>
      <c r="L131" s="729">
        <f>IFERROR(__xludf.DUMMYFUNCTION("""COMPUTED_VALUE"""),46013.0)</f>
        <v>46013</v>
      </c>
      <c r="M131" s="228"/>
      <c r="N131" s="228"/>
      <c r="O131" s="228"/>
      <c r="P131" s="228" t="str">
        <f>IFERROR(__xludf.DUMMYFUNCTION("""COMPUTED_VALUE"""),"3175705225")</f>
        <v>3175705225</v>
      </c>
      <c r="Q131" s="228" t="str">
        <f>IFERROR(__xludf.DUMMYFUNCTION("""COMPUTED_VALUE"""),"37405-7405830-2")</f>
        <v>37405-7405830-2</v>
      </c>
      <c r="R131" s="228" t="str">
        <f>IFERROR(__xludf.DUMMYFUNCTION("""COMPUTED_VALUE"""),"Female")</f>
        <v>Female</v>
      </c>
      <c r="S131" s="228" t="str">
        <f>IFERROR(__xludf.DUMMYFUNCTION("""COMPUTED_VALUE"""),"Meezan Bank")</f>
        <v>Meezan Bank</v>
      </c>
      <c r="T131" s="228" t="str">
        <f>IFERROR(__xludf.DUMMYFUNCTION("""COMPUTED_VALUE"""),"AQSA NAZIR KAYANI")</f>
        <v>AQSA NAZIR KAYANI</v>
      </c>
      <c r="U131" s="228" t="str">
        <f>IFERROR(__xludf.DUMMYFUNCTION("""COMPUTED_VALUE"""),"PK89MEZN0003350108672644")</f>
        <v>PK89MEZN0003350108672644</v>
      </c>
      <c r="V131" s="228" t="str">
        <f>IFERROR(__xludf.DUMMYFUNCTION("""COMPUTED_VALUE"""),"MEZNPKKA")</f>
        <v>MEZNPKKA</v>
      </c>
      <c r="W131" s="228"/>
      <c r="X131" s="228"/>
      <c r="Y131" s="730">
        <f>IFERROR(__xludf.DUMMYFUNCTION("""COMPUTED_VALUE"""),36549.0)</f>
        <v>36549</v>
      </c>
      <c r="Z131" s="228" t="str">
        <f>IFERROR(__xludf.DUMMYFUNCTION("""COMPUTED_VALUE"""),"25 Years")</f>
        <v>25 Years</v>
      </c>
      <c r="AA131" s="228" t="str">
        <f>IFERROR(__xludf.DUMMYFUNCTION("""COMPUTED_VALUE"""),"Kiyani House, near Allah wali masjid")</f>
        <v>Kiyani House, near Allah wali masjid</v>
      </c>
      <c r="AB131" s="228" t="str">
        <f>IFERROR(__xludf.DUMMYFUNCTION("""COMPUTED_VALUE"""),"Pakistani")</f>
        <v>Pakistani</v>
      </c>
      <c r="AC131" s="228" t="str">
        <f>IFERROR(__xludf.DUMMYFUNCTION("""COMPUTED_VALUE"""),"Single")</f>
        <v>Single</v>
      </c>
      <c r="AD131" s="228"/>
      <c r="AE131" s="228"/>
      <c r="AF131" s="228"/>
      <c r="AG131" s="228" t="str">
        <f>IFERROR(__xludf.DUMMYFUNCTION("""COMPUTED_VALUE"""),"Muhammad Nazir Kayani")</f>
        <v>Muhammad Nazir Kayani</v>
      </c>
      <c r="AH131" s="228" t="str">
        <f>IFERROR(__xludf.DUMMYFUNCTION("""COMPUTED_VALUE"""),"Parent")</f>
        <v>Parent</v>
      </c>
      <c r="AI131" s="228">
        <f>IFERROR(__xludf.DUMMYFUNCTION("""COMPUTED_VALUE"""),3.135464333E9)</f>
        <v>3135464333</v>
      </c>
      <c r="AJ131" s="228" t="str">
        <f>IFERROR(__xludf.DUMMYFUNCTION("""COMPUTED_VALUE"""),"AB+")</f>
        <v>AB+</v>
      </c>
      <c r="AK131" s="731" t="str">
        <f>IFERROR(__xludf.DUMMYFUNCTION("""COMPUTED_VALUE"""),"https://www.linkedin.com/in/aqsa-nazir-kiyani-9ba553217/")</f>
        <v>https://www.linkedin.com/in/aqsa-nazir-kiyani-9ba553217/</v>
      </c>
      <c r="AL131" s="228" t="str">
        <f>IFERROR(__xludf.DUMMYFUNCTION("""COMPUTED_VALUE"""),"Annum Inam")</f>
        <v>Annum Inam</v>
      </c>
      <c r="AM131" s="228"/>
      <c r="AN131" s="228"/>
      <c r="AO131" s="228"/>
      <c r="AP131" s="228" t="str">
        <f>IFERROR(__xludf.DUMMYFUNCTION("""COMPUTED_VALUE"""),"NO")</f>
        <v>NO</v>
      </c>
      <c r="AQ131" s="228" t="str">
        <f>IFERROR(__xludf.DUMMYFUNCTION("""COMPUTED_VALUE"""),"Active")</f>
        <v>Active</v>
      </c>
    </row>
    <row r="132">
      <c r="A132" s="228">
        <f>IFERROR(__xludf.DUMMYFUNCTION("""COMPUTED_VALUE"""),5452.0)</f>
        <v>5452</v>
      </c>
      <c r="B132" s="228" t="str">
        <f>IFERROR(__xludf.DUMMYFUNCTION("""COMPUTED_VALUE"""),"Syed Zain Ali Rizvi")</f>
        <v>Syed Zain Ali Rizvi</v>
      </c>
      <c r="C132" s="228" t="str">
        <f>IFERROR(__xludf.DUMMYFUNCTION("""COMPUTED_VALUE"""),"syedzzainaalirizv@gmail.com")</f>
        <v>syedzzainaalirizv@gmail.com</v>
      </c>
      <c r="D132" s="228" t="str">
        <f>IFERROR(__xludf.DUMMYFUNCTION("""COMPUTED_VALUE"""),"zain.rizvi@vyro.ai")</f>
        <v>zain.rizvi@vyro.ai</v>
      </c>
      <c r="E132" s="728">
        <f>IFERROR(__xludf.DUMMYFUNCTION("""COMPUTED_VALUE"""),45922.0)</f>
        <v>45922</v>
      </c>
      <c r="F132" s="228" t="str">
        <f>IFERROR(__xludf.DUMMYFUNCTION("""COMPUTED_VALUE"""),"Senior Visual Artist ")</f>
        <v>Senior Visual Artist </v>
      </c>
      <c r="G132" s="228" t="str">
        <f>IFERROR(__xludf.DUMMYFUNCTION("""COMPUTED_VALUE"""),"Social Media/ Youtube")</f>
        <v>Social Media/ Youtube</v>
      </c>
      <c r="H132" s="228" t="str">
        <f>IFERROR(__xludf.DUMMYFUNCTION("""COMPUTED_VALUE"""),"Zain Ul Abedien")</f>
        <v>Zain Ul Abedien</v>
      </c>
      <c r="I132" s="228" t="str">
        <f>IFERROR(__xludf.DUMMYFUNCTION("""COMPUTED_VALUE"""),"Full Time")</f>
        <v>Full Time</v>
      </c>
      <c r="J132" s="228" t="str">
        <f>IFERROR(__xludf.DUMMYFUNCTION("""COMPUTED_VALUE"""),"Active")</f>
        <v>Active</v>
      </c>
      <c r="K132" s="228"/>
      <c r="L132" s="729">
        <f>IFERROR(__xludf.DUMMYFUNCTION("""COMPUTED_VALUE"""),46013.0)</f>
        <v>46013</v>
      </c>
      <c r="M132" s="228"/>
      <c r="N132" s="228"/>
      <c r="O132" s="228"/>
      <c r="P132" s="228" t="str">
        <f>IFERROR(__xludf.DUMMYFUNCTION("""COMPUTED_VALUE"""),"3164541098")</f>
        <v>3164541098</v>
      </c>
      <c r="Q132" s="228" t="str">
        <f>IFERROR(__xludf.DUMMYFUNCTION("""COMPUTED_VALUE"""),"35202-5617047-5")</f>
        <v>35202-5617047-5</v>
      </c>
      <c r="R132" s="228" t="str">
        <f>IFERROR(__xludf.DUMMYFUNCTION("""COMPUTED_VALUE"""),"Male")</f>
        <v>Male</v>
      </c>
      <c r="S132" s="228" t="str">
        <f>IFERROR(__xludf.DUMMYFUNCTION("""COMPUTED_VALUE"""),"Meezan Bank")</f>
        <v>Meezan Bank</v>
      </c>
      <c r="T132" s="228" t="str">
        <f>IFERROR(__xludf.DUMMYFUNCTION("""COMPUTED_VALUE"""),"SYED ZAIN ALI RIZVI")</f>
        <v>SYED ZAIN ALI RIZVI</v>
      </c>
      <c r="U132" s="228" t="str">
        <f>IFERROR(__xludf.DUMMYFUNCTION("""COMPUTED_VALUE"""),"PK80MEZN0000300111612010")</f>
        <v>PK80MEZN0000300111612010</v>
      </c>
      <c r="V132" s="228" t="str">
        <f>IFERROR(__xludf.DUMMYFUNCTION("""COMPUTED_VALUE"""),"MEZNPKKA")</f>
        <v>MEZNPKKA</v>
      </c>
      <c r="W132" s="228"/>
      <c r="X132" s="228"/>
      <c r="Y132" s="730">
        <f>IFERROR(__xludf.DUMMYFUNCTION("""COMPUTED_VALUE"""),37056.0)</f>
        <v>37056</v>
      </c>
      <c r="Z132" s="228" t="str">
        <f>IFERROR(__xludf.DUMMYFUNCTION("""COMPUTED_VALUE"""),"24 Years")</f>
        <v>24 Years</v>
      </c>
      <c r="AA132" s="228" t="str">
        <f>IFERROR(__xludf.DUMMYFUNCTION("""COMPUTED_VALUE"""),"77-Miraj Park Ahad Street Hassan Town Multan Road Lahore.")</f>
        <v>77-Miraj Park Ahad Street Hassan Town Multan Road Lahore.</v>
      </c>
      <c r="AB132" s="228" t="str">
        <f>IFERROR(__xludf.DUMMYFUNCTION("""COMPUTED_VALUE"""),"Pakistani ")</f>
        <v>Pakistani </v>
      </c>
      <c r="AC132" s="228" t="str">
        <f>IFERROR(__xludf.DUMMYFUNCTION("""COMPUTED_VALUE"""),"Single")</f>
        <v>Single</v>
      </c>
      <c r="AD132" s="228"/>
      <c r="AE132" s="228"/>
      <c r="AF132" s="228"/>
      <c r="AG132" s="228" t="str">
        <f>IFERROR(__xludf.DUMMYFUNCTION("""COMPUTED_VALUE"""),"Syed Hassan Mujtaba Rizvi")</f>
        <v>Syed Hassan Mujtaba Rizvi</v>
      </c>
      <c r="AH132" s="228" t="str">
        <f>IFERROR(__xludf.DUMMYFUNCTION("""COMPUTED_VALUE"""),"Friend ")</f>
        <v>Friend </v>
      </c>
      <c r="AI132" s="228"/>
      <c r="AJ132" s="228" t="str">
        <f>IFERROR(__xludf.DUMMYFUNCTION("""COMPUTED_VALUE"""),"O-")</f>
        <v>O-</v>
      </c>
      <c r="AK132" s="731" t="str">
        <f>IFERROR(__xludf.DUMMYFUNCTION("""COMPUTED_VALUE"""),"https://www.linkedin.com/in/zain-ali-rizvi-072049247?utm_source=share&amp;utm_campaign=share_via&amp;utm_content=profile&amp;utm_medium=ios_app")</f>
        <v>https://www.linkedin.com/in/zain-ali-rizvi-072049247?utm_source=share&amp;utm_campaign=share_via&amp;utm_content=profile&amp;utm_medium=ios_app</v>
      </c>
      <c r="AL132" s="228" t="str">
        <f>IFERROR(__xludf.DUMMYFUNCTION("""COMPUTED_VALUE"""),"Annum Inam")</f>
        <v>Annum Inam</v>
      </c>
      <c r="AM132" s="228"/>
      <c r="AN132" s="228"/>
      <c r="AO132" s="228"/>
      <c r="AP132" s="228" t="str">
        <f>IFERROR(__xludf.DUMMYFUNCTION("""COMPUTED_VALUE"""),"NO")</f>
        <v>NO</v>
      </c>
      <c r="AQ132" s="228" t="str">
        <f>IFERROR(__xludf.DUMMYFUNCTION("""COMPUTED_VALUE"""),"Active")</f>
        <v>Active</v>
      </c>
    </row>
    <row r="133">
      <c r="A133" s="228">
        <f>IFERROR(__xludf.DUMMYFUNCTION("""COMPUTED_VALUE"""),5453.0)</f>
        <v>5453</v>
      </c>
      <c r="B133" s="228" t="str">
        <f>IFERROR(__xludf.DUMMYFUNCTION("""COMPUTED_VALUE"""),"Faisal Saeed")</f>
        <v>Faisal Saeed</v>
      </c>
      <c r="C133" s="228" t="str">
        <f>IFERROR(__xludf.DUMMYFUNCTION("""COMPUTED_VALUE"""),"faysalsaeed456@gmail.com")</f>
        <v>faysalsaeed456@gmail.com</v>
      </c>
      <c r="D133" s="228" t="str">
        <f>IFERROR(__xludf.DUMMYFUNCTION("""COMPUTED_VALUE"""),"faisal.saeed@vyro.ai")</f>
        <v>faisal.saeed@vyro.ai</v>
      </c>
      <c r="E133" s="728">
        <f>IFERROR(__xludf.DUMMYFUNCTION("""COMPUTED_VALUE"""),45929.0)</f>
        <v>45929</v>
      </c>
      <c r="F133" s="228" t="str">
        <f>IFERROR(__xludf.DUMMYFUNCTION("""COMPUTED_VALUE"""),"SEO Content Strategist")</f>
        <v>SEO Content Strategist</v>
      </c>
      <c r="G133" s="228" t="str">
        <f>IFERROR(__xludf.DUMMYFUNCTION("""COMPUTED_VALUE"""),"SEO")</f>
        <v>SEO</v>
      </c>
      <c r="H133" s="228" t="str">
        <f>IFERROR(__xludf.DUMMYFUNCTION("""COMPUTED_VALUE"""),"Syed Osama")</f>
        <v>Syed Osama</v>
      </c>
      <c r="I133" s="228" t="str">
        <f>IFERROR(__xludf.DUMMYFUNCTION("""COMPUTED_VALUE"""),"Full Time")</f>
        <v>Full Time</v>
      </c>
      <c r="J133" s="228" t="str">
        <f>IFERROR(__xludf.DUMMYFUNCTION("""COMPUTED_VALUE"""),"Active")</f>
        <v>Active</v>
      </c>
      <c r="K133" s="228"/>
      <c r="L133" s="729">
        <f>IFERROR(__xludf.DUMMYFUNCTION("""COMPUTED_VALUE"""),46020.0)</f>
        <v>46020</v>
      </c>
      <c r="M133" s="228"/>
      <c r="N133" s="228"/>
      <c r="O133" s="228"/>
      <c r="P133" s="228" t="str">
        <f>IFERROR(__xludf.DUMMYFUNCTION("""COMPUTED_VALUE"""),"3007308969")</f>
        <v>3007308969</v>
      </c>
      <c r="Q133" s="228" t="str">
        <f>IFERROR(__xludf.DUMMYFUNCTION("""COMPUTED_VALUE"""),"32203-0990478-3")</f>
        <v>32203-0990478-3</v>
      </c>
      <c r="R133" s="228" t="str">
        <f>IFERROR(__xludf.DUMMYFUNCTION("""COMPUTED_VALUE"""),"Male")</f>
        <v>Male</v>
      </c>
      <c r="S133" s="228" t="str">
        <f>IFERROR(__xludf.DUMMYFUNCTION("""COMPUTED_VALUE"""),"United Bank Limited")</f>
        <v>United Bank Limited</v>
      </c>
      <c r="T133" s="228" t="str">
        <f>IFERROR(__xludf.DUMMYFUNCTION("""COMPUTED_VALUE"""),"Faisal Saeed")</f>
        <v>Faisal Saeed</v>
      </c>
      <c r="U133" s="228" t="str">
        <f>IFERROR(__xludf.DUMMYFUNCTION("""COMPUTED_VALUE"""),"PK25UNIL0109000308993936")</f>
        <v>PK25UNIL0109000308993936</v>
      </c>
      <c r="V133" s="228" t="str">
        <f>IFERROR(__xludf.DUMMYFUNCTION("""COMPUTED_VALUE"""),"UNIL")</f>
        <v>UNIL</v>
      </c>
      <c r="W133" s="228"/>
      <c r="X133" s="228"/>
      <c r="Y133" s="730">
        <f>IFERROR(__xludf.DUMMYFUNCTION("""COMPUTED_VALUE"""),36465.0)</f>
        <v>36465</v>
      </c>
      <c r="Z133" s="228" t="str">
        <f>IFERROR(__xludf.DUMMYFUNCTION("""COMPUTED_VALUE"""),"26 Years")</f>
        <v>26 Years</v>
      </c>
      <c r="AA133" s="228" t="str">
        <f>IFERROR(__xludf.DUMMYFUNCTION("""COMPUTED_VALUE"""),"Ward No. 3 ,uslim Town Chowk Azam Tehsil and District Layyah")</f>
        <v>Ward No. 3 ,uslim Town Chowk Azam Tehsil and District Layyah</v>
      </c>
      <c r="AB133" s="228" t="str">
        <f>IFERROR(__xludf.DUMMYFUNCTION("""COMPUTED_VALUE"""),"Pakistani")</f>
        <v>Pakistani</v>
      </c>
      <c r="AC133" s="228" t="str">
        <f>IFERROR(__xludf.DUMMYFUNCTION("""COMPUTED_VALUE"""),"Single")</f>
        <v>Single</v>
      </c>
      <c r="AD133" s="228"/>
      <c r="AE133" s="228"/>
      <c r="AF133" s="228"/>
      <c r="AG133" s="228" t="str">
        <f>IFERROR(__xludf.DUMMYFUNCTION("""COMPUTED_VALUE"""),"Khawar Saeed")</f>
        <v>Khawar Saeed</v>
      </c>
      <c r="AH133" s="228" t="str">
        <f>IFERROR(__xludf.DUMMYFUNCTION("""COMPUTED_VALUE"""),"Father")</f>
        <v>Father</v>
      </c>
      <c r="AI133" s="228">
        <f>IFERROR(__xludf.DUMMYFUNCTION("""COMPUTED_VALUE"""),3.047074272E9)</f>
        <v>3047074272</v>
      </c>
      <c r="AJ133" s="228" t="str">
        <f>IFERROR(__xludf.DUMMYFUNCTION("""COMPUTED_VALUE"""),"O+")</f>
        <v>O+</v>
      </c>
      <c r="AK133" s="228"/>
      <c r="AL133" s="228" t="str">
        <f>IFERROR(__xludf.DUMMYFUNCTION("""COMPUTED_VALUE"""),"Annum Inam")</f>
        <v>Annum Inam</v>
      </c>
      <c r="AM133" s="228"/>
      <c r="AN133" s="228"/>
      <c r="AO133" s="228"/>
      <c r="AP133" s="228" t="str">
        <f>IFERROR(__xludf.DUMMYFUNCTION("""COMPUTED_VALUE"""),"NO")</f>
        <v>NO</v>
      </c>
      <c r="AQ133" s="228" t="str">
        <f>IFERROR(__xludf.DUMMYFUNCTION("""COMPUTED_VALUE"""),"Active")</f>
        <v>Active</v>
      </c>
    </row>
    <row r="134">
      <c r="A134" s="228">
        <f>IFERROR(__xludf.DUMMYFUNCTION("""COMPUTED_VALUE"""),5454.0)</f>
        <v>5454</v>
      </c>
      <c r="B134" s="228" t="str">
        <f>IFERROR(__xludf.DUMMYFUNCTION("""COMPUTED_VALUE"""),"Syed Muhammad Kamran")</f>
        <v>Syed Muhammad Kamran</v>
      </c>
      <c r="C134" s="228" t="str">
        <f>IFERROR(__xludf.DUMMYFUNCTION("""COMPUTED_VALUE"""),"notkamranarshad@gmail.com")</f>
        <v>notkamranarshad@gmail.com</v>
      </c>
      <c r="D134" s="228" t="str">
        <f>IFERROR(__xludf.DUMMYFUNCTION("""COMPUTED_VALUE"""),"syed.kamran@vyro.ai")</f>
        <v>syed.kamran@vyro.ai</v>
      </c>
      <c r="E134" s="728">
        <f>IFERROR(__xludf.DUMMYFUNCTION("""COMPUTED_VALUE"""),45936.0)</f>
        <v>45936</v>
      </c>
      <c r="F134" s="228" t="str">
        <f>IFERROR(__xludf.DUMMYFUNCTION("""COMPUTED_VALUE"""),"SEO Content Strategist ")</f>
        <v>SEO Content Strategist </v>
      </c>
      <c r="G134" s="228" t="str">
        <f>IFERROR(__xludf.DUMMYFUNCTION("""COMPUTED_VALUE"""),"Marketing")</f>
        <v>Marketing</v>
      </c>
      <c r="H134" s="228" t="str">
        <f>IFERROR(__xludf.DUMMYFUNCTION("""COMPUTED_VALUE"""),"Syed Osama")</f>
        <v>Syed Osama</v>
      </c>
      <c r="I134" s="228" t="str">
        <f>IFERROR(__xludf.DUMMYFUNCTION("""COMPUTED_VALUE"""),"Full Time")</f>
        <v>Full Time</v>
      </c>
      <c r="J134" s="228" t="str">
        <f>IFERROR(__xludf.DUMMYFUNCTION("""COMPUTED_VALUE"""),"Active")</f>
        <v>Active</v>
      </c>
      <c r="K134" s="228"/>
      <c r="L134" s="729">
        <f>IFERROR(__xludf.DUMMYFUNCTION("""COMPUTED_VALUE"""),46028.0)</f>
        <v>46028</v>
      </c>
      <c r="M134" s="228"/>
      <c r="N134" s="228"/>
      <c r="O134" s="228"/>
      <c r="P134" s="228" t="str">
        <f>IFERROR(__xludf.DUMMYFUNCTION("""COMPUTED_VALUE"""),"3162676890")</f>
        <v>3162676890</v>
      </c>
      <c r="Q134" s="228" t="str">
        <f>IFERROR(__xludf.DUMMYFUNCTION("""COMPUTED_VALUE"""),"42101-9697141-7")</f>
        <v>42101-9697141-7</v>
      </c>
      <c r="R134" s="228" t="str">
        <f>IFERROR(__xludf.DUMMYFUNCTION("""COMPUTED_VALUE"""),"Male")</f>
        <v>Male</v>
      </c>
      <c r="S134" s="228" t="str">
        <f>IFERROR(__xludf.DUMMYFUNCTION("""COMPUTED_VALUE"""),"Standard Chartered ")</f>
        <v>Standard Chartered </v>
      </c>
      <c r="T134" s="228" t="str">
        <f>IFERROR(__xludf.DUMMYFUNCTION("""COMPUTED_VALUE"""),"Syed Muhammad Kamran ")</f>
        <v>Syed Muhammad Kamran </v>
      </c>
      <c r="U134" s="228" t="str">
        <f>IFERROR(__xludf.DUMMYFUNCTION("""COMPUTED_VALUE"""),"PK16SCBL0000001033158501")</f>
        <v>PK16SCBL0000001033158501</v>
      </c>
      <c r="V134" s="228" t="str">
        <f>IFERROR(__xludf.DUMMYFUNCTION("""COMPUTED_VALUE"""),"SCBLPKKXEQI")</f>
        <v>SCBLPKKXEQI</v>
      </c>
      <c r="W134" s="228"/>
      <c r="X134" s="228"/>
      <c r="Y134" s="730">
        <f>IFERROR(__xludf.DUMMYFUNCTION("""COMPUTED_VALUE"""),35952.0)</f>
        <v>35952</v>
      </c>
      <c r="Z134" s="228" t="str">
        <f>IFERROR(__xludf.DUMMYFUNCTION("""COMPUTED_VALUE"""),"27 Years")</f>
        <v>27 Years</v>
      </c>
      <c r="AA134" s="228" t="str">
        <f>IFERROR(__xludf.DUMMYFUNCTION("""COMPUTED_VALUE"""),"North Nazimabad block H, A50")</f>
        <v>North Nazimabad block H, A50</v>
      </c>
      <c r="AB134" s="228" t="str">
        <f>IFERROR(__xludf.DUMMYFUNCTION("""COMPUTED_VALUE"""),"Pakistani")</f>
        <v>Pakistani</v>
      </c>
      <c r="AC134" s="228" t="str">
        <f>IFERROR(__xludf.DUMMYFUNCTION("""COMPUTED_VALUE"""),"Single")</f>
        <v>Single</v>
      </c>
      <c r="AD134" s="228"/>
      <c r="AE134" s="228"/>
      <c r="AF134" s="228"/>
      <c r="AG134" s="228" t="str">
        <f>IFERROR(__xludf.DUMMYFUNCTION("""COMPUTED_VALUE"""),"Arshad Hussain ")</f>
        <v>Arshad Hussain </v>
      </c>
      <c r="AH134" s="228" t="str">
        <f>IFERROR(__xludf.DUMMYFUNCTION("""COMPUTED_VALUE"""),"Brother ")</f>
        <v>Brother </v>
      </c>
      <c r="AI134" s="228">
        <f>IFERROR(__xludf.DUMMYFUNCTION("""COMPUTED_VALUE"""),3.152627169E9)</f>
        <v>3152627169</v>
      </c>
      <c r="AJ134" s="228" t="str">
        <f>IFERROR(__xludf.DUMMYFUNCTION("""COMPUTED_VALUE"""),"B+")</f>
        <v>B+</v>
      </c>
      <c r="AK134" s="731" t="str">
        <f>IFERROR(__xludf.DUMMYFUNCTION("""COMPUTED_VALUE"""),"https://www.linkedin.com/in/kamran-arshad ")</f>
        <v>https://www.linkedin.com/in/kamran-arshad </v>
      </c>
      <c r="AL134" s="228" t="str">
        <f>IFERROR(__xludf.DUMMYFUNCTION("""COMPUTED_VALUE"""),"Mustafa Shakil")</f>
        <v>Mustafa Shakil</v>
      </c>
      <c r="AM134" s="228"/>
      <c r="AN134" s="228"/>
      <c r="AO134" s="228"/>
      <c r="AP134" s="228" t="str">
        <f>IFERROR(__xludf.DUMMYFUNCTION("""COMPUTED_VALUE"""),"NO")</f>
        <v>NO</v>
      </c>
      <c r="AQ134" s="228" t="str">
        <f>IFERROR(__xludf.DUMMYFUNCTION("""COMPUTED_VALUE"""),"Active")</f>
        <v>Active</v>
      </c>
    </row>
    <row r="135">
      <c r="A135" s="228">
        <f>IFERROR(__xludf.DUMMYFUNCTION("""COMPUTED_VALUE"""),5462.0)</f>
        <v>5462</v>
      </c>
      <c r="B135" s="228" t="str">
        <f>IFERROR(__xludf.DUMMYFUNCTION("""COMPUTED_VALUE"""),"Abdullah Rasheed")</f>
        <v>Abdullah Rasheed</v>
      </c>
      <c r="C135" s="228" t="str">
        <f>IFERROR(__xludf.DUMMYFUNCTION("""COMPUTED_VALUE"""),"abdullahrasheed12@gmail.com")</f>
        <v>abdullahrasheed12@gmail.com</v>
      </c>
      <c r="D135" s="228" t="str">
        <f>IFERROR(__xludf.DUMMYFUNCTION("""COMPUTED_VALUE"""),"abdullah.rasheed@vyro.ai")</f>
        <v>abdullah.rasheed@vyro.ai</v>
      </c>
      <c r="E135" s="728">
        <f>IFERROR(__xludf.DUMMYFUNCTION("""COMPUTED_VALUE"""),45937.0)</f>
        <v>45937</v>
      </c>
      <c r="F135" s="228" t="str">
        <f>IFERROR(__xludf.DUMMYFUNCTION("""COMPUTED_VALUE"""),"Growth Consultant")</f>
        <v>Growth Consultant</v>
      </c>
      <c r="G135" s="228" t="str">
        <f>IFERROR(__xludf.DUMMYFUNCTION("""COMPUTED_VALUE"""),"Marketing")</f>
        <v>Marketing</v>
      </c>
      <c r="H135" s="228" t="str">
        <f>IFERROR(__xludf.DUMMYFUNCTION("""COMPUTED_VALUE"""),"Zain ul abiden")</f>
        <v>Zain ul abiden</v>
      </c>
      <c r="I135" s="228" t="str">
        <f>IFERROR(__xludf.DUMMYFUNCTION("""COMPUTED_VALUE"""),"Consultant")</f>
        <v>Consultant</v>
      </c>
      <c r="J135" s="228"/>
      <c r="K135" s="228"/>
      <c r="L135" s="228"/>
      <c r="M135" s="228"/>
      <c r="N135" s="228"/>
      <c r="O135" s="228"/>
      <c r="P135" s="228" t="str">
        <f>IFERROR(__xludf.DUMMYFUNCTION("""COMPUTED_VALUE"""),"3436697001")</f>
        <v>3436697001</v>
      </c>
      <c r="Q135" s="228" t="str">
        <f>IFERROR(__xludf.DUMMYFUNCTION("""COMPUTED_VALUE"""),"37401-7271621-7")</f>
        <v>37401-7271621-7</v>
      </c>
      <c r="R135" s="228" t="str">
        <f>IFERROR(__xludf.DUMMYFUNCTION("""COMPUTED_VALUE"""),"Male")</f>
        <v>Male</v>
      </c>
      <c r="S135" s="228" t="str">
        <f>IFERROR(__xludf.DUMMYFUNCTION("""COMPUTED_VALUE"""),"First Century Bank ")</f>
        <v>First Century Bank </v>
      </c>
      <c r="T135" s="228" t="str">
        <f>IFERROR(__xludf.DUMMYFUNCTION("""COMPUTED_VALUE"""),"Abdullah Rashid")</f>
        <v>Abdullah Rashid</v>
      </c>
      <c r="U135" s="228" t="str">
        <f>IFERROR(__xludf.DUMMYFUNCTION("""COMPUTED_VALUE"""),"Abdullah Rashid
Bank name:
First Century Bank
Bank address:
1731 N Elm St  Commerce, GA 30529 USA
SWIFT code:
FCNSUS32
Routing (ACH) (ABA):
061120084
Account number:
4021302998261
Account type:
CHECKING
Beneficiary name:
Abdullah Rashid")</f>
        <v>Abdullah Rashid
Bank name:
First Century Bank
Bank address:
1731 N Elm St  Commerce, GA 30529 USA
SWIFT code:
FCNSUS32
Routing (ACH) (ABA):
061120084
Account number:
4021302998261
Account type:
CHECKING
Beneficiary name:
Abdullah Rashid</v>
      </c>
      <c r="V135" s="228" t="str">
        <f>IFERROR(__xludf.DUMMYFUNCTION("""COMPUTED_VALUE"""),"FCNSUS32")</f>
        <v>FCNSUS32</v>
      </c>
      <c r="W135" s="228"/>
      <c r="X135" s="228"/>
      <c r="Y135" s="730">
        <f>IFERROR(__xludf.DUMMYFUNCTION("""COMPUTED_VALUE"""),36860.0)</f>
        <v>36860</v>
      </c>
      <c r="Z135" s="228" t="str">
        <f>IFERROR(__xludf.DUMMYFUNCTION("""COMPUTED_VALUE"""),"24 Years")</f>
        <v>24 Years</v>
      </c>
      <c r="AA135" s="228" t="str">
        <f>IFERROR(__xludf.DUMMYFUNCTION("""COMPUTED_VALUE"""),"Apartment 11-C, Block 4, Askari Heights 4, Dha phase 5, Islamabad")</f>
        <v>Apartment 11-C, Block 4, Askari Heights 4, Dha phase 5, Islamabad</v>
      </c>
      <c r="AB135" s="228" t="str">
        <f>IFERROR(__xludf.DUMMYFUNCTION("""COMPUTED_VALUE"""),"Pakistan")</f>
        <v>Pakistan</v>
      </c>
      <c r="AC135" s="228" t="str">
        <f>IFERROR(__xludf.DUMMYFUNCTION("""COMPUTED_VALUE"""),"Single")</f>
        <v>Single</v>
      </c>
      <c r="AD135" s="228"/>
      <c r="AE135" s="228"/>
      <c r="AF135" s="228"/>
      <c r="AG135" s="228" t="str">
        <f>IFERROR(__xludf.DUMMYFUNCTION("""COMPUTED_VALUE"""),"Abdula Rashid")</f>
        <v>Abdula Rashid</v>
      </c>
      <c r="AH135" s="228" t="str">
        <f>IFERROR(__xludf.DUMMYFUNCTION("""COMPUTED_VALUE"""),"Father")</f>
        <v>Father</v>
      </c>
      <c r="AI135" s="228">
        <f>IFERROR(__xludf.DUMMYFUNCTION("""COMPUTED_VALUE"""),3.219090722E9)</f>
        <v>3219090722</v>
      </c>
      <c r="AJ135" s="228" t="str">
        <f>IFERROR(__xludf.DUMMYFUNCTION("""COMPUTED_VALUE"""),"O+")</f>
        <v>O+</v>
      </c>
      <c r="AK135" s="731" t="str">
        <f>IFERROR(__xludf.DUMMYFUNCTION("""COMPUTED_VALUE"""),"https://www.linkedin.com/in/abdullah-rashid-a1b894189/")</f>
        <v>https://www.linkedin.com/in/abdullah-rashid-a1b894189/</v>
      </c>
      <c r="AL135" s="228" t="str">
        <f>IFERROR(__xludf.DUMMYFUNCTION("""COMPUTED_VALUE"""),"Mustafa Shakil")</f>
        <v>Mustafa Shakil</v>
      </c>
      <c r="AM135" s="228"/>
      <c r="AN135" s="228"/>
      <c r="AO135" s="228"/>
      <c r="AP135" s="228" t="str">
        <f>IFERROR(__xludf.DUMMYFUNCTION("""COMPUTED_VALUE"""),"NO")</f>
        <v>NO</v>
      </c>
      <c r="AQ135" s="228" t="str">
        <f>IFERROR(__xludf.DUMMYFUNCTION("""COMPUTED_VALUE"""),"Active")</f>
        <v>Active</v>
      </c>
    </row>
    <row r="136">
      <c r="A136" s="228">
        <f>IFERROR(__xludf.DUMMYFUNCTION("""COMPUTED_VALUE"""),5455.0)</f>
        <v>5455</v>
      </c>
      <c r="B136" s="228" t="str">
        <f>IFERROR(__xludf.DUMMYFUNCTION("""COMPUTED_VALUE"""),"HAN BRENDAN")</f>
        <v>HAN BRENDAN</v>
      </c>
      <c r="C136" s="228" t="str">
        <f>IFERROR(__xludf.DUMMYFUNCTION("""COMPUTED_VALUE"""),"hanbrendan10@gmail.com")</f>
        <v>hanbrendan10@gmail.com</v>
      </c>
      <c r="D136" s="228" t="str">
        <f>IFERROR(__xludf.DUMMYFUNCTION("""COMPUTED_VALUE"""),"han.brendan@vyro.ai")</f>
        <v>han.brendan@vyro.ai</v>
      </c>
      <c r="E136" s="728">
        <f>IFERROR(__xludf.DUMMYFUNCTION("""COMPUTED_VALUE"""),45943.0)</f>
        <v>45943</v>
      </c>
      <c r="F136" s="228" t="str">
        <f>IFERROR(__xludf.DUMMYFUNCTION("""COMPUTED_VALUE""")," Machine Learning Engineer")</f>
        <v> Machine Learning Engineer</v>
      </c>
      <c r="G136" s="228" t="str">
        <f>IFERROR(__xludf.DUMMYFUNCTION("""COMPUTED_VALUE"""),"Machine Learning")</f>
        <v>Machine Learning</v>
      </c>
      <c r="H136" s="228" t="str">
        <f>IFERROR(__xludf.DUMMYFUNCTION("""COMPUTED_VALUE"""),"Abdullah Rafique - CTO")</f>
        <v>Abdullah Rafique - CTO</v>
      </c>
      <c r="I136" s="228" t="str">
        <f>IFERROR(__xludf.DUMMYFUNCTION("""COMPUTED_VALUE"""),"Part Time")</f>
        <v>Part Time</v>
      </c>
      <c r="J136" s="228" t="str">
        <f>IFERROR(__xludf.DUMMYFUNCTION("""COMPUTED_VALUE"""),"Active")</f>
        <v>Active</v>
      </c>
      <c r="K136" s="228"/>
      <c r="L136" s="729">
        <f>IFERROR(__xludf.DUMMYFUNCTION("""COMPUTED_VALUE"""),46035.0)</f>
        <v>46035</v>
      </c>
      <c r="M136" s="228"/>
      <c r="N136" s="228"/>
      <c r="O136" s="228"/>
      <c r="P136" s="228" t="str">
        <f>IFERROR(__xludf.DUMMYFUNCTION("""COMPUTED_VALUE"""),"86 18810002717")</f>
        <v>86 18810002717</v>
      </c>
      <c r="Q136" s="228" t="str">
        <f>IFERROR(__xludf.DUMMYFUNCTION("""COMPUTED_VALUE""")," ")</f>
        <v> </v>
      </c>
      <c r="R136" s="228" t="str">
        <f>IFERROR(__xludf.DUMMYFUNCTION("""COMPUTED_VALUE"""),"Male")</f>
        <v>Male</v>
      </c>
      <c r="S136" s="228" t="str">
        <f>IFERROR(__xludf.DUMMYFUNCTION("""COMPUTED_VALUE""")," ")</f>
        <v> </v>
      </c>
      <c r="T136" s="228" t="str">
        <f>IFERROR(__xludf.DUMMYFUNCTION("""COMPUTED_VALUE""")," ")</f>
        <v> </v>
      </c>
      <c r="U136" s="228" t="str">
        <f>IFERROR(__xludf.DUMMYFUNCTION("""COMPUTED_VALUE"""),"""account name: BRENDAN HAN
bank number: 6216697000007389038
bank name: BANK OF CHINA GUANGZHOU SHUANGCHENG INTERNATIONAL MANSION SUB-BRANCH
SWIFT:BKCHCNBJ400
The Bank address: 1/F NO.25-27 HUACHENG AVENUE TIANHE GUANGZHOU CHINA
Post Code:510623
Phone: +"&amp;"86 18810002717
CNAPS code:104581006283
3:37
My Address: U1A , ZHUJIANGDIJING, YIYUAN ROAD,HAIZHU ,GUANGZHOU,CHINA
Post Code: 510370
""")</f>
        <v>"account name: BRENDAN HAN
bank number: 6216697000007389038
bank name: BANK OF CHINA GUANGZHOU SHUANGCHENG INTERNATIONAL MANSION SUB-BRANCH
SWIFT:BKCHCNBJ400
The Bank address: 1/F NO.25-27 HUACHENG AVENUE TIANHE GUANGZHOU CHINA
Post Code:510623
Phone: +86 18810002717
CNAPS code:104581006283
3:37
My Address: U1A , ZHUJIANGDIJING, YIYUAN ROAD,HAIZHU ,GUANGZHOU,CHINA
Post Code: 510370
"</v>
      </c>
      <c r="V136" s="228" t="str">
        <f>IFERROR(__xludf.DUMMYFUNCTION("""COMPUTED_VALUE""")," ")</f>
        <v> </v>
      </c>
      <c r="W136" s="228"/>
      <c r="X136" s="228"/>
      <c r="Y136" s="730">
        <f>IFERROR(__xludf.DUMMYFUNCTION("""COMPUTED_VALUE"""),33899.0)</f>
        <v>33899</v>
      </c>
      <c r="Z136" s="228" t="str">
        <f>IFERROR(__xludf.DUMMYFUNCTION("""COMPUTED_VALUE"""),"33 Years")</f>
        <v>33 Years</v>
      </c>
      <c r="AA136" s="228" t="str">
        <f>IFERROR(__xludf.DUMMYFUNCTION("""COMPUTED_VALUE"""),"U1A 136 Tianhe GuangZhou,GuangDong,China")</f>
        <v>U1A 136 Tianhe GuangZhou,GuangDong,China</v>
      </c>
      <c r="AB136" s="228" t="str">
        <f>IFERROR(__xludf.DUMMYFUNCTION("""COMPUTED_VALUE"""),"AUSTRALIAN")</f>
        <v>AUSTRALIAN</v>
      </c>
      <c r="AC136" s="228" t="str">
        <f>IFERROR(__xludf.DUMMYFUNCTION("""COMPUTED_VALUE"""),"Single")</f>
        <v>Single</v>
      </c>
      <c r="AD136" s="228"/>
      <c r="AE136" s="228"/>
      <c r="AF136" s="228"/>
      <c r="AG136" s="228" t="str">
        <f>IFERROR(__xludf.DUMMYFUNCTION("""COMPUTED_VALUE"""),"HAN CALVIN")</f>
        <v>HAN CALVIN</v>
      </c>
      <c r="AH136" s="228" t="str">
        <f>IFERROR(__xludf.DUMMYFUNCTION("""COMPUTED_VALUE"""),"FATHER")</f>
        <v>FATHER</v>
      </c>
      <c r="AI136" s="228"/>
      <c r="AJ136" s="228" t="str">
        <f>IFERROR(__xludf.DUMMYFUNCTION("""COMPUTED_VALUE"""),"A+")</f>
        <v>A+</v>
      </c>
      <c r="AK136" s="228"/>
      <c r="AL136" s="228" t="str">
        <f>IFERROR(__xludf.DUMMYFUNCTION("""COMPUTED_VALUE"""),"Mustafa Shakil")</f>
        <v>Mustafa Shakil</v>
      </c>
      <c r="AM136" s="228"/>
      <c r="AN136" s="228"/>
      <c r="AO136" s="228"/>
      <c r="AP136" s="228" t="str">
        <f>IFERROR(__xludf.DUMMYFUNCTION("""COMPUTED_VALUE"""),"NO")</f>
        <v>NO</v>
      </c>
      <c r="AQ136" s="228" t="str">
        <f>IFERROR(__xludf.DUMMYFUNCTION("""COMPUTED_VALUE"""),"Active")</f>
        <v>Active</v>
      </c>
    </row>
    <row r="137">
      <c r="A137" s="228">
        <f>IFERROR(__xludf.DUMMYFUNCTION("""COMPUTED_VALUE"""),5456.0)</f>
        <v>5456</v>
      </c>
      <c r="B137" s="228" t="str">
        <f>IFERROR(__xludf.DUMMYFUNCTION("""COMPUTED_VALUE"""),"Muhammad Usman Raza")</f>
        <v>Muhammad Usman Raza</v>
      </c>
      <c r="C137" s="228" t="str">
        <f>IFERROR(__xludf.DUMMYFUNCTION("""COMPUTED_VALUE"""),"usmansurda9@gmail.com")</f>
        <v>usmansurda9@gmail.com</v>
      </c>
      <c r="D137" s="228" t="str">
        <f>IFERROR(__xludf.DUMMYFUNCTION("""COMPUTED_VALUE"""),"usman.surda@vyro.ai")</f>
        <v>usman.surda@vyro.ai</v>
      </c>
      <c r="E137" s="728">
        <f>IFERROR(__xludf.DUMMYFUNCTION("""COMPUTED_VALUE"""),45943.0)</f>
        <v>45943</v>
      </c>
      <c r="F137" s="228" t="str">
        <f>IFERROR(__xludf.DUMMYFUNCTION("""COMPUTED_VALUE"""),"AI Content Creator")</f>
        <v>AI Content Creator</v>
      </c>
      <c r="G137" s="228" t="str">
        <f>IFERROR(__xludf.DUMMYFUNCTION("""COMPUTED_VALUE"""),"Social Media/ Youtube")</f>
        <v>Social Media/ Youtube</v>
      </c>
      <c r="H137" s="228" t="str">
        <f>IFERROR(__xludf.DUMMYFUNCTION("""COMPUTED_VALUE"""),"Abdullah Rafique")</f>
        <v>Abdullah Rafique</v>
      </c>
      <c r="I137" s="228" t="str">
        <f>IFERROR(__xludf.DUMMYFUNCTION("""COMPUTED_VALUE"""),"Full Time")</f>
        <v>Full Time</v>
      </c>
      <c r="J137" s="228" t="str">
        <f>IFERROR(__xludf.DUMMYFUNCTION("""COMPUTED_VALUE"""),"Active")</f>
        <v>Active</v>
      </c>
      <c r="K137" s="228"/>
      <c r="L137" s="729">
        <f>IFERROR(__xludf.DUMMYFUNCTION("""COMPUTED_VALUE"""),46035.0)</f>
        <v>46035</v>
      </c>
      <c r="M137" s="228"/>
      <c r="N137" s="228"/>
      <c r="O137" s="228"/>
      <c r="P137" s="228" t="str">
        <f>IFERROR(__xludf.DUMMYFUNCTION("""COMPUTED_VALUE"""),"3122417971")</f>
        <v>3122417971</v>
      </c>
      <c r="Q137" s="228" t="str">
        <f>IFERROR(__xludf.DUMMYFUNCTION("""COMPUTED_VALUE"""),"42201-1174754-1")</f>
        <v>42201-1174754-1</v>
      </c>
      <c r="R137" s="228" t="str">
        <f>IFERROR(__xludf.DUMMYFUNCTION("""COMPUTED_VALUE"""),"Male")</f>
        <v>Male</v>
      </c>
      <c r="S137" s="228" t="str">
        <f>IFERROR(__xludf.DUMMYFUNCTION("""COMPUTED_VALUE"""),"Meezan Bank")</f>
        <v>Meezan Bank</v>
      </c>
      <c r="T137" s="228" t="str">
        <f>IFERROR(__xludf.DUMMYFUNCTION("""COMPUTED_VALUE"""),"Muhammad Usman Raza")</f>
        <v>Muhammad Usman Raza</v>
      </c>
      <c r="U137" s="228" t="str">
        <f>IFERROR(__xludf.DUMMYFUNCTION("""COMPUTED_VALUE"""),"PK34MEZN0001860108525153")</f>
        <v>PK34MEZN0001860108525153</v>
      </c>
      <c r="V137" s="228" t="str">
        <f>IFERROR(__xludf.DUMMYFUNCTION("""COMPUTED_VALUE"""),"MEZNPKKA")</f>
        <v>MEZNPKKA</v>
      </c>
      <c r="W137" s="228"/>
      <c r="X137" s="228"/>
      <c r="Y137" s="730">
        <f>IFERROR(__xludf.DUMMYFUNCTION("""COMPUTED_VALUE"""),37762.0)</f>
        <v>37762</v>
      </c>
      <c r="Z137" s="228" t="str">
        <f>IFERROR(__xludf.DUMMYFUNCTION("""COMPUTED_VALUE"""),"22 Years")</f>
        <v>22 Years</v>
      </c>
      <c r="AA137" s="228" t="str">
        <f>IFERROR(__xludf.DUMMYFUNCTION("""COMPUTED_VALUE"""),"A-519, Gulshan-e-Iqbal Block 19, Karachi, Pakistan")</f>
        <v>A-519, Gulshan-e-Iqbal Block 19, Karachi, Pakistan</v>
      </c>
      <c r="AB137" s="228" t="str">
        <f>IFERROR(__xludf.DUMMYFUNCTION("""COMPUTED_VALUE"""),"Pakistan")</f>
        <v>Pakistan</v>
      </c>
      <c r="AC137" s="228" t="str">
        <f>IFERROR(__xludf.DUMMYFUNCTION("""COMPUTED_VALUE"""),"Single")</f>
        <v>Single</v>
      </c>
      <c r="AD137" s="228"/>
      <c r="AE137" s="228"/>
      <c r="AF137" s="228"/>
      <c r="AG137" s="228" t="str">
        <f>IFERROR(__xludf.DUMMYFUNCTION("""COMPUTED_VALUE"""),"Muhammad Imran")</f>
        <v>Muhammad Imran</v>
      </c>
      <c r="AH137" s="228" t="str">
        <f>IFERROR(__xludf.DUMMYFUNCTION("""COMPUTED_VALUE"""),"Mother")</f>
        <v>Mother</v>
      </c>
      <c r="AI137" s="228">
        <f>IFERROR(__xludf.DUMMYFUNCTION("""COMPUTED_VALUE"""),3.342046106E9)</f>
        <v>3342046106</v>
      </c>
      <c r="AJ137" s="228" t="str">
        <f>IFERROR(__xludf.DUMMYFUNCTION("""COMPUTED_VALUE"""),"B+")</f>
        <v>B+</v>
      </c>
      <c r="AK137" s="731" t="str">
        <f>IFERROR(__xludf.DUMMYFUNCTION("""COMPUTED_VALUE"""),"Linkedin.com/in/usmansurda")</f>
        <v>Linkedin.com/in/usmansurda</v>
      </c>
      <c r="AL137" s="228" t="str">
        <f>IFERROR(__xludf.DUMMYFUNCTION("""COMPUTED_VALUE"""),"Mustafa Shakil")</f>
        <v>Mustafa Shakil</v>
      </c>
      <c r="AM137" s="228"/>
      <c r="AN137" s="228"/>
      <c r="AO137" s="228"/>
      <c r="AP137" s="228" t="str">
        <f>IFERROR(__xludf.DUMMYFUNCTION("""COMPUTED_VALUE"""),"NO")</f>
        <v>NO</v>
      </c>
      <c r="AQ137" s="228" t="str">
        <f>IFERROR(__xludf.DUMMYFUNCTION("""COMPUTED_VALUE"""),"Active")</f>
        <v>Active</v>
      </c>
    </row>
    <row r="138">
      <c r="A138" s="228">
        <f>IFERROR(__xludf.DUMMYFUNCTION("""COMPUTED_VALUE"""),5460.0)</f>
        <v>5460</v>
      </c>
      <c r="B138" s="228" t="str">
        <f>IFERROR(__xludf.DUMMYFUNCTION("""COMPUTED_VALUE"""),"Haris Rehman")</f>
        <v>Haris Rehman</v>
      </c>
      <c r="C138" s="228" t="str">
        <f>IFERROR(__xludf.DUMMYFUNCTION("""COMPUTED_VALUE"""),"harisrehmanchugtai@gmail.com")</f>
        <v>harisrehmanchugtai@gmail.com</v>
      </c>
      <c r="D138" s="228" t="str">
        <f>IFERROR(__xludf.DUMMYFUNCTION("""COMPUTED_VALUE"""),"haris.rehman@vyro.ai")</f>
        <v>haris.rehman@vyro.ai</v>
      </c>
      <c r="E138" s="728">
        <f>IFERROR(__xludf.DUMMYFUNCTION("""COMPUTED_VALUE"""),45950.0)</f>
        <v>45950</v>
      </c>
      <c r="F138" s="228" t="str">
        <f>IFERROR(__xludf.DUMMYFUNCTION("""COMPUTED_VALUE"""),"Associate Product Manager")</f>
        <v>Associate Product Manager</v>
      </c>
      <c r="G138" s="228" t="str">
        <f>IFERROR(__xludf.DUMMYFUNCTION("""COMPUTED_VALUE"""),"Product")</f>
        <v>Product</v>
      </c>
      <c r="H138" s="228" t="str">
        <f>IFERROR(__xludf.DUMMYFUNCTION("""COMPUTED_VALUE"""),"Awais Chaudry")</f>
        <v>Awais Chaudry</v>
      </c>
      <c r="I138" s="228" t="str">
        <f>IFERROR(__xludf.DUMMYFUNCTION("""COMPUTED_VALUE"""),"Full Time")</f>
        <v>Full Time</v>
      </c>
      <c r="J138" s="228" t="str">
        <f>IFERROR(__xludf.DUMMYFUNCTION("""COMPUTED_VALUE"""),"Active")</f>
        <v>Active</v>
      </c>
      <c r="K138" s="228"/>
      <c r="L138" s="729">
        <f>IFERROR(__xludf.DUMMYFUNCTION("""COMPUTED_VALUE"""),46042.0)</f>
        <v>46042</v>
      </c>
      <c r="M138" s="228"/>
      <c r="N138" s="228"/>
      <c r="O138" s="228"/>
      <c r="P138" s="228" t="str">
        <f>IFERROR(__xludf.DUMMYFUNCTION("""COMPUTED_VALUE"""),"3249626601")</f>
        <v>3249626601</v>
      </c>
      <c r="Q138" s="228" t="str">
        <f>IFERROR(__xludf.DUMMYFUNCTION("""COMPUTED_VALUE"""),"34101-9394551-5")</f>
        <v>34101-9394551-5</v>
      </c>
      <c r="R138" s="228" t="str">
        <f>IFERROR(__xludf.DUMMYFUNCTION("""COMPUTED_VALUE"""),"Male")</f>
        <v>Male</v>
      </c>
      <c r="S138" s="228" t="str">
        <f>IFERROR(__xludf.DUMMYFUNCTION("""COMPUTED_VALUE"""),"HBL")</f>
        <v>HBL</v>
      </c>
      <c r="T138" s="228" t="str">
        <f>IFERROR(__xludf.DUMMYFUNCTION("""COMPUTED_VALUE"""),"HARIS REHMAN")</f>
        <v>HARIS REHMAN</v>
      </c>
      <c r="U138" s="228" t="str">
        <f>IFERROR(__xludf.DUMMYFUNCTION("""COMPUTED_VALUE"""),"PK48HABB0009307902055003")</f>
        <v>PK48HABB0009307902055003</v>
      </c>
      <c r="V138" s="228" t="str">
        <f>IFERROR(__xludf.DUMMYFUNCTION("""COMPUTED_VALUE"""),"HABBPKKA682")</f>
        <v>HABBPKKA682</v>
      </c>
      <c r="W138" s="228"/>
      <c r="X138" s="228"/>
      <c r="Y138" s="730">
        <f>IFERROR(__xludf.DUMMYFUNCTION("""COMPUTED_VALUE"""),37897.0)</f>
        <v>37897</v>
      </c>
      <c r="Z138" s="228" t="str">
        <f>IFERROR(__xludf.DUMMYFUNCTION("""COMPUTED_VALUE"""),"22 Years")</f>
        <v>22 Years</v>
      </c>
      <c r="AA138" s="228" t="str">
        <f>IFERROR(__xludf.DUMMYFUNCTION("""COMPUTED_VALUE"""),"Ghazali Hostel, NUST H-12, Islamabad")</f>
        <v>Ghazali Hostel, NUST H-12, Islamabad</v>
      </c>
      <c r="AB138" s="228" t="str">
        <f>IFERROR(__xludf.DUMMYFUNCTION("""COMPUTED_VALUE"""),"Pakistan")</f>
        <v>Pakistan</v>
      </c>
      <c r="AC138" s="228" t="str">
        <f>IFERROR(__xludf.DUMMYFUNCTION("""COMPUTED_VALUE"""),"Single")</f>
        <v>Single</v>
      </c>
      <c r="AD138" s="228"/>
      <c r="AE138" s="228"/>
      <c r="AF138" s="228"/>
      <c r="AG138" s="228" t="str">
        <f>IFERROR(__xludf.DUMMYFUNCTION("""COMPUTED_VALUE"""),"Abdul Rehman")</f>
        <v>Abdul Rehman</v>
      </c>
      <c r="AH138" s="228" t="str">
        <f>IFERROR(__xludf.DUMMYFUNCTION("""COMPUTED_VALUE"""),"Mother")</f>
        <v>Mother</v>
      </c>
      <c r="AI138" s="228">
        <f>IFERROR(__xludf.DUMMYFUNCTION("""COMPUTED_VALUE"""),3.004904848E9)</f>
        <v>3004904848</v>
      </c>
      <c r="AJ138" s="228" t="str">
        <f>IFERROR(__xludf.DUMMYFUNCTION("""COMPUTED_VALUE"""),"A+")</f>
        <v>A+</v>
      </c>
      <c r="AK138" s="731" t="str">
        <f>IFERROR(__xludf.DUMMYFUNCTION("""COMPUTED_VALUE"""),"https://www.linkedin.com/in/haris-rehman-99865a166")</f>
        <v>https://www.linkedin.com/in/haris-rehman-99865a166</v>
      </c>
      <c r="AL138" s="228" t="str">
        <f>IFERROR(__xludf.DUMMYFUNCTION("""COMPUTED_VALUE"""),"Mustafa Shakil")</f>
        <v>Mustafa Shakil</v>
      </c>
      <c r="AM138" s="228"/>
      <c r="AN138" s="228"/>
      <c r="AO138" s="228"/>
      <c r="AP138" s="228" t="str">
        <f>IFERROR(__xludf.DUMMYFUNCTION("""COMPUTED_VALUE"""),"NO")</f>
        <v>NO</v>
      </c>
      <c r="AQ138" s="228" t="str">
        <f>IFERROR(__xludf.DUMMYFUNCTION("""COMPUTED_VALUE"""),"Active")</f>
        <v>Active</v>
      </c>
    </row>
    <row r="139">
      <c r="A139" s="228">
        <f>IFERROR(__xludf.DUMMYFUNCTION("""COMPUTED_VALUE"""),5461.0)</f>
        <v>5461</v>
      </c>
      <c r="B139" s="228" t="str">
        <f>IFERROR(__xludf.DUMMYFUNCTION("""COMPUTED_VALUE"""),"Moeen Ud Din Gillani")</f>
        <v>Moeen Ud Din Gillani</v>
      </c>
      <c r="C139" s="228" t="str">
        <f>IFERROR(__xludf.DUMMYFUNCTION("""COMPUTED_VALUE"""),"jillanimoin@gmail.com")</f>
        <v>jillanimoin@gmail.com</v>
      </c>
      <c r="D139" s="228" t="str">
        <f>IFERROR(__xludf.DUMMYFUNCTION("""COMPUTED_VALUE"""),"moin.gillani@vyro.ai")</f>
        <v>moin.gillani@vyro.ai</v>
      </c>
      <c r="E139" s="728">
        <f>IFERROR(__xludf.DUMMYFUNCTION("""COMPUTED_VALUE"""),45952.0)</f>
        <v>45952</v>
      </c>
      <c r="F139" s="228" t="str">
        <f>IFERROR(__xludf.DUMMYFUNCTION("""COMPUTED_VALUE"""),"Motion Graphics Producer")</f>
        <v>Motion Graphics Producer</v>
      </c>
      <c r="G139" s="228" t="str">
        <f>IFERROR(__xludf.DUMMYFUNCTION("""COMPUTED_VALUE"""),"Mobile")</f>
        <v>Mobile</v>
      </c>
      <c r="H139" s="228" t="str">
        <f>IFERROR(__xludf.DUMMYFUNCTION("""COMPUTED_VALUE"""),"Abdullah Akhtar")</f>
        <v>Abdullah Akhtar</v>
      </c>
      <c r="I139" s="228" t="str">
        <f>IFERROR(__xludf.DUMMYFUNCTION("""COMPUTED_VALUE"""),"Full Time")</f>
        <v>Full Time</v>
      </c>
      <c r="J139" s="228"/>
      <c r="K139" s="228"/>
      <c r="L139" s="228"/>
      <c r="M139" s="228"/>
      <c r="N139" s="228"/>
      <c r="O139" s="228"/>
      <c r="P139" s="228" t="str">
        <f>IFERROR(__xludf.DUMMYFUNCTION("""COMPUTED_VALUE"""),"3088941894")</f>
        <v>3088941894</v>
      </c>
      <c r="Q139" s="228" t="str">
        <f>IFERROR(__xludf.DUMMYFUNCTION("""COMPUTED_VALUE"""),"82203-6519670-7")</f>
        <v>82203-6519670-7</v>
      </c>
      <c r="R139" s="228" t="str">
        <f>IFERROR(__xludf.DUMMYFUNCTION("""COMPUTED_VALUE"""),"Male")</f>
        <v>Male</v>
      </c>
      <c r="S139" s="228" t="str">
        <f>IFERROR(__xludf.DUMMYFUNCTION("""COMPUTED_VALUE"""),"UBL")</f>
        <v>UBL</v>
      </c>
      <c r="T139" s="228" t="str">
        <f>IFERROR(__xludf.DUMMYFUNCTION("""COMPUTED_VALUE"""),"Moeen Ud Din Gillani")</f>
        <v>Moeen Ud Din Gillani</v>
      </c>
      <c r="U139" s="228" t="str">
        <f>IFERROR(__xludf.DUMMYFUNCTION("""COMPUTED_VALUE"""),"PK34UNIL0109000233483542")</f>
        <v>PK34UNIL0109000233483542</v>
      </c>
      <c r="V139" s="228" t="str">
        <f>IFERROR(__xludf.DUMMYFUNCTION("""COMPUTED_VALUE"""),"UNILPKKA")</f>
        <v>UNILPKKA</v>
      </c>
      <c r="W139" s="228"/>
      <c r="X139" s="228"/>
      <c r="Y139" s="730">
        <f>IFERROR(__xludf.DUMMYFUNCTION("""COMPUTED_VALUE"""),34810.0)</f>
        <v>34810</v>
      </c>
      <c r="Z139" s="228" t="str">
        <f>IFERROR(__xludf.DUMMYFUNCTION("""COMPUTED_VALUE"""),"30 Years")</f>
        <v>30 Years</v>
      </c>
      <c r="AA139" s="228" t="str">
        <f>IFERROR(__xludf.DUMMYFUNCTION("""COMPUTED_VALUE"""),"Bagh Nisf Kardala, Air Port Muzaffarabad, Azad Jammu &amp; Kahmir")</f>
        <v>Bagh Nisf Kardala, Air Port Muzaffarabad, Azad Jammu &amp; Kahmir</v>
      </c>
      <c r="AB139" s="228" t="str">
        <f>IFERROR(__xludf.DUMMYFUNCTION("""COMPUTED_VALUE"""),"Pakistani")</f>
        <v>Pakistani</v>
      </c>
      <c r="AC139" s="228" t="str">
        <f>IFERROR(__xludf.DUMMYFUNCTION("""COMPUTED_VALUE"""),"Single")</f>
        <v>Single</v>
      </c>
      <c r="AD139" s="228"/>
      <c r="AE139" s="228"/>
      <c r="AF139" s="228"/>
      <c r="AG139" s="228" t="str">
        <f>IFERROR(__xludf.DUMMYFUNCTION("""COMPUTED_VALUE"""),"Syed Ashiq Hussain Shah ")</f>
        <v>Syed Ashiq Hussain Shah </v>
      </c>
      <c r="AH139" s="228" t="str">
        <f>IFERROR(__xludf.DUMMYFUNCTION("""COMPUTED_VALUE"""),"Brother")</f>
        <v>Brother</v>
      </c>
      <c r="AI139" s="228">
        <f>IFERROR(__xludf.DUMMYFUNCTION("""COMPUTED_VALUE"""),3.005303359E9)</f>
        <v>3005303359</v>
      </c>
      <c r="AJ139" s="228" t="str">
        <f>IFERROR(__xludf.DUMMYFUNCTION("""COMPUTED_VALUE"""),"O+")</f>
        <v>O+</v>
      </c>
      <c r="AK139" s="731" t="str">
        <f>IFERROR(__xludf.DUMMYFUNCTION("""COMPUTED_VALUE"""),"https://www.linkedin.com/in/syed-moin-gillani-aab729119/")</f>
        <v>https://www.linkedin.com/in/syed-moin-gillani-aab729119/</v>
      </c>
      <c r="AL139" s="228" t="str">
        <f>IFERROR(__xludf.DUMMYFUNCTION("""COMPUTED_VALUE"""),"Annum Inam")</f>
        <v>Annum Inam</v>
      </c>
      <c r="AM139" s="228"/>
      <c r="AN139" s="228"/>
      <c r="AO139" s="228"/>
      <c r="AP139" s="228" t="str">
        <f>IFERROR(__xludf.DUMMYFUNCTION("""COMPUTED_VALUE"""),"NO")</f>
        <v>NO</v>
      </c>
      <c r="AQ139" s="228" t="str">
        <f>IFERROR(__xludf.DUMMYFUNCTION("""COMPUTED_VALUE"""),"Active")</f>
        <v>Active</v>
      </c>
    </row>
    <row r="140">
      <c r="A140" s="228">
        <f>IFERROR(__xludf.DUMMYFUNCTION("""COMPUTED_VALUE"""),5464.0)</f>
        <v>5464</v>
      </c>
      <c r="B140" s="228" t="str">
        <f>IFERROR(__xludf.DUMMYFUNCTION("""COMPUTED_VALUE"""),"Ahmad Ali Khwaja")</f>
        <v>Ahmad Ali Khwaja</v>
      </c>
      <c r="C140" s="228" t="str">
        <f>IFERROR(__xludf.DUMMYFUNCTION("""COMPUTED_VALUE"""),"ahmad@motion-dock.com")</f>
        <v>ahmad@motion-dock.com</v>
      </c>
      <c r="D140" s="228" t="str">
        <f>IFERROR(__xludf.DUMMYFUNCTION("""COMPUTED_VALUE"""),"ahmed.ali@vyro.ai")</f>
        <v>ahmed.ali@vyro.ai</v>
      </c>
      <c r="E140" s="728">
        <f>IFERROR(__xludf.DUMMYFUNCTION("""COMPUTED_VALUE"""),45957.0)</f>
        <v>45957</v>
      </c>
      <c r="F140" s="228" t="str">
        <f>IFERROR(__xludf.DUMMYFUNCTION("""COMPUTED_VALUE"""),"Creative Partner- Motion Graphics")</f>
        <v>Creative Partner- Motion Graphics</v>
      </c>
      <c r="G140" s="228" t="str">
        <f>IFERROR(__xludf.DUMMYFUNCTION("""COMPUTED_VALUE"""),"Marketing")</f>
        <v>Marketing</v>
      </c>
      <c r="H140" s="228" t="str">
        <f>IFERROR(__xludf.DUMMYFUNCTION("""COMPUTED_VALUE"""),"Zain ul Abedien - Co Founder")</f>
        <v>Zain ul Abedien - Co Founder</v>
      </c>
      <c r="I140" s="228" t="str">
        <f>IFERROR(__xludf.DUMMYFUNCTION("""COMPUTED_VALUE"""),"Full Time")</f>
        <v>Full Time</v>
      </c>
      <c r="J140" s="228" t="str">
        <f>IFERROR(__xludf.DUMMYFUNCTION("""COMPUTED_VALUE"""),"Active")</f>
        <v>Active</v>
      </c>
      <c r="K140" s="228"/>
      <c r="L140" s="729">
        <f>IFERROR(__xludf.DUMMYFUNCTION("""COMPUTED_VALUE"""),46049.0)</f>
        <v>46049</v>
      </c>
      <c r="M140" s="228"/>
      <c r="N140" s="228"/>
      <c r="O140" s="228"/>
      <c r="P140" s="228" t="str">
        <f>IFERROR(__xludf.DUMMYFUNCTION("""COMPUTED_VALUE"""),"3228491122")</f>
        <v>3228491122</v>
      </c>
      <c r="Q140" s="228" t="str">
        <f>IFERROR(__xludf.DUMMYFUNCTION("""COMPUTED_VALUE"""),"352020-1225026-5")</f>
        <v>352020-1225026-5</v>
      </c>
      <c r="R140" s="228" t="str">
        <f>IFERROR(__xludf.DUMMYFUNCTION("""COMPUTED_VALUE"""),"Male")</f>
        <v>Male</v>
      </c>
      <c r="S140" s="228" t="str">
        <f>IFERROR(__xludf.DUMMYFUNCTION("""COMPUTED_VALUE"""),"HBL")</f>
        <v>HBL</v>
      </c>
      <c r="T140" s="228" t="str">
        <f>IFERROR(__xludf.DUMMYFUNCTION("""COMPUTED_VALUE"""),"Ahmad Ali")</f>
        <v>Ahmad Ali</v>
      </c>
      <c r="U140" s="228" t="str">
        <f>IFERROR(__xludf.DUMMYFUNCTION("""COMPUTED_VALUE"""),"PK49HABB0010197901207403")</f>
        <v>PK49HABB0010197901207403</v>
      </c>
      <c r="V140" s="228" t="str">
        <f>IFERROR(__xludf.DUMMYFUNCTION("""COMPUTED_VALUE"""),"HABBPKKA")</f>
        <v>HABBPKKA</v>
      </c>
      <c r="W140" s="228"/>
      <c r="X140" s="228"/>
      <c r="Y140" s="730">
        <f>IFERROR(__xludf.DUMMYFUNCTION("""COMPUTED_VALUE"""),35941.0)</f>
        <v>35941</v>
      </c>
      <c r="Z140" s="228" t="str">
        <f>IFERROR(__xludf.DUMMYFUNCTION("""COMPUTED_VALUE"""),"27 Years")</f>
        <v>27 Years</v>
      </c>
      <c r="AA140" s="228" t="str">
        <f>IFERROR(__xludf.DUMMYFUNCTION("""COMPUTED_VALUE"""),"162K-Fazaia Housing scheme, Lahore.")</f>
        <v>162K-Fazaia Housing scheme, Lahore.</v>
      </c>
      <c r="AB140" s="228" t="str">
        <f>IFERROR(__xludf.DUMMYFUNCTION("""COMPUTED_VALUE"""),"Pakistani")</f>
        <v>Pakistani</v>
      </c>
      <c r="AC140" s="228" t="str">
        <f>IFERROR(__xludf.DUMMYFUNCTION("""COMPUTED_VALUE"""),"Single")</f>
        <v>Single</v>
      </c>
      <c r="AD140" s="228"/>
      <c r="AE140" s="228"/>
      <c r="AF140" s="228"/>
      <c r="AG140" s="228" t="str">
        <f>IFERROR(__xludf.DUMMYFUNCTION("""COMPUTED_VALUE"""),"Muhammad Mohsin khwaja")</f>
        <v>Muhammad Mohsin khwaja</v>
      </c>
      <c r="AH140" s="228" t="str">
        <f>IFERROR(__xludf.DUMMYFUNCTION("""COMPUTED_VALUE"""),"Father")</f>
        <v>Father</v>
      </c>
      <c r="AI140" s="228"/>
      <c r="AJ140" s="228" t="str">
        <f>IFERROR(__xludf.DUMMYFUNCTION("""COMPUTED_VALUE"""),"B+")</f>
        <v>B+</v>
      </c>
      <c r="AK140" s="731" t="str">
        <f>IFERROR(__xludf.DUMMYFUNCTION("""COMPUTED_VALUE"""),"https://www.linkedin.com/in/video-editor-motion-designer-expert/")</f>
        <v>https://www.linkedin.com/in/video-editor-motion-designer-expert/</v>
      </c>
      <c r="AL140" s="228" t="str">
        <f>IFERROR(__xludf.DUMMYFUNCTION("""COMPUTED_VALUE"""),"Annum Inam")</f>
        <v>Annum Inam</v>
      </c>
      <c r="AM140" s="228"/>
      <c r="AN140" s="228"/>
      <c r="AO140" s="228"/>
      <c r="AP140" s="228" t="str">
        <f>IFERROR(__xludf.DUMMYFUNCTION("""COMPUTED_VALUE"""),"NO")</f>
        <v>NO</v>
      </c>
      <c r="AQ140" s="228" t="str">
        <f>IFERROR(__xludf.DUMMYFUNCTION("""COMPUTED_VALUE"""),"Active")</f>
        <v>Active</v>
      </c>
    </row>
    <row r="141">
      <c r="A141" s="228">
        <f>IFERROR(__xludf.DUMMYFUNCTION("""COMPUTED_VALUE"""),5467.0)</f>
        <v>5467</v>
      </c>
      <c r="B141" s="228" t="str">
        <f>IFERROR(__xludf.DUMMYFUNCTION("""COMPUTED_VALUE"""),"Mobeen Irshad")</f>
        <v>Mobeen Irshad</v>
      </c>
      <c r="C141" s="228" t="str">
        <f>IFERROR(__xludf.DUMMYFUNCTION("""COMPUTED_VALUE"""),"mobeenirshad8080@gmail.com")</f>
        <v>mobeenirshad8080@gmail.com</v>
      </c>
      <c r="D141" s="228" t="str">
        <f>IFERROR(__xludf.DUMMYFUNCTION("""COMPUTED_VALUE"""),"mobeen.irshad@vyro.ai")</f>
        <v>mobeen.irshad@vyro.ai</v>
      </c>
      <c r="E141" s="728">
        <f>IFERROR(__xludf.DUMMYFUNCTION("""COMPUTED_VALUE"""),45964.0)</f>
        <v>45964</v>
      </c>
      <c r="F141" s="228" t="str">
        <f>IFERROR(__xludf.DUMMYFUNCTION("""COMPUTED_VALUE"""),"Senior motion designer ")</f>
        <v>Senior motion designer </v>
      </c>
      <c r="G141" s="228" t="str">
        <f>IFERROR(__xludf.DUMMYFUNCTION("""COMPUTED_VALUE"""),"Marketing")</f>
        <v>Marketing</v>
      </c>
      <c r="H141" s="228" t="str">
        <f>IFERROR(__xludf.DUMMYFUNCTION("""COMPUTED_VALUE"""),"Abdullah khan")</f>
        <v>Abdullah khan</v>
      </c>
      <c r="I141" s="228" t="str">
        <f>IFERROR(__xludf.DUMMYFUNCTION("""COMPUTED_VALUE"""),"Full Time")</f>
        <v>Full Time</v>
      </c>
      <c r="J141" s="228"/>
      <c r="K141" s="228"/>
      <c r="L141" s="228"/>
      <c r="M141" s="228"/>
      <c r="N141" s="228"/>
      <c r="O141" s="228"/>
      <c r="P141" s="228" t="str">
        <f>IFERROR(__xludf.DUMMYFUNCTION("""COMPUTED_VALUE"""),"3193614116")</f>
        <v>3193614116</v>
      </c>
      <c r="Q141" s="228" t="str">
        <f>IFERROR(__xludf.DUMMYFUNCTION("""COMPUTED_VALUE"""),"1310184077783")</f>
        <v>1310184077783</v>
      </c>
      <c r="R141" s="228" t="str">
        <f>IFERROR(__xludf.DUMMYFUNCTION("""COMPUTED_VALUE"""),"Male")</f>
        <v>Male</v>
      </c>
      <c r="S141" s="228" t="str">
        <f>IFERROR(__xludf.DUMMYFUNCTION("""COMPUTED_VALUE"""),"Standard chartered ")</f>
        <v>Standard chartered </v>
      </c>
      <c r="T141" s="228" t="str">
        <f>IFERROR(__xludf.DUMMYFUNCTION("""COMPUTED_VALUE"""),"Mobeen Irahad")</f>
        <v>Mobeen Irahad</v>
      </c>
      <c r="U141" s="228" t="str">
        <f>IFERROR(__xludf.DUMMYFUNCTION("""COMPUTED_VALUE"""),"PK82SCBL0000001027638401")</f>
        <v>PK82SCBL0000001027638401</v>
      </c>
      <c r="V141" s="228" t="str">
        <f>IFERROR(__xludf.DUMMYFUNCTION("""COMPUTED_VALUE"""),"1027638401")</f>
        <v>1027638401</v>
      </c>
      <c r="W141" s="228"/>
      <c r="X141" s="228"/>
      <c r="Y141" s="730">
        <f>IFERROR(__xludf.DUMMYFUNCTION("""COMPUTED_VALUE"""),37538.0)</f>
        <v>37538</v>
      </c>
      <c r="Z141" s="228" t="str">
        <f>IFERROR(__xludf.DUMMYFUNCTION("""COMPUTED_VALUE"""),"23 Years")</f>
        <v>23 Years</v>
      </c>
      <c r="AA141" s="228" t="str">
        <f>IFERROR(__xludf.DUMMYFUNCTION("""COMPUTED_VALUE"""),"House 410, Street 12, Airport society sector 4")</f>
        <v>House 410, Street 12, Airport society sector 4</v>
      </c>
      <c r="AB141" s="228" t="str">
        <f>IFERROR(__xludf.DUMMYFUNCTION("""COMPUTED_VALUE"""),"Pakistani ")</f>
        <v>Pakistani </v>
      </c>
      <c r="AC141" s="228" t="str">
        <f>IFERROR(__xludf.DUMMYFUNCTION("""COMPUTED_VALUE"""),"Single")</f>
        <v>Single</v>
      </c>
      <c r="AD141" s="228"/>
      <c r="AE141" s="228"/>
      <c r="AF141" s="228"/>
      <c r="AG141" s="228" t="str">
        <f>IFERROR(__xludf.DUMMYFUNCTION("""COMPUTED_VALUE"""),"Irshad mehmood")</f>
        <v>Irshad mehmood</v>
      </c>
      <c r="AH141" s="228" t="str">
        <f>IFERROR(__xludf.DUMMYFUNCTION("""COMPUTED_VALUE"""),"3110588609")</f>
        <v>3110588609</v>
      </c>
      <c r="AI141" s="228">
        <f>IFERROR(__xludf.DUMMYFUNCTION("""COMPUTED_VALUE"""),3.110588609E9)</f>
        <v>3110588609</v>
      </c>
      <c r="AJ141" s="228" t="str">
        <f>IFERROR(__xludf.DUMMYFUNCTION("""COMPUTED_VALUE"""),"AB+")</f>
        <v>AB+</v>
      </c>
      <c r="AK141" s="731" t="str">
        <f>IFERROR(__xludf.DUMMYFUNCTION("""COMPUTED_VALUE"""),"https://www.linkedin.com/in/mobeen-irshad-0a35aa265?utm_source=share&amp;utm_campaign=share_via&amp;utm_content=profile&amp;utm_medium=android_app")</f>
        <v>https://www.linkedin.com/in/mobeen-irshad-0a35aa265?utm_source=share&amp;utm_campaign=share_via&amp;utm_content=profile&amp;utm_medium=android_app</v>
      </c>
      <c r="AL141" s="228" t="str">
        <f>IFERROR(__xludf.DUMMYFUNCTION("""COMPUTED_VALUE"""),"Annum Inam")</f>
        <v>Annum Inam</v>
      </c>
      <c r="AM141" s="728">
        <f>IFERROR(__xludf.DUMMYFUNCTION("""COMPUTED_VALUE"""),45975.0)</f>
        <v>45975</v>
      </c>
      <c r="AN141" s="228"/>
      <c r="AO141" s="228"/>
      <c r="AP141" s="228"/>
      <c r="AQ141" s="228"/>
    </row>
    <row r="142">
      <c r="A142" s="228">
        <f>IFERROR(__xludf.DUMMYFUNCTION("""COMPUTED_VALUE"""),5457.0)</f>
        <v>5457</v>
      </c>
      <c r="B142" s="228" t="str">
        <f>IFERROR(__xludf.DUMMYFUNCTION("""COMPUTED_VALUE"""),"Mohammad Shahzaib")</f>
        <v>Mohammad Shahzaib</v>
      </c>
      <c r="C142" s="228" t="str">
        <f>IFERROR(__xludf.DUMMYFUNCTION("""COMPUTED_VALUE"""),"workwithshahzaib@gmail.com")</f>
        <v>workwithshahzaib@gmail.com</v>
      </c>
      <c r="D142" s="228" t="str">
        <f>IFERROR(__xludf.DUMMYFUNCTION("""COMPUTED_VALUE"""),"mohammad.shahzaib@vyro.ai")</f>
        <v>mohammad.shahzaib@vyro.ai</v>
      </c>
      <c r="E142" s="728">
        <f>IFERROR(__xludf.DUMMYFUNCTION("""COMPUTED_VALUE"""),45964.0)</f>
        <v>45964</v>
      </c>
      <c r="F142" s="228" t="str">
        <f>IFERROR(__xludf.DUMMYFUNCTION("""COMPUTED_VALUE"""),"Customer Success Executive ")</f>
        <v>Customer Success Executive </v>
      </c>
      <c r="G142" s="228" t="str">
        <f>IFERROR(__xludf.DUMMYFUNCTION("""COMPUTED_VALUE"""),"Customer Success")</f>
        <v>Customer Success</v>
      </c>
      <c r="H142" s="228" t="str">
        <f>IFERROR(__xludf.DUMMYFUNCTION("""COMPUTED_VALUE"""),"Muhammad Asad, AM Business Solutions")</f>
        <v>Muhammad Asad, AM Business Solutions</v>
      </c>
      <c r="I142" s="228" t="str">
        <f>IFERROR(__xludf.DUMMYFUNCTION("""COMPUTED_VALUE"""),"Full Time")</f>
        <v>Full Time</v>
      </c>
      <c r="J142" s="228" t="str">
        <f>IFERROR(__xludf.DUMMYFUNCTION("""COMPUTED_VALUE"""),"Active")</f>
        <v>Active</v>
      </c>
      <c r="K142" s="228"/>
      <c r="L142" s="729">
        <f>IFERROR(__xludf.DUMMYFUNCTION("""COMPUTED_VALUE"""),46056.0)</f>
        <v>46056</v>
      </c>
      <c r="M142" s="228"/>
      <c r="N142" s="228"/>
      <c r="O142" s="228"/>
      <c r="P142" s="228" t="str">
        <f>IFERROR(__xludf.DUMMYFUNCTION("""COMPUTED_VALUE"""),"3125892733")</f>
        <v>3125892733</v>
      </c>
      <c r="Q142" s="228" t="str">
        <f>IFERROR(__xludf.DUMMYFUNCTION("""COMPUTED_VALUE"""),"54400-6190590-1")</f>
        <v>54400-6190590-1</v>
      </c>
      <c r="R142" s="228" t="str">
        <f>IFERROR(__xludf.DUMMYFUNCTION("""COMPUTED_VALUE"""),"Male")</f>
        <v>Male</v>
      </c>
      <c r="S142" s="228" t="str">
        <f>IFERROR(__xludf.DUMMYFUNCTION("""COMPUTED_VALUE"""),"Standard Chartered")</f>
        <v>Standard Chartered</v>
      </c>
      <c r="T142" s="228" t="str">
        <f>IFERROR(__xludf.DUMMYFUNCTION("""COMPUTED_VALUE"""),"Mohammad Shahzaib")</f>
        <v>Mohammad Shahzaib</v>
      </c>
      <c r="U142" s="228" t="str">
        <f>IFERROR(__xludf.DUMMYFUNCTION("""COMPUTED_VALUE"""),"PK93SCBL0000001004798001")</f>
        <v>PK93SCBL0000001004798001</v>
      </c>
      <c r="V142" s="228" t="str">
        <f>IFERROR(__xludf.DUMMYFUNCTION("""COMPUTED_VALUE"""),"SCBLPKKXXXX")</f>
        <v>SCBLPKKXXXX</v>
      </c>
      <c r="W142" s="228"/>
      <c r="X142" s="228"/>
      <c r="Y142" s="730">
        <f>IFERROR(__xludf.DUMMYFUNCTION("""COMPUTED_VALUE"""),36694.0)</f>
        <v>36694</v>
      </c>
      <c r="Z142" s="228" t="str">
        <f>IFERROR(__xludf.DUMMYFUNCTION("""COMPUTED_VALUE"""),"25 Years")</f>
        <v>25 Years</v>
      </c>
      <c r="AA142" s="228" t="str">
        <f>IFERROR(__xludf.DUMMYFUNCTION("""COMPUTED_VALUE"""),"Near Zahid Market, Sector E-11/4, Islamabad")</f>
        <v>Near Zahid Market, Sector E-11/4, Islamabad</v>
      </c>
      <c r="AB142" s="228" t="str">
        <f>IFERROR(__xludf.DUMMYFUNCTION("""COMPUTED_VALUE"""),"Pakistani")</f>
        <v>Pakistani</v>
      </c>
      <c r="AC142" s="228" t="str">
        <f>IFERROR(__xludf.DUMMYFUNCTION("""COMPUTED_VALUE"""),"Married")</f>
        <v>Married</v>
      </c>
      <c r="AD142" s="228"/>
      <c r="AE142" s="228"/>
      <c r="AF142" s="228"/>
      <c r="AG142" s="228" t="str">
        <f>IFERROR(__xludf.DUMMYFUNCTION("""COMPUTED_VALUE"""),"Ishtiaque Ahmed")</f>
        <v>Ishtiaque Ahmed</v>
      </c>
      <c r="AH142" s="228" t="str">
        <f>IFERROR(__xludf.DUMMYFUNCTION("""COMPUTED_VALUE"""),"Mother")</f>
        <v>Mother</v>
      </c>
      <c r="AI142" s="228">
        <f>IFERROR(__xludf.DUMMYFUNCTION("""COMPUTED_VALUE"""),3.366541577E9)</f>
        <v>3366541577</v>
      </c>
      <c r="AJ142" s="228" t="str">
        <f>IFERROR(__xludf.DUMMYFUNCTION("""COMPUTED_VALUE"""),"B-")</f>
        <v>B-</v>
      </c>
      <c r="AK142" s="731" t="str">
        <f>IFERROR(__xludf.DUMMYFUNCTION("""COMPUTED_VALUE"""),"https://www.linkedin.com/in/shahzaib-online/")</f>
        <v>https://www.linkedin.com/in/shahzaib-online/</v>
      </c>
      <c r="AL142" s="228" t="str">
        <f>IFERROR(__xludf.DUMMYFUNCTION("""COMPUTED_VALUE"""),"Mustafa Shakil")</f>
        <v>Mustafa Shakil</v>
      </c>
      <c r="AM142" s="228"/>
      <c r="AN142" s="228"/>
      <c r="AO142" s="228"/>
      <c r="AP142" s="228" t="str">
        <f>IFERROR(__xludf.DUMMYFUNCTION("""COMPUTED_VALUE"""),"NO")</f>
        <v>NO</v>
      </c>
      <c r="AQ142" s="228" t="str">
        <f>IFERROR(__xludf.DUMMYFUNCTION("""COMPUTED_VALUE"""),"Active")</f>
        <v>Active</v>
      </c>
    </row>
    <row r="143">
      <c r="A143" s="228">
        <f>IFERROR(__xludf.DUMMYFUNCTION("""COMPUTED_VALUE"""),5466.0)</f>
        <v>5466</v>
      </c>
      <c r="B143" s="228" t="str">
        <f>IFERROR(__xludf.DUMMYFUNCTION("""COMPUTED_VALUE"""),"Muhammad Awais AP")</f>
        <v>Muhammad Awais AP</v>
      </c>
      <c r="C143" s="228" t="str">
        <f>IFERROR(__xludf.DUMMYFUNCTION("""COMPUTED_VALUE"""),"muhammadawais58120@gmail.com")</f>
        <v>muhammadawais58120@gmail.com</v>
      </c>
      <c r="D143" s="228" t="str">
        <f>IFERROR(__xludf.DUMMYFUNCTION("""COMPUTED_VALUE"""),"m.awais@vyro.ai")</f>
        <v>m.awais@vyro.ai</v>
      </c>
      <c r="E143" s="728">
        <f>IFERROR(__xludf.DUMMYFUNCTION("""COMPUTED_VALUE"""),45964.0)</f>
        <v>45964</v>
      </c>
      <c r="F143" s="228" t="str">
        <f>IFERROR(__xludf.DUMMYFUNCTION("""COMPUTED_VALUE"""),"Animation Producer")</f>
        <v>Animation Producer</v>
      </c>
      <c r="G143" s="228" t="str">
        <f>IFERROR(__xludf.DUMMYFUNCTION("""COMPUTED_VALUE"""),"Social Media &amp; Community Growth")</f>
        <v>Social Media &amp; Community Growth</v>
      </c>
      <c r="H143" s="228" t="str">
        <f>IFERROR(__xludf.DUMMYFUNCTION("""COMPUTED_VALUE"""),"Abdullah Akhtar")</f>
        <v>Abdullah Akhtar</v>
      </c>
      <c r="I143" s="228" t="str">
        <f>IFERROR(__xludf.DUMMYFUNCTION("""COMPUTED_VALUE"""),"Full Time")</f>
        <v>Full Time</v>
      </c>
      <c r="J143" s="228"/>
      <c r="K143" s="228"/>
      <c r="L143" s="228"/>
      <c r="M143" s="228"/>
      <c r="N143" s="228"/>
      <c r="O143" s="228"/>
      <c r="P143" s="228" t="str">
        <f>IFERROR(__xludf.DUMMYFUNCTION("""COMPUTED_VALUE"""),"3325017878")</f>
        <v>3325017878</v>
      </c>
      <c r="Q143" s="228" t="str">
        <f>IFERROR(__xludf.DUMMYFUNCTION("""COMPUTED_VALUE"""),"17301-2763309-5")</f>
        <v>17301-2763309-5</v>
      </c>
      <c r="R143" s="228" t="str">
        <f>IFERROR(__xludf.DUMMYFUNCTION("""COMPUTED_VALUE"""),"Male")</f>
        <v>Male</v>
      </c>
      <c r="S143" s="228" t="str">
        <f>IFERROR(__xludf.DUMMYFUNCTION("""COMPUTED_VALUE"""),"Bank Al FALAH ISLAMIC")</f>
        <v>Bank Al FALAH ISLAMIC</v>
      </c>
      <c r="T143" s="228" t="str">
        <f>IFERROR(__xludf.DUMMYFUNCTION("""COMPUTED_VALUE"""),"Muhammad Awais")</f>
        <v>Muhammad Awais</v>
      </c>
      <c r="U143" s="228" t="str">
        <f>IFERROR(__xludf.DUMMYFUNCTION("""COMPUTED_VALUE"""),"56265001638443")</f>
        <v>56265001638443</v>
      </c>
      <c r="V143" s="228" t="str">
        <f>IFERROR(__xludf.DUMMYFUNCTION("""COMPUTED_VALUE"""),"N/A")</f>
        <v>N/A</v>
      </c>
      <c r="W143" s="228"/>
      <c r="X143" s="228"/>
      <c r="Y143" s="730">
        <f>IFERROR(__xludf.DUMMYFUNCTION("""COMPUTED_VALUE"""),36126.0)</f>
        <v>36126</v>
      </c>
      <c r="Z143" s="228" t="str">
        <f>IFERROR(__xludf.DUMMYFUNCTION("""COMPUTED_VALUE"""),"26 Years")</f>
        <v>26 Years</v>
      </c>
      <c r="AA143" s="228" t="str">
        <f>IFERROR(__xludf.DUMMYFUNCTION("""COMPUTED_VALUE"""),"House 29 Street 139 g13/4 Islamabad")</f>
        <v>House 29 Street 139 g13/4 Islamabad</v>
      </c>
      <c r="AB143" s="228" t="str">
        <f>IFERROR(__xludf.DUMMYFUNCTION("""COMPUTED_VALUE"""),"Pakistani")</f>
        <v>Pakistani</v>
      </c>
      <c r="AC143" s="228" t="str">
        <f>IFERROR(__xludf.DUMMYFUNCTION("""COMPUTED_VALUE"""),"Single")</f>
        <v>Single</v>
      </c>
      <c r="AD143" s="228"/>
      <c r="AE143" s="228"/>
      <c r="AF143" s="228"/>
      <c r="AG143" s="228" t="str">
        <f>IFERROR(__xludf.DUMMYFUNCTION("""COMPUTED_VALUE"""),"Falak Niaz")</f>
        <v>Falak Niaz</v>
      </c>
      <c r="AH143" s="228" t="str">
        <f>IFERROR(__xludf.DUMMYFUNCTION("""COMPUTED_VALUE"""),"Brother")</f>
        <v>Brother</v>
      </c>
      <c r="AI143" s="228">
        <f>IFERROR(__xludf.DUMMYFUNCTION("""COMPUTED_VALUE"""),3.348906467E9)</f>
        <v>3348906467</v>
      </c>
      <c r="AJ143" s="228" t="str">
        <f>IFERROR(__xludf.DUMMYFUNCTION("""COMPUTED_VALUE"""),"A+")</f>
        <v>A+</v>
      </c>
      <c r="AK143" s="731" t="str">
        <f>IFERROR(__xludf.DUMMYFUNCTION("""COMPUTED_VALUE"""),"https://www.linkedin.com/in/muhammad-awais-673a57244/")</f>
        <v>https://www.linkedin.com/in/muhammad-awais-673a57244/</v>
      </c>
      <c r="AL143" s="228" t="str">
        <f>IFERROR(__xludf.DUMMYFUNCTION("""COMPUTED_VALUE"""),"Annum Inam")</f>
        <v>Annum Inam</v>
      </c>
      <c r="AM143" s="228"/>
      <c r="AN143" s="228"/>
      <c r="AO143" s="228"/>
      <c r="AP143" s="228"/>
      <c r="AQ143" s="228"/>
    </row>
    <row r="144">
      <c r="A144" s="228">
        <f>IFERROR(__xludf.DUMMYFUNCTION("""COMPUTED_VALUE"""),5468.0)</f>
        <v>5468</v>
      </c>
      <c r="B144" s="228" t="str">
        <f>IFERROR(__xludf.DUMMYFUNCTION("""COMPUTED_VALUE"""),"Taha Hassan")</f>
        <v>Taha Hassan</v>
      </c>
      <c r="C144" s="228" t="str">
        <f>IFERROR(__xludf.DUMMYFUNCTION("""COMPUTED_VALUE"""),"tahahassankhalid88@gmail.com")</f>
        <v>tahahassankhalid88@gmail.com</v>
      </c>
      <c r="D144" s="228" t="str">
        <f>IFERROR(__xludf.DUMMYFUNCTION("""COMPUTED_VALUE"""),"taha.hassan@vyro.ai")</f>
        <v>taha.hassan@vyro.ai</v>
      </c>
      <c r="E144" s="728">
        <f>IFERROR(__xludf.DUMMYFUNCTION("""COMPUTED_VALUE"""),45964.0)</f>
        <v>45964</v>
      </c>
      <c r="F144" s="228" t="str">
        <f>IFERROR(__xludf.DUMMYFUNCTION("""COMPUTED_VALUE"""),"Creative Director")</f>
        <v>Creative Director</v>
      </c>
      <c r="G144" s="228" t="str">
        <f>IFERROR(__xludf.DUMMYFUNCTION("""COMPUTED_VALUE"""),"Business &amp; Growth")</f>
        <v>Business &amp; Growth</v>
      </c>
      <c r="H144" s="228" t="str">
        <f>IFERROR(__xludf.DUMMYFUNCTION("""COMPUTED_VALUE"""),"Zain-ul-Abidien")</f>
        <v>Zain-ul-Abidien</v>
      </c>
      <c r="I144" s="228" t="str">
        <f>IFERROR(__xludf.DUMMYFUNCTION("""COMPUTED_VALUE"""),"Full Time")</f>
        <v>Full Time</v>
      </c>
      <c r="J144" s="228"/>
      <c r="K144" s="228"/>
      <c r="L144" s="228"/>
      <c r="M144" s="228"/>
      <c r="N144" s="228"/>
      <c r="O144" s="228"/>
      <c r="P144" s="228" t="str">
        <f>IFERROR(__xludf.DUMMYFUNCTION("""COMPUTED_VALUE"""),"3455252586")</f>
        <v>3455252586</v>
      </c>
      <c r="Q144" s="228" t="str">
        <f>IFERROR(__xludf.DUMMYFUNCTION("""COMPUTED_VALUE"""),"37405-6446055-1")</f>
        <v>37405-6446055-1</v>
      </c>
      <c r="R144" s="228" t="str">
        <f>IFERROR(__xludf.DUMMYFUNCTION("""COMPUTED_VALUE"""),"Male")</f>
        <v>Male</v>
      </c>
      <c r="S144" s="228" t="str">
        <f>IFERROR(__xludf.DUMMYFUNCTION("""COMPUTED_VALUE"""),"Bank Alfalah")</f>
        <v>Bank Alfalah</v>
      </c>
      <c r="T144" s="228" t="str">
        <f>IFERROR(__xludf.DUMMYFUNCTION("""COMPUTED_VALUE"""),"Taha Hassan")</f>
        <v>Taha Hassan</v>
      </c>
      <c r="U144" s="228" t="str">
        <f>IFERROR(__xludf.DUMMYFUNCTION("""COMPUTED_VALUE"""),"1461009706701")</f>
        <v>1461009706701</v>
      </c>
      <c r="V144" s="228" t="str">
        <f>IFERROR(__xludf.DUMMYFUNCTION("""COMPUTED_VALUE"""),"ALFHPKKAXXX")</f>
        <v>ALFHPKKAXXX</v>
      </c>
      <c r="W144" s="228"/>
      <c r="X144" s="228"/>
      <c r="Y144" s="730">
        <f>IFERROR(__xludf.DUMMYFUNCTION("""COMPUTED_VALUE"""),32408.0)</f>
        <v>32408</v>
      </c>
      <c r="Z144" s="228" t="str">
        <f>IFERROR(__xludf.DUMMYFUNCTION("""COMPUTED_VALUE"""),"37 Years")</f>
        <v>37 Years</v>
      </c>
      <c r="AA144" s="228" t="str">
        <f>IFERROR(__xludf.DUMMYFUNCTION("""COMPUTED_VALUE"""),"H. No. 6-A/17, Poultry Research Institute, Shamsabad, Murree Road, Rawalpindi")</f>
        <v>H. No. 6-A/17, Poultry Research Institute, Shamsabad, Murree Road, Rawalpindi</v>
      </c>
      <c r="AB144" s="228" t="str">
        <f>IFERROR(__xludf.DUMMYFUNCTION("""COMPUTED_VALUE"""),"Pakistani")</f>
        <v>Pakistani</v>
      </c>
      <c r="AC144" s="228" t="str">
        <f>IFERROR(__xludf.DUMMYFUNCTION("""COMPUTED_VALUE"""),"Single")</f>
        <v>Single</v>
      </c>
      <c r="AD144" s="228"/>
      <c r="AE144" s="228"/>
      <c r="AF144" s="228"/>
      <c r="AG144" s="228" t="str">
        <f>IFERROR(__xludf.DUMMYFUNCTION("""COMPUTED_VALUE"""),"Muhammad Khalid Javed")</f>
        <v>Muhammad Khalid Javed</v>
      </c>
      <c r="AH144" s="228" t="str">
        <f>IFERROR(__xludf.DUMMYFUNCTION("""COMPUTED_VALUE"""),"Brother")</f>
        <v>Brother</v>
      </c>
      <c r="AI144" s="228">
        <f>IFERROR(__xludf.DUMMYFUNCTION("""COMPUTED_VALUE"""),3.115622911E9)</f>
        <v>3115622911</v>
      </c>
      <c r="AJ144" s="228" t="str">
        <f>IFERROR(__xludf.DUMMYFUNCTION("""COMPUTED_VALUE"""),"B+")</f>
        <v>B+</v>
      </c>
      <c r="AK144" s="731" t="str">
        <f>IFERROR(__xludf.DUMMYFUNCTION("""COMPUTED_VALUE"""),"linkedin.com/in/tahahassan7")</f>
        <v>linkedin.com/in/tahahassan7</v>
      </c>
      <c r="AL144" s="228" t="str">
        <f>IFERROR(__xludf.DUMMYFUNCTION("""COMPUTED_VALUE"""),"Mustafa Shakil")</f>
        <v>Mustafa Shakil</v>
      </c>
      <c r="AM144" s="228"/>
      <c r="AN144" s="228"/>
      <c r="AO144" s="228"/>
      <c r="AP144" s="228"/>
      <c r="AQ144" s="228"/>
    </row>
    <row r="145">
      <c r="A145" s="228">
        <f>IFERROR(__xludf.DUMMYFUNCTION("""COMPUTED_VALUE"""),5465.0)</f>
        <v>5465</v>
      </c>
      <c r="B145" s="228" t="str">
        <f>IFERROR(__xludf.DUMMYFUNCTION("""COMPUTED_VALUE"""),"Yusra Shafquat")</f>
        <v>Yusra Shafquat</v>
      </c>
      <c r="C145" s="228" t="str">
        <f>IFERROR(__xludf.DUMMYFUNCTION("""COMPUTED_VALUE"""),"tshafquat951@gmail.com")</f>
        <v>tshafquat951@gmail.com</v>
      </c>
      <c r="D145" s="228" t="str">
        <f>IFERROR(__xludf.DUMMYFUNCTION("""COMPUTED_VALUE"""),"yusra.shafquat@vyro.ai")</f>
        <v>yusra.shafquat@vyro.ai</v>
      </c>
      <c r="E145" s="728">
        <f>IFERROR(__xludf.DUMMYFUNCTION("""COMPUTED_VALUE"""),45964.0)</f>
        <v>45964</v>
      </c>
      <c r="F145" s="228" t="str">
        <f>IFERROR(__xludf.DUMMYFUNCTION("""COMPUTED_VALUE"""),"Influencer Marketing Executive ")</f>
        <v>Influencer Marketing Executive </v>
      </c>
      <c r="G145" s="228" t="str">
        <f>IFERROR(__xludf.DUMMYFUNCTION("""COMPUTED_VALUE"""),"Marketing")</f>
        <v>Marketing</v>
      </c>
      <c r="H145" s="228" t="str">
        <f>IFERROR(__xludf.DUMMYFUNCTION("""COMPUTED_VALUE"""),"Shawal Fida")</f>
        <v>Shawal Fida</v>
      </c>
      <c r="I145" s="228" t="str">
        <f>IFERROR(__xludf.DUMMYFUNCTION("""COMPUTED_VALUE"""),"Full Time")</f>
        <v>Full Time</v>
      </c>
      <c r="J145" s="228"/>
      <c r="K145" s="228"/>
      <c r="L145" s="228"/>
      <c r="M145" s="228"/>
      <c r="N145" s="228"/>
      <c r="O145" s="228"/>
      <c r="P145" s="228" t="str">
        <f>IFERROR(__xludf.DUMMYFUNCTION("""COMPUTED_VALUE"""),"3322037243")</f>
        <v>3322037243</v>
      </c>
      <c r="Q145" s="228" t="str">
        <f>IFERROR(__xludf.DUMMYFUNCTION("""COMPUTED_VALUE"""),"42000-0590501-8")</f>
        <v>42000-0590501-8</v>
      </c>
      <c r="R145" s="228" t="str">
        <f>IFERROR(__xludf.DUMMYFUNCTION("""COMPUTED_VALUE"""),"Female")</f>
        <v>Female</v>
      </c>
      <c r="S145" s="228" t="str">
        <f>IFERROR(__xludf.DUMMYFUNCTION("""COMPUTED_VALUE"""),"MCB")</f>
        <v>MCB</v>
      </c>
      <c r="T145" s="228" t="str">
        <f>IFERROR(__xludf.DUMMYFUNCTION("""COMPUTED_VALUE"""),"Yusra Shafquat")</f>
        <v>Yusra Shafquat</v>
      </c>
      <c r="U145" s="228" t="str">
        <f>IFERROR(__xludf.DUMMYFUNCTION("""COMPUTED_VALUE"""),"PK07MUCB1628265541009803")</f>
        <v>PK07MUCB1628265541009803</v>
      </c>
      <c r="V145" s="228" t="str">
        <f>IFERROR(__xludf.DUMMYFUNCTION("""COMPUTED_VALUE"""),"MUCBPKKA")</f>
        <v>MUCBPKKA</v>
      </c>
      <c r="W145" s="228"/>
      <c r="X145" s="228"/>
      <c r="Y145" s="730">
        <f>IFERROR(__xludf.DUMMYFUNCTION("""COMPUTED_VALUE"""),36714.0)</f>
        <v>36714</v>
      </c>
      <c r="Z145" s="228" t="str">
        <f>IFERROR(__xludf.DUMMYFUNCTION("""COMPUTED_VALUE"""),"25 Years")</f>
        <v>25 Years</v>
      </c>
      <c r="AA145" s="228" t="str">
        <f>IFERROR(__xludf.DUMMYFUNCTION("""COMPUTED_VALUE"""),"House no : b2, E-8 , Naval complex Islamabad ")</f>
        <v>House no : b2, E-8 , Naval complex Islamabad </v>
      </c>
      <c r="AB145" s="228" t="str">
        <f>IFERROR(__xludf.DUMMYFUNCTION("""COMPUTED_VALUE"""),"Pakistan")</f>
        <v>Pakistan</v>
      </c>
      <c r="AC145" s="228" t="str">
        <f>IFERROR(__xludf.DUMMYFUNCTION("""COMPUTED_VALUE"""),"Single")</f>
        <v>Single</v>
      </c>
      <c r="AD145" s="228"/>
      <c r="AE145" s="228"/>
      <c r="AF145" s="228"/>
      <c r="AG145" s="228" t="str">
        <f>IFERROR(__xludf.DUMMYFUNCTION("""COMPUTED_VALUE"""),"Read Admiral Shafquat Hussain Akhtar")</f>
        <v>Read Admiral Shafquat Hussain Akhtar</v>
      </c>
      <c r="AH145" s="228" t="str">
        <f>IFERROR(__xludf.DUMMYFUNCTION("""COMPUTED_VALUE"""),"Mother ")</f>
        <v>Mother </v>
      </c>
      <c r="AI145" s="228">
        <f>IFERROR(__xludf.DUMMYFUNCTION("""COMPUTED_VALUE"""),3.345152E9)</f>
        <v>3345152000</v>
      </c>
      <c r="AJ145" s="228" t="str">
        <f>IFERROR(__xludf.DUMMYFUNCTION("""COMPUTED_VALUE"""),"B+")</f>
        <v>B+</v>
      </c>
      <c r="AK145" s="731" t="str">
        <f>IFERROR(__xludf.DUMMYFUNCTION("""COMPUTED_VALUE"""),"https://www.linkedin.com/in/yusra-shafquat-314a27200?utm_source=share&amp;utm_campaign=share_via&amp;utm_content=profile&amp;utm_medium=ios_app")</f>
        <v>https://www.linkedin.com/in/yusra-shafquat-314a27200?utm_source=share&amp;utm_campaign=share_via&amp;utm_content=profile&amp;utm_medium=ios_app</v>
      </c>
      <c r="AL145" s="228" t="str">
        <f>IFERROR(__xludf.DUMMYFUNCTION("""COMPUTED_VALUE"""),"Mustafa Shakil")</f>
        <v>Mustafa Shakil</v>
      </c>
      <c r="AM145" s="228"/>
      <c r="AN145" s="228"/>
      <c r="AO145" s="228"/>
      <c r="AP145" s="228"/>
      <c r="AQ145" s="228"/>
    </row>
    <row r="146">
      <c r="A146" s="228">
        <f>IFERROR(__xludf.DUMMYFUNCTION("""COMPUTED_VALUE"""),5459.0)</f>
        <v>5459</v>
      </c>
      <c r="B146" s="228" t="str">
        <f>IFERROR(__xludf.DUMMYFUNCTION("""COMPUTED_VALUE"""),"Osama Sharif")</f>
        <v>Osama Sharif</v>
      </c>
      <c r="C146" s="228" t="str">
        <f>IFERROR(__xludf.DUMMYFUNCTION("""COMPUTED_VALUE"""),"osamadesigns26@gmail.com")</f>
        <v>osamadesigns26@gmail.com</v>
      </c>
      <c r="D146" s="228" t="str">
        <f>IFERROR(__xludf.DUMMYFUNCTION("""COMPUTED_VALUE"""),"osama.sharif@vyro.ai")</f>
        <v>osama.sharif@vyro.ai</v>
      </c>
      <c r="E146" s="728">
        <f>IFERROR(__xludf.DUMMYFUNCTION("""COMPUTED_VALUE"""),45971.0)</f>
        <v>45971</v>
      </c>
      <c r="F146" s="228" t="str">
        <f>IFERROR(__xludf.DUMMYFUNCTION("""COMPUTED_VALUE"""),"Visual Designer ")</f>
        <v>Visual Designer </v>
      </c>
      <c r="G146" s="228" t="str">
        <f>IFERROR(__xludf.DUMMYFUNCTION("""COMPUTED_VALUE"""),"Marketing")</f>
        <v>Marketing</v>
      </c>
      <c r="H146" s="228" t="str">
        <f>IFERROR(__xludf.DUMMYFUNCTION("""COMPUTED_VALUE"""),"Rizwan Chauhan ")</f>
        <v>Rizwan Chauhan </v>
      </c>
      <c r="I146" s="228" t="str">
        <f>IFERROR(__xludf.DUMMYFUNCTION("""COMPUTED_VALUE"""),"Full Time")</f>
        <v>Full Time</v>
      </c>
      <c r="J146" s="228" t="str">
        <f>IFERROR(__xludf.DUMMYFUNCTION("""COMPUTED_VALUE"""),"Active")</f>
        <v>Active</v>
      </c>
      <c r="K146" s="228"/>
      <c r="L146" s="729">
        <f>IFERROR(__xludf.DUMMYFUNCTION("""COMPUTED_VALUE"""),46063.0)</f>
        <v>46063</v>
      </c>
      <c r="M146" s="228"/>
      <c r="N146" s="228"/>
      <c r="O146" s="228"/>
      <c r="P146" s="228" t="str">
        <f>IFERROR(__xludf.DUMMYFUNCTION("""COMPUTED_VALUE"""),"3159639977")</f>
        <v>3159639977</v>
      </c>
      <c r="Q146" s="228" t="str">
        <f>IFERROR(__xludf.DUMMYFUNCTION("""COMPUTED_VALUE"""),"13101-3514537-5")</f>
        <v>13101-3514537-5</v>
      </c>
      <c r="R146" s="228" t="str">
        <f>IFERROR(__xludf.DUMMYFUNCTION("""COMPUTED_VALUE"""),"Male")</f>
        <v>Male</v>
      </c>
      <c r="S146" s="228" t="str">
        <f>IFERROR(__xludf.DUMMYFUNCTION("""COMPUTED_VALUE"""),"Askari Bank")</f>
        <v>Askari Bank</v>
      </c>
      <c r="T146" s="228" t="str">
        <f>IFERROR(__xludf.DUMMYFUNCTION("""COMPUTED_VALUE"""),"OSAMA SHARIF ")</f>
        <v>OSAMA SHARIF </v>
      </c>
      <c r="U146" s="228" t="str">
        <f>IFERROR(__xludf.DUMMYFUNCTION("""COMPUTED_VALUE"""),"PK70ASCM0000010900000249")</f>
        <v>PK70ASCM0000010900000249</v>
      </c>
      <c r="V146" s="228" t="str">
        <f>IFERROR(__xludf.DUMMYFUNCTION("""COMPUTED_VALUE"""),"ASCMPKKA001")</f>
        <v>ASCMPKKA001</v>
      </c>
      <c r="W146" s="228"/>
      <c r="X146" s="228"/>
      <c r="Y146" s="730">
        <f>IFERROR(__xludf.DUMMYFUNCTION("""COMPUTED_VALUE"""),33811.0)</f>
        <v>33811</v>
      </c>
      <c r="Z146" s="228" t="str">
        <f>IFERROR(__xludf.DUMMYFUNCTION("""COMPUTED_VALUE"""),"33 Years")</f>
        <v>33 Years</v>
      </c>
      <c r="AA146" s="228" t="str">
        <f>IFERROR(__xludf.DUMMYFUNCTION("""COMPUTED_VALUE"""),"H 576 street 20 VIP affiliation Sector 4 airport society ")</f>
        <v>H 576 street 20 VIP affiliation Sector 4 airport society </v>
      </c>
      <c r="AB146" s="228" t="str">
        <f>IFERROR(__xludf.DUMMYFUNCTION("""COMPUTED_VALUE"""),"Pakistani ")</f>
        <v>Pakistani </v>
      </c>
      <c r="AC146" s="228" t="str">
        <f>IFERROR(__xludf.DUMMYFUNCTION("""COMPUTED_VALUE"""),"Married")</f>
        <v>Married</v>
      </c>
      <c r="AD146" s="228"/>
      <c r="AE146" s="228"/>
      <c r="AF146" s="228"/>
      <c r="AG146" s="228" t="str">
        <f>IFERROR(__xludf.DUMMYFUNCTION("""COMPUTED_VALUE"""),"Muhammad Sharif ")</f>
        <v>Muhammad Sharif </v>
      </c>
      <c r="AH146" s="228" t="str">
        <f>IFERROR(__xludf.DUMMYFUNCTION("""COMPUTED_VALUE"""),"Father")</f>
        <v>Father</v>
      </c>
      <c r="AI146" s="228">
        <f>IFERROR(__xludf.DUMMYFUNCTION("""COMPUTED_VALUE"""),3.005077735E9)</f>
        <v>3005077735</v>
      </c>
      <c r="AJ146" s="228" t="str">
        <f>IFERROR(__xludf.DUMMYFUNCTION("""COMPUTED_VALUE"""),"B+")</f>
        <v>B+</v>
      </c>
      <c r="AK146" s="731" t="str">
        <f>IFERROR(__xludf.DUMMYFUNCTION("""COMPUTED_VALUE"""),"www.linkedin.com/in/osamathedesigner")</f>
        <v>www.linkedin.com/in/osamathedesigner</v>
      </c>
      <c r="AL146" s="228" t="str">
        <f>IFERROR(__xludf.DUMMYFUNCTION("""COMPUTED_VALUE"""),"Mustafa Shakil")</f>
        <v>Mustafa Shakil</v>
      </c>
      <c r="AM146" s="228"/>
      <c r="AN146" s="228"/>
      <c r="AO146" s="228"/>
      <c r="AP146" s="228" t="str">
        <f>IFERROR(__xludf.DUMMYFUNCTION("""COMPUTED_VALUE"""),"NO")</f>
        <v>NO</v>
      </c>
      <c r="AQ146" s="228" t="str">
        <f>IFERROR(__xludf.DUMMYFUNCTION("""COMPUTED_VALUE"""),"Active")</f>
        <v>Active</v>
      </c>
    </row>
    <row r="147">
      <c r="A147" s="228">
        <f>IFERROR(__xludf.DUMMYFUNCTION("""COMPUTED_VALUE"""),5463.0)</f>
        <v>5463</v>
      </c>
      <c r="B147" s="228" t="str">
        <f>IFERROR(__xludf.DUMMYFUNCTION("""COMPUTED_VALUE"""),"Muzzamil Shahzad")</f>
        <v>Muzzamil Shahzad</v>
      </c>
      <c r="C147" s="228" t="str">
        <f>IFERROR(__xludf.DUMMYFUNCTION("""COMPUTED_VALUE"""),"shahzad.muzzamil@gmail.com")</f>
        <v>shahzad.muzzamil@gmail.com</v>
      </c>
      <c r="D147" s="228" t="str">
        <f>IFERROR(__xludf.DUMMYFUNCTION("""COMPUTED_VALUE"""),"shahzad.muzzamil@gmail.com")</f>
        <v>shahzad.muzzamil@gmail.com</v>
      </c>
      <c r="E147" s="728">
        <f>IFERROR(__xludf.DUMMYFUNCTION("""COMPUTED_VALUE"""),45985.0)</f>
        <v>45985</v>
      </c>
      <c r="F147" s="228" t="str">
        <f>IFERROR(__xludf.DUMMYFUNCTION("""COMPUTED_VALUE"""),"Senior Technical Recruiter")</f>
        <v>Senior Technical Recruiter</v>
      </c>
      <c r="G147" s="228" t="str">
        <f>IFERROR(__xludf.DUMMYFUNCTION("""COMPUTED_VALUE"""),"People &amp; Talent")</f>
        <v>People &amp; Talent</v>
      </c>
      <c r="H147" s="228" t="str">
        <f>IFERROR(__xludf.DUMMYFUNCTION("""COMPUTED_VALUE"""),"Ahmed Abubakar")</f>
        <v>Ahmed Abubakar</v>
      </c>
      <c r="I147" s="228" t="str">
        <f>IFERROR(__xludf.DUMMYFUNCTION("""COMPUTED_VALUE"""),"Full Time")</f>
        <v>Full Time</v>
      </c>
      <c r="J147" s="228"/>
      <c r="K147" s="228"/>
      <c r="L147" s="228"/>
      <c r="M147" s="228"/>
      <c r="N147" s="228"/>
      <c r="O147" s="228"/>
      <c r="P147" s="228" t="str">
        <f>IFERROR(__xludf.DUMMYFUNCTION("""COMPUTED_VALUE"""),"3436857167")</f>
        <v>3436857167</v>
      </c>
      <c r="Q147" s="228" t="str">
        <f>IFERROR(__xludf.DUMMYFUNCTION("""COMPUTED_VALUE"""),"38303-1194791-7")</f>
        <v>38303-1194791-7</v>
      </c>
      <c r="R147" s="228" t="str">
        <f>IFERROR(__xludf.DUMMYFUNCTION("""COMPUTED_VALUE"""),"Male")</f>
        <v>Male</v>
      </c>
      <c r="S147" s="228" t="str">
        <f>IFERROR(__xludf.DUMMYFUNCTION("""COMPUTED_VALUE"""),"Bank Alflah ")</f>
        <v>Bank Alflah </v>
      </c>
      <c r="T147" s="228" t="str">
        <f>IFERROR(__xludf.DUMMYFUNCTION("""COMPUTED_VALUE"""),"Muzzamil Shahzad")</f>
        <v>Muzzamil Shahzad</v>
      </c>
      <c r="U147" s="228" t="str">
        <f>IFERROR(__xludf.DUMMYFUNCTION("""COMPUTED_VALUE"""),"PK75ALFH0082001009055023")</f>
        <v>PK75ALFH0082001009055023</v>
      </c>
      <c r="V147" s="228" t="str">
        <f>IFERROR(__xludf.DUMMYFUNCTION("""COMPUTED_VALUE"""),"ALFHPKKAXXX")</f>
        <v>ALFHPKKAXXX</v>
      </c>
      <c r="W147" s="228"/>
      <c r="X147" s="228"/>
      <c r="Y147" s="730">
        <f>IFERROR(__xludf.DUMMYFUNCTION("""COMPUTED_VALUE"""),36160.0)</f>
        <v>36160</v>
      </c>
      <c r="Z147" s="228" t="str">
        <f>IFERROR(__xludf.DUMMYFUNCTION("""COMPUTED_VALUE"""),"26 Years")</f>
        <v>26 Years</v>
      </c>
      <c r="AA147" s="228" t="str">
        <f>IFERROR(__xludf.DUMMYFUNCTION("""COMPUTED_VALUE"""),"House#2, Street #2,High Rise Colony, Tehsil Piplan, Dist. Mianwali")</f>
        <v>House#2, Street #2,High Rise Colony, Tehsil Piplan, Dist. Mianwali</v>
      </c>
      <c r="AB147" s="228" t="str">
        <f>IFERROR(__xludf.DUMMYFUNCTION("""COMPUTED_VALUE"""),"Pakistani")</f>
        <v>Pakistani</v>
      </c>
      <c r="AC147" s="228" t="str">
        <f>IFERROR(__xludf.DUMMYFUNCTION("""COMPUTED_VALUE"""),"Single")</f>
        <v>Single</v>
      </c>
      <c r="AD147" s="228"/>
      <c r="AE147" s="228"/>
      <c r="AF147" s="228"/>
      <c r="AG147" s="228" t="str">
        <f>IFERROR(__xludf.DUMMYFUNCTION("""COMPUTED_VALUE"""),"Malik Muhammad Bakhsh")</f>
        <v>Malik Muhammad Bakhsh</v>
      </c>
      <c r="AH147" s="228" t="str">
        <f>IFERROR(__xludf.DUMMYFUNCTION("""COMPUTED_VALUE"""),"Father")</f>
        <v>Father</v>
      </c>
      <c r="AI147" s="228">
        <f>IFERROR(__xludf.DUMMYFUNCTION("""COMPUTED_VALUE"""),3.436641535E9)</f>
        <v>3436641535</v>
      </c>
      <c r="AJ147" s="228" t="str">
        <f>IFERROR(__xludf.DUMMYFUNCTION("""COMPUTED_VALUE"""),"AB+")</f>
        <v>AB+</v>
      </c>
      <c r="AK147" s="731" t="str">
        <f>IFERROR(__xludf.DUMMYFUNCTION("""COMPUTED_VALUE"""),"https://www.linkedin.com/in/shahzamil/")</f>
        <v>https://www.linkedin.com/in/shahzamil/</v>
      </c>
      <c r="AL147" s="228" t="str">
        <f>IFERROR(__xludf.DUMMYFUNCTION("""COMPUTED_VALUE"""),"Mustafa Shakil")</f>
        <v>Mustafa Shakil</v>
      </c>
      <c r="AM147" s="228"/>
      <c r="AN147" s="228"/>
      <c r="AO147" s="228"/>
      <c r="AP147" s="228" t="str">
        <f>IFERROR(__xludf.DUMMYFUNCTION("""COMPUTED_VALUE"""),"NO")</f>
        <v>NO</v>
      </c>
      <c r="AQ147" s="228" t="str">
        <f>IFERROR(__xludf.DUMMYFUNCTION("""COMPUTED_VALUE"""),"Active")</f>
        <v>Active</v>
      </c>
    </row>
    <row r="148">
      <c r="A148" s="228">
        <f>IFERROR(__xludf.DUMMYFUNCTION("""COMPUTED_VALUE"""),5449.0)</f>
        <v>5449</v>
      </c>
      <c r="B148" s="228" t="str">
        <f>IFERROR(__xludf.DUMMYFUNCTION("""COMPUTED_VALUE"""),"Hafiz Muhammad Umer")</f>
        <v>Hafiz Muhammad Umer</v>
      </c>
      <c r="C148" s="228"/>
      <c r="D148" s="228"/>
      <c r="E148" s="228"/>
      <c r="F148" s="228" t="str">
        <f>IFERROR(__xludf.DUMMYFUNCTION("""COMPUTED_VALUE"""),"Admin Executive")</f>
        <v>Admin Executive</v>
      </c>
      <c r="G148" s="228"/>
      <c r="H148" s="228"/>
      <c r="I148" s="228"/>
      <c r="J148" s="228"/>
      <c r="K148" s="228"/>
      <c r="L148" s="228"/>
      <c r="M148" s="228"/>
      <c r="N148" s="228"/>
      <c r="O148" s="228"/>
      <c r="P148" s="228"/>
      <c r="Q148" s="228" t="str">
        <f>IFERROR(__xludf.DUMMYFUNCTION("""COMPUTED_VALUE"""),"38404-4764577-1")</f>
        <v>38404-4764577-1</v>
      </c>
      <c r="R148" s="228"/>
      <c r="S148" s="228"/>
      <c r="T148" s="228"/>
      <c r="U148" s="228"/>
      <c r="V148" s="228"/>
      <c r="W148" s="228"/>
      <c r="X148" s="228"/>
      <c r="Y148" s="228"/>
      <c r="Z148" s="228"/>
      <c r="AA148" s="228"/>
      <c r="AB148" s="228"/>
      <c r="AC148" s="228"/>
      <c r="AD148" s="228"/>
      <c r="AE148" s="228"/>
      <c r="AF148" s="228"/>
      <c r="AG148" s="228"/>
      <c r="AH148" s="228"/>
      <c r="AI148" s="228"/>
      <c r="AJ148" s="228"/>
      <c r="AK148" s="228"/>
      <c r="AL148" s="228"/>
      <c r="AM148" s="228"/>
      <c r="AN148" s="228"/>
      <c r="AO148" s="228"/>
      <c r="AP148" s="228" t="str">
        <f>IFERROR(__xludf.DUMMYFUNCTION("""COMPUTED_VALUE"""),"NO")</f>
        <v>NO</v>
      </c>
      <c r="AQ148" s="228" t="str">
        <f>IFERROR(__xludf.DUMMYFUNCTION("""COMPUTED_VALUE"""),"Active")</f>
        <v>Active</v>
      </c>
    </row>
    <row r="149">
      <c r="A149" s="228">
        <f>IFERROR(__xludf.DUMMYFUNCTION("""COMPUTED_VALUE"""),5469.0)</f>
        <v>5469</v>
      </c>
      <c r="B149" s="228" t="str">
        <f>IFERROR(__xludf.DUMMYFUNCTION("""COMPUTED_VALUE"""),"Ali Abid")</f>
        <v>Ali Abid</v>
      </c>
      <c r="C149" s="228" t="str">
        <f>IFERROR(__xludf.DUMMYFUNCTION("""COMPUTED_VALUE"""),"hello.aliabid@icloud.com")</f>
        <v>hello.aliabid@icloud.com</v>
      </c>
      <c r="D149" s="228" t="str">
        <f>IFERROR(__xludf.DUMMYFUNCTION("""COMPUTED_VALUE"""),"ali.abid@vyro.ai")</f>
        <v>ali.abid@vyro.ai</v>
      </c>
      <c r="E149" s="728">
        <f>IFERROR(__xludf.DUMMYFUNCTION("""COMPUTED_VALUE"""),45971.0)</f>
        <v>45971</v>
      </c>
      <c r="F149" s="228" t="str">
        <f>IFERROR(__xludf.DUMMYFUNCTION("""COMPUTED_VALUE"""),"Sr. Product Designer")</f>
        <v>Sr. Product Designer</v>
      </c>
      <c r="G149" s="228" t="str">
        <f>IFERROR(__xludf.DUMMYFUNCTION("""COMPUTED_VALUE"""),"Product Design")</f>
        <v>Product Design</v>
      </c>
      <c r="H149" s="228" t="str">
        <f>IFERROR(__xludf.DUMMYFUNCTION("""COMPUTED_VALUE"""),"Abdullah Rafique")</f>
        <v>Abdullah Rafique</v>
      </c>
      <c r="I149" s="228" t="str">
        <f>IFERROR(__xludf.DUMMYFUNCTION("""COMPUTED_VALUE"""),"Full Time")</f>
        <v>Full Time</v>
      </c>
      <c r="J149" s="228"/>
      <c r="K149" s="228"/>
      <c r="L149" s="228"/>
      <c r="M149" s="228"/>
      <c r="N149" s="228"/>
      <c r="O149" s="228"/>
      <c r="P149" s="228" t="str">
        <f>IFERROR(__xludf.DUMMYFUNCTION("""COMPUTED_VALUE"""),"3215115202")</f>
        <v>3215115202</v>
      </c>
      <c r="Q149" s="228" t="str">
        <f>IFERROR(__xludf.DUMMYFUNCTION("""COMPUTED_VALUE"""),"6110189321751")</f>
        <v>6110189321751</v>
      </c>
      <c r="R149" s="228" t="str">
        <f>IFERROR(__xludf.DUMMYFUNCTION("""COMPUTED_VALUE"""),"Male")</f>
        <v>Male</v>
      </c>
      <c r="S149" s="228" t="str">
        <f>IFERROR(__xludf.DUMMYFUNCTION("""COMPUTED_VALUE"""),"Meezan Bank")</f>
        <v>Meezan Bank</v>
      </c>
      <c r="T149" s="228" t="str">
        <f>IFERROR(__xludf.DUMMYFUNCTION("""COMPUTED_VALUE"""),"Ali Abid")</f>
        <v>Ali Abid</v>
      </c>
      <c r="U149" s="228" t="str">
        <f>IFERROR(__xludf.DUMMYFUNCTION("""COMPUTED_VALUE"""),"PK46MEZN0003070110289840")</f>
        <v>PK46MEZN0003070110289840</v>
      </c>
      <c r="V149" s="228" t="str">
        <f>IFERROR(__xludf.DUMMYFUNCTION("""COMPUTED_VALUE"""),"MEZNPKKA")</f>
        <v>MEZNPKKA</v>
      </c>
      <c r="W149" s="228"/>
      <c r="X149" s="228"/>
      <c r="Y149" s="730">
        <f>IFERROR(__xludf.DUMMYFUNCTION("""COMPUTED_VALUE"""),35843.0)</f>
        <v>35843</v>
      </c>
      <c r="Z149" s="228"/>
      <c r="AA149" s="228" t="str">
        <f>IFERROR(__xludf.DUMMYFUNCTION("""COMPUTED_VALUE"""),"House # 960-A, Gali 38-B, Sector G-10/4 Islamabad")</f>
        <v>House # 960-A, Gali 38-B, Sector G-10/4 Islamabad</v>
      </c>
      <c r="AB149" s="228" t="str">
        <f>IFERROR(__xludf.DUMMYFUNCTION("""COMPUTED_VALUE"""),"Pakistani")</f>
        <v>Pakistani</v>
      </c>
      <c r="AC149" s="228" t="str">
        <f>IFERROR(__xludf.DUMMYFUNCTION("""COMPUTED_VALUE"""),"Single")</f>
        <v>Single</v>
      </c>
      <c r="AD149" s="228"/>
      <c r="AE149" s="228"/>
      <c r="AF149" s="228"/>
      <c r="AG149" s="228" t="str">
        <f>IFERROR(__xludf.DUMMYFUNCTION("""COMPUTED_VALUE"""),"Abid Hussain")</f>
        <v>Abid Hussain</v>
      </c>
      <c r="AH149" s="228" t="str">
        <f>IFERROR(__xludf.DUMMYFUNCTION("""COMPUTED_VALUE"""),"Brother")</f>
        <v>Brother</v>
      </c>
      <c r="AI149" s="228">
        <f>IFERROR(__xludf.DUMMYFUNCTION("""COMPUTED_VALUE"""),3.335729252E9)</f>
        <v>3335729252</v>
      </c>
      <c r="AJ149" s="228" t="str">
        <f>IFERROR(__xludf.DUMMYFUNCTION("""COMPUTED_VALUE"""),"AB+")</f>
        <v>AB+</v>
      </c>
      <c r="AK149" s="731" t="str">
        <f>IFERROR(__xludf.DUMMYFUNCTION("""COMPUTED_VALUE"""),"https://www.linkedin.com/in/itsalyabid/")</f>
        <v>https://www.linkedin.com/in/itsalyabid/</v>
      </c>
      <c r="AL149" s="228" t="str">
        <f>IFERROR(__xludf.DUMMYFUNCTION("""COMPUTED_VALUE"""),"Annum Tirmizi")</f>
        <v>Annum Tirmizi</v>
      </c>
      <c r="AM149" s="228"/>
      <c r="AN149" s="228"/>
      <c r="AO149" s="228"/>
      <c r="AP149" s="228"/>
      <c r="AQ149" s="228"/>
    </row>
    <row r="150">
      <c r="A150" s="228">
        <f>IFERROR(__xludf.DUMMYFUNCTION("""COMPUTED_VALUE"""),5470.0)</f>
        <v>5470</v>
      </c>
      <c r="B150" s="228" t="str">
        <f>IFERROR(__xludf.DUMMYFUNCTION("""COMPUTED_VALUE"""),"Muhammad Taimoor Azhar")</f>
        <v>Muhammad Taimoor Azhar</v>
      </c>
      <c r="C150" s="228" t="str">
        <f>IFERROR(__xludf.DUMMYFUNCTION("""COMPUTED_VALUE"""),"taimoorazhar978@gmail.com")</f>
        <v>taimoorazhar978@gmail.com</v>
      </c>
      <c r="D150" s="228" t="str">
        <f>IFERROR(__xludf.DUMMYFUNCTION("""COMPUTED_VALUE"""),"muhammad.taimoor@vyro.ai")</f>
        <v>muhammad.taimoor@vyro.ai</v>
      </c>
      <c r="E150" s="728">
        <f>IFERROR(__xludf.DUMMYFUNCTION("""COMPUTED_VALUE"""),45978.0)</f>
        <v>45978</v>
      </c>
      <c r="F150" s="228" t="str">
        <f>IFERROR(__xludf.DUMMYFUNCTION("""COMPUTED_VALUE"""),"Outreach Specialist")</f>
        <v>Outreach Specialist</v>
      </c>
      <c r="G150" s="228" t="str">
        <f>IFERROR(__xludf.DUMMYFUNCTION("""COMPUTED_VALUE"""),"Business &amp; Growth")</f>
        <v>Business &amp; Growth</v>
      </c>
      <c r="H150" s="228" t="str">
        <f>IFERROR(__xludf.DUMMYFUNCTION("""COMPUTED_VALUE"""),"Zain Ul Abedien")</f>
        <v>Zain Ul Abedien</v>
      </c>
      <c r="I150" s="228" t="str">
        <f>IFERROR(__xludf.DUMMYFUNCTION("""COMPUTED_VALUE"""),"Full Time")</f>
        <v>Full Time</v>
      </c>
      <c r="J150" s="228"/>
      <c r="K150" s="228"/>
      <c r="L150" s="228"/>
      <c r="M150" s="228"/>
      <c r="N150" s="228"/>
      <c r="O150" s="228"/>
      <c r="P150" s="228" t="str">
        <f>IFERROR(__xludf.DUMMYFUNCTION("""COMPUTED_VALUE"""),"3324161246")</f>
        <v>3324161246</v>
      </c>
      <c r="Q150" s="228" t="str">
        <f>IFERROR(__xludf.DUMMYFUNCTION("""COMPUTED_VALUE"""),"37406-1982363-7")</f>
        <v>37406-1982363-7</v>
      </c>
      <c r="R150" s="228" t="str">
        <f>IFERROR(__xludf.DUMMYFUNCTION("""COMPUTED_VALUE"""),"Male")</f>
        <v>Male</v>
      </c>
      <c r="S150" s="228" t="str">
        <f>IFERROR(__xludf.DUMMYFUNCTION("""COMPUTED_VALUE"""),"N/A")</f>
        <v>N/A</v>
      </c>
      <c r="T150" s="228" t="str">
        <f>IFERROR(__xludf.DUMMYFUNCTION("""COMPUTED_VALUE"""),"N/A")</f>
        <v>N/A</v>
      </c>
      <c r="U150" s="228" t="str">
        <f>IFERROR(__xludf.DUMMYFUNCTION("""COMPUTED_VALUE"""),"N/A")</f>
        <v>N/A</v>
      </c>
      <c r="V150" s="228" t="str">
        <f>IFERROR(__xludf.DUMMYFUNCTION("""COMPUTED_VALUE"""),"N/A")</f>
        <v>N/A</v>
      </c>
      <c r="W150" s="228"/>
      <c r="X150" s="228"/>
      <c r="Y150" s="730">
        <f>IFERROR(__xludf.DUMMYFUNCTION("""COMPUTED_VALUE"""),38023.0)</f>
        <v>38023</v>
      </c>
      <c r="Z150" s="228"/>
      <c r="AA150" s="228" t="str">
        <f>IFERROR(__xludf.DUMMYFUNCTION("""COMPUTED_VALUE"""),"House No 3 Reetha Road Central Park , Wah Cantt")</f>
        <v>House No 3 Reetha Road Central Park , Wah Cantt</v>
      </c>
      <c r="AB150" s="228" t="str">
        <f>IFERROR(__xludf.DUMMYFUNCTION("""COMPUTED_VALUE"""),"Pakistani")</f>
        <v>Pakistani</v>
      </c>
      <c r="AC150" s="228" t="str">
        <f>IFERROR(__xludf.DUMMYFUNCTION("""COMPUTED_VALUE"""),"Single")</f>
        <v>Single</v>
      </c>
      <c r="AD150" s="228"/>
      <c r="AE150" s="228"/>
      <c r="AF150" s="228"/>
      <c r="AG150" s="228" t="str">
        <f>IFERROR(__xludf.DUMMYFUNCTION("""COMPUTED_VALUE"""),"Azhar Kaiser")</f>
        <v>Azhar Kaiser</v>
      </c>
      <c r="AH150" s="228" t="str">
        <f>IFERROR(__xludf.DUMMYFUNCTION("""COMPUTED_VALUE"""),"Father")</f>
        <v>Father</v>
      </c>
      <c r="AI150" s="228">
        <f>IFERROR(__xludf.DUMMYFUNCTION("""COMPUTED_VALUE"""),3.335641973E9)</f>
        <v>3335641973</v>
      </c>
      <c r="AJ150" s="228" t="str">
        <f>IFERROR(__xludf.DUMMYFUNCTION("""COMPUTED_VALUE"""),"B+")</f>
        <v>B+</v>
      </c>
      <c r="AK150" s="731" t="str">
        <f>IFERROR(__xludf.DUMMYFUNCTION("""COMPUTED_VALUE"""),"https://www.linkedin.com/in/taimoor-azhar/")</f>
        <v>https://www.linkedin.com/in/taimoor-azhar/</v>
      </c>
      <c r="AL150" s="228" t="str">
        <f>IFERROR(__xludf.DUMMYFUNCTION("""COMPUTED_VALUE"""),"Annum Tirmizi")</f>
        <v>Annum Tirmizi</v>
      </c>
      <c r="AM150" s="228"/>
      <c r="AN150" s="228"/>
      <c r="AO150" s="228"/>
      <c r="AP150" s="228"/>
      <c r="AQ150" s="228"/>
    </row>
    <row r="151">
      <c r="A151" s="228">
        <f>IFERROR(__xludf.DUMMYFUNCTION("""COMPUTED_VALUE"""),5471.0)</f>
        <v>5471</v>
      </c>
      <c r="B151" s="228" t="str">
        <f>IFERROR(__xludf.DUMMYFUNCTION("""COMPUTED_VALUE"""),"Muhammad Zain Ikhlaq Chohan")</f>
        <v>Muhammad Zain Ikhlaq Chohan</v>
      </c>
      <c r="C151" s="228" t="str">
        <f>IFERROR(__xludf.DUMMYFUNCTION("""COMPUTED_VALUE"""),"zaynikhlaq@gmail.com")</f>
        <v>zaynikhlaq@gmail.com</v>
      </c>
      <c r="D151" s="228" t="str">
        <f>IFERROR(__xludf.DUMMYFUNCTION("""COMPUTED_VALUE"""),"zain.ikhlaq@vyro.ai")</f>
        <v>zain.ikhlaq@vyro.ai</v>
      </c>
      <c r="E151" s="728">
        <f>IFERROR(__xludf.DUMMYFUNCTION("""COMPUTED_VALUE"""),45974.0)</f>
        <v>45974</v>
      </c>
      <c r="F151" s="228" t="str">
        <f>IFERROR(__xludf.DUMMYFUNCTION("""COMPUTED_VALUE"""),"Associate Frontend Engineer")</f>
        <v>Associate Frontend Engineer</v>
      </c>
      <c r="G151" s="228" t="str">
        <f>IFERROR(__xludf.DUMMYFUNCTION("""COMPUTED_VALUE"""),"Frontend")</f>
        <v>Frontend</v>
      </c>
      <c r="H151" s="228" t="str">
        <f>IFERROR(__xludf.DUMMYFUNCTION("""COMPUTED_VALUE"""),"Hammad Maqsood")</f>
        <v>Hammad Maqsood</v>
      </c>
      <c r="I151" s="228" t="str">
        <f>IFERROR(__xludf.DUMMYFUNCTION("""COMPUTED_VALUE"""),"Full Time")</f>
        <v>Full Time</v>
      </c>
      <c r="J151" s="228"/>
      <c r="K151" s="228"/>
      <c r="L151" s="228"/>
      <c r="M151" s="228"/>
      <c r="N151" s="228"/>
      <c r="O151" s="228"/>
      <c r="P151" s="228" t="str">
        <f>IFERROR(__xludf.DUMMYFUNCTION("""COMPUTED_VALUE"""),"+92 3345225600")</f>
        <v>+92 3345225600</v>
      </c>
      <c r="Q151" s="228" t="str">
        <f>IFERROR(__xludf.DUMMYFUNCTION("""COMPUTED_VALUE"""),"33100-6861697-7 ")</f>
        <v>33100-6861697-7 </v>
      </c>
      <c r="R151" s="228" t="str">
        <f>IFERROR(__xludf.DUMMYFUNCTION("""COMPUTED_VALUE"""),"Male")</f>
        <v>Male</v>
      </c>
      <c r="S151" s="228" t="str">
        <f>IFERROR(__xludf.DUMMYFUNCTION("""COMPUTED_VALUE"""),"UBL")</f>
        <v>UBL</v>
      </c>
      <c r="T151" s="228" t="str">
        <f>IFERROR(__xludf.DUMMYFUNCTION("""COMPUTED_VALUE"""),"Muhammad Zain Ikhlaq Chohan")</f>
        <v>Muhammad Zain Ikhlaq Chohan</v>
      </c>
      <c r="U151" s="228" t="str">
        <f>IFERROR(__xludf.DUMMYFUNCTION("""COMPUTED_VALUE"""),"PK68UNIL0109000335293645")</f>
        <v>PK68UNIL0109000335293645</v>
      </c>
      <c r="V151" s="228" t="str">
        <f>IFERROR(__xludf.DUMMYFUNCTION("""COMPUTED_VALUE"""),"UNILPKKA741")</f>
        <v>UNILPKKA741</v>
      </c>
      <c r="W151" s="228"/>
      <c r="X151" s="228"/>
      <c r="Y151" s="730">
        <f>IFERROR(__xludf.DUMMYFUNCTION("""COMPUTED_VALUE"""),38791.0)</f>
        <v>38791</v>
      </c>
      <c r="Z151" s="228"/>
      <c r="AA151" s="228" t="str">
        <f>IFERROR(__xludf.DUMMYFUNCTION("""COMPUTED_VALUE"""),"House 93, Street 64, G7/2-4")</f>
        <v>House 93, Street 64, G7/2-4</v>
      </c>
      <c r="AB151" s="228" t="str">
        <f>IFERROR(__xludf.DUMMYFUNCTION("""COMPUTED_VALUE"""),"Pakistani")</f>
        <v>Pakistani</v>
      </c>
      <c r="AC151" s="228" t="str">
        <f>IFERROR(__xludf.DUMMYFUNCTION("""COMPUTED_VALUE"""),"Single")</f>
        <v>Single</v>
      </c>
      <c r="AD151" s="228"/>
      <c r="AE151" s="228"/>
      <c r="AF151" s="228"/>
      <c r="AG151" s="228" t="str">
        <f>IFERROR(__xludf.DUMMYFUNCTION("""COMPUTED_VALUE"""),"Muhammad Ikhlaq ")</f>
        <v>Muhammad Ikhlaq </v>
      </c>
      <c r="AH151" s="228" t="str">
        <f>IFERROR(__xludf.DUMMYFUNCTION("""COMPUTED_VALUE"""),"Uncle")</f>
        <v>Uncle</v>
      </c>
      <c r="AI151" s="228">
        <f>IFERROR(__xludf.DUMMYFUNCTION("""COMPUTED_VALUE"""),3.216515151E9)</f>
        <v>3216515151</v>
      </c>
      <c r="AJ151" s="228" t="str">
        <f>IFERROR(__xludf.DUMMYFUNCTION("""COMPUTED_VALUE"""),"A+")</f>
        <v>A+</v>
      </c>
      <c r="AK151" s="731" t="str">
        <f>IFERROR(__xludf.DUMMYFUNCTION("""COMPUTED_VALUE"""),"https://www.linkedin.com/in/zainikhlaq")</f>
        <v>https://www.linkedin.com/in/zainikhlaq</v>
      </c>
      <c r="AL151" s="228" t="str">
        <f>IFERROR(__xludf.DUMMYFUNCTION("""COMPUTED_VALUE"""),"Annum Tirmizi")</f>
        <v>Annum Tirmizi</v>
      </c>
      <c r="AM151" s="228"/>
      <c r="AN151" s="228"/>
      <c r="AO151" s="228"/>
      <c r="AP151" s="228"/>
      <c r="AQ151" s="228"/>
    </row>
    <row r="152">
      <c r="A152" s="228"/>
      <c r="B152" s="228" t="str">
        <f>IFERROR(__xludf.DUMMYFUNCTION("""COMPUTED_VALUE"""),"Sana Imran")</f>
        <v>Sana Imran</v>
      </c>
      <c r="C152" s="228" t="str">
        <f>IFERROR(__xludf.DUMMYFUNCTION("""COMPUTED_VALUE"""),"sanaimran2093@gmail.com")</f>
        <v>sanaimran2093@gmail.com</v>
      </c>
      <c r="D152" s="228"/>
      <c r="E152" s="730">
        <f>IFERROR(__xludf.DUMMYFUNCTION("""COMPUTED_VALUE"""),44193.0)</f>
        <v>44193</v>
      </c>
      <c r="F152" s="228" t="str">
        <f>IFERROR(__xludf.DUMMYFUNCTION("""COMPUTED_VALUE"""),"HR &amp; Business Planning Analyst")</f>
        <v>HR &amp; Business Planning Analyst</v>
      </c>
      <c r="G152" s="228" t="str">
        <f>IFERROR(__xludf.DUMMYFUNCTION("""COMPUTED_VALUE"""),"BP &amp; HR")</f>
        <v>BP &amp; HR</v>
      </c>
      <c r="H152" s="228" t="str">
        <f>IFERROR(__xludf.DUMMYFUNCTION("""COMPUTED_VALUE"""),"Z/A/A")</f>
        <v>Z/A/A</v>
      </c>
      <c r="I152" s="228" t="str">
        <f>IFERROR(__xludf.DUMMYFUNCTION("""COMPUTED_VALUE"""),"Permanent")</f>
        <v>Permanent</v>
      </c>
      <c r="J152" s="228"/>
      <c r="K152" s="228"/>
      <c r="L152" s="228"/>
      <c r="M152" s="228"/>
      <c r="N152" s="228"/>
      <c r="O152" s="228"/>
      <c r="P152" s="228" t="str">
        <f>IFERROR(__xludf.DUMMYFUNCTION("""COMPUTED_VALUE"""),"0334-5429429")</f>
        <v>0334-5429429</v>
      </c>
      <c r="Q152" s="228" t="str">
        <f>IFERROR(__xludf.DUMMYFUNCTION("""COMPUTED_VALUE"""),"37405-1836095-8")</f>
        <v>37405-1836095-8</v>
      </c>
      <c r="R152" s="228" t="str">
        <f>IFERROR(__xludf.DUMMYFUNCTION("""COMPUTED_VALUE"""),"Female")</f>
        <v>Female</v>
      </c>
      <c r="S152" s="228"/>
      <c r="T152" s="228"/>
      <c r="U152" s="228"/>
      <c r="V152" s="228"/>
      <c r="W152" s="228"/>
      <c r="X152" s="228"/>
      <c r="Y152" s="730">
        <f>IFERROR(__xludf.DUMMYFUNCTION("""COMPUTED_VALUE"""),34323.0)</f>
        <v>34323</v>
      </c>
      <c r="Z152" s="228" t="str">
        <f>IFERROR(__xludf.DUMMYFUNCTION("""COMPUTED_VALUE"""),"31 Years")</f>
        <v>31 Years</v>
      </c>
      <c r="AA152" s="228" t="str">
        <f>IFERROR(__xludf.DUMMYFUNCTION("""COMPUTED_VALUE"""),"House # 5446, Street 1-A, NewLalazar, RWP")</f>
        <v>House # 5446, Street 1-A, NewLalazar, RWP</v>
      </c>
      <c r="AB152" s="228"/>
      <c r="AC152" s="228" t="str">
        <f>IFERROR(__xludf.DUMMYFUNCTION("""COMPUTED_VALUE"""),"Single")</f>
        <v>Single</v>
      </c>
      <c r="AD152" s="228"/>
      <c r="AE152" s="228"/>
      <c r="AF152" s="228"/>
      <c r="AG152" s="228" t="str">
        <f>IFERROR(__xludf.DUMMYFUNCTION("""COMPUTED_VALUE"""),"Syed Mujahid Imran")</f>
        <v>Syed Mujahid Imran</v>
      </c>
      <c r="AH152" s="228" t="str">
        <f>IFERROR(__xludf.DUMMYFUNCTION("""COMPUTED_VALUE"""),"Father")</f>
        <v>Father</v>
      </c>
      <c r="AI152" s="228" t="str">
        <f>IFERROR(__xludf.DUMMYFUNCTION("""COMPUTED_VALUE"""),"0334-5429429")</f>
        <v>0334-5429429</v>
      </c>
      <c r="AJ152" s="228" t="str">
        <f>IFERROR(__xludf.DUMMYFUNCTION("""COMPUTED_VALUE"""),"a+")</f>
        <v>a+</v>
      </c>
      <c r="AK152" s="731" t="str">
        <f>IFERROR(__xludf.DUMMYFUNCTION("""COMPUTED_VALUE"""),"www.linkedin.com/in/sana-imran-")</f>
        <v>www.linkedin.com/in/sana-imran-</v>
      </c>
      <c r="AL152" s="228"/>
      <c r="AM152" s="730">
        <f>IFERROR(__xludf.DUMMYFUNCTION("""COMPUTED_VALUE"""),44286.0)</f>
        <v>44286</v>
      </c>
      <c r="AN152" s="228"/>
      <c r="AO152" s="228"/>
      <c r="AP152" s="228" t="str">
        <f>IFERROR(__xludf.DUMMYFUNCTION("""COMPUTED_VALUE"""),"NO")</f>
        <v>NO</v>
      </c>
      <c r="AQ152" s="228" t="str">
        <f>IFERROR(__xludf.DUMMYFUNCTION("""COMPUTED_VALUE"""),"Resigned/Terminated")</f>
        <v>Resigned/Terminated</v>
      </c>
    </row>
    <row r="153">
      <c r="A153" s="228"/>
      <c r="B153" s="228" t="str">
        <f>IFERROR(__xludf.DUMMYFUNCTION("""COMPUTED_VALUE"""),"Atif Afridi")</f>
        <v>Atif Afridi</v>
      </c>
      <c r="C153" s="228" t="str">
        <f>IFERROR(__xludf.DUMMYFUNCTION("""COMPUTED_VALUE"""),"atifafridi1990@gmail.com")</f>
        <v>atifafridi1990@gmail.com</v>
      </c>
      <c r="D153" s="228"/>
      <c r="E153" s="728">
        <f>IFERROR(__xludf.DUMMYFUNCTION("""COMPUTED_VALUE"""),44136.0)</f>
        <v>44136</v>
      </c>
      <c r="F153" s="228" t="str">
        <f>IFERROR(__xludf.DUMMYFUNCTION("""COMPUTED_VALUE"""),"Senior Android Developer")</f>
        <v>Senior Android Developer</v>
      </c>
      <c r="G153" s="228" t="str">
        <f>IFERROR(__xludf.DUMMYFUNCTION("""COMPUTED_VALUE"""),"Android")</f>
        <v>Android</v>
      </c>
      <c r="H153" s="228" t="str">
        <f>IFERROR(__xludf.DUMMYFUNCTION("""COMPUTED_VALUE"""),"Z/A")</f>
        <v>Z/A</v>
      </c>
      <c r="I153" s="228" t="str">
        <f>IFERROR(__xludf.DUMMYFUNCTION("""COMPUTED_VALUE"""),"Permanent")</f>
        <v>Permanent</v>
      </c>
      <c r="J153" s="228"/>
      <c r="K153" s="228" t="str">
        <f>IFERROR(__xludf.DUMMYFUNCTION("""COMPUTED_VALUE"""),"3M")</f>
        <v>3M</v>
      </c>
      <c r="L153" s="228"/>
      <c r="M153" s="228"/>
      <c r="N153" s="228"/>
      <c r="O153" s="228"/>
      <c r="P153" s="228" t="str">
        <f>IFERROR(__xludf.DUMMYFUNCTION("""COMPUTED_VALUE"""),"0336-5045082")</f>
        <v>0336-5045082</v>
      </c>
      <c r="Q153" s="228" t="str">
        <f>IFERROR(__xludf.DUMMYFUNCTION("""COMPUTED_VALUE"""),"22401-1381263-9")</f>
        <v>22401-1381263-9</v>
      </c>
      <c r="R153" s="228" t="str">
        <f>IFERROR(__xludf.DUMMYFUNCTION("""COMPUTED_VALUE"""),"Male")</f>
        <v>Male</v>
      </c>
      <c r="S153" s="228"/>
      <c r="T153" s="228"/>
      <c r="U153" s="228"/>
      <c r="V153" s="228"/>
      <c r="W153" s="228"/>
      <c r="X153" s="228"/>
      <c r="Y153" s="730">
        <f>IFERROR(__xludf.DUMMYFUNCTION("""COMPUTED_VALUE"""),33199.0)</f>
        <v>33199</v>
      </c>
      <c r="Z153" s="228" t="str">
        <f>IFERROR(__xludf.DUMMYFUNCTION("""COMPUTED_VALUE"""),"34 Years")</f>
        <v>34 Years</v>
      </c>
      <c r="AA153" s="228" t="str">
        <f>IFERROR(__xludf.DUMMYFUNCTION("""COMPUTED_VALUE"""),"House # 1/6, Street #48, Sector G-7/2, Islamabad")</f>
        <v>House # 1/6, Street #48, Sector G-7/2, Islamabad</v>
      </c>
      <c r="AB153" s="228"/>
      <c r="AC153" s="228" t="str">
        <f>IFERROR(__xludf.DUMMYFUNCTION("""COMPUTED_VALUE"""),"Married")</f>
        <v>Married</v>
      </c>
      <c r="AD153" s="228">
        <f>IFERROR(__xludf.DUMMYFUNCTION("""COMPUTED_VALUE"""),1.0)</f>
        <v>1</v>
      </c>
      <c r="AE153" s="228" t="str">
        <f>IFERROR(__xludf.DUMMYFUNCTION("""COMPUTED_VALUE"""),"Irsa Atif")</f>
        <v>Irsa Atif</v>
      </c>
      <c r="AF153" s="228"/>
      <c r="AG153" s="228" t="str">
        <f>IFERROR(__xludf.DUMMYFUNCTION("""COMPUTED_VALUE"""),"Waqid Afridi")</f>
        <v>Waqid Afridi</v>
      </c>
      <c r="AH153" s="228" t="str">
        <f>IFERROR(__xludf.DUMMYFUNCTION("""COMPUTED_VALUE"""),"Brother")</f>
        <v>Brother</v>
      </c>
      <c r="AI153" s="228" t="str">
        <f>IFERROR(__xludf.DUMMYFUNCTION("""COMPUTED_VALUE"""),"0336-5270272")</f>
        <v>0336-5270272</v>
      </c>
      <c r="AJ153" s="228" t="str">
        <f>IFERROR(__xludf.DUMMYFUNCTION("""COMPUTED_VALUE"""),"A+")</f>
        <v>A+</v>
      </c>
      <c r="AK153" s="731" t="str">
        <f>IFERROR(__xludf.DUMMYFUNCTION("""COMPUTED_VALUE"""),"https://www.linkedin.com/in/atif-afridi-6390524b/")</f>
        <v>https://www.linkedin.com/in/atif-afridi-6390524b/</v>
      </c>
      <c r="AL153" s="228"/>
      <c r="AM153" s="730">
        <f>IFERROR(__xludf.DUMMYFUNCTION("""COMPUTED_VALUE"""),44294.0)</f>
        <v>44294</v>
      </c>
      <c r="AN153" s="228"/>
      <c r="AO153" s="228"/>
      <c r="AP153" s="228" t="str">
        <f>IFERROR(__xludf.DUMMYFUNCTION("""COMPUTED_VALUE"""),"NO")</f>
        <v>NO</v>
      </c>
      <c r="AQ153" s="228" t="str">
        <f>IFERROR(__xludf.DUMMYFUNCTION("""COMPUTED_VALUE"""),"Resigned/Terminated")</f>
        <v>Resigned/Terminated</v>
      </c>
    </row>
    <row r="154">
      <c r="A154" s="228">
        <f>IFERROR(__xludf.DUMMYFUNCTION("""COMPUTED_VALUE"""),5018.0)</f>
        <v>5018</v>
      </c>
      <c r="B154" s="228" t="str">
        <f>IFERROR(__xludf.DUMMYFUNCTION("""COMPUTED_VALUE"""),"Nouman Shah")</f>
        <v>Nouman Shah</v>
      </c>
      <c r="C154" s="228" t="str">
        <f>IFERROR(__xludf.DUMMYFUNCTION("""COMPUTED_VALUE"""),"noumanshah115@gmail.com")</f>
        <v>noumanshah115@gmail.com</v>
      </c>
      <c r="D154" s="228"/>
      <c r="E154" s="728">
        <f>IFERROR(__xludf.DUMMYFUNCTION("""COMPUTED_VALUE"""),44284.0)</f>
        <v>44284</v>
      </c>
      <c r="F154" s="228" t="str">
        <f>IFERROR(__xludf.DUMMYFUNCTION("""COMPUTED_VALUE"""),"Senior Android Developer")</f>
        <v>Senior Android Developer</v>
      </c>
      <c r="G154" s="228" t="str">
        <f>IFERROR(__xludf.DUMMYFUNCTION("""COMPUTED_VALUE"""),"Android")</f>
        <v>Android</v>
      </c>
      <c r="H154" s="228"/>
      <c r="I154" s="228" t="str">
        <f>IFERROR(__xludf.DUMMYFUNCTION("""COMPUTED_VALUE"""),"Permanent")</f>
        <v>Permanent</v>
      </c>
      <c r="J154" s="228"/>
      <c r="K154" s="228"/>
      <c r="L154" s="228"/>
      <c r="M154" s="228"/>
      <c r="N154" s="228"/>
      <c r="O154" s="228"/>
      <c r="P154" s="228" t="str">
        <f>IFERROR(__xludf.DUMMYFUNCTION("""COMPUTED_VALUE"""),"0333 5403151")</f>
        <v>0333 5403151</v>
      </c>
      <c r="Q154" s="228" t="str">
        <f>IFERROR(__xludf.DUMMYFUNCTION("""COMPUTED_VALUE"""),"14301-9517551-5")</f>
        <v>14301-9517551-5</v>
      </c>
      <c r="R154" s="228" t="str">
        <f>IFERROR(__xludf.DUMMYFUNCTION("""COMPUTED_VALUE"""),"Male")</f>
        <v>Male</v>
      </c>
      <c r="S154" s="228" t="str">
        <f>IFERROR(__xludf.DUMMYFUNCTION("""COMPUTED_VALUE"""),"STANDARD CHARTERED")</f>
        <v>STANDARD CHARTERED</v>
      </c>
      <c r="T154" s="228"/>
      <c r="U154" s="228" t="str">
        <f>IFERROR(__xludf.DUMMYFUNCTION("""COMPUTED_VALUE"""),"01727527401")</f>
        <v>01727527401</v>
      </c>
      <c r="V154" s="228"/>
      <c r="W154" s="228"/>
      <c r="X154" s="228"/>
      <c r="Y154" s="228"/>
      <c r="Z154" s="228"/>
      <c r="AA154" s="228"/>
      <c r="AB154" s="228"/>
      <c r="AC154" s="228"/>
      <c r="AD154" s="228"/>
      <c r="AE154" s="228"/>
      <c r="AF154" s="228"/>
      <c r="AG154" s="228" t="str">
        <f>IFERROR(__xludf.DUMMYFUNCTION("""COMPUTED_VALUE"""),"Sher Shah")</f>
        <v>Sher Shah</v>
      </c>
      <c r="AH154" s="228" t="str">
        <f>IFERROR(__xludf.DUMMYFUNCTION("""COMPUTED_VALUE"""),"Father")</f>
        <v>Father</v>
      </c>
      <c r="AI154" s="228"/>
      <c r="AJ154" s="228"/>
      <c r="AK154" s="731" t="str">
        <f>IFERROR(__xludf.DUMMYFUNCTION("""COMPUTED_VALUE"""),"https://www.linkedin.com/in/nouman-shah-0a0725b6/")</f>
        <v>https://www.linkedin.com/in/nouman-shah-0a0725b6/</v>
      </c>
      <c r="AL154" s="228"/>
      <c r="AM154" s="730">
        <f>IFERROR(__xludf.DUMMYFUNCTION("""COMPUTED_VALUE"""),44315.0)</f>
        <v>44315</v>
      </c>
      <c r="AN154" s="228"/>
      <c r="AO154" s="228"/>
      <c r="AP154" s="228" t="str">
        <f>IFERROR(__xludf.DUMMYFUNCTION("""COMPUTED_VALUE"""),"NO")</f>
        <v>NO</v>
      </c>
      <c r="AQ154" s="228" t="str">
        <f>IFERROR(__xludf.DUMMYFUNCTION("""COMPUTED_VALUE"""),"Resigned/Terminated")</f>
        <v>Resigned/Terminated</v>
      </c>
    </row>
    <row r="155">
      <c r="A155" s="228">
        <f>IFERROR(__xludf.DUMMYFUNCTION("""COMPUTED_VALUE"""),5004.0)</f>
        <v>5004</v>
      </c>
      <c r="B155" s="228" t="str">
        <f>IFERROR(__xludf.DUMMYFUNCTION("""COMPUTED_VALUE"""),"Aqsa Shahzad")</f>
        <v>Aqsa Shahzad</v>
      </c>
      <c r="C155" s="228" t="str">
        <f>IFERROR(__xludf.DUMMYFUNCTION("""COMPUTED_VALUE"""),"aqsashahzad23@gmail.com")</f>
        <v>aqsashahzad23@gmail.com</v>
      </c>
      <c r="D155" s="228"/>
      <c r="E155" s="730">
        <f>IFERROR(__xludf.DUMMYFUNCTION("""COMPUTED_VALUE"""),44285.0)</f>
        <v>44285</v>
      </c>
      <c r="F155" s="228" t="str">
        <f>IFERROR(__xludf.DUMMYFUNCTION("""COMPUTED_VALUE"""),"Human Resource Intern")</f>
        <v>Human Resource Intern</v>
      </c>
      <c r="G155" s="228" t="str">
        <f>IFERROR(__xludf.DUMMYFUNCTION("""COMPUTED_VALUE"""),"HR &amp; Admin")</f>
        <v>HR &amp; Admin</v>
      </c>
      <c r="H155" s="228" t="str">
        <f>IFERROR(__xludf.DUMMYFUNCTION("""COMPUTED_VALUE"""),"A")</f>
        <v>A</v>
      </c>
      <c r="I155" s="228" t="str">
        <f>IFERROR(__xludf.DUMMYFUNCTION("""COMPUTED_VALUE"""),"Intern")</f>
        <v>Intern</v>
      </c>
      <c r="J155" s="228"/>
      <c r="K155" s="228"/>
      <c r="L155" s="228"/>
      <c r="M155" s="228"/>
      <c r="N155" s="228"/>
      <c r="O155" s="228"/>
      <c r="P155" s="228" t="str">
        <f>IFERROR(__xludf.DUMMYFUNCTION("""COMPUTED_VALUE"""),"0332-5424847")</f>
        <v>0332-5424847</v>
      </c>
      <c r="Q155" s="228" t="str">
        <f>IFERROR(__xludf.DUMMYFUNCTION("""COMPUTED_VALUE"""),"61101-9731277-6")</f>
        <v>61101-9731277-6</v>
      </c>
      <c r="R155" s="228" t="str">
        <f>IFERROR(__xludf.DUMMYFUNCTION("""COMPUTED_VALUE"""),"Female")</f>
        <v>Female</v>
      </c>
      <c r="S155" s="228" t="str">
        <f>IFERROR(__xludf.DUMMYFUNCTION("""COMPUTED_VALUE"""),"Silk Bank")</f>
        <v>Silk Bank</v>
      </c>
      <c r="T155" s="228"/>
      <c r="U155" s="228" t="str">
        <f>IFERROR(__xludf.DUMMYFUNCTION("""COMPUTED_VALUE"""),"0002-2004962028")</f>
        <v>0002-2004962028</v>
      </c>
      <c r="V155" s="228"/>
      <c r="W155" s="228"/>
      <c r="X155" s="228"/>
      <c r="Y155" s="730">
        <f>IFERROR(__xludf.DUMMYFUNCTION("""COMPUTED_VALUE"""),35065.0)</f>
        <v>35065</v>
      </c>
      <c r="Z155" s="228" t="str">
        <f>IFERROR(__xludf.DUMMYFUNCTION("""COMPUTED_VALUE"""),"29 Years")</f>
        <v>29 Years</v>
      </c>
      <c r="AA155" s="228"/>
      <c r="AB155" s="228"/>
      <c r="AC155" s="228"/>
      <c r="AD155" s="228"/>
      <c r="AE155" s="228"/>
      <c r="AF155" s="228"/>
      <c r="AG155" s="228" t="str">
        <f>IFERROR(__xludf.DUMMYFUNCTION("""COMPUTED_VALUE"""),"Shahzad Khan")</f>
        <v>Shahzad Khan</v>
      </c>
      <c r="AH155" s="228" t="str">
        <f>IFERROR(__xludf.DUMMYFUNCTION("""COMPUTED_VALUE"""),"Father")</f>
        <v>Father</v>
      </c>
      <c r="AI155" s="228"/>
      <c r="AJ155" s="228"/>
      <c r="AK155" s="228"/>
      <c r="AL155" s="228"/>
      <c r="AM155" s="730">
        <f>IFERROR(__xludf.DUMMYFUNCTION("""COMPUTED_VALUE"""),44316.0)</f>
        <v>44316</v>
      </c>
      <c r="AN155" s="228"/>
      <c r="AO155" s="228"/>
      <c r="AP155" s="228" t="str">
        <f>IFERROR(__xludf.DUMMYFUNCTION("""COMPUTED_VALUE"""),"NO")</f>
        <v>NO</v>
      </c>
      <c r="AQ155" s="228" t="str">
        <f>IFERROR(__xludf.DUMMYFUNCTION("""COMPUTED_VALUE"""),"Resigned/Terminated")</f>
        <v>Resigned/Terminated</v>
      </c>
    </row>
    <row r="156">
      <c r="A156" s="228">
        <f>IFERROR(__xludf.DUMMYFUNCTION("""COMPUTED_VALUE"""),5019.0)</f>
        <v>5019</v>
      </c>
      <c r="B156" s="228" t="str">
        <f>IFERROR(__xludf.DUMMYFUNCTION("""COMPUTED_VALUE"""),"Qasim Khan")</f>
        <v>Qasim Khan</v>
      </c>
      <c r="C156" s="228" t="str">
        <f>IFERROR(__xludf.DUMMYFUNCTION("""COMPUTED_VALUE"""),"qasimkhan3.124@gmail.com")</f>
        <v>qasimkhan3.124@gmail.com</v>
      </c>
      <c r="D156" s="228"/>
      <c r="E156" s="730">
        <f>IFERROR(__xludf.DUMMYFUNCTION("""COMPUTED_VALUE"""),44125.0)</f>
        <v>44125</v>
      </c>
      <c r="F156" s="228" t="str">
        <f>IFERROR(__xludf.DUMMYFUNCTION("""COMPUTED_VALUE"""),"Machine Learning Engineer - Android")</f>
        <v>Machine Learning Engineer - Android</v>
      </c>
      <c r="G156" s="228" t="str">
        <f>IFERROR(__xludf.DUMMYFUNCTION("""COMPUTED_VALUE"""),"R &amp; D")</f>
        <v>R &amp; D</v>
      </c>
      <c r="H156" s="228" t="str">
        <f>IFERROR(__xludf.DUMMYFUNCTION("""COMPUTED_VALUE"""),"Z/A")</f>
        <v>Z/A</v>
      </c>
      <c r="I156" s="228" t="str">
        <f>IFERROR(__xludf.DUMMYFUNCTION("""COMPUTED_VALUE"""),"Intern")</f>
        <v>Intern</v>
      </c>
      <c r="J156" s="228"/>
      <c r="K156" s="228" t="str">
        <f>IFERROR(__xludf.DUMMYFUNCTION("""COMPUTED_VALUE"""),"2 M")</f>
        <v>2 M</v>
      </c>
      <c r="L156" s="228"/>
      <c r="M156" s="53">
        <f>IFERROR(__xludf.DUMMYFUNCTION("""COMPUTED_VALUE"""),20000.0)</f>
        <v>20000</v>
      </c>
      <c r="N156" s="228"/>
      <c r="O156" s="228">
        <f>IFERROR(__xludf.DUMMYFUNCTION("""COMPUTED_VALUE"""),20000.0)</f>
        <v>20000</v>
      </c>
      <c r="P156" s="228" t="str">
        <f>IFERROR(__xludf.DUMMYFUNCTION("""COMPUTED_VALUE"""),"03355122277")</f>
        <v>03355122277</v>
      </c>
      <c r="Q156" s="228" t="str">
        <f>IFERROR(__xludf.DUMMYFUNCTION("""COMPUTED_VALUE"""),"37104-0292449-1")</f>
        <v>37104-0292449-1</v>
      </c>
      <c r="R156" s="228" t="str">
        <f>IFERROR(__xludf.DUMMYFUNCTION("""COMPUTED_VALUE"""),"Male")</f>
        <v>Male</v>
      </c>
      <c r="S156" s="228"/>
      <c r="T156" s="228"/>
      <c r="U156" s="228"/>
      <c r="V156" s="228"/>
      <c r="W156" s="228"/>
      <c r="X156" s="228"/>
      <c r="Y156" s="730">
        <f>IFERROR(__xludf.DUMMYFUNCTION("""COMPUTED_VALUE"""),36979.0)</f>
        <v>36979</v>
      </c>
      <c r="Z156" s="228" t="str">
        <f>IFERROR(__xludf.DUMMYFUNCTION("""COMPUTED_VALUE"""),"24 Years")</f>
        <v>24 Years</v>
      </c>
      <c r="AA156" s="228" t="str">
        <f>IFERROR(__xludf.DUMMYFUNCTION("""COMPUTED_VALUE"""),"H. 949, Bahria Avenue, Phase 7, Bahria Town, Islamabad")</f>
        <v>H. 949, Bahria Avenue, Phase 7, Bahria Town, Islamabad</v>
      </c>
      <c r="AB156" s="228"/>
      <c r="AC156" s="228" t="str">
        <f>IFERROR(__xludf.DUMMYFUNCTION("""COMPUTED_VALUE"""),"Single")</f>
        <v>Single</v>
      </c>
      <c r="AD156" s="228"/>
      <c r="AE156" s="228"/>
      <c r="AF156" s="228"/>
      <c r="AG156" s="228" t="str">
        <f>IFERROR(__xludf.DUMMYFUNCTION("""COMPUTED_VALUE"""),"Sajjad Haider Khan")</f>
        <v>Sajjad Haider Khan</v>
      </c>
      <c r="AH156" s="228" t="str">
        <f>IFERROR(__xludf.DUMMYFUNCTION("""COMPUTED_VALUE"""),"Father")</f>
        <v>Father</v>
      </c>
      <c r="AI156" s="228" t="str">
        <f>IFERROR(__xludf.DUMMYFUNCTION("""COMPUTED_VALUE"""),"0333-5123469")</f>
        <v>0333-5123469</v>
      </c>
      <c r="AJ156" s="228" t="str">
        <f>IFERROR(__xludf.DUMMYFUNCTION("""COMPUTED_VALUE"""),"B+")</f>
        <v>B+</v>
      </c>
      <c r="AK156" s="731" t="str">
        <f>IFERROR(__xludf.DUMMYFUNCTION("""COMPUTED_VALUE"""),"https://www.linkedin.com/in/muhammad-qasim-khan-2375a618a/")</f>
        <v>https://www.linkedin.com/in/muhammad-qasim-khan-2375a618a/</v>
      </c>
      <c r="AL156" s="228"/>
      <c r="AM156" s="730">
        <f>IFERROR(__xludf.DUMMYFUNCTION("""COMPUTED_VALUE"""),44316.0)</f>
        <v>44316</v>
      </c>
      <c r="AN156" s="228"/>
      <c r="AO156" s="228"/>
      <c r="AP156" s="228" t="str">
        <f>IFERROR(__xludf.DUMMYFUNCTION("""COMPUTED_VALUE"""),"NO")</f>
        <v>NO</v>
      </c>
      <c r="AQ156" s="228" t="str">
        <f>IFERROR(__xludf.DUMMYFUNCTION("""COMPUTED_VALUE"""),"Resigned/Terminated")</f>
        <v>Resigned/Terminated</v>
      </c>
    </row>
    <row r="157">
      <c r="A157" s="228">
        <f>IFERROR(__xludf.DUMMYFUNCTION("""COMPUTED_VALUE"""),5008.0)</f>
        <v>5008</v>
      </c>
      <c r="B157" s="228" t="str">
        <f>IFERROR(__xludf.DUMMYFUNCTION("""COMPUTED_VALUE"""),"Manaar Pervaiz")</f>
        <v>Manaar Pervaiz</v>
      </c>
      <c r="C157" s="228" t="str">
        <f>IFERROR(__xludf.DUMMYFUNCTION("""COMPUTED_VALUE"""),"manaarp@gmail.com")</f>
        <v>manaarp@gmail.com</v>
      </c>
      <c r="D157" s="228"/>
      <c r="E157" s="730">
        <f>IFERROR(__xludf.DUMMYFUNCTION("""COMPUTED_VALUE"""),44090.0)</f>
        <v>44090</v>
      </c>
      <c r="F157" s="228" t="str">
        <f>IFERROR(__xludf.DUMMYFUNCTION("""COMPUTED_VALUE"""),"UI/UX Designer")</f>
        <v>UI/UX Designer</v>
      </c>
      <c r="G157" s="228" t="str">
        <f>IFERROR(__xludf.DUMMYFUNCTION("""COMPUTED_VALUE"""),"Design")</f>
        <v>Design</v>
      </c>
      <c r="H157" s="228" t="str">
        <f>IFERROR(__xludf.DUMMYFUNCTION("""COMPUTED_VALUE"""),"Z/A")</f>
        <v>Z/A</v>
      </c>
      <c r="I157" s="228" t="str">
        <f>IFERROR(__xludf.DUMMYFUNCTION("""COMPUTED_VALUE"""),"Intern")</f>
        <v>Intern</v>
      </c>
      <c r="J157" s="228"/>
      <c r="K157" s="228" t="str">
        <f>IFERROR(__xludf.DUMMYFUNCTION("""COMPUTED_VALUE"""),"2M")</f>
        <v>2M</v>
      </c>
      <c r="L157" s="228"/>
      <c r="M157" s="228"/>
      <c r="N157" s="228"/>
      <c r="O157" s="228"/>
      <c r="P157" s="228" t="str">
        <f>IFERROR(__xludf.DUMMYFUNCTION("""COMPUTED_VALUE"""),"0335-2323210")</f>
        <v>0335-2323210</v>
      </c>
      <c r="Q157" s="228" t="str">
        <f>IFERROR(__xludf.DUMMYFUNCTION("""COMPUTED_VALUE"""),"37405-3653938-4")</f>
        <v>37405-3653938-4</v>
      </c>
      <c r="R157" s="228" t="str">
        <f>IFERROR(__xludf.DUMMYFUNCTION("""COMPUTED_VALUE"""),"Female")</f>
        <v>Female</v>
      </c>
      <c r="S157" s="228" t="str">
        <f>IFERROR(__xludf.DUMMYFUNCTION("""COMPUTED_VALUE"""),"HBL")</f>
        <v>HBL</v>
      </c>
      <c r="T157" s="228"/>
      <c r="U157" s="228" t="str">
        <f>IFERROR(__xludf.DUMMYFUNCTION("""COMPUTED_VALUE"""),"22927916760103")</f>
        <v>22927916760103</v>
      </c>
      <c r="V157" s="228"/>
      <c r="W157" s="228"/>
      <c r="X157" s="228"/>
      <c r="Y157" s="730">
        <f>IFERROR(__xludf.DUMMYFUNCTION("""COMPUTED_VALUE"""),36088.0)</f>
        <v>36088</v>
      </c>
      <c r="Z157" s="228" t="str">
        <f>IFERROR(__xludf.DUMMYFUNCTION("""COMPUTED_VALUE"""),"26 Years")</f>
        <v>26 Years</v>
      </c>
      <c r="AA157" s="228" t="str">
        <f>IFERROR(__xludf.DUMMYFUNCTION("""COMPUTED_VALUE"""),"Flat 5D, Block 10, Askari towers 1, DHA 2")</f>
        <v>Flat 5D, Block 10, Askari towers 1, DHA 2</v>
      </c>
      <c r="AB157" s="228"/>
      <c r="AC157" s="228" t="str">
        <f>IFERROR(__xludf.DUMMYFUNCTION("""COMPUTED_VALUE"""),"Single")</f>
        <v>Single</v>
      </c>
      <c r="AD157" s="228"/>
      <c r="AE157" s="228"/>
      <c r="AF157" s="228"/>
      <c r="AG157" s="228" t="str">
        <f>IFERROR(__xludf.DUMMYFUNCTION("""COMPUTED_VALUE"""),"Sardar Pervaiz")</f>
        <v>Sardar Pervaiz</v>
      </c>
      <c r="AH157" s="228" t="str">
        <f>IFERROR(__xludf.DUMMYFUNCTION("""COMPUTED_VALUE"""),"Father")</f>
        <v>Father</v>
      </c>
      <c r="AI157" s="228"/>
      <c r="AJ157" s="228" t="str">
        <f>IFERROR(__xludf.DUMMYFUNCTION("""COMPUTED_VALUE"""),"O+")</f>
        <v>O+</v>
      </c>
      <c r="AK157" s="731" t="str">
        <f>IFERROR(__xludf.DUMMYFUNCTION("""COMPUTED_VALUE"""),"https://www.linkedin.com/in/manaar-pervaiz-7081aa1b6/")</f>
        <v>https://www.linkedin.com/in/manaar-pervaiz-7081aa1b6/</v>
      </c>
      <c r="AL157" s="228"/>
      <c r="AM157" s="730">
        <f>IFERROR(__xludf.DUMMYFUNCTION("""COMPUTED_VALUE"""),44340.0)</f>
        <v>44340</v>
      </c>
      <c r="AN157" s="228"/>
      <c r="AO157" s="228"/>
      <c r="AP157" s="228" t="str">
        <f>IFERROR(__xludf.DUMMYFUNCTION("""COMPUTED_VALUE"""),"NO")</f>
        <v>NO</v>
      </c>
      <c r="AQ157" s="228" t="str">
        <f>IFERROR(__xludf.DUMMYFUNCTION("""COMPUTED_VALUE"""),"Resigned/Terminated")</f>
        <v>Resigned/Terminated</v>
      </c>
    </row>
    <row r="158">
      <c r="A158" s="228">
        <f>IFERROR(__xludf.DUMMYFUNCTION("""COMPUTED_VALUE"""),5003.0)</f>
        <v>5003</v>
      </c>
      <c r="B158" s="228" t="str">
        <f>IFERROR(__xludf.DUMMYFUNCTION("""COMPUTED_VALUE"""),"Ahtsham Abbasi")</f>
        <v>Ahtsham Abbasi</v>
      </c>
      <c r="C158" s="228" t="str">
        <f>IFERROR(__xludf.DUMMYFUNCTION("""COMPUTED_VALUE"""),"ahtabbasi@gmail.com")</f>
        <v>ahtabbasi@gmail.com</v>
      </c>
      <c r="D158" s="228"/>
      <c r="E158" s="730">
        <f>IFERROR(__xludf.DUMMYFUNCTION("""COMPUTED_VALUE"""),44228.0)</f>
        <v>44228</v>
      </c>
      <c r="F158" s="228" t="str">
        <f>IFERROR(__xludf.DUMMYFUNCTION("""COMPUTED_VALUE"""),"Senior Android Developer")</f>
        <v>Senior Android Developer</v>
      </c>
      <c r="G158" s="228" t="str">
        <f>IFERROR(__xludf.DUMMYFUNCTION("""COMPUTED_VALUE"""),"Android")</f>
        <v>Android</v>
      </c>
      <c r="H158" s="228" t="str">
        <f>IFERROR(__xludf.DUMMYFUNCTION("""COMPUTED_VALUE"""),"Z/A")</f>
        <v>Z/A</v>
      </c>
      <c r="I158" s="228" t="str">
        <f>IFERROR(__xludf.DUMMYFUNCTION("""COMPUTED_VALUE"""),"Permanent")</f>
        <v>Permanent</v>
      </c>
      <c r="J158" s="228"/>
      <c r="K158" s="228" t="str">
        <f>IFERROR(__xludf.DUMMYFUNCTION("""COMPUTED_VALUE"""),"-")</f>
        <v>-</v>
      </c>
      <c r="L158" s="228"/>
      <c r="M158" s="228"/>
      <c r="N158" s="228"/>
      <c r="O158" s="228"/>
      <c r="P158" s="228" t="str">
        <f>IFERROR(__xludf.DUMMYFUNCTION("""COMPUTED_VALUE"""),"0313-5678963")</f>
        <v>0313-5678963</v>
      </c>
      <c r="Q158" s="228" t="str">
        <f>IFERROR(__xludf.DUMMYFUNCTION("""COMPUTED_VALUE"""),"37404-2825941-7")</f>
        <v>37404-2825941-7</v>
      </c>
      <c r="R158" s="228" t="str">
        <f>IFERROR(__xludf.DUMMYFUNCTION("""COMPUTED_VALUE"""),"Male")</f>
        <v>Male</v>
      </c>
      <c r="S158" s="228" t="str">
        <f>IFERROR(__xludf.DUMMYFUNCTION("""COMPUTED_VALUE"""),"HBL")</f>
        <v>HBL</v>
      </c>
      <c r="T158" s="228"/>
      <c r="U158" s="228" t="str">
        <f>IFERROR(__xludf.DUMMYFUNCTION("""COMPUTED_VALUE"""),"06407900455403")</f>
        <v>06407900455403</v>
      </c>
      <c r="V158" s="228"/>
      <c r="W158" s="228"/>
      <c r="X158" s="228"/>
      <c r="Y158" s="730">
        <f>IFERROR(__xludf.DUMMYFUNCTION("""COMPUTED_VALUE"""),34568.0)</f>
        <v>34568</v>
      </c>
      <c r="Z158" s="228" t="str">
        <f>IFERROR(__xludf.DUMMYFUNCTION("""COMPUTED_VALUE"""),"30 Years")</f>
        <v>30 Years</v>
      </c>
      <c r="AA158" s="228" t="str">
        <f>IFERROR(__xludf.DUMMYFUNCTION("""COMPUTED_VALUE"""),"Nisar Abbasi House, Jinnah Street, Saljania, Near Bani gala, Isb")</f>
        <v>Nisar Abbasi House, Jinnah Street, Saljania, Near Bani gala, Isb</v>
      </c>
      <c r="AB158" s="228"/>
      <c r="AC158" s="228" t="str">
        <f>IFERROR(__xludf.DUMMYFUNCTION("""COMPUTED_VALUE"""),"Married")</f>
        <v>Married</v>
      </c>
      <c r="AD158" s="228"/>
      <c r="AE158" s="228" t="str">
        <f>IFERROR(__xludf.DUMMYFUNCTION("""COMPUTED_VALUE"""),"Aneela Zulfiqar")</f>
        <v>Aneela Zulfiqar</v>
      </c>
      <c r="AF158" s="228"/>
      <c r="AG158" s="228" t="str">
        <f>IFERROR(__xludf.DUMMYFUNCTION("""COMPUTED_VALUE"""),"Nisar Abbasi")</f>
        <v>Nisar Abbasi</v>
      </c>
      <c r="AH158" s="228" t="str">
        <f>IFERROR(__xludf.DUMMYFUNCTION("""COMPUTED_VALUE"""),"Father")</f>
        <v>Father</v>
      </c>
      <c r="AI158" s="228" t="str">
        <f>IFERROR(__xludf.DUMMYFUNCTION("""COMPUTED_VALUE"""),"0312-5269153")</f>
        <v>0312-5269153</v>
      </c>
      <c r="AJ158" s="228" t="str">
        <f>IFERROR(__xludf.DUMMYFUNCTION("""COMPUTED_VALUE"""),"-")</f>
        <v>-</v>
      </c>
      <c r="AK158" s="731" t="str">
        <f>IFERROR(__xludf.DUMMYFUNCTION("""COMPUTED_VALUE"""),"https://www.linkedin.com/in/ahtabbasi/")</f>
        <v>https://www.linkedin.com/in/ahtabbasi/</v>
      </c>
      <c r="AL158" s="228"/>
      <c r="AM158" s="730">
        <f>IFERROR(__xludf.DUMMYFUNCTION("""COMPUTED_VALUE"""),44343.0)</f>
        <v>44343</v>
      </c>
      <c r="AN158" s="228"/>
      <c r="AO158" s="228"/>
      <c r="AP158" s="228" t="str">
        <f>IFERROR(__xludf.DUMMYFUNCTION("""COMPUTED_VALUE"""),"NO")</f>
        <v>NO</v>
      </c>
      <c r="AQ158" s="228" t="str">
        <f>IFERROR(__xludf.DUMMYFUNCTION("""COMPUTED_VALUE"""),"Resigned/Terminated")</f>
        <v>Resigned/Terminated</v>
      </c>
    </row>
    <row r="159">
      <c r="A159" s="228">
        <f>IFERROR(__xludf.DUMMYFUNCTION("""COMPUTED_VALUE"""),5001.0)</f>
        <v>5001</v>
      </c>
      <c r="B159" s="228" t="str">
        <f>IFERROR(__xludf.DUMMYFUNCTION("""COMPUTED_VALUE"""),"Abdul Rehman")</f>
        <v>Abdul Rehman</v>
      </c>
      <c r="C159" s="228" t="str">
        <f>IFERROR(__xludf.DUMMYFUNCTION("""COMPUTED_VALUE"""),"arehman.bese17seecs@seecs.edu.pk")</f>
        <v>arehman.bese17seecs@seecs.edu.pk</v>
      </c>
      <c r="D159" s="228"/>
      <c r="E159" s="730">
        <f>IFERROR(__xludf.DUMMYFUNCTION("""COMPUTED_VALUE"""),44284.0)</f>
        <v>44284</v>
      </c>
      <c r="F159" s="228" t="str">
        <f>IFERROR(__xludf.DUMMYFUNCTION("""COMPUTED_VALUE"""),"Machine Learning Engineer")</f>
        <v>Machine Learning Engineer</v>
      </c>
      <c r="G159" s="228" t="str">
        <f>IFERROR(__xludf.DUMMYFUNCTION("""COMPUTED_VALUE"""),"R&amp;D")</f>
        <v>R&amp;D</v>
      </c>
      <c r="H159" s="228" t="str">
        <f>IFERROR(__xludf.DUMMYFUNCTION("""COMPUTED_VALUE"""),"Ahmed AbuBakar")</f>
        <v>Ahmed AbuBakar</v>
      </c>
      <c r="I159" s="228" t="str">
        <f>IFERROR(__xludf.DUMMYFUNCTION("""COMPUTED_VALUE"""),"Permanent")</f>
        <v>Permanent</v>
      </c>
      <c r="J159" s="228"/>
      <c r="K159" s="228" t="str">
        <f>IFERROR(__xludf.DUMMYFUNCTION("""COMPUTED_VALUE"""),"3 M")</f>
        <v>3 M</v>
      </c>
      <c r="L159" s="228"/>
      <c r="M159" s="228"/>
      <c r="N159" s="228"/>
      <c r="O159" s="228"/>
      <c r="P159" s="228" t="str">
        <f>IFERROR(__xludf.DUMMYFUNCTION("""COMPUTED_VALUE"""),"03320672733")</f>
        <v>03320672733</v>
      </c>
      <c r="Q159" s="228" t="str">
        <f>IFERROR(__xludf.DUMMYFUNCTION("""COMPUTED_VALUE"""),"32103-6995833-1")</f>
        <v>32103-6995833-1</v>
      </c>
      <c r="R159" s="228" t="str">
        <f>IFERROR(__xludf.DUMMYFUNCTION("""COMPUTED_VALUE"""),"Male")</f>
        <v>Male</v>
      </c>
      <c r="S159" s="228" t="str">
        <f>IFERROR(__xludf.DUMMYFUNCTION("""COMPUTED_VALUE"""),"HBL")</f>
        <v>HBL</v>
      </c>
      <c r="T159" s="228"/>
      <c r="U159" s="228" t="str">
        <f>IFERROR(__xludf.DUMMYFUNCTION("""COMPUTED_VALUE"""),"04087901121003")</f>
        <v>04087901121003</v>
      </c>
      <c r="V159" s="228"/>
      <c r="W159" s="228"/>
      <c r="X159" s="228"/>
      <c r="Y159" s="730">
        <f>IFERROR(__xludf.DUMMYFUNCTION("""COMPUTED_VALUE"""),36507.0)</f>
        <v>36507</v>
      </c>
      <c r="Z159" s="228" t="str">
        <f>IFERROR(__xludf.DUMMYFUNCTION("""COMPUTED_VALUE"""),"25 Years")</f>
        <v>25 Years</v>
      </c>
      <c r="AA159" s="228" t="str">
        <f>IFERROR(__xludf.DUMMYFUNCTION("""COMPUTED_VALUE"""),"Nasir Kariana, Near Zonorahin Masjid, Taunsa Sharif, DG Khan")</f>
        <v>Nasir Kariana, Near Zonorahin Masjid, Taunsa Sharif, DG Khan</v>
      </c>
      <c r="AB159" s="228"/>
      <c r="AC159" s="228" t="str">
        <f>IFERROR(__xludf.DUMMYFUNCTION("""COMPUTED_VALUE"""),"Single")</f>
        <v>Single</v>
      </c>
      <c r="AD159" s="228"/>
      <c r="AE159" s="228"/>
      <c r="AF159" s="228"/>
      <c r="AG159" s="228" t="str">
        <f>IFERROR(__xludf.DUMMYFUNCTION("""COMPUTED_VALUE"""),"Ghulam Mustafa")</f>
        <v>Ghulam Mustafa</v>
      </c>
      <c r="AH159" s="228" t="str">
        <f>IFERROR(__xludf.DUMMYFUNCTION("""COMPUTED_VALUE"""),"Father")</f>
        <v>Father</v>
      </c>
      <c r="AI159" s="228" t="str">
        <f>IFERROR(__xludf.DUMMYFUNCTION("""COMPUTED_VALUE"""),"03376310952")</f>
        <v>03376310952</v>
      </c>
      <c r="AJ159" s="228"/>
      <c r="AK159" s="228"/>
      <c r="AL159" s="228"/>
      <c r="AM159" s="730">
        <f>IFERROR(__xludf.DUMMYFUNCTION("""COMPUTED_VALUE"""),44377.0)</f>
        <v>44377</v>
      </c>
      <c r="AN159" s="228"/>
      <c r="AO159" s="228"/>
      <c r="AP159" s="228" t="str">
        <f>IFERROR(__xludf.DUMMYFUNCTION("""COMPUTED_VALUE"""),"NO")</f>
        <v>NO</v>
      </c>
      <c r="AQ159" s="228" t="str">
        <f>IFERROR(__xludf.DUMMYFUNCTION("""COMPUTED_VALUE"""),"Resigned/Terminated")</f>
        <v>Resigned/Terminated</v>
      </c>
    </row>
    <row r="160">
      <c r="A160" s="228">
        <f>IFERROR(__xludf.DUMMYFUNCTION("""COMPUTED_VALUE"""),5014.0)</f>
        <v>5014</v>
      </c>
      <c r="B160" s="228" t="str">
        <f>IFERROR(__xludf.DUMMYFUNCTION("""COMPUTED_VALUE"""),"Muhammad Mujtaba")</f>
        <v>Muhammad Mujtaba</v>
      </c>
      <c r="C160" s="228" t="str">
        <f>IFERROR(__xludf.DUMMYFUNCTION("""COMPUTED_VALUE"""),"mmujtaba0929@gmail.com")</f>
        <v>mmujtaba0929@gmail.com</v>
      </c>
      <c r="D160" s="228"/>
      <c r="E160" s="730">
        <f>IFERROR(__xludf.DUMMYFUNCTION("""COMPUTED_VALUE"""),44228.0)</f>
        <v>44228</v>
      </c>
      <c r="F160" s="228" t="str">
        <f>IFERROR(__xludf.DUMMYFUNCTION("""COMPUTED_VALUE"""),"Marketing Analyst")</f>
        <v>Marketing Analyst</v>
      </c>
      <c r="G160" s="228" t="str">
        <f>IFERROR(__xludf.DUMMYFUNCTION("""COMPUTED_VALUE"""),"Marketing")</f>
        <v>Marketing</v>
      </c>
      <c r="H160" s="228" t="str">
        <f>IFERROR(__xludf.DUMMYFUNCTION("""COMPUTED_VALUE"""),"Z/A/A")</f>
        <v>Z/A/A</v>
      </c>
      <c r="I160" s="228" t="str">
        <f>IFERROR(__xludf.DUMMYFUNCTION("""COMPUTED_VALUE"""),"Permanent")</f>
        <v>Permanent</v>
      </c>
      <c r="J160" s="228"/>
      <c r="K160" s="228" t="str">
        <f>IFERROR(__xludf.DUMMYFUNCTION("""COMPUTED_VALUE"""),"3 M")</f>
        <v>3 M</v>
      </c>
      <c r="L160" s="228"/>
      <c r="M160" s="228"/>
      <c r="N160" s="228"/>
      <c r="O160" s="228"/>
      <c r="P160" s="228" t="str">
        <f>IFERROR(__xludf.DUMMYFUNCTION("""COMPUTED_VALUE"""),"0311-0229299")</f>
        <v>0311-0229299</v>
      </c>
      <c r="Q160" s="228" t="str">
        <f>IFERROR(__xludf.DUMMYFUNCTION("""COMPUTED_VALUE"""),"61101-3123440-7")</f>
        <v>61101-3123440-7</v>
      </c>
      <c r="R160" s="228" t="str">
        <f>IFERROR(__xludf.DUMMYFUNCTION("""COMPUTED_VALUE"""),"Male")</f>
        <v>Male</v>
      </c>
      <c r="S160" s="228" t="str">
        <f>IFERROR(__xludf.DUMMYFUNCTION("""COMPUTED_VALUE"""),"HBL")</f>
        <v>HBL</v>
      </c>
      <c r="T160" s="228"/>
      <c r="U160" s="228" t="str">
        <f>IFERROR(__xludf.DUMMYFUNCTION("""COMPUTED_VALUE"""),"22927902610503")</f>
        <v>22927902610503</v>
      </c>
      <c r="V160" s="228"/>
      <c r="W160" s="228"/>
      <c r="X160" s="228"/>
      <c r="Y160" s="730">
        <f>IFERROR(__xludf.DUMMYFUNCTION("""COMPUTED_VALUE"""),36341.0)</f>
        <v>36341</v>
      </c>
      <c r="Z160" s="228" t="str">
        <f>IFERROR(__xludf.DUMMYFUNCTION("""COMPUTED_VALUE"""),"26 Years")</f>
        <v>26 Years</v>
      </c>
      <c r="AA160" s="228" t="str">
        <f>IFERROR(__xludf.DUMMYFUNCTION("""COMPUTED_VALUE"""),"House 172, Main Iqbal Avenue, Sec C, Ziraj Housing Society")</f>
        <v>House 172, Main Iqbal Avenue, Sec C, Ziraj Housing Society</v>
      </c>
      <c r="AB160" s="228"/>
      <c r="AC160" s="228" t="str">
        <f>IFERROR(__xludf.DUMMYFUNCTION("""COMPUTED_VALUE"""),"Single")</f>
        <v>Single</v>
      </c>
      <c r="AD160" s="228"/>
      <c r="AE160" s="228"/>
      <c r="AF160" s="228"/>
      <c r="AG160" s="228" t="str">
        <f>IFERROR(__xludf.DUMMYFUNCTION("""COMPUTED_VALUE"""),"Ghulam Jilani")</f>
        <v>Ghulam Jilani</v>
      </c>
      <c r="AH160" s="228" t="str">
        <f>IFERROR(__xludf.DUMMYFUNCTION("""COMPUTED_VALUE"""),"Father")</f>
        <v>Father</v>
      </c>
      <c r="AI160" s="228"/>
      <c r="AJ160" s="228" t="str">
        <f>IFERROR(__xludf.DUMMYFUNCTION("""COMPUTED_VALUE"""),"O+")</f>
        <v>O+</v>
      </c>
      <c r="AK160" s="731" t="str">
        <f>IFERROR(__xludf.DUMMYFUNCTION("""COMPUTED_VALUE"""),"https://www.linkedin.com/in/muhammad-mujtaba-b648811a3/")</f>
        <v>https://www.linkedin.com/in/muhammad-mujtaba-b648811a3/</v>
      </c>
      <c r="AL160" s="228"/>
      <c r="AM160" s="730">
        <f>IFERROR(__xludf.DUMMYFUNCTION("""COMPUTED_VALUE"""),44377.0)</f>
        <v>44377</v>
      </c>
      <c r="AN160" s="228"/>
      <c r="AO160" s="228"/>
      <c r="AP160" s="228" t="str">
        <f>IFERROR(__xludf.DUMMYFUNCTION("""COMPUTED_VALUE"""),"NO")</f>
        <v>NO</v>
      </c>
      <c r="AQ160" s="228" t="str">
        <f>IFERROR(__xludf.DUMMYFUNCTION("""COMPUTED_VALUE"""),"Resigned/Terminated")</f>
        <v>Resigned/Terminated</v>
      </c>
    </row>
    <row r="161">
      <c r="A161" s="228">
        <f>IFERROR(__xludf.DUMMYFUNCTION("""COMPUTED_VALUE"""),5016.0)</f>
        <v>5016</v>
      </c>
      <c r="B161" s="228" t="str">
        <f>IFERROR(__xludf.DUMMYFUNCTION("""COMPUTED_VALUE"""),"Muhammad Umar")</f>
        <v>Muhammad Umar</v>
      </c>
      <c r="C161" s="228" t="str">
        <f>IFERROR(__xludf.DUMMYFUNCTION("""COMPUTED_VALUE"""),"muhamad_umar@outlook.com")</f>
        <v>muhamad_umar@outlook.com</v>
      </c>
      <c r="D161" s="228"/>
      <c r="E161" s="730">
        <f>IFERROR(__xludf.DUMMYFUNCTION("""COMPUTED_VALUE"""),44119.0)</f>
        <v>44119</v>
      </c>
      <c r="F161" s="228" t="str">
        <f>IFERROR(__xludf.DUMMYFUNCTION("""COMPUTED_VALUE"""),"Senior iOS Developer")</f>
        <v>Senior iOS Developer</v>
      </c>
      <c r="G161" s="228" t="str">
        <f>IFERROR(__xludf.DUMMYFUNCTION("""COMPUTED_VALUE"""),"iOS")</f>
        <v>iOS</v>
      </c>
      <c r="H161" s="228" t="str">
        <f>IFERROR(__xludf.DUMMYFUNCTION("""COMPUTED_VALUE"""),"Z/A")</f>
        <v>Z/A</v>
      </c>
      <c r="I161" s="228" t="str">
        <f>IFERROR(__xludf.DUMMYFUNCTION("""COMPUTED_VALUE"""),"Permanent")</f>
        <v>Permanent</v>
      </c>
      <c r="J161" s="228"/>
      <c r="K161" s="228" t="str">
        <f>IFERROR(__xludf.DUMMYFUNCTION("""COMPUTED_VALUE"""),"3 M")</f>
        <v>3 M</v>
      </c>
      <c r="L161" s="228"/>
      <c r="M161" s="228"/>
      <c r="N161" s="228"/>
      <c r="O161" s="228"/>
      <c r="P161" s="228" t="str">
        <f>IFERROR(__xludf.DUMMYFUNCTION("""COMPUTED_VALUE"""),"0332-5645525")</f>
        <v>0332-5645525</v>
      </c>
      <c r="Q161" s="228" t="str">
        <f>IFERROR(__xludf.DUMMYFUNCTION("""COMPUTED_VALUE"""),"37405-4079933-9")</f>
        <v>37405-4079933-9</v>
      </c>
      <c r="R161" s="228" t="str">
        <f>IFERROR(__xludf.DUMMYFUNCTION("""COMPUTED_VALUE"""),"Male")</f>
        <v>Male</v>
      </c>
      <c r="S161" s="228" t="str">
        <f>IFERROR(__xludf.DUMMYFUNCTION("""COMPUTED_VALUE"""),"Standard Chartered")</f>
        <v>Standard Chartered</v>
      </c>
      <c r="T161" s="228"/>
      <c r="U161" s="228" t="str">
        <f>IFERROR(__xludf.DUMMYFUNCTION("""COMPUTED_VALUE"""),"01727530301")</f>
        <v>01727530301</v>
      </c>
      <c r="V161" s="228"/>
      <c r="W161" s="228"/>
      <c r="X161" s="228"/>
      <c r="Y161" s="730">
        <f>IFERROR(__xludf.DUMMYFUNCTION("""COMPUTED_VALUE"""),33859.0)</f>
        <v>33859</v>
      </c>
      <c r="Z161" s="228" t="str">
        <f>IFERROR(__xludf.DUMMYFUNCTION("""COMPUTED_VALUE"""),"32 Years")</f>
        <v>32 Years</v>
      </c>
      <c r="AA161" s="228" t="str">
        <f>IFERROR(__xludf.DUMMYFUNCTION("""COMPUTED_VALUE"""),"House #7, Nisar Rd., Westridge 2, RWP")</f>
        <v>House #7, Nisar Rd., Westridge 2, RWP</v>
      </c>
      <c r="AB161" s="228"/>
      <c r="AC161" s="228" t="str">
        <f>IFERROR(__xludf.DUMMYFUNCTION("""COMPUTED_VALUE"""),"Married")</f>
        <v>Married</v>
      </c>
      <c r="AD161" s="228">
        <f>IFERROR(__xludf.DUMMYFUNCTION("""COMPUTED_VALUE"""),1.0)</f>
        <v>1</v>
      </c>
      <c r="AE161" s="228" t="str">
        <f>IFERROR(__xludf.DUMMYFUNCTION("""COMPUTED_VALUE"""),"Maria Umar")</f>
        <v>Maria Umar</v>
      </c>
      <c r="AF161" s="228"/>
      <c r="AG161" s="228" t="str">
        <f>IFERROR(__xludf.DUMMYFUNCTION("""COMPUTED_VALUE"""),"Abdul Qadeer")</f>
        <v>Abdul Qadeer</v>
      </c>
      <c r="AH161" s="228" t="str">
        <f>IFERROR(__xludf.DUMMYFUNCTION("""COMPUTED_VALUE"""),"Father")</f>
        <v>Father</v>
      </c>
      <c r="AI161" s="228" t="str">
        <f>IFERROR(__xludf.DUMMYFUNCTION("""COMPUTED_VALUE"""),"0333-5208436")</f>
        <v>0333-5208436</v>
      </c>
      <c r="AJ161" s="228" t="str">
        <f>IFERROR(__xludf.DUMMYFUNCTION("""COMPUTED_VALUE"""),"A+")</f>
        <v>A+</v>
      </c>
      <c r="AK161" s="731" t="str">
        <f>IFERROR(__xludf.DUMMYFUNCTION("""COMPUTED_VALUE"""),"https://www.linkedin.com/in/muhammad-umar-b1a87b124/")</f>
        <v>https://www.linkedin.com/in/muhammad-umar-b1a87b124/</v>
      </c>
      <c r="AL161" s="228"/>
      <c r="AM161" s="730">
        <f>IFERROR(__xludf.DUMMYFUNCTION("""COMPUTED_VALUE"""),44377.0)</f>
        <v>44377</v>
      </c>
      <c r="AN161" s="228"/>
      <c r="AO161" s="228"/>
      <c r="AP161" s="228" t="str">
        <f>IFERROR(__xludf.DUMMYFUNCTION("""COMPUTED_VALUE"""),"NO")</f>
        <v>NO</v>
      </c>
      <c r="AQ161" s="228" t="str">
        <f>IFERROR(__xludf.DUMMYFUNCTION("""COMPUTED_VALUE"""),"Resigned/Terminated")</f>
        <v>Resigned/Terminated</v>
      </c>
    </row>
    <row r="162">
      <c r="A162" s="228">
        <f>IFERROR(__xludf.DUMMYFUNCTION("""COMPUTED_VALUE"""),5036.0)</f>
        <v>5036</v>
      </c>
      <c r="B162" s="228" t="str">
        <f>IFERROR(__xludf.DUMMYFUNCTION("""COMPUTED_VALUE"""),"Maryum Bilal")</f>
        <v>Maryum Bilal</v>
      </c>
      <c r="C162" s="228" t="str">
        <f>IFERROR(__xludf.DUMMYFUNCTION("""COMPUTED_VALUE"""),"maryumbilal14@gmail.com")</f>
        <v>maryumbilal14@gmail.com</v>
      </c>
      <c r="D162" s="228"/>
      <c r="E162" s="730">
        <f>IFERROR(__xludf.DUMMYFUNCTION("""COMPUTED_VALUE"""),44392.0)</f>
        <v>44392</v>
      </c>
      <c r="F162" s="228" t="str">
        <f>IFERROR(__xludf.DUMMYFUNCTION("""COMPUTED_VALUE"""),"HR Associate")</f>
        <v>HR Associate</v>
      </c>
      <c r="G162" s="228" t="str">
        <f>IFERROR(__xludf.DUMMYFUNCTION("""COMPUTED_VALUE"""),"Human Resources")</f>
        <v>Human Resources</v>
      </c>
      <c r="H162" s="228" t="str">
        <f>IFERROR(__xludf.DUMMYFUNCTION("""COMPUTED_VALUE"""),"Z/A/A")</f>
        <v>Z/A/A</v>
      </c>
      <c r="I162" s="228" t="str">
        <f>IFERROR(__xludf.DUMMYFUNCTION("""COMPUTED_VALUE"""),"Permanent")</f>
        <v>Permanent</v>
      </c>
      <c r="J162" s="228"/>
      <c r="K162" s="228" t="str">
        <f>IFERROR(__xludf.DUMMYFUNCTION("""COMPUTED_VALUE"""),"3 M")</f>
        <v>3 M</v>
      </c>
      <c r="L162" s="228"/>
      <c r="M162" s="228"/>
      <c r="N162" s="228"/>
      <c r="O162" s="228"/>
      <c r="P162" s="228" t="str">
        <f>IFERROR(__xludf.DUMMYFUNCTION("""COMPUTED_VALUE"""),"03325418937")</f>
        <v>03325418937</v>
      </c>
      <c r="Q162" s="228" t="str">
        <f>IFERROR(__xludf.DUMMYFUNCTION("""COMPUTED_VALUE"""),"61101-0183159-0")</f>
        <v>61101-0183159-0</v>
      </c>
      <c r="R162" s="228" t="str">
        <f>IFERROR(__xludf.DUMMYFUNCTION("""COMPUTED_VALUE"""),"Female")</f>
        <v>Female</v>
      </c>
      <c r="S162" s="228"/>
      <c r="T162" s="228"/>
      <c r="U162" s="228"/>
      <c r="V162" s="228"/>
      <c r="W162" s="228"/>
      <c r="X162" s="228"/>
      <c r="Y162" s="730">
        <f>IFERROR(__xludf.DUMMYFUNCTION("""COMPUTED_VALUE"""),36227.0)</f>
        <v>36227</v>
      </c>
      <c r="Z162" s="228" t="str">
        <f>IFERROR(__xludf.DUMMYFUNCTION("""COMPUTED_VALUE"""),"26 Years")</f>
        <v>26 Years</v>
      </c>
      <c r="AA162" s="228" t="str">
        <f>IFERROR(__xludf.DUMMYFUNCTION("""COMPUTED_VALUE"""),"House no. 307, Street 58, I8/2, Islamabad")</f>
        <v>House no. 307, Street 58, I8/2, Islamabad</v>
      </c>
      <c r="AB162" s="228"/>
      <c r="AC162" s="228" t="str">
        <f>IFERROR(__xludf.DUMMYFUNCTION("""COMPUTED_VALUE"""),"Single")</f>
        <v>Single</v>
      </c>
      <c r="AD162" s="228"/>
      <c r="AE162" s="228"/>
      <c r="AF162" s="228"/>
      <c r="AG162" s="228" t="str">
        <f>IFERROR(__xludf.DUMMYFUNCTION("""COMPUTED_VALUE"""),"Muhammad Bilal")</f>
        <v>Muhammad Bilal</v>
      </c>
      <c r="AH162" s="228" t="str">
        <f>IFERROR(__xludf.DUMMYFUNCTION("""COMPUTED_VALUE"""),"Father")</f>
        <v>Father</v>
      </c>
      <c r="AI162" s="228" t="str">
        <f>IFERROR(__xludf.DUMMYFUNCTION("""COMPUTED_VALUE"""),"03005223135")</f>
        <v>03005223135</v>
      </c>
      <c r="AJ162" s="228" t="str">
        <f>IFERROR(__xludf.DUMMYFUNCTION("""COMPUTED_VALUE"""),"O+")</f>
        <v>O+</v>
      </c>
      <c r="AK162" s="228"/>
      <c r="AL162" s="228"/>
      <c r="AM162" s="730">
        <f>IFERROR(__xludf.DUMMYFUNCTION("""COMPUTED_VALUE"""),44396.0)</f>
        <v>44396</v>
      </c>
      <c r="AN162" s="228"/>
      <c r="AO162" s="228"/>
      <c r="AP162" s="228" t="str">
        <f>IFERROR(__xludf.DUMMYFUNCTION("""COMPUTED_VALUE"""),"NO")</f>
        <v>NO</v>
      </c>
      <c r="AQ162" s="228" t="str">
        <f>IFERROR(__xludf.DUMMYFUNCTION("""COMPUTED_VALUE"""),"Resigned/Terminated")</f>
        <v>Resigned/Terminated</v>
      </c>
    </row>
    <row r="163">
      <c r="A163" s="228">
        <f>IFERROR(__xludf.DUMMYFUNCTION("""COMPUTED_VALUE"""),5026.0)</f>
        <v>5026</v>
      </c>
      <c r="B163" s="228" t="str">
        <f>IFERROR(__xludf.DUMMYFUNCTION("""COMPUTED_VALUE"""),"Uzair Nawaz")</f>
        <v>Uzair Nawaz</v>
      </c>
      <c r="C163" s="228" t="str">
        <f>IFERROR(__xludf.DUMMYFUNCTION("""COMPUTED_VALUE"""),"uzairkhan907503@gmail.com")</f>
        <v>uzairkhan907503@gmail.com</v>
      </c>
      <c r="D163" s="228"/>
      <c r="E163" s="730">
        <f>IFERROR(__xludf.DUMMYFUNCTION("""COMPUTED_VALUE"""),44270.0)</f>
        <v>44270</v>
      </c>
      <c r="F163" s="228" t="str">
        <f>IFERROR(__xludf.DUMMYFUNCTION("""COMPUTED_VALUE"""),"Android Developer")</f>
        <v>Android Developer</v>
      </c>
      <c r="G163" s="228" t="str">
        <f>IFERROR(__xludf.DUMMYFUNCTION("""COMPUTED_VALUE"""),"Android")</f>
        <v>Android</v>
      </c>
      <c r="H163" s="228"/>
      <c r="I163" s="228" t="str">
        <f>IFERROR(__xludf.DUMMYFUNCTION("""COMPUTED_VALUE"""),"Permanent")</f>
        <v>Permanent</v>
      </c>
      <c r="J163" s="228"/>
      <c r="K163" s="228" t="str">
        <f>IFERROR(__xludf.DUMMYFUNCTION("""COMPUTED_VALUE"""),"2 M")</f>
        <v>2 M</v>
      </c>
      <c r="L163" s="228"/>
      <c r="M163" s="228"/>
      <c r="N163" s="228"/>
      <c r="O163" s="228"/>
      <c r="P163" s="228" t="str">
        <f>IFERROR(__xludf.DUMMYFUNCTION("""COMPUTED_VALUE"""),"0316-5834098")</f>
        <v>0316-5834098</v>
      </c>
      <c r="Q163" s="228" t="str">
        <f>IFERROR(__xludf.DUMMYFUNCTION("""COMPUTED_VALUE"""),"61101-0548088-9")</f>
        <v>61101-0548088-9</v>
      </c>
      <c r="R163" s="228" t="str">
        <f>IFERROR(__xludf.DUMMYFUNCTION("""COMPUTED_VALUE"""),"Male")</f>
        <v>Male</v>
      </c>
      <c r="S163" s="228" t="str">
        <f>IFERROR(__xludf.DUMMYFUNCTION("""COMPUTED_VALUE"""),"UBL")</f>
        <v>UBL</v>
      </c>
      <c r="T163" s="228"/>
      <c r="U163" s="228" t="str">
        <f>IFERROR(__xludf.DUMMYFUNCTION("""COMPUTED_VALUE"""),"0234267187229")</f>
        <v>0234267187229</v>
      </c>
      <c r="V163" s="228"/>
      <c r="W163" s="228"/>
      <c r="X163" s="228"/>
      <c r="Y163" s="730">
        <f>IFERROR(__xludf.DUMMYFUNCTION("""COMPUTED_VALUE"""),35791.0)</f>
        <v>35791</v>
      </c>
      <c r="Z163" s="228" t="str">
        <f>IFERROR(__xludf.DUMMYFUNCTION("""COMPUTED_VALUE"""),"27 Years")</f>
        <v>27 Years</v>
      </c>
      <c r="AA163" s="228" t="str">
        <f>IFERROR(__xludf.DUMMYFUNCTION("""COMPUTED_VALUE"""),"House#278-A, St# 142, Sector # G-7/3-1, Islamabad")</f>
        <v>House#278-A, St# 142, Sector # G-7/3-1, Islamabad</v>
      </c>
      <c r="AB163" s="228"/>
      <c r="AC163" s="228"/>
      <c r="AD163" s="228"/>
      <c r="AE163" s="228"/>
      <c r="AF163" s="228"/>
      <c r="AG163" s="228" t="str">
        <f>IFERROR(__xludf.DUMMYFUNCTION("""COMPUTED_VALUE"""),"Gul nawaz jadoon")</f>
        <v>Gul nawaz jadoon</v>
      </c>
      <c r="AH163" s="228" t="str">
        <f>IFERROR(__xludf.DUMMYFUNCTION("""COMPUTED_VALUE"""),"Father")</f>
        <v>Father</v>
      </c>
      <c r="AI163" s="228" t="str">
        <f>IFERROR(__xludf.DUMMYFUNCTION("""COMPUTED_VALUE"""),"0333-5553964")</f>
        <v>0333-5553964</v>
      </c>
      <c r="AJ163" s="228" t="str">
        <f>IFERROR(__xludf.DUMMYFUNCTION("""COMPUTED_VALUE"""),"B-")</f>
        <v>B-</v>
      </c>
      <c r="AK163" s="731" t="str">
        <f>IFERROR(__xludf.DUMMYFUNCTION("""COMPUTED_VALUE"""),"https://www.linkedin.com/in/uzair-khan-7065871b5")</f>
        <v>https://www.linkedin.com/in/uzair-khan-7065871b5</v>
      </c>
      <c r="AL163" s="228"/>
      <c r="AM163" s="730">
        <f>IFERROR(__xludf.DUMMYFUNCTION("""COMPUTED_VALUE"""),44414.0)</f>
        <v>44414</v>
      </c>
      <c r="AN163" s="228"/>
      <c r="AO163" s="228"/>
      <c r="AP163" s="228" t="str">
        <f>IFERROR(__xludf.DUMMYFUNCTION("""COMPUTED_VALUE"""),"NO")</f>
        <v>NO</v>
      </c>
      <c r="AQ163" s="228" t="str">
        <f>IFERROR(__xludf.DUMMYFUNCTION("""COMPUTED_VALUE"""),"Resigned/Terminated")</f>
        <v>Resigned/Terminated</v>
      </c>
    </row>
    <row r="164">
      <c r="A164" s="228">
        <f>IFERROR(__xludf.DUMMYFUNCTION("""COMPUTED_VALUE"""),5037.0)</f>
        <v>5037</v>
      </c>
      <c r="B164" s="228" t="str">
        <f>IFERROR(__xludf.DUMMYFUNCTION("""COMPUTED_VALUE"""),"Ahmad Jarrar khan")</f>
        <v>Ahmad Jarrar khan</v>
      </c>
      <c r="C164" s="228" t="str">
        <f>IFERROR(__xludf.DUMMYFUNCTION("""COMPUTED_VALUE"""),"ahmad.jarrar1@outlook.com")</f>
        <v>ahmad.jarrar1@outlook.com</v>
      </c>
      <c r="D164" s="228"/>
      <c r="E164" s="730">
        <f>IFERROR(__xludf.DUMMYFUNCTION("""COMPUTED_VALUE"""),44392.0)</f>
        <v>44392</v>
      </c>
      <c r="F164" s="228" t="str">
        <f>IFERROR(__xludf.DUMMYFUNCTION("""COMPUTED_VALUE"""),"Machine Learning Intern")</f>
        <v>Machine Learning Intern</v>
      </c>
      <c r="G164" s="228" t="str">
        <f>IFERROR(__xludf.DUMMYFUNCTION("""COMPUTED_VALUE"""),"R&amp;D")</f>
        <v>R&amp;D</v>
      </c>
      <c r="H164" s="228" t="str">
        <f>IFERROR(__xludf.DUMMYFUNCTION("""COMPUTED_VALUE"""),"Abdullah")</f>
        <v>Abdullah</v>
      </c>
      <c r="I164" s="228" t="str">
        <f>IFERROR(__xludf.DUMMYFUNCTION("""COMPUTED_VALUE"""),"Intern")</f>
        <v>Intern</v>
      </c>
      <c r="J164" s="228"/>
      <c r="K164" s="228" t="str">
        <f>IFERROR(__xludf.DUMMYFUNCTION("""COMPUTED_VALUE"""),"3 M")</f>
        <v>3 M</v>
      </c>
      <c r="L164" s="228"/>
      <c r="M164" s="228"/>
      <c r="N164" s="228"/>
      <c r="O164" s="228"/>
      <c r="P164" s="228" t="str">
        <f>IFERROR(__xludf.DUMMYFUNCTION("""COMPUTED_VALUE"""),"0300 0078220")</f>
        <v>0300 0078220</v>
      </c>
      <c r="Q164" s="228" t="str">
        <f>IFERROR(__xludf.DUMMYFUNCTION("""COMPUTED_VALUE"""),"33104-7559029-5")</f>
        <v>33104-7559029-5</v>
      </c>
      <c r="R164" s="228" t="str">
        <f>IFERROR(__xludf.DUMMYFUNCTION("""COMPUTED_VALUE"""),"Male")</f>
        <v>Male</v>
      </c>
      <c r="S164" s="228" t="str">
        <f>IFERROR(__xludf.DUMMYFUNCTION("""COMPUTED_VALUE"""),"HBL")</f>
        <v>HBL</v>
      </c>
      <c r="T164" s="228"/>
      <c r="U164" s="228" t="str">
        <f>IFERROR(__xludf.DUMMYFUNCTION("""COMPUTED_VALUE"""),"13627900358203")</f>
        <v>13627900358203</v>
      </c>
      <c r="V164" s="228"/>
      <c r="W164" s="228"/>
      <c r="X164" s="228"/>
      <c r="Y164" s="730">
        <f>IFERROR(__xludf.DUMMYFUNCTION("""COMPUTED_VALUE"""),36565.0)</f>
        <v>36565</v>
      </c>
      <c r="Z164" s="228" t="str">
        <f>IFERROR(__xludf.DUMMYFUNCTION("""COMPUTED_VALUE"""),"25 Years")</f>
        <v>25 Years</v>
      </c>
      <c r="AA164" s="228" t="str">
        <f>IFERROR(__xludf.DUMMYFUNCTION("""COMPUTED_VALUE"""),"Chak no. 193 RB, Shireen Waal, Faisalabad")</f>
        <v>Chak no. 193 RB, Shireen Waal, Faisalabad</v>
      </c>
      <c r="AB164" s="228"/>
      <c r="AC164" s="228" t="str">
        <f>IFERROR(__xludf.DUMMYFUNCTION("""COMPUTED_VALUE"""),"Single")</f>
        <v>Single</v>
      </c>
      <c r="AD164" s="228"/>
      <c r="AE164" s="228"/>
      <c r="AF164" s="228"/>
      <c r="AG164" s="228" t="str">
        <f>IFERROR(__xludf.DUMMYFUNCTION("""COMPUTED_VALUE"""),"Khalid Mehmood")</f>
        <v>Khalid Mehmood</v>
      </c>
      <c r="AH164" s="228" t="str">
        <f>IFERROR(__xludf.DUMMYFUNCTION("""COMPUTED_VALUE"""),"Father")</f>
        <v>Father</v>
      </c>
      <c r="AI164" s="228" t="str">
        <f>IFERROR(__xludf.DUMMYFUNCTION("""COMPUTED_VALUE"""),"03007208220")</f>
        <v>03007208220</v>
      </c>
      <c r="AJ164" s="228" t="str">
        <f>IFERROR(__xludf.DUMMYFUNCTION("""COMPUTED_VALUE"""),"O+")</f>
        <v>O+</v>
      </c>
      <c r="AK164" s="731" t="str">
        <f>IFERROR(__xludf.DUMMYFUNCTION("""COMPUTED_VALUE"""),"https://www.linkedin.com/in/ahmad-jarrar-0a9342167/")</f>
        <v>https://www.linkedin.com/in/ahmad-jarrar-0a9342167/</v>
      </c>
      <c r="AL164" s="228"/>
      <c r="AM164" s="730">
        <f>IFERROR(__xludf.DUMMYFUNCTION("""COMPUTED_VALUE"""),44439.0)</f>
        <v>44439</v>
      </c>
      <c r="AN164" s="228"/>
      <c r="AO164" s="228"/>
      <c r="AP164" s="228" t="str">
        <f>IFERROR(__xludf.DUMMYFUNCTION("""COMPUTED_VALUE"""),"NO")</f>
        <v>NO</v>
      </c>
      <c r="AQ164" s="228" t="str">
        <f>IFERROR(__xludf.DUMMYFUNCTION("""COMPUTED_VALUE"""),"Resigned/Terminated")</f>
        <v>Resigned/Terminated</v>
      </c>
    </row>
    <row r="165">
      <c r="A165" s="228">
        <f>IFERROR(__xludf.DUMMYFUNCTION("""COMPUTED_VALUE"""),5034.0)</f>
        <v>5034</v>
      </c>
      <c r="B165" s="228" t="str">
        <f>IFERROR(__xludf.DUMMYFUNCTION("""COMPUTED_VALUE"""),"Talha Rehman")</f>
        <v>Talha Rehman</v>
      </c>
      <c r="C165" s="228" t="str">
        <f>IFERROR(__xludf.DUMMYFUNCTION("""COMPUTED_VALUE"""),"talharehman704@gmail.com")</f>
        <v>talharehman704@gmail.com</v>
      </c>
      <c r="D165" s="228"/>
      <c r="E165" s="730">
        <f>IFERROR(__xludf.DUMMYFUNCTION("""COMPUTED_VALUE"""),44390.0)</f>
        <v>44390</v>
      </c>
      <c r="F165" s="228" t="str">
        <f>IFERROR(__xludf.DUMMYFUNCTION("""COMPUTED_VALUE"""),"Video Editor/Animator")</f>
        <v>Video Editor/Animator</v>
      </c>
      <c r="G165" s="228" t="str">
        <f>IFERROR(__xludf.DUMMYFUNCTION("""COMPUTED_VALUE"""),"Marketing")</f>
        <v>Marketing</v>
      </c>
      <c r="H165" s="228" t="str">
        <f>IFERROR(__xludf.DUMMYFUNCTION("""COMPUTED_VALUE"""),"Z/A/A")</f>
        <v>Z/A/A</v>
      </c>
      <c r="I165" s="228" t="str">
        <f>IFERROR(__xludf.DUMMYFUNCTION("""COMPUTED_VALUE"""),"Permanent")</f>
        <v>Permanent</v>
      </c>
      <c r="J165" s="228"/>
      <c r="K165" s="228" t="str">
        <f>IFERROR(__xludf.DUMMYFUNCTION("""COMPUTED_VALUE"""),"2 M")</f>
        <v>2 M</v>
      </c>
      <c r="L165" s="228"/>
      <c r="M165" s="228"/>
      <c r="N165" s="228"/>
      <c r="O165" s="228"/>
      <c r="P165" s="228" t="str">
        <f>IFERROR(__xludf.DUMMYFUNCTION("""COMPUTED_VALUE"""),"0300 0411114")</f>
        <v>0300 0411114</v>
      </c>
      <c r="Q165" s="228" t="str">
        <f>IFERROR(__xludf.DUMMYFUNCTION("""COMPUTED_VALUE"""),"61101-0509216-7")</f>
        <v>61101-0509216-7</v>
      </c>
      <c r="R165" s="228" t="str">
        <f>IFERROR(__xludf.DUMMYFUNCTION("""COMPUTED_VALUE"""),"Male")</f>
        <v>Male</v>
      </c>
      <c r="S165" s="228" t="str">
        <f>IFERROR(__xludf.DUMMYFUNCTION("""COMPUTED_VALUE"""),"Askari")</f>
        <v>Askari</v>
      </c>
      <c r="T165" s="228"/>
      <c r="U165" s="228" t="str">
        <f>IFERROR(__xludf.DUMMYFUNCTION("""COMPUTED_VALUE"""),"02390320006646")</f>
        <v>02390320006646</v>
      </c>
      <c r="V165" s="228"/>
      <c r="W165" s="228"/>
      <c r="X165" s="228"/>
      <c r="Y165" s="730">
        <f>IFERROR(__xludf.DUMMYFUNCTION("""COMPUTED_VALUE"""),36975.0)</f>
        <v>36975</v>
      </c>
      <c r="Z165" s="228" t="str">
        <f>IFERROR(__xludf.DUMMYFUNCTION("""COMPUTED_VALUE"""),"24 Years")</f>
        <v>24 Years</v>
      </c>
      <c r="AA165" s="228" t="str">
        <f>IFERROR(__xludf.DUMMYFUNCTION("""COMPUTED_VALUE"""),"House 277, Street 31, Sector I8/2, Islamabad")</f>
        <v>House 277, Street 31, Sector I8/2, Islamabad</v>
      </c>
      <c r="AB165" s="228"/>
      <c r="AC165" s="228" t="str">
        <f>IFERROR(__xludf.DUMMYFUNCTION("""COMPUTED_VALUE"""),"Single")</f>
        <v>Single</v>
      </c>
      <c r="AD165" s="228"/>
      <c r="AE165" s="228"/>
      <c r="AF165" s="228"/>
      <c r="AG165" s="228" t="str">
        <f>IFERROR(__xludf.DUMMYFUNCTION("""COMPUTED_VALUE"""),"Abdul rehman")</f>
        <v>Abdul rehman</v>
      </c>
      <c r="AH165" s="228" t="str">
        <f>IFERROR(__xludf.DUMMYFUNCTION("""COMPUTED_VALUE"""),"Father")</f>
        <v>Father</v>
      </c>
      <c r="AI165" s="228" t="str">
        <f>IFERROR(__xludf.DUMMYFUNCTION("""COMPUTED_VALUE"""),"03215079522")</f>
        <v>03215079522</v>
      </c>
      <c r="AJ165" s="228" t="str">
        <f>IFERROR(__xludf.DUMMYFUNCTION("""COMPUTED_VALUE"""),"AB+")</f>
        <v>AB+</v>
      </c>
      <c r="AK165" s="731" t="str">
        <f>IFERROR(__xludf.DUMMYFUNCTION("""COMPUTED_VALUE"""),"https://www.linkedin.com/in/talha-rehman-08b507173/")</f>
        <v>https://www.linkedin.com/in/talha-rehman-08b507173/</v>
      </c>
      <c r="AL165" s="228"/>
      <c r="AM165" s="730">
        <f>IFERROR(__xludf.DUMMYFUNCTION("""COMPUTED_VALUE"""),44449.0)</f>
        <v>44449</v>
      </c>
      <c r="AN165" s="228"/>
      <c r="AO165" s="228"/>
      <c r="AP165" s="228" t="str">
        <f>IFERROR(__xludf.DUMMYFUNCTION("""COMPUTED_VALUE"""),"NO")</f>
        <v>NO</v>
      </c>
      <c r="AQ165" s="228" t="str">
        <f>IFERROR(__xludf.DUMMYFUNCTION("""COMPUTED_VALUE"""),"Resigned/Terminated")</f>
        <v>Resigned/Terminated</v>
      </c>
    </row>
    <row r="166">
      <c r="A166" s="228">
        <f>IFERROR(__xludf.DUMMYFUNCTION("""COMPUTED_VALUE"""),5038.0)</f>
        <v>5038</v>
      </c>
      <c r="B166" s="228" t="str">
        <f>IFERROR(__xludf.DUMMYFUNCTION("""COMPUTED_VALUE"""),"Faiez Ahmad")</f>
        <v>Faiez Ahmad</v>
      </c>
      <c r="C166" s="228" t="str">
        <f>IFERROR(__xludf.DUMMYFUNCTION("""COMPUTED_VALUE"""),"faiezahmed16@gmail.com")</f>
        <v>faiezahmed16@gmail.com</v>
      </c>
      <c r="D166" s="228"/>
      <c r="E166" s="730">
        <f>IFERROR(__xludf.DUMMYFUNCTION("""COMPUTED_VALUE"""),44405.0)</f>
        <v>44405</v>
      </c>
      <c r="F166" s="228" t="str">
        <f>IFERROR(__xludf.DUMMYFUNCTION("""COMPUTED_VALUE"""),"HR Intern")</f>
        <v>HR Intern</v>
      </c>
      <c r="G166" s="228" t="str">
        <f>IFERROR(__xludf.DUMMYFUNCTION("""COMPUTED_VALUE"""),"HR")</f>
        <v>HR</v>
      </c>
      <c r="H166" s="228" t="str">
        <f>IFERROR(__xludf.DUMMYFUNCTION("""COMPUTED_VALUE"""),"Talha Arshad")</f>
        <v>Talha Arshad</v>
      </c>
      <c r="I166" s="228" t="str">
        <f>IFERROR(__xludf.DUMMYFUNCTION("""COMPUTED_VALUE"""),"Intern")</f>
        <v>Intern</v>
      </c>
      <c r="J166" s="228"/>
      <c r="K166" s="228" t="str">
        <f>IFERROR(__xludf.DUMMYFUNCTION("""COMPUTED_VALUE"""),"3 M")</f>
        <v>3 M</v>
      </c>
      <c r="L166" s="228"/>
      <c r="M166" s="228"/>
      <c r="N166" s="228"/>
      <c r="O166" s="228"/>
      <c r="P166" s="228" t="str">
        <f>IFERROR(__xludf.DUMMYFUNCTION("""COMPUTED_VALUE"""),"0301 8404948")</f>
        <v>0301 8404948</v>
      </c>
      <c r="Q166" s="228" t="str">
        <f>IFERROR(__xludf.DUMMYFUNCTION("""COMPUTED_VALUE"""),"35202-0785072-1")</f>
        <v>35202-0785072-1</v>
      </c>
      <c r="R166" s="228" t="str">
        <f>IFERROR(__xludf.DUMMYFUNCTION("""COMPUTED_VALUE"""),"Male")</f>
        <v>Male</v>
      </c>
      <c r="S166" s="228" t="str">
        <f>IFERROR(__xludf.DUMMYFUNCTION("""COMPUTED_VALUE"""),"HBL")</f>
        <v>HBL</v>
      </c>
      <c r="T166" s="228"/>
      <c r="U166" s="228" t="str">
        <f>IFERROR(__xludf.DUMMYFUNCTION("""COMPUTED_VALUE"""),"05457948669303")</f>
        <v>05457948669303</v>
      </c>
      <c r="V166" s="228"/>
      <c r="W166" s="228"/>
      <c r="X166" s="228"/>
      <c r="Y166" s="730">
        <f>IFERROR(__xludf.DUMMYFUNCTION("""COMPUTED_VALUE"""),36581.0)</f>
        <v>36581</v>
      </c>
      <c r="Z166" s="228" t="str">
        <f>IFERROR(__xludf.DUMMYFUNCTION("""COMPUTED_VALUE"""),"25 Years")</f>
        <v>25 Years</v>
      </c>
      <c r="AA166" s="228" t="str">
        <f>IFERROR(__xludf.DUMMYFUNCTION("""COMPUTED_VALUE"""),"92, aurengzeb block, garden town, lahore")</f>
        <v>92, aurengzeb block, garden town, lahore</v>
      </c>
      <c r="AB166" s="228"/>
      <c r="AC166" s="228" t="str">
        <f>IFERROR(__xludf.DUMMYFUNCTION("""COMPUTED_VALUE"""),"Single")</f>
        <v>Single</v>
      </c>
      <c r="AD166" s="228"/>
      <c r="AE166" s="228"/>
      <c r="AF166" s="228"/>
      <c r="AG166" s="228" t="str">
        <f>IFERROR(__xludf.DUMMYFUNCTION("""COMPUTED_VALUE"""),"Mohammad Ali")</f>
        <v>Mohammad Ali</v>
      </c>
      <c r="AH166" s="228" t="str">
        <f>IFERROR(__xludf.DUMMYFUNCTION("""COMPUTED_VALUE"""),"Father")</f>
        <v>Father</v>
      </c>
      <c r="AI166" s="228" t="str">
        <f>IFERROR(__xludf.DUMMYFUNCTION("""COMPUTED_VALUE"""),"03008404948")</f>
        <v>03008404948</v>
      </c>
      <c r="AJ166" s="228" t="str">
        <f>IFERROR(__xludf.DUMMYFUNCTION("""COMPUTED_VALUE"""),"B+")</f>
        <v>B+</v>
      </c>
      <c r="AK166" s="731" t="str">
        <f>IFERROR(__xludf.DUMMYFUNCTION("""COMPUTED_VALUE"""),"https://www.linkedin.com/in/faiez-ahmad-03606a193/")</f>
        <v>https://www.linkedin.com/in/faiez-ahmad-03606a193/</v>
      </c>
      <c r="AL166" s="228"/>
      <c r="AM166" s="730">
        <f>IFERROR(__xludf.DUMMYFUNCTION("""COMPUTED_VALUE"""),44469.0)</f>
        <v>44469</v>
      </c>
      <c r="AN166" s="228"/>
      <c r="AO166" s="228"/>
      <c r="AP166" s="228" t="str">
        <f>IFERROR(__xludf.DUMMYFUNCTION("""COMPUTED_VALUE"""),"NO")</f>
        <v>NO</v>
      </c>
      <c r="AQ166" s="228" t="str">
        <f>IFERROR(__xludf.DUMMYFUNCTION("""COMPUTED_VALUE"""),"Resigned/Terminated")</f>
        <v>Resigned/Terminated</v>
      </c>
    </row>
    <row r="167">
      <c r="A167" s="228">
        <f>IFERROR(__xludf.DUMMYFUNCTION("""COMPUTED_VALUE"""),5029.0)</f>
        <v>5029</v>
      </c>
      <c r="B167" s="228" t="str">
        <f>IFERROR(__xludf.DUMMYFUNCTION("""COMPUTED_VALUE"""),"Shaheryar Ehsan")</f>
        <v>Shaheryar Ehsan</v>
      </c>
      <c r="C167" s="228" t="str">
        <f>IFERROR(__xludf.DUMMYFUNCTION("""COMPUTED_VALUE"""),"Shaheryarehsanihaque@gmail.com")</f>
        <v>Shaheryarehsanihaque@gmail.com</v>
      </c>
      <c r="D167" s="228"/>
      <c r="E167" s="730">
        <f>IFERROR(__xludf.DUMMYFUNCTION("""COMPUTED_VALUE"""),44319.0)</f>
        <v>44319</v>
      </c>
      <c r="F167" s="228" t="str">
        <f>IFERROR(__xludf.DUMMYFUNCTION("""COMPUTED_VALUE"""),"Associate Product Growth Manager")</f>
        <v>Associate Product Growth Manager</v>
      </c>
      <c r="G167" s="228" t="str">
        <f>IFERROR(__xludf.DUMMYFUNCTION("""COMPUTED_VALUE"""),"Project Management")</f>
        <v>Project Management</v>
      </c>
      <c r="H167" s="228" t="str">
        <f>IFERROR(__xludf.DUMMYFUNCTION("""COMPUTED_VALUE"""),"Z/A/A")</f>
        <v>Z/A/A</v>
      </c>
      <c r="I167" s="228" t="str">
        <f>IFERROR(__xludf.DUMMYFUNCTION("""COMPUTED_VALUE"""),"Permanent")</f>
        <v>Permanent</v>
      </c>
      <c r="J167" s="228"/>
      <c r="K167" s="228" t="str">
        <f>IFERROR(__xludf.DUMMYFUNCTION("""COMPUTED_VALUE"""),"3 M")</f>
        <v>3 M</v>
      </c>
      <c r="L167" s="228"/>
      <c r="M167" s="228"/>
      <c r="N167" s="228"/>
      <c r="O167" s="228"/>
      <c r="P167" s="228" t="str">
        <f>IFERROR(__xludf.DUMMYFUNCTION("""COMPUTED_VALUE"""),"0336-5545394")</f>
        <v>0336-5545394</v>
      </c>
      <c r="Q167" s="228" t="str">
        <f>IFERROR(__xludf.DUMMYFUNCTION("""COMPUTED_VALUE"""),"37405-6028477-3")</f>
        <v>37405-6028477-3</v>
      </c>
      <c r="R167" s="228" t="str">
        <f>IFERROR(__xludf.DUMMYFUNCTION("""COMPUTED_VALUE"""),"Male")</f>
        <v>Male</v>
      </c>
      <c r="S167" s="228" t="str">
        <f>IFERROR(__xludf.DUMMYFUNCTION("""COMPUTED_VALUE"""),"UBL")</f>
        <v>UBL</v>
      </c>
      <c r="T167" s="228"/>
      <c r="U167" s="228" t="str">
        <f>IFERROR(__xludf.DUMMYFUNCTION("""COMPUTED_VALUE"""),"PK60UNIL0109000277304182")</f>
        <v>PK60UNIL0109000277304182</v>
      </c>
      <c r="V167" s="228"/>
      <c r="W167" s="228"/>
      <c r="X167" s="228"/>
      <c r="Y167" s="730">
        <f>IFERROR(__xludf.DUMMYFUNCTION("""COMPUTED_VALUE"""),36289.0)</f>
        <v>36289</v>
      </c>
      <c r="Z167" s="228" t="str">
        <f>IFERROR(__xludf.DUMMYFUNCTION("""COMPUTED_VALUE"""),"26 Years")</f>
        <v>26 Years</v>
      </c>
      <c r="AA167" s="228" t="str">
        <f>IFERROR(__xludf.DUMMYFUNCTION("""COMPUTED_VALUE"""),"House no. 81 A, Zakaria Road, Westridge 2, Rawalpindi")</f>
        <v>House no. 81 A, Zakaria Road, Westridge 2, Rawalpindi</v>
      </c>
      <c r="AB167" s="228"/>
      <c r="AC167" s="228" t="str">
        <f>IFERROR(__xludf.DUMMYFUNCTION("""COMPUTED_VALUE"""),"Engaged")</f>
        <v>Engaged</v>
      </c>
      <c r="AD167" s="228"/>
      <c r="AE167" s="228"/>
      <c r="AF167" s="228"/>
      <c r="AG167" s="228" t="str">
        <f>IFERROR(__xludf.DUMMYFUNCTION("""COMPUTED_VALUE"""),"Waqar Ehsan")</f>
        <v>Waqar Ehsan</v>
      </c>
      <c r="AH167" s="228" t="str">
        <f>IFERROR(__xludf.DUMMYFUNCTION("""COMPUTED_VALUE"""),"Father")</f>
        <v>Father</v>
      </c>
      <c r="AI167" s="228" t="str">
        <f>IFERROR(__xludf.DUMMYFUNCTION("""COMPUTED_VALUE"""),"03335301474")</f>
        <v>03335301474</v>
      </c>
      <c r="AJ167" s="228" t="str">
        <f>IFERROR(__xludf.DUMMYFUNCTION("""COMPUTED_VALUE"""),"A+")</f>
        <v>A+</v>
      </c>
      <c r="AK167" s="731" t="str">
        <f>IFERROR(__xludf.DUMMYFUNCTION("""COMPUTED_VALUE"""),"https://www.linkedin.com/in/shaheryar-ehsan/")</f>
        <v>https://www.linkedin.com/in/shaheryar-ehsan/</v>
      </c>
      <c r="AL167" s="228"/>
      <c r="AM167" s="730">
        <f>IFERROR(__xludf.DUMMYFUNCTION("""COMPUTED_VALUE"""),44469.0)</f>
        <v>44469</v>
      </c>
      <c r="AN167" s="228"/>
      <c r="AO167" s="228"/>
      <c r="AP167" s="228" t="str">
        <f>IFERROR(__xludf.DUMMYFUNCTION("""COMPUTED_VALUE"""),"NO")</f>
        <v>NO</v>
      </c>
      <c r="AQ167" s="228" t="str">
        <f>IFERROR(__xludf.DUMMYFUNCTION("""COMPUTED_VALUE"""),"Resigned/Terminated")</f>
        <v>Resigned/Terminated</v>
      </c>
    </row>
    <row r="168">
      <c r="A168" s="228">
        <f>IFERROR(__xludf.DUMMYFUNCTION("""COMPUTED_VALUE"""),5033.0)</f>
        <v>5033</v>
      </c>
      <c r="B168" s="228" t="str">
        <f>IFERROR(__xludf.DUMMYFUNCTION("""COMPUTED_VALUE"""),"Asad Imtiaz Malik")</f>
        <v>Asad Imtiaz Malik</v>
      </c>
      <c r="C168" s="228" t="str">
        <f>IFERROR(__xludf.DUMMYFUNCTION("""COMPUTED_VALUE"""),"asadimtiazmalik@gmail.com")</f>
        <v>asadimtiazmalik@gmail.com</v>
      </c>
      <c r="D168" s="228"/>
      <c r="E168" s="730">
        <f>IFERROR(__xludf.DUMMYFUNCTION("""COMPUTED_VALUE"""),44378.0)</f>
        <v>44378</v>
      </c>
      <c r="F168" s="228" t="str">
        <f>IFERROR(__xludf.DUMMYFUNCTION("""COMPUTED_VALUE"""),"Associate Machine Learning Engineer")</f>
        <v>Associate Machine Learning Engineer</v>
      </c>
      <c r="G168" s="228" t="str">
        <f>IFERROR(__xludf.DUMMYFUNCTION("""COMPUTED_VALUE"""),"R&amp;D")</f>
        <v>R&amp;D</v>
      </c>
      <c r="H168" s="228" t="str">
        <f>IFERROR(__xludf.DUMMYFUNCTION("""COMPUTED_VALUE"""),"Abdullah")</f>
        <v>Abdullah</v>
      </c>
      <c r="I168" s="228" t="str">
        <f>IFERROR(__xludf.DUMMYFUNCTION("""COMPUTED_VALUE"""),"Intern")</f>
        <v>Intern</v>
      </c>
      <c r="J168" s="228"/>
      <c r="K168" s="228" t="str">
        <f>IFERROR(__xludf.DUMMYFUNCTION("""COMPUTED_VALUE"""),"3 M")</f>
        <v>3 M</v>
      </c>
      <c r="L168" s="228"/>
      <c r="M168" s="228"/>
      <c r="N168" s="228"/>
      <c r="O168" s="228"/>
      <c r="P168" s="228" t="str">
        <f>IFERROR(__xludf.DUMMYFUNCTION("""COMPUTED_VALUE"""),"03312551167")</f>
        <v>03312551167</v>
      </c>
      <c r="Q168" s="228" t="str">
        <f>IFERROR(__xludf.DUMMYFUNCTION("""COMPUTED_VALUE"""),"42101-3538324-1")</f>
        <v>42101-3538324-1</v>
      </c>
      <c r="R168" s="228" t="str">
        <f>IFERROR(__xludf.DUMMYFUNCTION("""COMPUTED_VALUE"""),"Male")</f>
        <v>Male</v>
      </c>
      <c r="S168" s="228" t="str">
        <f>IFERROR(__xludf.DUMMYFUNCTION("""COMPUTED_VALUE"""),"HBL")</f>
        <v>HBL</v>
      </c>
      <c r="T168" s="228"/>
      <c r="U168" s="228" t="str">
        <f>IFERROR(__xludf.DUMMYFUNCTION("""COMPUTED_VALUE"""),"50277900321903")</f>
        <v>50277900321903</v>
      </c>
      <c r="V168" s="228"/>
      <c r="W168" s="228"/>
      <c r="X168" s="228"/>
      <c r="Y168" s="730">
        <f>IFERROR(__xludf.DUMMYFUNCTION("""COMPUTED_VALUE"""),35796.0)</f>
        <v>35796</v>
      </c>
      <c r="Z168" s="228" t="str">
        <f>IFERROR(__xludf.DUMMYFUNCTION("""COMPUTED_VALUE"""),"27 Years")</f>
        <v>27 Years</v>
      </c>
      <c r="AA168" s="228" t="str">
        <f>IFERROR(__xludf.DUMMYFUNCTION("""COMPUTED_VALUE"""),"Razi Hostel, NUST, ISB")</f>
        <v>Razi Hostel, NUST, ISB</v>
      </c>
      <c r="AB168" s="228"/>
      <c r="AC168" s="228" t="str">
        <f>IFERROR(__xludf.DUMMYFUNCTION("""COMPUTED_VALUE"""),"Single")</f>
        <v>Single</v>
      </c>
      <c r="AD168" s="228"/>
      <c r="AE168" s="228"/>
      <c r="AF168" s="228"/>
      <c r="AG168" s="228" t="str">
        <f>IFERROR(__xludf.DUMMYFUNCTION("""COMPUTED_VALUE"""),"Intiaz Hussain")</f>
        <v>Intiaz Hussain</v>
      </c>
      <c r="AH168" s="228" t="str">
        <f>IFERROR(__xludf.DUMMYFUNCTION("""COMPUTED_VALUE"""),"Father")</f>
        <v>Father</v>
      </c>
      <c r="AI168" s="228"/>
      <c r="AJ168" s="228" t="str">
        <f>IFERROR(__xludf.DUMMYFUNCTION("""COMPUTED_VALUE"""),"A+")</f>
        <v>A+</v>
      </c>
      <c r="AK168" s="228"/>
      <c r="AL168" s="228"/>
      <c r="AM168" s="730">
        <f>IFERROR(__xludf.DUMMYFUNCTION("""COMPUTED_VALUE"""),44470.0)</f>
        <v>44470</v>
      </c>
      <c r="AN168" s="228"/>
      <c r="AO168" s="228"/>
      <c r="AP168" s="228" t="str">
        <f>IFERROR(__xludf.DUMMYFUNCTION("""COMPUTED_VALUE"""),"NO")</f>
        <v>NO</v>
      </c>
      <c r="AQ168" s="228" t="str">
        <f>IFERROR(__xludf.DUMMYFUNCTION("""COMPUTED_VALUE"""),"Resigned/Terminated")</f>
        <v>Resigned/Terminated</v>
      </c>
    </row>
    <row r="169">
      <c r="A169" s="228">
        <f>IFERROR(__xludf.DUMMYFUNCTION("""COMPUTED_VALUE"""),5017.0)</f>
        <v>5017</v>
      </c>
      <c r="B169" s="228" t="str">
        <f>IFERROR(__xludf.DUMMYFUNCTION("""COMPUTED_VALUE"""),"Nisha Kazi")</f>
        <v>Nisha Kazi</v>
      </c>
      <c r="C169" s="228" t="str">
        <f>IFERROR(__xludf.DUMMYFUNCTION("""COMPUTED_VALUE"""),"nisha96kazi@gmail.com")</f>
        <v>nisha96kazi@gmail.com</v>
      </c>
      <c r="D169" s="228"/>
      <c r="E169" s="730">
        <f>IFERROR(__xludf.DUMMYFUNCTION("""COMPUTED_VALUE"""),44159.0)</f>
        <v>44159</v>
      </c>
      <c r="F169" s="228" t="str">
        <f>IFERROR(__xludf.DUMMYFUNCTION("""COMPUTED_VALUE"""),"Visual Designer")</f>
        <v>Visual Designer</v>
      </c>
      <c r="G169" s="228" t="str">
        <f>IFERROR(__xludf.DUMMYFUNCTION("""COMPUTED_VALUE"""),"Design")</f>
        <v>Design</v>
      </c>
      <c r="H169" s="228" t="str">
        <f>IFERROR(__xludf.DUMMYFUNCTION("""COMPUTED_VALUE"""),"Z/A")</f>
        <v>Z/A</v>
      </c>
      <c r="I169" s="228" t="str">
        <f>IFERROR(__xludf.DUMMYFUNCTION("""COMPUTED_VALUE"""),"Permanent")</f>
        <v>Permanent</v>
      </c>
      <c r="J169" s="228"/>
      <c r="K169" s="228" t="str">
        <f>IFERROR(__xludf.DUMMYFUNCTION("""COMPUTED_VALUE"""),"3M")</f>
        <v>3M</v>
      </c>
      <c r="L169" s="228"/>
      <c r="M169" s="228"/>
      <c r="N169" s="228"/>
      <c r="O169" s="228"/>
      <c r="P169" s="228" t="str">
        <f>IFERROR(__xludf.DUMMYFUNCTION("""COMPUTED_VALUE"""),"0320-5666936")</f>
        <v>0320-5666936</v>
      </c>
      <c r="Q169" s="228" t="str">
        <f>IFERROR(__xludf.DUMMYFUNCTION("""COMPUTED_VALUE"""),"61101-0599442-4")</f>
        <v>61101-0599442-4</v>
      </c>
      <c r="R169" s="228" t="str">
        <f>IFERROR(__xludf.DUMMYFUNCTION("""COMPUTED_VALUE"""),"Female")</f>
        <v>Female</v>
      </c>
      <c r="S169" s="228" t="str">
        <f>IFERROR(__xludf.DUMMYFUNCTION("""COMPUTED_VALUE"""),"HBL")</f>
        <v>HBL</v>
      </c>
      <c r="T169" s="228"/>
      <c r="U169" s="228" t="str">
        <f>IFERROR(__xludf.DUMMYFUNCTION("""COMPUTED_VALUE"""),"22927902352003")</f>
        <v>22927902352003</v>
      </c>
      <c r="V169" s="228"/>
      <c r="W169" s="228"/>
      <c r="X169" s="228"/>
      <c r="Y169" s="730">
        <f>IFERROR(__xludf.DUMMYFUNCTION("""COMPUTED_VALUE"""),35313.0)</f>
        <v>35313</v>
      </c>
      <c r="Z169" s="228" t="str">
        <f>IFERROR(__xludf.DUMMYFUNCTION("""COMPUTED_VALUE"""),"28 Years")</f>
        <v>28 Years</v>
      </c>
      <c r="AA169" s="228" t="str">
        <f>IFERROR(__xludf.DUMMYFUNCTION("""COMPUTED_VALUE"""),"1020, Road D, Phase 5, Bahria Town Islamabad")</f>
        <v>1020, Road D, Phase 5, Bahria Town Islamabad</v>
      </c>
      <c r="AB169" s="228"/>
      <c r="AC169" s="228" t="str">
        <f>IFERROR(__xludf.DUMMYFUNCTION("""COMPUTED_VALUE"""),"Single")</f>
        <v>Single</v>
      </c>
      <c r="AD169" s="228"/>
      <c r="AE169" s="228"/>
      <c r="AF169" s="228"/>
      <c r="AG169" s="228" t="str">
        <f>IFERROR(__xludf.DUMMYFUNCTION("""COMPUTED_VALUE"""),"Tafseer Ahmad")</f>
        <v>Tafseer Ahmad</v>
      </c>
      <c r="AH169" s="228" t="str">
        <f>IFERROR(__xludf.DUMMYFUNCTION("""COMPUTED_VALUE"""),"Father")</f>
        <v>Father</v>
      </c>
      <c r="AI169" s="228" t="str">
        <f>IFERROR(__xludf.DUMMYFUNCTION("""COMPUTED_VALUE"""),"051-5731434")</f>
        <v>051-5731434</v>
      </c>
      <c r="AJ169" s="228" t="str">
        <f>IFERROR(__xludf.DUMMYFUNCTION("""COMPUTED_VALUE"""),"AB+")</f>
        <v>AB+</v>
      </c>
      <c r="AK169" s="731" t="str">
        <f>IFERROR(__xludf.DUMMYFUNCTION("""COMPUTED_VALUE"""),"https://www.linkedin.com/in/nishakazi")</f>
        <v>https://www.linkedin.com/in/nishakazi</v>
      </c>
      <c r="AL169" s="228"/>
      <c r="AM169" s="730">
        <f>IFERROR(__xludf.DUMMYFUNCTION("""COMPUTED_VALUE"""),44477.0)</f>
        <v>44477</v>
      </c>
      <c r="AN169" s="228"/>
      <c r="AO169" s="228"/>
      <c r="AP169" s="228" t="str">
        <f>IFERROR(__xludf.DUMMYFUNCTION("""COMPUTED_VALUE"""),"NO")</f>
        <v>NO</v>
      </c>
      <c r="AQ169" s="228" t="str">
        <f>IFERROR(__xludf.DUMMYFUNCTION("""COMPUTED_VALUE"""),"Resigned/Terminated")</f>
        <v>Resigned/Terminated</v>
      </c>
    </row>
    <row r="170">
      <c r="A170" s="228">
        <f>IFERROR(__xludf.DUMMYFUNCTION("""COMPUTED_VALUE"""),5005.0)</f>
        <v>5005</v>
      </c>
      <c r="B170" s="228" t="str">
        <f>IFERROR(__xludf.DUMMYFUNCTION("""COMPUTED_VALUE"""),"Aqsa Tahir")</f>
        <v>Aqsa Tahir</v>
      </c>
      <c r="C170" s="228" t="str">
        <f>IFERROR(__xludf.DUMMYFUNCTION("""COMPUTED_VALUE"""),"aqsab991@gmail.com")</f>
        <v>aqsab991@gmail.com</v>
      </c>
      <c r="D170" s="228"/>
      <c r="E170" s="730">
        <f>IFERROR(__xludf.DUMMYFUNCTION("""COMPUTED_VALUE"""),44284.0)</f>
        <v>44284</v>
      </c>
      <c r="F170" s="228" t="str">
        <f>IFERROR(__xludf.DUMMYFUNCTION("""COMPUTED_VALUE"""),"SQA Engineer")</f>
        <v>SQA Engineer</v>
      </c>
      <c r="G170" s="228" t="str">
        <f>IFERROR(__xludf.DUMMYFUNCTION("""COMPUTED_VALUE"""),"QA")</f>
        <v>QA</v>
      </c>
      <c r="H170" s="228" t="str">
        <f>IFERROR(__xludf.DUMMYFUNCTION("""COMPUTED_VALUE"""),"Z/A")</f>
        <v>Z/A</v>
      </c>
      <c r="I170" s="228" t="str">
        <f>IFERROR(__xludf.DUMMYFUNCTION("""COMPUTED_VALUE"""),"Permanent")</f>
        <v>Permanent</v>
      </c>
      <c r="J170" s="228"/>
      <c r="K170" s="228" t="str">
        <f>IFERROR(__xludf.DUMMYFUNCTION("""COMPUTED_VALUE"""),"2 M")</f>
        <v>2 M</v>
      </c>
      <c r="L170" s="228"/>
      <c r="M170" s="228"/>
      <c r="N170" s="228"/>
      <c r="O170" s="228"/>
      <c r="P170" s="228" t="str">
        <f>IFERROR(__xludf.DUMMYFUNCTION("""COMPUTED_VALUE"""),"0332-5971138")</f>
        <v>0332-5971138</v>
      </c>
      <c r="Q170" s="228" t="str">
        <f>IFERROR(__xludf.DUMMYFUNCTION("""COMPUTED_VALUE"""),"61101-7229252-8")</f>
        <v>61101-7229252-8</v>
      </c>
      <c r="R170" s="228" t="str">
        <f>IFERROR(__xludf.DUMMYFUNCTION("""COMPUTED_VALUE"""),"Female")</f>
        <v>Female</v>
      </c>
      <c r="S170" s="228" t="str">
        <f>IFERROR(__xludf.DUMMYFUNCTION("""COMPUTED_VALUE"""),"HBL")</f>
        <v>HBL</v>
      </c>
      <c r="T170" s="228"/>
      <c r="U170" s="228" t="str">
        <f>IFERROR(__xludf.DUMMYFUNCTION("""COMPUTED_VALUE"""),"18537901359203")</f>
        <v>18537901359203</v>
      </c>
      <c r="V170" s="228"/>
      <c r="W170" s="228"/>
      <c r="X170" s="228"/>
      <c r="Y170" s="730">
        <f>IFERROR(__xludf.DUMMYFUNCTION("""COMPUTED_VALUE"""),35493.0)</f>
        <v>35493</v>
      </c>
      <c r="Z170" s="228" t="str">
        <f>IFERROR(__xludf.DUMMYFUNCTION("""COMPUTED_VALUE"""),"28 Years")</f>
        <v>28 Years</v>
      </c>
      <c r="AA170" s="228" t="str">
        <f>IFERROR(__xludf.DUMMYFUNCTION("""COMPUTED_VALUE"""),"House no. 57-B, Street 13, Sector G-8/1, ISB")</f>
        <v>House no. 57-B, Street 13, Sector G-8/1, ISB</v>
      </c>
      <c r="AB170" s="228"/>
      <c r="AC170" s="228"/>
      <c r="AD170" s="228"/>
      <c r="AE170" s="228"/>
      <c r="AF170" s="228"/>
      <c r="AG170" s="228" t="str">
        <f>IFERROR(__xludf.DUMMYFUNCTION("""COMPUTED_VALUE"""),"Tahir Mehmood")</f>
        <v>Tahir Mehmood</v>
      </c>
      <c r="AH170" s="228" t="str">
        <f>IFERROR(__xludf.DUMMYFUNCTION("""COMPUTED_VALUE"""),"Father")</f>
        <v>Father</v>
      </c>
      <c r="AI170" s="228"/>
      <c r="AJ170" s="228"/>
      <c r="AK170" s="228"/>
      <c r="AL170" s="228"/>
      <c r="AM170" s="730">
        <f>IFERROR(__xludf.DUMMYFUNCTION("""COMPUTED_VALUE"""),44498.0)</f>
        <v>44498</v>
      </c>
      <c r="AN170" s="228"/>
      <c r="AO170" s="228"/>
      <c r="AP170" s="228" t="str">
        <f>IFERROR(__xludf.DUMMYFUNCTION("""COMPUTED_VALUE"""),"NO")</f>
        <v>NO</v>
      </c>
      <c r="AQ170" s="228" t="str">
        <f>IFERROR(__xludf.DUMMYFUNCTION("""COMPUTED_VALUE"""),"Resigned/Terminated")</f>
        <v>Resigned/Terminated</v>
      </c>
    </row>
    <row r="171">
      <c r="A171" s="228">
        <f>IFERROR(__xludf.DUMMYFUNCTION("""COMPUTED_VALUE"""),5023.0)</f>
        <v>5023</v>
      </c>
      <c r="B171" s="228" t="str">
        <f>IFERROR(__xludf.DUMMYFUNCTION("""COMPUTED_VALUE"""),"Syed Anas Kamal")</f>
        <v>Syed Anas Kamal</v>
      </c>
      <c r="C171" s="228" t="str">
        <f>IFERROR(__xludf.DUMMYFUNCTION("""COMPUTED_VALUE"""),"syedanaskamal@gmail.com")</f>
        <v>syedanaskamal@gmail.com</v>
      </c>
      <c r="D171" s="228"/>
      <c r="E171" s="730">
        <f>IFERROR(__xludf.DUMMYFUNCTION("""COMPUTED_VALUE"""),44200.0)</f>
        <v>44200</v>
      </c>
      <c r="F171" s="228" t="str">
        <f>IFERROR(__xludf.DUMMYFUNCTION("""COMPUTED_VALUE"""),"Software engineer - Android")</f>
        <v>Software engineer - Android</v>
      </c>
      <c r="G171" s="228" t="str">
        <f>IFERROR(__xludf.DUMMYFUNCTION("""COMPUTED_VALUE"""),"R &amp; D")</f>
        <v>R &amp; D</v>
      </c>
      <c r="H171" s="228" t="str">
        <f>IFERROR(__xludf.DUMMYFUNCTION("""COMPUTED_VALUE"""),"Z/A")</f>
        <v>Z/A</v>
      </c>
      <c r="I171" s="228" t="str">
        <f>IFERROR(__xludf.DUMMYFUNCTION("""COMPUTED_VALUE"""),"Permanent")</f>
        <v>Permanent</v>
      </c>
      <c r="J171" s="228"/>
      <c r="K171" s="228"/>
      <c r="L171" s="228"/>
      <c r="M171" s="53">
        <f>IFERROR(__xludf.DUMMYFUNCTION("""COMPUTED_VALUE"""),30000.0)</f>
        <v>30000</v>
      </c>
      <c r="N171" s="228"/>
      <c r="O171" s="228"/>
      <c r="P171" s="228" t="str">
        <f>IFERROR(__xludf.DUMMYFUNCTION("""COMPUTED_VALUE"""),"0333-2255027")</f>
        <v>0333-2255027</v>
      </c>
      <c r="Q171" s="228" t="str">
        <f>IFERROR(__xludf.DUMMYFUNCTION("""COMPUTED_VALUE"""),"42201-4590019-5")</f>
        <v>42201-4590019-5</v>
      </c>
      <c r="R171" s="228" t="str">
        <f>IFERROR(__xludf.DUMMYFUNCTION("""COMPUTED_VALUE"""),"Male")</f>
        <v>Male</v>
      </c>
      <c r="S171" s="228" t="str">
        <f>IFERROR(__xludf.DUMMYFUNCTION("""COMPUTED_VALUE"""),"AL Habib")</f>
        <v>AL Habib</v>
      </c>
      <c r="T171" s="228"/>
      <c r="U171" s="228" t="str">
        <f>IFERROR(__xludf.DUMMYFUNCTION("""COMPUTED_VALUE"""),"11130078010221011")</f>
        <v>11130078010221011</v>
      </c>
      <c r="V171" s="228"/>
      <c r="W171" s="228"/>
      <c r="X171" s="228"/>
      <c r="Y171" s="730">
        <f>IFERROR(__xludf.DUMMYFUNCTION("""COMPUTED_VALUE"""),35887.0)</f>
        <v>35887</v>
      </c>
      <c r="Z171" s="228" t="str">
        <f>IFERROR(__xludf.DUMMYFUNCTION("""COMPUTED_VALUE"""),"27 Years")</f>
        <v>27 Years</v>
      </c>
      <c r="AA171" s="228" t="str">
        <f>IFERROR(__xludf.DUMMYFUNCTION("""COMPUTED_VALUE"""),"House 1559, Street 11, Sector 5, Bahria town Phase 8")</f>
        <v>House 1559, Street 11, Sector 5, Bahria town Phase 8</v>
      </c>
      <c r="AB171" s="228"/>
      <c r="AC171" s="228" t="str">
        <f>IFERROR(__xludf.DUMMYFUNCTION("""COMPUTED_VALUE"""),"Single")</f>
        <v>Single</v>
      </c>
      <c r="AD171" s="228"/>
      <c r="AE171" s="228"/>
      <c r="AF171" s="228"/>
      <c r="AG171" s="228" t="str">
        <f>IFERROR(__xludf.DUMMYFUNCTION("""COMPUTED_VALUE"""),"Syed Anwar Kamal")</f>
        <v>Syed Anwar Kamal</v>
      </c>
      <c r="AH171" s="228" t="str">
        <f>IFERROR(__xludf.DUMMYFUNCTION("""COMPUTED_VALUE"""),"Father")</f>
        <v>Father</v>
      </c>
      <c r="AI171" s="228" t="str">
        <f>IFERROR(__xludf.DUMMYFUNCTION("""COMPUTED_VALUE"""),"0344-2096929")</f>
        <v>0344-2096929</v>
      </c>
      <c r="AJ171" s="228" t="str">
        <f>IFERROR(__xludf.DUMMYFUNCTION("""COMPUTED_VALUE"""),"O+")</f>
        <v>O+</v>
      </c>
      <c r="AK171" s="731" t="str">
        <f>IFERROR(__xludf.DUMMYFUNCTION("""COMPUTED_VALUE"""),"https://www.linkedin.com/in/syed-anas-kamal/")</f>
        <v>https://www.linkedin.com/in/syed-anas-kamal/</v>
      </c>
      <c r="AL171" s="228"/>
      <c r="AM171" s="730">
        <f>IFERROR(__xludf.DUMMYFUNCTION("""COMPUTED_VALUE"""),44510.0)</f>
        <v>44510</v>
      </c>
      <c r="AN171" s="228"/>
      <c r="AO171" s="228"/>
      <c r="AP171" s="228" t="str">
        <f>IFERROR(__xludf.DUMMYFUNCTION("""COMPUTED_VALUE"""),"NO")</f>
        <v>NO</v>
      </c>
      <c r="AQ171" s="228" t="str">
        <f>IFERROR(__xludf.DUMMYFUNCTION("""COMPUTED_VALUE"""),"Resigned/Terminated")</f>
        <v>Resigned/Terminated</v>
      </c>
    </row>
    <row r="172">
      <c r="A172" s="228">
        <f>IFERROR(__xludf.DUMMYFUNCTION("""COMPUTED_VALUE"""),5020.0)</f>
        <v>5020</v>
      </c>
      <c r="B172" s="228" t="str">
        <f>IFERROR(__xludf.DUMMYFUNCTION("""COMPUTED_VALUE"""),"Saifullah")</f>
        <v>Saifullah</v>
      </c>
      <c r="C172" s="228" t="str">
        <f>IFERROR(__xludf.DUMMYFUNCTION("""COMPUTED_VALUE"""),"saifullahnust@gmail.com")</f>
        <v>saifullahnust@gmail.com</v>
      </c>
      <c r="D172" s="228"/>
      <c r="E172" s="730">
        <f>IFERROR(__xludf.DUMMYFUNCTION("""COMPUTED_VALUE"""),44263.0)</f>
        <v>44263</v>
      </c>
      <c r="F172" s="228" t="str">
        <f>IFERROR(__xludf.DUMMYFUNCTION("""COMPUTED_VALUE"""),"Associate Project Manager")</f>
        <v>Associate Project Manager</v>
      </c>
      <c r="G172" s="228" t="str">
        <f>IFERROR(__xludf.DUMMYFUNCTION("""COMPUTED_VALUE"""),"PM")</f>
        <v>PM</v>
      </c>
      <c r="H172" s="228"/>
      <c r="I172" s="228" t="str">
        <f>IFERROR(__xludf.DUMMYFUNCTION("""COMPUTED_VALUE"""),"Permanent")</f>
        <v>Permanent</v>
      </c>
      <c r="J172" s="228"/>
      <c r="K172" s="228" t="str">
        <f>IFERROR(__xludf.DUMMYFUNCTION("""COMPUTED_VALUE"""),"3 M")</f>
        <v>3 M</v>
      </c>
      <c r="L172" s="228"/>
      <c r="M172" s="228"/>
      <c r="N172" s="228"/>
      <c r="O172" s="228"/>
      <c r="P172" s="228" t="str">
        <f>IFERROR(__xludf.DUMMYFUNCTION("""COMPUTED_VALUE"""),"0313-8550084")</f>
        <v>0313-8550084</v>
      </c>
      <c r="Q172" s="228" t="str">
        <f>IFERROR(__xludf.DUMMYFUNCTION("""COMPUTED_VALUE"""),"61101-9666978-1")</f>
        <v>61101-9666978-1</v>
      </c>
      <c r="R172" s="228" t="str">
        <f>IFERROR(__xludf.DUMMYFUNCTION("""COMPUTED_VALUE"""),"Male")</f>
        <v>Male</v>
      </c>
      <c r="S172" s="228" t="str">
        <f>IFERROR(__xludf.DUMMYFUNCTION("""COMPUTED_VALUE"""),"HBL")</f>
        <v>HBL</v>
      </c>
      <c r="T172" s="228"/>
      <c r="U172" s="228" t="str">
        <f>IFERROR(__xludf.DUMMYFUNCTION("""COMPUTED_VALUE"""),"02967901354903")</f>
        <v>02967901354903</v>
      </c>
      <c r="V172" s="228"/>
      <c r="W172" s="228"/>
      <c r="X172" s="228"/>
      <c r="Y172" s="730">
        <f>IFERROR(__xludf.DUMMYFUNCTION("""COMPUTED_VALUE"""),36519.0)</f>
        <v>36519</v>
      </c>
      <c r="Z172" s="228" t="str">
        <f>IFERROR(__xludf.DUMMYFUNCTION("""COMPUTED_VALUE"""),"25 Years")</f>
        <v>25 Years</v>
      </c>
      <c r="AA172" s="228" t="str">
        <f>IFERROR(__xludf.DUMMYFUNCTION("""COMPUTED_VALUE"""),"House 1307, Service road east, I-10/4")</f>
        <v>House 1307, Service road east, I-10/4</v>
      </c>
      <c r="AB172" s="228"/>
      <c r="AC172" s="228"/>
      <c r="AD172" s="228"/>
      <c r="AE172" s="228"/>
      <c r="AF172" s="228"/>
      <c r="AG172" s="228" t="str">
        <f>IFERROR(__xludf.DUMMYFUNCTION("""COMPUTED_VALUE"""),"Abdul Khaliq")</f>
        <v>Abdul Khaliq</v>
      </c>
      <c r="AH172" s="228" t="str">
        <f>IFERROR(__xludf.DUMMYFUNCTION("""COMPUTED_VALUE"""),"Father")</f>
        <v>Father</v>
      </c>
      <c r="AI172" s="228"/>
      <c r="AJ172" s="228"/>
      <c r="AK172" s="228"/>
      <c r="AL172" s="228"/>
      <c r="AM172" s="730">
        <f>IFERROR(__xludf.DUMMYFUNCTION("""COMPUTED_VALUE"""),44530.0)</f>
        <v>44530</v>
      </c>
      <c r="AN172" s="228"/>
      <c r="AO172" s="228"/>
      <c r="AP172" s="228" t="str">
        <f>IFERROR(__xludf.DUMMYFUNCTION("""COMPUTED_VALUE"""),"NO")</f>
        <v>NO</v>
      </c>
      <c r="AQ172" s="228" t="str">
        <f>IFERROR(__xludf.DUMMYFUNCTION("""COMPUTED_VALUE"""),"Resigned/Terminated")</f>
        <v>Resigned/Terminated</v>
      </c>
    </row>
    <row r="173">
      <c r="A173" s="228">
        <f>IFERROR(__xludf.DUMMYFUNCTION("""COMPUTED_VALUE"""),5046.0)</f>
        <v>5046</v>
      </c>
      <c r="B173" s="228" t="str">
        <f>IFERROR(__xludf.DUMMYFUNCTION("""COMPUTED_VALUE"""),"Syed Muhammad Akbar")</f>
        <v>Syed Muhammad Akbar</v>
      </c>
      <c r="C173" s="228" t="str">
        <f>IFERROR(__xludf.DUMMYFUNCTION("""COMPUTED_VALUE"""),"sm.akbar42@gmail.com")</f>
        <v>sm.akbar42@gmail.com</v>
      </c>
      <c r="D173" s="228"/>
      <c r="E173" s="730">
        <f>IFERROR(__xludf.DUMMYFUNCTION("""COMPUTED_VALUE"""),44470.0)</f>
        <v>44470</v>
      </c>
      <c r="F173" s="228" t="str">
        <f>IFERROR(__xludf.DUMMYFUNCTION("""COMPUTED_VALUE"""),"Software Engineer - R&amp;D")</f>
        <v>Software Engineer - R&amp;D</v>
      </c>
      <c r="G173" s="228" t="str">
        <f>IFERROR(__xludf.DUMMYFUNCTION("""COMPUTED_VALUE"""),"R&amp;D")</f>
        <v>R&amp;D</v>
      </c>
      <c r="H173" s="228" t="str">
        <f>IFERROR(__xludf.DUMMYFUNCTION("""COMPUTED_VALUE"""),"Abdullah")</f>
        <v>Abdullah</v>
      </c>
      <c r="I173" s="228" t="str">
        <f>IFERROR(__xludf.DUMMYFUNCTION("""COMPUTED_VALUE"""),"Permanent")</f>
        <v>Permanent</v>
      </c>
      <c r="J173" s="228"/>
      <c r="K173" s="228" t="str">
        <f>IFERROR(__xludf.DUMMYFUNCTION("""COMPUTED_VALUE"""),"3 M")</f>
        <v>3 M</v>
      </c>
      <c r="L173" s="228"/>
      <c r="M173" s="228"/>
      <c r="N173" s="228"/>
      <c r="O173" s="228"/>
      <c r="P173" s="228" t="str">
        <f>IFERROR(__xludf.DUMMYFUNCTION("""COMPUTED_VALUE"""),"0311 1655047")</f>
        <v>0311 1655047</v>
      </c>
      <c r="Q173" s="228" t="str">
        <f>IFERROR(__xludf.DUMMYFUNCTION("""COMPUTED_VALUE"""),"42201-5904202-1")</f>
        <v>42201-5904202-1</v>
      </c>
      <c r="R173" s="228" t="str">
        <f>IFERROR(__xludf.DUMMYFUNCTION("""COMPUTED_VALUE"""),"Male")</f>
        <v>Male</v>
      </c>
      <c r="S173" s="228" t="str">
        <f>IFERROR(__xludf.DUMMYFUNCTION("""COMPUTED_VALUE"""),"Askari")</f>
        <v>Askari</v>
      </c>
      <c r="T173" s="228"/>
      <c r="U173" s="228" t="str">
        <f>IFERROR(__xludf.DUMMYFUNCTION("""COMPUTED_VALUE"""),"01800320020397")</f>
        <v>01800320020397</v>
      </c>
      <c r="V173" s="228"/>
      <c r="W173" s="228"/>
      <c r="X173" s="228"/>
      <c r="Y173" s="730">
        <f>IFERROR(__xludf.DUMMYFUNCTION("""COMPUTED_VALUE"""),35958.0)</f>
        <v>35958</v>
      </c>
      <c r="Z173" s="228" t="str">
        <f>IFERROR(__xludf.DUMMYFUNCTION("""COMPUTED_VALUE"""),"27 Years")</f>
        <v>27 Years</v>
      </c>
      <c r="AA173" s="228" t="str">
        <f>IFERROR(__xludf.DUMMYFUNCTION("""COMPUTED_VALUE"""),"Apartment no. TF07, PHA Apartments, Section 66, G-11, ISB")</f>
        <v>Apartment no. TF07, PHA Apartments, Section 66, G-11, ISB</v>
      </c>
      <c r="AB173" s="228"/>
      <c r="AC173" s="228" t="str">
        <f>IFERROR(__xludf.DUMMYFUNCTION("""COMPUTED_VALUE"""),"Single")</f>
        <v>Single</v>
      </c>
      <c r="AD173" s="228"/>
      <c r="AE173" s="228"/>
      <c r="AF173" s="228"/>
      <c r="AG173" s="228" t="str">
        <f>IFERROR(__xludf.DUMMYFUNCTION("""COMPUTED_VALUE"""),"Syed Ejaz Ali")</f>
        <v>Syed Ejaz Ali</v>
      </c>
      <c r="AH173" s="228" t="str">
        <f>IFERROR(__xludf.DUMMYFUNCTION("""COMPUTED_VALUE"""),"Father")</f>
        <v>Father</v>
      </c>
      <c r="AI173" s="228"/>
      <c r="AJ173" s="228" t="str">
        <f>IFERROR(__xludf.DUMMYFUNCTION("""COMPUTED_VALUE"""),"AB+")</f>
        <v>AB+</v>
      </c>
      <c r="AK173" s="731" t="str">
        <f>IFERROR(__xludf.DUMMYFUNCTION("""COMPUTED_VALUE"""),"https://www.linkedin.com/in/smakbar42/")</f>
        <v>https://www.linkedin.com/in/smakbar42/</v>
      </c>
      <c r="AL173" s="228"/>
      <c r="AM173" s="730">
        <f>IFERROR(__xludf.DUMMYFUNCTION("""COMPUTED_VALUE"""),44530.0)</f>
        <v>44530</v>
      </c>
      <c r="AN173" s="228"/>
      <c r="AO173" s="228"/>
      <c r="AP173" s="228" t="str">
        <f>IFERROR(__xludf.DUMMYFUNCTION("""COMPUTED_VALUE"""),"NO")</f>
        <v>NO</v>
      </c>
      <c r="AQ173" s="228" t="str">
        <f>IFERROR(__xludf.DUMMYFUNCTION("""COMPUTED_VALUE"""),"Resigned/Terminated")</f>
        <v>Resigned/Terminated</v>
      </c>
    </row>
    <row r="174">
      <c r="A174" s="228">
        <f>IFERROR(__xludf.DUMMYFUNCTION("""COMPUTED_VALUE"""),5015.0)</f>
        <v>5015</v>
      </c>
      <c r="B174" s="228" t="str">
        <f>IFERROR(__xludf.DUMMYFUNCTION("""COMPUTED_VALUE"""),"Muhammad Ubaid Ullah")</f>
        <v>Muhammad Ubaid Ullah</v>
      </c>
      <c r="C174" s="228" t="str">
        <f>IFERROR(__xludf.DUMMYFUNCTION("""COMPUTED_VALUE"""),"ubaidasim514@gmail.com")</f>
        <v>ubaidasim514@gmail.com</v>
      </c>
      <c r="D174" s="228"/>
      <c r="E174" s="730">
        <f>IFERROR(__xludf.DUMMYFUNCTION("""COMPUTED_VALUE"""),44305.0)</f>
        <v>44305</v>
      </c>
      <c r="F174" s="228" t="str">
        <f>IFERROR(__xludf.DUMMYFUNCTION("""COMPUTED_VALUE"""),"UI/UX Designer")</f>
        <v>UI/UX Designer</v>
      </c>
      <c r="G174" s="228" t="str">
        <f>IFERROR(__xludf.DUMMYFUNCTION("""COMPUTED_VALUE"""),"Design")</f>
        <v>Design</v>
      </c>
      <c r="H174" s="228" t="str">
        <f>IFERROR(__xludf.DUMMYFUNCTION("""COMPUTED_VALUE"""),"Z/A/A")</f>
        <v>Z/A/A</v>
      </c>
      <c r="I174" s="228" t="str">
        <f>IFERROR(__xludf.DUMMYFUNCTION("""COMPUTED_VALUE"""),"Permanent")</f>
        <v>Permanent</v>
      </c>
      <c r="J174" s="228"/>
      <c r="K174" s="228" t="str">
        <f>IFERROR(__xludf.DUMMYFUNCTION("""COMPUTED_VALUE"""),"2 M")</f>
        <v>2 M</v>
      </c>
      <c r="L174" s="732">
        <f>IFERROR(__xludf.DUMMYFUNCTION("""COMPUTED_VALUE"""),44414.0)</f>
        <v>44414</v>
      </c>
      <c r="M174" s="228"/>
      <c r="N174" s="228"/>
      <c r="O174" s="228"/>
      <c r="P174" s="228" t="str">
        <f>IFERROR(__xludf.DUMMYFUNCTION("""COMPUTED_VALUE"""),"0333 8355389")</f>
        <v>0333 8355389</v>
      </c>
      <c r="Q174" s="228" t="str">
        <f>IFERROR(__xludf.DUMMYFUNCTION("""COMPUTED_VALUE"""),"36103-3565578-3")</f>
        <v>36103-3565578-3</v>
      </c>
      <c r="R174" s="228" t="str">
        <f>IFERROR(__xludf.DUMMYFUNCTION("""COMPUTED_VALUE"""),"Male")</f>
        <v>Male</v>
      </c>
      <c r="S174" s="228" t="str">
        <f>IFERROR(__xludf.DUMMYFUNCTION("""COMPUTED_VALUE"""),"HBL")</f>
        <v>HBL</v>
      </c>
      <c r="T174" s="228"/>
      <c r="U174" s="228" t="str">
        <f>IFERROR(__xludf.DUMMYFUNCTION("""COMPUTED_VALUE"""),"01187902640103")</f>
        <v>01187902640103</v>
      </c>
      <c r="V174" s="228"/>
      <c r="W174" s="228"/>
      <c r="X174" s="228"/>
      <c r="Y174" s="730">
        <f>IFERROR(__xludf.DUMMYFUNCTION("""COMPUTED_VALUE"""),36530.0)</f>
        <v>36530</v>
      </c>
      <c r="Z174" s="228" t="str">
        <f>IFERROR(__xludf.DUMMYFUNCTION("""COMPUTED_VALUE"""),"25 Years")</f>
        <v>25 Years</v>
      </c>
      <c r="AA174" s="228" t="str">
        <f>IFERROR(__xludf.DUMMYFUNCTION("""COMPUTED_VALUE"""),"House no. 45, X-block, People's Colony, Khanewal")</f>
        <v>House no. 45, X-block, People's Colony, Khanewal</v>
      </c>
      <c r="AB174" s="228"/>
      <c r="AC174" s="228" t="str">
        <f>IFERROR(__xludf.DUMMYFUNCTION("""COMPUTED_VALUE"""),"SIngle")</f>
        <v>SIngle</v>
      </c>
      <c r="AD174" s="228"/>
      <c r="AE174" s="228"/>
      <c r="AF174" s="228"/>
      <c r="AG174" s="228" t="str">
        <f>IFERROR(__xludf.DUMMYFUNCTION("""COMPUTED_VALUE"""),"Asim Naeem")</f>
        <v>Asim Naeem</v>
      </c>
      <c r="AH174" s="228" t="str">
        <f>IFERROR(__xludf.DUMMYFUNCTION("""COMPUTED_VALUE"""),"Father")</f>
        <v>Father</v>
      </c>
      <c r="AI174" s="228" t="str">
        <f>IFERROR(__xludf.DUMMYFUNCTION("""COMPUTED_VALUE"""),"0333-6222368")</f>
        <v>0333-6222368</v>
      </c>
      <c r="AJ174" s="228" t="str">
        <f>IFERROR(__xludf.DUMMYFUNCTION("""COMPUTED_VALUE"""),"O+")</f>
        <v>O+</v>
      </c>
      <c r="AK174" s="731" t="str">
        <f>IFERROR(__xludf.DUMMYFUNCTION("""COMPUTED_VALUE"""),"https://www.linkedin.com/in/ubaidasim/")</f>
        <v>https://www.linkedin.com/in/ubaidasim/</v>
      </c>
      <c r="AL174" s="228"/>
      <c r="AM174" s="730">
        <f>IFERROR(__xludf.DUMMYFUNCTION("""COMPUTED_VALUE"""),44540.0)</f>
        <v>44540</v>
      </c>
      <c r="AN174" s="228"/>
      <c r="AO174" s="228"/>
      <c r="AP174" s="228" t="str">
        <f>IFERROR(__xludf.DUMMYFUNCTION("""COMPUTED_VALUE"""),"NO")</f>
        <v>NO</v>
      </c>
      <c r="AQ174" s="228" t="str">
        <f>IFERROR(__xludf.DUMMYFUNCTION("""COMPUTED_VALUE"""),"Resigned/Terminated")</f>
        <v>Resigned/Terminated</v>
      </c>
    </row>
    <row r="175">
      <c r="A175" s="228">
        <f>IFERROR(__xludf.DUMMYFUNCTION("""COMPUTED_VALUE"""),5006.0)</f>
        <v>5006</v>
      </c>
      <c r="B175" s="228" t="str">
        <f>IFERROR(__xludf.DUMMYFUNCTION("""COMPUTED_VALUE"""),"Fazal e Majid")</f>
        <v>Fazal e Majid</v>
      </c>
      <c r="C175" s="228" t="str">
        <f>IFERROR(__xludf.DUMMYFUNCTION("""COMPUTED_VALUE"""),"fazalemajid3@gmail.com")</f>
        <v>fazalemajid3@gmail.com</v>
      </c>
      <c r="D175" s="228"/>
      <c r="E175" s="730">
        <f>IFERROR(__xludf.DUMMYFUNCTION("""COMPUTED_VALUE"""),44088.0)</f>
        <v>44088</v>
      </c>
      <c r="F175" s="228" t="str">
        <f>IFERROR(__xludf.DUMMYFUNCTION("""COMPUTED_VALUE"""),"R&amp;D Engineer - iOS")</f>
        <v>R&amp;D Engineer - iOS</v>
      </c>
      <c r="G175" s="228" t="str">
        <f>IFERROR(__xludf.DUMMYFUNCTION("""COMPUTED_VALUE"""),"R &amp; D")</f>
        <v>R &amp; D</v>
      </c>
      <c r="H175" s="228" t="str">
        <f>IFERROR(__xludf.DUMMYFUNCTION("""COMPUTED_VALUE"""),"Z/A")</f>
        <v>Z/A</v>
      </c>
      <c r="I175" s="228" t="str">
        <f>IFERROR(__xludf.DUMMYFUNCTION("""COMPUTED_VALUE"""),"Permanent")</f>
        <v>Permanent</v>
      </c>
      <c r="J175" s="228"/>
      <c r="K175" s="228" t="str">
        <f>IFERROR(__xludf.DUMMYFUNCTION("""COMPUTED_VALUE"""),"3 M")</f>
        <v>3 M</v>
      </c>
      <c r="L175" s="228"/>
      <c r="M175" s="228"/>
      <c r="N175" s="228"/>
      <c r="O175" s="228"/>
      <c r="P175" s="228" t="str">
        <f>IFERROR(__xludf.DUMMYFUNCTION("""COMPUTED_VALUE"""),"0312-8493488")</f>
        <v>0312-8493488</v>
      </c>
      <c r="Q175" s="228" t="str">
        <f>IFERROR(__xludf.DUMMYFUNCTION("""COMPUTED_VALUE"""),"17301-4803227-1")</f>
        <v>17301-4803227-1</v>
      </c>
      <c r="R175" s="228" t="str">
        <f>IFERROR(__xludf.DUMMYFUNCTION("""COMPUTED_VALUE"""),"Male")</f>
        <v>Male</v>
      </c>
      <c r="S175" s="228" t="str">
        <f>IFERROR(__xludf.DUMMYFUNCTION("""COMPUTED_VALUE"""),"Allied")</f>
        <v>Allied</v>
      </c>
      <c r="T175" s="228"/>
      <c r="U175" s="228" t="str">
        <f>IFERROR(__xludf.DUMMYFUNCTION("""COMPUTED_VALUE"""),"06510010072382950023")</f>
        <v>06510010072382950023</v>
      </c>
      <c r="V175" s="228"/>
      <c r="W175" s="228"/>
      <c r="X175" s="228"/>
      <c r="Y175" s="730">
        <f>IFERROR(__xludf.DUMMYFUNCTION("""COMPUTED_VALUE"""),35869.0)</f>
        <v>35869</v>
      </c>
      <c r="Z175" s="228" t="str">
        <f>IFERROR(__xludf.DUMMYFUNCTION("""COMPUTED_VALUE"""),"27 Years")</f>
        <v>27 Years</v>
      </c>
      <c r="AA175" s="228" t="str">
        <f>IFERROR(__xludf.DUMMYFUNCTION("""COMPUTED_VALUE"""),"Kohsar town, Bara kahu, Isb.")</f>
        <v>Kohsar town, Bara kahu, Isb.</v>
      </c>
      <c r="AB175" s="228"/>
      <c r="AC175" s="228" t="str">
        <f>IFERROR(__xludf.DUMMYFUNCTION("""COMPUTED_VALUE"""),"Single")</f>
        <v>Single</v>
      </c>
      <c r="AD175" s="228"/>
      <c r="AE175" s="228"/>
      <c r="AF175" s="228"/>
      <c r="AG175" s="228" t="str">
        <f>IFERROR(__xludf.DUMMYFUNCTION("""COMPUTED_VALUE"""),"Fazal-e-Wahid")</f>
        <v>Fazal-e-Wahid</v>
      </c>
      <c r="AH175" s="228" t="str">
        <f>IFERROR(__xludf.DUMMYFUNCTION("""COMPUTED_VALUE"""),"Father")</f>
        <v>Father</v>
      </c>
      <c r="AI175" s="228"/>
      <c r="AJ175" s="228"/>
      <c r="AK175" s="731" t="str">
        <f>IFERROR(__xludf.DUMMYFUNCTION("""COMPUTED_VALUE"""),"https://www.linkedin.com/in/fazal-e-majid/")</f>
        <v>https://www.linkedin.com/in/fazal-e-majid/</v>
      </c>
      <c r="AL175" s="228"/>
      <c r="AM175" s="730">
        <f>IFERROR(__xludf.DUMMYFUNCTION("""COMPUTED_VALUE"""),44561.0)</f>
        <v>44561</v>
      </c>
      <c r="AN175" s="228"/>
      <c r="AO175" s="228"/>
      <c r="AP175" s="228" t="str">
        <f>IFERROR(__xludf.DUMMYFUNCTION("""COMPUTED_VALUE"""),"NO")</f>
        <v>NO</v>
      </c>
      <c r="AQ175" s="228" t="str">
        <f>IFERROR(__xludf.DUMMYFUNCTION("""COMPUTED_VALUE"""),"Resigned/Terminated")</f>
        <v>Resigned/Terminated</v>
      </c>
    </row>
    <row r="176">
      <c r="A176" s="228">
        <f>IFERROR(__xludf.DUMMYFUNCTION("""COMPUTED_VALUE"""),5039.0)</f>
        <v>5039</v>
      </c>
      <c r="B176" s="228" t="str">
        <f>IFERROR(__xludf.DUMMYFUNCTION("""COMPUTED_VALUE"""),"Ghulam Mustafa")</f>
        <v>Ghulam Mustafa</v>
      </c>
      <c r="C176" s="228" t="str">
        <f>IFERROR(__xludf.DUMMYFUNCTION("""COMPUTED_VALUE"""),"emailmirzamustafa@gmail.com")</f>
        <v>emailmirzamustafa@gmail.com</v>
      </c>
      <c r="D176" s="228"/>
      <c r="E176" s="730">
        <f>IFERROR(__xludf.DUMMYFUNCTION("""COMPUTED_VALUE"""),44405.0)</f>
        <v>44405</v>
      </c>
      <c r="F176" s="228" t="str">
        <f>IFERROR(__xludf.DUMMYFUNCTION("""COMPUTED_VALUE"""),"Associate Backend Engineer")</f>
        <v>Associate Backend Engineer</v>
      </c>
      <c r="G176" s="228" t="str">
        <f>IFERROR(__xludf.DUMMYFUNCTION("""COMPUTED_VALUE"""),"Cloud Infrastructure")</f>
        <v>Cloud Infrastructure</v>
      </c>
      <c r="H176" s="228" t="str">
        <f>IFERROR(__xludf.DUMMYFUNCTION("""COMPUTED_VALUE"""),"Saifullah")</f>
        <v>Saifullah</v>
      </c>
      <c r="I176" s="228" t="str">
        <f>IFERROR(__xludf.DUMMYFUNCTION("""COMPUTED_VALUE"""),"Permanent")</f>
        <v>Permanent</v>
      </c>
      <c r="J176" s="228"/>
      <c r="K176" s="228" t="str">
        <f>IFERROR(__xludf.DUMMYFUNCTION("""COMPUTED_VALUE"""),"3 M")</f>
        <v>3 M</v>
      </c>
      <c r="L176" s="228"/>
      <c r="M176" s="228"/>
      <c r="N176" s="228"/>
      <c r="O176" s="228"/>
      <c r="P176" s="228" t="str">
        <f>IFERROR(__xludf.DUMMYFUNCTION("""COMPUTED_VALUE"""),"0333 5537344")</f>
        <v>0333 5537344</v>
      </c>
      <c r="Q176" s="228" t="str">
        <f>IFERROR(__xludf.DUMMYFUNCTION("""COMPUTED_VALUE"""),"61101-9912775-1")</f>
        <v>61101-9912775-1</v>
      </c>
      <c r="R176" s="228" t="str">
        <f>IFERROR(__xludf.DUMMYFUNCTION("""COMPUTED_VALUE"""),"Male")</f>
        <v>Male</v>
      </c>
      <c r="S176" s="228" t="str">
        <f>IFERROR(__xludf.DUMMYFUNCTION("""COMPUTED_VALUE"""),"Faysal Bank")</f>
        <v>Faysal Bank</v>
      </c>
      <c r="T176" s="228"/>
      <c r="U176" s="228" t="str">
        <f>IFERROR(__xludf.DUMMYFUNCTION("""COMPUTED_VALUE"""),"3204301000001117")</f>
        <v>3204301000001117</v>
      </c>
      <c r="V176" s="228"/>
      <c r="W176" s="228"/>
      <c r="X176" s="228"/>
      <c r="Y176" s="730">
        <f>IFERROR(__xludf.DUMMYFUNCTION("""COMPUTED_VALUE"""),36636.0)</f>
        <v>36636</v>
      </c>
      <c r="Z176" s="228" t="str">
        <f>IFERROR(__xludf.DUMMYFUNCTION("""COMPUTED_VALUE"""),"25 Years")</f>
        <v>25 Years</v>
      </c>
      <c r="AA176" s="228" t="str">
        <f>IFERROR(__xludf.DUMMYFUNCTION("""COMPUTED_VALUE"""),"House 14, Street 167, G-13, ISB")</f>
        <v>House 14, Street 167, G-13, ISB</v>
      </c>
      <c r="AB176" s="228"/>
      <c r="AC176" s="228" t="str">
        <f>IFERROR(__xludf.DUMMYFUNCTION("""COMPUTED_VALUE"""),"Single")</f>
        <v>Single</v>
      </c>
      <c r="AD176" s="228"/>
      <c r="AE176" s="228"/>
      <c r="AF176" s="228"/>
      <c r="AG176" s="228" t="str">
        <f>IFERROR(__xludf.DUMMYFUNCTION("""COMPUTED_VALUE"""),"Shaheen Bakht")</f>
        <v>Shaheen Bakht</v>
      </c>
      <c r="AH176" s="228" t="str">
        <f>IFERROR(__xludf.DUMMYFUNCTION("""COMPUTED_VALUE"""),"Father")</f>
        <v>Father</v>
      </c>
      <c r="AI176" s="228" t="str">
        <f>IFERROR(__xludf.DUMMYFUNCTION("""COMPUTED_VALUE"""),"03335557595")</f>
        <v>03335557595</v>
      </c>
      <c r="AJ176" s="228" t="str">
        <f>IFERROR(__xludf.DUMMYFUNCTION("""COMPUTED_VALUE"""),"A-")</f>
        <v>A-</v>
      </c>
      <c r="AK176" s="228"/>
      <c r="AL176" s="228"/>
      <c r="AM176" s="730">
        <f>IFERROR(__xludf.DUMMYFUNCTION("""COMPUTED_VALUE"""),44561.0)</f>
        <v>44561</v>
      </c>
      <c r="AN176" s="228"/>
      <c r="AO176" s="228"/>
      <c r="AP176" s="228" t="str">
        <f>IFERROR(__xludf.DUMMYFUNCTION("""COMPUTED_VALUE"""),"NO")</f>
        <v>NO</v>
      </c>
      <c r="AQ176" s="228" t="str">
        <f>IFERROR(__xludf.DUMMYFUNCTION("""COMPUTED_VALUE"""),"Resigned/Terminated")</f>
        <v>Resigned/Terminated</v>
      </c>
    </row>
    <row r="177">
      <c r="A177" s="228">
        <f>IFERROR(__xludf.DUMMYFUNCTION("""COMPUTED_VALUE"""),5045.0)</f>
        <v>5045</v>
      </c>
      <c r="B177" s="228" t="str">
        <f>IFERROR(__xludf.DUMMYFUNCTION("""COMPUTED_VALUE"""),"Saad Naveed")</f>
        <v>Saad Naveed</v>
      </c>
      <c r="C177" s="228" t="str">
        <f>IFERROR(__xludf.DUMMYFUNCTION("""COMPUTED_VALUE"""),"saadnaveedmsn@gmail.com")</f>
        <v>saadnaveedmsn@gmail.com</v>
      </c>
      <c r="D177" s="228"/>
      <c r="E177" s="730">
        <f>IFERROR(__xludf.DUMMYFUNCTION("""COMPUTED_VALUE"""),44466.0)</f>
        <v>44466</v>
      </c>
      <c r="F177" s="228" t="str">
        <f>IFERROR(__xludf.DUMMYFUNCTION("""COMPUTED_VALUE"""),"Social Media Marketing Associate")</f>
        <v>Social Media Marketing Associate</v>
      </c>
      <c r="G177" s="228" t="str">
        <f>IFERROR(__xludf.DUMMYFUNCTION("""COMPUTED_VALUE"""),"Marketing")</f>
        <v>Marketing</v>
      </c>
      <c r="H177" s="228" t="str">
        <f>IFERROR(__xludf.DUMMYFUNCTION("""COMPUTED_VALUE"""),"Zeeshan")</f>
        <v>Zeeshan</v>
      </c>
      <c r="I177" s="228" t="str">
        <f>IFERROR(__xludf.DUMMYFUNCTION("""COMPUTED_VALUE"""),"Intern")</f>
        <v>Intern</v>
      </c>
      <c r="J177" s="228"/>
      <c r="K177" s="228" t="str">
        <f>IFERROR(__xludf.DUMMYFUNCTION("""COMPUTED_VALUE"""),"3 M")</f>
        <v>3 M</v>
      </c>
      <c r="L177" s="228"/>
      <c r="M177" s="228"/>
      <c r="N177" s="228"/>
      <c r="O177" s="228"/>
      <c r="P177" s="228" t="str">
        <f>IFERROR(__xludf.DUMMYFUNCTION("""COMPUTED_VALUE"""),"0341 6898356")</f>
        <v>0341 6898356</v>
      </c>
      <c r="Q177" s="228" t="str">
        <f>IFERROR(__xludf.DUMMYFUNCTION("""COMPUTED_VALUE"""),"31102-5734110-1")</f>
        <v>31102-5734110-1</v>
      </c>
      <c r="R177" s="228" t="str">
        <f>IFERROR(__xludf.DUMMYFUNCTION("""COMPUTED_VALUE"""),"Male")</f>
        <v>Male</v>
      </c>
      <c r="S177" s="228" t="str">
        <f>IFERROR(__xludf.DUMMYFUNCTION("""COMPUTED_VALUE"""),"HBL")</f>
        <v>HBL</v>
      </c>
      <c r="T177" s="228"/>
      <c r="U177" s="228" t="str">
        <f>IFERROR(__xludf.DUMMYFUNCTION("""COMPUTED_VALUE"""),"02137991849803")</f>
        <v>02137991849803</v>
      </c>
      <c r="V177" s="228"/>
      <c r="W177" s="228"/>
      <c r="X177" s="228"/>
      <c r="Y177" s="730">
        <f>IFERROR(__xludf.DUMMYFUNCTION("""COMPUTED_VALUE"""),37128.0)</f>
        <v>37128</v>
      </c>
      <c r="Z177" s="228" t="str">
        <f>IFERROR(__xludf.DUMMYFUNCTION("""COMPUTED_VALUE"""),"23 Years")</f>
        <v>23 Years</v>
      </c>
      <c r="AA177" s="228" t="str">
        <f>IFERROR(__xludf.DUMMYFUNCTION("""COMPUTED_VALUE"""),"Flat 311, 25-E, Wah Cantt")</f>
        <v>Flat 311, 25-E, Wah Cantt</v>
      </c>
      <c r="AB177" s="228"/>
      <c r="AC177" s="228" t="str">
        <f>IFERROR(__xludf.DUMMYFUNCTION("""COMPUTED_VALUE"""),"Single")</f>
        <v>Single</v>
      </c>
      <c r="AD177" s="228"/>
      <c r="AE177" s="228"/>
      <c r="AF177" s="228"/>
      <c r="AG177" s="228" t="str">
        <f>IFERROR(__xludf.DUMMYFUNCTION("""COMPUTED_VALUE"""),"Naveed Asim")</f>
        <v>Naveed Asim</v>
      </c>
      <c r="AH177" s="228" t="str">
        <f>IFERROR(__xludf.DUMMYFUNCTION("""COMPUTED_VALUE"""),"Father")</f>
        <v>Father</v>
      </c>
      <c r="AI177" s="228" t="str">
        <f>IFERROR(__xludf.DUMMYFUNCTION("""COMPUTED_VALUE"""),"03339836701")</f>
        <v>03339836701</v>
      </c>
      <c r="AJ177" s="228" t="str">
        <f>IFERROR(__xludf.DUMMYFUNCTION("""COMPUTED_VALUE"""),"A+")</f>
        <v>A+</v>
      </c>
      <c r="AK177" s="731" t="str">
        <f>IFERROR(__xludf.DUMMYFUNCTION("""COMPUTED_VALUE"""),"https://www.linkedin.com/in/muhammad-saad-naveed/")</f>
        <v>https://www.linkedin.com/in/muhammad-saad-naveed/</v>
      </c>
      <c r="AL177" s="228"/>
      <c r="AM177" s="730">
        <f>IFERROR(__xludf.DUMMYFUNCTION("""COMPUTED_VALUE"""),44561.0)</f>
        <v>44561</v>
      </c>
      <c r="AN177" s="228"/>
      <c r="AO177" s="228"/>
      <c r="AP177" s="228" t="str">
        <f>IFERROR(__xludf.DUMMYFUNCTION("""COMPUTED_VALUE"""),"NO")</f>
        <v>NO</v>
      </c>
      <c r="AQ177" s="228" t="str">
        <f>IFERROR(__xludf.DUMMYFUNCTION("""COMPUTED_VALUE"""),"Resigned/Terminated")</f>
        <v>Resigned/Terminated</v>
      </c>
    </row>
    <row r="178">
      <c r="A178" s="228">
        <f>IFERROR(__xludf.DUMMYFUNCTION("""COMPUTED_VALUE"""),5051.0)</f>
        <v>5051</v>
      </c>
      <c r="B178" s="228" t="str">
        <f>IFERROR(__xludf.DUMMYFUNCTION("""COMPUTED_VALUE"""),"Amna Karim")</f>
        <v>Amna Karim</v>
      </c>
      <c r="C178" s="228" t="str">
        <f>IFERROR(__xludf.DUMMYFUNCTION("""COMPUTED_VALUE"""),"amnakgraphicdesigner@gmail.com")</f>
        <v>amnakgraphicdesigner@gmail.com</v>
      </c>
      <c r="D178" s="228"/>
      <c r="E178" s="730">
        <f>IFERROR(__xludf.DUMMYFUNCTION("""COMPUTED_VALUE"""),44522.0)</f>
        <v>44522</v>
      </c>
      <c r="F178" s="228" t="str">
        <f>IFERROR(__xludf.DUMMYFUNCTION("""COMPUTED_VALUE"""),"Visual Designer")</f>
        <v>Visual Designer</v>
      </c>
      <c r="G178" s="228" t="str">
        <f>IFERROR(__xludf.DUMMYFUNCTION("""COMPUTED_VALUE"""),"Design")</f>
        <v>Design</v>
      </c>
      <c r="H178" s="228" t="str">
        <f>IFERROR(__xludf.DUMMYFUNCTION("""COMPUTED_VALUE"""),"Z/A/A")</f>
        <v>Z/A/A</v>
      </c>
      <c r="I178" s="228" t="str">
        <f>IFERROR(__xludf.DUMMYFUNCTION("""COMPUTED_VALUE"""),"Permanent")</f>
        <v>Permanent</v>
      </c>
      <c r="J178" s="228"/>
      <c r="K178" s="228" t="str">
        <f>IFERROR(__xludf.DUMMYFUNCTION("""COMPUTED_VALUE"""),"3 M")</f>
        <v>3 M</v>
      </c>
      <c r="L178" s="228"/>
      <c r="M178" s="228"/>
      <c r="N178" s="228"/>
      <c r="O178" s="228"/>
      <c r="P178" s="228" t="str">
        <f>IFERROR(__xludf.DUMMYFUNCTION("""COMPUTED_VALUE"""),"0334 4698532")</f>
        <v>0334 4698532</v>
      </c>
      <c r="Q178" s="228" t="str">
        <f>IFERROR(__xludf.DUMMYFUNCTION("""COMPUTED_VALUE"""),"61101-5731819-6")</f>
        <v>61101-5731819-6</v>
      </c>
      <c r="R178" s="228" t="str">
        <f>IFERROR(__xludf.DUMMYFUNCTION("""COMPUTED_VALUE"""),"Female")</f>
        <v>Female</v>
      </c>
      <c r="S178" s="228" t="str">
        <f>IFERROR(__xludf.DUMMYFUNCTION("""COMPUTED_VALUE"""),"UBL")</f>
        <v>UBL</v>
      </c>
      <c r="T178" s="228"/>
      <c r="U178" s="228" t="str">
        <f>IFERROR(__xludf.DUMMYFUNCTION("""COMPUTED_VALUE"""),"PK93UNIL0109000243826948")</f>
        <v>PK93UNIL0109000243826948</v>
      </c>
      <c r="V178" s="228"/>
      <c r="W178" s="228"/>
      <c r="X178" s="228" t="str">
        <f>IFERROR(__xludf.DUMMYFUNCTION("""COMPUTED_VALUE"""),"Islamabad")</f>
        <v>Islamabad</v>
      </c>
      <c r="Y178" s="730">
        <f>IFERROR(__xludf.DUMMYFUNCTION("""COMPUTED_VALUE"""),34797.0)</f>
        <v>34797</v>
      </c>
      <c r="Z178" s="228" t="str">
        <f>IFERROR(__xludf.DUMMYFUNCTION("""COMPUTED_VALUE"""),"30 Years")</f>
        <v>30 Years</v>
      </c>
      <c r="AA178" s="228" t="str">
        <f>IFERROR(__xludf.DUMMYFUNCTION("""COMPUTED_VALUE"""),"House no. 31, Street 57, Block D, Gulshen-e-Sehat, E-18, ISB")</f>
        <v>House no. 31, Street 57, Block D, Gulshen-e-Sehat, E-18, ISB</v>
      </c>
      <c r="AB178" s="228"/>
      <c r="AC178" s="228"/>
      <c r="AD178" s="228"/>
      <c r="AE178" s="228"/>
      <c r="AF178" s="228"/>
      <c r="AG178" s="228" t="str">
        <f>IFERROR(__xludf.DUMMYFUNCTION("""COMPUTED_VALUE"""),"Sohail Karim")</f>
        <v>Sohail Karim</v>
      </c>
      <c r="AH178" s="228" t="str">
        <f>IFERROR(__xludf.DUMMYFUNCTION("""COMPUTED_VALUE"""),"Father")</f>
        <v>Father</v>
      </c>
      <c r="AI178" s="228" t="str">
        <f>IFERROR(__xludf.DUMMYFUNCTION("""COMPUTED_VALUE"""),"03465399022")</f>
        <v>03465399022</v>
      </c>
      <c r="AJ178" s="228" t="str">
        <f>IFERROR(__xludf.DUMMYFUNCTION("""COMPUTED_VALUE"""),"B+")</f>
        <v>B+</v>
      </c>
      <c r="AK178" s="731" t="str">
        <f>IFERROR(__xludf.DUMMYFUNCTION("""COMPUTED_VALUE"""),"https://www.linkedin.com/in/amnakarimhashmi/")</f>
        <v>https://www.linkedin.com/in/amnakarimhashmi/</v>
      </c>
      <c r="AL178" s="228"/>
      <c r="AM178" s="730">
        <f>IFERROR(__xludf.DUMMYFUNCTION("""COMPUTED_VALUE"""),44592.0)</f>
        <v>44592</v>
      </c>
      <c r="AN178" s="228"/>
      <c r="AO178" s="228"/>
      <c r="AP178" s="228" t="str">
        <f>IFERROR(__xludf.DUMMYFUNCTION("""COMPUTED_VALUE"""),"NO")</f>
        <v>NO</v>
      </c>
      <c r="AQ178" s="228" t="str">
        <f>IFERROR(__xludf.DUMMYFUNCTION("""COMPUTED_VALUE"""),"Resigned/Terminated")</f>
        <v>Resigned/Terminated</v>
      </c>
    </row>
    <row r="179">
      <c r="A179" s="228">
        <f>IFERROR(__xludf.DUMMYFUNCTION("""COMPUTED_VALUE"""),5030.0)</f>
        <v>5030</v>
      </c>
      <c r="B179" s="228" t="str">
        <f>IFERROR(__xludf.DUMMYFUNCTION("""COMPUTED_VALUE"""),"Ibraiz Qazi")</f>
        <v>Ibraiz Qazi</v>
      </c>
      <c r="C179" s="228" t="str">
        <f>IFERROR(__xludf.DUMMYFUNCTION("""COMPUTED_VALUE"""),"ibraizqazi@gmail.com")</f>
        <v>ibraizqazi@gmail.com</v>
      </c>
      <c r="D179" s="228"/>
      <c r="E179" s="730">
        <f>IFERROR(__xludf.DUMMYFUNCTION("""COMPUTED_VALUE"""),44333.0)</f>
        <v>44333</v>
      </c>
      <c r="F179" s="228" t="str">
        <f>IFERROR(__xludf.DUMMYFUNCTION("""COMPUTED_VALUE"""),"Senior Android Developer")</f>
        <v>Senior Android Developer</v>
      </c>
      <c r="G179" s="228" t="str">
        <f>IFERROR(__xludf.DUMMYFUNCTION("""COMPUTED_VALUE"""),"Android")</f>
        <v>Android</v>
      </c>
      <c r="H179" s="228" t="str">
        <f>IFERROR(__xludf.DUMMYFUNCTION("""COMPUTED_VALUE"""),"Z/A/A")</f>
        <v>Z/A/A</v>
      </c>
      <c r="I179" s="228" t="str">
        <f>IFERROR(__xludf.DUMMYFUNCTION("""COMPUTED_VALUE"""),"Permanent")</f>
        <v>Permanent</v>
      </c>
      <c r="J179" s="228"/>
      <c r="K179" s="228" t="str">
        <f>IFERROR(__xludf.DUMMYFUNCTION("""COMPUTED_VALUE"""),"3 M")</f>
        <v>3 M</v>
      </c>
      <c r="L179" s="228"/>
      <c r="M179" s="228"/>
      <c r="N179" s="228"/>
      <c r="O179" s="228"/>
      <c r="P179" s="228" t="str">
        <f>IFERROR(__xludf.DUMMYFUNCTION("""COMPUTED_VALUE"""),"0345-5064711")</f>
        <v>0345-5064711</v>
      </c>
      <c r="Q179" s="228" t="str">
        <f>IFERROR(__xludf.DUMMYFUNCTION("""COMPUTED_VALUE"""),"61101-0349893-9")</f>
        <v>61101-0349893-9</v>
      </c>
      <c r="R179" s="228" t="str">
        <f>IFERROR(__xludf.DUMMYFUNCTION("""COMPUTED_VALUE"""),"Male")</f>
        <v>Male</v>
      </c>
      <c r="S179" s="228" t="str">
        <f>IFERROR(__xludf.DUMMYFUNCTION("""COMPUTED_VALUE"""),"Standard Chartered")</f>
        <v>Standard Chartered</v>
      </c>
      <c r="T179" s="228"/>
      <c r="U179" s="228" t="str">
        <f>IFERROR(__xludf.DUMMYFUNCTION("""COMPUTED_VALUE"""),"01711059701")</f>
        <v>01711059701</v>
      </c>
      <c r="V179" s="228"/>
      <c r="W179" s="228"/>
      <c r="X179" s="228"/>
      <c r="Y179" s="730">
        <f>IFERROR(__xludf.DUMMYFUNCTION("""COMPUTED_VALUE"""),33522.0)</f>
        <v>33522</v>
      </c>
      <c r="Z179" s="228" t="str">
        <f>IFERROR(__xludf.DUMMYFUNCTION("""COMPUTED_VALUE"""),"33 Years")</f>
        <v>33 Years</v>
      </c>
      <c r="AA179" s="228" t="str">
        <f>IFERROR(__xludf.DUMMYFUNCTION("""COMPUTED_VALUE"""),"House no. 29, Street 9, Sector H, DHA 2 , Islamabad")</f>
        <v>House no. 29, Street 9, Sector H, DHA 2 , Islamabad</v>
      </c>
      <c r="AB179" s="228"/>
      <c r="AC179" s="228" t="str">
        <f>IFERROR(__xludf.DUMMYFUNCTION("""COMPUTED_VALUE"""),"Single")</f>
        <v>Single</v>
      </c>
      <c r="AD179" s="228"/>
      <c r="AE179" s="228"/>
      <c r="AF179" s="228"/>
      <c r="AG179" s="228" t="str">
        <f>IFERROR(__xludf.DUMMYFUNCTION("""COMPUTED_VALUE"""),"Dr. Qazi Muzaffar")</f>
        <v>Dr. Qazi Muzaffar</v>
      </c>
      <c r="AH179" s="228" t="str">
        <f>IFERROR(__xludf.DUMMYFUNCTION("""COMPUTED_VALUE"""),"Father")</f>
        <v>Father</v>
      </c>
      <c r="AI179" s="228" t="str">
        <f>IFERROR(__xludf.DUMMYFUNCTION("""COMPUTED_VALUE"""),"03345317944")</f>
        <v>03345317944</v>
      </c>
      <c r="AJ179" s="228" t="str">
        <f>IFERROR(__xludf.DUMMYFUNCTION("""COMPUTED_VALUE"""),"A+")</f>
        <v>A+</v>
      </c>
      <c r="AK179" s="731" t="str">
        <f>IFERROR(__xludf.DUMMYFUNCTION("""COMPUTED_VALUE"""),"https://www.linkedin.com/in/syedibraizqazi/")</f>
        <v>https://www.linkedin.com/in/syedibraizqazi/</v>
      </c>
      <c r="AL179" s="228"/>
      <c r="AM179" s="730">
        <f>IFERROR(__xludf.DUMMYFUNCTION("""COMPUTED_VALUE"""),44592.0)</f>
        <v>44592</v>
      </c>
      <c r="AN179" s="228"/>
      <c r="AO179" s="228"/>
      <c r="AP179" s="228" t="str">
        <f>IFERROR(__xludf.DUMMYFUNCTION("""COMPUTED_VALUE"""),"NO")</f>
        <v>NO</v>
      </c>
      <c r="AQ179" s="228" t="str">
        <f>IFERROR(__xludf.DUMMYFUNCTION("""COMPUTED_VALUE"""),"Resigned/Terminated")</f>
        <v>Resigned/Terminated</v>
      </c>
    </row>
    <row r="180">
      <c r="A180" s="228">
        <f>IFERROR(__xludf.DUMMYFUNCTION("""COMPUTED_VALUE"""),5040.0)</f>
        <v>5040</v>
      </c>
      <c r="B180" s="228" t="str">
        <f>IFERROR(__xludf.DUMMYFUNCTION("""COMPUTED_VALUE"""),"Saad Hassan")</f>
        <v>Saad Hassan</v>
      </c>
      <c r="C180" s="228" t="str">
        <f>IFERROR(__xludf.DUMMYFUNCTION("""COMPUTED_VALUE"""),"saad.haxxan786@gmail.com")</f>
        <v>saad.haxxan786@gmail.com</v>
      </c>
      <c r="D180" s="228"/>
      <c r="E180" s="730">
        <f>IFERROR(__xludf.DUMMYFUNCTION("""COMPUTED_VALUE"""),44407.0)</f>
        <v>44407</v>
      </c>
      <c r="F180" s="228" t="str">
        <f>IFERROR(__xludf.DUMMYFUNCTION("""COMPUTED_VALUE"""),"Associate Cloud Infrastructure &amp; Backend Engineer")</f>
        <v>Associate Cloud Infrastructure &amp; Backend Engineer</v>
      </c>
      <c r="G180" s="228" t="str">
        <f>IFERROR(__xludf.DUMMYFUNCTION("""COMPUTED_VALUE"""),"Cloud Infrastructure")</f>
        <v>Cloud Infrastructure</v>
      </c>
      <c r="H180" s="228" t="str">
        <f>IFERROR(__xludf.DUMMYFUNCTION("""COMPUTED_VALUE"""),"Saifullah")</f>
        <v>Saifullah</v>
      </c>
      <c r="I180" s="228" t="str">
        <f>IFERROR(__xludf.DUMMYFUNCTION("""COMPUTED_VALUE"""),"Intern")</f>
        <v>Intern</v>
      </c>
      <c r="J180" s="228"/>
      <c r="K180" s="228" t="str">
        <f>IFERROR(__xludf.DUMMYFUNCTION("""COMPUTED_VALUE"""),"3 M")</f>
        <v>3 M</v>
      </c>
      <c r="L180" s="228"/>
      <c r="M180" s="228"/>
      <c r="N180" s="228"/>
      <c r="O180" s="228"/>
      <c r="P180" s="228" t="str">
        <f>IFERROR(__xludf.DUMMYFUNCTION("""COMPUTED_VALUE"""),"0333 9920863")</f>
        <v>0333 9920863</v>
      </c>
      <c r="Q180" s="228" t="str">
        <f>IFERROR(__xludf.DUMMYFUNCTION("""COMPUTED_VALUE"""),"33102-3379003-7")</f>
        <v>33102-3379003-7</v>
      </c>
      <c r="R180" s="228" t="str">
        <f>IFERROR(__xludf.DUMMYFUNCTION("""COMPUTED_VALUE"""),"Male")</f>
        <v>Male</v>
      </c>
      <c r="S180" s="228" t="str">
        <f>IFERROR(__xludf.DUMMYFUNCTION("""COMPUTED_VALUE"""),"Allied")</f>
        <v>Allied</v>
      </c>
      <c r="T180" s="228"/>
      <c r="U180" s="228" t="str">
        <f>IFERROR(__xludf.DUMMYFUNCTION("""COMPUTED_VALUE"""),"PK18ABPA0010068053960012")</f>
        <v>PK18ABPA0010068053960012</v>
      </c>
      <c r="V180" s="228"/>
      <c r="W180" s="228"/>
      <c r="X180" s="228"/>
      <c r="Y180" s="730">
        <f>IFERROR(__xludf.DUMMYFUNCTION("""COMPUTED_VALUE"""),36748.0)</f>
        <v>36748</v>
      </c>
      <c r="Z180" s="228" t="str">
        <f>IFERROR(__xludf.DUMMYFUNCTION("""COMPUTED_VALUE"""),"24 Years")</f>
        <v>24 Years</v>
      </c>
      <c r="AA180" s="228" t="str">
        <f>IFERROR(__xludf.DUMMYFUNCTION("""COMPUTED_VALUE"""),"162, Sector 2, Block C-2, Township Lahore")</f>
        <v>162, Sector 2, Block C-2, Township Lahore</v>
      </c>
      <c r="AB180" s="228"/>
      <c r="AC180" s="228" t="str">
        <f>IFERROR(__xludf.DUMMYFUNCTION("""COMPUTED_VALUE"""),"Single")</f>
        <v>Single</v>
      </c>
      <c r="AD180" s="228"/>
      <c r="AE180" s="228"/>
      <c r="AF180" s="228"/>
      <c r="AG180" s="228" t="str">
        <f>IFERROR(__xludf.DUMMYFUNCTION("""COMPUTED_VALUE"""),"Shahzad Ahmad")</f>
        <v>Shahzad Ahmad</v>
      </c>
      <c r="AH180" s="228" t="str">
        <f>IFERROR(__xludf.DUMMYFUNCTION("""COMPUTED_VALUE"""),"Father")</f>
        <v>Father</v>
      </c>
      <c r="AI180" s="228" t="str">
        <f>IFERROR(__xludf.DUMMYFUNCTION("""COMPUTED_VALUE"""),"0345-7749803")</f>
        <v>0345-7749803</v>
      </c>
      <c r="AJ180" s="228" t="str">
        <f>IFERROR(__xludf.DUMMYFUNCTION("""COMPUTED_VALUE"""),"B+")</f>
        <v>B+</v>
      </c>
      <c r="AK180" s="731" t="str">
        <f>IFERROR(__xludf.DUMMYFUNCTION("""COMPUTED_VALUE"""),"https://www.linkedin.com/in/saad-haxxan/")</f>
        <v>https://www.linkedin.com/in/saad-haxxan/</v>
      </c>
      <c r="AL180" s="228"/>
      <c r="AM180" s="730">
        <f>IFERROR(__xludf.DUMMYFUNCTION("""COMPUTED_VALUE"""),44592.0)</f>
        <v>44592</v>
      </c>
      <c r="AN180" s="228"/>
      <c r="AO180" s="228"/>
      <c r="AP180" s="228" t="str">
        <f>IFERROR(__xludf.DUMMYFUNCTION("""COMPUTED_VALUE"""),"NO")</f>
        <v>NO</v>
      </c>
      <c r="AQ180" s="228" t="str">
        <f>IFERROR(__xludf.DUMMYFUNCTION("""COMPUTED_VALUE"""),"Resigned/Terminated")</f>
        <v>Resigned/Terminated</v>
      </c>
    </row>
    <row r="181">
      <c r="A181" s="228">
        <f>IFERROR(__xludf.DUMMYFUNCTION("""COMPUTED_VALUE"""),5054.0)</f>
        <v>5054</v>
      </c>
      <c r="B181" s="228" t="str">
        <f>IFERROR(__xludf.DUMMYFUNCTION("""COMPUTED_VALUE"""),"Shah Saud")</f>
        <v>Shah Saud</v>
      </c>
      <c r="C181" s="228" t="str">
        <f>IFERROR(__xludf.DUMMYFUNCTION("""COMPUTED_VALUE"""),"shaa.aud@gmail.com")</f>
        <v>shaa.aud@gmail.com</v>
      </c>
      <c r="D181" s="228"/>
      <c r="E181" s="730">
        <f>IFERROR(__xludf.DUMMYFUNCTION("""COMPUTED_VALUE"""),44545.0)</f>
        <v>44545</v>
      </c>
      <c r="F181" s="228" t="str">
        <f>IFERROR(__xludf.DUMMYFUNCTION("""COMPUTED_VALUE"""),"Talent Acquisition Intern")</f>
        <v>Talent Acquisition Intern</v>
      </c>
      <c r="G181" s="228" t="str">
        <f>IFERROR(__xludf.DUMMYFUNCTION("""COMPUTED_VALUE"""),"HR &amp; Admin")</f>
        <v>HR &amp; Admin</v>
      </c>
      <c r="H181" s="228" t="str">
        <f>IFERROR(__xludf.DUMMYFUNCTION("""COMPUTED_VALUE"""),"Zain")</f>
        <v>Zain</v>
      </c>
      <c r="I181" s="228" t="str">
        <f>IFERROR(__xludf.DUMMYFUNCTION("""COMPUTED_VALUE"""),"Intern")</f>
        <v>Intern</v>
      </c>
      <c r="J181" s="228"/>
      <c r="K181" s="228" t="str">
        <f>IFERROR(__xludf.DUMMYFUNCTION("""COMPUTED_VALUE"""),"3 M")</f>
        <v>3 M</v>
      </c>
      <c r="L181" s="228"/>
      <c r="M181" s="228"/>
      <c r="N181" s="228"/>
      <c r="O181" s="228"/>
      <c r="P181" s="228" t="str">
        <f>IFERROR(__xludf.DUMMYFUNCTION("""COMPUTED_VALUE"""),"03350749505")</f>
        <v>03350749505</v>
      </c>
      <c r="Q181" s="228" t="str">
        <f>IFERROR(__xludf.DUMMYFUNCTION("""COMPUTED_VALUE"""),"35202-3979060-3")</f>
        <v>35202-3979060-3</v>
      </c>
      <c r="R181" s="228" t="str">
        <f>IFERROR(__xludf.DUMMYFUNCTION("""COMPUTED_VALUE"""),"Male")</f>
        <v>Male</v>
      </c>
      <c r="S181" s="228" t="str">
        <f>IFERROR(__xludf.DUMMYFUNCTION("""COMPUTED_VALUE"""),"Telenor Micro-finance Bank")</f>
        <v>Telenor Micro-finance Bank</v>
      </c>
      <c r="T181" s="228"/>
      <c r="U181" s="228" t="str">
        <f>IFERROR(__xludf.DUMMYFUNCTION("""COMPUTED_VALUE"""),"PK61TMFB0000000021172011")</f>
        <v>PK61TMFB0000000021172011</v>
      </c>
      <c r="V181" s="228"/>
      <c r="W181" s="228"/>
      <c r="X181" s="228"/>
      <c r="Y181" s="730">
        <f>IFERROR(__xludf.DUMMYFUNCTION("""COMPUTED_VALUE"""),36076.0)</f>
        <v>36076</v>
      </c>
      <c r="Z181" s="228" t="str">
        <f>IFERROR(__xludf.DUMMYFUNCTION("""COMPUTED_VALUE"""),"26 Years")</f>
        <v>26 Years</v>
      </c>
      <c r="AA181" s="228" t="str">
        <f>IFERROR(__xludf.DUMMYFUNCTION("""COMPUTED_VALUE"""),"Room 112, Zakaria Hostel, NUST")</f>
        <v>Room 112, Zakaria Hostel, NUST</v>
      </c>
      <c r="AB181" s="228"/>
      <c r="AC181" s="228" t="str">
        <f>IFERROR(__xludf.DUMMYFUNCTION("""COMPUTED_VALUE"""),"Single")</f>
        <v>Single</v>
      </c>
      <c r="AD181" s="228"/>
      <c r="AE181" s="228"/>
      <c r="AF181" s="228"/>
      <c r="AG181" s="228" t="str">
        <f>IFERROR(__xludf.DUMMYFUNCTION("""COMPUTED_VALUE"""),"Muhammad Ibrar")</f>
        <v>Muhammad Ibrar</v>
      </c>
      <c r="AH181" s="228" t="str">
        <f>IFERROR(__xludf.DUMMYFUNCTION("""COMPUTED_VALUE"""),"Father")</f>
        <v>Father</v>
      </c>
      <c r="AI181" s="228" t="str">
        <f>IFERROR(__xludf.DUMMYFUNCTION("""COMPUTED_VALUE"""),"03057473366")</f>
        <v>03057473366</v>
      </c>
      <c r="AJ181" s="228" t="str">
        <f>IFERROR(__xludf.DUMMYFUNCTION("""COMPUTED_VALUE"""),"O+")</f>
        <v>O+</v>
      </c>
      <c r="AK181" s="731" t="str">
        <f>IFERROR(__xludf.DUMMYFUNCTION("""COMPUTED_VALUE"""),"https://www.linkedin.com/in/shahsauds/")</f>
        <v>https://www.linkedin.com/in/shahsauds/</v>
      </c>
      <c r="AL181" s="228"/>
      <c r="AM181" s="730">
        <f>IFERROR(__xludf.DUMMYFUNCTION("""COMPUTED_VALUE"""),44592.0)</f>
        <v>44592</v>
      </c>
      <c r="AN181" s="228"/>
      <c r="AO181" s="228"/>
      <c r="AP181" s="228" t="str">
        <f>IFERROR(__xludf.DUMMYFUNCTION("""COMPUTED_VALUE"""),"NO")</f>
        <v>NO</v>
      </c>
      <c r="AQ181" s="228" t="str">
        <f>IFERROR(__xludf.DUMMYFUNCTION("""COMPUTED_VALUE"""),"Resigned/Terminated")</f>
        <v>Resigned/Terminated</v>
      </c>
    </row>
    <row r="182">
      <c r="A182" s="228">
        <f>IFERROR(__xludf.DUMMYFUNCTION("""COMPUTED_VALUE"""),5028.0)</f>
        <v>5028</v>
      </c>
      <c r="B182" s="228" t="str">
        <f>IFERROR(__xludf.DUMMYFUNCTION("""COMPUTED_VALUE"""),"Zoiba Noor")</f>
        <v>Zoiba Noor</v>
      </c>
      <c r="C182" s="228" t="str">
        <f>IFERROR(__xludf.DUMMYFUNCTION("""COMPUTED_VALUE"""),"zoibanoor1998@gmail.com")</f>
        <v>zoibanoor1998@gmail.com</v>
      </c>
      <c r="D182" s="228"/>
      <c r="E182" s="730">
        <f>IFERROR(__xludf.DUMMYFUNCTION("""COMPUTED_VALUE"""),44167.0)</f>
        <v>44167</v>
      </c>
      <c r="F182" s="228" t="str">
        <f>IFERROR(__xludf.DUMMYFUNCTION("""COMPUTED_VALUE"""),"UI/UX Designer")</f>
        <v>UI/UX Designer</v>
      </c>
      <c r="G182" s="228" t="str">
        <f>IFERROR(__xludf.DUMMYFUNCTION("""COMPUTED_VALUE"""),"Design")</f>
        <v>Design</v>
      </c>
      <c r="H182" s="228" t="str">
        <f>IFERROR(__xludf.DUMMYFUNCTION("""COMPUTED_VALUE"""),"Z/A")</f>
        <v>Z/A</v>
      </c>
      <c r="I182" s="228" t="str">
        <f>IFERROR(__xludf.DUMMYFUNCTION("""COMPUTED_VALUE"""),"Permanent")</f>
        <v>Permanent</v>
      </c>
      <c r="J182" s="228"/>
      <c r="K182" s="228" t="str">
        <f>IFERROR(__xludf.DUMMYFUNCTION("""COMPUTED_VALUE"""),"4 M")</f>
        <v>4 M</v>
      </c>
      <c r="L182" s="228"/>
      <c r="M182" s="228"/>
      <c r="N182" s="228"/>
      <c r="O182" s="228"/>
      <c r="P182" s="228" t="str">
        <f>IFERROR(__xludf.DUMMYFUNCTION("""COMPUTED_VALUE"""),"0336-5105699")</f>
        <v>0336-5105699</v>
      </c>
      <c r="Q182" s="228" t="str">
        <f>IFERROR(__xludf.DUMMYFUNCTION("""COMPUTED_VALUE"""),"61101-6150778-2")</f>
        <v>61101-6150778-2</v>
      </c>
      <c r="R182" s="228" t="str">
        <f>IFERROR(__xludf.DUMMYFUNCTION("""COMPUTED_VALUE"""),"Female")</f>
        <v>Female</v>
      </c>
      <c r="S182" s="228" t="str">
        <f>IFERROR(__xludf.DUMMYFUNCTION("""COMPUTED_VALUE"""),"HBL")</f>
        <v>HBL</v>
      </c>
      <c r="T182" s="228"/>
      <c r="U182" s="228" t="str">
        <f>IFERROR(__xludf.DUMMYFUNCTION("""COMPUTED_VALUE"""),"22927917147903")</f>
        <v>22927917147903</v>
      </c>
      <c r="V182" s="228"/>
      <c r="W182" s="228"/>
      <c r="X182" s="228"/>
      <c r="Y182" s="730">
        <f>IFERROR(__xludf.DUMMYFUNCTION("""COMPUTED_VALUE"""),35872.0)</f>
        <v>35872</v>
      </c>
      <c r="Z182" s="228" t="str">
        <f>IFERROR(__xludf.DUMMYFUNCTION("""COMPUTED_VALUE"""),"27 Years")</f>
        <v>27 Years</v>
      </c>
      <c r="AA182" s="228" t="str">
        <f>IFERROR(__xludf.DUMMYFUNCTION("""COMPUTED_VALUE"""),"house 254, west circular Rd, Pakistan town Phase 1 IBD")</f>
        <v>house 254, west circular Rd, Pakistan town Phase 1 IBD</v>
      </c>
      <c r="AB182" s="228"/>
      <c r="AC182" s="228" t="str">
        <f>IFERROR(__xludf.DUMMYFUNCTION("""COMPUTED_VALUE"""),"Married")</f>
        <v>Married</v>
      </c>
      <c r="AD182" s="228"/>
      <c r="AE182" s="228"/>
      <c r="AF182" s="228"/>
      <c r="AG182" s="228" t="str">
        <f>IFERROR(__xludf.DUMMYFUNCTION("""COMPUTED_VALUE"""),"Naseer Ahmed")</f>
        <v>Naseer Ahmed</v>
      </c>
      <c r="AH182" s="228" t="str">
        <f>IFERROR(__xludf.DUMMYFUNCTION("""COMPUTED_VALUE"""),"Father")</f>
        <v>Father</v>
      </c>
      <c r="AI182" s="228"/>
      <c r="AJ182" s="228" t="str">
        <f>IFERROR(__xludf.DUMMYFUNCTION("""COMPUTED_VALUE"""),"B+")</f>
        <v>B+</v>
      </c>
      <c r="AK182" s="731" t="str">
        <f>IFERROR(__xludf.DUMMYFUNCTION("""COMPUTED_VALUE"""),"https://www.linkedin.com/in/zoiba-noor-16a89919a/")</f>
        <v>https://www.linkedin.com/in/zoiba-noor-16a89919a/</v>
      </c>
      <c r="AL182" s="228"/>
      <c r="AM182" s="730">
        <f>IFERROR(__xludf.DUMMYFUNCTION("""COMPUTED_VALUE"""),44592.0)</f>
        <v>44592</v>
      </c>
      <c r="AN182" s="228"/>
      <c r="AO182" s="228"/>
      <c r="AP182" s="228" t="str">
        <f>IFERROR(__xludf.DUMMYFUNCTION("""COMPUTED_VALUE"""),"NO")</f>
        <v>NO</v>
      </c>
      <c r="AQ182" s="228" t="str">
        <f>IFERROR(__xludf.DUMMYFUNCTION("""COMPUTED_VALUE"""),"Resigned/Terminated")</f>
        <v>Resigned/Terminated</v>
      </c>
    </row>
    <row r="183">
      <c r="A183" s="228">
        <f>IFERROR(__xludf.DUMMYFUNCTION("""COMPUTED_VALUE"""),5053.0)</f>
        <v>5053</v>
      </c>
      <c r="B183" s="228" t="str">
        <f>IFERROR(__xludf.DUMMYFUNCTION("""COMPUTED_VALUE"""),"Syed Rumman Ali")</f>
        <v>Syed Rumman Ali</v>
      </c>
      <c r="C183" s="228" t="str">
        <f>IFERROR(__xludf.DUMMYFUNCTION("""COMPUTED_VALUE"""),"sali.bscs18seecs@seecs.edu.pk")</f>
        <v>sali.bscs18seecs@seecs.edu.pk</v>
      </c>
      <c r="D183" s="228"/>
      <c r="E183" s="730">
        <f>IFERROR(__xludf.DUMMYFUNCTION("""COMPUTED_VALUE"""),44543.0)</f>
        <v>44543</v>
      </c>
      <c r="F183" s="228" t="str">
        <f>IFERROR(__xludf.DUMMYFUNCTION("""COMPUTED_VALUE"""),"Associate ML Engineer")</f>
        <v>Associate ML Engineer</v>
      </c>
      <c r="G183" s="228" t="str">
        <f>IFERROR(__xludf.DUMMYFUNCTION("""COMPUTED_VALUE"""),"R&amp;D")</f>
        <v>R&amp;D</v>
      </c>
      <c r="H183" s="228" t="str">
        <f>IFERROR(__xludf.DUMMYFUNCTION("""COMPUTED_VALUE"""),"Abdullah")</f>
        <v>Abdullah</v>
      </c>
      <c r="I183" s="228" t="str">
        <f>IFERROR(__xludf.DUMMYFUNCTION("""COMPUTED_VALUE"""),"Permanent")</f>
        <v>Permanent</v>
      </c>
      <c r="J183" s="228"/>
      <c r="K183" s="228" t="str">
        <f>IFERROR(__xludf.DUMMYFUNCTION("""COMPUTED_VALUE"""),"3 M")</f>
        <v>3 M</v>
      </c>
      <c r="L183" s="228"/>
      <c r="M183" s="228"/>
      <c r="N183" s="228"/>
      <c r="O183" s="228"/>
      <c r="P183" s="228" t="str">
        <f>IFERROR(__xludf.DUMMYFUNCTION("""COMPUTED_VALUE"""),"03215738309")</f>
        <v>03215738309</v>
      </c>
      <c r="Q183" s="228" t="str">
        <f>IFERROR(__xludf.DUMMYFUNCTION("""COMPUTED_VALUE"""),"41302-4443266-9")</f>
        <v>41302-4443266-9</v>
      </c>
      <c r="R183" s="228" t="str">
        <f>IFERROR(__xludf.DUMMYFUNCTION("""COMPUTED_VALUE"""),"Male")</f>
        <v>Male</v>
      </c>
      <c r="S183" s="228" t="str">
        <f>IFERROR(__xludf.DUMMYFUNCTION("""COMPUTED_VALUE"""),"Meezan")</f>
        <v>Meezan</v>
      </c>
      <c r="T183" s="228"/>
      <c r="U183" s="228" t="str">
        <f>IFERROR(__xludf.DUMMYFUNCTION("""COMPUTED_VALUE"""),"03270106234367")</f>
        <v>03270106234367</v>
      </c>
      <c r="V183" s="228"/>
      <c r="W183" s="228"/>
      <c r="X183" s="228"/>
      <c r="Y183" s="730">
        <f>IFERROR(__xludf.DUMMYFUNCTION("""COMPUTED_VALUE"""),36555.0)</f>
        <v>36555</v>
      </c>
      <c r="Z183" s="228" t="str">
        <f>IFERROR(__xludf.DUMMYFUNCTION("""COMPUTED_VALUE"""),"25 Years")</f>
        <v>25 Years</v>
      </c>
      <c r="AA183" s="228" t="str">
        <f>IFERROR(__xludf.DUMMYFUNCTION("""COMPUTED_VALUE"""),"Hostel Razi-2 , Room 122, NUST, H-12, ISB")</f>
        <v>Hostel Razi-2 , Room 122, NUST, H-12, ISB</v>
      </c>
      <c r="AB183" s="228"/>
      <c r="AC183" s="228" t="str">
        <f>IFERROR(__xludf.DUMMYFUNCTION("""COMPUTED_VALUE"""),"Single")</f>
        <v>Single</v>
      </c>
      <c r="AD183" s="228"/>
      <c r="AE183" s="228"/>
      <c r="AF183" s="228"/>
      <c r="AG183" s="228" t="str">
        <f>IFERROR(__xludf.DUMMYFUNCTION("""COMPUTED_VALUE"""),"Syed Mohammad Ali")</f>
        <v>Syed Mohammad Ali</v>
      </c>
      <c r="AH183" s="228" t="str">
        <f>IFERROR(__xludf.DUMMYFUNCTION("""COMPUTED_VALUE"""),"Father")</f>
        <v>Father</v>
      </c>
      <c r="AI183" s="228" t="str">
        <f>IFERROR(__xludf.DUMMYFUNCTION("""COMPUTED_VALUE"""),"03249775533")</f>
        <v>03249775533</v>
      </c>
      <c r="AJ183" s="228" t="str">
        <f>IFERROR(__xludf.DUMMYFUNCTION("""COMPUTED_VALUE"""),"O+")</f>
        <v>O+</v>
      </c>
      <c r="AK183" s="228"/>
      <c r="AL183" s="228"/>
      <c r="AM183" s="730">
        <f>IFERROR(__xludf.DUMMYFUNCTION("""COMPUTED_VALUE"""),44597.0)</f>
        <v>44597</v>
      </c>
      <c r="AN183" s="228"/>
      <c r="AO183" s="228"/>
      <c r="AP183" s="228" t="str">
        <f>IFERROR(__xludf.DUMMYFUNCTION("""COMPUTED_VALUE"""),"NO")</f>
        <v>NO</v>
      </c>
      <c r="AQ183" s="228" t="str">
        <f>IFERROR(__xludf.DUMMYFUNCTION("""COMPUTED_VALUE"""),"Resigned/Terminated")</f>
        <v>Resigned/Terminated</v>
      </c>
    </row>
    <row r="184">
      <c r="A184" s="228">
        <f>IFERROR(__xludf.DUMMYFUNCTION("""COMPUTED_VALUE"""),5041.0)</f>
        <v>5041</v>
      </c>
      <c r="B184" s="228" t="str">
        <f>IFERROR(__xludf.DUMMYFUNCTION("""COMPUTED_VALUE"""),"Mahnoor Farook")</f>
        <v>Mahnoor Farook</v>
      </c>
      <c r="C184" s="228" t="str">
        <f>IFERROR(__xludf.DUMMYFUNCTION("""COMPUTED_VALUE"""),"mahnoorfarook6421@gmail.com")</f>
        <v>mahnoorfarook6421@gmail.com</v>
      </c>
      <c r="D184" s="228"/>
      <c r="E184" s="730">
        <f>IFERROR(__xludf.DUMMYFUNCTION("""COMPUTED_VALUE"""),44410.0)</f>
        <v>44410</v>
      </c>
      <c r="F184" s="228" t="str">
        <f>IFERROR(__xludf.DUMMYFUNCTION("""COMPUTED_VALUE"""),"Associate Visual Designer")</f>
        <v>Associate Visual Designer</v>
      </c>
      <c r="G184" s="228" t="str">
        <f>IFERROR(__xludf.DUMMYFUNCTION("""COMPUTED_VALUE"""),"Design")</f>
        <v>Design</v>
      </c>
      <c r="H184" s="228" t="str">
        <f>IFERROR(__xludf.DUMMYFUNCTION("""COMPUTED_VALUE"""),"Shaheryar Ehsan")</f>
        <v>Shaheryar Ehsan</v>
      </c>
      <c r="I184" s="228" t="str">
        <f>IFERROR(__xludf.DUMMYFUNCTION("""COMPUTED_VALUE"""),"Intern")</f>
        <v>Intern</v>
      </c>
      <c r="J184" s="228"/>
      <c r="K184" s="228" t="str">
        <f>IFERROR(__xludf.DUMMYFUNCTION("""COMPUTED_VALUE"""),"3 M")</f>
        <v>3 M</v>
      </c>
      <c r="L184" s="228"/>
      <c r="M184" s="228"/>
      <c r="N184" s="228"/>
      <c r="O184" s="228"/>
      <c r="P184" s="228" t="str">
        <f>IFERROR(__xludf.DUMMYFUNCTION("""COMPUTED_VALUE"""),"0336 5759682")</f>
        <v>0336 5759682</v>
      </c>
      <c r="Q184" s="228" t="str">
        <f>IFERROR(__xludf.DUMMYFUNCTION("""COMPUTED_VALUE"""),"42501-5114628-4")</f>
        <v>42501-5114628-4</v>
      </c>
      <c r="R184" s="228" t="str">
        <f>IFERROR(__xludf.DUMMYFUNCTION("""COMPUTED_VALUE"""),"Female")</f>
        <v>Female</v>
      </c>
      <c r="S184" s="228" t="str">
        <f>IFERROR(__xludf.DUMMYFUNCTION("""COMPUTED_VALUE"""),"Askari")</f>
        <v>Askari</v>
      </c>
      <c r="T184" s="228"/>
      <c r="U184" s="228" t="str">
        <f>IFERROR(__xludf.DUMMYFUNCTION("""COMPUTED_VALUE"""),"07580200013237")</f>
        <v>07580200013237</v>
      </c>
      <c r="V184" s="228"/>
      <c r="W184" s="228"/>
      <c r="X184" s="228"/>
      <c r="Y184" s="730">
        <f>IFERROR(__xludf.DUMMYFUNCTION("""COMPUTED_VALUE"""),36987.0)</f>
        <v>36987</v>
      </c>
      <c r="Z184" s="228" t="str">
        <f>IFERROR(__xludf.DUMMYFUNCTION("""COMPUTED_VALUE"""),"24 Years")</f>
        <v>24 Years</v>
      </c>
      <c r="AA184" s="228" t="str">
        <f>IFERROR(__xludf.DUMMYFUNCTION("""COMPUTED_VALUE"""),"House 245, Street 24, Sector C, Askari 14, Rawalpindi")</f>
        <v>House 245, Street 24, Sector C, Askari 14, Rawalpindi</v>
      </c>
      <c r="AB184" s="228"/>
      <c r="AC184" s="228" t="str">
        <f>IFERROR(__xludf.DUMMYFUNCTION("""COMPUTED_VALUE"""),"Single")</f>
        <v>Single</v>
      </c>
      <c r="AD184" s="228"/>
      <c r="AE184" s="228"/>
      <c r="AF184" s="228"/>
      <c r="AG184" s="228" t="str">
        <f>IFERROR(__xludf.DUMMYFUNCTION("""COMPUTED_VALUE"""),"Farooq Ahmed")</f>
        <v>Farooq Ahmed</v>
      </c>
      <c r="AH184" s="228" t="str">
        <f>IFERROR(__xludf.DUMMYFUNCTION("""COMPUTED_VALUE"""),"Father")</f>
        <v>Father</v>
      </c>
      <c r="AI184" s="228" t="str">
        <f>IFERROR(__xludf.DUMMYFUNCTION("""COMPUTED_VALUE"""),"03052456246")</f>
        <v>03052456246</v>
      </c>
      <c r="AJ184" s="228" t="str">
        <f>IFERROR(__xludf.DUMMYFUNCTION("""COMPUTED_VALUE"""),"AB+")</f>
        <v>AB+</v>
      </c>
      <c r="AK184" s="731" t="str">
        <f>IFERROR(__xludf.DUMMYFUNCTION("""COMPUTED_VALUE"""),"https://www.linkedin.com/in/mahnoor-farook-1aaa3a222/")</f>
        <v>https://www.linkedin.com/in/mahnoor-farook-1aaa3a222/</v>
      </c>
      <c r="AL184" s="228"/>
      <c r="AM184" s="730">
        <f>IFERROR(__xludf.DUMMYFUNCTION("""COMPUTED_VALUE"""),44651.0)</f>
        <v>44651</v>
      </c>
      <c r="AN184" s="228"/>
      <c r="AO184" s="228"/>
      <c r="AP184" s="228" t="str">
        <f>IFERROR(__xludf.DUMMYFUNCTION("""COMPUTED_VALUE"""),"NO")</f>
        <v>NO</v>
      </c>
      <c r="AQ184" s="228" t="str">
        <f>IFERROR(__xludf.DUMMYFUNCTION("""COMPUTED_VALUE"""),"Resigned/Terminated")</f>
        <v>Resigned/Terminated</v>
      </c>
    </row>
    <row r="185">
      <c r="A185" s="228">
        <f>IFERROR(__xludf.DUMMYFUNCTION("""COMPUTED_VALUE"""),5044.0)</f>
        <v>5044</v>
      </c>
      <c r="B185" s="228" t="str">
        <f>IFERROR(__xludf.DUMMYFUNCTION("""COMPUTED_VALUE"""),"Osama Ehsaan")</f>
        <v>Osama Ehsaan</v>
      </c>
      <c r="C185" s="228" t="str">
        <f>IFERROR(__xludf.DUMMYFUNCTION("""COMPUTED_VALUE"""),"ocarts62@gmail.com")</f>
        <v>ocarts62@gmail.com</v>
      </c>
      <c r="D185" s="228"/>
      <c r="E185" s="730">
        <f>IFERROR(__xludf.DUMMYFUNCTION("""COMPUTED_VALUE"""),44453.0)</f>
        <v>44453</v>
      </c>
      <c r="F185" s="228" t="str">
        <f>IFERROR(__xludf.DUMMYFUNCTION("""COMPUTED_VALUE"""),"Associate Motion Graphics Designer")</f>
        <v>Associate Motion Graphics Designer</v>
      </c>
      <c r="G185" s="228" t="str">
        <f>IFERROR(__xludf.DUMMYFUNCTION("""COMPUTED_VALUE"""),"Marketing")</f>
        <v>Marketing</v>
      </c>
      <c r="H185" s="228" t="str">
        <f>IFERROR(__xludf.DUMMYFUNCTION("""COMPUTED_VALUE"""),"Zeeshan")</f>
        <v>Zeeshan</v>
      </c>
      <c r="I185" s="228" t="str">
        <f>IFERROR(__xludf.DUMMYFUNCTION("""COMPUTED_VALUE"""),"Intern")</f>
        <v>Intern</v>
      </c>
      <c r="J185" s="228"/>
      <c r="K185" s="228" t="str">
        <f>IFERROR(__xludf.DUMMYFUNCTION("""COMPUTED_VALUE"""),"3 M")</f>
        <v>3 M</v>
      </c>
      <c r="L185" s="228"/>
      <c r="M185" s="228"/>
      <c r="N185" s="228"/>
      <c r="O185" s="228"/>
      <c r="P185" s="228" t="str">
        <f>IFERROR(__xludf.DUMMYFUNCTION("""COMPUTED_VALUE"""),"0310 6342969")</f>
        <v>0310 6342969</v>
      </c>
      <c r="Q185" s="228" t="str">
        <f>IFERROR(__xludf.DUMMYFUNCTION("""COMPUTED_VALUE"""),"31203-9951845-1")</f>
        <v>31203-9951845-1</v>
      </c>
      <c r="R185" s="228" t="str">
        <f>IFERROR(__xludf.DUMMYFUNCTION("""COMPUTED_VALUE"""),"Male")</f>
        <v>Male</v>
      </c>
      <c r="S185" s="228" t="str">
        <f>IFERROR(__xludf.DUMMYFUNCTION("""COMPUTED_VALUE"""),"Meezan")</f>
        <v>Meezan</v>
      </c>
      <c r="T185" s="228"/>
      <c r="U185" s="228" t="str">
        <f>IFERROR(__xludf.DUMMYFUNCTION("""COMPUTED_VALUE"""),"61010103587140")</f>
        <v>61010103587140</v>
      </c>
      <c r="V185" s="228"/>
      <c r="W185" s="228"/>
      <c r="X185" s="228"/>
      <c r="Y185" s="730">
        <f>IFERROR(__xludf.DUMMYFUNCTION("""COMPUTED_VALUE"""),36821.0)</f>
        <v>36821</v>
      </c>
      <c r="Z185" s="228" t="str">
        <f>IFERROR(__xludf.DUMMYFUNCTION("""COMPUTED_VALUE"""),"24 Years")</f>
        <v>24 Years</v>
      </c>
      <c r="AA185" s="228" t="str">
        <f>IFERROR(__xludf.DUMMYFUNCTION("""COMPUTED_VALUE"""),"House no. 17, Street no. 3 , 62-F, Hasilpur, Bahawalpur")</f>
        <v>House no. 17, Street no. 3 , 62-F, Hasilpur, Bahawalpur</v>
      </c>
      <c r="AB185" s="228"/>
      <c r="AC185" s="228" t="str">
        <f>IFERROR(__xludf.DUMMYFUNCTION("""COMPUTED_VALUE"""),"Single")</f>
        <v>Single</v>
      </c>
      <c r="AD185" s="228"/>
      <c r="AE185" s="228"/>
      <c r="AF185" s="228"/>
      <c r="AG185" s="228" t="str">
        <f>IFERROR(__xludf.DUMMYFUNCTION("""COMPUTED_VALUE"""),"Mohammad Ehsaan")</f>
        <v>Mohammad Ehsaan</v>
      </c>
      <c r="AH185" s="228" t="str">
        <f>IFERROR(__xludf.DUMMYFUNCTION("""COMPUTED_VALUE"""),"Father")</f>
        <v>Father</v>
      </c>
      <c r="AI185" s="228" t="str">
        <f>IFERROR(__xludf.DUMMYFUNCTION("""COMPUTED_VALUE"""),"03007856100")</f>
        <v>03007856100</v>
      </c>
      <c r="AJ185" s="228" t="str">
        <f>IFERROR(__xludf.DUMMYFUNCTION("""COMPUTED_VALUE"""),"AB+")</f>
        <v>AB+</v>
      </c>
      <c r="AK185" s="731" t="str">
        <f>IFERROR(__xludf.DUMMYFUNCTION("""COMPUTED_VALUE"""),"https://www.linkedin.com/in/muhammad-osama-ehsaan-a497441ba/")</f>
        <v>https://www.linkedin.com/in/muhammad-osama-ehsaan-a497441ba/</v>
      </c>
      <c r="AL185" s="228"/>
      <c r="AM185" s="730">
        <f>IFERROR(__xludf.DUMMYFUNCTION("""COMPUTED_VALUE"""),44651.0)</f>
        <v>44651</v>
      </c>
      <c r="AN185" s="228"/>
      <c r="AO185" s="228"/>
      <c r="AP185" s="228" t="str">
        <f>IFERROR(__xludf.DUMMYFUNCTION("""COMPUTED_VALUE"""),"NO")</f>
        <v>NO</v>
      </c>
      <c r="AQ185" s="228" t="str">
        <f>IFERROR(__xludf.DUMMYFUNCTION("""COMPUTED_VALUE"""),"Resigned/Terminated")</f>
        <v>Resigned/Terminated</v>
      </c>
    </row>
    <row r="186">
      <c r="A186" s="228">
        <f>IFERROR(__xludf.DUMMYFUNCTION("""COMPUTED_VALUE"""),5049.0)</f>
        <v>5049</v>
      </c>
      <c r="B186" s="228" t="str">
        <f>IFERROR(__xludf.DUMMYFUNCTION("""COMPUTED_VALUE"""),"Soban Raza")</f>
        <v>Soban Raza</v>
      </c>
      <c r="C186" s="228" t="str">
        <f>IFERROR(__xludf.DUMMYFUNCTION("""COMPUTED_VALUE"""),"sobanr11@gmail.com")</f>
        <v>sobanr11@gmail.com</v>
      </c>
      <c r="D186" s="228"/>
      <c r="E186" s="730">
        <f>IFERROR(__xludf.DUMMYFUNCTION("""COMPUTED_VALUE"""),44515.0)</f>
        <v>44515</v>
      </c>
      <c r="F186" s="228" t="str">
        <f>IFERROR(__xludf.DUMMYFUNCTION("""COMPUTED_VALUE"""),"Software Engineer - R&amp;D")</f>
        <v>Software Engineer - R&amp;D</v>
      </c>
      <c r="G186" s="228" t="str">
        <f>IFERROR(__xludf.DUMMYFUNCTION("""COMPUTED_VALUE"""),"R&amp;D")</f>
        <v>R&amp;D</v>
      </c>
      <c r="H186" s="228" t="str">
        <f>IFERROR(__xludf.DUMMYFUNCTION("""COMPUTED_VALUE"""),"Abdullah")</f>
        <v>Abdullah</v>
      </c>
      <c r="I186" s="228" t="str">
        <f>IFERROR(__xludf.DUMMYFUNCTION("""COMPUTED_VALUE"""),"Permanent")</f>
        <v>Permanent</v>
      </c>
      <c r="J186" s="228"/>
      <c r="K186" s="228" t="str">
        <f>IFERROR(__xludf.DUMMYFUNCTION("""COMPUTED_VALUE"""),"3 M")</f>
        <v>3 M</v>
      </c>
      <c r="L186" s="228"/>
      <c r="M186" s="228"/>
      <c r="N186" s="228"/>
      <c r="O186" s="228"/>
      <c r="P186" s="228" t="str">
        <f>IFERROR(__xludf.DUMMYFUNCTION("""COMPUTED_VALUE"""),"03365414994")</f>
        <v>03365414994</v>
      </c>
      <c r="Q186" s="228" t="str">
        <f>IFERROR(__xludf.DUMMYFUNCTION("""COMPUTED_VALUE"""),"61101-7332521-7")</f>
        <v>61101-7332521-7</v>
      </c>
      <c r="R186" s="228" t="str">
        <f>IFERROR(__xludf.DUMMYFUNCTION("""COMPUTED_VALUE"""),"Male")</f>
        <v>Male</v>
      </c>
      <c r="S186" s="228" t="str">
        <f>IFERROR(__xludf.DUMMYFUNCTION("""COMPUTED_VALUE"""),"Meezan")</f>
        <v>Meezan</v>
      </c>
      <c r="T186" s="228"/>
      <c r="U186" s="228" t="str">
        <f>IFERROR(__xludf.DUMMYFUNCTION("""COMPUTED_VALUE"""),"03070103471311")</f>
        <v>03070103471311</v>
      </c>
      <c r="V186" s="228"/>
      <c r="W186" s="228"/>
      <c r="X186" s="228"/>
      <c r="Y186" s="730">
        <f>IFERROR(__xludf.DUMMYFUNCTION("""COMPUTED_VALUE"""),36040.0)</f>
        <v>36040</v>
      </c>
      <c r="Z186" s="228" t="str">
        <f>IFERROR(__xludf.DUMMYFUNCTION("""COMPUTED_VALUE"""),"26 Years")</f>
        <v>26 Years</v>
      </c>
      <c r="AA186" s="228" t="str">
        <f>IFERROR(__xludf.DUMMYFUNCTION("""COMPUTED_VALUE"""),"House no. 209, Street 23, Sector I-10/2, ISB")</f>
        <v>House no. 209, Street 23, Sector I-10/2, ISB</v>
      </c>
      <c r="AB186" s="228"/>
      <c r="AC186" s="228" t="str">
        <f>IFERROR(__xludf.DUMMYFUNCTION("""COMPUTED_VALUE"""),"Single")</f>
        <v>Single</v>
      </c>
      <c r="AD186" s="228"/>
      <c r="AE186" s="228"/>
      <c r="AF186" s="228"/>
      <c r="AG186" s="228" t="str">
        <f>IFERROR(__xludf.DUMMYFUNCTION("""COMPUTED_VALUE"""),"Syed Shakeel Ahmed")</f>
        <v>Syed Shakeel Ahmed</v>
      </c>
      <c r="AH186" s="228" t="str">
        <f>IFERROR(__xludf.DUMMYFUNCTION("""COMPUTED_VALUE"""),"Father")</f>
        <v>Father</v>
      </c>
      <c r="AI186" s="228" t="str">
        <f>IFERROR(__xludf.DUMMYFUNCTION("""COMPUTED_VALUE"""),"03335118587")</f>
        <v>03335118587</v>
      </c>
      <c r="AJ186" s="228" t="str">
        <f>IFERROR(__xludf.DUMMYFUNCTION("""COMPUTED_VALUE"""),"A+")</f>
        <v>A+</v>
      </c>
      <c r="AK186" s="731" t="str">
        <f>IFERROR(__xludf.DUMMYFUNCTION("""COMPUTED_VALUE"""),"https://www.linkedin.com/in/soban-raza/")</f>
        <v>https://www.linkedin.com/in/soban-raza/</v>
      </c>
      <c r="AL186" s="228"/>
      <c r="AM186" s="730">
        <f>IFERROR(__xludf.DUMMYFUNCTION("""COMPUTED_VALUE"""),44670.0)</f>
        <v>44670</v>
      </c>
      <c r="AN186" s="228"/>
      <c r="AO186" s="228"/>
      <c r="AP186" s="228" t="str">
        <f>IFERROR(__xludf.DUMMYFUNCTION("""COMPUTED_VALUE"""),"NO")</f>
        <v>NO</v>
      </c>
      <c r="AQ186" s="228" t="str">
        <f>IFERROR(__xludf.DUMMYFUNCTION("""COMPUTED_VALUE"""),"Resigned/Terminated")</f>
        <v>Resigned/Terminated</v>
      </c>
    </row>
    <row r="187">
      <c r="A187" s="228">
        <f>IFERROR(__xludf.DUMMYFUNCTION("""COMPUTED_VALUE"""),5055.0)</f>
        <v>5055</v>
      </c>
      <c r="B187" s="228" t="str">
        <f>IFERROR(__xludf.DUMMYFUNCTION("""COMPUTED_VALUE"""),"Muhammad Saad")</f>
        <v>Muhammad Saad</v>
      </c>
      <c r="C187" s="228" t="str">
        <f>IFERROR(__xludf.DUMMYFUNCTION("""COMPUTED_VALUE"""),"muhammadsaadx86@gmail.com")</f>
        <v>muhammadsaadx86@gmail.com</v>
      </c>
      <c r="D187" s="228"/>
      <c r="E187" s="730">
        <f>IFERROR(__xludf.DUMMYFUNCTION("""COMPUTED_VALUE"""),44564.0)</f>
        <v>44564</v>
      </c>
      <c r="F187" s="228" t="str">
        <f>IFERROR(__xludf.DUMMYFUNCTION("""COMPUTED_VALUE"""),"Software Engineer - R&amp;D")</f>
        <v>Software Engineer - R&amp;D</v>
      </c>
      <c r="G187" s="228" t="str">
        <f>IFERROR(__xludf.DUMMYFUNCTION("""COMPUTED_VALUE"""),"R&amp;D")</f>
        <v>R&amp;D</v>
      </c>
      <c r="H187" s="228" t="str">
        <f>IFERROR(__xludf.DUMMYFUNCTION("""COMPUTED_VALUE"""),"Abdullah")</f>
        <v>Abdullah</v>
      </c>
      <c r="I187" s="228" t="str">
        <f>IFERROR(__xludf.DUMMYFUNCTION("""COMPUTED_VALUE"""),"Permanent")</f>
        <v>Permanent</v>
      </c>
      <c r="J187" s="228"/>
      <c r="K187" s="228" t="str">
        <f>IFERROR(__xludf.DUMMYFUNCTION("""COMPUTED_VALUE"""),"3 M")</f>
        <v>3 M</v>
      </c>
      <c r="L187" s="228"/>
      <c r="M187" s="228"/>
      <c r="N187" s="228"/>
      <c r="O187" s="228"/>
      <c r="P187" s="228" t="str">
        <f>IFERROR(__xludf.DUMMYFUNCTION("""COMPUTED_VALUE"""),"0304 5894649")</f>
        <v>0304 5894649</v>
      </c>
      <c r="Q187" s="228" t="str">
        <f>IFERROR(__xludf.DUMMYFUNCTION("""COMPUTED_VALUE"""),"36302-5788028-7")</f>
        <v>36302-5788028-7</v>
      </c>
      <c r="R187" s="228" t="str">
        <f>IFERROR(__xludf.DUMMYFUNCTION("""COMPUTED_VALUE"""),"Male")</f>
        <v>Male</v>
      </c>
      <c r="S187" s="228" t="str">
        <f>IFERROR(__xludf.DUMMYFUNCTION("""COMPUTED_VALUE"""),"HBL")</f>
        <v>HBL</v>
      </c>
      <c r="T187" s="228"/>
      <c r="U187" s="228" t="str">
        <f>IFERROR(__xludf.DUMMYFUNCTION("""COMPUTED_VALUE"""),"09397902133703")</f>
        <v>09397902133703</v>
      </c>
      <c r="V187" s="228"/>
      <c r="W187" s="228"/>
      <c r="X187" s="228"/>
      <c r="Y187" s="730">
        <f>IFERROR(__xludf.DUMMYFUNCTION("""COMPUTED_VALUE"""),36589.0)</f>
        <v>36589</v>
      </c>
      <c r="Z187" s="228" t="str">
        <f>IFERROR(__xludf.DUMMYFUNCTION("""COMPUTED_VALUE"""),"25 Years")</f>
        <v>25 Years</v>
      </c>
      <c r="AA187" s="228" t="str">
        <f>IFERROR(__xludf.DUMMYFUNCTION("""COMPUTED_VALUE"""),"Bob's Hostel, F-11 , Islamabad")</f>
        <v>Bob's Hostel, F-11 , Islamabad</v>
      </c>
      <c r="AB187" s="228"/>
      <c r="AC187" s="228" t="str">
        <f>IFERROR(__xludf.DUMMYFUNCTION("""COMPUTED_VALUE"""),"Single")</f>
        <v>Single</v>
      </c>
      <c r="AD187" s="228"/>
      <c r="AE187" s="228"/>
      <c r="AF187" s="228"/>
      <c r="AG187" s="228" t="str">
        <f>IFERROR(__xludf.DUMMYFUNCTION("""COMPUTED_VALUE"""),"Muhammad Syed Anwar")</f>
        <v>Muhammad Syed Anwar</v>
      </c>
      <c r="AH187" s="228" t="str">
        <f>IFERROR(__xludf.DUMMYFUNCTION("""COMPUTED_VALUE"""),"Father")</f>
        <v>Father</v>
      </c>
      <c r="AI187" s="228" t="str">
        <f>IFERROR(__xludf.DUMMYFUNCTION("""COMPUTED_VALUE"""),"03006357198")</f>
        <v>03006357198</v>
      </c>
      <c r="AJ187" s="228"/>
      <c r="AK187" s="731" t="str">
        <f>IFERROR(__xludf.DUMMYFUNCTION("""COMPUTED_VALUE"""),"https://www.linkedin.com/in/msaad-ch/")</f>
        <v>https://www.linkedin.com/in/msaad-ch/</v>
      </c>
      <c r="AL187" s="228"/>
      <c r="AM187" s="730">
        <f>IFERROR(__xludf.DUMMYFUNCTION("""COMPUTED_VALUE"""),44671.0)</f>
        <v>44671</v>
      </c>
      <c r="AN187" s="228"/>
      <c r="AO187" s="228"/>
      <c r="AP187" s="228" t="str">
        <f>IFERROR(__xludf.DUMMYFUNCTION("""COMPUTED_VALUE"""),"NO")</f>
        <v>NO</v>
      </c>
      <c r="AQ187" s="228" t="str">
        <f>IFERROR(__xludf.DUMMYFUNCTION("""COMPUTED_VALUE"""),"Resigned/Terminated")</f>
        <v>Resigned/Terminated</v>
      </c>
    </row>
    <row r="188">
      <c r="A188" s="228">
        <f>IFERROR(__xludf.DUMMYFUNCTION("""COMPUTED_VALUE"""),5048.0)</f>
        <v>5048</v>
      </c>
      <c r="B188" s="228" t="str">
        <f>IFERROR(__xludf.DUMMYFUNCTION("""COMPUTED_VALUE"""),"Khawaja Asad Zia")</f>
        <v>Khawaja Asad Zia</v>
      </c>
      <c r="C188" s="228" t="str">
        <f>IFERROR(__xludf.DUMMYFUNCTION("""COMPUTED_VALUE"""),"khawaja_asad@hotmail.com")</f>
        <v>khawaja_asad@hotmail.com</v>
      </c>
      <c r="D188" s="228"/>
      <c r="E188" s="730">
        <f>IFERROR(__xludf.DUMMYFUNCTION("""COMPUTED_VALUE"""),44502.0)</f>
        <v>44502</v>
      </c>
      <c r="F188" s="228" t="str">
        <f>IFERROR(__xludf.DUMMYFUNCTION("""COMPUTED_VALUE"""),"Senior Marketing Analyst")</f>
        <v>Senior Marketing Analyst</v>
      </c>
      <c r="G188" s="228" t="str">
        <f>IFERROR(__xludf.DUMMYFUNCTION("""COMPUTED_VALUE"""),"Marketing")</f>
        <v>Marketing</v>
      </c>
      <c r="H188" s="228" t="str">
        <f>IFERROR(__xludf.DUMMYFUNCTION("""COMPUTED_VALUE"""),"Ahmed")</f>
        <v>Ahmed</v>
      </c>
      <c r="I188" s="228" t="str">
        <f>IFERROR(__xludf.DUMMYFUNCTION("""COMPUTED_VALUE"""),"Permanent")</f>
        <v>Permanent</v>
      </c>
      <c r="J188" s="228"/>
      <c r="K188" s="228" t="str">
        <f>IFERROR(__xludf.DUMMYFUNCTION("""COMPUTED_VALUE"""),"3 M")</f>
        <v>3 M</v>
      </c>
      <c r="L188" s="228"/>
      <c r="M188" s="228"/>
      <c r="N188" s="228"/>
      <c r="O188" s="228"/>
      <c r="P188" s="228" t="str">
        <f>IFERROR(__xludf.DUMMYFUNCTION("""COMPUTED_VALUE"""),"0346 2649647")</f>
        <v>0346 2649647</v>
      </c>
      <c r="Q188" s="228" t="str">
        <f>IFERROR(__xludf.DUMMYFUNCTION("""COMPUTED_VALUE"""),"61101-1115735-3")</f>
        <v>61101-1115735-3</v>
      </c>
      <c r="R188" s="228" t="str">
        <f>IFERROR(__xludf.DUMMYFUNCTION("""COMPUTED_VALUE"""),"Male")</f>
        <v>Male</v>
      </c>
      <c r="S188" s="228" t="str">
        <f>IFERROR(__xludf.DUMMYFUNCTION("""COMPUTED_VALUE"""),"Allied")</f>
        <v>Allied</v>
      </c>
      <c r="T188" s="228"/>
      <c r="U188" s="228" t="str">
        <f>IFERROR(__xludf.DUMMYFUNCTION("""COMPUTED_VALUE"""),"PK96ABPA0020039871620012")</f>
        <v>PK96ABPA0020039871620012</v>
      </c>
      <c r="V188" s="228"/>
      <c r="W188" s="228"/>
      <c r="X188" s="228"/>
      <c r="Y188" s="730">
        <f>IFERROR(__xludf.DUMMYFUNCTION("""COMPUTED_VALUE"""),34488.0)</f>
        <v>34488</v>
      </c>
      <c r="Z188" s="228" t="str">
        <f>IFERROR(__xludf.DUMMYFUNCTION("""COMPUTED_VALUE"""),"31 Years")</f>
        <v>31 Years</v>
      </c>
      <c r="AA188" s="228" t="str">
        <f>IFERROR(__xludf.DUMMYFUNCTION("""COMPUTED_VALUE"""),"House no. 368, Street no. 89, G9/4, ISB")</f>
        <v>House no. 368, Street no. 89, G9/4, ISB</v>
      </c>
      <c r="AB188" s="228"/>
      <c r="AC188" s="228" t="str">
        <f>IFERROR(__xludf.DUMMYFUNCTION("""COMPUTED_VALUE"""),"Married")</f>
        <v>Married</v>
      </c>
      <c r="AD188" s="228"/>
      <c r="AE188" s="228"/>
      <c r="AF188" s="228"/>
      <c r="AG188" s="228" t="str">
        <f>IFERROR(__xludf.DUMMYFUNCTION("""COMPUTED_VALUE"""),"Khawaja Hamid Zia")</f>
        <v>Khawaja Hamid Zia</v>
      </c>
      <c r="AH188" s="228" t="str">
        <f>IFERROR(__xludf.DUMMYFUNCTION("""COMPUTED_VALUE"""),"Father")</f>
        <v>Father</v>
      </c>
      <c r="AI188" s="228"/>
      <c r="AJ188" s="228" t="str">
        <f>IFERROR(__xludf.DUMMYFUNCTION("""COMPUTED_VALUE"""),"B-")</f>
        <v>B-</v>
      </c>
      <c r="AK188" s="731" t="str">
        <f>IFERROR(__xludf.DUMMYFUNCTION("""COMPUTED_VALUE"""),"https://www.linkedin.com/in/khawaja-asad-zia-2bb222a6/")</f>
        <v>https://www.linkedin.com/in/khawaja-asad-zia-2bb222a6/</v>
      </c>
      <c r="AL188" s="228"/>
      <c r="AM188" s="730">
        <f>IFERROR(__xludf.DUMMYFUNCTION("""COMPUTED_VALUE"""),44673.0)</f>
        <v>44673</v>
      </c>
      <c r="AN188" s="228"/>
      <c r="AO188" s="228"/>
      <c r="AP188" s="228" t="str">
        <f>IFERROR(__xludf.DUMMYFUNCTION("""COMPUTED_VALUE"""),"NO")</f>
        <v>NO</v>
      </c>
      <c r="AQ188" s="228" t="str">
        <f>IFERROR(__xludf.DUMMYFUNCTION("""COMPUTED_VALUE"""),"Resigned/Terminated")</f>
        <v>Resigned/Terminated</v>
      </c>
    </row>
    <row r="189">
      <c r="A189" s="228">
        <f>IFERROR(__xludf.DUMMYFUNCTION("""COMPUTED_VALUE"""),5043.0)</f>
        <v>5043</v>
      </c>
      <c r="B189" s="228" t="str">
        <f>IFERROR(__xludf.DUMMYFUNCTION("""COMPUTED_VALUE"""),"Abdullah Bukhari")</f>
        <v>Abdullah Bukhari</v>
      </c>
      <c r="C189" s="228" t="str">
        <f>IFERROR(__xludf.DUMMYFUNCTION("""COMPUTED_VALUE"""),"abdullahbukhari43@gmail.com")</f>
        <v>abdullahbukhari43@gmail.com</v>
      </c>
      <c r="D189" s="228"/>
      <c r="E189" s="730">
        <f>IFERROR(__xludf.DUMMYFUNCTION("""COMPUTED_VALUE"""),44447.0)</f>
        <v>44447</v>
      </c>
      <c r="F189" s="228" t="str">
        <f>IFERROR(__xludf.DUMMYFUNCTION("""COMPUTED_VALUE"""),"SQA Engineer")</f>
        <v>SQA Engineer</v>
      </c>
      <c r="G189" s="228" t="str">
        <f>IFERROR(__xludf.DUMMYFUNCTION("""COMPUTED_VALUE"""),"QA")</f>
        <v>QA</v>
      </c>
      <c r="H189" s="228" t="str">
        <f>IFERROR(__xludf.DUMMYFUNCTION("""COMPUTED_VALUE"""),"Saifullah")</f>
        <v>Saifullah</v>
      </c>
      <c r="I189" s="228" t="str">
        <f>IFERROR(__xludf.DUMMYFUNCTION("""COMPUTED_VALUE"""),"Permanent")</f>
        <v>Permanent</v>
      </c>
      <c r="J189" s="228"/>
      <c r="K189" s="228" t="str">
        <f>IFERROR(__xludf.DUMMYFUNCTION("""COMPUTED_VALUE"""),"3 M")</f>
        <v>3 M</v>
      </c>
      <c r="L189" s="228"/>
      <c r="M189" s="228"/>
      <c r="N189" s="228"/>
      <c r="O189" s="228"/>
      <c r="P189" s="228" t="str">
        <f>IFERROR(__xludf.DUMMYFUNCTION("""COMPUTED_VALUE"""),"03007802330")</f>
        <v>03007802330</v>
      </c>
      <c r="Q189" s="228" t="str">
        <f>IFERROR(__xludf.DUMMYFUNCTION("""COMPUTED_VALUE"""),"31202-5423075-1")</f>
        <v>31202-5423075-1</v>
      </c>
      <c r="R189" s="228" t="str">
        <f>IFERROR(__xludf.DUMMYFUNCTION("""COMPUTED_VALUE"""),"Male")</f>
        <v>Male</v>
      </c>
      <c r="S189" s="228" t="str">
        <f>IFERROR(__xludf.DUMMYFUNCTION("""COMPUTED_VALUE"""),"Meezan bank")</f>
        <v>Meezan bank</v>
      </c>
      <c r="T189" s="228"/>
      <c r="U189" s="228" t="str">
        <f>IFERROR(__xludf.DUMMYFUNCTION("""COMPUTED_VALUE"""),"22010104422933")</f>
        <v>22010104422933</v>
      </c>
      <c r="V189" s="228"/>
      <c r="W189" s="228"/>
      <c r="X189" s="228"/>
      <c r="Y189" s="730">
        <f>IFERROR(__xludf.DUMMYFUNCTION("""COMPUTED_VALUE"""),35358.0)</f>
        <v>35358</v>
      </c>
      <c r="Z189" s="228" t="str">
        <f>IFERROR(__xludf.DUMMYFUNCTION("""COMPUTED_VALUE"""),"28 Years")</f>
        <v>28 Years</v>
      </c>
      <c r="AA189" s="228" t="str">
        <f>IFERROR(__xludf.DUMMYFUNCTION("""COMPUTED_VALUE"""),"Faisal Colony, Behind EME Campus, Islamabad")</f>
        <v>Faisal Colony, Behind EME Campus, Islamabad</v>
      </c>
      <c r="AB189" s="228"/>
      <c r="AC189" s="228" t="str">
        <f>IFERROR(__xludf.DUMMYFUNCTION("""COMPUTED_VALUE"""),"Single")</f>
        <v>Single</v>
      </c>
      <c r="AD189" s="228"/>
      <c r="AE189" s="228"/>
      <c r="AF189" s="228"/>
      <c r="AG189" s="228" t="str">
        <f>IFERROR(__xludf.DUMMYFUNCTION("""COMPUTED_VALUE"""),"Safdar Hussain")</f>
        <v>Safdar Hussain</v>
      </c>
      <c r="AH189" s="228" t="str">
        <f>IFERROR(__xludf.DUMMYFUNCTION("""COMPUTED_VALUE"""),"Father")</f>
        <v>Father</v>
      </c>
      <c r="AI189" s="228" t="str">
        <f>IFERROR(__xludf.DUMMYFUNCTION("""COMPUTED_VALUE"""),"03009687987")</f>
        <v>03009687987</v>
      </c>
      <c r="AJ189" s="228" t="str">
        <f>IFERROR(__xludf.DUMMYFUNCTION("""COMPUTED_VALUE"""),"AB+")</f>
        <v>AB+</v>
      </c>
      <c r="AK189" s="731" t="str">
        <f>IFERROR(__xludf.DUMMYFUNCTION("""COMPUTED_VALUE"""),"https://www.linkedin.com/in/syed-abdullah-bukhari/")</f>
        <v>https://www.linkedin.com/in/syed-abdullah-bukhari/</v>
      </c>
      <c r="AL189" s="228"/>
      <c r="AM189" s="730">
        <f>IFERROR(__xludf.DUMMYFUNCTION("""COMPUTED_VALUE"""),44741.0)</f>
        <v>44741</v>
      </c>
      <c r="AN189" s="228"/>
      <c r="AO189" s="228"/>
      <c r="AP189" s="228" t="str">
        <f>IFERROR(__xludf.DUMMYFUNCTION("""COMPUTED_VALUE"""),"NO")</f>
        <v>NO</v>
      </c>
      <c r="AQ189" s="228" t="str">
        <f>IFERROR(__xludf.DUMMYFUNCTION("""COMPUTED_VALUE"""),"Resigned/Terminated")</f>
        <v>Resigned/Terminated</v>
      </c>
    </row>
    <row r="190">
      <c r="A190" s="228">
        <f>IFERROR(__xludf.DUMMYFUNCTION("""COMPUTED_VALUE"""),5022.0)</f>
        <v>5022</v>
      </c>
      <c r="B190" s="228" t="str">
        <f>IFERROR(__xludf.DUMMYFUNCTION("""COMPUTED_VALUE"""),"Sheheryar Ahmed")</f>
        <v>Sheheryar Ahmed</v>
      </c>
      <c r="C190" s="228" t="str">
        <f>IFERROR(__xludf.DUMMYFUNCTION("""COMPUTED_VALUE"""),"sheheryar.ahmed778@gmail.com")</f>
        <v>sheheryar.ahmed778@gmail.com</v>
      </c>
      <c r="D190" s="228"/>
      <c r="E190" s="730">
        <f>IFERROR(__xludf.DUMMYFUNCTION("""COMPUTED_VALUE"""),44096.0)</f>
        <v>44096</v>
      </c>
      <c r="F190" s="228" t="str">
        <f>IFERROR(__xludf.DUMMYFUNCTION("""COMPUTED_VALUE"""),"iOS Developer")</f>
        <v>iOS Developer</v>
      </c>
      <c r="G190" s="228" t="str">
        <f>IFERROR(__xludf.DUMMYFUNCTION("""COMPUTED_VALUE"""),"iOS")</f>
        <v>iOS</v>
      </c>
      <c r="H190" s="228" t="str">
        <f>IFERROR(__xludf.DUMMYFUNCTION("""COMPUTED_VALUE"""),"Z/A")</f>
        <v>Z/A</v>
      </c>
      <c r="I190" s="228" t="str">
        <f>IFERROR(__xludf.DUMMYFUNCTION("""COMPUTED_VALUE"""),"Permanent")</f>
        <v>Permanent</v>
      </c>
      <c r="J190" s="228"/>
      <c r="K190" s="228"/>
      <c r="L190" s="228"/>
      <c r="M190" s="228"/>
      <c r="N190" s="228"/>
      <c r="O190" s="228"/>
      <c r="P190" s="228" t="str">
        <f>IFERROR(__xludf.DUMMYFUNCTION("""COMPUTED_VALUE"""),"0336-0910754")</f>
        <v>0336-0910754</v>
      </c>
      <c r="Q190" s="228" t="str">
        <f>IFERROR(__xludf.DUMMYFUNCTION("""COMPUTED_VALUE"""),"37301-9435374-3")</f>
        <v>37301-9435374-3</v>
      </c>
      <c r="R190" s="228" t="str">
        <f>IFERROR(__xludf.DUMMYFUNCTION("""COMPUTED_VALUE"""),"Male")</f>
        <v>Male</v>
      </c>
      <c r="S190" s="228" t="str">
        <f>IFERROR(__xludf.DUMMYFUNCTION("""COMPUTED_VALUE"""),"UBL")</f>
        <v>UBL</v>
      </c>
      <c r="T190" s="228"/>
      <c r="U190" s="228" t="str">
        <f>IFERROR(__xludf.DUMMYFUNCTION("""COMPUTED_VALUE"""),"PK86UNIL0109000245046946")</f>
        <v>PK86UNIL0109000245046946</v>
      </c>
      <c r="V190" s="228"/>
      <c r="W190" s="228"/>
      <c r="X190" s="228"/>
      <c r="Y190" s="730">
        <f>IFERROR(__xludf.DUMMYFUNCTION("""COMPUTED_VALUE"""),35863.0)</f>
        <v>35863</v>
      </c>
      <c r="Z190" s="228" t="str">
        <f>IFERROR(__xludf.DUMMYFUNCTION("""COMPUTED_VALUE"""),"27 Years")</f>
        <v>27 Years</v>
      </c>
      <c r="AA190" s="228" t="str">
        <f>IFERROR(__xludf.DUMMYFUNCTION("""COMPUTED_VALUE"""),"vill matyal p/o jakkar tehsil, district jhelum")</f>
        <v>vill matyal p/o jakkar tehsil, district jhelum</v>
      </c>
      <c r="AB190" s="228"/>
      <c r="AC190" s="228" t="str">
        <f>IFERROR(__xludf.DUMMYFUNCTION("""COMPUTED_VALUE"""),"Married")</f>
        <v>Married</v>
      </c>
      <c r="AD190" s="228"/>
      <c r="AE190" s="228"/>
      <c r="AF190" s="228"/>
      <c r="AG190" s="228" t="str">
        <f>IFERROR(__xludf.DUMMYFUNCTION("""COMPUTED_VALUE"""),"Ghulam Ahmed")</f>
        <v>Ghulam Ahmed</v>
      </c>
      <c r="AH190" s="228" t="str">
        <f>IFERROR(__xludf.DUMMYFUNCTION("""COMPUTED_VALUE"""),"Father")</f>
        <v>Father</v>
      </c>
      <c r="AI190" s="228"/>
      <c r="AJ190" s="228" t="str">
        <f>IFERROR(__xludf.DUMMYFUNCTION("""COMPUTED_VALUE"""),"A+")</f>
        <v>A+</v>
      </c>
      <c r="AK190" s="731" t="str">
        <f>IFERROR(__xludf.DUMMYFUNCTION("""COMPUTED_VALUE"""),"https://www.linkedin.com/in/sheheryar-ahmed-9732a4192/")</f>
        <v>https://www.linkedin.com/in/sheheryar-ahmed-9732a4192/</v>
      </c>
      <c r="AL190" s="228"/>
      <c r="AM190" s="730">
        <f>IFERROR(__xludf.DUMMYFUNCTION("""COMPUTED_VALUE"""),44742.0)</f>
        <v>44742</v>
      </c>
      <c r="AN190" s="228"/>
      <c r="AO190" s="228"/>
      <c r="AP190" s="228" t="str">
        <f>IFERROR(__xludf.DUMMYFUNCTION("""COMPUTED_VALUE"""),"NO")</f>
        <v>NO</v>
      </c>
      <c r="AQ190" s="228" t="str">
        <f>IFERROR(__xludf.DUMMYFUNCTION("""COMPUTED_VALUE"""),"Resigned/Terminated")</f>
        <v>Resigned/Terminated</v>
      </c>
    </row>
    <row r="191">
      <c r="A191" s="228">
        <f>IFERROR(__xludf.DUMMYFUNCTION("""COMPUTED_VALUE"""),5042.0)</f>
        <v>5042</v>
      </c>
      <c r="B191" s="228" t="str">
        <f>IFERROR(__xludf.DUMMYFUNCTION("""COMPUTED_VALUE"""),"Hiba Mirza")</f>
        <v>Hiba Mirza</v>
      </c>
      <c r="C191" s="228" t="str">
        <f>IFERROR(__xludf.DUMMYFUNCTION("""COMPUTED_VALUE"""),"mirzahiba27@gmail.com")</f>
        <v>mirzahiba27@gmail.com</v>
      </c>
      <c r="D191" s="228"/>
      <c r="E191" s="730">
        <f>IFERROR(__xludf.DUMMYFUNCTION("""COMPUTED_VALUE"""),44438.0)</f>
        <v>44438</v>
      </c>
      <c r="F191" s="228" t="str">
        <f>IFERROR(__xludf.DUMMYFUNCTION("""COMPUTED_VALUE"""),"Visual Designer")</f>
        <v>Visual Designer</v>
      </c>
      <c r="G191" s="228" t="str">
        <f>IFERROR(__xludf.DUMMYFUNCTION("""COMPUTED_VALUE"""),"Design")</f>
        <v>Design</v>
      </c>
      <c r="H191" s="228" t="str">
        <f>IFERROR(__xludf.DUMMYFUNCTION("""COMPUTED_VALUE"""),"Abdullah")</f>
        <v>Abdullah</v>
      </c>
      <c r="I191" s="228" t="str">
        <f>IFERROR(__xludf.DUMMYFUNCTION("""COMPUTED_VALUE"""),"Permanent")</f>
        <v>Permanent</v>
      </c>
      <c r="J191" s="228"/>
      <c r="K191" s="228" t="str">
        <f>IFERROR(__xludf.DUMMYFUNCTION("""COMPUTED_VALUE"""),"2 M")</f>
        <v>2 M</v>
      </c>
      <c r="L191" s="228"/>
      <c r="M191" s="228"/>
      <c r="N191" s="228"/>
      <c r="O191" s="228"/>
      <c r="P191" s="228" t="str">
        <f>IFERROR(__xludf.DUMMYFUNCTION("""COMPUTED_VALUE"""),"03131500194")</f>
        <v>03131500194</v>
      </c>
      <c r="Q191" s="228" t="str">
        <f>IFERROR(__xludf.DUMMYFUNCTION("""COMPUTED_VALUE"""),"34201-5022177-2")</f>
        <v>34201-5022177-2</v>
      </c>
      <c r="R191" s="228" t="str">
        <f>IFERROR(__xludf.DUMMYFUNCTION("""COMPUTED_VALUE"""),"Female")</f>
        <v>Female</v>
      </c>
      <c r="S191" s="228" t="str">
        <f>IFERROR(__xludf.DUMMYFUNCTION("""COMPUTED_VALUE"""),"Allied")</f>
        <v>Allied</v>
      </c>
      <c r="T191" s="228"/>
      <c r="U191" s="228" t="str">
        <f>IFERROR(__xludf.DUMMYFUNCTION("""COMPUTED_VALUE"""),"07570010051054680016")</f>
        <v>07570010051054680016</v>
      </c>
      <c r="V191" s="228"/>
      <c r="W191" s="228"/>
      <c r="X191" s="228"/>
      <c r="Y191" s="730">
        <f>IFERROR(__xludf.DUMMYFUNCTION("""COMPUTED_VALUE"""),34695.0)</f>
        <v>34695</v>
      </c>
      <c r="Z191" s="228" t="str">
        <f>IFERROR(__xludf.DUMMYFUNCTION("""COMPUTED_VALUE"""),"30 Years")</f>
        <v>30 Years</v>
      </c>
      <c r="AA191" s="228" t="str">
        <f>IFERROR(__xludf.DUMMYFUNCTION("""COMPUTED_VALUE"""),"House no. 23, street 2, Main Gulrez Road, RWP")</f>
        <v>House no. 23, street 2, Main Gulrez Road, RWP</v>
      </c>
      <c r="AB191" s="228"/>
      <c r="AC191" s="228" t="str">
        <f>IFERROR(__xludf.DUMMYFUNCTION("""COMPUTED_VALUE"""),"Single")</f>
        <v>Single</v>
      </c>
      <c r="AD191" s="228"/>
      <c r="AE191" s="228"/>
      <c r="AF191" s="228"/>
      <c r="AG191" s="228" t="str">
        <f>IFERROR(__xludf.DUMMYFUNCTION("""COMPUTED_VALUE"""),"Naveed Ahmad")</f>
        <v>Naveed Ahmad</v>
      </c>
      <c r="AH191" s="228" t="str">
        <f>IFERROR(__xludf.DUMMYFUNCTION("""COMPUTED_VALUE"""),"Father")</f>
        <v>Father</v>
      </c>
      <c r="AI191" s="228"/>
      <c r="AJ191" s="228" t="str">
        <f>IFERROR(__xludf.DUMMYFUNCTION("""COMPUTED_VALUE"""),"O+")</f>
        <v>O+</v>
      </c>
      <c r="AK191" s="731" t="str">
        <f>IFERROR(__xludf.DUMMYFUNCTION("""COMPUTED_VALUE"""),"https://www.linkedin.com/in/hibba-mirza/")</f>
        <v>https://www.linkedin.com/in/hibba-mirza/</v>
      </c>
      <c r="AL191" s="228"/>
      <c r="AM191" s="730">
        <f>IFERROR(__xludf.DUMMYFUNCTION("""COMPUTED_VALUE"""),44743.0)</f>
        <v>44743</v>
      </c>
      <c r="AN191" s="228"/>
      <c r="AO191" s="228"/>
      <c r="AP191" s="228" t="str">
        <f>IFERROR(__xludf.DUMMYFUNCTION("""COMPUTED_VALUE"""),"NO")</f>
        <v>NO</v>
      </c>
      <c r="AQ191" s="228" t="str">
        <f>IFERROR(__xludf.DUMMYFUNCTION("""COMPUTED_VALUE"""),"Resigned/Terminated")</f>
        <v>Resigned/Terminated</v>
      </c>
    </row>
    <row r="192">
      <c r="A192" s="228">
        <f>IFERROR(__xludf.DUMMYFUNCTION("""COMPUTED_VALUE"""),5058.0)</f>
        <v>5058</v>
      </c>
      <c r="B192" s="228" t="str">
        <f>IFERROR(__xludf.DUMMYFUNCTION("""COMPUTED_VALUE"""),"Ansab Arfan")</f>
        <v>Ansab Arfan</v>
      </c>
      <c r="C192" s="228" t="str">
        <f>IFERROR(__xludf.DUMMYFUNCTION("""COMPUTED_VALUE"""),"aa.vai.7777@gmail.com")</f>
        <v>aa.vai.7777@gmail.com</v>
      </c>
      <c r="D192" s="228"/>
      <c r="E192" s="730">
        <f>IFERROR(__xludf.DUMMYFUNCTION("""COMPUTED_VALUE"""),44725.0)</f>
        <v>44725</v>
      </c>
      <c r="F192" s="228" t="str">
        <f>IFERROR(__xludf.DUMMYFUNCTION("""COMPUTED_VALUE"""),"Associate Business Analyst")</f>
        <v>Associate Business Analyst</v>
      </c>
      <c r="G192" s="228" t="str">
        <f>IFERROR(__xludf.DUMMYFUNCTION("""COMPUTED_VALUE"""),"Business")</f>
        <v>Business</v>
      </c>
      <c r="H192" s="228" t="str">
        <f>IFERROR(__xludf.DUMMYFUNCTION("""COMPUTED_VALUE"""),"Ahmed")</f>
        <v>Ahmed</v>
      </c>
      <c r="I192" s="228" t="str">
        <f>IFERROR(__xludf.DUMMYFUNCTION("""COMPUTED_VALUE"""),"Permanent")</f>
        <v>Permanent</v>
      </c>
      <c r="J192" s="228"/>
      <c r="K192" s="228" t="str">
        <f>IFERROR(__xludf.DUMMYFUNCTION("""COMPUTED_VALUE"""),"3 M")</f>
        <v>3 M</v>
      </c>
      <c r="L192" s="228"/>
      <c r="M192" s="228"/>
      <c r="N192" s="228"/>
      <c r="O192" s="228"/>
      <c r="P192" s="228" t="str">
        <f>IFERROR(__xludf.DUMMYFUNCTION("""COMPUTED_VALUE"""),"0336 1103 112")</f>
        <v>0336 1103 112</v>
      </c>
      <c r="Q192" s="228" t="str">
        <f>IFERROR(__xludf.DUMMYFUNCTION("""COMPUTED_VALUE"""),"38303-7071860-1")</f>
        <v>38303-7071860-1</v>
      </c>
      <c r="R192" s="228" t="str">
        <f>IFERROR(__xludf.DUMMYFUNCTION("""COMPUTED_VALUE"""),"Male")</f>
        <v>Male</v>
      </c>
      <c r="S192" s="228" t="str">
        <f>IFERROR(__xludf.DUMMYFUNCTION("""COMPUTED_VALUE"""),"Nayapay")</f>
        <v>Nayapay</v>
      </c>
      <c r="T192" s="228"/>
      <c r="U192" s="228" t="str">
        <f>IFERROR(__xludf.DUMMYFUNCTION("""COMPUTED_VALUE"""),"03361103112")</f>
        <v>03361103112</v>
      </c>
      <c r="V192" s="228"/>
      <c r="W192" s="228"/>
      <c r="X192" s="228"/>
      <c r="Y192" s="730">
        <f>IFERROR(__xludf.DUMMYFUNCTION("""COMPUTED_VALUE"""),35710.0)</f>
        <v>35710</v>
      </c>
      <c r="Z192" s="228" t="str">
        <f>IFERROR(__xludf.DUMMYFUNCTION("""COMPUTED_VALUE"""),"27 Years")</f>
        <v>27 Years</v>
      </c>
      <c r="AA192" s="228" t="str">
        <f>IFERROR(__xludf.DUMMYFUNCTION("""COMPUTED_VALUE"""),"House 136, Street 57, E-11/3, Islamabad")</f>
        <v>House 136, Street 57, E-11/3, Islamabad</v>
      </c>
      <c r="AB192" s="228"/>
      <c r="AC192" s="228" t="str">
        <f>IFERROR(__xludf.DUMMYFUNCTION("""COMPUTED_VALUE"""),"Single")</f>
        <v>Single</v>
      </c>
      <c r="AD192" s="228"/>
      <c r="AE192" s="228"/>
      <c r="AF192" s="228"/>
      <c r="AG192" s="228" t="str">
        <f>IFERROR(__xludf.DUMMYFUNCTION("""COMPUTED_VALUE"""),"Muhammad Arfan")</f>
        <v>Muhammad Arfan</v>
      </c>
      <c r="AH192" s="228" t="str">
        <f>IFERROR(__xludf.DUMMYFUNCTION("""COMPUTED_VALUE"""),"Father")</f>
        <v>Father</v>
      </c>
      <c r="AI192" s="228" t="str">
        <f>IFERROR(__xludf.DUMMYFUNCTION("""COMPUTED_VALUE"""),"0336 1103 112")</f>
        <v>0336 1103 112</v>
      </c>
      <c r="AJ192" s="228" t="str">
        <f>IFERROR(__xludf.DUMMYFUNCTION("""COMPUTED_VALUE"""),"B+")</f>
        <v>B+</v>
      </c>
      <c r="AK192" s="731" t="str">
        <f>IFERROR(__xludf.DUMMYFUNCTION("""COMPUTED_VALUE"""),"https://www.linkedin.com/in/ansabarfanmiana/")</f>
        <v>https://www.linkedin.com/in/ansabarfanmiana/</v>
      </c>
      <c r="AL192" s="228"/>
      <c r="AM192" s="730">
        <f>IFERROR(__xludf.DUMMYFUNCTION("""COMPUTED_VALUE"""),44805.0)</f>
        <v>44805</v>
      </c>
      <c r="AN192" s="228"/>
      <c r="AO192" s="228"/>
      <c r="AP192" s="228" t="str">
        <f>IFERROR(__xludf.DUMMYFUNCTION("""COMPUTED_VALUE"""),"NO")</f>
        <v>NO</v>
      </c>
      <c r="AQ192" s="228" t="str">
        <f>IFERROR(__xludf.DUMMYFUNCTION("""COMPUTED_VALUE"""),"Resigned/Terminated")</f>
        <v>Resigned/Terminated</v>
      </c>
    </row>
    <row r="193">
      <c r="A193" s="228">
        <f>IFERROR(__xludf.DUMMYFUNCTION("""COMPUTED_VALUE"""),5057.0)</f>
        <v>5057</v>
      </c>
      <c r="B193" s="228" t="str">
        <f>IFERROR(__xludf.DUMMYFUNCTION("""COMPUTED_VALUE"""),"Ali Hassan")</f>
        <v>Ali Hassan</v>
      </c>
      <c r="C193" s="228" t="str">
        <f>IFERROR(__xludf.DUMMYFUNCTION("""COMPUTED_VALUE"""),"rustyrookie2.0@gmail.com")</f>
        <v>rustyrookie2.0@gmail.com</v>
      </c>
      <c r="D193" s="228"/>
      <c r="E193" s="730">
        <f>IFERROR(__xludf.DUMMYFUNCTION("""COMPUTED_VALUE"""),44725.0)</f>
        <v>44725</v>
      </c>
      <c r="F193" s="228" t="str">
        <f>IFERROR(__xludf.DUMMYFUNCTION("""COMPUTED_VALUE"""),"Motion Graphics Intern")</f>
        <v>Motion Graphics Intern</v>
      </c>
      <c r="G193" s="228" t="str">
        <f>IFERROR(__xludf.DUMMYFUNCTION("""COMPUTED_VALUE"""),"Marketing")</f>
        <v>Marketing</v>
      </c>
      <c r="H193" s="228" t="str">
        <f>IFERROR(__xludf.DUMMYFUNCTION("""COMPUTED_VALUE"""),"Ahmed")</f>
        <v>Ahmed</v>
      </c>
      <c r="I193" s="228" t="str">
        <f>IFERROR(__xludf.DUMMYFUNCTION("""COMPUTED_VALUE"""),"Intern")</f>
        <v>Intern</v>
      </c>
      <c r="J193" s="228"/>
      <c r="K193" s="228" t="str">
        <f>IFERROR(__xludf.DUMMYFUNCTION("""COMPUTED_VALUE"""),"3 M")</f>
        <v>3 M</v>
      </c>
      <c r="L193" s="228"/>
      <c r="M193" s="228"/>
      <c r="N193" s="228"/>
      <c r="O193" s="228"/>
      <c r="P193" s="228" t="str">
        <f>IFERROR(__xludf.DUMMYFUNCTION("""COMPUTED_VALUE"""),"03173705805")</f>
        <v>03173705805</v>
      </c>
      <c r="Q193" s="228" t="str">
        <f>IFERROR(__xludf.DUMMYFUNCTION("""COMPUTED_VALUE"""),"34202-5366041-5")</f>
        <v>34202-5366041-5</v>
      </c>
      <c r="R193" s="228" t="str">
        <f>IFERROR(__xludf.DUMMYFUNCTION("""COMPUTED_VALUE"""),"Male")</f>
        <v>Male</v>
      </c>
      <c r="S193" s="228" t="str">
        <f>IFERROR(__xludf.DUMMYFUNCTION("""COMPUTED_VALUE"""),"Askari")</f>
        <v>Askari</v>
      </c>
      <c r="T193" s="228"/>
      <c r="U193" s="228" t="str">
        <f>IFERROR(__xludf.DUMMYFUNCTION("""COMPUTED_VALUE"""),"PK71ASCM0007230200014890")</f>
        <v>PK71ASCM0007230200014890</v>
      </c>
      <c r="V193" s="228"/>
      <c r="W193" s="228"/>
      <c r="X193" s="228"/>
      <c r="Y193" s="730">
        <f>IFERROR(__xludf.DUMMYFUNCTION("""COMPUTED_VALUE"""),36191.0)</f>
        <v>36191</v>
      </c>
      <c r="Z193" s="228" t="str">
        <f>IFERROR(__xludf.DUMMYFUNCTION("""COMPUTED_VALUE"""),"26 Years")</f>
        <v>26 Years</v>
      </c>
      <c r="AA193" s="228" t="str">
        <f>IFERROR(__xludf.DUMMYFUNCTION("""COMPUTED_VALUE"""),"Zakaria Hostel, NUST, Islamabad")</f>
        <v>Zakaria Hostel, NUST, Islamabad</v>
      </c>
      <c r="AB193" s="228"/>
      <c r="AC193" s="228" t="str">
        <f>IFERROR(__xludf.DUMMYFUNCTION("""COMPUTED_VALUE"""),"Single")</f>
        <v>Single</v>
      </c>
      <c r="AD193" s="228"/>
      <c r="AE193" s="228"/>
      <c r="AF193" s="228"/>
      <c r="AG193" s="228" t="str">
        <f>IFERROR(__xludf.DUMMYFUNCTION("""COMPUTED_VALUE"""),"Talib Hussain")</f>
        <v>Talib Hussain</v>
      </c>
      <c r="AH193" s="228" t="str">
        <f>IFERROR(__xludf.DUMMYFUNCTION("""COMPUTED_VALUE"""),"Father")</f>
        <v>Father</v>
      </c>
      <c r="AI193" s="228" t="str">
        <f>IFERROR(__xludf.DUMMYFUNCTION("""COMPUTED_VALUE"""),"03344667249")</f>
        <v>03344667249</v>
      </c>
      <c r="AJ193" s="228" t="str">
        <f>IFERROR(__xludf.DUMMYFUNCTION("""COMPUTED_VALUE"""),"A+")</f>
        <v>A+</v>
      </c>
      <c r="AK193" s="228"/>
      <c r="AL193" s="228"/>
      <c r="AM193" s="730">
        <f>IFERROR(__xludf.DUMMYFUNCTION("""COMPUTED_VALUE"""),44817.0)</f>
        <v>44817</v>
      </c>
      <c r="AN193" s="228"/>
      <c r="AO193" s="228"/>
      <c r="AP193" s="228" t="str">
        <f>IFERROR(__xludf.DUMMYFUNCTION("""COMPUTED_VALUE"""),"NO")</f>
        <v>NO</v>
      </c>
      <c r="AQ193" s="228" t="str">
        <f>IFERROR(__xludf.DUMMYFUNCTION("""COMPUTED_VALUE"""),"Resigned/Terminated")</f>
        <v>Resigned/Terminated</v>
      </c>
    </row>
    <row r="194">
      <c r="A194" s="228">
        <f>IFERROR(__xludf.DUMMYFUNCTION("""COMPUTED_VALUE"""),5070.0)</f>
        <v>5070</v>
      </c>
      <c r="B194" s="228" t="str">
        <f>IFERROR(__xludf.DUMMYFUNCTION("""COMPUTED_VALUE"""),"Asad Nawaz")</f>
        <v>Asad Nawaz</v>
      </c>
      <c r="C194" s="228" t="str">
        <f>IFERROR(__xludf.DUMMYFUNCTION("""COMPUTED_VALUE"""),"assadkhan504@gmail.com")</f>
        <v>assadkhan504@gmail.com</v>
      </c>
      <c r="D194" s="228"/>
      <c r="E194" s="730">
        <f>IFERROR(__xludf.DUMMYFUNCTION("""COMPUTED_VALUE"""),44795.0)</f>
        <v>44795</v>
      </c>
      <c r="F194" s="228" t="str">
        <f>IFERROR(__xludf.DUMMYFUNCTION("""COMPUTED_VALUE"""),"Product Designer")</f>
        <v>Product Designer</v>
      </c>
      <c r="G194" s="228" t="str">
        <f>IFERROR(__xludf.DUMMYFUNCTION("""COMPUTED_VALUE"""),"Design")</f>
        <v>Design</v>
      </c>
      <c r="H194" s="228" t="str">
        <f>IFERROR(__xludf.DUMMYFUNCTION("""COMPUTED_VALUE"""),"Ahmed")</f>
        <v>Ahmed</v>
      </c>
      <c r="I194" s="228" t="str">
        <f>IFERROR(__xludf.DUMMYFUNCTION("""COMPUTED_VALUE"""),"Permanent")</f>
        <v>Permanent</v>
      </c>
      <c r="J194" s="228"/>
      <c r="K194" s="228" t="str">
        <f>IFERROR(__xludf.DUMMYFUNCTION("""COMPUTED_VALUE"""),"3 M")</f>
        <v>3 M</v>
      </c>
      <c r="L194" s="228"/>
      <c r="M194" s="228"/>
      <c r="N194" s="228"/>
      <c r="O194" s="228"/>
      <c r="P194" s="228" t="str">
        <f>IFERROR(__xludf.DUMMYFUNCTION("""COMPUTED_VALUE"""),"03360118286")</f>
        <v>03360118286</v>
      </c>
      <c r="Q194" s="228" t="str">
        <f>IFERROR(__xludf.DUMMYFUNCTION("""COMPUTED_VALUE"""),"17201-3831063-9")</f>
        <v>17201-3831063-9</v>
      </c>
      <c r="R194" s="228" t="str">
        <f>IFERROR(__xludf.DUMMYFUNCTION("""COMPUTED_VALUE"""),"Male")</f>
        <v>Male</v>
      </c>
      <c r="S194" s="228" t="str">
        <f>IFERROR(__xludf.DUMMYFUNCTION("""COMPUTED_VALUE"""),"Meezan Bank")</f>
        <v>Meezan Bank</v>
      </c>
      <c r="T194" s="228"/>
      <c r="U194" s="228" t="str">
        <f>IFERROR(__xludf.DUMMYFUNCTION("""COMPUTED_VALUE"""),"03010104457390")</f>
        <v>03010104457390</v>
      </c>
      <c r="V194" s="228"/>
      <c r="W194" s="228"/>
      <c r="X194" s="228"/>
      <c r="Y194" s="730">
        <f>IFERROR(__xludf.DUMMYFUNCTION("""COMPUTED_VALUE"""),35886.0)</f>
        <v>35886</v>
      </c>
      <c r="Z194" s="228" t="str">
        <f>IFERROR(__xludf.DUMMYFUNCTION("""COMPUTED_VALUE"""),"27 Years")</f>
        <v>27 Years</v>
      </c>
      <c r="AA194" s="228" t="str">
        <f>IFERROR(__xludf.DUMMYFUNCTION("""COMPUTED_VALUE"""),"House Number CB 89, st 14, Awan Town, Peshawar Road, Rawalpindi")</f>
        <v>House Number CB 89, st 14, Awan Town, Peshawar Road, Rawalpindi</v>
      </c>
      <c r="AB194" s="228"/>
      <c r="AC194" s="228" t="str">
        <f>IFERROR(__xludf.DUMMYFUNCTION("""COMPUTED_VALUE"""),"Single")</f>
        <v>Single</v>
      </c>
      <c r="AD194" s="228"/>
      <c r="AE194" s="228"/>
      <c r="AF194" s="228"/>
      <c r="AG194" s="228" t="str">
        <f>IFERROR(__xludf.DUMMYFUNCTION("""COMPUTED_VALUE"""),"Musa Ali Khan")</f>
        <v>Musa Ali Khan</v>
      </c>
      <c r="AH194" s="228" t="str">
        <f>IFERROR(__xludf.DUMMYFUNCTION("""COMPUTED_VALUE"""),"Father")</f>
        <v>Father</v>
      </c>
      <c r="AI194" s="228" t="str">
        <f>IFERROR(__xludf.DUMMYFUNCTION("""COMPUTED_VALUE"""),"03336573069")</f>
        <v>03336573069</v>
      </c>
      <c r="AJ194" s="228"/>
      <c r="AK194" s="731" t="str">
        <f>IFERROR(__xludf.DUMMYFUNCTION("""COMPUTED_VALUE"""),"https://www.linkedin.com/in/asadnawazzzz/")</f>
        <v>https://www.linkedin.com/in/asadnawazzzz/</v>
      </c>
      <c r="AL194" s="228"/>
      <c r="AM194" s="730">
        <f>IFERROR(__xludf.DUMMYFUNCTION("""COMPUTED_VALUE"""),44834.0)</f>
        <v>44834</v>
      </c>
      <c r="AN194" s="228"/>
      <c r="AO194" s="228"/>
      <c r="AP194" s="228" t="str">
        <f>IFERROR(__xludf.DUMMYFUNCTION("""COMPUTED_VALUE"""),"NO")</f>
        <v>NO</v>
      </c>
      <c r="AQ194" s="228" t="str">
        <f>IFERROR(__xludf.DUMMYFUNCTION("""COMPUTED_VALUE"""),"Resigned/Terminated")</f>
        <v>Resigned/Terminated</v>
      </c>
    </row>
    <row r="195">
      <c r="A195" s="228">
        <f>IFERROR(__xludf.DUMMYFUNCTION("""COMPUTED_VALUE"""),5021.0)</f>
        <v>5021</v>
      </c>
      <c r="B195" s="228" t="str">
        <f>IFERROR(__xludf.DUMMYFUNCTION("""COMPUTED_VALUE"""),"Shaheer Muzammil")</f>
        <v>Shaheer Muzammil</v>
      </c>
      <c r="C195" s="228" t="str">
        <f>IFERROR(__xludf.DUMMYFUNCTION("""COMPUTED_VALUE"""),"shaheermuzammil@gmail.com")</f>
        <v>shaheermuzammil@gmail.com</v>
      </c>
      <c r="D195" s="228"/>
      <c r="E195" s="730">
        <f>IFERROR(__xludf.DUMMYFUNCTION("""COMPUTED_VALUE"""),44284.0)</f>
        <v>44284</v>
      </c>
      <c r="F195" s="228" t="str">
        <f>IFERROR(__xludf.DUMMYFUNCTION("""COMPUTED_VALUE"""),"Technical Product Manager")</f>
        <v>Technical Product Manager</v>
      </c>
      <c r="G195" s="228" t="str">
        <f>IFERROR(__xludf.DUMMYFUNCTION("""COMPUTED_VALUE"""),"Android")</f>
        <v>Android</v>
      </c>
      <c r="H195" s="228"/>
      <c r="I195" s="228" t="str">
        <f>IFERROR(__xludf.DUMMYFUNCTION("""COMPUTED_VALUE"""),"Permanent")</f>
        <v>Permanent</v>
      </c>
      <c r="J195" s="228"/>
      <c r="K195" s="228" t="str">
        <f>IFERROR(__xludf.DUMMYFUNCTION("""COMPUTED_VALUE"""),"2 M")</f>
        <v>2 M</v>
      </c>
      <c r="L195" s="228"/>
      <c r="M195" s="228"/>
      <c r="N195" s="228"/>
      <c r="O195" s="228"/>
      <c r="P195" s="228" t="str">
        <f>IFERROR(__xludf.DUMMYFUNCTION("""COMPUTED_VALUE"""),"0313-5466495")</f>
        <v>0313-5466495</v>
      </c>
      <c r="Q195" s="228" t="str">
        <f>IFERROR(__xludf.DUMMYFUNCTION("""COMPUTED_VALUE"""),"61101-5922088-7")</f>
        <v>61101-5922088-7</v>
      </c>
      <c r="R195" s="228" t="str">
        <f>IFERROR(__xludf.DUMMYFUNCTION("""COMPUTED_VALUE"""),"Male")</f>
        <v>Male</v>
      </c>
      <c r="S195" s="228" t="str">
        <f>IFERROR(__xludf.DUMMYFUNCTION("""COMPUTED_VALUE"""),"Standard Chartered Bank")</f>
        <v>Standard Chartered Bank</v>
      </c>
      <c r="T195" s="228"/>
      <c r="U195" s="228" t="str">
        <f>IFERROR(__xludf.DUMMYFUNCTION("""COMPUTED_VALUE"""),"01733350401")</f>
        <v>01733350401</v>
      </c>
      <c r="V195" s="228"/>
      <c r="W195" s="228"/>
      <c r="X195" s="228"/>
      <c r="Y195" s="730">
        <f>IFERROR(__xludf.DUMMYFUNCTION("""COMPUTED_VALUE"""),34818.0)</f>
        <v>34818</v>
      </c>
      <c r="Z195" s="228" t="str">
        <f>IFERROR(__xludf.DUMMYFUNCTION("""COMPUTED_VALUE"""),"30 Years")</f>
        <v>30 Years</v>
      </c>
      <c r="AA195" s="228" t="str">
        <f>IFERROR(__xludf.DUMMYFUNCTION("""COMPUTED_VALUE"""),"House no. 29, Street no. 35, i-9/4, ISB")</f>
        <v>House no. 29, Street no. 35, i-9/4, ISB</v>
      </c>
      <c r="AB195" s="228"/>
      <c r="AC195" s="228"/>
      <c r="AD195" s="228"/>
      <c r="AE195" s="228"/>
      <c r="AF195" s="228"/>
      <c r="AG195" s="228" t="str">
        <f>IFERROR(__xludf.DUMMYFUNCTION("""COMPUTED_VALUE"""),"Muzammil Hussain")</f>
        <v>Muzammil Hussain</v>
      </c>
      <c r="AH195" s="228" t="str">
        <f>IFERROR(__xludf.DUMMYFUNCTION("""COMPUTED_VALUE"""),"Father")</f>
        <v>Father</v>
      </c>
      <c r="AI195" s="228"/>
      <c r="AJ195" s="228"/>
      <c r="AK195" s="731" t="str">
        <f>IFERROR(__xludf.DUMMYFUNCTION("""COMPUTED_VALUE"""),"https://www.linkedin.com/in/shaheermuzammil/")</f>
        <v>https://www.linkedin.com/in/shaheermuzammil/</v>
      </c>
      <c r="AL195" s="228"/>
      <c r="AM195" s="730">
        <f>IFERROR(__xludf.DUMMYFUNCTION("""COMPUTED_VALUE"""),44841.0)</f>
        <v>44841</v>
      </c>
      <c r="AN195" s="228"/>
      <c r="AO195" s="228"/>
      <c r="AP195" s="228" t="str">
        <f>IFERROR(__xludf.DUMMYFUNCTION("""COMPUTED_VALUE"""),"NO")</f>
        <v>NO</v>
      </c>
      <c r="AQ195" s="228" t="str">
        <f>IFERROR(__xludf.DUMMYFUNCTION("""COMPUTED_VALUE"""),"Resigned/Terminated")</f>
        <v>Resigned/Terminated</v>
      </c>
    </row>
    <row r="196">
      <c r="A196" s="228">
        <f>IFERROR(__xludf.DUMMYFUNCTION("""COMPUTED_VALUE"""),5012.0)</f>
        <v>5012</v>
      </c>
      <c r="B196" s="228" t="str">
        <f>IFERROR(__xludf.DUMMYFUNCTION("""COMPUTED_VALUE"""),"Muhammad Aqib Tufail")</f>
        <v>Muhammad Aqib Tufail</v>
      </c>
      <c r="C196" s="228" t="str">
        <f>IFERROR(__xludf.DUMMYFUNCTION("""COMPUTED_VALUE"""),"aqibaaaay69@gmail.com")</f>
        <v>aqibaaaay69@gmail.com</v>
      </c>
      <c r="D196" s="228"/>
      <c r="E196" s="730">
        <f>IFERROR(__xludf.DUMMYFUNCTION("""COMPUTED_VALUE"""),44076.0)</f>
        <v>44076</v>
      </c>
      <c r="F196" s="228" t="str">
        <f>IFERROR(__xludf.DUMMYFUNCTION("""COMPUTED_VALUE"""),"Visual Designer")</f>
        <v>Visual Designer</v>
      </c>
      <c r="G196" s="228" t="str">
        <f>IFERROR(__xludf.DUMMYFUNCTION("""COMPUTED_VALUE"""),"Design")</f>
        <v>Design</v>
      </c>
      <c r="H196" s="228" t="str">
        <f>IFERROR(__xludf.DUMMYFUNCTION("""COMPUTED_VALUE"""),"Z/A")</f>
        <v>Z/A</v>
      </c>
      <c r="I196" s="228" t="str">
        <f>IFERROR(__xludf.DUMMYFUNCTION("""COMPUTED_VALUE"""),"Permanent")</f>
        <v>Permanent</v>
      </c>
      <c r="J196" s="228"/>
      <c r="K196" s="228" t="str">
        <f>IFERROR(__xludf.DUMMYFUNCTION("""COMPUTED_VALUE"""),"3 M")</f>
        <v>3 M</v>
      </c>
      <c r="L196" s="228"/>
      <c r="M196" s="228"/>
      <c r="N196" s="228"/>
      <c r="O196" s="228"/>
      <c r="P196" s="228" t="str">
        <f>IFERROR(__xludf.DUMMYFUNCTION("""COMPUTED_VALUE"""),"03339063492")</f>
        <v>03339063492</v>
      </c>
      <c r="Q196" s="228" t="str">
        <f>IFERROR(__xludf.DUMMYFUNCTION("""COMPUTED_VALUE"""),"34502-3391774-1")</f>
        <v>34502-3391774-1</v>
      </c>
      <c r="R196" s="228" t="str">
        <f>IFERROR(__xludf.DUMMYFUNCTION("""COMPUTED_VALUE"""),"Male")</f>
        <v>Male</v>
      </c>
      <c r="S196" s="228" t="str">
        <f>IFERROR(__xludf.DUMMYFUNCTION("""COMPUTED_VALUE"""),"Bank Al Habib")</f>
        <v>Bank Al Habib</v>
      </c>
      <c r="T196" s="228"/>
      <c r="U196" s="228" t="str">
        <f>IFERROR(__xludf.DUMMYFUNCTION("""COMPUTED_VALUE"""),"02990981000099015")</f>
        <v>02990981000099015</v>
      </c>
      <c r="V196" s="228"/>
      <c r="W196" s="228"/>
      <c r="X196" s="228"/>
      <c r="Y196" s="730">
        <f>IFERROR(__xludf.DUMMYFUNCTION("""COMPUTED_VALUE"""),36169.0)</f>
        <v>36169</v>
      </c>
      <c r="Z196" s="228" t="str">
        <f>IFERROR(__xludf.DUMMYFUNCTION("""COMPUTED_VALUE"""),"26 Years")</f>
        <v>26 Years</v>
      </c>
      <c r="AA196" s="228" t="str">
        <f>IFERROR(__xludf.DUMMYFUNCTION("""COMPUTED_VALUE"""),"H 13, St4, Gulshan e Razaq Town, Chakra road RWP")</f>
        <v>H 13, St4, Gulshan e Razaq Town, Chakra road RWP</v>
      </c>
      <c r="AB196" s="228"/>
      <c r="AC196" s="228" t="str">
        <f>IFERROR(__xludf.DUMMYFUNCTION("""COMPUTED_VALUE"""),"Single")</f>
        <v>Single</v>
      </c>
      <c r="AD196" s="228"/>
      <c r="AE196" s="228"/>
      <c r="AF196" s="228"/>
      <c r="AG196" s="228" t="str">
        <f>IFERROR(__xludf.DUMMYFUNCTION("""COMPUTED_VALUE"""),"Muhammad Tufail")</f>
        <v>Muhammad Tufail</v>
      </c>
      <c r="AH196" s="228" t="str">
        <f>IFERROR(__xludf.DUMMYFUNCTION("""COMPUTED_VALUE"""),"Father")</f>
        <v>Father</v>
      </c>
      <c r="AI196" s="228" t="str">
        <f>IFERROR(__xludf.DUMMYFUNCTION("""COMPUTED_VALUE"""),"0345-6662880")</f>
        <v>0345-6662880</v>
      </c>
      <c r="AJ196" s="228" t="str">
        <f>IFERROR(__xludf.DUMMYFUNCTION("""COMPUTED_VALUE"""),"A+")</f>
        <v>A+</v>
      </c>
      <c r="AK196" s="228"/>
      <c r="AL196" s="228"/>
      <c r="AM196" s="730">
        <f>IFERROR(__xludf.DUMMYFUNCTION("""COMPUTED_VALUE"""),44849.0)</f>
        <v>44849</v>
      </c>
      <c r="AN196" s="228"/>
      <c r="AO196" s="228"/>
      <c r="AP196" s="228" t="str">
        <f>IFERROR(__xludf.DUMMYFUNCTION("""COMPUTED_VALUE"""),"NO")</f>
        <v>NO</v>
      </c>
      <c r="AQ196" s="228" t="str">
        <f>IFERROR(__xludf.DUMMYFUNCTION("""COMPUTED_VALUE"""),"Resigned/Terminated")</f>
        <v>Resigned/Terminated</v>
      </c>
    </row>
    <row r="197">
      <c r="A197" s="228">
        <f>IFERROR(__xludf.DUMMYFUNCTION("""COMPUTED_VALUE"""),5052.0)</f>
        <v>5052</v>
      </c>
      <c r="B197" s="228" t="str">
        <f>IFERROR(__xludf.DUMMYFUNCTION("""COMPUTED_VALUE"""),"Muhammad Ibrahim")</f>
        <v>Muhammad Ibrahim</v>
      </c>
      <c r="C197" s="228" t="str">
        <f>IFERROR(__xludf.DUMMYFUNCTION("""COMPUTED_VALUE"""),"miibrahim.bee20seecs@seecs.edu.pk")</f>
        <v>miibrahim.bee20seecs@seecs.edu.pk</v>
      </c>
      <c r="D197" s="228"/>
      <c r="E197" s="730">
        <f>IFERROR(__xludf.DUMMYFUNCTION("""COMPUTED_VALUE"""),44531.0)</f>
        <v>44531</v>
      </c>
      <c r="F197" s="228" t="str">
        <f>IFERROR(__xludf.DUMMYFUNCTION("""COMPUTED_VALUE"""),"Associate Motion Graphics Designer")</f>
        <v>Associate Motion Graphics Designer</v>
      </c>
      <c r="G197" s="228" t="str">
        <f>IFERROR(__xludf.DUMMYFUNCTION("""COMPUTED_VALUE"""),"Marketing")</f>
        <v>Marketing</v>
      </c>
      <c r="H197" s="228" t="str">
        <f>IFERROR(__xludf.DUMMYFUNCTION("""COMPUTED_VALUE"""),"Zeeshan")</f>
        <v>Zeeshan</v>
      </c>
      <c r="I197" s="228" t="str">
        <f>IFERROR(__xludf.DUMMYFUNCTION("""COMPUTED_VALUE"""),"Permanent")</f>
        <v>Permanent</v>
      </c>
      <c r="J197" s="228"/>
      <c r="K197" s="228" t="str">
        <f>IFERROR(__xludf.DUMMYFUNCTION("""COMPUTED_VALUE"""),"3 M")</f>
        <v>3 M</v>
      </c>
      <c r="L197" s="228"/>
      <c r="M197" s="228"/>
      <c r="N197" s="228"/>
      <c r="O197" s="228"/>
      <c r="P197" s="228" t="str">
        <f>IFERROR(__xludf.DUMMYFUNCTION("""COMPUTED_VALUE"""),"03217611233")</f>
        <v>03217611233</v>
      </c>
      <c r="Q197" s="228" t="str">
        <f>IFERROR(__xludf.DUMMYFUNCTION("""COMPUTED_VALUE"""),"33102-2470433-7")</f>
        <v>33102-2470433-7</v>
      </c>
      <c r="R197" s="228" t="str">
        <f>IFERROR(__xludf.DUMMYFUNCTION("""COMPUTED_VALUE"""),"Male")</f>
        <v>Male</v>
      </c>
      <c r="S197" s="228" t="str">
        <f>IFERROR(__xludf.DUMMYFUNCTION("""COMPUTED_VALUE"""),"HBL")</f>
        <v>HBL</v>
      </c>
      <c r="T197" s="228"/>
      <c r="U197" s="228" t="str">
        <f>IFERROR(__xludf.DUMMYFUNCTION("""COMPUTED_VALUE"""),"13367905364603")</f>
        <v>13367905364603</v>
      </c>
      <c r="V197" s="228"/>
      <c r="W197" s="228"/>
      <c r="X197" s="228"/>
      <c r="Y197" s="730">
        <f>IFERROR(__xludf.DUMMYFUNCTION("""COMPUTED_VALUE"""),37341.0)</f>
        <v>37341</v>
      </c>
      <c r="Z197" s="228" t="str">
        <f>IFERROR(__xludf.DUMMYFUNCTION("""COMPUTED_VALUE"""),"23 Years")</f>
        <v>23 Years</v>
      </c>
      <c r="AA197" s="228" t="str">
        <f>IFERROR(__xludf.DUMMYFUNCTION("""COMPUTED_VALUE"""),"Main Bazaar AbullahPur, Stree 5, P139, Faislabad")</f>
        <v>Main Bazaar AbullahPur, Stree 5, P139, Faislabad</v>
      </c>
      <c r="AB197" s="228"/>
      <c r="AC197" s="228" t="str">
        <f>IFERROR(__xludf.DUMMYFUNCTION("""COMPUTED_VALUE"""),"Single")</f>
        <v>Single</v>
      </c>
      <c r="AD197" s="228"/>
      <c r="AE197" s="228"/>
      <c r="AF197" s="228"/>
      <c r="AG197" s="228" t="str">
        <f>IFERROR(__xludf.DUMMYFUNCTION("""COMPUTED_VALUE"""),"Waseem Gulzar")</f>
        <v>Waseem Gulzar</v>
      </c>
      <c r="AH197" s="228" t="str">
        <f>IFERROR(__xludf.DUMMYFUNCTION("""COMPUTED_VALUE"""),"Father")</f>
        <v>Father</v>
      </c>
      <c r="AI197" s="228" t="str">
        <f>IFERROR(__xludf.DUMMYFUNCTION("""COMPUTED_VALUE"""),"03007995324")</f>
        <v>03007995324</v>
      </c>
      <c r="AJ197" s="228" t="str">
        <f>IFERROR(__xludf.DUMMYFUNCTION("""COMPUTED_VALUE"""),"B+")</f>
        <v>B+</v>
      </c>
      <c r="AK197" s="731" t="str">
        <f>IFERROR(__xludf.DUMMYFUNCTION("""COMPUTED_VALUE"""),"https://www.linkedin.com/in/muhammad-ibrahim-9889431bb/")</f>
        <v>https://www.linkedin.com/in/muhammad-ibrahim-9889431bb/</v>
      </c>
      <c r="AL197" s="228"/>
      <c r="AM197" s="730">
        <f>IFERROR(__xludf.DUMMYFUNCTION("""COMPUTED_VALUE"""),44865.0)</f>
        <v>44865</v>
      </c>
      <c r="AN197" s="228"/>
      <c r="AO197" s="228"/>
      <c r="AP197" s="228" t="str">
        <f>IFERROR(__xludf.DUMMYFUNCTION("""COMPUTED_VALUE"""),"NO")</f>
        <v>NO</v>
      </c>
      <c r="AQ197" s="228" t="str">
        <f>IFERROR(__xludf.DUMMYFUNCTION("""COMPUTED_VALUE"""),"Resigned/Terminated")</f>
        <v>Resigned/Terminated</v>
      </c>
    </row>
    <row r="198">
      <c r="A198" s="228">
        <f>IFERROR(__xludf.DUMMYFUNCTION("""COMPUTED_VALUE"""),5062.0)</f>
        <v>5062</v>
      </c>
      <c r="B198" s="228" t="str">
        <f>IFERROR(__xludf.DUMMYFUNCTION("""COMPUTED_VALUE"""),"Minahil Babar")</f>
        <v>Minahil Babar</v>
      </c>
      <c r="C198" s="228" t="str">
        <f>IFERROR(__xludf.DUMMYFUNCTION("""COMPUTED_VALUE"""),"minahilbabar28@gmail.com")</f>
        <v>minahilbabar28@gmail.com</v>
      </c>
      <c r="D198" s="228"/>
      <c r="E198" s="730">
        <f>IFERROR(__xludf.DUMMYFUNCTION("""COMPUTED_VALUE"""),44746.0)</f>
        <v>44746</v>
      </c>
      <c r="F198" s="228" t="str">
        <f>IFERROR(__xludf.DUMMYFUNCTION("""COMPUTED_VALUE"""),"Associate Product Manager")</f>
        <v>Associate Product Manager</v>
      </c>
      <c r="G198" s="228" t="str">
        <f>IFERROR(__xludf.DUMMYFUNCTION("""COMPUTED_VALUE"""),"PM")</f>
        <v>PM</v>
      </c>
      <c r="H198" s="228" t="str">
        <f>IFERROR(__xludf.DUMMYFUNCTION("""COMPUTED_VALUE"""),"Zain")</f>
        <v>Zain</v>
      </c>
      <c r="I198" s="228" t="str">
        <f>IFERROR(__xludf.DUMMYFUNCTION("""COMPUTED_VALUE"""),"Permanent")</f>
        <v>Permanent</v>
      </c>
      <c r="J198" s="228"/>
      <c r="K198" s="228" t="str">
        <f>IFERROR(__xludf.DUMMYFUNCTION("""COMPUTED_VALUE"""),"3 M")</f>
        <v>3 M</v>
      </c>
      <c r="L198" s="228"/>
      <c r="M198" s="228"/>
      <c r="N198" s="228"/>
      <c r="O198" s="228"/>
      <c r="P198" s="228" t="str">
        <f>IFERROR(__xludf.DUMMYFUNCTION("""COMPUTED_VALUE"""),"0330 5234485")</f>
        <v>0330 5234485</v>
      </c>
      <c r="Q198" s="228" t="str">
        <f>IFERROR(__xludf.DUMMYFUNCTION("""COMPUTED_VALUE"""),"37405-9334616-8")</f>
        <v>37405-9334616-8</v>
      </c>
      <c r="R198" s="228" t="str">
        <f>IFERROR(__xludf.DUMMYFUNCTION("""COMPUTED_VALUE"""),"Female")</f>
        <v>Female</v>
      </c>
      <c r="S198" s="228" t="str">
        <f>IFERROR(__xludf.DUMMYFUNCTION("""COMPUTED_VALUE"""),"Bank Alfalah")</f>
        <v>Bank Alfalah</v>
      </c>
      <c r="T198" s="228"/>
      <c r="U198" s="228" t="str">
        <f>IFERROR(__xludf.DUMMYFUNCTION("""COMPUTED_VALUE"""),"08471007835594")</f>
        <v>08471007835594</v>
      </c>
      <c r="V198" s="228"/>
      <c r="W198" s="228"/>
      <c r="X198" s="228"/>
      <c r="Y198" s="730">
        <f>IFERROR(__xludf.DUMMYFUNCTION("""COMPUTED_VALUE"""),36369.0)</f>
        <v>36369</v>
      </c>
      <c r="Z198" s="228" t="str">
        <f>IFERROR(__xludf.DUMMYFUNCTION("""COMPUTED_VALUE"""),"25 Years")</f>
        <v>25 Years</v>
      </c>
      <c r="AA198" s="228" t="str">
        <f>IFERROR(__xludf.DUMMYFUNCTION("""COMPUTED_VALUE"""),"House no. 38B, Street 17, Gulzar E QUAID, RAWALPINDI")</f>
        <v>House no. 38B, Street 17, Gulzar E QUAID, RAWALPINDI</v>
      </c>
      <c r="AB198" s="228"/>
      <c r="AC198" s="228" t="str">
        <f>IFERROR(__xludf.DUMMYFUNCTION("""COMPUTED_VALUE"""),"Single")</f>
        <v>Single</v>
      </c>
      <c r="AD198" s="228"/>
      <c r="AE198" s="228"/>
      <c r="AF198" s="228"/>
      <c r="AG198" s="228" t="str">
        <f>IFERROR(__xludf.DUMMYFUNCTION("""COMPUTED_VALUE"""),"Babar Waseem")</f>
        <v>Babar Waseem</v>
      </c>
      <c r="AH198" s="228" t="str">
        <f>IFERROR(__xludf.DUMMYFUNCTION("""COMPUTED_VALUE"""),"Father")</f>
        <v>Father</v>
      </c>
      <c r="AI198" s="228" t="str">
        <f>IFERROR(__xludf.DUMMYFUNCTION("""COMPUTED_VALUE"""),"03005570500")</f>
        <v>03005570500</v>
      </c>
      <c r="AJ198" s="228" t="str">
        <f>IFERROR(__xludf.DUMMYFUNCTION("""COMPUTED_VALUE"""),"B-")</f>
        <v>B-</v>
      </c>
      <c r="AK198" s="731" t="str">
        <f>IFERROR(__xludf.DUMMYFUNCTION("""COMPUTED_VALUE"""),"https://www.linkedin.com/in/minahil-babar-28b3381ba/")</f>
        <v>https://www.linkedin.com/in/minahil-babar-28b3381ba/</v>
      </c>
      <c r="AL198" s="228"/>
      <c r="AM198" s="730">
        <f>IFERROR(__xludf.DUMMYFUNCTION("""COMPUTED_VALUE"""),44883.0)</f>
        <v>44883</v>
      </c>
      <c r="AN198" s="228"/>
      <c r="AO198" s="228"/>
      <c r="AP198" s="228" t="str">
        <f>IFERROR(__xludf.DUMMYFUNCTION("""COMPUTED_VALUE"""),"NO")</f>
        <v>NO</v>
      </c>
      <c r="AQ198" s="228" t="str">
        <f>IFERROR(__xludf.DUMMYFUNCTION("""COMPUTED_VALUE"""),"Resigned/Terminated")</f>
        <v>Resigned/Terminated</v>
      </c>
    </row>
    <row r="199">
      <c r="A199" s="228">
        <f>IFERROR(__xludf.DUMMYFUNCTION("""COMPUTED_VALUE"""),5072.0)</f>
        <v>5072</v>
      </c>
      <c r="B199" s="228" t="str">
        <f>IFERROR(__xludf.DUMMYFUNCTION("""COMPUTED_VALUE"""),"Syed Baqar Abbas")</f>
        <v>Syed Baqar Abbas</v>
      </c>
      <c r="C199" s="228" t="str">
        <f>IFERROR(__xludf.DUMMYFUNCTION("""COMPUTED_VALUE"""),"sabbas.bese20seecs@seecs.edu.pk")</f>
        <v>sabbas.bese20seecs@seecs.edu.pk</v>
      </c>
      <c r="D199" s="228"/>
      <c r="E199" s="730">
        <f>IFERROR(__xludf.DUMMYFUNCTION("""COMPUTED_VALUE"""),44807.0)</f>
        <v>44807</v>
      </c>
      <c r="F199" s="228" t="str">
        <f>IFERROR(__xludf.DUMMYFUNCTION("""COMPUTED_VALUE"""),"ML Intern")</f>
        <v>ML Intern</v>
      </c>
      <c r="G199" s="228" t="str">
        <f>IFERROR(__xludf.DUMMYFUNCTION("""COMPUTED_VALUE"""),"R&amp;D")</f>
        <v>R&amp;D</v>
      </c>
      <c r="H199" s="228" t="str">
        <f>IFERROR(__xludf.DUMMYFUNCTION("""COMPUTED_VALUE"""),"Abdullah")</f>
        <v>Abdullah</v>
      </c>
      <c r="I199" s="228" t="str">
        <f>IFERROR(__xludf.DUMMYFUNCTION("""COMPUTED_VALUE"""),"Intern")</f>
        <v>Intern</v>
      </c>
      <c r="J199" s="228"/>
      <c r="K199" s="228" t="str">
        <f>IFERROR(__xludf.DUMMYFUNCTION("""COMPUTED_VALUE"""),"3 M")</f>
        <v>3 M</v>
      </c>
      <c r="L199" s="228"/>
      <c r="M199" s="228"/>
      <c r="N199" s="228"/>
      <c r="O199" s="228"/>
      <c r="P199" s="228" t="str">
        <f>IFERROR(__xludf.DUMMYFUNCTION("""COMPUTED_VALUE"""),"03484187439")</f>
        <v>03484187439</v>
      </c>
      <c r="Q199" s="228" t="str">
        <f>IFERROR(__xludf.DUMMYFUNCTION("""COMPUTED_VALUE"""),"35202-6867338-5")</f>
        <v>35202-6867338-5</v>
      </c>
      <c r="R199" s="228" t="str">
        <f>IFERROR(__xludf.DUMMYFUNCTION("""COMPUTED_VALUE"""),"Male")</f>
        <v>Male</v>
      </c>
      <c r="S199" s="228" t="str">
        <f>IFERROR(__xludf.DUMMYFUNCTION("""COMPUTED_VALUE"""),"HBL")</f>
        <v>HBL</v>
      </c>
      <c r="T199" s="228"/>
      <c r="U199" s="228" t="str">
        <f>IFERROR(__xludf.DUMMYFUNCTION("""COMPUTED_VALUE"""),"22927917239203")</f>
        <v>22927917239203</v>
      </c>
      <c r="V199" s="228"/>
      <c r="W199" s="228"/>
      <c r="X199" s="228"/>
      <c r="Y199" s="730">
        <f>IFERROR(__xludf.DUMMYFUNCTION("""COMPUTED_VALUE"""),37153.0)</f>
        <v>37153</v>
      </c>
      <c r="Z199" s="228" t="str">
        <f>IFERROR(__xludf.DUMMYFUNCTION("""COMPUTED_VALUE"""),"23 Years")</f>
        <v>23 Years</v>
      </c>
      <c r="AA199" s="228" t="str">
        <f>IFERROR(__xludf.DUMMYFUNCTION("""COMPUTED_VALUE"""),"Ghazali Hostels, NUST, H12, Islamabad")</f>
        <v>Ghazali Hostels, NUST, H12, Islamabad</v>
      </c>
      <c r="AB199" s="228"/>
      <c r="AC199" s="228" t="str">
        <f>IFERROR(__xludf.DUMMYFUNCTION("""COMPUTED_VALUE"""),"Single")</f>
        <v>Single</v>
      </c>
      <c r="AD199" s="228"/>
      <c r="AE199" s="228"/>
      <c r="AF199" s="228"/>
      <c r="AG199" s="228" t="str">
        <f>IFERROR(__xludf.DUMMYFUNCTION("""COMPUTED_VALUE"""),"Syed Asif Abbas")</f>
        <v>Syed Asif Abbas</v>
      </c>
      <c r="AH199" s="228" t="str">
        <f>IFERROR(__xludf.DUMMYFUNCTION("""COMPUTED_VALUE"""),"Father")</f>
        <v>Father</v>
      </c>
      <c r="AI199" s="228" t="str">
        <f>IFERROR(__xludf.DUMMYFUNCTION("""COMPUTED_VALUE"""),"0333-4223387")</f>
        <v>0333-4223387</v>
      </c>
      <c r="AJ199" s="228" t="str">
        <f>IFERROR(__xludf.DUMMYFUNCTION("""COMPUTED_VALUE"""),"B-")</f>
        <v>B-</v>
      </c>
      <c r="AK199" s="731" t="str">
        <f>IFERROR(__xludf.DUMMYFUNCTION("""COMPUTED_VALUE"""),"https://www.linkedin.com/in/syedbaqarabbas/")</f>
        <v>https://www.linkedin.com/in/syedbaqarabbas/</v>
      </c>
      <c r="AL199" s="228"/>
      <c r="AM199" s="730">
        <f>IFERROR(__xludf.DUMMYFUNCTION("""COMPUTED_VALUE"""),44900.0)</f>
        <v>44900</v>
      </c>
      <c r="AN199" s="228"/>
      <c r="AO199" s="228"/>
      <c r="AP199" s="228" t="str">
        <f>IFERROR(__xludf.DUMMYFUNCTION("""COMPUTED_VALUE"""),"NO")</f>
        <v>NO</v>
      </c>
      <c r="AQ199" s="228" t="str">
        <f>IFERROR(__xludf.DUMMYFUNCTION("""COMPUTED_VALUE"""),"Resigned/Terminated")</f>
        <v>Resigned/Terminated</v>
      </c>
    </row>
    <row r="200">
      <c r="A200" s="228">
        <f>IFERROR(__xludf.DUMMYFUNCTION("""COMPUTED_VALUE"""),5031.0)</f>
        <v>5031</v>
      </c>
      <c r="B200" s="228" t="str">
        <f>IFERROR(__xludf.DUMMYFUNCTION("""COMPUTED_VALUE"""),"Abdul Hadi Bharara")</f>
        <v>Abdul Hadi Bharara</v>
      </c>
      <c r="C200" s="228" t="str">
        <f>IFERROR(__xludf.DUMMYFUNCTION("""COMPUTED_VALUE"""),"ahadi.bese17seecs@seecs.edu.pk")</f>
        <v>ahadi.bese17seecs@seecs.edu.pk</v>
      </c>
      <c r="D200" s="228"/>
      <c r="E200" s="730">
        <f>IFERROR(__xludf.DUMMYFUNCTION("""COMPUTED_VALUE"""),44375.0)</f>
        <v>44375</v>
      </c>
      <c r="F200" s="228" t="str">
        <f>IFERROR(__xludf.DUMMYFUNCTION("""COMPUTED_VALUE"""),"Software Engineer - R&amp;D")</f>
        <v>Software Engineer - R&amp;D</v>
      </c>
      <c r="G200" s="228" t="str">
        <f>IFERROR(__xludf.DUMMYFUNCTION("""COMPUTED_VALUE"""),"R&amp;D")</f>
        <v>R&amp;D</v>
      </c>
      <c r="H200" s="228" t="str">
        <f>IFERROR(__xludf.DUMMYFUNCTION("""COMPUTED_VALUE"""),"Z/A/A")</f>
        <v>Z/A/A</v>
      </c>
      <c r="I200" s="228" t="str">
        <f>IFERROR(__xludf.DUMMYFUNCTION("""COMPUTED_VALUE"""),"1 Year Min Contract from Jan-22")</f>
        <v>1 Year Min Contract from Jan-22</v>
      </c>
      <c r="J200" s="228"/>
      <c r="K200" s="228" t="str">
        <f>IFERROR(__xludf.DUMMYFUNCTION("""COMPUTED_VALUE"""),"2 M")</f>
        <v>2 M</v>
      </c>
      <c r="L200" s="228"/>
      <c r="M200" s="228"/>
      <c r="N200" s="228"/>
      <c r="O200" s="228"/>
      <c r="P200" s="228" t="str">
        <f>IFERROR(__xludf.DUMMYFUNCTION("""COMPUTED_VALUE"""),"03217719937")</f>
        <v>03217719937</v>
      </c>
      <c r="Q200" s="228" t="str">
        <f>IFERROR(__xludf.DUMMYFUNCTION("""COMPUTED_VALUE"""),"33100-2962164-9")</f>
        <v>33100-2962164-9</v>
      </c>
      <c r="R200" s="228" t="str">
        <f>IFERROR(__xludf.DUMMYFUNCTION("""COMPUTED_VALUE"""),"Male")</f>
        <v>Male</v>
      </c>
      <c r="S200" s="228" t="str">
        <f>IFERROR(__xludf.DUMMYFUNCTION("""COMPUTED_VALUE"""),"Meezan Bank")</f>
        <v>Meezan Bank</v>
      </c>
      <c r="T200" s="228"/>
      <c r="U200" s="228" t="str">
        <f>IFERROR(__xludf.DUMMYFUNCTION("""COMPUTED_VALUE"""),"04030104466322")</f>
        <v>04030104466322</v>
      </c>
      <c r="V200" s="228"/>
      <c r="W200" s="228"/>
      <c r="X200" s="228"/>
      <c r="Y200" s="730">
        <f>IFERROR(__xludf.DUMMYFUNCTION("""COMPUTED_VALUE"""),36718.0)</f>
        <v>36718</v>
      </c>
      <c r="Z200" s="228" t="str">
        <f>IFERROR(__xludf.DUMMYFUNCTION("""COMPUTED_VALUE"""),"24 Years")</f>
        <v>24 Years</v>
      </c>
      <c r="AA200" s="228" t="str">
        <f>IFERROR(__xludf.DUMMYFUNCTION("""COMPUTED_VALUE"""),"28 E , Tech Town , Satyana Road, Faisalabad")</f>
        <v>28 E , Tech Town , Satyana Road, Faisalabad</v>
      </c>
      <c r="AB200" s="228"/>
      <c r="AC200" s="228" t="str">
        <f>IFERROR(__xludf.DUMMYFUNCTION("""COMPUTED_VALUE"""),"SIngle")</f>
        <v>SIngle</v>
      </c>
      <c r="AD200" s="228"/>
      <c r="AE200" s="228"/>
      <c r="AF200" s="228"/>
      <c r="AG200" s="228" t="str">
        <f>IFERROR(__xludf.DUMMYFUNCTION("""COMPUTED_VALUE"""),"Irfan Ilyas")</f>
        <v>Irfan Ilyas</v>
      </c>
      <c r="AH200" s="228" t="str">
        <f>IFERROR(__xludf.DUMMYFUNCTION("""COMPUTED_VALUE"""),"Father")</f>
        <v>Father</v>
      </c>
      <c r="AI200" s="228" t="str">
        <f>IFERROR(__xludf.DUMMYFUNCTION("""COMPUTED_VALUE"""),"03227982222")</f>
        <v>03227982222</v>
      </c>
      <c r="AJ200" s="228" t="str">
        <f>IFERROR(__xludf.DUMMYFUNCTION("""COMPUTED_VALUE"""),"B+")</f>
        <v>B+</v>
      </c>
      <c r="AK200" s="731" t="str">
        <f>IFERROR(__xludf.DUMMYFUNCTION("""COMPUTED_VALUE"""),"https://www.linkedin.com/in/bharara/")</f>
        <v>https://www.linkedin.com/in/bharara/</v>
      </c>
      <c r="AL200" s="228"/>
      <c r="AM200" s="730">
        <f>IFERROR(__xludf.DUMMYFUNCTION("""COMPUTED_VALUE"""),44914.0)</f>
        <v>44914</v>
      </c>
      <c r="AN200" s="228"/>
      <c r="AO200" s="228"/>
      <c r="AP200" s="228" t="str">
        <f>IFERROR(__xludf.DUMMYFUNCTION("""COMPUTED_VALUE"""),"NO")</f>
        <v>NO</v>
      </c>
      <c r="AQ200" s="228" t="str">
        <f>IFERROR(__xludf.DUMMYFUNCTION("""COMPUTED_VALUE"""),"Resigned/Terminated")</f>
        <v>Resigned/Terminated</v>
      </c>
    </row>
    <row r="201">
      <c r="A201" s="228">
        <f>IFERROR(__xludf.DUMMYFUNCTION("""COMPUTED_VALUE"""),5074.0)</f>
        <v>5074</v>
      </c>
      <c r="B201" s="228" t="str">
        <f>IFERROR(__xludf.DUMMYFUNCTION("""COMPUTED_VALUE"""),"Joun Habib")</f>
        <v>Joun Habib</v>
      </c>
      <c r="C201" s="228" t="str">
        <f>IFERROR(__xludf.DUMMYFUNCTION("""COMPUTED_VALUE"""),"jounhabib.vyro.ai@gmail.com")</f>
        <v>jounhabib.vyro.ai@gmail.com</v>
      </c>
      <c r="D201" s="228"/>
      <c r="E201" s="730">
        <f>IFERROR(__xludf.DUMMYFUNCTION("""COMPUTED_VALUE"""),44809.0)</f>
        <v>44809</v>
      </c>
      <c r="F201" s="228" t="str">
        <f>IFERROR(__xludf.DUMMYFUNCTION("""COMPUTED_VALUE"""),"Associate Product Analyst")</f>
        <v>Associate Product Analyst</v>
      </c>
      <c r="G201" s="228" t="str">
        <f>IFERROR(__xludf.DUMMYFUNCTION("""COMPUTED_VALUE"""),"Design")</f>
        <v>Design</v>
      </c>
      <c r="H201" s="228" t="str">
        <f>IFERROR(__xludf.DUMMYFUNCTION("""COMPUTED_VALUE"""),"Abdullah")</f>
        <v>Abdullah</v>
      </c>
      <c r="I201" s="228" t="str">
        <f>IFERROR(__xludf.DUMMYFUNCTION("""COMPUTED_VALUE"""),"Permanent")</f>
        <v>Permanent</v>
      </c>
      <c r="J201" s="228"/>
      <c r="K201" s="228" t="str">
        <f>IFERROR(__xludf.DUMMYFUNCTION("""COMPUTED_VALUE"""),"2 M")</f>
        <v>2 M</v>
      </c>
      <c r="L201" s="228"/>
      <c r="M201" s="228"/>
      <c r="N201" s="228"/>
      <c r="O201" s="228"/>
      <c r="P201" s="228" t="str">
        <f>IFERROR(__xludf.DUMMYFUNCTION("""COMPUTED_VALUE"""),"03165586312")</f>
        <v>03165586312</v>
      </c>
      <c r="Q201" s="228" t="str">
        <f>IFERROR(__xludf.DUMMYFUNCTION("""COMPUTED_VALUE"""),"37201-3565083-3")</f>
        <v>37201-3565083-3</v>
      </c>
      <c r="R201" s="228" t="str">
        <f>IFERROR(__xludf.DUMMYFUNCTION("""COMPUTED_VALUE"""),"Male")</f>
        <v>Male</v>
      </c>
      <c r="S201" s="228" t="str">
        <f>IFERROR(__xludf.DUMMYFUNCTION("""COMPUTED_VALUE"""),"UBL")</f>
        <v>UBL</v>
      </c>
      <c r="T201" s="228"/>
      <c r="U201" s="228" t="str">
        <f>IFERROR(__xludf.DUMMYFUNCTION("""COMPUTED_VALUE"""),"1908257738644")</f>
        <v>1908257738644</v>
      </c>
      <c r="V201" s="228"/>
      <c r="W201" s="228"/>
      <c r="X201" s="228"/>
      <c r="Y201" s="730">
        <f>IFERROR(__xludf.DUMMYFUNCTION("""COMPUTED_VALUE"""),35308.0)</f>
        <v>35308</v>
      </c>
      <c r="Z201" s="228" t="str">
        <f>IFERROR(__xludf.DUMMYFUNCTION("""COMPUTED_VALUE"""),"28 Years")</f>
        <v>28 Years</v>
      </c>
      <c r="AA201" s="228" t="str">
        <f>IFERROR(__xludf.DUMMYFUNCTION("""COMPUTED_VALUE"""),"Main Talagang Road, Bhikari Kalam, Tehsil and District, Chakwal")</f>
        <v>Main Talagang Road, Bhikari Kalam, Tehsil and District, Chakwal</v>
      </c>
      <c r="AB201" s="228"/>
      <c r="AC201" s="228" t="str">
        <f>IFERROR(__xludf.DUMMYFUNCTION("""COMPUTED_VALUE"""),"Single")</f>
        <v>Single</v>
      </c>
      <c r="AD201" s="228"/>
      <c r="AE201" s="228"/>
      <c r="AF201" s="228"/>
      <c r="AG201" s="228" t="str">
        <f>IFERROR(__xludf.DUMMYFUNCTION("""COMPUTED_VALUE"""),"Nazar Abbas")</f>
        <v>Nazar Abbas</v>
      </c>
      <c r="AH201" s="228" t="str">
        <f>IFERROR(__xludf.DUMMYFUNCTION("""COMPUTED_VALUE"""),"Father")</f>
        <v>Father</v>
      </c>
      <c r="AI201" s="228" t="str">
        <f>IFERROR(__xludf.DUMMYFUNCTION("""COMPUTED_VALUE"""),"03035629385")</f>
        <v>03035629385</v>
      </c>
      <c r="AJ201" s="228"/>
      <c r="AK201" s="731" t="str">
        <f>IFERROR(__xludf.DUMMYFUNCTION("""COMPUTED_VALUE"""),"https://www.linkedin.com/in/joun-habib-14a3961a3/")</f>
        <v>https://www.linkedin.com/in/joun-habib-14a3961a3/</v>
      </c>
      <c r="AL201" s="228"/>
      <c r="AM201" s="730">
        <f>IFERROR(__xludf.DUMMYFUNCTION("""COMPUTED_VALUE"""),44953.0)</f>
        <v>44953</v>
      </c>
      <c r="AN201" s="228"/>
      <c r="AO201" s="228"/>
      <c r="AP201" s="228" t="str">
        <f>IFERROR(__xludf.DUMMYFUNCTION("""COMPUTED_VALUE"""),"NO")</f>
        <v>NO</v>
      </c>
      <c r="AQ201" s="228" t="str">
        <f>IFERROR(__xludf.DUMMYFUNCTION("""COMPUTED_VALUE"""),"Resigned/Terminated")</f>
        <v>Resigned/Terminated</v>
      </c>
    </row>
    <row r="202">
      <c r="A202" s="228">
        <f>IFERROR(__xludf.DUMMYFUNCTION("""COMPUTED_VALUE"""),5076.0)</f>
        <v>5076</v>
      </c>
      <c r="B202" s="228" t="str">
        <f>IFERROR(__xludf.DUMMYFUNCTION("""COMPUTED_VALUE"""),"Syed Murtaza Abbas")</f>
        <v>Syed Murtaza Abbas</v>
      </c>
      <c r="C202" s="228" t="str">
        <f>IFERROR(__xludf.DUMMYFUNCTION("""COMPUTED_VALUE"""),"murtazavyro@gmail.com")</f>
        <v>murtazavyro@gmail.com</v>
      </c>
      <c r="D202" s="228"/>
      <c r="E202" s="730">
        <f>IFERROR(__xludf.DUMMYFUNCTION("""COMPUTED_VALUE"""),44826.0)</f>
        <v>44826</v>
      </c>
      <c r="F202" s="228" t="str">
        <f>IFERROR(__xludf.DUMMYFUNCTION("""COMPUTED_VALUE"""),"Senior Unity Developer")</f>
        <v>Senior Unity Developer</v>
      </c>
      <c r="G202" s="228" t="str">
        <f>IFERROR(__xludf.DUMMYFUNCTION("""COMPUTED_VALUE"""),"Unity")</f>
        <v>Unity</v>
      </c>
      <c r="H202" s="228" t="str">
        <f>IFERROR(__xludf.DUMMYFUNCTION("""COMPUTED_VALUE"""),"Abdullah")</f>
        <v>Abdullah</v>
      </c>
      <c r="I202" s="228" t="str">
        <f>IFERROR(__xludf.DUMMYFUNCTION("""COMPUTED_VALUE"""),"Permanent")</f>
        <v>Permanent</v>
      </c>
      <c r="J202" s="228"/>
      <c r="K202" s="228" t="str">
        <f>IFERROR(__xludf.DUMMYFUNCTION("""COMPUTED_VALUE"""),"3 M")</f>
        <v>3 M</v>
      </c>
      <c r="L202" s="228"/>
      <c r="M202" s="228"/>
      <c r="N202" s="228"/>
      <c r="O202" s="228"/>
      <c r="P202" s="228" t="str">
        <f>IFERROR(__xludf.DUMMYFUNCTION("""COMPUTED_VALUE"""),"03335718189")</f>
        <v>03335718189</v>
      </c>
      <c r="Q202" s="228" t="str">
        <f>IFERROR(__xludf.DUMMYFUNCTION("""COMPUTED_VALUE"""),"61101-6803925-1")</f>
        <v>61101-6803925-1</v>
      </c>
      <c r="R202" s="228" t="str">
        <f>IFERROR(__xludf.DUMMYFUNCTION("""COMPUTED_VALUE"""),"Male")</f>
        <v>Male</v>
      </c>
      <c r="S202" s="228" t="str">
        <f>IFERROR(__xludf.DUMMYFUNCTION("""COMPUTED_VALUE"""),"Allied")</f>
        <v>Allied</v>
      </c>
      <c r="T202" s="228"/>
      <c r="U202" s="228" t="str">
        <f>IFERROR(__xludf.DUMMYFUNCTION("""COMPUTED_VALUE"""),"10540010075897070012")</f>
        <v>10540010075897070012</v>
      </c>
      <c r="V202" s="228"/>
      <c r="W202" s="228"/>
      <c r="X202" s="228"/>
      <c r="Y202" s="730">
        <f>IFERROR(__xludf.DUMMYFUNCTION("""COMPUTED_VALUE"""),33844.0)</f>
        <v>33844</v>
      </c>
      <c r="Z202" s="228" t="str">
        <f>IFERROR(__xludf.DUMMYFUNCTION("""COMPUTED_VALUE"""),"32 Years")</f>
        <v>32 Years</v>
      </c>
      <c r="AA202" s="228" t="str">
        <f>IFERROR(__xludf.DUMMYFUNCTION("""COMPUTED_VALUE"""),"House 1148, St 61, Sector G10/4 Islamabad")</f>
        <v>House 1148, St 61, Sector G10/4 Islamabad</v>
      </c>
      <c r="AB202" s="228"/>
      <c r="AC202" s="228" t="str">
        <f>IFERROR(__xludf.DUMMYFUNCTION("""COMPUTED_VALUE"""),"Married")</f>
        <v>Married</v>
      </c>
      <c r="AD202" s="228"/>
      <c r="AE202" s="228" t="str">
        <f>IFERROR(__xludf.DUMMYFUNCTION("""COMPUTED_VALUE"""),"Laraib Hamdani")</f>
        <v>Laraib Hamdani</v>
      </c>
      <c r="AF202" s="228"/>
      <c r="AG202" s="228" t="str">
        <f>IFERROR(__xludf.DUMMYFUNCTION("""COMPUTED_VALUE"""),"Syed Zulfiqar Ali")</f>
        <v>Syed Zulfiqar Ali</v>
      </c>
      <c r="AH202" s="228" t="str">
        <f>IFERROR(__xludf.DUMMYFUNCTION("""COMPUTED_VALUE"""),"Father")</f>
        <v>Father</v>
      </c>
      <c r="AI202" s="228" t="str">
        <f>IFERROR(__xludf.DUMMYFUNCTION("""COMPUTED_VALUE"""),"03005363261")</f>
        <v>03005363261</v>
      </c>
      <c r="AJ202" s="228" t="str">
        <f>IFERROR(__xludf.DUMMYFUNCTION("""COMPUTED_VALUE"""),"A+")</f>
        <v>A+</v>
      </c>
      <c r="AK202" s="731" t="str">
        <f>IFERROR(__xludf.DUMMYFUNCTION("""COMPUTED_VALUE"""),"https://www.linkedin.com/in/syed-murtaza-bokharee-8521116b/")</f>
        <v>https://www.linkedin.com/in/syed-murtaza-bokharee-8521116b/</v>
      </c>
      <c r="AL202" s="228"/>
      <c r="AM202" s="730">
        <f>IFERROR(__xludf.DUMMYFUNCTION("""COMPUTED_VALUE"""),44953.0)</f>
        <v>44953</v>
      </c>
      <c r="AN202" s="228"/>
      <c r="AO202" s="228"/>
      <c r="AP202" s="228" t="str">
        <f>IFERROR(__xludf.DUMMYFUNCTION("""COMPUTED_VALUE"""),"NO")</f>
        <v>NO</v>
      </c>
      <c r="AQ202" s="228" t="str">
        <f>IFERROR(__xludf.DUMMYFUNCTION("""COMPUTED_VALUE"""),"Resigned/Terminated")</f>
        <v>Resigned/Terminated</v>
      </c>
    </row>
    <row r="203">
      <c r="A203" s="228">
        <f>IFERROR(__xludf.DUMMYFUNCTION("""COMPUTED_VALUE"""),5077.0)</f>
        <v>5077</v>
      </c>
      <c r="B203" s="228" t="str">
        <f>IFERROR(__xludf.DUMMYFUNCTION("""COMPUTED_VALUE"""),"Muhammad Saad Tariq")</f>
        <v>Muhammad Saad Tariq</v>
      </c>
      <c r="C203" s="228" t="str">
        <f>IFERROR(__xludf.DUMMYFUNCTION("""COMPUTED_VALUE"""),"m16saad99@gmail.com")</f>
        <v>m16saad99@gmail.com</v>
      </c>
      <c r="D203" s="228"/>
      <c r="E203" s="730">
        <f>IFERROR(__xludf.DUMMYFUNCTION("""COMPUTED_VALUE"""),44840.0)</f>
        <v>44840</v>
      </c>
      <c r="F203" s="228" t="str">
        <f>IFERROR(__xludf.DUMMYFUNCTION("""COMPUTED_VALUE"""),"Business Analyst")</f>
        <v>Business Analyst</v>
      </c>
      <c r="G203" s="228" t="str">
        <f>IFERROR(__xludf.DUMMYFUNCTION("""COMPUTED_VALUE"""),"Business")</f>
        <v>Business</v>
      </c>
      <c r="H203" s="228" t="str">
        <f>IFERROR(__xludf.DUMMYFUNCTION("""COMPUTED_VALUE"""),"Ahmed")</f>
        <v>Ahmed</v>
      </c>
      <c r="I203" s="228" t="str">
        <f>IFERROR(__xludf.DUMMYFUNCTION("""COMPUTED_VALUE"""),"Permanent")</f>
        <v>Permanent</v>
      </c>
      <c r="J203" s="228"/>
      <c r="K203" s="228" t="str">
        <f>IFERROR(__xludf.DUMMYFUNCTION("""COMPUTED_VALUE"""),"3 M")</f>
        <v>3 M</v>
      </c>
      <c r="L203" s="228"/>
      <c r="M203" s="228"/>
      <c r="N203" s="228"/>
      <c r="O203" s="228"/>
      <c r="P203" s="228" t="str">
        <f>IFERROR(__xludf.DUMMYFUNCTION("""COMPUTED_VALUE"""),"03018569190")</f>
        <v>03018569190</v>
      </c>
      <c r="Q203" s="228" t="str">
        <f>IFERROR(__xludf.DUMMYFUNCTION("""COMPUTED_VALUE"""),"61101-0817777-7")</f>
        <v>61101-0817777-7</v>
      </c>
      <c r="R203" s="228" t="str">
        <f>IFERROR(__xludf.DUMMYFUNCTION("""COMPUTED_VALUE"""),"Male")</f>
        <v>Male</v>
      </c>
      <c r="S203" s="228" t="str">
        <f>IFERROR(__xludf.DUMMYFUNCTION("""COMPUTED_VALUE"""),"JS Bank")</f>
        <v>JS Bank</v>
      </c>
      <c r="T203" s="228"/>
      <c r="U203" s="228" t="str">
        <f>IFERROR(__xludf.DUMMYFUNCTION("""COMPUTED_VALUE"""),"PK32JSBL9003000001716527")</f>
        <v>PK32JSBL9003000001716527</v>
      </c>
      <c r="V203" s="228"/>
      <c r="W203" s="228"/>
      <c r="X203" s="228"/>
      <c r="Y203" s="730">
        <f>IFERROR(__xludf.DUMMYFUNCTION("""COMPUTED_VALUE"""),36207.0)</f>
        <v>36207</v>
      </c>
      <c r="Z203" s="228" t="str">
        <f>IFERROR(__xludf.DUMMYFUNCTION("""COMPUTED_VALUE"""),"26 Years")</f>
        <v>26 Years</v>
      </c>
      <c r="AA203" s="228" t="str">
        <f>IFERROR(__xludf.DUMMYFUNCTION("""COMPUTED_VALUE"""),"House no. 17, St 37, F7/1, Islamabad")</f>
        <v>House no. 17, St 37, F7/1, Islamabad</v>
      </c>
      <c r="AB203" s="228"/>
      <c r="AC203" s="228" t="str">
        <f>IFERROR(__xludf.DUMMYFUNCTION("""COMPUTED_VALUE"""),"Single")</f>
        <v>Single</v>
      </c>
      <c r="AD203" s="228"/>
      <c r="AE203" s="228"/>
      <c r="AF203" s="228"/>
      <c r="AG203" s="228" t="str">
        <f>IFERROR(__xludf.DUMMYFUNCTION("""COMPUTED_VALUE"""),"Chaudhry Tariq Mahmood")</f>
        <v>Chaudhry Tariq Mahmood</v>
      </c>
      <c r="AH203" s="228" t="str">
        <f>IFERROR(__xludf.DUMMYFUNCTION("""COMPUTED_VALUE"""),"Father")</f>
        <v>Father</v>
      </c>
      <c r="AI203" s="228" t="str">
        <f>IFERROR(__xludf.DUMMYFUNCTION("""COMPUTED_VALUE"""),"03008550938 (Mother's number)")</f>
        <v>03008550938 (Mother's number)</v>
      </c>
      <c r="AJ203" s="228" t="str">
        <f>IFERROR(__xludf.DUMMYFUNCTION("""COMPUTED_VALUE"""),"B+")</f>
        <v>B+</v>
      </c>
      <c r="AK203" s="731" t="str">
        <f>IFERROR(__xludf.DUMMYFUNCTION("""COMPUTED_VALUE"""),"https://www.linkedin.com/in/saad-tariq-751106117/")</f>
        <v>https://www.linkedin.com/in/saad-tariq-751106117/</v>
      </c>
      <c r="AL203" s="228"/>
      <c r="AM203" s="730">
        <f>IFERROR(__xludf.DUMMYFUNCTION("""COMPUTED_VALUE"""),44960.0)</f>
        <v>44960</v>
      </c>
      <c r="AN203" s="228"/>
      <c r="AO203" s="228"/>
      <c r="AP203" s="228" t="str">
        <f>IFERROR(__xludf.DUMMYFUNCTION("""COMPUTED_VALUE"""),"NO")</f>
        <v>NO</v>
      </c>
      <c r="AQ203" s="228" t="str">
        <f>IFERROR(__xludf.DUMMYFUNCTION("""COMPUTED_VALUE"""),"Resigned/Terminated")</f>
        <v>Resigned/Terminated</v>
      </c>
    </row>
    <row r="204">
      <c r="A204" s="228">
        <f>IFERROR(__xludf.DUMMYFUNCTION("""COMPUTED_VALUE"""),5059.0)</f>
        <v>5059</v>
      </c>
      <c r="B204" s="228" t="str">
        <f>IFERROR(__xludf.DUMMYFUNCTION("""COMPUTED_VALUE"""),"Muhammad Yaseen")</f>
        <v>Muhammad Yaseen</v>
      </c>
      <c r="C204" s="228" t="str">
        <f>IFERROR(__xludf.DUMMYFUNCTION("""COMPUTED_VALUE"""),"myaseenkhaan786@gmail.com")</f>
        <v>myaseenkhaan786@gmail.com</v>
      </c>
      <c r="D204" s="228"/>
      <c r="E204" s="730">
        <f>IFERROR(__xludf.DUMMYFUNCTION("""COMPUTED_VALUE"""),44734.0)</f>
        <v>44734</v>
      </c>
      <c r="F204" s="228" t="str">
        <f>IFERROR(__xludf.DUMMYFUNCTION("""COMPUTED_VALUE"""),"SQA Engineer")</f>
        <v>SQA Engineer</v>
      </c>
      <c r="G204" s="228" t="str">
        <f>IFERROR(__xludf.DUMMYFUNCTION("""COMPUTED_VALUE"""),"QA")</f>
        <v>QA</v>
      </c>
      <c r="H204" s="228" t="str">
        <f>IFERROR(__xludf.DUMMYFUNCTION("""COMPUTED_VALUE"""),"Abdullah")</f>
        <v>Abdullah</v>
      </c>
      <c r="I204" s="228" t="str">
        <f>IFERROR(__xludf.DUMMYFUNCTION("""COMPUTED_VALUE"""),"Permanent")</f>
        <v>Permanent</v>
      </c>
      <c r="J204" s="228"/>
      <c r="K204" s="228" t="str">
        <f>IFERROR(__xludf.DUMMYFUNCTION("""COMPUTED_VALUE"""),"3 M")</f>
        <v>3 M</v>
      </c>
      <c r="L204" s="228"/>
      <c r="M204" s="228"/>
      <c r="N204" s="228"/>
      <c r="O204" s="228"/>
      <c r="P204" s="228" t="str">
        <f>IFERROR(__xludf.DUMMYFUNCTION("""COMPUTED_VALUE"""),"0336 9491727")</f>
        <v>0336 9491727</v>
      </c>
      <c r="Q204" s="228" t="str">
        <f>IFERROR(__xludf.DUMMYFUNCTION("""COMPUTED_VALUE"""),"61101-3054398-5")</f>
        <v>61101-3054398-5</v>
      </c>
      <c r="R204" s="228" t="str">
        <f>IFERROR(__xludf.DUMMYFUNCTION("""COMPUTED_VALUE"""),"Male")</f>
        <v>Male</v>
      </c>
      <c r="S204" s="228" t="str">
        <f>IFERROR(__xludf.DUMMYFUNCTION("""COMPUTED_VALUE"""),"Allied")</f>
        <v>Allied</v>
      </c>
      <c r="T204" s="228"/>
      <c r="U204" s="228" t="str">
        <f>IFERROR(__xludf.DUMMYFUNCTION("""COMPUTED_VALUE"""),"07410010079025950017")</f>
        <v>07410010079025950017</v>
      </c>
      <c r="V204" s="228"/>
      <c r="W204" s="228"/>
      <c r="X204" s="228"/>
      <c r="Y204" s="730">
        <f>IFERROR(__xludf.DUMMYFUNCTION("""COMPUTED_VALUE"""),36065.0)</f>
        <v>36065</v>
      </c>
      <c r="Z204" s="228" t="str">
        <f>IFERROR(__xludf.DUMMYFUNCTION("""COMPUTED_VALUE"""),"26 Years")</f>
        <v>26 Years</v>
      </c>
      <c r="AA204" s="228" t="str">
        <f>IFERROR(__xludf.DUMMYFUNCTION("""COMPUTED_VALUE"""),"Flat no. 4, Block 7C, PHA, I-11, Islamabad")</f>
        <v>Flat no. 4, Block 7C, PHA, I-11, Islamabad</v>
      </c>
      <c r="AB204" s="228"/>
      <c r="AC204" s="228" t="str">
        <f>IFERROR(__xludf.DUMMYFUNCTION("""COMPUTED_VALUE"""),"Single")</f>
        <v>Single</v>
      </c>
      <c r="AD204" s="228"/>
      <c r="AE204" s="228"/>
      <c r="AF204" s="228"/>
      <c r="AG204" s="228" t="str">
        <f>IFERROR(__xludf.DUMMYFUNCTION("""COMPUTED_VALUE"""),"Fareed Ahmed")</f>
        <v>Fareed Ahmed</v>
      </c>
      <c r="AH204" s="228" t="str">
        <f>IFERROR(__xludf.DUMMYFUNCTION("""COMPUTED_VALUE"""),"Father")</f>
        <v>Father</v>
      </c>
      <c r="AI204" s="228" t="str">
        <f>IFERROR(__xludf.DUMMYFUNCTION("""COMPUTED_VALUE"""),"0335 9707339")</f>
        <v>0335 9707339</v>
      </c>
      <c r="AJ204" s="228" t="str">
        <f>IFERROR(__xludf.DUMMYFUNCTION("""COMPUTED_VALUE"""),"B+")</f>
        <v>B+</v>
      </c>
      <c r="AK204" s="731" t="str">
        <f>IFERROR(__xludf.DUMMYFUNCTION("""COMPUTED_VALUE"""),"https://www.linkedin.com/in/muhammad-yaseen-7127211a1")</f>
        <v>https://www.linkedin.com/in/muhammad-yaseen-7127211a1</v>
      </c>
      <c r="AL204" s="228"/>
      <c r="AM204" s="730">
        <f>IFERROR(__xludf.DUMMYFUNCTION("""COMPUTED_VALUE"""),44967.0)</f>
        <v>44967</v>
      </c>
      <c r="AN204" s="228"/>
      <c r="AO204" s="228"/>
      <c r="AP204" s="228" t="str">
        <f>IFERROR(__xludf.DUMMYFUNCTION("""COMPUTED_VALUE"""),"NO")</f>
        <v>NO</v>
      </c>
      <c r="AQ204" s="228" t="str">
        <f>IFERROR(__xludf.DUMMYFUNCTION("""COMPUTED_VALUE"""),"Resigned/Terminated")</f>
        <v>Resigned/Terminated</v>
      </c>
    </row>
    <row r="205">
      <c r="A205" s="228">
        <f>IFERROR(__xludf.DUMMYFUNCTION("""COMPUTED_VALUE"""),5009.0)</f>
        <v>5009</v>
      </c>
      <c r="B205" s="228" t="str">
        <f>IFERROR(__xludf.DUMMYFUNCTION("""COMPUTED_VALUE"""),"Mubarak Ali")</f>
        <v>Mubarak Ali</v>
      </c>
      <c r="C205" s="228" t="str">
        <f>IFERROR(__xludf.DUMMYFUNCTION("""COMPUTED_VALUE"""),"mubarakyvro@gmail.com")</f>
        <v>mubarakyvro@gmail.com</v>
      </c>
      <c r="D205" s="228"/>
      <c r="E205" s="730">
        <f>IFERROR(__xludf.DUMMYFUNCTION("""COMPUTED_VALUE"""),44277.0)</f>
        <v>44277</v>
      </c>
      <c r="F205" s="228" t="str">
        <f>IFERROR(__xludf.DUMMYFUNCTION("""COMPUTED_VALUE"""),"Android Developer")</f>
        <v>Android Developer</v>
      </c>
      <c r="G205" s="228" t="str">
        <f>IFERROR(__xludf.DUMMYFUNCTION("""COMPUTED_VALUE"""),"Android")</f>
        <v>Android</v>
      </c>
      <c r="H205" s="228"/>
      <c r="I205" s="228" t="str">
        <f>IFERROR(__xludf.DUMMYFUNCTION("""COMPUTED_VALUE"""),"Permanent")</f>
        <v>Permanent</v>
      </c>
      <c r="J205" s="228"/>
      <c r="K205" s="228" t="str">
        <f>IFERROR(__xludf.DUMMYFUNCTION("""COMPUTED_VALUE"""),"3 M")</f>
        <v>3 M</v>
      </c>
      <c r="L205" s="228"/>
      <c r="M205" s="228"/>
      <c r="N205" s="228"/>
      <c r="O205" s="228"/>
      <c r="P205" s="228" t="str">
        <f>IFERROR(__xludf.DUMMYFUNCTION("""COMPUTED_VALUE"""),"0315-6720018")</f>
        <v>0315-6720018</v>
      </c>
      <c r="Q205" s="228" t="str">
        <f>IFERROR(__xludf.DUMMYFUNCTION("""COMPUTED_VALUE"""),"71103-8842096-3")</f>
        <v>71103-8842096-3</v>
      </c>
      <c r="R205" s="228" t="str">
        <f>IFERROR(__xludf.DUMMYFUNCTION("""COMPUTED_VALUE"""),"Male")</f>
        <v>Male</v>
      </c>
      <c r="S205" s="228" t="str">
        <f>IFERROR(__xludf.DUMMYFUNCTION("""COMPUTED_VALUE"""),"Bank Al falah")</f>
        <v>Bank Al falah</v>
      </c>
      <c r="T205" s="228"/>
      <c r="U205" s="228" t="str">
        <f>IFERROR(__xludf.DUMMYFUNCTION("""COMPUTED_VALUE"""),"01481006599726")</f>
        <v>01481006599726</v>
      </c>
      <c r="V205" s="228"/>
      <c r="W205" s="228"/>
      <c r="X205" s="228"/>
      <c r="Y205" s="730">
        <f>IFERROR(__xludf.DUMMYFUNCTION("""COMPUTED_VALUE"""),33375.0)</f>
        <v>33375</v>
      </c>
      <c r="Z205" s="228" t="str">
        <f>IFERROR(__xludf.DUMMYFUNCTION("""COMPUTED_VALUE"""),"34 Years")</f>
        <v>34 Years</v>
      </c>
      <c r="AA205" s="228" t="str">
        <f>IFERROR(__xludf.DUMMYFUNCTION("""COMPUTED_VALUE"""),"Rizvia, Hussainabad, Skardu, Gilgit Baltistan")</f>
        <v>Rizvia, Hussainabad, Skardu, Gilgit Baltistan</v>
      </c>
      <c r="AB205" s="228"/>
      <c r="AC205" s="228" t="str">
        <f>IFERROR(__xludf.DUMMYFUNCTION("""COMPUTED_VALUE"""),"Married")</f>
        <v>Married</v>
      </c>
      <c r="AD205" s="228"/>
      <c r="AE205" s="228"/>
      <c r="AF205" s="228"/>
      <c r="AG205" s="228" t="str">
        <f>IFERROR(__xludf.DUMMYFUNCTION("""COMPUTED_VALUE"""),"Muhammad Hussain")</f>
        <v>Muhammad Hussain</v>
      </c>
      <c r="AH205" s="228" t="str">
        <f>IFERROR(__xludf.DUMMYFUNCTION("""COMPUTED_VALUE"""),"Father")</f>
        <v>Father</v>
      </c>
      <c r="AI205" s="228" t="str">
        <f>IFERROR(__xludf.DUMMYFUNCTION("""COMPUTED_VALUE"""),"0315-8483895")</f>
        <v>0315-8483895</v>
      </c>
      <c r="AJ205" s="228"/>
      <c r="AK205" s="228"/>
      <c r="AL205" s="228"/>
      <c r="AM205" s="730">
        <f>IFERROR(__xludf.DUMMYFUNCTION("""COMPUTED_VALUE"""),44970.0)</f>
        <v>44970</v>
      </c>
      <c r="AN205" s="228"/>
      <c r="AO205" s="228"/>
      <c r="AP205" s="228" t="str">
        <f>IFERROR(__xludf.DUMMYFUNCTION("""COMPUTED_VALUE"""),"NO")</f>
        <v>NO</v>
      </c>
      <c r="AQ205" s="228" t="str">
        <f>IFERROR(__xludf.DUMMYFUNCTION("""COMPUTED_VALUE"""),"Resigned/Terminated")</f>
        <v>Resigned/Terminated</v>
      </c>
    </row>
    <row r="206">
      <c r="A206" s="228">
        <f>IFERROR(__xludf.DUMMYFUNCTION("""COMPUTED_VALUE"""),5079.0)</f>
        <v>5079</v>
      </c>
      <c r="B206" s="228" t="str">
        <f>IFERROR(__xludf.DUMMYFUNCTION("""COMPUTED_VALUE"""),"Abdullah Ahmad")</f>
        <v>Abdullah Ahmad</v>
      </c>
      <c r="C206" s="228" t="str">
        <f>IFERROR(__xludf.DUMMYFUNCTION("""COMPUTED_VALUE"""),"abdullah.16558@gmail.com")</f>
        <v>abdullah.16558@gmail.com</v>
      </c>
      <c r="D206" s="228"/>
      <c r="E206" s="730">
        <f>IFERROR(__xludf.DUMMYFUNCTION("""COMPUTED_VALUE"""),44858.0)</f>
        <v>44858</v>
      </c>
      <c r="F206" s="228" t="str">
        <f>IFERROR(__xludf.DUMMYFUNCTION("""COMPUTED_VALUE"""),"Visual Designer")</f>
        <v>Visual Designer</v>
      </c>
      <c r="G206" s="228" t="str">
        <f>IFERROR(__xludf.DUMMYFUNCTION("""COMPUTED_VALUE"""),"Design")</f>
        <v>Design</v>
      </c>
      <c r="H206" s="228" t="str">
        <f>IFERROR(__xludf.DUMMYFUNCTION("""COMPUTED_VALUE"""),"Abdullah")</f>
        <v>Abdullah</v>
      </c>
      <c r="I206" s="228" t="str">
        <f>IFERROR(__xludf.DUMMYFUNCTION("""COMPUTED_VALUE"""),"Permanent")</f>
        <v>Permanent</v>
      </c>
      <c r="J206" s="228"/>
      <c r="K206" s="228" t="str">
        <f>IFERROR(__xludf.DUMMYFUNCTION("""COMPUTED_VALUE"""),"3 M")</f>
        <v>3 M</v>
      </c>
      <c r="L206" s="228"/>
      <c r="M206" s="228"/>
      <c r="N206" s="228"/>
      <c r="O206" s="228"/>
      <c r="P206" s="228" t="str">
        <f>IFERROR(__xludf.DUMMYFUNCTION("""COMPUTED_VALUE"""),"03214656904")</f>
        <v>03214656904</v>
      </c>
      <c r="Q206" s="228" t="str">
        <f>IFERROR(__xludf.DUMMYFUNCTION("""COMPUTED_VALUE"""),"33102-7729638-3")</f>
        <v>33102-7729638-3</v>
      </c>
      <c r="R206" s="228" t="str">
        <f>IFERROR(__xludf.DUMMYFUNCTION("""COMPUTED_VALUE"""),"Male")</f>
        <v>Male</v>
      </c>
      <c r="S206" s="228" t="str">
        <f>IFERROR(__xludf.DUMMYFUNCTION("""COMPUTED_VALUE"""),"Meezan Bank")</f>
        <v>Meezan Bank</v>
      </c>
      <c r="T206" s="228"/>
      <c r="U206" s="228" t="str">
        <f>IFERROR(__xludf.DUMMYFUNCTION("""COMPUTED_VALUE"""),"02840103920250")</f>
        <v>02840103920250</v>
      </c>
      <c r="V206" s="228"/>
      <c r="W206" s="228"/>
      <c r="X206" s="228"/>
      <c r="Y206" s="730">
        <f>IFERROR(__xludf.DUMMYFUNCTION("""COMPUTED_VALUE"""),36729.0)</f>
        <v>36729</v>
      </c>
      <c r="Z206" s="228" t="str">
        <f>IFERROR(__xludf.DUMMYFUNCTION("""COMPUTED_VALUE"""),"24 Years")</f>
        <v>24 Years</v>
      </c>
      <c r="AA206" s="228" t="str">
        <f>IFERROR(__xludf.DUMMYFUNCTION("""COMPUTED_VALUE"""),"H-13, Islamabad")</f>
        <v>H-13, Islamabad</v>
      </c>
      <c r="AB206" s="228"/>
      <c r="AC206" s="228" t="str">
        <f>IFERROR(__xludf.DUMMYFUNCTION("""COMPUTED_VALUE"""),"Single")</f>
        <v>Single</v>
      </c>
      <c r="AD206" s="228"/>
      <c r="AE206" s="228"/>
      <c r="AF206" s="228"/>
      <c r="AG206" s="228" t="str">
        <f>IFERROR(__xludf.DUMMYFUNCTION("""COMPUTED_VALUE"""),"Zafar Ahmad")</f>
        <v>Zafar Ahmad</v>
      </c>
      <c r="AH206" s="228" t="str">
        <f>IFERROR(__xludf.DUMMYFUNCTION("""COMPUTED_VALUE"""),"Father")</f>
        <v>Father</v>
      </c>
      <c r="AI206" s="228" t="str">
        <f>IFERROR(__xludf.DUMMYFUNCTION("""COMPUTED_VALUE"""),"03029182339")</f>
        <v>03029182339</v>
      </c>
      <c r="AJ206" s="228" t="str">
        <f>IFERROR(__xludf.DUMMYFUNCTION("""COMPUTED_VALUE"""),"O+")</f>
        <v>O+</v>
      </c>
      <c r="AK206" s="731" t="str">
        <f>IFERROR(__xludf.DUMMYFUNCTION("""COMPUTED_VALUE"""),"https://www.linkedin.com/in/abdullah-ahmad-grapfic-designer/")</f>
        <v>https://www.linkedin.com/in/abdullah-ahmad-grapfic-designer/</v>
      </c>
      <c r="AL206" s="228"/>
      <c r="AM206" s="730">
        <f>IFERROR(__xludf.DUMMYFUNCTION("""COMPUTED_VALUE"""),44985.0)</f>
        <v>44985</v>
      </c>
      <c r="AN206" s="228"/>
      <c r="AO206" s="228"/>
      <c r="AP206" s="228" t="str">
        <f>IFERROR(__xludf.DUMMYFUNCTION("""COMPUTED_VALUE"""),"NO")</f>
        <v>NO</v>
      </c>
      <c r="AQ206" s="228" t="str">
        <f>IFERROR(__xludf.DUMMYFUNCTION("""COMPUTED_VALUE"""),"Resigned/Terminated")</f>
        <v>Resigned/Terminated</v>
      </c>
    </row>
    <row r="207">
      <c r="A207" s="228">
        <f>IFERROR(__xludf.DUMMYFUNCTION("""COMPUTED_VALUE"""),5093.0)</f>
        <v>5093</v>
      </c>
      <c r="B207" s="228" t="str">
        <f>IFERROR(__xludf.DUMMYFUNCTION("""COMPUTED_VALUE"""),"Shehroz Habib")</f>
        <v>Shehroz Habib</v>
      </c>
      <c r="C207" s="228" t="str">
        <f>IFERROR(__xludf.DUMMYFUNCTION("""COMPUTED_VALUE"""),"sheri42242@gmail.com")</f>
        <v>sheri42242@gmail.com</v>
      </c>
      <c r="D207" s="228"/>
      <c r="E207" s="730">
        <f>IFERROR(__xludf.DUMMYFUNCTION("""COMPUTED_VALUE"""),44922.0)</f>
        <v>44922</v>
      </c>
      <c r="F207" s="228" t="str">
        <f>IFERROR(__xludf.DUMMYFUNCTION("""COMPUTED_VALUE"""),"Motion Graphic Designer Intern")</f>
        <v>Motion Graphic Designer Intern</v>
      </c>
      <c r="G207" s="228" t="str">
        <f>IFERROR(__xludf.DUMMYFUNCTION("""COMPUTED_VALUE"""),"Marketing")</f>
        <v>Marketing</v>
      </c>
      <c r="H207" s="228" t="str">
        <f>IFERROR(__xludf.DUMMYFUNCTION("""COMPUTED_VALUE"""),"Abdullah")</f>
        <v>Abdullah</v>
      </c>
      <c r="I207" s="228" t="str">
        <f>IFERROR(__xludf.DUMMYFUNCTION("""COMPUTED_VALUE"""),"Intern (1 M)")</f>
        <v>Intern (1 M)</v>
      </c>
      <c r="J207" s="228"/>
      <c r="K207" s="228" t="str">
        <f>IFERROR(__xludf.DUMMYFUNCTION("""COMPUTED_VALUE"""),"2 M")</f>
        <v>2 M</v>
      </c>
      <c r="L207" s="228"/>
      <c r="M207" s="228"/>
      <c r="N207" s="228"/>
      <c r="O207" s="228"/>
      <c r="P207" s="228" t="str">
        <f>IFERROR(__xludf.DUMMYFUNCTION("""COMPUTED_VALUE"""),"03376284382")</f>
        <v>03376284382</v>
      </c>
      <c r="Q207" s="228" t="str">
        <f>IFERROR(__xludf.DUMMYFUNCTION("""COMPUTED_VALUE"""),"33100-2498572-7")</f>
        <v>33100-2498572-7</v>
      </c>
      <c r="R207" s="228" t="str">
        <f>IFERROR(__xludf.DUMMYFUNCTION("""COMPUTED_VALUE"""),"Male")</f>
        <v>Male</v>
      </c>
      <c r="S207" s="228" t="str">
        <f>IFERROR(__xludf.DUMMYFUNCTION("""COMPUTED_VALUE"""),"NayaPay")</f>
        <v>NayaPay</v>
      </c>
      <c r="T207" s="228"/>
      <c r="U207" s="228" t="str">
        <f>IFERROR(__xludf.DUMMYFUNCTION("""COMPUTED_VALUE"""),"03376284382")</f>
        <v>03376284382</v>
      </c>
      <c r="V207" s="228"/>
      <c r="W207" s="228"/>
      <c r="X207" s="228"/>
      <c r="Y207" s="730">
        <f>IFERROR(__xludf.DUMMYFUNCTION("""COMPUTED_VALUE"""),37024.0)</f>
        <v>37024</v>
      </c>
      <c r="Z207" s="228" t="str">
        <f>IFERROR(__xludf.DUMMYFUNCTION("""COMPUTED_VALUE"""),"24 Years")</f>
        <v>24 Years</v>
      </c>
      <c r="AA207" s="228" t="str">
        <f>IFERROR(__xludf.DUMMYFUNCTION("""COMPUTED_VALUE"""),"H-16/A, Jinnah Street, Caltex Rd, RWP")</f>
        <v>H-16/A, Jinnah Street, Caltex Rd, RWP</v>
      </c>
      <c r="AB207" s="228"/>
      <c r="AC207" s="228" t="str">
        <f>IFERROR(__xludf.DUMMYFUNCTION("""COMPUTED_VALUE"""),"Single")</f>
        <v>Single</v>
      </c>
      <c r="AD207" s="228"/>
      <c r="AE207" s="228"/>
      <c r="AF207" s="228"/>
      <c r="AG207" s="228" t="str">
        <f>IFERROR(__xludf.DUMMYFUNCTION("""COMPUTED_VALUE"""),"Muhammad Habib Lodhi")</f>
        <v>Muhammad Habib Lodhi</v>
      </c>
      <c r="AH207" s="228" t="str">
        <f>IFERROR(__xludf.DUMMYFUNCTION("""COMPUTED_VALUE"""),"Father")</f>
        <v>Father</v>
      </c>
      <c r="AI207" s="228" t="str">
        <f>IFERROR(__xludf.DUMMYFUNCTION("""COMPUTED_VALUE"""),"03216613143")</f>
        <v>03216613143</v>
      </c>
      <c r="AJ207" s="228"/>
      <c r="AK207" s="731" t="str">
        <f>IFERROR(__xludf.DUMMYFUNCTION("""COMPUTED_VALUE"""),"https://www.linkedin.com/in/muhammad-shehroz-habib-817a15240/")</f>
        <v>https://www.linkedin.com/in/muhammad-shehroz-habib-817a15240/</v>
      </c>
      <c r="AL207" s="228"/>
      <c r="AM207" s="730">
        <f>IFERROR(__xludf.DUMMYFUNCTION("""COMPUTED_VALUE"""),44985.0)</f>
        <v>44985</v>
      </c>
      <c r="AN207" s="228"/>
      <c r="AO207" s="228"/>
      <c r="AP207" s="228" t="str">
        <f>IFERROR(__xludf.DUMMYFUNCTION("""COMPUTED_VALUE"""),"NO")</f>
        <v>NO</v>
      </c>
      <c r="AQ207" s="228" t="str">
        <f>IFERROR(__xludf.DUMMYFUNCTION("""COMPUTED_VALUE"""),"Resigned/Terminated")</f>
        <v>Resigned/Terminated</v>
      </c>
    </row>
    <row r="208">
      <c r="A208" s="228">
        <f>IFERROR(__xludf.DUMMYFUNCTION("""COMPUTED_VALUE"""),5056.0)</f>
        <v>5056</v>
      </c>
      <c r="B208" s="228" t="str">
        <f>IFERROR(__xludf.DUMMYFUNCTION("""COMPUTED_VALUE"""),"Saeed Younus")</f>
        <v>Saeed Younus</v>
      </c>
      <c r="C208" s="228" t="str">
        <f>IFERROR(__xludf.DUMMYFUNCTION("""COMPUTED_VALUE"""),"sendtosaeed2@gmail.com")</f>
        <v>sendtosaeed2@gmail.com</v>
      </c>
      <c r="D208" s="228"/>
      <c r="E208" s="730">
        <f>IFERROR(__xludf.DUMMYFUNCTION("""COMPUTED_VALUE"""),44621.0)</f>
        <v>44621</v>
      </c>
      <c r="F208" s="228" t="str">
        <f>IFERROR(__xludf.DUMMYFUNCTION("""COMPUTED_VALUE"""),"Senior Android Developer")</f>
        <v>Senior Android Developer</v>
      </c>
      <c r="G208" s="228" t="str">
        <f>IFERROR(__xludf.DUMMYFUNCTION("""COMPUTED_VALUE"""),"Android")</f>
        <v>Android</v>
      </c>
      <c r="H208" s="228" t="str">
        <f>IFERROR(__xludf.DUMMYFUNCTION("""COMPUTED_VALUE"""),"Shaheer")</f>
        <v>Shaheer</v>
      </c>
      <c r="I208" s="228" t="str">
        <f>IFERROR(__xludf.DUMMYFUNCTION("""COMPUTED_VALUE"""),"Permanent")</f>
        <v>Permanent</v>
      </c>
      <c r="J208" s="228"/>
      <c r="K208" s="228" t="str">
        <f>IFERROR(__xludf.DUMMYFUNCTION("""COMPUTED_VALUE"""),"-")</f>
        <v>-</v>
      </c>
      <c r="L208" s="228"/>
      <c r="M208" s="228"/>
      <c r="N208" s="228"/>
      <c r="O208" s="228"/>
      <c r="P208" s="228" t="str">
        <f>IFERROR(__xludf.DUMMYFUNCTION("""COMPUTED_VALUE"""),"0336 3392513")</f>
        <v>0336 3392513</v>
      </c>
      <c r="Q208" s="228" t="str">
        <f>IFERROR(__xludf.DUMMYFUNCTION("""COMPUTED_VALUE"""),"42101-5670457-5")</f>
        <v>42101-5670457-5</v>
      </c>
      <c r="R208" s="228" t="str">
        <f>IFERROR(__xludf.DUMMYFUNCTION("""COMPUTED_VALUE"""),"Male")</f>
        <v>Male</v>
      </c>
      <c r="S208" s="228" t="str">
        <f>IFERROR(__xludf.DUMMYFUNCTION("""COMPUTED_VALUE"""),"Standard Chartered")</f>
        <v>Standard Chartered</v>
      </c>
      <c r="T208" s="228"/>
      <c r="U208" s="228" t="str">
        <f>IFERROR(__xludf.DUMMYFUNCTION("""COMPUTED_VALUE"""),"PK91SCBL0000001725121201")</f>
        <v>PK91SCBL0000001725121201</v>
      </c>
      <c r="V208" s="228"/>
      <c r="W208" s="228"/>
      <c r="X208" s="228"/>
      <c r="Y208" s="730">
        <f>IFERROR(__xludf.DUMMYFUNCTION("""COMPUTED_VALUE"""),35172.0)</f>
        <v>35172</v>
      </c>
      <c r="Z208" s="228" t="str">
        <f>IFERROR(__xludf.DUMMYFUNCTION("""COMPUTED_VALUE"""),"29 Years")</f>
        <v>29 Years</v>
      </c>
      <c r="AA208" s="228" t="str">
        <f>IFERROR(__xludf.DUMMYFUNCTION("""COMPUTED_VALUE"""),"Flat no. B4L2, AL Badar Square, Nazimabad No. 4, Karachi")</f>
        <v>Flat no. B4L2, AL Badar Square, Nazimabad No. 4, Karachi</v>
      </c>
      <c r="AB208" s="228"/>
      <c r="AC208" s="228" t="str">
        <f>IFERROR(__xludf.DUMMYFUNCTION("""COMPUTED_VALUE"""),"Single")</f>
        <v>Single</v>
      </c>
      <c r="AD208" s="228"/>
      <c r="AE208" s="228"/>
      <c r="AF208" s="228"/>
      <c r="AG208" s="228" t="str">
        <f>IFERROR(__xludf.DUMMYFUNCTION("""COMPUTED_VALUE"""),"Muhammad Younus")</f>
        <v>Muhammad Younus</v>
      </c>
      <c r="AH208" s="228" t="str">
        <f>IFERROR(__xludf.DUMMYFUNCTION("""COMPUTED_VALUE"""),"Father")</f>
        <v>Father</v>
      </c>
      <c r="AI208" s="228" t="str">
        <f>IFERROR(__xludf.DUMMYFUNCTION("""COMPUTED_VALUE"""),"0321 3428957")</f>
        <v>0321 3428957</v>
      </c>
      <c r="AJ208" s="228"/>
      <c r="AK208" s="731" t="str">
        <f>IFERROR(__xludf.DUMMYFUNCTION("""COMPUTED_VALUE"""),"https://www.linkedin.com/in/muhammad-saeed-younus/")</f>
        <v>https://www.linkedin.com/in/muhammad-saeed-younus/</v>
      </c>
      <c r="AL208" s="228"/>
      <c r="AM208" s="730">
        <f>IFERROR(__xludf.DUMMYFUNCTION("""COMPUTED_VALUE"""),44988.0)</f>
        <v>44988</v>
      </c>
      <c r="AN208" s="228"/>
      <c r="AO208" s="228"/>
      <c r="AP208" s="228" t="str">
        <f>IFERROR(__xludf.DUMMYFUNCTION("""COMPUTED_VALUE"""),"NO")</f>
        <v>NO</v>
      </c>
      <c r="AQ208" s="228" t="str">
        <f>IFERROR(__xludf.DUMMYFUNCTION("""COMPUTED_VALUE"""),"Resigned/Terminated")</f>
        <v>Resigned/Terminated</v>
      </c>
    </row>
    <row r="209">
      <c r="A209" s="228">
        <f>IFERROR(__xludf.DUMMYFUNCTION("""COMPUTED_VALUE"""),5050.0)</f>
        <v>5050</v>
      </c>
      <c r="B209" s="228" t="str">
        <f>IFERROR(__xludf.DUMMYFUNCTION("""COMPUTED_VALUE"""),"Saim Ali")</f>
        <v>Saim Ali</v>
      </c>
      <c r="C209" s="228" t="str">
        <f>IFERROR(__xludf.DUMMYFUNCTION("""COMPUTED_VALUE"""),"saimali230397@gmail.com")</f>
        <v>saimali230397@gmail.com</v>
      </c>
      <c r="D209" s="228"/>
      <c r="E209" s="730">
        <f>IFERROR(__xludf.DUMMYFUNCTION("""COMPUTED_VALUE"""),44516.0)</f>
        <v>44516</v>
      </c>
      <c r="F209" s="228" t="str">
        <f>IFERROR(__xludf.DUMMYFUNCTION("""COMPUTED_VALUE"""),"Senior Machine Learning Engineer")</f>
        <v>Senior Machine Learning Engineer</v>
      </c>
      <c r="G209" s="228" t="str">
        <f>IFERROR(__xludf.DUMMYFUNCTION("""COMPUTED_VALUE"""),"R&amp;D")</f>
        <v>R&amp;D</v>
      </c>
      <c r="H209" s="228" t="str">
        <f>IFERROR(__xludf.DUMMYFUNCTION("""COMPUTED_VALUE"""),"Abdullah")</f>
        <v>Abdullah</v>
      </c>
      <c r="I209" s="228" t="str">
        <f>IFERROR(__xludf.DUMMYFUNCTION("""COMPUTED_VALUE"""),"Permanent")</f>
        <v>Permanent</v>
      </c>
      <c r="J209" s="228"/>
      <c r="K209" s="228" t="str">
        <f>IFERROR(__xludf.DUMMYFUNCTION("""COMPUTED_VALUE"""),"3 M")</f>
        <v>3 M</v>
      </c>
      <c r="L209" s="228"/>
      <c r="M209" s="228"/>
      <c r="N209" s="228"/>
      <c r="O209" s="228"/>
      <c r="P209" s="228" t="str">
        <f>IFERROR(__xludf.DUMMYFUNCTION("""COMPUTED_VALUE"""),"03121433480")</f>
        <v>03121433480</v>
      </c>
      <c r="Q209" s="228" t="str">
        <f>IFERROR(__xludf.DUMMYFUNCTION("""COMPUTED_VALUE"""),"33102-9230411-3")</f>
        <v>33102-9230411-3</v>
      </c>
      <c r="R209" s="228" t="str">
        <f>IFERROR(__xludf.DUMMYFUNCTION("""COMPUTED_VALUE"""),"Male")</f>
        <v>Male</v>
      </c>
      <c r="S209" s="228" t="str">
        <f>IFERROR(__xludf.DUMMYFUNCTION("""COMPUTED_VALUE"""),"HBL")</f>
        <v>HBL</v>
      </c>
      <c r="T209" s="228"/>
      <c r="U209" s="228" t="str">
        <f>IFERROR(__xludf.DUMMYFUNCTION("""COMPUTED_VALUE"""),"18587901498903")</f>
        <v>18587901498903</v>
      </c>
      <c r="V209" s="228"/>
      <c r="W209" s="228"/>
      <c r="X209" s="228"/>
      <c r="Y209" s="730">
        <f>IFERROR(__xludf.DUMMYFUNCTION("""COMPUTED_VALUE"""),35603.0)</f>
        <v>35603</v>
      </c>
      <c r="Z209" s="228" t="str">
        <f>IFERROR(__xludf.DUMMYFUNCTION("""COMPUTED_VALUE"""),"28 Years")</f>
        <v>28 Years</v>
      </c>
      <c r="AA209" s="228" t="str">
        <f>IFERROR(__xludf.DUMMYFUNCTION("""COMPUTED_VALUE"""),"House no. E57/61R , Near Bhatta Chowk, Badia Road, Lahore")</f>
        <v>House no. E57/61R , Near Bhatta Chowk, Badia Road, Lahore</v>
      </c>
      <c r="AB209" s="228"/>
      <c r="AC209" s="228" t="str">
        <f>IFERROR(__xludf.DUMMYFUNCTION("""COMPUTED_VALUE"""),"Single")</f>
        <v>Single</v>
      </c>
      <c r="AD209" s="228"/>
      <c r="AE209" s="228"/>
      <c r="AF209" s="228"/>
      <c r="AG209" s="228" t="str">
        <f>IFERROR(__xludf.DUMMYFUNCTION("""COMPUTED_VALUE"""),"Mohammad Salim")</f>
        <v>Mohammad Salim</v>
      </c>
      <c r="AH209" s="228" t="str">
        <f>IFERROR(__xludf.DUMMYFUNCTION("""COMPUTED_VALUE"""),"Father")</f>
        <v>Father</v>
      </c>
      <c r="AI209" s="228" t="str">
        <f>IFERROR(__xludf.DUMMYFUNCTION("""COMPUTED_VALUE"""),"03063968417")</f>
        <v>03063968417</v>
      </c>
      <c r="AJ209" s="228" t="str">
        <f>IFERROR(__xludf.DUMMYFUNCTION("""COMPUTED_VALUE"""),"A+")</f>
        <v>A+</v>
      </c>
      <c r="AK209" s="731" t="str">
        <f>IFERROR(__xludf.DUMMYFUNCTION("""COMPUTED_VALUE"""),"https://www.linkedin.com/in/saim-ali-2303/")</f>
        <v>https://www.linkedin.com/in/saim-ali-2303/</v>
      </c>
      <c r="AL209" s="228"/>
      <c r="AM209" s="730">
        <f>IFERROR(__xludf.DUMMYFUNCTION("""COMPUTED_VALUE"""),44988.0)</f>
        <v>44988</v>
      </c>
      <c r="AN209" s="228"/>
      <c r="AO209" s="228"/>
      <c r="AP209" s="228" t="str">
        <f>IFERROR(__xludf.DUMMYFUNCTION("""COMPUTED_VALUE"""),"NO")</f>
        <v>NO</v>
      </c>
      <c r="AQ209" s="228" t="str">
        <f>IFERROR(__xludf.DUMMYFUNCTION("""COMPUTED_VALUE"""),"Resigned/Terminated")</f>
        <v>Resigned/Terminated</v>
      </c>
    </row>
    <row r="210">
      <c r="A210" s="228">
        <f>IFERROR(__xludf.DUMMYFUNCTION("""COMPUTED_VALUE"""),5081.0)</f>
        <v>5081</v>
      </c>
      <c r="B210" s="228" t="str">
        <f>IFERROR(__xludf.DUMMYFUNCTION("""COMPUTED_VALUE"""),"Maheen Chowhan")</f>
        <v>Maheen Chowhan</v>
      </c>
      <c r="C210" s="228" t="str">
        <f>IFERROR(__xludf.DUMMYFUNCTION("""COMPUTED_VALUE"""),"maheenchowhan26@gmail.com")</f>
        <v>maheenchowhan26@gmail.com</v>
      </c>
      <c r="D210" s="228"/>
      <c r="E210" s="730">
        <f>IFERROR(__xludf.DUMMYFUNCTION("""COMPUTED_VALUE"""),44865.0)</f>
        <v>44865</v>
      </c>
      <c r="F210" s="228" t="str">
        <f>IFERROR(__xludf.DUMMYFUNCTION("""COMPUTED_VALUE"""),"Marketing Executive")</f>
        <v>Marketing Executive</v>
      </c>
      <c r="G210" s="228" t="str">
        <f>IFERROR(__xludf.DUMMYFUNCTION("""COMPUTED_VALUE"""),"marketing")</f>
        <v>marketing</v>
      </c>
      <c r="H210" s="228" t="str">
        <f>IFERROR(__xludf.DUMMYFUNCTION("""COMPUTED_VALUE"""),"Ahmed")</f>
        <v>Ahmed</v>
      </c>
      <c r="I210" s="228" t="str">
        <f>IFERROR(__xludf.DUMMYFUNCTION("""COMPUTED_VALUE"""),"Permanent")</f>
        <v>Permanent</v>
      </c>
      <c r="J210" s="228"/>
      <c r="K210" s="228" t="str">
        <f>IFERROR(__xludf.DUMMYFUNCTION("""COMPUTED_VALUE"""),"3 M")</f>
        <v>3 M</v>
      </c>
      <c r="L210" s="228"/>
      <c r="M210" s="228"/>
      <c r="N210" s="228"/>
      <c r="O210" s="228"/>
      <c r="P210" s="228" t="str">
        <f>IFERROR(__xludf.DUMMYFUNCTION("""COMPUTED_VALUE"""),"03321118533 / 03354458533")</f>
        <v>03321118533 / 03354458533</v>
      </c>
      <c r="Q210" s="228" t="str">
        <f>IFERROR(__xludf.DUMMYFUNCTION("""COMPUTED_VALUE"""),"37405-0219666-2")</f>
        <v>37405-0219666-2</v>
      </c>
      <c r="R210" s="228" t="str">
        <f>IFERROR(__xludf.DUMMYFUNCTION("""COMPUTED_VALUE"""),"Female")</f>
        <v>Female</v>
      </c>
      <c r="S210" s="228" t="str">
        <f>IFERROR(__xludf.DUMMYFUNCTION("""COMPUTED_VALUE"""),"Meezan")</f>
        <v>Meezan</v>
      </c>
      <c r="T210" s="228"/>
      <c r="U210" s="228" t="str">
        <f>IFERROR(__xludf.DUMMYFUNCTION("""COMPUTED_VALUE"""),"03180104197810")</f>
        <v>03180104197810</v>
      </c>
      <c r="V210" s="228"/>
      <c r="W210" s="228"/>
      <c r="X210" s="228"/>
      <c r="Y210" s="730">
        <f>IFERROR(__xludf.DUMMYFUNCTION("""COMPUTED_VALUE"""),35121.0)</f>
        <v>35121</v>
      </c>
      <c r="Z210" s="228" t="str">
        <f>IFERROR(__xludf.DUMMYFUNCTION("""COMPUTED_VALUE"""),"29 Years")</f>
        <v>29 Years</v>
      </c>
      <c r="AA210" s="228" t="str">
        <f>IFERROR(__xludf.DUMMYFUNCTION("""COMPUTED_VALUE"""),"House no. 5, KRL Officers colony, off-expressway, Islamabad")</f>
        <v>House no. 5, KRL Officers colony, off-expressway, Islamabad</v>
      </c>
      <c r="AB210" s="228"/>
      <c r="AC210" s="228" t="str">
        <f>IFERROR(__xludf.DUMMYFUNCTION("""COMPUTED_VALUE"""),"Single")</f>
        <v>Single</v>
      </c>
      <c r="AD210" s="228"/>
      <c r="AE210" s="228"/>
      <c r="AF210" s="228"/>
      <c r="AG210" s="228" t="str">
        <f>IFERROR(__xludf.DUMMYFUNCTION("""COMPUTED_VALUE"""),"Aumer Chowhan")</f>
        <v>Aumer Chowhan</v>
      </c>
      <c r="AH210" s="228" t="str">
        <f>IFERROR(__xludf.DUMMYFUNCTION("""COMPUTED_VALUE"""),"Father")</f>
        <v>Father</v>
      </c>
      <c r="AI210" s="228" t="str">
        <f>IFERROR(__xludf.DUMMYFUNCTION("""COMPUTED_VALUE"""),"03008550272")</f>
        <v>03008550272</v>
      </c>
      <c r="AJ210" s="228"/>
      <c r="AK210" s="731" t="str">
        <f>IFERROR(__xludf.DUMMYFUNCTION("""COMPUTED_VALUE"""),"https://www.linkedin.com/in/maheen-chowhan-571470121/")</f>
        <v>https://www.linkedin.com/in/maheen-chowhan-571470121/</v>
      </c>
      <c r="AL210" s="228"/>
      <c r="AM210" s="730">
        <f>IFERROR(__xludf.DUMMYFUNCTION("""COMPUTED_VALUE"""),45002.0)</f>
        <v>45002</v>
      </c>
      <c r="AN210" s="228"/>
      <c r="AO210" s="228"/>
      <c r="AP210" s="228" t="str">
        <f>IFERROR(__xludf.DUMMYFUNCTION("""COMPUTED_VALUE"""),"NO")</f>
        <v>NO</v>
      </c>
      <c r="AQ210" s="228" t="str">
        <f>IFERROR(__xludf.DUMMYFUNCTION("""COMPUTED_VALUE"""),"Resigned/Terminated")</f>
        <v>Resigned/Terminated</v>
      </c>
    </row>
    <row r="211">
      <c r="A211" s="228">
        <f>IFERROR(__xludf.DUMMYFUNCTION("""COMPUTED_VALUE"""),5108.0)</f>
        <v>5108</v>
      </c>
      <c r="B211" s="228" t="str">
        <f>IFERROR(__xludf.DUMMYFUNCTION("""COMPUTED_VALUE"""),"Syeda Mehak")</f>
        <v>Syeda Mehak</v>
      </c>
      <c r="C211" s="228" t="str">
        <f>IFERROR(__xludf.DUMMYFUNCTION("""COMPUTED_VALUE"""),"zmehak@ymail.com")</f>
        <v>zmehak@ymail.com</v>
      </c>
      <c r="D211" s="228"/>
      <c r="E211" s="730">
        <f>IFERROR(__xludf.DUMMYFUNCTION("""COMPUTED_VALUE"""),44987.0)</f>
        <v>44987</v>
      </c>
      <c r="F211" s="228" t="str">
        <f>IFERROR(__xludf.DUMMYFUNCTION("""COMPUTED_VALUE"""),"Associate Technical Recruiter")</f>
        <v>Associate Technical Recruiter</v>
      </c>
      <c r="G211" s="228" t="str">
        <f>IFERROR(__xludf.DUMMYFUNCTION("""COMPUTED_VALUE"""),"People")</f>
        <v>People</v>
      </c>
      <c r="H211" s="228" t="str">
        <f>IFERROR(__xludf.DUMMYFUNCTION("""COMPUTED_VALUE"""),"Ahmed")</f>
        <v>Ahmed</v>
      </c>
      <c r="I211" s="228" t="str">
        <f>IFERROR(__xludf.DUMMYFUNCTION("""COMPUTED_VALUE"""),"Permanent")</f>
        <v>Permanent</v>
      </c>
      <c r="J211" s="228"/>
      <c r="K211" s="228" t="str">
        <f>IFERROR(__xludf.DUMMYFUNCTION("""COMPUTED_VALUE"""),"3 M")</f>
        <v>3 M</v>
      </c>
      <c r="L211" s="228"/>
      <c r="M211" s="228"/>
      <c r="N211" s="228"/>
      <c r="O211" s="228"/>
      <c r="P211" s="228" t="str">
        <f>IFERROR(__xludf.DUMMYFUNCTION("""COMPUTED_VALUE"""),"03355827439")</f>
        <v>03355827439</v>
      </c>
      <c r="Q211" s="228" t="str">
        <f>IFERROR(__xludf.DUMMYFUNCTION("""COMPUTED_VALUE"""),"61101-8577256-4")</f>
        <v>61101-8577256-4</v>
      </c>
      <c r="R211" s="228" t="str">
        <f>IFERROR(__xludf.DUMMYFUNCTION("""COMPUTED_VALUE"""),"Female")</f>
        <v>Female</v>
      </c>
      <c r="S211" s="228" t="str">
        <f>IFERROR(__xludf.DUMMYFUNCTION("""COMPUTED_VALUE"""),"HabibMetro")</f>
        <v>HabibMetro</v>
      </c>
      <c r="T211" s="228"/>
      <c r="U211" s="228" t="str">
        <f>IFERROR(__xludf.DUMMYFUNCTION("""COMPUTED_VALUE"""),"6120920311714183865")</f>
        <v>6120920311714183865</v>
      </c>
      <c r="V211" s="228"/>
      <c r="W211" s="228"/>
      <c r="X211" s="228"/>
      <c r="Y211" s="730">
        <f>IFERROR(__xludf.DUMMYFUNCTION("""COMPUTED_VALUE"""),35513.0)</f>
        <v>35513</v>
      </c>
      <c r="Z211" s="228" t="str">
        <f>IFERROR(__xludf.DUMMYFUNCTION("""COMPUTED_VALUE"""),"25 Years")</f>
        <v>25 Years</v>
      </c>
      <c r="AA211" s="228" t="str">
        <f>IFERROR(__xludf.DUMMYFUNCTION("""COMPUTED_VALUE"""),"House # 295 Gali # 5. G-10/1 Islamabad")</f>
        <v>House # 295 Gali # 5. G-10/1 Islamabad</v>
      </c>
      <c r="AB211" s="228"/>
      <c r="AC211" s="228" t="str">
        <f>IFERROR(__xludf.DUMMYFUNCTION("""COMPUTED_VALUE"""),"Single")</f>
        <v>Single</v>
      </c>
      <c r="AD211" s="228"/>
      <c r="AE211" s="228"/>
      <c r="AF211" s="228"/>
      <c r="AG211" s="228" t="str">
        <f>IFERROR(__xludf.DUMMYFUNCTION("""COMPUTED_VALUE"""),"Syed Sibte Mutahar")</f>
        <v>Syed Sibte Mutahar</v>
      </c>
      <c r="AH211" s="228" t="str">
        <f>IFERROR(__xludf.DUMMYFUNCTION("""COMPUTED_VALUE"""),"Father")</f>
        <v>Father</v>
      </c>
      <c r="AI211" s="228"/>
      <c r="AJ211" s="228"/>
      <c r="AK211" s="228"/>
      <c r="AL211" s="228"/>
      <c r="AM211" s="730">
        <f>IFERROR(__xludf.DUMMYFUNCTION("""COMPUTED_VALUE"""),45012.0)</f>
        <v>45012</v>
      </c>
      <c r="AN211" s="228"/>
      <c r="AO211" s="228"/>
      <c r="AP211" s="228" t="str">
        <f>IFERROR(__xludf.DUMMYFUNCTION("""COMPUTED_VALUE"""),"NO")</f>
        <v>NO</v>
      </c>
      <c r="AQ211" s="228" t="str">
        <f>IFERROR(__xludf.DUMMYFUNCTION("""COMPUTED_VALUE"""),"Resigned/Terminated")</f>
        <v>Resigned/Terminated</v>
      </c>
    </row>
    <row r="212">
      <c r="A212" s="228">
        <f>IFERROR(__xludf.DUMMYFUNCTION("""COMPUTED_VALUE"""),5088.0)</f>
        <v>5088</v>
      </c>
      <c r="B212" s="228" t="str">
        <f>IFERROR(__xludf.DUMMYFUNCTION("""COMPUTED_VALUE"""),"Armaghan Bashir")</f>
        <v>Armaghan Bashir</v>
      </c>
      <c r="C212" s="228" t="str">
        <f>IFERROR(__xludf.DUMMYFUNCTION("""COMPUTED_VALUE"""),"armaghanbashir@gmail.com")</f>
        <v>armaghanbashir@gmail.com</v>
      </c>
      <c r="D212" s="228"/>
      <c r="E212" s="730">
        <f>IFERROR(__xludf.DUMMYFUNCTION("""COMPUTED_VALUE"""),44907.0)</f>
        <v>44907</v>
      </c>
      <c r="F212" s="228" t="str">
        <f>IFERROR(__xludf.DUMMYFUNCTION("""COMPUTED_VALUE"""),"Product Designer")</f>
        <v>Product Designer</v>
      </c>
      <c r="G212" s="228" t="str">
        <f>IFERROR(__xludf.DUMMYFUNCTION("""COMPUTED_VALUE"""),"Design")</f>
        <v>Design</v>
      </c>
      <c r="H212" s="228" t="str">
        <f>IFERROR(__xludf.DUMMYFUNCTION("""COMPUTED_VALUE"""),"Abdullah")</f>
        <v>Abdullah</v>
      </c>
      <c r="I212" s="228" t="str">
        <f>IFERROR(__xludf.DUMMYFUNCTION("""COMPUTED_VALUE"""),"Permanent")</f>
        <v>Permanent</v>
      </c>
      <c r="J212" s="228"/>
      <c r="K212" s="228" t="str">
        <f>IFERROR(__xludf.DUMMYFUNCTION("""COMPUTED_VALUE"""),"3 M")</f>
        <v>3 M</v>
      </c>
      <c r="L212" s="228"/>
      <c r="M212" s="228"/>
      <c r="N212" s="228"/>
      <c r="O212" s="228"/>
      <c r="P212" s="228" t="str">
        <f>IFERROR(__xludf.DUMMYFUNCTION("""COMPUTED_VALUE"""),"03452961484")</f>
        <v>03452961484</v>
      </c>
      <c r="Q212" s="228" t="str">
        <f>IFERROR(__xludf.DUMMYFUNCTION("""COMPUTED_VALUE"""),"54400-1490935-1")</f>
        <v>54400-1490935-1</v>
      </c>
      <c r="R212" s="228" t="str">
        <f>IFERROR(__xludf.DUMMYFUNCTION("""COMPUTED_VALUE"""),"Male")</f>
        <v>Male</v>
      </c>
      <c r="S212" s="228" t="str">
        <f>IFERROR(__xludf.DUMMYFUNCTION("""COMPUTED_VALUE"""),"Standard Chartered")</f>
        <v>Standard Chartered</v>
      </c>
      <c r="T212" s="228"/>
      <c r="U212" s="228" t="str">
        <f>IFERROR(__xludf.DUMMYFUNCTION("""COMPUTED_VALUE"""),"01723310601")</f>
        <v>01723310601</v>
      </c>
      <c r="V212" s="228"/>
      <c r="W212" s="228"/>
      <c r="X212" s="228"/>
      <c r="Y212" s="730">
        <f>IFERROR(__xludf.DUMMYFUNCTION("""COMPUTED_VALUE"""),36531.0)</f>
        <v>36531</v>
      </c>
      <c r="Z212" s="228" t="str">
        <f>IFERROR(__xludf.DUMMYFUNCTION("""COMPUTED_VALUE"""),"25 Years")</f>
        <v>25 Years</v>
      </c>
      <c r="AA212" s="228" t="str">
        <f>IFERROR(__xludf.DUMMYFUNCTION("""COMPUTED_VALUE"""),"Apartment 12, Block C9, St 97, PHA Apartments G/11 3")</f>
        <v>Apartment 12, Block C9, St 97, PHA Apartments G/11 3</v>
      </c>
      <c r="AB212" s="228"/>
      <c r="AC212" s="228" t="str">
        <f>IFERROR(__xludf.DUMMYFUNCTION("""COMPUTED_VALUE"""),"Single")</f>
        <v>Single</v>
      </c>
      <c r="AD212" s="228"/>
      <c r="AE212" s="228"/>
      <c r="AF212" s="228"/>
      <c r="AG212" s="228" t="str">
        <f>IFERROR(__xludf.DUMMYFUNCTION("""COMPUTED_VALUE"""),"Bashir Ahmed")</f>
        <v>Bashir Ahmed</v>
      </c>
      <c r="AH212" s="228" t="str">
        <f>IFERROR(__xludf.DUMMYFUNCTION("""COMPUTED_VALUE"""),"Father")</f>
        <v>Father</v>
      </c>
      <c r="AI212" s="228" t="str">
        <f>IFERROR(__xludf.DUMMYFUNCTION("""COMPUTED_VALUE"""),"03337929262")</f>
        <v>03337929262</v>
      </c>
      <c r="AJ212" s="228" t="str">
        <f>IFERROR(__xludf.DUMMYFUNCTION("""COMPUTED_VALUE"""),"O+")</f>
        <v>O+</v>
      </c>
      <c r="AK212" s="731" t="str">
        <f>IFERROR(__xludf.DUMMYFUNCTION("""COMPUTED_VALUE"""),"https://www.linkedin.com/in/armaghanbashir/")</f>
        <v>https://www.linkedin.com/in/armaghanbashir/</v>
      </c>
      <c r="AL212" s="228"/>
      <c r="AM212" s="730">
        <f>IFERROR(__xludf.DUMMYFUNCTION("""COMPUTED_VALUE"""),45016.0)</f>
        <v>45016</v>
      </c>
      <c r="AN212" s="228"/>
      <c r="AO212" s="228"/>
      <c r="AP212" s="228" t="str">
        <f>IFERROR(__xludf.DUMMYFUNCTION("""COMPUTED_VALUE"""),"NO")</f>
        <v>NO</v>
      </c>
      <c r="AQ212" s="228" t="str">
        <f>IFERROR(__xludf.DUMMYFUNCTION("""COMPUTED_VALUE"""),"Resigned/Terminated")</f>
        <v>Resigned/Terminated</v>
      </c>
    </row>
    <row r="213">
      <c r="A213" s="228">
        <f>IFERROR(__xludf.DUMMYFUNCTION("""COMPUTED_VALUE"""),5094.0)</f>
        <v>5094</v>
      </c>
      <c r="B213" s="228" t="str">
        <f>IFERROR(__xludf.DUMMYFUNCTION("""COMPUTED_VALUE"""),"Muhammad Rafay")</f>
        <v>Muhammad Rafay</v>
      </c>
      <c r="C213" s="228" t="str">
        <f>IFERROR(__xludf.DUMMYFUNCTION("""COMPUTED_VALUE"""),"mrafaydec@gmail.com")</f>
        <v>mrafaydec@gmail.com</v>
      </c>
      <c r="D213" s="228"/>
      <c r="E213" s="730">
        <f>IFERROR(__xludf.DUMMYFUNCTION("""COMPUTED_VALUE"""),44928.0)</f>
        <v>44928</v>
      </c>
      <c r="F213" s="228" t="str">
        <f>IFERROR(__xludf.DUMMYFUNCTION("""COMPUTED_VALUE"""),"Business Analyst")</f>
        <v>Business Analyst</v>
      </c>
      <c r="G213" s="228" t="str">
        <f>IFERROR(__xludf.DUMMYFUNCTION("""COMPUTED_VALUE"""),"Business")</f>
        <v>Business</v>
      </c>
      <c r="H213" s="228" t="str">
        <f>IFERROR(__xludf.DUMMYFUNCTION("""COMPUTED_VALUE"""),"Ahmed")</f>
        <v>Ahmed</v>
      </c>
      <c r="I213" s="228" t="str">
        <f>IFERROR(__xludf.DUMMYFUNCTION("""COMPUTED_VALUE"""),"Permanent")</f>
        <v>Permanent</v>
      </c>
      <c r="J213" s="228"/>
      <c r="K213" s="228" t="str">
        <f>IFERROR(__xludf.DUMMYFUNCTION("""COMPUTED_VALUE"""),"3 M")</f>
        <v>3 M</v>
      </c>
      <c r="L213" s="228"/>
      <c r="M213" s="228"/>
      <c r="N213" s="228"/>
      <c r="O213" s="228"/>
      <c r="P213" s="228" t="str">
        <f>IFERROR(__xludf.DUMMYFUNCTION("""COMPUTED_VALUE"""),"03355112325")</f>
        <v>03355112325</v>
      </c>
      <c r="Q213" s="228" t="str">
        <f>IFERROR(__xludf.DUMMYFUNCTION("""COMPUTED_VALUE"""),"61101-0165825-1")</f>
        <v>61101-0165825-1</v>
      </c>
      <c r="R213" s="228" t="str">
        <f>IFERROR(__xludf.DUMMYFUNCTION("""COMPUTED_VALUE"""),"Male")</f>
        <v>Male</v>
      </c>
      <c r="S213" s="228" t="str">
        <f>IFERROR(__xludf.DUMMYFUNCTION("""COMPUTED_VALUE"""),"MCB")</f>
        <v>MCB</v>
      </c>
      <c r="T213" s="228"/>
      <c r="U213" s="228" t="str">
        <f>IFERROR(__xludf.DUMMYFUNCTION("""COMPUTED_VALUE"""),"0748950941007467")</f>
        <v>0748950941007467</v>
      </c>
      <c r="V213" s="228"/>
      <c r="W213" s="228"/>
      <c r="X213" s="228"/>
      <c r="Y213" s="730">
        <f>IFERROR(__xludf.DUMMYFUNCTION("""COMPUTED_VALUE"""),35419.0)</f>
        <v>35419</v>
      </c>
      <c r="Z213" s="228" t="str">
        <f>IFERROR(__xludf.DUMMYFUNCTION("""COMPUTED_VALUE"""),"28 Years")</f>
        <v>28 Years</v>
      </c>
      <c r="AA213" s="228" t="str">
        <f>IFERROR(__xludf.DUMMYFUNCTION("""COMPUTED_VALUE"""),"House no. 146-D, St 19, Sector G6/2, Islamabad")</f>
        <v>House no. 146-D, St 19, Sector G6/2, Islamabad</v>
      </c>
      <c r="AB213" s="228"/>
      <c r="AC213" s="228" t="str">
        <f>IFERROR(__xludf.DUMMYFUNCTION("""COMPUTED_VALUE"""),"Single")</f>
        <v>Single</v>
      </c>
      <c r="AD213" s="228"/>
      <c r="AE213" s="228"/>
      <c r="AF213" s="228"/>
      <c r="AG213" s="228" t="str">
        <f>IFERROR(__xludf.DUMMYFUNCTION("""COMPUTED_VALUE"""),"Muhammad Suhail")</f>
        <v>Muhammad Suhail</v>
      </c>
      <c r="AH213" s="228" t="str">
        <f>IFERROR(__xludf.DUMMYFUNCTION("""COMPUTED_VALUE"""),"Father")</f>
        <v>Father</v>
      </c>
      <c r="AI213" s="228" t="str">
        <f>IFERROR(__xludf.DUMMYFUNCTION("""COMPUTED_VALUE"""),"03335112325")</f>
        <v>03335112325</v>
      </c>
      <c r="AJ213" s="228" t="str">
        <f>IFERROR(__xludf.DUMMYFUNCTION("""COMPUTED_VALUE"""),"B+")</f>
        <v>B+</v>
      </c>
      <c r="AK213" s="731" t="str">
        <f>IFERROR(__xludf.DUMMYFUNCTION("""COMPUTED_VALUE"""),"https://www.linkedin.com/in/muhammad-rafay-nbs2020/")</f>
        <v>https://www.linkedin.com/in/muhammad-rafay-nbs2020/</v>
      </c>
      <c r="AL213" s="228"/>
      <c r="AM213" s="730">
        <f>IFERROR(__xludf.DUMMYFUNCTION("""COMPUTED_VALUE"""),45016.0)</f>
        <v>45016</v>
      </c>
      <c r="AN213" s="228"/>
      <c r="AO213" s="228"/>
      <c r="AP213" s="228" t="str">
        <f>IFERROR(__xludf.DUMMYFUNCTION("""COMPUTED_VALUE"""),"NO")</f>
        <v>NO</v>
      </c>
      <c r="AQ213" s="228" t="str">
        <f>IFERROR(__xludf.DUMMYFUNCTION("""COMPUTED_VALUE"""),"Resigned/Terminated")</f>
        <v>Resigned/Terminated</v>
      </c>
    </row>
    <row r="214">
      <c r="A214" s="228">
        <f>IFERROR(__xludf.DUMMYFUNCTION("""COMPUTED_VALUE"""),5097.0)</f>
        <v>5097</v>
      </c>
      <c r="B214" s="228" t="str">
        <f>IFERROR(__xludf.DUMMYFUNCTION("""COMPUTED_VALUE"""),"Ahmad Ali")</f>
        <v>Ahmad Ali</v>
      </c>
      <c r="C214" s="228" t="str">
        <f>IFERROR(__xludf.DUMMYFUNCTION("""COMPUTED_VALUE"""),"ahmadali.vyro@gmail.com")</f>
        <v>ahmadali.vyro@gmail.com</v>
      </c>
      <c r="D214" s="228"/>
      <c r="E214" s="730">
        <f>IFERROR(__xludf.DUMMYFUNCTION("""COMPUTED_VALUE"""),44958.0)</f>
        <v>44958</v>
      </c>
      <c r="F214" s="228" t="str">
        <f>IFERROR(__xludf.DUMMYFUNCTION("""COMPUTED_VALUE"""),"Senior Machine Learning Engineer")</f>
        <v>Senior Machine Learning Engineer</v>
      </c>
      <c r="G214" s="228" t="str">
        <f>IFERROR(__xludf.DUMMYFUNCTION("""COMPUTED_VALUE"""),"R&amp;D")</f>
        <v>R&amp;D</v>
      </c>
      <c r="H214" s="228" t="str">
        <f>IFERROR(__xludf.DUMMYFUNCTION("""COMPUTED_VALUE"""),"Abdullah")</f>
        <v>Abdullah</v>
      </c>
      <c r="I214" s="228" t="str">
        <f>IFERROR(__xludf.DUMMYFUNCTION("""COMPUTED_VALUE"""),"Permanent")</f>
        <v>Permanent</v>
      </c>
      <c r="J214" s="228"/>
      <c r="K214" s="228" t="str">
        <f>IFERROR(__xludf.DUMMYFUNCTION("""COMPUTED_VALUE"""),"3 M")</f>
        <v>3 M</v>
      </c>
      <c r="L214" s="228"/>
      <c r="M214" s="228"/>
      <c r="N214" s="228"/>
      <c r="O214" s="228"/>
      <c r="P214" s="228" t="str">
        <f>IFERROR(__xludf.DUMMYFUNCTION("""COMPUTED_VALUE"""),"03366003947")</f>
        <v>03366003947</v>
      </c>
      <c r="Q214" s="228" t="str">
        <f>IFERROR(__xludf.DUMMYFUNCTION("""COMPUTED_VALUE"""),"31202-6141673-3")</f>
        <v>31202-6141673-3</v>
      </c>
      <c r="R214" s="228" t="str">
        <f>IFERROR(__xludf.DUMMYFUNCTION("""COMPUTED_VALUE"""),"Male")</f>
        <v>Male</v>
      </c>
      <c r="S214" s="228" t="str">
        <f>IFERROR(__xludf.DUMMYFUNCTION("""COMPUTED_VALUE"""),"Meezan Bank")</f>
        <v>Meezan Bank</v>
      </c>
      <c r="T214" s="228"/>
      <c r="U214" s="228" t="str">
        <f>IFERROR(__xludf.DUMMYFUNCTION("""COMPUTED_VALUE"""),"03270103933343")</f>
        <v>03270103933343</v>
      </c>
      <c r="V214" s="228"/>
      <c r="W214" s="228"/>
      <c r="X214" s="228"/>
      <c r="Y214" s="730">
        <f>IFERROR(__xludf.DUMMYFUNCTION("""COMPUTED_VALUE"""),35583.0)</f>
        <v>35583</v>
      </c>
      <c r="Z214" s="228" t="str">
        <f>IFERROR(__xludf.DUMMYFUNCTION("""COMPUTED_VALUE"""),"28 Years")</f>
        <v>28 Years</v>
      </c>
      <c r="AA214" s="228" t="str">
        <f>IFERROR(__xludf.DUMMYFUNCTION("""COMPUTED_VALUE"""),"House 725, St 71, I8/3, Islamabad")</f>
        <v>House 725, St 71, I8/3, Islamabad</v>
      </c>
      <c r="AB214" s="228"/>
      <c r="AC214" s="228" t="str">
        <f>IFERROR(__xludf.DUMMYFUNCTION("""COMPUTED_VALUE"""),"Single")</f>
        <v>Single</v>
      </c>
      <c r="AD214" s="228"/>
      <c r="AE214" s="228"/>
      <c r="AF214" s="228"/>
      <c r="AG214" s="228" t="str">
        <f>IFERROR(__xludf.DUMMYFUNCTION("""COMPUTED_VALUE"""),"Muhammad Hussain")</f>
        <v>Muhammad Hussain</v>
      </c>
      <c r="AH214" s="228" t="str">
        <f>IFERROR(__xludf.DUMMYFUNCTION("""COMPUTED_VALUE"""),"Father")</f>
        <v>Father</v>
      </c>
      <c r="AI214" s="228" t="str">
        <f>IFERROR(__xludf.DUMMYFUNCTION("""COMPUTED_VALUE"""),"03009680929")</f>
        <v>03009680929</v>
      </c>
      <c r="AJ214" s="228" t="str">
        <f>IFERROR(__xludf.DUMMYFUNCTION("""COMPUTED_VALUE"""),"A+")</f>
        <v>A+</v>
      </c>
      <c r="AK214" s="228"/>
      <c r="AL214" s="228"/>
      <c r="AM214" s="730">
        <f>IFERROR(__xludf.DUMMYFUNCTION("""COMPUTED_VALUE"""),45021.0)</f>
        <v>45021</v>
      </c>
      <c r="AN214" s="228"/>
      <c r="AO214" s="228"/>
      <c r="AP214" s="228" t="str">
        <f>IFERROR(__xludf.DUMMYFUNCTION("""COMPUTED_VALUE"""),"NO")</f>
        <v>NO</v>
      </c>
      <c r="AQ214" s="228" t="str">
        <f>IFERROR(__xludf.DUMMYFUNCTION("""COMPUTED_VALUE"""),"Resigned/Terminated")</f>
        <v>Resigned/Terminated</v>
      </c>
    </row>
    <row r="215">
      <c r="A215" s="228">
        <f>IFERROR(__xludf.DUMMYFUNCTION("""COMPUTED_VALUE"""),5110.0)</f>
        <v>5110</v>
      </c>
      <c r="B215" s="228" t="str">
        <f>IFERROR(__xludf.DUMMYFUNCTION("""COMPUTED_VALUE"""),"Haleema Sadia")</f>
        <v>Haleema Sadia</v>
      </c>
      <c r="C215" s="228" t="str">
        <f>IFERROR(__xludf.DUMMYFUNCTION("""COMPUTED_VALUE"""),"haleemasw333@gmail.com")</f>
        <v>haleemasw333@gmail.com</v>
      </c>
      <c r="D215" s="228"/>
      <c r="E215" s="730">
        <f>IFERROR(__xludf.DUMMYFUNCTION("""COMPUTED_VALUE"""),44991.0)</f>
        <v>44991</v>
      </c>
      <c r="F215" s="228" t="str">
        <f>IFERROR(__xludf.DUMMYFUNCTION("""COMPUTED_VALUE"""),"ASO Analyst")</f>
        <v>ASO Analyst</v>
      </c>
      <c r="G215" s="228" t="str">
        <f>IFERROR(__xludf.DUMMYFUNCTION("""COMPUTED_VALUE"""),"Business")</f>
        <v>Business</v>
      </c>
      <c r="H215" s="228" t="str">
        <f>IFERROR(__xludf.DUMMYFUNCTION("""COMPUTED_VALUE"""),"Ahmed")</f>
        <v>Ahmed</v>
      </c>
      <c r="I215" s="228" t="str">
        <f>IFERROR(__xludf.DUMMYFUNCTION("""COMPUTED_VALUE"""),"intern")</f>
        <v>intern</v>
      </c>
      <c r="J215" s="228"/>
      <c r="K215" s="228" t="str">
        <f>IFERROR(__xludf.DUMMYFUNCTION("""COMPUTED_VALUE"""),"3 M")</f>
        <v>3 M</v>
      </c>
      <c r="L215" s="228"/>
      <c r="M215" s="228"/>
      <c r="N215" s="228"/>
      <c r="O215" s="228"/>
      <c r="P215" s="228" t="str">
        <f>IFERROR(__xludf.DUMMYFUNCTION("""COMPUTED_VALUE"""),"03360518887")</f>
        <v>03360518887</v>
      </c>
      <c r="Q215" s="228" t="str">
        <f>IFERROR(__xludf.DUMMYFUNCTION("""COMPUTED_VALUE"""),"54400-1755205-4")</f>
        <v>54400-1755205-4</v>
      </c>
      <c r="R215" s="228" t="str">
        <f>IFERROR(__xludf.DUMMYFUNCTION("""COMPUTED_VALUE"""),"Female")</f>
        <v>Female</v>
      </c>
      <c r="S215" s="228" t="str">
        <f>IFERROR(__xludf.DUMMYFUNCTION("""COMPUTED_VALUE"""),"Silk Bank")</f>
        <v>Silk Bank</v>
      </c>
      <c r="T215" s="228"/>
      <c r="U215" s="228" t="str">
        <f>IFERROR(__xludf.DUMMYFUNCTION("""COMPUTED_VALUE"""),"50985000456658")</f>
        <v>50985000456658</v>
      </c>
      <c r="V215" s="228"/>
      <c r="W215" s="228"/>
      <c r="X215" s="228"/>
      <c r="Y215" s="730">
        <f>IFERROR(__xludf.DUMMYFUNCTION("""COMPUTED_VALUE"""),36250.0)</f>
        <v>36250</v>
      </c>
      <c r="Z215" s="228" t="str">
        <f>IFERROR(__xludf.DUMMYFUNCTION("""COMPUTED_VALUE"""),"26 Years")</f>
        <v>26 Years</v>
      </c>
      <c r="AA215" s="228" t="str">
        <f>IFERROR(__xludf.DUMMYFUNCTION("""COMPUTED_VALUE"""),"House 108, Askari 11, Peshawar Rd. RWP")</f>
        <v>House 108, Askari 11, Peshawar Rd. RWP</v>
      </c>
      <c r="AB215" s="228"/>
      <c r="AC215" s="228" t="str">
        <f>IFERROR(__xludf.DUMMYFUNCTION("""COMPUTED_VALUE"""),"Single")</f>
        <v>Single</v>
      </c>
      <c r="AD215" s="228"/>
      <c r="AE215" s="228"/>
      <c r="AF215" s="228"/>
      <c r="AG215" s="228" t="str">
        <f>IFERROR(__xludf.DUMMYFUNCTION("""COMPUTED_VALUE"""),"Irfan Mahmood Waraich")</f>
        <v>Irfan Mahmood Waraich</v>
      </c>
      <c r="AH215" s="228" t="str">
        <f>IFERROR(__xludf.DUMMYFUNCTION("""COMPUTED_VALUE"""),"Father")</f>
        <v>Father</v>
      </c>
      <c r="AI215" s="228" t="str">
        <f>IFERROR(__xludf.DUMMYFUNCTION("""COMPUTED_VALUE"""),"03235229692(MOTHERS)")</f>
        <v>03235229692(MOTHERS)</v>
      </c>
      <c r="AJ215" s="228"/>
      <c r="AK215" s="228"/>
      <c r="AL215" s="228"/>
      <c r="AM215" s="730">
        <f>IFERROR(__xludf.DUMMYFUNCTION("""COMPUTED_VALUE"""),45021.0)</f>
        <v>45021</v>
      </c>
      <c r="AN215" s="228"/>
      <c r="AO215" s="228"/>
      <c r="AP215" s="228" t="str">
        <f>IFERROR(__xludf.DUMMYFUNCTION("""COMPUTED_VALUE"""),"NO")</f>
        <v>NO</v>
      </c>
      <c r="AQ215" s="228" t="str">
        <f>IFERROR(__xludf.DUMMYFUNCTION("""COMPUTED_VALUE"""),"Resigned/Terminated")</f>
        <v>Resigned/Terminated</v>
      </c>
    </row>
    <row r="216">
      <c r="A216" s="228">
        <f>IFERROR(__xludf.DUMMYFUNCTION("""COMPUTED_VALUE"""),5105.0)</f>
        <v>5105</v>
      </c>
      <c r="B216" s="228" t="str">
        <f>IFERROR(__xludf.DUMMYFUNCTION("""COMPUTED_VALUE"""),"Muhammad Rizwan Karim")</f>
        <v>Muhammad Rizwan Karim</v>
      </c>
      <c r="C216" s="228" t="str">
        <f>IFERROR(__xludf.DUMMYFUNCTION("""COMPUTED_VALUE"""),"karimrizwan112@gmail.com")</f>
        <v>karimrizwan112@gmail.com</v>
      </c>
      <c r="D216" s="228"/>
      <c r="E216" s="730">
        <f>IFERROR(__xludf.DUMMYFUNCTION("""COMPUTED_VALUE"""),44986.0)</f>
        <v>44986</v>
      </c>
      <c r="F216" s="228" t="str">
        <f>IFERROR(__xludf.DUMMYFUNCTION("""COMPUTED_VALUE"""),"Associate Software Engineer")</f>
        <v>Associate Software Engineer</v>
      </c>
      <c r="G216" s="228" t="str">
        <f>IFERROR(__xludf.DUMMYFUNCTION("""COMPUTED_VALUE"""),"r&amp;d")</f>
        <v>r&amp;d</v>
      </c>
      <c r="H216" s="228" t="str">
        <f>IFERROR(__xludf.DUMMYFUNCTION("""COMPUTED_VALUE"""),"Abdullah")</f>
        <v>Abdullah</v>
      </c>
      <c r="I216" s="228" t="str">
        <f>IFERROR(__xludf.DUMMYFUNCTION("""COMPUTED_VALUE"""),"Permanent")</f>
        <v>Permanent</v>
      </c>
      <c r="J216" s="228"/>
      <c r="K216" s="228" t="str">
        <f>IFERROR(__xludf.DUMMYFUNCTION("""COMPUTED_VALUE"""),"3 M")</f>
        <v>3 M</v>
      </c>
      <c r="L216" s="228"/>
      <c r="M216" s="228"/>
      <c r="N216" s="228"/>
      <c r="O216" s="228"/>
      <c r="P216" s="228" t="str">
        <f>IFERROR(__xludf.DUMMYFUNCTION("""COMPUTED_VALUE"""),"03355438099")</f>
        <v>03355438099</v>
      </c>
      <c r="Q216" s="228" t="str">
        <f>IFERROR(__xludf.DUMMYFUNCTION("""COMPUTED_VALUE"""),"61101-9546357-1")</f>
        <v>61101-9546357-1</v>
      </c>
      <c r="R216" s="228" t="str">
        <f>IFERROR(__xludf.DUMMYFUNCTION("""COMPUTED_VALUE"""),"Male")</f>
        <v>Male</v>
      </c>
      <c r="S216" s="228" t="str">
        <f>IFERROR(__xludf.DUMMYFUNCTION("""COMPUTED_VALUE"""),"Meezan")</f>
        <v>Meezan</v>
      </c>
      <c r="T216" s="228"/>
      <c r="U216" s="228" t="str">
        <f>IFERROR(__xludf.DUMMYFUNCTION("""COMPUTED_VALUE"""),"03280106597790")</f>
        <v>03280106597790</v>
      </c>
      <c r="V216" s="228"/>
      <c r="W216" s="228"/>
      <c r="X216" s="228"/>
      <c r="Y216" s="730">
        <f>IFERROR(__xludf.DUMMYFUNCTION("""COMPUTED_VALUE"""),36933.0)</f>
        <v>36933</v>
      </c>
      <c r="Z216" s="228" t="str">
        <f>IFERROR(__xludf.DUMMYFUNCTION("""COMPUTED_VALUE"""),"24 Years")</f>
        <v>24 Years</v>
      </c>
      <c r="AA216" s="228" t="str">
        <f>IFERROR(__xludf.DUMMYFUNCTION("""COMPUTED_VALUE"""),"House 13, St 24, D17/2, Islamabad")</f>
        <v>House 13, St 24, D17/2, Islamabad</v>
      </c>
      <c r="AB216" s="228"/>
      <c r="AC216" s="228" t="str">
        <f>IFERROR(__xludf.DUMMYFUNCTION("""COMPUTED_VALUE"""),"Single")</f>
        <v>Single</v>
      </c>
      <c r="AD216" s="228"/>
      <c r="AE216" s="228"/>
      <c r="AF216" s="228"/>
      <c r="AG216" s="228" t="str">
        <f>IFERROR(__xludf.DUMMYFUNCTION("""COMPUTED_VALUE"""),"Irfan Karim")</f>
        <v>Irfan Karim</v>
      </c>
      <c r="AH216" s="228" t="str">
        <f>IFERROR(__xludf.DUMMYFUNCTION("""COMPUTED_VALUE"""),"Father")</f>
        <v>Father</v>
      </c>
      <c r="AI216" s="228" t="str">
        <f>IFERROR(__xludf.DUMMYFUNCTION("""COMPUTED_VALUE"""),"03028590160")</f>
        <v>03028590160</v>
      </c>
      <c r="AJ216" s="228" t="str">
        <f>IFERROR(__xludf.DUMMYFUNCTION("""COMPUTED_VALUE"""),"B+")</f>
        <v>B+</v>
      </c>
      <c r="AK216" s="228"/>
      <c r="AL216" s="228"/>
      <c r="AM216" s="730">
        <f>IFERROR(__xludf.DUMMYFUNCTION("""COMPUTED_VALUE"""),45030.0)</f>
        <v>45030</v>
      </c>
      <c r="AN216" s="228"/>
      <c r="AO216" s="228"/>
      <c r="AP216" s="228" t="str">
        <f>IFERROR(__xludf.DUMMYFUNCTION("""COMPUTED_VALUE"""),"NO")</f>
        <v>NO</v>
      </c>
      <c r="AQ216" s="228" t="str">
        <f>IFERROR(__xludf.DUMMYFUNCTION("""COMPUTED_VALUE"""),"Resigned/Terminated")</f>
        <v>Resigned/Terminated</v>
      </c>
    </row>
    <row r="217">
      <c r="A217" s="228">
        <f>IFERROR(__xludf.DUMMYFUNCTION("""COMPUTED_VALUE"""),5063.0)</f>
        <v>5063</v>
      </c>
      <c r="B217" s="228" t="str">
        <f>IFERROR(__xludf.DUMMYFUNCTION("""COMPUTED_VALUE"""),"Qazi Muhammad")</f>
        <v>Qazi Muhammad</v>
      </c>
      <c r="C217" s="228" t="str">
        <f>IFERROR(__xludf.DUMMYFUNCTION("""COMPUTED_VALUE"""),"qazi.shahood95@gmail.com")</f>
        <v>qazi.shahood95@gmail.com</v>
      </c>
      <c r="D217" s="228"/>
      <c r="E217" s="730">
        <f>IFERROR(__xludf.DUMMYFUNCTION("""COMPUTED_VALUE"""),44755.0)</f>
        <v>44755</v>
      </c>
      <c r="F217" s="228" t="str">
        <f>IFERROR(__xludf.DUMMYFUNCTION("""COMPUTED_VALUE"""),"IOS Developer")</f>
        <v>IOS Developer</v>
      </c>
      <c r="G217" s="228" t="str">
        <f>IFERROR(__xludf.DUMMYFUNCTION("""COMPUTED_VALUE"""),"IOS")</f>
        <v>IOS</v>
      </c>
      <c r="H217" s="228" t="str">
        <f>IFERROR(__xludf.DUMMYFUNCTION("""COMPUTED_VALUE"""),"Abdullah")</f>
        <v>Abdullah</v>
      </c>
      <c r="I217" s="228" t="str">
        <f>IFERROR(__xludf.DUMMYFUNCTION("""COMPUTED_VALUE"""),"Permanent")</f>
        <v>Permanent</v>
      </c>
      <c r="J217" s="228"/>
      <c r="K217" s="228" t="str">
        <f>IFERROR(__xludf.DUMMYFUNCTION("""COMPUTED_VALUE"""),"3 M")</f>
        <v>3 M</v>
      </c>
      <c r="L217" s="228"/>
      <c r="M217" s="228"/>
      <c r="N217" s="228"/>
      <c r="O217" s="228"/>
      <c r="P217" s="228" t="str">
        <f>IFERROR(__xludf.DUMMYFUNCTION("""COMPUTED_VALUE"""),"0345 3480182")</f>
        <v>0345 3480182</v>
      </c>
      <c r="Q217" s="228" t="str">
        <f>IFERROR(__xludf.DUMMYFUNCTION("""COMPUTED_VALUE"""),"42000-1312817-3")</f>
        <v>42000-1312817-3</v>
      </c>
      <c r="R217" s="228" t="str">
        <f>IFERROR(__xludf.DUMMYFUNCTION("""COMPUTED_VALUE"""),"Male")</f>
        <v>Male</v>
      </c>
      <c r="S217" s="228" t="str">
        <f>IFERROR(__xludf.DUMMYFUNCTION("""COMPUTED_VALUE"""),"HBL")</f>
        <v>HBL</v>
      </c>
      <c r="T217" s="228"/>
      <c r="U217" s="228" t="str">
        <f>IFERROR(__xludf.DUMMYFUNCTION("""COMPUTED_VALUE"""),"PK29HABB0013017902087703")</f>
        <v>PK29HABB0013017902087703</v>
      </c>
      <c r="V217" s="228"/>
      <c r="W217" s="228"/>
      <c r="X217" s="228"/>
      <c r="Y217" s="730">
        <f>IFERROR(__xludf.DUMMYFUNCTION("""COMPUTED_VALUE"""),34731.0)</f>
        <v>34731</v>
      </c>
      <c r="Z217" s="228" t="str">
        <f>IFERROR(__xludf.DUMMYFUNCTION("""COMPUTED_VALUE"""),"30 Years")</f>
        <v>30 Years</v>
      </c>
      <c r="AA217" s="228" t="str">
        <f>IFERROR(__xludf.DUMMYFUNCTION("""COMPUTED_VALUE"""),"House no. 493, Street no. 10, Area 37D, Landhi No. 1, Karachi")</f>
        <v>House no. 493, Street no. 10, Area 37D, Landhi No. 1, Karachi</v>
      </c>
      <c r="AB217" s="228"/>
      <c r="AC217" s="228" t="str">
        <f>IFERROR(__xludf.DUMMYFUNCTION("""COMPUTED_VALUE"""),"Single")</f>
        <v>Single</v>
      </c>
      <c r="AD217" s="228"/>
      <c r="AE217" s="228"/>
      <c r="AF217" s="228"/>
      <c r="AG217" s="228" t="str">
        <f>IFERROR(__xludf.DUMMYFUNCTION("""COMPUTED_VALUE"""),"Shahid Majeed")</f>
        <v>Shahid Majeed</v>
      </c>
      <c r="AH217" s="228" t="str">
        <f>IFERROR(__xludf.DUMMYFUNCTION("""COMPUTED_VALUE"""),"Father")</f>
        <v>Father</v>
      </c>
      <c r="AI217" s="228" t="str">
        <f>IFERROR(__xludf.DUMMYFUNCTION("""COMPUTED_VALUE"""),"03338248840")</f>
        <v>03338248840</v>
      </c>
      <c r="AJ217" s="228" t="str">
        <f>IFERROR(__xludf.DUMMYFUNCTION("""COMPUTED_VALUE"""),"O-")</f>
        <v>O-</v>
      </c>
      <c r="AK217" s="731" t="str">
        <f>IFERROR(__xludf.DUMMYFUNCTION("""COMPUTED_VALUE"""),"https://www.linkedin.com/in/qazishahood/")</f>
        <v>https://www.linkedin.com/in/qazishahood/</v>
      </c>
      <c r="AL217" s="228"/>
      <c r="AM217" s="730">
        <f>IFERROR(__xludf.DUMMYFUNCTION("""COMPUTED_VALUE"""),45033.0)</f>
        <v>45033</v>
      </c>
      <c r="AN217" s="228"/>
      <c r="AO217" s="228"/>
      <c r="AP217" s="228" t="str">
        <f>IFERROR(__xludf.DUMMYFUNCTION("""COMPUTED_VALUE"""),"NO")</f>
        <v>NO</v>
      </c>
      <c r="AQ217" s="228" t="str">
        <f>IFERROR(__xludf.DUMMYFUNCTION("""COMPUTED_VALUE"""),"Resigned/Terminated")</f>
        <v>Resigned/Terminated</v>
      </c>
    </row>
    <row r="218">
      <c r="A218" s="228">
        <f>IFERROR(__xludf.DUMMYFUNCTION("""COMPUTED_VALUE"""),5114.0)</f>
        <v>5114</v>
      </c>
      <c r="B218" s="228" t="str">
        <f>IFERROR(__xludf.DUMMYFUNCTION("""COMPUTED_VALUE"""),"Sultan Muhammad Khan")</f>
        <v>Sultan Muhammad Khan</v>
      </c>
      <c r="C218" s="228" t="str">
        <f>IFERROR(__xludf.DUMMYFUNCTION("""COMPUTED_VALUE"""),"sultanmkhan1998@gmail.com")</f>
        <v>sultanmkhan1998@gmail.com</v>
      </c>
      <c r="D218" s="228"/>
      <c r="E218" s="730">
        <f>IFERROR(__xludf.DUMMYFUNCTION("""COMPUTED_VALUE"""),45017.0)</f>
        <v>45017</v>
      </c>
      <c r="F218" s="228" t="str">
        <f>IFERROR(__xludf.DUMMYFUNCTION("""COMPUTED_VALUE"""),"Technical Recruiter")</f>
        <v>Technical Recruiter</v>
      </c>
      <c r="G218" s="228" t="str">
        <f>IFERROR(__xludf.DUMMYFUNCTION("""COMPUTED_VALUE"""),"People")</f>
        <v>People</v>
      </c>
      <c r="H218" s="228" t="str">
        <f>IFERROR(__xludf.DUMMYFUNCTION("""COMPUTED_VALUE"""),"Ahmed")</f>
        <v>Ahmed</v>
      </c>
      <c r="I218" s="228" t="str">
        <f>IFERROR(__xludf.DUMMYFUNCTION("""COMPUTED_VALUE"""),"Permanent")</f>
        <v>Permanent</v>
      </c>
      <c r="J218" s="228"/>
      <c r="K218" s="228" t="str">
        <f>IFERROR(__xludf.DUMMYFUNCTION("""COMPUTED_VALUE"""),"2 M")</f>
        <v>2 M</v>
      </c>
      <c r="L218" s="228"/>
      <c r="M218" s="228"/>
      <c r="N218" s="228"/>
      <c r="O218" s="228"/>
      <c r="P218" s="228" t="str">
        <f>IFERROR(__xludf.DUMMYFUNCTION("""COMPUTED_VALUE"""),"03015151110")</f>
        <v>03015151110</v>
      </c>
      <c r="Q218" s="228" t="str">
        <f>IFERROR(__xludf.DUMMYFUNCTION("""COMPUTED_VALUE"""),"54400-4972379-5")</f>
        <v>54400-4972379-5</v>
      </c>
      <c r="R218" s="228" t="str">
        <f>IFERROR(__xludf.DUMMYFUNCTION("""COMPUTED_VALUE"""),"Male")</f>
        <v>Male</v>
      </c>
      <c r="S218" s="228" t="str">
        <f>IFERROR(__xludf.DUMMYFUNCTION("""COMPUTED_VALUE"""),"MCB")</f>
        <v>MCB</v>
      </c>
      <c r="T218" s="228"/>
      <c r="U218" s="228" t="str">
        <f>IFERROR(__xludf.DUMMYFUNCTION("""COMPUTED_VALUE"""),"1237459381010649")</f>
        <v>1237459381010649</v>
      </c>
      <c r="V218" s="228"/>
      <c r="W218" s="228"/>
      <c r="X218" s="228"/>
      <c r="Y218" s="730">
        <f>IFERROR(__xludf.DUMMYFUNCTION("""COMPUTED_VALUE"""),36116.0)</f>
        <v>36116</v>
      </c>
      <c r="Z218" s="228" t="str">
        <f>IFERROR(__xludf.DUMMYFUNCTION("""COMPUTED_VALUE"""),"26 Years")</f>
        <v>26 Years</v>
      </c>
      <c r="AA218" s="228" t="str">
        <f>IFERROR(__xludf.DUMMYFUNCTION("""COMPUTED_VALUE"""),"H no. 25, St, 33, G9/1, Islamabad")</f>
        <v>H no. 25, St, 33, G9/1, Islamabad</v>
      </c>
      <c r="AB218" s="228" t="str">
        <f>IFERROR(__xludf.DUMMYFUNCTION("""COMPUTED_VALUE"""),"Pakistani")</f>
        <v>Pakistani</v>
      </c>
      <c r="AC218" s="228" t="str">
        <f>IFERROR(__xludf.DUMMYFUNCTION("""COMPUTED_VALUE"""),"Single")</f>
        <v>Single</v>
      </c>
      <c r="AD218" s="228"/>
      <c r="AE218" s="228"/>
      <c r="AF218" s="228"/>
      <c r="AG218" s="228" t="str">
        <f>IFERROR(__xludf.DUMMYFUNCTION("""COMPUTED_VALUE"""),"Ghayas Uddin")</f>
        <v>Ghayas Uddin</v>
      </c>
      <c r="AH218" s="228" t="str">
        <f>IFERROR(__xludf.DUMMYFUNCTION("""COMPUTED_VALUE"""),"Father")</f>
        <v>Father</v>
      </c>
      <c r="AI218" s="228" t="str">
        <f>IFERROR(__xludf.DUMMYFUNCTION("""COMPUTED_VALUE"""),"03008380502")</f>
        <v>03008380502</v>
      </c>
      <c r="AJ218" s="228" t="str">
        <f>IFERROR(__xludf.DUMMYFUNCTION("""COMPUTED_VALUE"""),"B+")</f>
        <v>B+</v>
      </c>
      <c r="AK218" s="228"/>
      <c r="AL218" s="228"/>
      <c r="AM218" s="730">
        <f>IFERROR(__xludf.DUMMYFUNCTION("""COMPUTED_VALUE"""),45036.0)</f>
        <v>45036</v>
      </c>
      <c r="AN218" s="228"/>
      <c r="AO218" s="228"/>
      <c r="AP218" s="228" t="str">
        <f>IFERROR(__xludf.DUMMYFUNCTION("""COMPUTED_VALUE"""),"NO")</f>
        <v>NO</v>
      </c>
      <c r="AQ218" s="228" t="str">
        <f>IFERROR(__xludf.DUMMYFUNCTION("""COMPUTED_VALUE"""),"Resigned/Terminated")</f>
        <v>Resigned/Terminated</v>
      </c>
    </row>
    <row r="219">
      <c r="A219" s="228">
        <f>IFERROR(__xludf.DUMMYFUNCTION("""COMPUTED_VALUE"""),5116.0)</f>
        <v>5116</v>
      </c>
      <c r="B219" s="228" t="str">
        <f>IFERROR(__xludf.DUMMYFUNCTION("""COMPUTED_VALUE"""),"Beenish Ansari")</f>
        <v>Beenish Ansari</v>
      </c>
      <c r="C219" s="228" t="str">
        <f>IFERROR(__xludf.DUMMYFUNCTION("""COMPUTED_VALUE"""),"beenishansari1@gmail.com")</f>
        <v>beenishansari1@gmail.com</v>
      </c>
      <c r="D219" s="228" t="str">
        <f>IFERROR(__xludf.DUMMYFUNCTION("""COMPUTED_VALUE"""),"beenish.ansari@vyro.ai")</f>
        <v>beenish.ansari@vyro.ai</v>
      </c>
      <c r="E219" s="730">
        <f>IFERROR(__xludf.DUMMYFUNCTION("""COMPUTED_VALUE"""),45019.0)</f>
        <v>45019</v>
      </c>
      <c r="F219" s="228" t="str">
        <f>IFERROR(__xludf.DUMMYFUNCTION("""COMPUTED_VALUE"""),"Visual Designer")</f>
        <v>Visual Designer</v>
      </c>
      <c r="G219" s="228" t="str">
        <f>IFERROR(__xludf.DUMMYFUNCTION("""COMPUTED_VALUE"""),"Design")</f>
        <v>Design</v>
      </c>
      <c r="H219" s="228" t="str">
        <f>IFERROR(__xludf.DUMMYFUNCTION("""COMPUTED_VALUE"""),"Abdullah")</f>
        <v>Abdullah</v>
      </c>
      <c r="I219" s="228" t="str">
        <f>IFERROR(__xludf.DUMMYFUNCTION("""COMPUTED_VALUE"""),"Permanent")</f>
        <v>Permanent</v>
      </c>
      <c r="J219" s="228"/>
      <c r="K219" s="228" t="str">
        <f>IFERROR(__xludf.DUMMYFUNCTION("""COMPUTED_VALUE"""),"2 M")</f>
        <v>2 M</v>
      </c>
      <c r="L219" s="732">
        <f>IFERROR(__xludf.DUMMYFUNCTION("""COMPUTED_VALUE"""),45110.0)</f>
        <v>45110</v>
      </c>
      <c r="M219" s="228"/>
      <c r="N219" s="228"/>
      <c r="O219" s="228"/>
      <c r="P219" s="228" t="str">
        <f>IFERROR(__xludf.DUMMYFUNCTION("""COMPUTED_VALUE"""),"03345199838")</f>
        <v>03345199838</v>
      </c>
      <c r="Q219" s="228" t="str">
        <f>IFERROR(__xludf.DUMMYFUNCTION("""COMPUTED_VALUE"""),"41302-8761094-6")</f>
        <v>41302-8761094-6</v>
      </c>
      <c r="R219" s="228" t="str">
        <f>IFERROR(__xludf.DUMMYFUNCTION("""COMPUTED_VALUE"""),"Female")</f>
        <v>Female</v>
      </c>
      <c r="S219" s="228" t="str">
        <f>IFERROR(__xludf.DUMMYFUNCTION("""COMPUTED_VALUE"""),"Bank Alfalah")</f>
        <v>Bank Alfalah</v>
      </c>
      <c r="T219" s="228"/>
      <c r="U219" s="228" t="str">
        <f>IFERROR(__xludf.DUMMYFUNCTION("""COMPUTED_VALUE"""),"00351005787551")</f>
        <v>00351005787551</v>
      </c>
      <c r="V219" s="228"/>
      <c r="W219" s="228"/>
      <c r="X219" s="228"/>
      <c r="Y219" s="730">
        <f>IFERROR(__xludf.DUMMYFUNCTION("""COMPUTED_VALUE"""),36655.0)</f>
        <v>36655</v>
      </c>
      <c r="Z219" s="228" t="str">
        <f>IFERROR(__xludf.DUMMYFUNCTION("""COMPUTED_VALUE"""),"22 Years")</f>
        <v>22 Years</v>
      </c>
      <c r="AA219" s="228" t="str">
        <f>IFERROR(__xludf.DUMMYFUNCTION("""COMPUTED_VALUE"""),"House# 546, Street #5 G-11/1 Islamabad")</f>
        <v>House# 546, Street #5 G-11/1 Islamabad</v>
      </c>
      <c r="AB219" s="228" t="str">
        <f>IFERROR(__xludf.DUMMYFUNCTION("""COMPUTED_VALUE"""),"Pakistani")</f>
        <v>Pakistani</v>
      </c>
      <c r="AC219" s="228" t="str">
        <f>IFERROR(__xludf.DUMMYFUNCTION("""COMPUTED_VALUE"""),"Single")</f>
        <v>Single</v>
      </c>
      <c r="AD219" s="228"/>
      <c r="AE219" s="228"/>
      <c r="AF219" s="228"/>
      <c r="AG219" s="228" t="str">
        <f>IFERROR(__xludf.DUMMYFUNCTION("""COMPUTED_VALUE"""),"Waseem Ansari")</f>
        <v>Waseem Ansari</v>
      </c>
      <c r="AH219" s="228" t="str">
        <f>IFERROR(__xludf.DUMMYFUNCTION("""COMPUTED_VALUE"""),"Mother")</f>
        <v>Mother</v>
      </c>
      <c r="AI219" s="228" t="str">
        <f>IFERROR(__xludf.DUMMYFUNCTION("""COMPUTED_VALUE"""),"03332430925")</f>
        <v>03332430925</v>
      </c>
      <c r="AJ219" s="228" t="str">
        <f>IFERROR(__xludf.DUMMYFUNCTION("""COMPUTED_VALUE"""),"B+")</f>
        <v>B+</v>
      </c>
      <c r="AK219" s="228"/>
      <c r="AL219" s="228"/>
      <c r="AM219" s="730">
        <f>IFERROR(__xludf.DUMMYFUNCTION("""COMPUTED_VALUE"""),45051.0)</f>
        <v>45051</v>
      </c>
      <c r="AN219" s="228"/>
      <c r="AO219" s="228"/>
      <c r="AP219" s="228" t="str">
        <f>IFERROR(__xludf.DUMMYFUNCTION("""COMPUTED_VALUE"""),"NO")</f>
        <v>NO</v>
      </c>
      <c r="AQ219" s="228" t="str">
        <f>IFERROR(__xludf.DUMMYFUNCTION("""COMPUTED_VALUE"""),"Resigned/Terminated")</f>
        <v>Resigned/Terminated</v>
      </c>
    </row>
    <row r="220">
      <c r="A220" s="228">
        <f>IFERROR(__xludf.DUMMYFUNCTION("""COMPUTED_VALUE"""),5091.0)</f>
        <v>5091</v>
      </c>
      <c r="B220" s="228" t="str">
        <f>IFERROR(__xludf.DUMMYFUNCTION("""COMPUTED_VALUE"""),"Muhammad Suhaib")</f>
        <v>Muhammad Suhaib</v>
      </c>
      <c r="C220" s="228" t="str">
        <f>IFERROR(__xludf.DUMMYFUNCTION("""COMPUTED_VALUE"""),"suhaib.vyro@gmail.com")</f>
        <v>suhaib.vyro@gmail.com</v>
      </c>
      <c r="D220" s="228" t="str">
        <f>IFERROR(__xludf.DUMMYFUNCTION("""COMPUTED_VALUE"""),"muhammad.suhaib@vyro.ai")</f>
        <v>muhammad.suhaib@vyro.ai</v>
      </c>
      <c r="E220" s="730">
        <f>IFERROR(__xludf.DUMMYFUNCTION("""COMPUTED_VALUE"""),44917.0)</f>
        <v>44917</v>
      </c>
      <c r="F220" s="228" t="str">
        <f>IFERROR(__xludf.DUMMYFUNCTION("""COMPUTED_VALUE"""),"Software Engineer R&amp;D")</f>
        <v>Software Engineer R&amp;D</v>
      </c>
      <c r="G220" s="228" t="str">
        <f>IFERROR(__xludf.DUMMYFUNCTION("""COMPUTED_VALUE"""),"R&amp;D")</f>
        <v>R&amp;D</v>
      </c>
      <c r="H220" s="228" t="str">
        <f>IFERROR(__xludf.DUMMYFUNCTION("""COMPUTED_VALUE"""),"Abdullah")</f>
        <v>Abdullah</v>
      </c>
      <c r="I220" s="228" t="str">
        <f>IFERROR(__xludf.DUMMYFUNCTION("""COMPUTED_VALUE"""),"Permanent")</f>
        <v>Permanent</v>
      </c>
      <c r="J220" s="228"/>
      <c r="K220" s="228" t="str">
        <f>IFERROR(__xludf.DUMMYFUNCTION("""COMPUTED_VALUE"""),"3 M")</f>
        <v>3 M</v>
      </c>
      <c r="L220" s="228"/>
      <c r="M220" s="228"/>
      <c r="N220" s="228"/>
      <c r="O220" s="228"/>
      <c r="P220" s="228" t="str">
        <f>IFERROR(__xludf.DUMMYFUNCTION("""COMPUTED_VALUE"""),"03161022636")</f>
        <v>03161022636</v>
      </c>
      <c r="Q220" s="228" t="str">
        <f>IFERROR(__xludf.DUMMYFUNCTION("""COMPUTED_VALUE"""),"90406-0181364-5")</f>
        <v>90406-0181364-5</v>
      </c>
      <c r="R220" s="228" t="str">
        <f>IFERROR(__xludf.DUMMYFUNCTION("""COMPUTED_VALUE"""),"Male")</f>
        <v>Male</v>
      </c>
      <c r="S220" s="228" t="str">
        <f>IFERROR(__xludf.DUMMYFUNCTION("""COMPUTED_VALUE"""),"Standard Chartered")</f>
        <v>Standard Chartered</v>
      </c>
      <c r="T220" s="228"/>
      <c r="U220" s="228" t="str">
        <f>IFERROR(__xludf.DUMMYFUNCTION("""COMPUTED_VALUE"""),"PK22SCBL0000001001329201")</f>
        <v>PK22SCBL0000001001329201</v>
      </c>
      <c r="V220" s="228"/>
      <c r="W220" s="228"/>
      <c r="X220" s="228"/>
      <c r="Y220" s="730">
        <f>IFERROR(__xludf.DUMMYFUNCTION("""COMPUTED_VALUE"""),35967.0)</f>
        <v>35967</v>
      </c>
      <c r="Z220" s="228" t="str">
        <f>IFERROR(__xludf.DUMMYFUNCTION("""COMPUTED_VALUE"""),"27 Years")</f>
        <v>27 Years</v>
      </c>
      <c r="AA220" s="228" t="str">
        <f>IFERROR(__xludf.DUMMYFUNCTION("""COMPUTED_VALUE"""),"Flat 408, block 3, Defence Residency Apartments")</f>
        <v>Flat 408, block 3, Defence Residency Apartments</v>
      </c>
      <c r="AB220" s="228" t="str">
        <f>IFERROR(__xludf.DUMMYFUNCTION("""COMPUTED_VALUE"""),"Pakistani")</f>
        <v>Pakistani</v>
      </c>
      <c r="AC220" s="228" t="str">
        <f>IFERROR(__xludf.DUMMYFUNCTION("""COMPUTED_VALUE"""),"Single")</f>
        <v>Single</v>
      </c>
      <c r="AD220" s="228"/>
      <c r="AE220" s="228"/>
      <c r="AF220" s="228"/>
      <c r="AG220" s="228" t="str">
        <f>IFERROR(__xludf.DUMMYFUNCTION("""COMPUTED_VALUE"""),"Muhammad Abdur Raqeeb")</f>
        <v>Muhammad Abdur Raqeeb</v>
      </c>
      <c r="AH220" s="228" t="str">
        <f>IFERROR(__xludf.DUMMYFUNCTION("""COMPUTED_VALUE"""),"Father")</f>
        <v>Father</v>
      </c>
      <c r="AI220" s="228" t="str">
        <f>IFERROR(__xludf.DUMMYFUNCTION("""COMPUTED_VALUE"""),"03465000477")</f>
        <v>03465000477</v>
      </c>
      <c r="AJ220" s="228" t="str">
        <f>IFERROR(__xludf.DUMMYFUNCTION("""COMPUTED_VALUE"""),"B+")</f>
        <v>B+</v>
      </c>
      <c r="AK220" s="731" t="str">
        <f>IFERROR(__xludf.DUMMYFUNCTION("""COMPUTED_VALUE"""),"https://www.linkedin.com/in/muhammad--suhaib/")</f>
        <v>https://www.linkedin.com/in/muhammad--suhaib/</v>
      </c>
      <c r="AL220" s="228"/>
      <c r="AM220" s="730">
        <f>IFERROR(__xludf.DUMMYFUNCTION("""COMPUTED_VALUE"""),45051.0)</f>
        <v>45051</v>
      </c>
      <c r="AN220" s="228"/>
      <c r="AO220" s="228"/>
      <c r="AP220" s="228" t="str">
        <f>IFERROR(__xludf.DUMMYFUNCTION("""COMPUTED_VALUE"""),"NO")</f>
        <v>NO</v>
      </c>
      <c r="AQ220" s="228" t="str">
        <f>IFERROR(__xludf.DUMMYFUNCTION("""COMPUTED_VALUE"""),"Resigned/Terminated")</f>
        <v>Resigned/Terminated</v>
      </c>
    </row>
    <row r="221">
      <c r="A221" s="228">
        <f>IFERROR(__xludf.DUMMYFUNCTION("""COMPUTED_VALUE"""),5126.0)</f>
        <v>5126</v>
      </c>
      <c r="B221" s="228" t="str">
        <f>IFERROR(__xludf.DUMMYFUNCTION("""COMPUTED_VALUE"""),"Saeed Ahmad")</f>
        <v>Saeed Ahmad</v>
      </c>
      <c r="C221" s="228"/>
      <c r="D221" s="228"/>
      <c r="E221" s="730">
        <f>IFERROR(__xludf.DUMMYFUNCTION("""COMPUTED_VALUE"""),45048.0)</f>
        <v>45048</v>
      </c>
      <c r="F221" s="228" t="str">
        <f>IFERROR(__xludf.DUMMYFUNCTION("""COMPUTED_VALUE"""),"Associate ML Engineer")</f>
        <v>Associate ML Engineer</v>
      </c>
      <c r="G221" s="228" t="str">
        <f>IFERROR(__xludf.DUMMYFUNCTION("""COMPUTED_VALUE"""),"ML")</f>
        <v>ML</v>
      </c>
      <c r="H221" s="228" t="str">
        <f>IFERROR(__xludf.DUMMYFUNCTION("""COMPUTED_VALUE"""),"Abdullah")</f>
        <v>Abdullah</v>
      </c>
      <c r="I221" s="228" t="str">
        <f>IFERROR(__xludf.DUMMYFUNCTION("""COMPUTED_VALUE"""),"Permanent")</f>
        <v>Permanent</v>
      </c>
      <c r="J221" s="228"/>
      <c r="K221" s="228" t="str">
        <f>IFERROR(__xludf.DUMMYFUNCTION("""COMPUTED_VALUE"""),"3 M")</f>
        <v>3 M</v>
      </c>
      <c r="L221" s="228"/>
      <c r="M221" s="228"/>
      <c r="N221" s="228"/>
      <c r="O221" s="228"/>
      <c r="P221" s="228" t="str">
        <f>IFERROR(__xludf.DUMMYFUNCTION("""COMPUTED_VALUE"""),"923369033936")</f>
        <v>923369033936</v>
      </c>
      <c r="Q221" s="228" t="str">
        <f>IFERROR(__xludf.DUMMYFUNCTION("""COMPUTED_VALUE"""),"15101-1593167-3")</f>
        <v>15101-1593167-3</v>
      </c>
      <c r="R221" s="228" t="str">
        <f>IFERROR(__xludf.DUMMYFUNCTION("""COMPUTED_VALUE"""),"Male")</f>
        <v>Male</v>
      </c>
      <c r="S221" s="228"/>
      <c r="T221" s="228"/>
      <c r="U221" s="228"/>
      <c r="V221" s="228"/>
      <c r="W221" s="228"/>
      <c r="X221" s="228"/>
      <c r="Y221" s="730">
        <f>IFERROR(__xludf.DUMMYFUNCTION("""COMPUTED_VALUE"""),36666.0)</f>
        <v>36666</v>
      </c>
      <c r="Z221" s="228" t="str">
        <f>IFERROR(__xludf.DUMMYFUNCTION("""COMPUTED_VALUE"""),"27 Years")</f>
        <v>27 Years</v>
      </c>
      <c r="AA221" s="228" t="str">
        <f>IFERROR(__xludf.DUMMYFUNCTION("""COMPUTED_VALUE"""),"Chungcheongbuk-do, South Korea")</f>
        <v>Chungcheongbuk-do, South Korea</v>
      </c>
      <c r="AB221" s="228" t="str">
        <f>IFERROR(__xludf.DUMMYFUNCTION("""COMPUTED_VALUE"""),"Pakistani")</f>
        <v>Pakistani</v>
      </c>
      <c r="AC221" s="228" t="str">
        <f>IFERROR(__xludf.DUMMYFUNCTION("""COMPUTED_VALUE"""),"Single")</f>
        <v>Single</v>
      </c>
      <c r="AD221" s="228"/>
      <c r="AE221" s="228"/>
      <c r="AF221" s="228"/>
      <c r="AG221" s="228" t="str">
        <f>IFERROR(__xludf.DUMMYFUNCTION("""COMPUTED_VALUE"""),"Khair Ul Bashar")</f>
        <v>Khair Ul Bashar</v>
      </c>
      <c r="AH221" s="228" t="str">
        <f>IFERROR(__xludf.DUMMYFUNCTION("""COMPUTED_VALUE"""),"Father")</f>
        <v>Father</v>
      </c>
      <c r="AI221" s="228" t="str">
        <f>IFERROR(__xludf.DUMMYFUNCTION("""COMPUTED_VALUE"""),"Ahmad Sadiq (0332-9554500)")</f>
        <v>Ahmad Sadiq (0332-9554500)</v>
      </c>
      <c r="AJ221" s="228"/>
      <c r="AK221" s="228"/>
      <c r="AL221" s="228"/>
      <c r="AM221" s="730">
        <f>IFERROR(__xludf.DUMMYFUNCTION("""COMPUTED_VALUE"""),45051.0)</f>
        <v>45051</v>
      </c>
      <c r="AN221" s="228"/>
      <c r="AO221" s="228"/>
      <c r="AP221" s="228" t="str">
        <f>IFERROR(__xludf.DUMMYFUNCTION("""COMPUTED_VALUE"""),"NO")</f>
        <v>NO</v>
      </c>
      <c r="AQ221" s="228" t="str">
        <f>IFERROR(__xludf.DUMMYFUNCTION("""COMPUTED_VALUE"""),"Resigned/Terminated")</f>
        <v>Resigned/Terminated</v>
      </c>
    </row>
    <row r="222">
      <c r="A222" s="228">
        <f>IFERROR(__xludf.DUMMYFUNCTION("""COMPUTED_VALUE"""),5013.0)</f>
        <v>5013</v>
      </c>
      <c r="B222" s="228" t="str">
        <f>IFERROR(__xludf.DUMMYFUNCTION("""COMPUTED_VALUE"""),"Muhammad Haris Gul")</f>
        <v>Muhammad Haris Gul</v>
      </c>
      <c r="C222" s="228" t="str">
        <f>IFERROR(__xludf.DUMMYFUNCTION("""COMPUTED_VALUE"""),"muhammadharis86@outlook.com")</f>
        <v>muhammadharis86@outlook.com</v>
      </c>
      <c r="D222" s="228" t="str">
        <f>IFERROR(__xludf.DUMMYFUNCTION("""COMPUTED_VALUE"""),"haris.gul@vyro.ai")</f>
        <v>haris.gul@vyro.ai</v>
      </c>
      <c r="E222" s="730">
        <f>IFERROR(__xludf.DUMMYFUNCTION("""COMPUTED_VALUE"""),43845.0)</f>
        <v>43845</v>
      </c>
      <c r="F222" s="228" t="str">
        <f>IFERROR(__xludf.DUMMYFUNCTION("""COMPUTED_VALUE"""),"Design Lead")</f>
        <v>Design Lead</v>
      </c>
      <c r="G222" s="228" t="str">
        <f>IFERROR(__xludf.DUMMYFUNCTION("""COMPUTED_VALUE"""),"Design")</f>
        <v>Design</v>
      </c>
      <c r="H222" s="228" t="str">
        <f>IFERROR(__xludf.DUMMYFUNCTION("""COMPUTED_VALUE"""),"Z/A")</f>
        <v>Z/A</v>
      </c>
      <c r="I222" s="228" t="str">
        <f>IFERROR(__xludf.DUMMYFUNCTION("""COMPUTED_VALUE"""),"Permanent")</f>
        <v>Permanent</v>
      </c>
      <c r="J222" s="228"/>
      <c r="K222" s="228"/>
      <c r="L222" s="228"/>
      <c r="M222" s="228"/>
      <c r="N222" s="228"/>
      <c r="O222" s="228"/>
      <c r="P222" s="228" t="str">
        <f>IFERROR(__xludf.DUMMYFUNCTION("""COMPUTED_VALUE"""),"0346-5007266")</f>
        <v>0346-5007266</v>
      </c>
      <c r="Q222" s="228" t="str">
        <f>IFERROR(__xludf.DUMMYFUNCTION("""COMPUTED_VALUE"""),"61101-3389194-7")</f>
        <v>61101-3389194-7</v>
      </c>
      <c r="R222" s="228" t="str">
        <f>IFERROR(__xludf.DUMMYFUNCTION("""COMPUTED_VALUE"""),"Male")</f>
        <v>Male</v>
      </c>
      <c r="S222" s="228" t="str">
        <f>IFERROR(__xludf.DUMMYFUNCTION("""COMPUTED_VALUE"""),"Meezan")</f>
        <v>Meezan</v>
      </c>
      <c r="T222" s="228"/>
      <c r="U222" s="228" t="str">
        <f>IFERROR(__xludf.DUMMYFUNCTION("""COMPUTED_VALUE"""),"03270105539200")</f>
        <v>03270105539200</v>
      </c>
      <c r="V222" s="228"/>
      <c r="W222" s="228"/>
      <c r="X222" s="228"/>
      <c r="Y222" s="730">
        <f>IFERROR(__xludf.DUMMYFUNCTION("""COMPUTED_VALUE"""),36029.0)</f>
        <v>36029</v>
      </c>
      <c r="Z222" s="228" t="str">
        <f>IFERROR(__xludf.DUMMYFUNCTION("""COMPUTED_VALUE"""),"26 Years")</f>
        <v>26 Years</v>
      </c>
      <c r="AA222" s="228" t="str">
        <f>IFERROR(__xludf.DUMMYFUNCTION("""COMPUTED_VALUE"""),"12, block 15, category 5, I9/4, isb")</f>
        <v>12, block 15, category 5, I9/4, isb</v>
      </c>
      <c r="AB222" s="228" t="str">
        <f>IFERROR(__xludf.DUMMYFUNCTION("""COMPUTED_VALUE"""),"Pakistani")</f>
        <v>Pakistani</v>
      </c>
      <c r="AC222" s="228" t="str">
        <f>IFERROR(__xludf.DUMMYFUNCTION("""COMPUTED_VALUE"""),"Single")</f>
        <v>Single</v>
      </c>
      <c r="AD222" s="228"/>
      <c r="AE222" s="228"/>
      <c r="AF222" s="228"/>
      <c r="AG222" s="228" t="str">
        <f>IFERROR(__xludf.DUMMYFUNCTION("""COMPUTED_VALUE"""),"Muhammad Anwar Gul")</f>
        <v>Muhammad Anwar Gul</v>
      </c>
      <c r="AH222" s="228" t="str">
        <f>IFERROR(__xludf.DUMMYFUNCTION("""COMPUTED_VALUE"""),"Father")</f>
        <v>Father</v>
      </c>
      <c r="AI222" s="228" t="str">
        <f>IFERROR(__xludf.DUMMYFUNCTION("""COMPUTED_VALUE"""),"0300-5521300")</f>
        <v>0300-5521300</v>
      </c>
      <c r="AJ222" s="228"/>
      <c r="AK222" s="731" t="str">
        <f>IFERROR(__xludf.DUMMYFUNCTION("""COMPUTED_VALUE"""),"https://www.linkedin.com/in/muhammad-haris-37b113135/")</f>
        <v>https://www.linkedin.com/in/muhammad-haris-37b113135/</v>
      </c>
      <c r="AL222" s="228"/>
      <c r="AM222" s="730">
        <f>IFERROR(__xludf.DUMMYFUNCTION("""COMPUTED_VALUE"""),45053.0)</f>
        <v>45053</v>
      </c>
      <c r="AN222" s="228"/>
      <c r="AO222" s="228"/>
      <c r="AP222" s="228" t="str">
        <f>IFERROR(__xludf.DUMMYFUNCTION("""COMPUTED_VALUE"""),"NO")</f>
        <v>NO</v>
      </c>
      <c r="AQ222" s="228" t="str">
        <f>IFERROR(__xludf.DUMMYFUNCTION("""COMPUTED_VALUE"""),"Resigned/Terminated")</f>
        <v>Resigned/Terminated</v>
      </c>
    </row>
    <row r="223">
      <c r="A223" s="228">
        <f>IFERROR(__xludf.DUMMYFUNCTION("""COMPUTED_VALUE"""),5073.0)</f>
        <v>5073</v>
      </c>
      <c r="B223" s="228" t="str">
        <f>IFERROR(__xludf.DUMMYFUNCTION("""COMPUTED_VALUE"""),"Muhammad Arham")</f>
        <v>Muhammad Arham</v>
      </c>
      <c r="C223" s="228" t="str">
        <f>IFERROR(__xludf.DUMMYFUNCTION("""COMPUTED_VALUE"""),"marham.bese20seecs@seecs.edu.pk")</f>
        <v>marham.bese20seecs@seecs.edu.pk</v>
      </c>
      <c r="D223" s="228"/>
      <c r="E223" s="228"/>
      <c r="F223" s="228" t="str">
        <f>IFERROR(__xludf.DUMMYFUNCTION("""COMPUTED_VALUE"""),"Associate Machine Learning Engineer")</f>
        <v>Associate Machine Learning Engineer</v>
      </c>
      <c r="G223" s="228" t="str">
        <f>IFERROR(__xludf.DUMMYFUNCTION("""COMPUTED_VALUE"""),"R&amp;D")</f>
        <v>R&amp;D</v>
      </c>
      <c r="H223" s="228" t="str">
        <f>IFERROR(__xludf.DUMMYFUNCTION("""COMPUTED_VALUE"""),"Abdullah")</f>
        <v>Abdullah</v>
      </c>
      <c r="I223" s="228" t="str">
        <f>IFERROR(__xludf.DUMMYFUNCTION("""COMPUTED_VALUE"""),"Intern")</f>
        <v>Intern</v>
      </c>
      <c r="J223" s="228"/>
      <c r="K223" s="228" t="str">
        <f>IFERROR(__xludf.DUMMYFUNCTION("""COMPUTED_VALUE"""),"3 M")</f>
        <v>3 M</v>
      </c>
      <c r="L223" s="228"/>
      <c r="M223" s="228"/>
      <c r="N223" s="228"/>
      <c r="O223" s="228"/>
      <c r="P223" s="228" t="str">
        <f>IFERROR(__xludf.DUMMYFUNCTION("""COMPUTED_VALUE"""),"03216891642")</f>
        <v>03216891642</v>
      </c>
      <c r="Q223" s="228" t="str">
        <f>IFERROR(__xludf.DUMMYFUNCTION("""COMPUTED_VALUE"""),"36103-7439746-1")</f>
        <v>36103-7439746-1</v>
      </c>
      <c r="R223" s="228" t="str">
        <f>IFERROR(__xludf.DUMMYFUNCTION("""COMPUTED_VALUE"""),"Male")</f>
        <v>Male</v>
      </c>
      <c r="S223" s="228" t="str">
        <f>IFERROR(__xludf.DUMMYFUNCTION("""COMPUTED_VALUE"""),"HBL")</f>
        <v>HBL</v>
      </c>
      <c r="T223" s="228"/>
      <c r="U223" s="228" t="str">
        <f>IFERROR(__xludf.DUMMYFUNCTION("""COMPUTED_VALUE"""),"01187991966803")</f>
        <v>01187991966803</v>
      </c>
      <c r="V223" s="228"/>
      <c r="W223" s="228"/>
      <c r="X223" s="228"/>
      <c r="Y223" s="730">
        <f>IFERROR(__xludf.DUMMYFUNCTION("""COMPUTED_VALUE"""),37136.0)</f>
        <v>37136</v>
      </c>
      <c r="Z223" s="228" t="str">
        <f>IFERROR(__xludf.DUMMYFUNCTION("""COMPUTED_VALUE"""),"23 Years")</f>
        <v>23 Years</v>
      </c>
      <c r="AA223" s="228" t="str">
        <f>IFERROR(__xludf.DUMMYFUNCTION("""COMPUTED_VALUE"""),"Ghazali Hostels, NUST, H12, Islamabad")</f>
        <v>Ghazali Hostels, NUST, H12, Islamabad</v>
      </c>
      <c r="AB223" s="228" t="str">
        <f>IFERROR(__xludf.DUMMYFUNCTION("""COMPUTED_VALUE"""),"Pakistani")</f>
        <v>Pakistani</v>
      </c>
      <c r="AC223" s="228" t="str">
        <f>IFERROR(__xludf.DUMMYFUNCTION("""COMPUTED_VALUE"""),"Single")</f>
        <v>Single</v>
      </c>
      <c r="AD223" s="228"/>
      <c r="AE223" s="228"/>
      <c r="AF223" s="228"/>
      <c r="AG223" s="228" t="str">
        <f>IFERROR(__xludf.DUMMYFUNCTION("""COMPUTED_VALUE"""),"Muhammad Iqbal Malik")</f>
        <v>Muhammad Iqbal Malik</v>
      </c>
      <c r="AH223" s="228" t="str">
        <f>IFERROR(__xludf.DUMMYFUNCTION("""COMPUTED_VALUE"""),"Father")</f>
        <v>Father</v>
      </c>
      <c r="AI223" s="228" t="str">
        <f>IFERROR(__xludf.DUMMYFUNCTION("""COMPUTED_VALUE"""),"0300 6891642")</f>
        <v>0300 6891642</v>
      </c>
      <c r="AJ223" s="228" t="str">
        <f>IFERROR(__xludf.DUMMYFUNCTION("""COMPUTED_VALUE"""),"O+")</f>
        <v>O+</v>
      </c>
      <c r="AK223" s="731" t="str">
        <f>IFERROR(__xludf.DUMMYFUNCTION("""COMPUTED_VALUE"""),"https://www.linkedin.com/in/muhammad-arham-a5b1b1237/")</f>
        <v>https://www.linkedin.com/in/muhammad-arham-a5b1b1237/</v>
      </c>
      <c r="AL223" s="228"/>
      <c r="AM223" s="730">
        <f>IFERROR(__xludf.DUMMYFUNCTION("""COMPUTED_VALUE"""),45054.0)</f>
        <v>45054</v>
      </c>
      <c r="AN223" s="228"/>
      <c r="AO223" s="228"/>
      <c r="AP223" s="228" t="str">
        <f>IFERROR(__xludf.DUMMYFUNCTION("""COMPUTED_VALUE"""),"NO")</f>
        <v>NO</v>
      </c>
      <c r="AQ223" s="228" t="str">
        <f>IFERROR(__xludf.DUMMYFUNCTION("""COMPUTED_VALUE"""),"Resigned/Terminated")</f>
        <v>Resigned/Terminated</v>
      </c>
    </row>
    <row r="224">
      <c r="A224" s="228">
        <f>IFERROR(__xludf.DUMMYFUNCTION("""COMPUTED_VALUE"""),5080.0)</f>
        <v>5080</v>
      </c>
      <c r="B224" s="228" t="str">
        <f>IFERROR(__xludf.DUMMYFUNCTION("""COMPUTED_VALUE"""),"Narmin Yaseen")</f>
        <v>Narmin Yaseen</v>
      </c>
      <c r="C224" s="228" t="str">
        <f>IFERROR(__xludf.DUMMYFUNCTION("""COMPUTED_VALUE"""),"narminyaseen1@gmail.com")</f>
        <v>narminyaseen1@gmail.com</v>
      </c>
      <c r="D224" s="228" t="str">
        <f>IFERROR(__xludf.DUMMYFUNCTION("""COMPUTED_VALUE"""),"narmin.yaseen@vyro.ai")</f>
        <v>narmin.yaseen@vyro.ai</v>
      </c>
      <c r="E224" s="730">
        <f>IFERROR(__xludf.DUMMYFUNCTION("""COMPUTED_VALUE"""),44872.0)</f>
        <v>44872</v>
      </c>
      <c r="F224" s="228" t="str">
        <f>IFERROR(__xludf.DUMMYFUNCTION("""COMPUTED_VALUE"""),"Talent Acquisition Specialist")</f>
        <v>Talent Acquisition Specialist</v>
      </c>
      <c r="G224" s="228" t="str">
        <f>IFERROR(__xludf.DUMMYFUNCTION("""COMPUTED_VALUE"""),"People")</f>
        <v>People</v>
      </c>
      <c r="H224" s="228" t="str">
        <f>IFERROR(__xludf.DUMMYFUNCTION("""COMPUTED_VALUE"""),"Ahmed")</f>
        <v>Ahmed</v>
      </c>
      <c r="I224" s="228" t="str">
        <f>IFERROR(__xludf.DUMMYFUNCTION("""COMPUTED_VALUE"""),"Permanent")</f>
        <v>Permanent</v>
      </c>
      <c r="J224" s="228"/>
      <c r="K224" s="228" t="str">
        <f>IFERROR(__xludf.DUMMYFUNCTION("""COMPUTED_VALUE"""),"3 M")</f>
        <v>3 M</v>
      </c>
      <c r="L224" s="228"/>
      <c r="M224" s="228"/>
      <c r="N224" s="228"/>
      <c r="O224" s="228"/>
      <c r="P224" s="228" t="str">
        <f>IFERROR(__xludf.DUMMYFUNCTION("""COMPUTED_VALUE"""),"0302 5100687")</f>
        <v>0302 5100687</v>
      </c>
      <c r="Q224" s="228" t="str">
        <f>IFERROR(__xludf.DUMMYFUNCTION("""COMPUTED_VALUE"""),"61101-1191343-6")</f>
        <v>61101-1191343-6</v>
      </c>
      <c r="R224" s="228" t="str">
        <f>IFERROR(__xludf.DUMMYFUNCTION("""COMPUTED_VALUE"""),"Female")</f>
        <v>Female</v>
      </c>
      <c r="S224" s="228" t="str">
        <f>IFERROR(__xludf.DUMMYFUNCTION("""COMPUTED_VALUE"""),"Askari Bank")</f>
        <v>Askari Bank</v>
      </c>
      <c r="T224" s="228"/>
      <c r="U224" s="228" t="str">
        <f>IFERROR(__xludf.DUMMYFUNCTION("""COMPUTED_VALUE"""),"01430320207113")</f>
        <v>01430320207113</v>
      </c>
      <c r="V224" s="228"/>
      <c r="W224" s="228"/>
      <c r="X224" s="228"/>
      <c r="Y224" s="730">
        <f>IFERROR(__xludf.DUMMYFUNCTION("""COMPUTED_VALUE"""),34279.0)</f>
        <v>34279</v>
      </c>
      <c r="Z224" s="228" t="str">
        <f>IFERROR(__xludf.DUMMYFUNCTION("""COMPUTED_VALUE"""),"31 Years")</f>
        <v>31 Years</v>
      </c>
      <c r="AA224" s="228" t="str">
        <f>IFERROR(__xludf.DUMMYFUNCTION("""COMPUTED_VALUE"""),"House no. 107, Gali 116, Street 30, I10/4, Islamabad")</f>
        <v>House no. 107, Gali 116, Street 30, I10/4, Islamabad</v>
      </c>
      <c r="AB224" s="228" t="str">
        <f>IFERROR(__xludf.DUMMYFUNCTION("""COMPUTED_VALUE"""),"Pakistani")</f>
        <v>Pakistani</v>
      </c>
      <c r="AC224" s="228" t="str">
        <f>IFERROR(__xludf.DUMMYFUNCTION("""COMPUTED_VALUE"""),"Single")</f>
        <v>Single</v>
      </c>
      <c r="AD224" s="228"/>
      <c r="AE224" s="228"/>
      <c r="AF224" s="228"/>
      <c r="AG224" s="228" t="str">
        <f>IFERROR(__xludf.DUMMYFUNCTION("""COMPUTED_VALUE"""),"Muhammad Yaseen")</f>
        <v>Muhammad Yaseen</v>
      </c>
      <c r="AH224" s="228" t="str">
        <f>IFERROR(__xludf.DUMMYFUNCTION("""COMPUTED_VALUE"""),"Father")</f>
        <v>Father</v>
      </c>
      <c r="AI224" s="228" t="str">
        <f>IFERROR(__xludf.DUMMYFUNCTION("""COMPUTED_VALUE"""),"03009106243")</f>
        <v>03009106243</v>
      </c>
      <c r="AJ224" s="228" t="str">
        <f>IFERROR(__xludf.DUMMYFUNCTION("""COMPUTED_VALUE"""),"B+")</f>
        <v>B+</v>
      </c>
      <c r="AK224" s="228" t="str">
        <f>IFERROR(__xludf.DUMMYFUNCTION("""COMPUTED_VALUE"""),"(17) Narmin Yaseen | LinkedIn")</f>
        <v>(17) Narmin Yaseen | LinkedIn</v>
      </c>
      <c r="AL224" s="228"/>
      <c r="AM224" s="730">
        <f>IFERROR(__xludf.DUMMYFUNCTION("""COMPUTED_VALUE"""),45065.0)</f>
        <v>45065</v>
      </c>
      <c r="AN224" s="228"/>
      <c r="AO224" s="228"/>
      <c r="AP224" s="228" t="str">
        <f>IFERROR(__xludf.DUMMYFUNCTION("""COMPUTED_VALUE"""),"NO")</f>
        <v>NO</v>
      </c>
      <c r="AQ224" s="228" t="str">
        <f>IFERROR(__xludf.DUMMYFUNCTION("""COMPUTED_VALUE"""),"Resigned/Terminated")</f>
        <v>Resigned/Terminated</v>
      </c>
    </row>
    <row r="225">
      <c r="A225" s="228">
        <f>IFERROR(__xludf.DUMMYFUNCTION("""COMPUTED_VALUE"""),5111.0)</f>
        <v>5111</v>
      </c>
      <c r="B225" s="228" t="str">
        <f>IFERROR(__xludf.DUMMYFUNCTION("""COMPUTED_VALUE"""),"Muhammad Usama")</f>
        <v>Muhammad Usama</v>
      </c>
      <c r="C225" s="228" t="str">
        <f>IFERROR(__xludf.DUMMYFUNCTION("""COMPUTED_VALUE"""),"usamaa.saleeem@gmail.com")</f>
        <v>usamaa.saleeem@gmail.com</v>
      </c>
      <c r="D225" s="228" t="str">
        <f>IFERROR(__xludf.DUMMYFUNCTION("""COMPUTED_VALUE"""),"usama.saleem@vyro.ai")</f>
        <v>usama.saleem@vyro.ai</v>
      </c>
      <c r="E225" s="730">
        <f>IFERROR(__xludf.DUMMYFUNCTION("""COMPUTED_VALUE"""),44992.0)</f>
        <v>44992</v>
      </c>
      <c r="F225" s="228" t="str">
        <f>IFERROR(__xludf.DUMMYFUNCTION("""COMPUTED_VALUE"""),"Associate ML Engineer")</f>
        <v>Associate ML Engineer</v>
      </c>
      <c r="G225" s="228" t="str">
        <f>IFERROR(__xludf.DUMMYFUNCTION("""COMPUTED_VALUE"""),"ML")</f>
        <v>ML</v>
      </c>
      <c r="H225" s="228" t="str">
        <f>IFERROR(__xludf.DUMMYFUNCTION("""COMPUTED_VALUE"""),"Abdullah")</f>
        <v>Abdullah</v>
      </c>
      <c r="I225" s="228" t="str">
        <f>IFERROR(__xludf.DUMMYFUNCTION("""COMPUTED_VALUE"""),"Permanent")</f>
        <v>Permanent</v>
      </c>
      <c r="J225" s="228"/>
      <c r="K225" s="228" t="str">
        <f>IFERROR(__xludf.DUMMYFUNCTION("""COMPUTED_VALUE"""),"3 M")</f>
        <v>3 M</v>
      </c>
      <c r="L225" s="732">
        <f>IFERROR(__xludf.DUMMYFUNCTION("""COMPUTED_VALUE"""),45084.0)</f>
        <v>45084</v>
      </c>
      <c r="M225" s="228"/>
      <c r="N225" s="228"/>
      <c r="O225" s="228"/>
      <c r="P225" s="228" t="str">
        <f>IFERROR(__xludf.DUMMYFUNCTION("""COMPUTED_VALUE"""),"03367295432")</f>
        <v>03367295432</v>
      </c>
      <c r="Q225" s="228" t="str">
        <f>IFERROR(__xludf.DUMMYFUNCTION("""COMPUTED_VALUE"""),"31304-6913615-1")</f>
        <v>31304-6913615-1</v>
      </c>
      <c r="R225" s="228" t="str">
        <f>IFERROR(__xludf.DUMMYFUNCTION("""COMPUTED_VALUE"""),"Male")</f>
        <v>Male</v>
      </c>
      <c r="S225" s="228" t="str">
        <f>IFERROR(__xludf.DUMMYFUNCTION("""COMPUTED_VALUE"""),"Meezan")</f>
        <v>Meezan</v>
      </c>
      <c r="T225" s="228"/>
      <c r="U225" s="228" t="str">
        <f>IFERROR(__xludf.DUMMYFUNCTION("""COMPUTED_VALUE"""),"PK49MEZN0019020105218362")</f>
        <v>PK49MEZN0019020105218362</v>
      </c>
      <c r="V225" s="228"/>
      <c r="W225" s="228"/>
      <c r="X225" s="228"/>
      <c r="Y225" s="730">
        <f>IFERROR(__xludf.DUMMYFUNCTION("""COMPUTED_VALUE"""),36545.0)</f>
        <v>36545</v>
      </c>
      <c r="Z225" s="228" t="str">
        <f>IFERROR(__xludf.DUMMYFUNCTION("""COMPUTED_VALUE"""),"25 Years")</f>
        <v>25 Years</v>
      </c>
      <c r="AA225" s="228" t="str">
        <f>IFERROR(__xludf.DUMMYFUNCTION("""COMPUTED_VALUE"""),"House E 54, FFC Township Goth Machhi, Sadiqabad")</f>
        <v>House E 54, FFC Township Goth Machhi, Sadiqabad</v>
      </c>
      <c r="AB225" s="228" t="str">
        <f>IFERROR(__xludf.DUMMYFUNCTION("""COMPUTED_VALUE"""),"Pakistani")</f>
        <v>Pakistani</v>
      </c>
      <c r="AC225" s="228" t="str">
        <f>IFERROR(__xludf.DUMMYFUNCTION("""COMPUTED_VALUE"""),"Single")</f>
        <v>Single</v>
      </c>
      <c r="AD225" s="228"/>
      <c r="AE225" s="228"/>
      <c r="AF225" s="228"/>
      <c r="AG225" s="228" t="str">
        <f>IFERROR(__xludf.DUMMYFUNCTION("""COMPUTED_VALUE"""),"Muhammad Saleem Aziz")</f>
        <v>Muhammad Saleem Aziz</v>
      </c>
      <c r="AH225" s="228" t="str">
        <f>IFERROR(__xludf.DUMMYFUNCTION("""COMPUTED_VALUE"""),"Father")</f>
        <v>Father</v>
      </c>
      <c r="AI225" s="228" t="str">
        <f>IFERROR(__xludf.DUMMYFUNCTION("""COMPUTED_VALUE"""),"03347295432")</f>
        <v>03347295432</v>
      </c>
      <c r="AJ225" s="228" t="str">
        <f>IFERROR(__xludf.DUMMYFUNCTION("""COMPUTED_VALUE"""),"O+")</f>
        <v>O+</v>
      </c>
      <c r="AK225" s="228"/>
      <c r="AL225" s="228"/>
      <c r="AM225" s="730">
        <f>IFERROR(__xludf.DUMMYFUNCTION("""COMPUTED_VALUE"""),45083.0)</f>
        <v>45083</v>
      </c>
      <c r="AN225" s="228"/>
      <c r="AO225" s="228"/>
      <c r="AP225" s="228" t="str">
        <f>IFERROR(__xludf.DUMMYFUNCTION("""COMPUTED_VALUE"""),"NO")</f>
        <v>NO</v>
      </c>
      <c r="AQ225" s="228" t="str">
        <f>IFERROR(__xludf.DUMMYFUNCTION("""COMPUTED_VALUE"""),"Resigned/Terminated")</f>
        <v>Resigned/Terminated</v>
      </c>
    </row>
    <row r="226">
      <c r="A226" s="228">
        <f>IFERROR(__xludf.DUMMYFUNCTION("""COMPUTED_VALUE"""),5130.0)</f>
        <v>5130</v>
      </c>
      <c r="B226" s="228" t="str">
        <f>IFERROR(__xludf.DUMMYFUNCTION("""COMPUTED_VALUE"""),"Ashfahan Khan")</f>
        <v>Ashfahan Khan</v>
      </c>
      <c r="C226" s="228" t="str">
        <f>IFERROR(__xludf.DUMMYFUNCTION("""COMPUTED_VALUE"""),"vyro@ashfahan.com")</f>
        <v>vyro@ashfahan.com</v>
      </c>
      <c r="D226" s="228" t="str">
        <f>IFERROR(__xludf.DUMMYFUNCTION("""COMPUTED_VALUE"""),"ashfahan.khan@vyro.ai")</f>
        <v>ashfahan.khan@vyro.ai</v>
      </c>
      <c r="E226" s="730">
        <f>IFERROR(__xludf.DUMMYFUNCTION("""COMPUTED_VALUE"""),45068.0)</f>
        <v>45068</v>
      </c>
      <c r="F226" s="228" t="str">
        <f>IFERROR(__xludf.DUMMYFUNCTION("""COMPUTED_VALUE"""),"Frontend Developer")</f>
        <v>Frontend Developer</v>
      </c>
      <c r="G226" s="228" t="str">
        <f>IFERROR(__xludf.DUMMYFUNCTION("""COMPUTED_VALUE"""),"Web")</f>
        <v>Web</v>
      </c>
      <c r="H226" s="228" t="str">
        <f>IFERROR(__xludf.DUMMYFUNCTION("""COMPUTED_VALUE"""),"Abdullah")</f>
        <v>Abdullah</v>
      </c>
      <c r="I226" s="228" t="str">
        <f>IFERROR(__xludf.DUMMYFUNCTION("""COMPUTED_VALUE"""),"Permanent")</f>
        <v>Permanent</v>
      </c>
      <c r="J226" s="228"/>
      <c r="K226" s="228" t="str">
        <f>IFERROR(__xludf.DUMMYFUNCTION("""COMPUTED_VALUE"""),"3 M")</f>
        <v>3 M</v>
      </c>
      <c r="L226" s="732">
        <f>IFERROR(__xludf.DUMMYFUNCTION("""COMPUTED_VALUE"""),45160.0)</f>
        <v>45160</v>
      </c>
      <c r="M226" s="228"/>
      <c r="N226" s="228"/>
      <c r="O226" s="228"/>
      <c r="P226" s="228" t="str">
        <f>IFERROR(__xludf.DUMMYFUNCTION("""COMPUTED_VALUE"""),"0331 6123459")</f>
        <v>0331 6123459</v>
      </c>
      <c r="Q226" s="228" t="str">
        <f>IFERROR(__xludf.DUMMYFUNCTION("""COMPUTED_VALUE"""),"12101-8577618-1")</f>
        <v>12101-8577618-1</v>
      </c>
      <c r="R226" s="228" t="str">
        <f>IFERROR(__xludf.DUMMYFUNCTION("""COMPUTED_VALUE"""),"Male")</f>
        <v>Male</v>
      </c>
      <c r="S226" s="228" t="str">
        <f>IFERROR(__xludf.DUMMYFUNCTION("""COMPUTED_VALUE"""),"Meezan Bank")</f>
        <v>Meezan Bank</v>
      </c>
      <c r="T226" s="228"/>
      <c r="U226" s="228" t="str">
        <f>IFERROR(__xludf.DUMMYFUNCTION("""COMPUTED_VALUE"""),"PK88MEZN0003150104609827")</f>
        <v>PK88MEZN0003150104609827</v>
      </c>
      <c r="V226" s="228"/>
      <c r="W226" s="228"/>
      <c r="X226" s="228"/>
      <c r="Y226" s="730">
        <f>IFERROR(__xludf.DUMMYFUNCTION("""COMPUTED_VALUE"""),35612.0)</f>
        <v>35612</v>
      </c>
      <c r="Z226" s="228" t="str">
        <f>IFERROR(__xludf.DUMMYFUNCTION("""COMPUTED_VALUE"""),"28 Years")</f>
        <v>28 Years</v>
      </c>
      <c r="AA226" s="228" t="str">
        <f>IFERROR(__xludf.DUMMYFUNCTION("""COMPUTED_VALUE"""),"al rehman street new islamia colony Dera ismail Khan")</f>
        <v>al rehman street new islamia colony Dera ismail Khan</v>
      </c>
      <c r="AB226" s="228" t="str">
        <f>IFERROR(__xludf.DUMMYFUNCTION("""COMPUTED_VALUE"""),"Pakistani")</f>
        <v>Pakistani</v>
      </c>
      <c r="AC226" s="228" t="str">
        <f>IFERROR(__xludf.DUMMYFUNCTION("""COMPUTED_VALUE"""),"Married")</f>
        <v>Married</v>
      </c>
      <c r="AD226" s="228"/>
      <c r="AE226" s="228"/>
      <c r="AF226" s="228"/>
      <c r="AG226" s="228" t="str">
        <f>IFERROR(__xludf.DUMMYFUNCTION("""COMPUTED_VALUE"""),"Jan")</f>
        <v>Jan</v>
      </c>
      <c r="AH226" s="228" t="str">
        <f>IFERROR(__xludf.DUMMYFUNCTION("""COMPUTED_VALUE"""),"Father")</f>
        <v>Father</v>
      </c>
      <c r="AI226" s="228" t="str">
        <f>IFERROR(__xludf.DUMMYFUNCTION("""COMPUTED_VALUE"""),"92 333 9983940")</f>
        <v>92 333 9983940</v>
      </c>
      <c r="AJ226" s="228"/>
      <c r="AK226" s="228"/>
      <c r="AL226" s="228"/>
      <c r="AM226" s="730">
        <f>IFERROR(__xludf.DUMMYFUNCTION("""COMPUTED_VALUE"""),45092.0)</f>
        <v>45092</v>
      </c>
      <c r="AN226" s="228"/>
      <c r="AO226" s="228"/>
      <c r="AP226" s="228" t="str">
        <f>IFERROR(__xludf.DUMMYFUNCTION("""COMPUTED_VALUE"""),"NO")</f>
        <v>NO</v>
      </c>
      <c r="AQ226" s="228" t="str">
        <f>IFERROR(__xludf.DUMMYFUNCTION("""COMPUTED_VALUE"""),"Resigned/Terminated")</f>
        <v>Resigned/Terminated</v>
      </c>
    </row>
    <row r="227">
      <c r="A227" s="228">
        <f>IFERROR(__xludf.DUMMYFUNCTION("""COMPUTED_VALUE"""),5117.0)</f>
        <v>5117</v>
      </c>
      <c r="B227" s="228" t="str">
        <f>IFERROR(__xludf.DUMMYFUNCTION("""COMPUTED_VALUE"""),"Hamza Zakir")</f>
        <v>Hamza Zakir</v>
      </c>
      <c r="C227" s="228" t="str">
        <f>IFERROR(__xludf.DUMMYFUNCTION("""COMPUTED_VALUE"""),"hamza.zakir29@gmail.com")</f>
        <v>hamza.zakir29@gmail.com</v>
      </c>
      <c r="D227" s="228" t="str">
        <f>IFERROR(__xludf.DUMMYFUNCTION("""COMPUTED_VALUE"""),"hamza.zakir@vyro.ai")</f>
        <v>hamza.zakir@vyro.ai</v>
      </c>
      <c r="E227" s="730">
        <f>IFERROR(__xludf.DUMMYFUNCTION("""COMPUTED_VALUE"""),45026.0)</f>
        <v>45026</v>
      </c>
      <c r="F227" s="228" t="str">
        <f>IFERROR(__xludf.DUMMYFUNCTION("""COMPUTED_VALUE"""),"Software Engineer")</f>
        <v>Software Engineer</v>
      </c>
      <c r="G227" s="228" t="str">
        <f>IFERROR(__xludf.DUMMYFUNCTION("""COMPUTED_VALUE"""),"R&amp;D")</f>
        <v>R&amp;D</v>
      </c>
      <c r="H227" s="228" t="str">
        <f>IFERROR(__xludf.DUMMYFUNCTION("""COMPUTED_VALUE"""),"Abdullah")</f>
        <v>Abdullah</v>
      </c>
      <c r="I227" s="228" t="str">
        <f>IFERROR(__xludf.DUMMYFUNCTION("""COMPUTED_VALUE"""),"Permanent")</f>
        <v>Permanent</v>
      </c>
      <c r="J227" s="228"/>
      <c r="K227" s="228" t="str">
        <f>IFERROR(__xludf.DUMMYFUNCTION("""COMPUTED_VALUE"""),"3 M")</f>
        <v>3 M</v>
      </c>
      <c r="L227" s="732">
        <f>IFERROR(__xludf.DUMMYFUNCTION("""COMPUTED_VALUE"""),45117.0)</f>
        <v>45117</v>
      </c>
      <c r="M227" s="228"/>
      <c r="N227" s="228"/>
      <c r="O227" s="228"/>
      <c r="P227" s="228" t="str">
        <f>IFERROR(__xludf.DUMMYFUNCTION("""COMPUTED_VALUE"""),"0321-3898699")</f>
        <v>0321-3898699</v>
      </c>
      <c r="Q227" s="228" t="str">
        <f>IFERROR(__xludf.DUMMYFUNCTION("""COMPUTED_VALUE"""),"61101-2451815-1")</f>
        <v>61101-2451815-1</v>
      </c>
      <c r="R227" s="228" t="str">
        <f>IFERROR(__xludf.DUMMYFUNCTION("""COMPUTED_VALUE"""),"Male")</f>
        <v>Male</v>
      </c>
      <c r="S227" s="228" t="str">
        <f>IFERROR(__xludf.DUMMYFUNCTION("""COMPUTED_VALUE"""),"Standard Chartered")</f>
        <v>Standard Chartered</v>
      </c>
      <c r="T227" s="228"/>
      <c r="U227" s="228" t="str">
        <f>IFERROR(__xludf.DUMMYFUNCTION("""COMPUTED_VALUE"""),"01001129401")</f>
        <v>01001129401</v>
      </c>
      <c r="V227" s="228"/>
      <c r="W227" s="228"/>
      <c r="X227" s="228"/>
      <c r="Y227" s="730">
        <f>IFERROR(__xludf.DUMMYFUNCTION("""COMPUTED_VALUE"""),36189.0)</f>
        <v>36189</v>
      </c>
      <c r="Z227" s="228" t="str">
        <f>IFERROR(__xludf.DUMMYFUNCTION("""COMPUTED_VALUE"""),"26 Years")</f>
        <v>26 Years</v>
      </c>
      <c r="AA227" s="228" t="str">
        <f>IFERROR(__xludf.DUMMYFUNCTION("""COMPUTED_VALUE"""),"197/1, Street 6, Sector Q, DHA Phase 2, Lahore")</f>
        <v>197/1, Street 6, Sector Q, DHA Phase 2, Lahore</v>
      </c>
      <c r="AB227" s="228" t="str">
        <f>IFERROR(__xludf.DUMMYFUNCTION("""COMPUTED_VALUE"""),"Pakistani")</f>
        <v>Pakistani</v>
      </c>
      <c r="AC227" s="228" t="str">
        <f>IFERROR(__xludf.DUMMYFUNCTION("""COMPUTED_VALUE"""),"Single")</f>
        <v>Single</v>
      </c>
      <c r="AD227" s="228"/>
      <c r="AE227" s="228"/>
      <c r="AF227" s="228"/>
      <c r="AG227" s="228" t="str">
        <f>IFERROR(__xludf.DUMMYFUNCTION("""COMPUTED_VALUE"""),"Muhammad Zakir")</f>
        <v>Muhammad Zakir</v>
      </c>
      <c r="AH227" s="228" t="str">
        <f>IFERROR(__xludf.DUMMYFUNCTION("""COMPUTED_VALUE"""),"Father")</f>
        <v>Father</v>
      </c>
      <c r="AI227" s="228" t="str">
        <f>IFERROR(__xludf.DUMMYFUNCTION("""COMPUTED_VALUE"""),"03332256650")</f>
        <v>03332256650</v>
      </c>
      <c r="AJ227" s="228"/>
      <c r="AK227" s="228"/>
      <c r="AL227" s="228"/>
      <c r="AM227" s="730">
        <f>IFERROR(__xludf.DUMMYFUNCTION("""COMPUTED_VALUE"""),45093.0)</f>
        <v>45093</v>
      </c>
      <c r="AN227" s="228"/>
      <c r="AO227" s="228"/>
      <c r="AP227" s="228" t="str">
        <f>IFERROR(__xludf.DUMMYFUNCTION("""COMPUTED_VALUE"""),"NO")</f>
        <v>NO</v>
      </c>
      <c r="AQ227" s="228" t="str">
        <f>IFERROR(__xludf.DUMMYFUNCTION("""COMPUTED_VALUE"""),"Resigned/Terminated")</f>
        <v>Resigned/Terminated</v>
      </c>
    </row>
    <row r="228">
      <c r="A228" s="228">
        <f>IFERROR(__xludf.DUMMYFUNCTION("""COMPUTED_VALUE"""),5136.0)</f>
        <v>5136</v>
      </c>
      <c r="B228" s="228" t="str">
        <f>IFERROR(__xludf.DUMMYFUNCTION("""COMPUTED_VALUE"""),"Mostafa Ahmed Elsayed Ahmed Abdalla")</f>
        <v>Mostafa Ahmed Elsayed Ahmed Abdalla</v>
      </c>
      <c r="C228" s="228" t="str">
        <f>IFERROR(__xludf.DUMMYFUNCTION("""COMPUTED_VALUE"""),"mostafaa.abdallaa@gmail.com")</f>
        <v>mostafaa.abdallaa@gmail.com</v>
      </c>
      <c r="D228" s="228" t="str">
        <f>IFERROR(__xludf.DUMMYFUNCTION("""COMPUTED_VALUE"""),"mostafa.abdalla@vyro.ai")</f>
        <v>mostafa.abdalla@vyro.ai</v>
      </c>
      <c r="E228" s="730">
        <f>IFERROR(__xludf.DUMMYFUNCTION("""COMPUTED_VALUE"""),45078.0)</f>
        <v>45078</v>
      </c>
      <c r="F228" s="228" t="str">
        <f>IFERROR(__xludf.DUMMYFUNCTION("""COMPUTED_VALUE"""),"Sr. DevOps Engineer")</f>
        <v>Sr. DevOps Engineer</v>
      </c>
      <c r="G228" s="228" t="str">
        <f>IFERROR(__xludf.DUMMYFUNCTION("""COMPUTED_VALUE"""),"DevOps")</f>
        <v>DevOps</v>
      </c>
      <c r="H228" s="228" t="str">
        <f>IFERROR(__xludf.DUMMYFUNCTION("""COMPUTED_VALUE"""),"Abdullah")</f>
        <v>Abdullah</v>
      </c>
      <c r="I228" s="228" t="str">
        <f>IFERROR(__xludf.DUMMYFUNCTION("""COMPUTED_VALUE"""),"Part time")</f>
        <v>Part time</v>
      </c>
      <c r="J228" s="228"/>
      <c r="K228" s="228" t="str">
        <f>IFERROR(__xludf.DUMMYFUNCTION("""COMPUTED_VALUE"""),"3 M")</f>
        <v>3 M</v>
      </c>
      <c r="L228" s="732">
        <f>IFERROR(__xludf.DUMMYFUNCTION("""COMPUTED_VALUE"""),45170.0)</f>
        <v>45170</v>
      </c>
      <c r="M228" s="228"/>
      <c r="N228" s="228"/>
      <c r="O228" s="228"/>
      <c r="P228" s="228" t="str">
        <f>IFERROR(__xludf.DUMMYFUNCTION("""COMPUTED_VALUE"""),"201061221102")</f>
        <v>201061221102</v>
      </c>
      <c r="Q228" s="228" t="str">
        <f>IFERROR(__xludf.DUMMYFUNCTION("""COMPUTED_VALUE"""),"29101240200473")</f>
        <v>29101240200473</v>
      </c>
      <c r="R228" s="228" t="str">
        <f>IFERROR(__xludf.DUMMYFUNCTION("""COMPUTED_VALUE"""),"Male")</f>
        <v>Male</v>
      </c>
      <c r="S228" s="228" t="str">
        <f>IFERROR(__xludf.DUMMYFUNCTION("""COMPUTED_VALUE"""),"HSBC")</f>
        <v>HSBC</v>
      </c>
      <c r="T228" s="228"/>
      <c r="U228" s="228" t="str">
        <f>IFERROR(__xludf.DUMMYFUNCTION("""COMPUTED_VALUE"""),"EG330025004000000040108623019, Swift: ebbkegcx")</f>
        <v>EG330025004000000040108623019, Swift: ebbkegcx</v>
      </c>
      <c r="V228" s="228"/>
      <c r="W228" s="228"/>
      <c r="X228" s="228"/>
      <c r="Y228" s="730">
        <f>IFERROR(__xludf.DUMMYFUNCTION("""COMPUTED_VALUE"""),33262.0)</f>
        <v>33262</v>
      </c>
      <c r="Z228" s="228" t="str">
        <f>IFERROR(__xludf.DUMMYFUNCTION("""COMPUTED_VALUE"""),"34 Years")</f>
        <v>34 Years</v>
      </c>
      <c r="AA228" s="228" t="str">
        <f>IFERROR(__xludf.DUMMYFUNCTION("""COMPUTED_VALUE"""),"Taawoniat Smouha, Alexandria, Egypt")</f>
        <v>Taawoniat Smouha, Alexandria, Egypt</v>
      </c>
      <c r="AB228" s="228" t="str">
        <f>IFERROR(__xludf.DUMMYFUNCTION("""COMPUTED_VALUE"""),"Egyptian")</f>
        <v>Egyptian</v>
      </c>
      <c r="AC228" s="228" t="str">
        <f>IFERROR(__xludf.DUMMYFUNCTION("""COMPUTED_VALUE"""),"Single")</f>
        <v>Single</v>
      </c>
      <c r="AD228" s="228"/>
      <c r="AE228" s="228"/>
      <c r="AF228" s="228"/>
      <c r="AG228" s="228" t="str">
        <f>IFERROR(__xludf.DUMMYFUNCTION("""COMPUTED_VALUE"""),"Ahmed Elsayed")</f>
        <v>Ahmed Elsayed</v>
      </c>
      <c r="AH228" s="228" t="str">
        <f>IFERROR(__xludf.DUMMYFUNCTION("""COMPUTED_VALUE"""),"Father")</f>
        <v>Father</v>
      </c>
      <c r="AI228" s="228" t="str">
        <f>IFERROR(__xludf.DUMMYFUNCTION("""COMPUTED_VALUE"""),"=+201282227970")</f>
        <v>=+201282227970</v>
      </c>
      <c r="AJ228" s="228" t="str">
        <f>IFERROR(__xludf.DUMMYFUNCTION("""COMPUTED_VALUE"""),"A+")</f>
        <v>A+</v>
      </c>
      <c r="AK228" s="228"/>
      <c r="AL228" s="228"/>
      <c r="AM228" s="730">
        <f>IFERROR(__xludf.DUMMYFUNCTION("""COMPUTED_VALUE"""),45100.0)</f>
        <v>45100</v>
      </c>
      <c r="AN228" s="228"/>
      <c r="AO228" s="228"/>
      <c r="AP228" s="228" t="str">
        <f>IFERROR(__xludf.DUMMYFUNCTION("""COMPUTED_VALUE"""),"NO")</f>
        <v>NO</v>
      </c>
      <c r="AQ228" s="228" t="str">
        <f>IFERROR(__xludf.DUMMYFUNCTION("""COMPUTED_VALUE"""),"Resigned/Terminated")</f>
        <v>Resigned/Terminated</v>
      </c>
    </row>
    <row r="229">
      <c r="A229" s="228">
        <f>IFERROR(__xludf.DUMMYFUNCTION("""COMPUTED_VALUE"""),5134.0)</f>
        <v>5134</v>
      </c>
      <c r="B229" s="228" t="str">
        <f>IFERROR(__xludf.DUMMYFUNCTION("""COMPUTED_VALUE"""),"Muhammad Farooq Mazhar")</f>
        <v>Muhammad Farooq Mazhar</v>
      </c>
      <c r="C229" s="228" t="str">
        <f>IFERROR(__xludf.DUMMYFUNCTION("""COMPUTED_VALUE"""),"farooqmazhar@outlook.com")</f>
        <v>farooqmazhar@outlook.com</v>
      </c>
      <c r="D229" s="228" t="str">
        <f>IFERROR(__xludf.DUMMYFUNCTION("""COMPUTED_VALUE"""),"farooq.mazhar@vyro.ai")</f>
        <v>farooq.mazhar@vyro.ai</v>
      </c>
      <c r="E229" s="730">
        <f>IFERROR(__xludf.DUMMYFUNCTION("""COMPUTED_VALUE"""),45078.0)</f>
        <v>45078</v>
      </c>
      <c r="F229" s="228" t="str">
        <f>IFERROR(__xludf.DUMMYFUNCTION("""COMPUTED_VALUE"""),"Growth Manager")</f>
        <v>Growth Manager</v>
      </c>
      <c r="G229" s="228" t="str">
        <f>IFERROR(__xludf.DUMMYFUNCTION("""COMPUTED_VALUE"""),"Business")</f>
        <v>Business</v>
      </c>
      <c r="H229" s="228" t="str">
        <f>IFERROR(__xludf.DUMMYFUNCTION("""COMPUTED_VALUE"""),"Ahmed")</f>
        <v>Ahmed</v>
      </c>
      <c r="I229" s="228" t="str">
        <f>IFERROR(__xludf.DUMMYFUNCTION("""COMPUTED_VALUE"""),"Permanent")</f>
        <v>Permanent</v>
      </c>
      <c r="J229" s="228"/>
      <c r="K229" s="228" t="str">
        <f>IFERROR(__xludf.DUMMYFUNCTION("""COMPUTED_VALUE"""),"3 M")</f>
        <v>3 M</v>
      </c>
      <c r="L229" s="732">
        <f>IFERROR(__xludf.DUMMYFUNCTION("""COMPUTED_VALUE"""),45170.0)</f>
        <v>45170</v>
      </c>
      <c r="M229" s="228"/>
      <c r="N229" s="228"/>
      <c r="O229" s="228"/>
      <c r="P229" s="228" t="str">
        <f>IFERROR(__xludf.DUMMYFUNCTION("""COMPUTED_VALUE"""),"3071447466")</f>
        <v>3071447466</v>
      </c>
      <c r="Q229" s="228" t="str">
        <f>IFERROR(__xludf.DUMMYFUNCTION("""COMPUTED_VALUE"""),"61101-1599578-7")</f>
        <v>61101-1599578-7</v>
      </c>
      <c r="R229" s="228" t="str">
        <f>IFERROR(__xludf.DUMMYFUNCTION("""COMPUTED_VALUE"""),"Male")</f>
        <v>Male</v>
      </c>
      <c r="S229" s="228" t="str">
        <f>IFERROR(__xludf.DUMMYFUNCTION("""COMPUTED_VALUE"""),"Habib Bank Limited")</f>
        <v>Habib Bank Limited</v>
      </c>
      <c r="T229" s="228"/>
      <c r="U229" s="228" t="str">
        <f>IFERROR(__xludf.DUMMYFUNCTION("""COMPUTED_VALUE"""),"PK79HABB0024467902124303")</f>
        <v>PK79HABB0024467902124303</v>
      </c>
      <c r="V229" s="228"/>
      <c r="W229" s="228"/>
      <c r="X229" s="228"/>
      <c r="Y229" s="730">
        <f>IFERROR(__xludf.DUMMYFUNCTION("""COMPUTED_VALUE"""),33783.0)</f>
        <v>33783</v>
      </c>
      <c r="Z229" s="228" t="str">
        <f>IFERROR(__xludf.DUMMYFUNCTION("""COMPUTED_VALUE"""),"33 Years")</f>
        <v>33 Years</v>
      </c>
      <c r="AA229" s="228" t="str">
        <f>IFERROR(__xludf.DUMMYFUNCTION("""COMPUTED_VALUE"""),"House 674-A, street 50, sector E-11/4, Islamabad, Pakistan")</f>
        <v>House 674-A, street 50, sector E-11/4, Islamabad, Pakistan</v>
      </c>
      <c r="AB229" s="228" t="str">
        <f>IFERROR(__xludf.DUMMYFUNCTION("""COMPUTED_VALUE"""),"Pakistani")</f>
        <v>Pakistani</v>
      </c>
      <c r="AC229" s="228" t="str">
        <f>IFERROR(__xludf.DUMMYFUNCTION("""COMPUTED_VALUE"""),"Single")</f>
        <v>Single</v>
      </c>
      <c r="AD229" s="228"/>
      <c r="AE229" s="228"/>
      <c r="AF229" s="228"/>
      <c r="AG229" s="228" t="str">
        <f>IFERROR(__xludf.DUMMYFUNCTION("""COMPUTED_VALUE"""),"Mazhar Saeed Qureshi")</f>
        <v>Mazhar Saeed Qureshi</v>
      </c>
      <c r="AH229" s="228" t="str">
        <f>IFERROR(__xludf.DUMMYFUNCTION("""COMPUTED_VALUE"""),"Father")</f>
        <v>Father</v>
      </c>
      <c r="AI229" s="228" t="str">
        <f>IFERROR(__xludf.DUMMYFUNCTION("""COMPUTED_VALUE"""),"3009543569")</f>
        <v>3009543569</v>
      </c>
      <c r="AJ229" s="228" t="str">
        <f>IFERROR(__xludf.DUMMYFUNCTION("""COMPUTED_VALUE"""),"AB+")</f>
        <v>AB+</v>
      </c>
      <c r="AK229" s="228"/>
      <c r="AL229" s="228"/>
      <c r="AM229" s="730">
        <f>IFERROR(__xludf.DUMMYFUNCTION("""COMPUTED_VALUE"""),45110.0)</f>
        <v>45110</v>
      </c>
      <c r="AN229" s="228"/>
      <c r="AO229" s="228"/>
      <c r="AP229" s="228" t="str">
        <f>IFERROR(__xludf.DUMMYFUNCTION("""COMPUTED_VALUE"""),"NO")</f>
        <v>NO</v>
      </c>
      <c r="AQ229" s="228" t="str">
        <f>IFERROR(__xludf.DUMMYFUNCTION("""COMPUTED_VALUE"""),"Resigned/Terminated")</f>
        <v>Resigned/Terminated</v>
      </c>
    </row>
    <row r="230">
      <c r="A230" s="228">
        <f>IFERROR(__xludf.DUMMYFUNCTION("""COMPUTED_VALUE"""),5113.0)</f>
        <v>5113</v>
      </c>
      <c r="B230" s="228" t="str">
        <f>IFERROR(__xludf.DUMMYFUNCTION("""COMPUTED_VALUE"""),"Mahrukh Anwar")</f>
        <v>Mahrukh Anwar</v>
      </c>
      <c r="C230" s="228" t="str">
        <f>IFERROR(__xludf.DUMMYFUNCTION("""COMPUTED_VALUE"""),"mahrukhlodhii@gmail.com")</f>
        <v>mahrukhlodhii@gmail.com</v>
      </c>
      <c r="D230" s="228" t="str">
        <f>IFERROR(__xludf.DUMMYFUNCTION("""COMPUTED_VALUE"""),"mahrukh.lodhi@vyro.ai")</f>
        <v>mahrukh.lodhi@vyro.ai</v>
      </c>
      <c r="E230" s="730">
        <f>IFERROR(__xludf.DUMMYFUNCTION("""COMPUTED_VALUE"""),45005.0)</f>
        <v>45005</v>
      </c>
      <c r="F230" s="228" t="str">
        <f>IFERROR(__xludf.DUMMYFUNCTION("""COMPUTED_VALUE"""),"Business Analyst")</f>
        <v>Business Analyst</v>
      </c>
      <c r="G230" s="228" t="str">
        <f>IFERROR(__xludf.DUMMYFUNCTION("""COMPUTED_VALUE"""),"Business")</f>
        <v>Business</v>
      </c>
      <c r="H230" s="228" t="str">
        <f>IFERROR(__xludf.DUMMYFUNCTION("""COMPUTED_VALUE"""),"Ahmed")</f>
        <v>Ahmed</v>
      </c>
      <c r="I230" s="228" t="str">
        <f>IFERROR(__xludf.DUMMYFUNCTION("""COMPUTED_VALUE"""),"Permanent")</f>
        <v>Permanent</v>
      </c>
      <c r="J230" s="228"/>
      <c r="K230" s="228" t="str">
        <f>IFERROR(__xludf.DUMMYFUNCTION("""COMPUTED_VALUE"""),"3 M")</f>
        <v>3 M</v>
      </c>
      <c r="L230" s="732">
        <f>IFERROR(__xludf.DUMMYFUNCTION("""COMPUTED_VALUE"""),45097.0)</f>
        <v>45097</v>
      </c>
      <c r="M230" s="228"/>
      <c r="N230" s="228"/>
      <c r="O230" s="228"/>
      <c r="P230" s="228" t="str">
        <f>IFERROR(__xludf.DUMMYFUNCTION("""COMPUTED_VALUE"""),"03215131191")</f>
        <v>03215131191</v>
      </c>
      <c r="Q230" s="228" t="str">
        <f>IFERROR(__xludf.DUMMYFUNCTION("""COMPUTED_VALUE"""),"37405-3146946-4")</f>
        <v>37405-3146946-4</v>
      </c>
      <c r="R230" s="228" t="str">
        <f>IFERROR(__xludf.DUMMYFUNCTION("""COMPUTED_VALUE"""),"Female")</f>
        <v>Female</v>
      </c>
      <c r="S230" s="228" t="str">
        <f>IFERROR(__xludf.DUMMYFUNCTION("""COMPUTED_VALUE"""),"Meezan")</f>
        <v>Meezan</v>
      </c>
      <c r="T230" s="228"/>
      <c r="U230" s="228" t="str">
        <f>IFERROR(__xludf.DUMMYFUNCTION("""COMPUTED_VALUE"""),"08160105223000")</f>
        <v>08160105223000</v>
      </c>
      <c r="V230" s="228"/>
      <c r="W230" s="228"/>
      <c r="X230" s="228"/>
      <c r="Y230" s="730">
        <f>IFERROR(__xludf.DUMMYFUNCTION("""COMPUTED_VALUE"""),35599.0)</f>
        <v>35599</v>
      </c>
      <c r="Z230" s="228" t="str">
        <f>IFERROR(__xludf.DUMMYFUNCTION("""COMPUTED_VALUE"""),"28 Years")</f>
        <v>28 Years</v>
      </c>
      <c r="AA230" s="228" t="str">
        <f>IFERROR(__xludf.DUMMYFUNCTION("""COMPUTED_VALUE"""),"House 15, st 3, Gulshan Dadan Khan Colony, Muree Rd, RWP")</f>
        <v>House 15, st 3, Gulshan Dadan Khan Colony, Muree Rd, RWP</v>
      </c>
      <c r="AB230" s="228" t="str">
        <f>IFERROR(__xludf.DUMMYFUNCTION("""COMPUTED_VALUE"""),"Pakistani")</f>
        <v>Pakistani</v>
      </c>
      <c r="AC230" s="228" t="str">
        <f>IFERROR(__xludf.DUMMYFUNCTION("""COMPUTED_VALUE"""),"Single")</f>
        <v>Single</v>
      </c>
      <c r="AD230" s="228"/>
      <c r="AE230" s="228"/>
      <c r="AF230" s="228"/>
      <c r="AG230" s="228" t="str">
        <f>IFERROR(__xludf.DUMMYFUNCTION("""COMPUTED_VALUE"""),"Anwar Lodhi")</f>
        <v>Anwar Lodhi</v>
      </c>
      <c r="AH230" s="228" t="str">
        <f>IFERROR(__xludf.DUMMYFUNCTION("""COMPUTED_VALUE"""),"Father")</f>
        <v>Father</v>
      </c>
      <c r="AI230" s="228" t="str">
        <f>IFERROR(__xludf.DUMMYFUNCTION("""COMPUTED_VALUE"""),"03215554431")</f>
        <v>03215554431</v>
      </c>
      <c r="AJ230" s="228" t="str">
        <f>IFERROR(__xludf.DUMMYFUNCTION("""COMPUTED_VALUE"""),"B+")</f>
        <v>B+</v>
      </c>
      <c r="AK230" s="228"/>
      <c r="AL230" s="228"/>
      <c r="AM230" s="730">
        <f>IFERROR(__xludf.DUMMYFUNCTION("""COMPUTED_VALUE"""),45111.0)</f>
        <v>45111</v>
      </c>
      <c r="AN230" s="228"/>
      <c r="AO230" s="228"/>
      <c r="AP230" s="228" t="str">
        <f>IFERROR(__xludf.DUMMYFUNCTION("""COMPUTED_VALUE"""),"NO")</f>
        <v>NO</v>
      </c>
      <c r="AQ230" s="228" t="str">
        <f>IFERROR(__xludf.DUMMYFUNCTION("""COMPUTED_VALUE"""),"Resigned/Terminated")</f>
        <v>Resigned/Terminated</v>
      </c>
    </row>
    <row r="231">
      <c r="A231" s="228">
        <f>IFERROR(__xludf.DUMMYFUNCTION("""COMPUTED_VALUE"""),5087.0)</f>
        <v>5087</v>
      </c>
      <c r="B231" s="228" t="str">
        <f>IFERROR(__xludf.DUMMYFUNCTION("""COMPUTED_VALUE"""),"Hamza Khan")</f>
        <v>Hamza Khan</v>
      </c>
      <c r="C231" s="228" t="str">
        <f>IFERROR(__xludf.DUMMYFUNCTION("""COMPUTED_VALUE"""),"diagonalge@gmail.com")</f>
        <v>diagonalge@gmail.com</v>
      </c>
      <c r="D231" s="228" t="str">
        <f>IFERROR(__xludf.DUMMYFUNCTION("""COMPUTED_VALUE"""),"hamza.khan@vyro.ai")</f>
        <v>hamza.khan@vyro.ai</v>
      </c>
      <c r="E231" s="730">
        <f>IFERROR(__xludf.DUMMYFUNCTION("""COMPUTED_VALUE"""),44903.0)</f>
        <v>44903</v>
      </c>
      <c r="F231" s="228" t="str">
        <f>IFERROR(__xludf.DUMMYFUNCTION("""COMPUTED_VALUE"""),"Backend Engineer")</f>
        <v>Backend Engineer</v>
      </c>
      <c r="G231" s="228" t="str">
        <f>IFERROR(__xludf.DUMMYFUNCTION("""COMPUTED_VALUE"""),"R&amp;D")</f>
        <v>R&amp;D</v>
      </c>
      <c r="H231" s="228" t="str">
        <f>IFERROR(__xludf.DUMMYFUNCTION("""COMPUTED_VALUE"""),"Abdullah")</f>
        <v>Abdullah</v>
      </c>
      <c r="I231" s="228" t="str">
        <f>IFERROR(__xludf.DUMMYFUNCTION("""COMPUTED_VALUE"""),"Permanent")</f>
        <v>Permanent</v>
      </c>
      <c r="J231" s="228"/>
      <c r="K231" s="228" t="str">
        <f>IFERROR(__xludf.DUMMYFUNCTION("""COMPUTED_VALUE"""),"2 M")</f>
        <v>2 M</v>
      </c>
      <c r="L231" s="732">
        <f>IFERROR(__xludf.DUMMYFUNCTION("""COMPUTED_VALUE"""),44965.0)</f>
        <v>44965</v>
      </c>
      <c r="M231" s="228"/>
      <c r="N231" s="228"/>
      <c r="O231" s="228"/>
      <c r="P231" s="228" t="str">
        <f>IFERROR(__xludf.DUMMYFUNCTION("""COMPUTED_VALUE"""),"03408862208")</f>
        <v>03408862208</v>
      </c>
      <c r="Q231" s="228" t="str">
        <f>IFERROR(__xludf.DUMMYFUNCTION("""COMPUTED_VALUE"""),"37405-7581256-7")</f>
        <v>37405-7581256-7</v>
      </c>
      <c r="R231" s="228" t="str">
        <f>IFERROR(__xludf.DUMMYFUNCTION("""COMPUTED_VALUE"""),"Male")</f>
        <v>Male</v>
      </c>
      <c r="S231" s="228" t="str">
        <f>IFERROR(__xludf.DUMMYFUNCTION("""COMPUTED_VALUE"""),"Meezan")</f>
        <v>Meezan</v>
      </c>
      <c r="T231" s="228"/>
      <c r="U231" s="228" t="str">
        <f>IFERROR(__xludf.DUMMYFUNCTION("""COMPUTED_VALUE"""),"PK47MEZN0003350108094019")</f>
        <v>PK47MEZN0003350108094019</v>
      </c>
      <c r="V231" s="228"/>
      <c r="W231" s="228"/>
      <c r="X231" s="228"/>
      <c r="Y231" s="730">
        <f>IFERROR(__xludf.DUMMYFUNCTION("""COMPUTED_VALUE"""),36571.0)</f>
        <v>36571</v>
      </c>
      <c r="Z231" s="228" t="str">
        <f>IFERROR(__xludf.DUMMYFUNCTION("""COMPUTED_VALUE"""),"25 Years")</f>
        <v>25 Years</v>
      </c>
      <c r="AA231" s="228" t="str">
        <f>IFERROR(__xludf.DUMMYFUNCTION("""COMPUTED_VALUE"""),"House 79, st 8C, Bhatti Town, Koral")</f>
        <v>House 79, st 8C, Bhatti Town, Koral</v>
      </c>
      <c r="AB231" s="228" t="str">
        <f>IFERROR(__xludf.DUMMYFUNCTION("""COMPUTED_VALUE"""),"Pakistani")</f>
        <v>Pakistani</v>
      </c>
      <c r="AC231" s="228" t="str">
        <f>IFERROR(__xludf.DUMMYFUNCTION("""COMPUTED_VALUE"""),"Single")</f>
        <v>Single</v>
      </c>
      <c r="AD231" s="228"/>
      <c r="AE231" s="228"/>
      <c r="AF231" s="228"/>
      <c r="AG231" s="228" t="str">
        <f>IFERROR(__xludf.DUMMYFUNCTION("""COMPUTED_VALUE"""),"Riaz Khan")</f>
        <v>Riaz Khan</v>
      </c>
      <c r="AH231" s="228" t="str">
        <f>IFERROR(__xludf.DUMMYFUNCTION("""COMPUTED_VALUE"""),"Father")</f>
        <v>Father</v>
      </c>
      <c r="AI231" s="228" t="str">
        <f>IFERROR(__xludf.DUMMYFUNCTION("""COMPUTED_VALUE"""),"03365362420")</f>
        <v>03365362420</v>
      </c>
      <c r="AJ231" s="228"/>
      <c r="AK231" s="731" t="str">
        <f>IFERROR(__xludf.DUMMYFUNCTION("""COMPUTED_VALUE"""),"https://www.linkedin.com/in/hamza-khan-8a372b240/")</f>
        <v>https://www.linkedin.com/in/hamza-khan-8a372b240/</v>
      </c>
      <c r="AL231" s="228"/>
      <c r="AM231" s="730">
        <f>IFERROR(__xludf.DUMMYFUNCTION("""COMPUTED_VALUE"""),45128.0)</f>
        <v>45128</v>
      </c>
      <c r="AN231" s="228"/>
      <c r="AO231" s="228"/>
      <c r="AP231" s="228" t="str">
        <f>IFERROR(__xludf.DUMMYFUNCTION("""COMPUTED_VALUE"""),"NO")</f>
        <v>NO</v>
      </c>
      <c r="AQ231" s="228" t="str">
        <f>IFERROR(__xludf.DUMMYFUNCTION("""COMPUTED_VALUE"""),"Resigned/Terminated")</f>
        <v>Resigned/Terminated</v>
      </c>
    </row>
    <row r="232">
      <c r="A232" s="228">
        <f>IFERROR(__xludf.DUMMYFUNCTION("""COMPUTED_VALUE"""),5066.0)</f>
        <v>5066</v>
      </c>
      <c r="B232" s="228" t="str">
        <f>IFERROR(__xludf.DUMMYFUNCTION("""COMPUTED_VALUE"""),"Hadia Amjad")</f>
        <v>Hadia Amjad</v>
      </c>
      <c r="C232" s="228" t="str">
        <f>IFERROR(__xludf.DUMMYFUNCTION("""COMPUTED_VALUE"""),"amjadhadia0@gmail.com")</f>
        <v>amjadhadia0@gmail.com</v>
      </c>
      <c r="D232" s="228" t="str">
        <f>IFERROR(__xludf.DUMMYFUNCTION("""COMPUTED_VALUE"""),"hadia.amjad@vyro.ai")</f>
        <v>hadia.amjad@vyro.ai</v>
      </c>
      <c r="E232" s="730">
        <f>IFERROR(__xludf.DUMMYFUNCTION("""COMPUTED_VALUE"""),44760.0)</f>
        <v>44760</v>
      </c>
      <c r="F232" s="228" t="str">
        <f>IFERROR(__xludf.DUMMYFUNCTION("""COMPUTED_VALUE"""),"Associate Business Analyst")</f>
        <v>Associate Business Analyst</v>
      </c>
      <c r="G232" s="228" t="str">
        <f>IFERROR(__xludf.DUMMYFUNCTION("""COMPUTED_VALUE"""),"Business")</f>
        <v>Business</v>
      </c>
      <c r="H232" s="228" t="str">
        <f>IFERROR(__xludf.DUMMYFUNCTION("""COMPUTED_VALUE"""),"Ahmed")</f>
        <v>Ahmed</v>
      </c>
      <c r="I232" s="228" t="str">
        <f>IFERROR(__xludf.DUMMYFUNCTION("""COMPUTED_VALUE"""),"Permanent")</f>
        <v>Permanent</v>
      </c>
      <c r="J232" s="228"/>
      <c r="K232" s="228" t="str">
        <f>IFERROR(__xludf.DUMMYFUNCTION("""COMPUTED_VALUE"""),"3 M")</f>
        <v>3 M</v>
      </c>
      <c r="L232" s="732">
        <f>IFERROR(__xludf.DUMMYFUNCTION("""COMPUTED_VALUE"""),44844.0)</f>
        <v>44844</v>
      </c>
      <c r="M232" s="228"/>
      <c r="N232" s="228"/>
      <c r="O232" s="228"/>
      <c r="P232" s="228" t="str">
        <f>IFERROR(__xludf.DUMMYFUNCTION("""COMPUTED_VALUE"""),"0308 5251511")</f>
        <v>0308 5251511</v>
      </c>
      <c r="Q232" s="228" t="str">
        <f>IFERROR(__xludf.DUMMYFUNCTION("""COMPUTED_VALUE"""),"37406-8143643-6")</f>
        <v>37406-8143643-6</v>
      </c>
      <c r="R232" s="228" t="str">
        <f>IFERROR(__xludf.DUMMYFUNCTION("""COMPUTED_VALUE"""),"Female")</f>
        <v>Female</v>
      </c>
      <c r="S232" s="228" t="str">
        <f>IFERROR(__xludf.DUMMYFUNCTION("""COMPUTED_VALUE"""),"Allied")</f>
        <v>Allied</v>
      </c>
      <c r="T232" s="228"/>
      <c r="U232" s="228" t="str">
        <f>IFERROR(__xludf.DUMMYFUNCTION("""COMPUTED_VALUE"""),"05870010071301760017")</f>
        <v>05870010071301760017</v>
      </c>
      <c r="V232" s="228"/>
      <c r="W232" s="228"/>
      <c r="X232" s="228"/>
      <c r="Y232" s="730">
        <f>IFERROR(__xludf.DUMMYFUNCTION("""COMPUTED_VALUE"""),36176.0)</f>
        <v>36176</v>
      </c>
      <c r="Z232" s="228" t="str">
        <f>IFERROR(__xludf.DUMMYFUNCTION("""COMPUTED_VALUE"""),"26 Years")</f>
        <v>26 Years</v>
      </c>
      <c r="AA232" s="228" t="str">
        <f>IFERROR(__xludf.DUMMYFUNCTION("""COMPUTED_VALUE"""),"House no. 3, Street no. 1, Jeevan Road, Taxila")</f>
        <v>House no. 3, Street no. 1, Jeevan Road, Taxila</v>
      </c>
      <c r="AB232" s="228" t="str">
        <f>IFERROR(__xludf.DUMMYFUNCTION("""COMPUTED_VALUE"""),"Pakistani")</f>
        <v>Pakistani</v>
      </c>
      <c r="AC232" s="228" t="str">
        <f>IFERROR(__xludf.DUMMYFUNCTION("""COMPUTED_VALUE"""),"Single")</f>
        <v>Single</v>
      </c>
      <c r="AD232" s="228"/>
      <c r="AE232" s="228"/>
      <c r="AF232" s="228"/>
      <c r="AG232" s="228" t="str">
        <f>IFERROR(__xludf.DUMMYFUNCTION("""COMPUTED_VALUE"""),"Amjad Farooq")</f>
        <v>Amjad Farooq</v>
      </c>
      <c r="AH232" s="228" t="str">
        <f>IFERROR(__xludf.DUMMYFUNCTION("""COMPUTED_VALUE"""),"Father")</f>
        <v>Father</v>
      </c>
      <c r="AI232" s="228" t="str">
        <f>IFERROR(__xludf.DUMMYFUNCTION("""COMPUTED_VALUE"""),"03458573113")</f>
        <v>03458573113</v>
      </c>
      <c r="AJ232" s="228"/>
      <c r="AK232" s="731" t="str">
        <f>IFERROR(__xludf.DUMMYFUNCTION("""COMPUTED_VALUE"""),"https://www.linkedin.com/in/hadia-amjad/")</f>
        <v>https://www.linkedin.com/in/hadia-amjad/</v>
      </c>
      <c r="AL232" s="228"/>
      <c r="AM232" s="730">
        <f>IFERROR(__xludf.DUMMYFUNCTION("""COMPUTED_VALUE"""),45141.0)</f>
        <v>45141</v>
      </c>
      <c r="AN232" s="228"/>
      <c r="AO232" s="228"/>
      <c r="AP232" s="228" t="str">
        <f>IFERROR(__xludf.DUMMYFUNCTION("""COMPUTED_VALUE"""),"NO")</f>
        <v>NO</v>
      </c>
      <c r="AQ232" s="228" t="str">
        <f>IFERROR(__xludf.DUMMYFUNCTION("""COMPUTED_VALUE"""),"Resigned/Terminated")</f>
        <v>Resigned/Terminated</v>
      </c>
    </row>
    <row r="233">
      <c r="A233" s="228">
        <f>IFERROR(__xludf.DUMMYFUNCTION("""COMPUTED_VALUE"""),5145.0)</f>
        <v>5145</v>
      </c>
      <c r="B233" s="228" t="str">
        <f>IFERROR(__xludf.DUMMYFUNCTION("""COMPUTED_VALUE"""),"Mahmoud Alaaeldin Saad Ibrahim")</f>
        <v>Mahmoud Alaaeldin Saad Ibrahim</v>
      </c>
      <c r="C233" s="228" t="str">
        <f>IFERROR(__xludf.DUMMYFUNCTION("""COMPUTED_VALUE"""),"mahmoudalaa25492@gmail.com")</f>
        <v>mahmoudalaa25492@gmail.com</v>
      </c>
      <c r="D233" s="228" t="str">
        <f>IFERROR(__xludf.DUMMYFUNCTION("""COMPUTED_VALUE"""),"mahmoud.alaaeldin@vyro.ai")</f>
        <v>mahmoud.alaaeldin@vyro.ai</v>
      </c>
      <c r="E233" s="730">
        <f>IFERROR(__xludf.DUMMYFUNCTION("""COMPUTED_VALUE"""),45110.0)</f>
        <v>45110</v>
      </c>
      <c r="F233" s="228" t="str">
        <f>IFERROR(__xludf.DUMMYFUNCTION("""COMPUTED_VALUE"""),"Sr. DevOps Engineer")</f>
        <v>Sr. DevOps Engineer</v>
      </c>
      <c r="G233" s="228" t="str">
        <f>IFERROR(__xludf.DUMMYFUNCTION("""COMPUTED_VALUE"""),"DevOps")</f>
        <v>DevOps</v>
      </c>
      <c r="H233" s="228" t="str">
        <f>IFERROR(__xludf.DUMMYFUNCTION("""COMPUTED_VALUE"""),"Abdullah")</f>
        <v>Abdullah</v>
      </c>
      <c r="I233" s="228" t="str">
        <f>IFERROR(__xludf.DUMMYFUNCTION("""COMPUTED_VALUE"""),"Permanent")</f>
        <v>Permanent</v>
      </c>
      <c r="J233" s="228"/>
      <c r="K233" s="228" t="str">
        <f>IFERROR(__xludf.DUMMYFUNCTION("""COMPUTED_VALUE"""),"3 M")</f>
        <v>3 M</v>
      </c>
      <c r="L233" s="732">
        <f>IFERROR(__xludf.DUMMYFUNCTION("""COMPUTED_VALUE"""),45202.0)</f>
        <v>45202</v>
      </c>
      <c r="M233" s="228"/>
      <c r="N233" s="228"/>
      <c r="O233" s="228"/>
      <c r="P233" s="228" t="str">
        <f>IFERROR(__xludf.DUMMYFUNCTION("""COMPUTED_VALUE"""),"201220195074")</f>
        <v>201220195074</v>
      </c>
      <c r="Q233" s="228"/>
      <c r="R233" s="228" t="str">
        <f>IFERROR(__xludf.DUMMYFUNCTION("""COMPUTED_VALUE"""),"Male")</f>
        <v>Male</v>
      </c>
      <c r="S233" s="228" t="str">
        <f>IFERROR(__xludf.DUMMYFUNCTION("""COMPUTED_VALUE"""),"HSBC")</f>
        <v>HSBC</v>
      </c>
      <c r="T233" s="228" t="str">
        <f>IFERROR(__xludf.DUMMYFUNCTION("""COMPUTED_VALUE"""),"Mahmoud Alaaeldin Saad Ibrahim")</f>
        <v>Mahmoud Alaaeldin Saad Ibrahim</v>
      </c>
      <c r="U233" s="228" t="str">
        <f>IFERROR(__xludf.DUMMYFUNCTION("""COMPUTED_VALUE"""),"EG430025007100000071187462110")</f>
        <v>EG430025007100000071187462110</v>
      </c>
      <c r="V233" s="228" t="str">
        <f>IFERROR(__xludf.DUMMYFUNCTION("""COMPUTED_VALUE"""),"EBBKEGCX")</f>
        <v>EBBKEGCX</v>
      </c>
      <c r="W233" s="228"/>
      <c r="X233" s="228"/>
      <c r="Y233" s="730">
        <f>IFERROR(__xludf.DUMMYFUNCTION("""COMPUTED_VALUE"""),33719.0)</f>
        <v>33719</v>
      </c>
      <c r="Z233" s="228" t="str">
        <f>IFERROR(__xludf.DUMMYFUNCTION("""COMPUTED_VALUE"""),"33 Years")</f>
        <v>33 Years</v>
      </c>
      <c r="AA233" s="228" t="str">
        <f>IFERROR(__xludf.DUMMYFUNCTION("""COMPUTED_VALUE"""),"D131 Kenz Compound, hadayek october, 6th of october")</f>
        <v>D131 Kenz Compound, hadayek october, 6th of october</v>
      </c>
      <c r="AB233" s="228" t="str">
        <f>IFERROR(__xludf.DUMMYFUNCTION("""COMPUTED_VALUE"""),"Egyptian")</f>
        <v>Egyptian</v>
      </c>
      <c r="AC233" s="228" t="str">
        <f>IFERROR(__xludf.DUMMYFUNCTION("""COMPUTED_VALUE"""),"Married")</f>
        <v>Married</v>
      </c>
      <c r="AD233" s="228"/>
      <c r="AE233" s="228"/>
      <c r="AF233" s="228"/>
      <c r="AG233" s="228" t="str">
        <f>IFERROR(__xludf.DUMMYFUNCTION("""COMPUTED_VALUE"""),"Alaaeldin Saad")</f>
        <v>Alaaeldin Saad</v>
      </c>
      <c r="AH233" s="228" t="str">
        <f>IFERROR(__xludf.DUMMYFUNCTION("""COMPUTED_VALUE"""),"Father")</f>
        <v>Father</v>
      </c>
      <c r="AI233" s="228" t="str">
        <f>IFERROR(__xludf.DUMMYFUNCTION("""COMPUTED_VALUE"""),"201224485503")</f>
        <v>201224485503</v>
      </c>
      <c r="AJ233" s="228" t="str">
        <f>IFERROR(__xludf.DUMMYFUNCTION("""COMPUTED_VALUE"""),"A-")</f>
        <v>A-</v>
      </c>
      <c r="AK233" s="731" t="str">
        <f>IFERROR(__xludf.DUMMYFUNCTION("""COMPUTED_VALUE"""),"https://www.linkedin.com/in/mahmoud-saad-0269a6281/")</f>
        <v>https://www.linkedin.com/in/mahmoud-saad-0269a6281/</v>
      </c>
      <c r="AL233" s="228"/>
      <c r="AM233" s="730">
        <f>IFERROR(__xludf.DUMMYFUNCTION("""COMPUTED_VALUE"""),45145.0)</f>
        <v>45145</v>
      </c>
      <c r="AN233" s="228"/>
      <c r="AO233" s="228"/>
      <c r="AP233" s="228" t="str">
        <f>IFERROR(__xludf.DUMMYFUNCTION("""COMPUTED_VALUE"""),"NO")</f>
        <v>NO</v>
      </c>
      <c r="AQ233" s="228" t="str">
        <f>IFERROR(__xludf.DUMMYFUNCTION("""COMPUTED_VALUE"""),"Resigned/Terminated")</f>
        <v>Resigned/Terminated</v>
      </c>
    </row>
    <row r="234">
      <c r="A234" s="228">
        <f>IFERROR(__xludf.DUMMYFUNCTION("""COMPUTED_VALUE"""),5068.0)</f>
        <v>5068</v>
      </c>
      <c r="B234" s="228" t="str">
        <f>IFERROR(__xludf.DUMMYFUNCTION("""COMPUTED_VALUE"""),"Fawad Gul")</f>
        <v>Fawad Gul</v>
      </c>
      <c r="C234" s="228" t="str">
        <f>IFERROR(__xludf.DUMMYFUNCTION("""COMPUTED_VALUE"""),"fawadgul30@gmail.com")</f>
        <v>fawadgul30@gmail.com</v>
      </c>
      <c r="D234" s="228" t="str">
        <f>IFERROR(__xludf.DUMMYFUNCTION("""COMPUTED_VALUE"""),"fawad.gul@vyro.ai")</f>
        <v>fawad.gul@vyro.ai</v>
      </c>
      <c r="E234" s="730">
        <f>IFERROR(__xludf.DUMMYFUNCTION("""COMPUTED_VALUE"""),44783.0)</f>
        <v>44783</v>
      </c>
      <c r="F234" s="228" t="str">
        <f>IFERROR(__xludf.DUMMYFUNCTION("""COMPUTED_VALUE"""),"Visual Designer")</f>
        <v>Visual Designer</v>
      </c>
      <c r="G234" s="228" t="str">
        <f>IFERROR(__xludf.DUMMYFUNCTION("""COMPUTED_VALUE"""),"Design")</f>
        <v>Design</v>
      </c>
      <c r="H234" s="228" t="str">
        <f>IFERROR(__xludf.DUMMYFUNCTION("""COMPUTED_VALUE"""),"Abdullah")</f>
        <v>Abdullah</v>
      </c>
      <c r="I234" s="228" t="str">
        <f>IFERROR(__xludf.DUMMYFUNCTION("""COMPUTED_VALUE"""),"Permanent")</f>
        <v>Permanent</v>
      </c>
      <c r="J234" s="228"/>
      <c r="K234" s="228" t="str">
        <f>IFERROR(__xludf.DUMMYFUNCTION("""COMPUTED_VALUE"""),"3 M")</f>
        <v>3 M</v>
      </c>
      <c r="L234" s="732">
        <f>IFERROR(__xludf.DUMMYFUNCTION("""COMPUTED_VALUE"""),44875.0)</f>
        <v>44875</v>
      </c>
      <c r="M234" s="228"/>
      <c r="N234" s="228"/>
      <c r="O234" s="228"/>
      <c r="P234" s="228" t="str">
        <f>IFERROR(__xludf.DUMMYFUNCTION("""COMPUTED_VALUE"""),"03335558080")</f>
        <v>03335558080</v>
      </c>
      <c r="Q234" s="228" t="str">
        <f>IFERROR(__xludf.DUMMYFUNCTION("""COMPUTED_VALUE"""),"61101-0254856-1")</f>
        <v>61101-0254856-1</v>
      </c>
      <c r="R234" s="228" t="str">
        <f>IFERROR(__xludf.DUMMYFUNCTION("""COMPUTED_VALUE"""),"Male")</f>
        <v>Male</v>
      </c>
      <c r="S234" s="228" t="str">
        <f>IFERROR(__xludf.DUMMYFUNCTION("""COMPUTED_VALUE"""),"Askari Bank")</f>
        <v>Askari Bank</v>
      </c>
      <c r="T234" s="228"/>
      <c r="U234" s="228" t="str">
        <f>IFERROR(__xludf.DUMMYFUNCTION("""COMPUTED_VALUE"""),"PK52ASCM0001060320213236")</f>
        <v>PK52ASCM0001060320213236</v>
      </c>
      <c r="V234" s="228"/>
      <c r="W234" s="228"/>
      <c r="X234" s="228" t="str">
        <f>IFERROR(__xludf.DUMMYFUNCTION("""COMPUTED_VALUE"""),"Islamabad")</f>
        <v>Islamabad</v>
      </c>
      <c r="Y234" s="730">
        <f>IFERROR(__xludf.DUMMYFUNCTION("""COMPUTED_VALUE"""),35915.0)</f>
        <v>35915</v>
      </c>
      <c r="Z234" s="228" t="str">
        <f>IFERROR(__xludf.DUMMYFUNCTION("""COMPUTED_VALUE"""),"27 Years")</f>
        <v>27 Years</v>
      </c>
      <c r="AA234" s="228" t="str">
        <f>IFERROR(__xludf.DUMMYFUNCTION("""COMPUTED_VALUE"""),"House 32, Street 29, Sector C, DHA phase 1")</f>
        <v>House 32, Street 29, Sector C, DHA phase 1</v>
      </c>
      <c r="AB234" s="228" t="str">
        <f>IFERROR(__xludf.DUMMYFUNCTION("""COMPUTED_VALUE"""),"Pakistani")</f>
        <v>Pakistani</v>
      </c>
      <c r="AC234" s="228" t="str">
        <f>IFERROR(__xludf.DUMMYFUNCTION("""COMPUTED_VALUE"""),"Single")</f>
        <v>Single</v>
      </c>
      <c r="AD234" s="228"/>
      <c r="AE234" s="228"/>
      <c r="AF234" s="228"/>
      <c r="AG234" s="228" t="str">
        <f>IFERROR(__xludf.DUMMYFUNCTION("""COMPUTED_VALUE"""),"Gul Rehman")</f>
        <v>Gul Rehman</v>
      </c>
      <c r="AH234" s="228" t="str">
        <f>IFERROR(__xludf.DUMMYFUNCTION("""COMPUTED_VALUE"""),"Father")</f>
        <v>Father</v>
      </c>
      <c r="AI234" s="228" t="str">
        <f>IFERROR(__xludf.DUMMYFUNCTION("""COMPUTED_VALUE"""),"0300 5504928")</f>
        <v>0300 5504928</v>
      </c>
      <c r="AJ234" s="228" t="str">
        <f>IFERROR(__xludf.DUMMYFUNCTION("""COMPUTED_VALUE"""),"B+")</f>
        <v>B+</v>
      </c>
      <c r="AK234" s="731" t="str">
        <f>IFERROR(__xludf.DUMMYFUNCTION("""COMPUTED_VALUE"""),"https://www.linkedin.com/in/fawadgul8/")</f>
        <v>https://www.linkedin.com/in/fawadgul8/</v>
      </c>
      <c r="AL234" s="228"/>
      <c r="AM234" s="730">
        <f>IFERROR(__xludf.DUMMYFUNCTION("""COMPUTED_VALUE"""),45149.0)</f>
        <v>45149</v>
      </c>
      <c r="AN234" s="228"/>
      <c r="AO234" s="228"/>
      <c r="AP234" s="228" t="str">
        <f>IFERROR(__xludf.DUMMYFUNCTION("""COMPUTED_VALUE"""),"NO")</f>
        <v>NO</v>
      </c>
      <c r="AQ234" s="228" t="str">
        <f>IFERROR(__xludf.DUMMYFUNCTION("""COMPUTED_VALUE"""),"Resigned/Terminated")</f>
        <v>Resigned/Terminated</v>
      </c>
    </row>
    <row r="235">
      <c r="A235" s="228"/>
      <c r="B235" s="228" t="str">
        <f>IFERROR(__xludf.DUMMYFUNCTION("""COMPUTED_VALUE"""),"Taha Karsli")</f>
        <v>Taha Karsli</v>
      </c>
      <c r="C235" s="228"/>
      <c r="D235" s="228" t="str">
        <f>IFERROR(__xludf.DUMMYFUNCTION("""COMPUTED_VALUE"""),"taha.karsli@vyro.ai")</f>
        <v>taha.karsli@vyro.ai</v>
      </c>
      <c r="E235" s="730">
        <f>IFERROR(__xludf.DUMMYFUNCTION("""COMPUTED_VALUE"""),45089.0)</f>
        <v>45089</v>
      </c>
      <c r="F235" s="228" t="str">
        <f>IFERROR(__xludf.DUMMYFUNCTION("""COMPUTED_VALUE"""),"Growth Consultant")</f>
        <v>Growth Consultant</v>
      </c>
      <c r="G235" s="228" t="str">
        <f>IFERROR(__xludf.DUMMYFUNCTION("""COMPUTED_VALUE"""),"Business")</f>
        <v>Business</v>
      </c>
      <c r="H235" s="228" t="str">
        <f>IFERROR(__xludf.DUMMYFUNCTION("""COMPUTED_VALUE"""),"Ahmed")</f>
        <v>Ahmed</v>
      </c>
      <c r="I235" s="228"/>
      <c r="J235" s="228"/>
      <c r="K235" s="228"/>
      <c r="L235" s="228"/>
      <c r="M235" s="228"/>
      <c r="N235" s="228"/>
      <c r="O235" s="228"/>
      <c r="P235" s="228"/>
      <c r="Q235" s="228"/>
      <c r="R235" s="228" t="str">
        <f>IFERROR(__xludf.DUMMYFUNCTION("""COMPUTED_VALUE"""),"Male")</f>
        <v>Male</v>
      </c>
      <c r="S235" s="228" t="str">
        <f>IFERROR(__xludf.DUMMYFUNCTION("""COMPUTED_VALUE"""),"BIC REVOGB21")</f>
        <v>BIC REVOGB21</v>
      </c>
      <c r="T235" s="228"/>
      <c r="U235" s="228" t="str">
        <f>IFERROR(__xludf.DUMMYFUNCTION("""COMPUTED_VALUE"""),"GB66 REVO 0099 7086 9876 15")</f>
        <v>GB66 REVO 0099 7086 9876 15</v>
      </c>
      <c r="V235" s="228"/>
      <c r="W235" s="228"/>
      <c r="X235" s="228" t="str">
        <f>IFERROR(__xludf.DUMMYFUNCTION("""COMPUTED_VALUE"""),"Remote")</f>
        <v>Remote</v>
      </c>
      <c r="Y235" s="228"/>
      <c r="Z235" s="228"/>
      <c r="AA235" s="228" t="str">
        <f>IFERROR(__xludf.DUMMYFUNCTION("""COMPUTED_VALUE"""),"1 Durnsford Road, Wood Green, London, Greater London, United Kingdom, N11 2EP")</f>
        <v>1 Durnsford Road, Wood Green, London, Greater London, United Kingdom, N11 2EP</v>
      </c>
      <c r="AB235" s="228"/>
      <c r="AC235" s="228"/>
      <c r="AD235" s="228"/>
      <c r="AE235" s="228"/>
      <c r="AF235" s="228"/>
      <c r="AG235" s="228"/>
      <c r="AH235" s="228"/>
      <c r="AI235" s="228"/>
      <c r="AJ235" s="228"/>
      <c r="AK235" s="228"/>
      <c r="AL235" s="228"/>
      <c r="AM235" s="730">
        <f>IFERROR(__xludf.DUMMYFUNCTION("""COMPUTED_VALUE"""),45150.0)</f>
        <v>45150</v>
      </c>
      <c r="AN235" s="228"/>
      <c r="AO235" s="228"/>
      <c r="AP235" s="228" t="str">
        <f>IFERROR(__xludf.DUMMYFUNCTION("""COMPUTED_VALUE"""),"NO")</f>
        <v>NO</v>
      </c>
      <c r="AQ235" s="228" t="str">
        <f>IFERROR(__xludf.DUMMYFUNCTION("""COMPUTED_VALUE"""),"Resigned/Terminated")</f>
        <v>Resigned/Terminated</v>
      </c>
    </row>
    <row r="236">
      <c r="A236" s="228">
        <f>IFERROR(__xludf.DUMMYFUNCTION("""COMPUTED_VALUE"""),5047.0)</f>
        <v>5047</v>
      </c>
      <c r="B236" s="228" t="str">
        <f>IFERROR(__xludf.DUMMYFUNCTION("""COMPUTED_VALUE"""),"Kamran Khalid")</f>
        <v>Kamran Khalid</v>
      </c>
      <c r="C236" s="228" t="str">
        <f>IFERROR(__xludf.DUMMYFUNCTION("""COMPUTED_VALUE"""),"kamran.khalid@vyro.ai")</f>
        <v>kamran.khalid@vyro.ai</v>
      </c>
      <c r="D236" s="228" t="str">
        <f>IFERROR(__xludf.DUMMYFUNCTION("""COMPUTED_VALUE"""),"kamran.khalid@vyro.ai")</f>
        <v>kamran.khalid@vyro.ai</v>
      </c>
      <c r="E236" s="730">
        <f>IFERROR(__xludf.DUMMYFUNCTION("""COMPUTED_VALUE"""),44480.0)</f>
        <v>44480</v>
      </c>
      <c r="F236" s="228" t="str">
        <f>IFERROR(__xludf.DUMMYFUNCTION("""COMPUTED_VALUE"""),"Senior Product Manager")</f>
        <v>Senior Product Manager</v>
      </c>
      <c r="G236" s="228" t="str">
        <f>IFERROR(__xludf.DUMMYFUNCTION("""COMPUTED_VALUE"""),"PM")</f>
        <v>PM</v>
      </c>
      <c r="H236" s="228" t="str">
        <f>IFERROR(__xludf.DUMMYFUNCTION("""COMPUTED_VALUE"""),"Z/A/A")</f>
        <v>Z/A/A</v>
      </c>
      <c r="I236" s="228" t="str">
        <f>IFERROR(__xludf.DUMMYFUNCTION("""COMPUTED_VALUE"""),"Permanent")</f>
        <v>Permanent</v>
      </c>
      <c r="J236" s="228" t="str">
        <f>IFERROR(__xludf.DUMMYFUNCTION("""COMPUTED_VALUE"""),"Resigned")</f>
        <v>Resigned</v>
      </c>
      <c r="K236" s="228" t="str">
        <f>IFERROR(__xludf.DUMMYFUNCTION("""COMPUTED_VALUE"""),"3 M")</f>
        <v>3 M</v>
      </c>
      <c r="L236" s="732">
        <f>IFERROR(__xludf.DUMMYFUNCTION("""COMPUTED_VALUE"""),44572.0)</f>
        <v>44572</v>
      </c>
      <c r="M236" s="228"/>
      <c r="N236" s="228"/>
      <c r="O236" s="228"/>
      <c r="P236" s="228" t="str">
        <f>IFERROR(__xludf.DUMMYFUNCTION("""COMPUTED_VALUE"""),"0334 2459667")</f>
        <v>0334 2459667</v>
      </c>
      <c r="Q236" s="228" t="str">
        <f>IFERROR(__xludf.DUMMYFUNCTION("""COMPUTED_VALUE"""),"54401-6302377-9")</f>
        <v>54401-6302377-9</v>
      </c>
      <c r="R236" s="228" t="str">
        <f>IFERROR(__xludf.DUMMYFUNCTION("""COMPUTED_VALUE"""),"Male")</f>
        <v>Male</v>
      </c>
      <c r="S236" s="228" t="str">
        <f>IFERROR(__xludf.DUMMYFUNCTION("""COMPUTED_VALUE"""),"Standard Chartered")</f>
        <v>Standard Chartered</v>
      </c>
      <c r="T236" s="228"/>
      <c r="U236" s="228" t="str">
        <f>IFERROR(__xludf.DUMMYFUNCTION("""COMPUTED_VALUE"""),"PK19SCBL0000001723040101")</f>
        <v>PK19SCBL0000001723040101</v>
      </c>
      <c r="V236" s="228"/>
      <c r="W236" s="228"/>
      <c r="X236" s="228" t="str">
        <f>IFERROR(__xludf.DUMMYFUNCTION("""COMPUTED_VALUE"""),"Islamabad")</f>
        <v>Islamabad</v>
      </c>
      <c r="Y236" s="730">
        <f>IFERROR(__xludf.DUMMYFUNCTION("""COMPUTED_VALUE"""),33798.0)</f>
        <v>33798</v>
      </c>
      <c r="Z236" s="228" t="str">
        <f>IFERROR(__xludf.DUMMYFUNCTION("""COMPUTED_VALUE"""),"32 Years")</f>
        <v>32 Years</v>
      </c>
      <c r="AA236" s="228" t="str">
        <f>IFERROR(__xludf.DUMMYFUNCTION("""COMPUTED_VALUE"""),"House 81 B , Stree 26, F-11/2, Islamabad")</f>
        <v>House 81 B , Stree 26, F-11/2, Islamabad</v>
      </c>
      <c r="AB236" s="228" t="str">
        <f>IFERROR(__xludf.DUMMYFUNCTION("""COMPUTED_VALUE"""),"Pakistani")</f>
        <v>Pakistani</v>
      </c>
      <c r="AC236" s="228" t="str">
        <f>IFERROR(__xludf.DUMMYFUNCTION("""COMPUTED_VALUE"""),"Single")</f>
        <v>Single</v>
      </c>
      <c r="AD236" s="228"/>
      <c r="AE236" s="228"/>
      <c r="AF236" s="228"/>
      <c r="AG236" s="228" t="str">
        <f>IFERROR(__xludf.DUMMYFUNCTION("""COMPUTED_VALUE"""),"Khalid Mehmood")</f>
        <v>Khalid Mehmood</v>
      </c>
      <c r="AH236" s="228" t="str">
        <f>IFERROR(__xludf.DUMMYFUNCTION("""COMPUTED_VALUE"""),"Father")</f>
        <v>Father</v>
      </c>
      <c r="AI236" s="228" t="str">
        <f>IFERROR(__xludf.DUMMYFUNCTION("""COMPUTED_VALUE"""),"03337836641")</f>
        <v>03337836641</v>
      </c>
      <c r="AJ236" s="228" t="str">
        <f>IFERROR(__xludf.DUMMYFUNCTION("""COMPUTED_VALUE"""),"B+")</f>
        <v>B+</v>
      </c>
      <c r="AK236" s="731" t="str">
        <f>IFERROR(__xludf.DUMMYFUNCTION("""COMPUTED_VALUE"""),"https://www.linkedin.com/in/kamran-khalid-98aa4552/")</f>
        <v>https://www.linkedin.com/in/kamran-khalid-98aa4552/</v>
      </c>
      <c r="AL236" s="228"/>
      <c r="AM236" s="730">
        <f>IFERROR(__xludf.DUMMYFUNCTION("""COMPUTED_VALUE"""),45163.0)</f>
        <v>45163</v>
      </c>
      <c r="AN236" s="228"/>
      <c r="AO236" s="228"/>
      <c r="AP236" s="228" t="str">
        <f>IFERROR(__xludf.DUMMYFUNCTION("""COMPUTED_VALUE"""),"NO")</f>
        <v>NO</v>
      </c>
      <c r="AQ236" s="228" t="str">
        <f>IFERROR(__xludf.DUMMYFUNCTION("""COMPUTED_VALUE"""),"Resigned/Terminated")</f>
        <v>Resigned/Terminated</v>
      </c>
    </row>
    <row r="237">
      <c r="A237" s="228">
        <f>IFERROR(__xludf.DUMMYFUNCTION("""COMPUTED_VALUE"""),5122.0)</f>
        <v>5122</v>
      </c>
      <c r="B237" s="228" t="str">
        <f>IFERROR(__xludf.DUMMYFUNCTION("""COMPUTED_VALUE"""),"Fatemah Sajwani")</f>
        <v>Fatemah Sajwani</v>
      </c>
      <c r="C237" s="228" t="str">
        <f>IFERROR(__xludf.DUMMYFUNCTION("""COMPUTED_VALUE"""),"fatemahsajwani28@gmail.com")</f>
        <v>fatemahsajwani28@gmail.com</v>
      </c>
      <c r="D237" s="228" t="str">
        <f>IFERROR(__xludf.DUMMYFUNCTION("""COMPUTED_VALUE"""),"fatemah.sajwani@vyro.ai")</f>
        <v>fatemah.sajwani@vyro.ai</v>
      </c>
      <c r="E237" s="730">
        <f>IFERROR(__xludf.DUMMYFUNCTION("""COMPUTED_VALUE"""),45042.0)</f>
        <v>45042</v>
      </c>
      <c r="F237" s="228" t="str">
        <f>IFERROR(__xludf.DUMMYFUNCTION("""COMPUTED_VALUE"""),"Manager, Talent and People")</f>
        <v>Manager, Talent and People</v>
      </c>
      <c r="G237" s="228" t="str">
        <f>IFERROR(__xludf.DUMMYFUNCTION("""COMPUTED_VALUE"""),"People")</f>
        <v>People</v>
      </c>
      <c r="H237" s="228" t="str">
        <f>IFERROR(__xludf.DUMMYFUNCTION("""COMPUTED_VALUE"""),"Ahmed")</f>
        <v>Ahmed</v>
      </c>
      <c r="I237" s="228" t="str">
        <f>IFERROR(__xludf.DUMMYFUNCTION("""COMPUTED_VALUE"""),"Permanent")</f>
        <v>Permanent</v>
      </c>
      <c r="J237" s="228" t="str">
        <f>IFERROR(__xludf.DUMMYFUNCTION("""COMPUTED_VALUE"""),"Current")</f>
        <v>Current</v>
      </c>
      <c r="K237" s="228" t="str">
        <f>IFERROR(__xludf.DUMMYFUNCTION("""COMPUTED_VALUE"""),"3 M")</f>
        <v>3 M</v>
      </c>
      <c r="L237" s="732">
        <f>IFERROR(__xludf.DUMMYFUNCTION("""COMPUTED_VALUE"""),45133.0)</f>
        <v>45133</v>
      </c>
      <c r="M237" s="228"/>
      <c r="N237" s="228"/>
      <c r="O237" s="228"/>
      <c r="P237" s="228" t="str">
        <f>IFERROR(__xludf.DUMMYFUNCTION("""COMPUTED_VALUE"""),"03079770785")</f>
        <v>03079770785</v>
      </c>
      <c r="Q237" s="228" t="str">
        <f>IFERROR(__xludf.DUMMYFUNCTION("""COMPUTED_VALUE"""),"61101-3766212-2")</f>
        <v>61101-3766212-2</v>
      </c>
      <c r="R237" s="228" t="str">
        <f>IFERROR(__xludf.DUMMYFUNCTION("""COMPUTED_VALUE"""),"Female")</f>
        <v>Female</v>
      </c>
      <c r="S237" s="228" t="str">
        <f>IFERROR(__xludf.DUMMYFUNCTION("""COMPUTED_VALUE"""),"Standard Chartered")</f>
        <v>Standard Chartered</v>
      </c>
      <c r="T237" s="228"/>
      <c r="U237" s="228" t="str">
        <f>IFERROR(__xludf.DUMMYFUNCTION("""COMPUTED_VALUE"""),"01983686101")</f>
        <v>01983686101</v>
      </c>
      <c r="V237" s="228" t="str">
        <f>IFERROR(__xludf.DUMMYFUNCTION("""COMPUTED_VALUE"""),"SCBLPKKXXXX")</f>
        <v>SCBLPKKXXXX</v>
      </c>
      <c r="W237" s="228"/>
      <c r="X237" s="228" t="str">
        <f>IFERROR(__xludf.DUMMYFUNCTION("""COMPUTED_VALUE"""),"Remote")</f>
        <v>Remote</v>
      </c>
      <c r="Y237" s="730">
        <f>IFERROR(__xludf.DUMMYFUNCTION("""COMPUTED_VALUE"""),34145.0)</f>
        <v>34145</v>
      </c>
      <c r="Z237" s="228" t="str">
        <f>IFERROR(__xludf.DUMMYFUNCTION("""COMPUTED_VALUE"""),"32 Years")</f>
        <v>32 Years</v>
      </c>
      <c r="AA237" s="228" t="str">
        <f>IFERROR(__xludf.DUMMYFUNCTION("""COMPUTED_VALUE"""),"House #G25, Main Street, Golden Jubilee Cooperative Housing Society, GT Road, RWP, opposite Kallisto Marquee")</f>
        <v>House #G25, Main Street, Golden Jubilee Cooperative Housing Society, GT Road, RWP, opposite Kallisto Marquee</v>
      </c>
      <c r="AB237" s="228" t="str">
        <f>IFERROR(__xludf.DUMMYFUNCTION("""COMPUTED_VALUE"""),"Pakistani")</f>
        <v>Pakistani</v>
      </c>
      <c r="AC237" s="228" t="str">
        <f>IFERROR(__xludf.DUMMYFUNCTION("""COMPUTED_VALUE"""),"Married")</f>
        <v>Married</v>
      </c>
      <c r="AD237" s="228"/>
      <c r="AE237" s="228"/>
      <c r="AF237" s="228"/>
      <c r="AG237" s="228" t="str">
        <f>IFERROR(__xludf.DUMMYFUNCTION("""COMPUTED_VALUE"""),"Ali Hassan")</f>
        <v>Ali Hassan</v>
      </c>
      <c r="AH237" s="228" t="str">
        <f>IFERROR(__xludf.DUMMYFUNCTION("""COMPUTED_VALUE"""),"Husband")</f>
        <v>Husband</v>
      </c>
      <c r="AI237" s="228" t="str">
        <f>IFERROR(__xludf.DUMMYFUNCTION("""COMPUTED_VALUE"""),"03365028982")</f>
        <v>03365028982</v>
      </c>
      <c r="AJ237" s="228" t="str">
        <f>IFERROR(__xludf.DUMMYFUNCTION("""COMPUTED_VALUE"""),"B+")</f>
        <v>B+</v>
      </c>
      <c r="AK237" s="228"/>
      <c r="AL237" s="228"/>
      <c r="AM237" s="730">
        <f>IFERROR(__xludf.DUMMYFUNCTION("""COMPUTED_VALUE"""),45169.0)</f>
        <v>45169</v>
      </c>
      <c r="AN237" s="228"/>
      <c r="AO237" s="228"/>
      <c r="AP237" s="228" t="str">
        <f>IFERROR(__xludf.DUMMYFUNCTION("""COMPUTED_VALUE"""),"NO")</f>
        <v>NO</v>
      </c>
      <c r="AQ237" s="228" t="str">
        <f>IFERROR(__xludf.DUMMYFUNCTION("""COMPUTED_VALUE"""),"Resigned/Terminated")</f>
        <v>Resigned/Terminated</v>
      </c>
    </row>
    <row r="238">
      <c r="A238" s="228">
        <f>IFERROR(__xludf.DUMMYFUNCTION("""COMPUTED_VALUE"""),5144.0)</f>
        <v>5144</v>
      </c>
      <c r="B238" s="228" t="str">
        <f>IFERROR(__xludf.DUMMYFUNCTION("""COMPUTED_VALUE"""),"Asim Hussain")</f>
        <v>Asim Hussain</v>
      </c>
      <c r="C238" s="228" t="str">
        <f>IFERROR(__xludf.DUMMYFUNCTION("""COMPUTED_VALUE"""),"asimh400@gmail.com")</f>
        <v>asimh400@gmail.com</v>
      </c>
      <c r="D238" s="228" t="str">
        <f>IFERROR(__xludf.DUMMYFUNCTION("""COMPUTED_VALUE"""),"asim.hussain@vyro.ai")</f>
        <v>asim.hussain@vyro.ai</v>
      </c>
      <c r="E238" s="730">
        <f>IFERROR(__xludf.DUMMYFUNCTION("""COMPUTED_VALUE"""),45110.0)</f>
        <v>45110</v>
      </c>
      <c r="F238" s="228" t="str">
        <f>IFERROR(__xludf.DUMMYFUNCTION("""COMPUTED_VALUE"""),"Recruitment Lead")</f>
        <v>Recruitment Lead</v>
      </c>
      <c r="G238" s="228" t="str">
        <f>IFERROR(__xludf.DUMMYFUNCTION("""COMPUTED_VALUE"""),"TA")</f>
        <v>TA</v>
      </c>
      <c r="H238" s="228" t="str">
        <f>IFERROR(__xludf.DUMMYFUNCTION("""COMPUTED_VALUE"""),"Fatemah - Manager, People and Talent")</f>
        <v>Fatemah - Manager, People and Talent</v>
      </c>
      <c r="I238" s="228" t="str">
        <f>IFERROR(__xludf.DUMMYFUNCTION("""COMPUTED_VALUE"""),"Permanent")</f>
        <v>Permanent</v>
      </c>
      <c r="J238" s="228" t="str">
        <f>IFERROR(__xludf.DUMMYFUNCTION("""COMPUTED_VALUE"""),"Terminated")</f>
        <v>Terminated</v>
      </c>
      <c r="K238" s="228" t="str">
        <f>IFERROR(__xludf.DUMMYFUNCTION("""COMPUTED_VALUE"""),"3 M")</f>
        <v>3 M</v>
      </c>
      <c r="L238" s="732">
        <f>IFERROR(__xludf.DUMMYFUNCTION("""COMPUTED_VALUE"""),45202.0)</f>
        <v>45202</v>
      </c>
      <c r="M238" s="228"/>
      <c r="N238" s="228"/>
      <c r="O238" s="228"/>
      <c r="P238" s="228" t="str">
        <f>IFERROR(__xludf.DUMMYFUNCTION("""COMPUTED_VALUE"""),"3008803456")</f>
        <v>3008803456</v>
      </c>
      <c r="Q238" s="228" t="str">
        <f>IFERROR(__xludf.DUMMYFUNCTION("""COMPUTED_VALUE"""),"37405-1879564-9")</f>
        <v>37405-1879564-9</v>
      </c>
      <c r="R238" s="228" t="str">
        <f>IFERROR(__xludf.DUMMYFUNCTION("""COMPUTED_VALUE"""),"Male")</f>
        <v>Male</v>
      </c>
      <c r="S238" s="228" t="str">
        <f>IFERROR(__xludf.DUMMYFUNCTION("""COMPUTED_VALUE"""),"Standard Chartered Bank")</f>
        <v>Standard Chartered Bank</v>
      </c>
      <c r="T238" s="228" t="str">
        <f>IFERROR(__xludf.DUMMYFUNCTION("""COMPUTED_VALUE"""),"Asim Hussain")</f>
        <v>Asim Hussain</v>
      </c>
      <c r="U238" s="228" t="str">
        <f>IFERROR(__xludf.DUMMYFUNCTION("""COMPUTED_VALUE"""),"PK65SCBL0000001722799101")</f>
        <v>PK65SCBL0000001722799101</v>
      </c>
      <c r="V238" s="228"/>
      <c r="W238" s="228"/>
      <c r="X238" s="228" t="str">
        <f>IFERROR(__xludf.DUMMYFUNCTION("""COMPUTED_VALUE"""),"Islamabad")</f>
        <v>Islamabad</v>
      </c>
      <c r="Y238" s="730">
        <f>IFERROR(__xludf.DUMMYFUNCTION("""COMPUTED_VALUE"""),33483.0)</f>
        <v>33483</v>
      </c>
      <c r="Z238" s="228" t="str">
        <f>IFERROR(__xludf.DUMMYFUNCTION("""COMPUTED_VALUE"""),"33 Years")</f>
        <v>33 Years</v>
      </c>
      <c r="AA238" s="228" t="str">
        <f>IFERROR(__xludf.DUMMYFUNCTION("""COMPUTED_VALUE"""),"Flat 3D, Block 6, Askari Heights 3, Sector F, DHA Phase 5, Islamabad")</f>
        <v>Flat 3D, Block 6, Askari Heights 3, Sector F, DHA Phase 5, Islamabad</v>
      </c>
      <c r="AB238" s="228"/>
      <c r="AC238" s="228" t="str">
        <f>IFERROR(__xludf.DUMMYFUNCTION("""COMPUTED_VALUE"""),"Married")</f>
        <v>Married</v>
      </c>
      <c r="AD238" s="228"/>
      <c r="AE238" s="228"/>
      <c r="AF238" s="228"/>
      <c r="AG238" s="228" t="str">
        <f>IFERROR(__xludf.DUMMYFUNCTION("""COMPUTED_VALUE"""),"Maj Shahanshah Hussain")</f>
        <v>Maj Shahanshah Hussain</v>
      </c>
      <c r="AH238" s="228" t="str">
        <f>IFERROR(__xludf.DUMMYFUNCTION("""COMPUTED_VALUE"""),"Father")</f>
        <v>Father</v>
      </c>
      <c r="AI238" s="228" t="str">
        <f>IFERROR(__xludf.DUMMYFUNCTION("""COMPUTED_VALUE"""),"3005883754")</f>
        <v>3005883754</v>
      </c>
      <c r="AJ238" s="228" t="str">
        <f>IFERROR(__xludf.DUMMYFUNCTION("""COMPUTED_VALUE"""),"B+")</f>
        <v>B+</v>
      </c>
      <c r="AK238" s="731" t="str">
        <f>IFERROR(__xludf.DUMMYFUNCTION("""COMPUTED_VALUE"""),"www.linkedin.com/in/asimh400")</f>
        <v>www.linkedin.com/in/asimh400</v>
      </c>
      <c r="AL238" s="228"/>
      <c r="AM238" s="730">
        <f>IFERROR(__xludf.DUMMYFUNCTION("""COMPUTED_VALUE"""),45177.0)</f>
        <v>45177</v>
      </c>
      <c r="AN238" s="228"/>
      <c r="AO238" s="228"/>
      <c r="AP238" s="228" t="str">
        <f>IFERROR(__xludf.DUMMYFUNCTION("""COMPUTED_VALUE"""),"NO")</f>
        <v>NO</v>
      </c>
      <c r="AQ238" s="228" t="str">
        <f>IFERROR(__xludf.DUMMYFUNCTION("""COMPUTED_VALUE"""),"Resigned/Terminated")</f>
        <v>Resigned/Terminated</v>
      </c>
    </row>
    <row r="239">
      <c r="A239" s="228">
        <f>IFERROR(__xludf.DUMMYFUNCTION("""COMPUTED_VALUE"""),5129.0)</f>
        <v>5129</v>
      </c>
      <c r="B239" s="228" t="str">
        <f>IFERROR(__xludf.DUMMYFUNCTION("""COMPUTED_VALUE"""),"Waqas Ahmed")</f>
        <v>Waqas Ahmed</v>
      </c>
      <c r="C239" s="228" t="str">
        <f>IFERROR(__xludf.DUMMYFUNCTION("""COMPUTED_VALUE"""),"waqasbinnajeeb@hotmail.com")</f>
        <v>waqasbinnajeeb@hotmail.com</v>
      </c>
      <c r="D239" s="228" t="str">
        <f>IFERROR(__xludf.DUMMYFUNCTION("""COMPUTED_VALUE"""),"waqas.ahmed@vyro.ai")</f>
        <v>waqas.ahmed@vyro.ai</v>
      </c>
      <c r="E239" s="730">
        <f>IFERROR(__xludf.DUMMYFUNCTION("""COMPUTED_VALUE"""),45061.0)</f>
        <v>45061</v>
      </c>
      <c r="F239" s="228" t="str">
        <f>IFERROR(__xludf.DUMMYFUNCTION("""COMPUTED_VALUE"""),"Assistant Manager - Marketing")</f>
        <v>Assistant Manager - Marketing</v>
      </c>
      <c r="G239" s="228" t="str">
        <f>IFERROR(__xludf.DUMMYFUNCTION("""COMPUTED_VALUE"""),"Marketing")</f>
        <v>Marketing</v>
      </c>
      <c r="H239" s="228" t="str">
        <f>IFERROR(__xludf.DUMMYFUNCTION("""COMPUTED_VALUE"""),"Ahmed")</f>
        <v>Ahmed</v>
      </c>
      <c r="I239" s="228" t="str">
        <f>IFERROR(__xludf.DUMMYFUNCTION("""COMPUTED_VALUE"""),"Permanent")</f>
        <v>Permanent</v>
      </c>
      <c r="J239" s="228" t="str">
        <f>IFERROR(__xludf.DUMMYFUNCTION("""COMPUTED_VALUE"""),"Terminated")</f>
        <v>Terminated</v>
      </c>
      <c r="K239" s="228" t="str">
        <f>IFERROR(__xludf.DUMMYFUNCTION("""COMPUTED_VALUE"""),"3 M")</f>
        <v>3 M</v>
      </c>
      <c r="L239" s="732">
        <f>IFERROR(__xludf.DUMMYFUNCTION("""COMPUTED_VALUE"""),45153.0)</f>
        <v>45153</v>
      </c>
      <c r="M239" s="228"/>
      <c r="N239" s="228"/>
      <c r="O239" s="228"/>
      <c r="P239" s="228" t="str">
        <f>IFERROR(__xludf.DUMMYFUNCTION("""COMPUTED_VALUE"""),"03329873449")</f>
        <v>03329873449</v>
      </c>
      <c r="Q239" s="228" t="str">
        <f>IFERROR(__xludf.DUMMYFUNCTION("""COMPUTED_VALUE"""),"61101-4672221-3")</f>
        <v>61101-4672221-3</v>
      </c>
      <c r="R239" s="228" t="str">
        <f>IFERROR(__xludf.DUMMYFUNCTION("""COMPUTED_VALUE"""),"Male")</f>
        <v>Male</v>
      </c>
      <c r="S239" s="228" t="str">
        <f>IFERROR(__xludf.DUMMYFUNCTION("""COMPUTED_VALUE"""),"Meezan")</f>
        <v>Meezan</v>
      </c>
      <c r="T239" s="228"/>
      <c r="U239" s="228" t="str">
        <f>IFERROR(__xludf.DUMMYFUNCTION("""COMPUTED_VALUE"""),"03300104484046")</f>
        <v>03300104484046</v>
      </c>
      <c r="V239" s="228"/>
      <c r="W239" s="228"/>
      <c r="X239" s="228" t="str">
        <f>IFERROR(__xludf.DUMMYFUNCTION("""COMPUTED_VALUE"""),"Islamabad")</f>
        <v>Islamabad</v>
      </c>
      <c r="Y239" s="730">
        <f>IFERROR(__xludf.DUMMYFUNCTION("""COMPUTED_VALUE"""),34217.0)</f>
        <v>34217</v>
      </c>
      <c r="Z239" s="228" t="str">
        <f>IFERROR(__xludf.DUMMYFUNCTION("""COMPUTED_VALUE"""),"31 Years")</f>
        <v>31 Years</v>
      </c>
      <c r="AA239" s="228" t="str">
        <f>IFERROR(__xludf.DUMMYFUNCTION("""COMPUTED_VALUE"""),"House 1788E, St 62, I-14/3, Islamabad")</f>
        <v>House 1788E, St 62, I-14/3, Islamabad</v>
      </c>
      <c r="AB239" s="228" t="str">
        <f>IFERROR(__xludf.DUMMYFUNCTION("""COMPUTED_VALUE"""),"Pakistani")</f>
        <v>Pakistani</v>
      </c>
      <c r="AC239" s="228" t="str">
        <f>IFERROR(__xludf.DUMMYFUNCTION("""COMPUTED_VALUE"""),"Married")</f>
        <v>Married</v>
      </c>
      <c r="AD239" s="228"/>
      <c r="AE239" s="228"/>
      <c r="AF239" s="228"/>
      <c r="AG239" s="228" t="str">
        <f>IFERROR(__xludf.DUMMYFUNCTION("""COMPUTED_VALUE"""),"Najeeb Ahmad")</f>
        <v>Najeeb Ahmad</v>
      </c>
      <c r="AH239" s="228" t="str">
        <f>IFERROR(__xludf.DUMMYFUNCTION("""COMPUTED_VALUE"""),"Father")</f>
        <v>Father</v>
      </c>
      <c r="AI239" s="228" t="str">
        <f>IFERROR(__xludf.DUMMYFUNCTION("""COMPUTED_VALUE"""),"03458883740")</f>
        <v>03458883740</v>
      </c>
      <c r="AJ239" s="228" t="str">
        <f>IFERROR(__xludf.DUMMYFUNCTION("""COMPUTED_VALUE"""),"B+")</f>
        <v>B+</v>
      </c>
      <c r="AK239" s="228"/>
      <c r="AL239" s="228"/>
      <c r="AM239" s="730">
        <f>IFERROR(__xludf.DUMMYFUNCTION("""COMPUTED_VALUE"""),45184.0)</f>
        <v>45184</v>
      </c>
      <c r="AN239" s="228"/>
      <c r="AO239" s="228"/>
      <c r="AP239" s="228" t="str">
        <f>IFERROR(__xludf.DUMMYFUNCTION("""COMPUTED_VALUE"""),"NO")</f>
        <v>NO</v>
      </c>
      <c r="AQ239" s="228" t="str">
        <f>IFERROR(__xludf.DUMMYFUNCTION("""COMPUTED_VALUE"""),"Resigned/Terminated")</f>
        <v>Resigned/Terminated</v>
      </c>
    </row>
    <row r="240">
      <c r="A240" s="228">
        <f>IFERROR(__xludf.DUMMYFUNCTION("""COMPUTED_VALUE"""),5151.0)</f>
        <v>5151</v>
      </c>
      <c r="B240" s="228" t="str">
        <f>IFERROR(__xludf.DUMMYFUNCTION("""COMPUTED_VALUE"""),"Umair Sajid")</f>
        <v>Umair Sajid</v>
      </c>
      <c r="C240" s="228" t="str">
        <f>IFERROR(__xludf.DUMMYFUNCTION("""COMPUTED_VALUE"""),"umairsajid222@gmail.com")</f>
        <v>umairsajid222@gmail.com</v>
      </c>
      <c r="D240" s="228" t="str">
        <f>IFERROR(__xludf.DUMMYFUNCTION("""COMPUTED_VALUE"""),"umair.sajid@vyro.ai")</f>
        <v>umair.sajid@vyro.ai</v>
      </c>
      <c r="E240" s="730">
        <f>IFERROR(__xludf.DUMMYFUNCTION("""COMPUTED_VALUE"""),45139.0)</f>
        <v>45139</v>
      </c>
      <c r="F240" s="228" t="str">
        <f>IFERROR(__xludf.DUMMYFUNCTION("""COMPUTED_VALUE"""),"Senior Marketing Executive")</f>
        <v>Senior Marketing Executive</v>
      </c>
      <c r="G240" s="228" t="str">
        <f>IFERROR(__xludf.DUMMYFUNCTION("""COMPUTED_VALUE"""),"Marketing")</f>
        <v>Marketing</v>
      </c>
      <c r="H240" s="228" t="str">
        <f>IFERROR(__xludf.DUMMYFUNCTION("""COMPUTED_VALUE"""),"Waqas Ahmed - AM Marketing")</f>
        <v>Waqas Ahmed - AM Marketing</v>
      </c>
      <c r="I240" s="228" t="str">
        <f>IFERROR(__xludf.DUMMYFUNCTION("""COMPUTED_VALUE"""),"Permanent")</f>
        <v>Permanent</v>
      </c>
      <c r="J240" s="228" t="str">
        <f>IFERROR(__xludf.DUMMYFUNCTION("""COMPUTED_VALUE"""),"Active")</f>
        <v>Active</v>
      </c>
      <c r="K240" s="228" t="str">
        <f>IFERROR(__xludf.DUMMYFUNCTION("""COMPUTED_VALUE"""),"3 M")</f>
        <v>3 M</v>
      </c>
      <c r="L240" s="732">
        <f>IFERROR(__xludf.DUMMYFUNCTION("""COMPUTED_VALUE"""),45231.0)</f>
        <v>45231</v>
      </c>
      <c r="M240" s="228"/>
      <c r="N240" s="228"/>
      <c r="O240" s="228"/>
      <c r="P240" s="228" t="str">
        <f>IFERROR(__xludf.DUMMYFUNCTION("""COMPUTED_VALUE"""),"0326-7864100 or 03447864100")</f>
        <v>0326-7864100 or 03447864100</v>
      </c>
      <c r="Q240" s="228" t="str">
        <f>IFERROR(__xludf.DUMMYFUNCTION("""COMPUTED_VALUE"""),"33100-0494596-7")</f>
        <v>33100-0494596-7</v>
      </c>
      <c r="R240" s="228" t="str">
        <f>IFERROR(__xludf.DUMMYFUNCTION("""COMPUTED_VALUE"""),"Male")</f>
        <v>Male</v>
      </c>
      <c r="S240" s="228" t="str">
        <f>IFERROR(__xludf.DUMMYFUNCTION("""COMPUTED_VALUE"""),"Meezan Bank- Samanabad branch, FSD")</f>
        <v>Meezan Bank- Samanabad branch, FSD</v>
      </c>
      <c r="T240" s="228" t="str">
        <f>IFERROR(__xludf.DUMMYFUNCTION("""COMPUTED_VALUE"""),"UMAIR SAJID")</f>
        <v>UMAIR SAJID</v>
      </c>
      <c r="U240" s="228" t="str">
        <f>IFERROR(__xludf.DUMMYFUNCTION("""COMPUTED_VALUE"""),"PK59MEZN0004120105437856")</f>
        <v>PK59MEZN0004120105437856</v>
      </c>
      <c r="V240" s="228"/>
      <c r="W240" s="228"/>
      <c r="X240" s="228" t="str">
        <f>IFERROR(__xludf.DUMMYFUNCTION("""COMPUTED_VALUE"""),"Islamabad")</f>
        <v>Islamabad</v>
      </c>
      <c r="Y240" s="730">
        <f>IFERROR(__xludf.DUMMYFUNCTION("""COMPUTED_VALUE"""),34722.0)</f>
        <v>34722</v>
      </c>
      <c r="Z240" s="228" t="str">
        <f>IFERROR(__xludf.DUMMYFUNCTION("""COMPUTED_VALUE"""),"30 Years")</f>
        <v>30 Years</v>
      </c>
      <c r="AA240" s="228" t="str">
        <f>IFERROR(__xludf.DUMMYFUNCTION("""COMPUTED_VALUE"""),"House &amp; Street no.3, Aminabad no.1, Samanabad, Faisalabad")</f>
        <v>House &amp; Street no.3, Aminabad no.1, Samanabad, Faisalabad</v>
      </c>
      <c r="AB240" s="228" t="str">
        <f>IFERROR(__xludf.DUMMYFUNCTION("""COMPUTED_VALUE"""),"Pakistani")</f>
        <v>Pakistani</v>
      </c>
      <c r="AC240" s="228" t="str">
        <f>IFERROR(__xludf.DUMMYFUNCTION("""COMPUTED_VALUE"""),"Single")</f>
        <v>Single</v>
      </c>
      <c r="AD240" s="228"/>
      <c r="AE240" s="228"/>
      <c r="AF240" s="228"/>
      <c r="AG240" s="228" t="str">
        <f>IFERROR(__xludf.DUMMYFUNCTION("""COMPUTED_VALUE"""),"Sajid Anwar")</f>
        <v>Sajid Anwar</v>
      </c>
      <c r="AH240" s="228" t="str">
        <f>IFERROR(__xludf.DUMMYFUNCTION("""COMPUTED_VALUE"""),"Father")</f>
        <v>Father</v>
      </c>
      <c r="AI240" s="228" t="str">
        <f>IFERROR(__xludf.DUMMYFUNCTION("""COMPUTED_VALUE"""),"3006662713")</f>
        <v>3006662713</v>
      </c>
      <c r="AJ240" s="228" t="str">
        <f>IFERROR(__xludf.DUMMYFUNCTION("""COMPUTED_VALUE"""),"B+")</f>
        <v>B+</v>
      </c>
      <c r="AK240" s="731" t="str">
        <f>IFERROR(__xludf.DUMMYFUNCTION("""COMPUTED_VALUE"""),"https://www.linkedin.com/umairsajidbs?_l=en_US")</f>
        <v>https://www.linkedin.com/umairsajidbs?_l=en_US</v>
      </c>
      <c r="AL240" s="228"/>
      <c r="AM240" s="730">
        <f>IFERROR(__xludf.DUMMYFUNCTION("""COMPUTED_VALUE"""),45199.0)</f>
        <v>45199</v>
      </c>
      <c r="AN240" s="228"/>
      <c r="AO240" s="228"/>
      <c r="AP240" s="228" t="str">
        <f>IFERROR(__xludf.DUMMYFUNCTION("""COMPUTED_VALUE"""),"NO")</f>
        <v>NO</v>
      </c>
      <c r="AQ240" s="228" t="str">
        <f>IFERROR(__xludf.DUMMYFUNCTION("""COMPUTED_VALUE"""),"Resigned/Terminated")</f>
        <v>Resigned/Terminated</v>
      </c>
    </row>
    <row r="241">
      <c r="A241" s="228">
        <f>IFERROR(__xludf.DUMMYFUNCTION("""COMPUTED_VALUE"""),5158.0)</f>
        <v>5158</v>
      </c>
      <c r="B241" s="228" t="str">
        <f>IFERROR(__xludf.DUMMYFUNCTION("""COMPUTED_VALUE"""),"Faris Fathan")</f>
        <v>Faris Fathan</v>
      </c>
      <c r="C241" s="228" t="str">
        <f>IFERROR(__xludf.DUMMYFUNCTION("""COMPUTED_VALUE"""),"in.ffaris@gmail.com")</f>
        <v>in.ffaris@gmail.com</v>
      </c>
      <c r="D241" s="228" t="str">
        <f>IFERROR(__xludf.DUMMYFUNCTION("""COMPUTED_VALUE"""),"faris.fathan@vyro.ai")</f>
        <v>faris.fathan@vyro.ai</v>
      </c>
      <c r="E241" s="730">
        <f>IFERROR(__xludf.DUMMYFUNCTION("""COMPUTED_VALUE"""),45155.0)</f>
        <v>45155</v>
      </c>
      <c r="F241" s="228" t="str">
        <f>IFERROR(__xludf.DUMMYFUNCTION("""COMPUTED_VALUE"""),"Community Manager")</f>
        <v>Community Manager</v>
      </c>
      <c r="G241" s="228" t="str">
        <f>IFERROR(__xludf.DUMMYFUNCTION("""COMPUTED_VALUE"""),"Customer Exp")</f>
        <v>Customer Exp</v>
      </c>
      <c r="H241" s="228" t="str">
        <f>IFERROR(__xludf.DUMMYFUNCTION("""COMPUTED_VALUE"""),"Zain")</f>
        <v>Zain</v>
      </c>
      <c r="I241" s="228" t="str">
        <f>IFERROR(__xludf.DUMMYFUNCTION("""COMPUTED_VALUE"""),"Permanent")</f>
        <v>Permanent</v>
      </c>
      <c r="J241" s="228" t="str">
        <f>IFERROR(__xludf.DUMMYFUNCTION("""COMPUTED_VALUE"""),"Inactive")</f>
        <v>Inactive</v>
      </c>
      <c r="K241" s="228" t="str">
        <f>IFERROR(__xludf.DUMMYFUNCTION("""COMPUTED_VALUE"""),"3 M")</f>
        <v>3 M</v>
      </c>
      <c r="L241" s="732">
        <f>IFERROR(__xludf.DUMMYFUNCTION("""COMPUTED_VALUE"""),45247.0)</f>
        <v>45247</v>
      </c>
      <c r="M241" s="228"/>
      <c r="N241" s="228"/>
      <c r="O241" s="228"/>
      <c r="P241" s="228" t="str">
        <f>IFERROR(__xludf.DUMMYFUNCTION("""COMPUTED_VALUE"""),"6281211777540")</f>
        <v>6281211777540</v>
      </c>
      <c r="Q241" s="228" t="str">
        <f>IFERROR(__xludf.DUMMYFUNCTION("""COMPUTED_VALUE"""),"3578040107910001")</f>
        <v>3578040107910001</v>
      </c>
      <c r="R241" s="228" t="str">
        <f>IFERROR(__xludf.DUMMYFUNCTION("""COMPUTED_VALUE"""),"Male")</f>
        <v>Male</v>
      </c>
      <c r="S241" s="228" t="str">
        <f>IFERROR(__xludf.DUMMYFUNCTION("""COMPUTED_VALUE"""),"BRI (Bank Rakyat Indonesia)")</f>
        <v>BRI (Bank Rakyat Indonesia)</v>
      </c>
      <c r="T241" s="228" t="str">
        <f>IFERROR(__xludf.DUMMYFUNCTION("""COMPUTED_VALUE"""),"Faris Fathan")</f>
        <v>Faris Fathan</v>
      </c>
      <c r="U241" s="228" t="str">
        <f>IFERROR(__xludf.DUMMYFUNCTION("""COMPUTED_VALUE"""),"55301055319504")</f>
        <v>55301055319504</v>
      </c>
      <c r="V241" s="228" t="str">
        <f>IFERROR(__xludf.DUMMYFUNCTION("""COMPUTED_VALUE"""),"BRINIDJA")</f>
        <v>BRINIDJA</v>
      </c>
      <c r="W241" s="228"/>
      <c r="X241" s="228" t="str">
        <f>IFERROR(__xludf.DUMMYFUNCTION("""COMPUTED_VALUE"""),"Remote")</f>
        <v>Remote</v>
      </c>
      <c r="Y241" s="730">
        <f>IFERROR(__xludf.DUMMYFUNCTION("""COMPUTED_VALUE"""),33420.0)</f>
        <v>33420</v>
      </c>
      <c r="Z241" s="228"/>
      <c r="AA241" s="228" t="str">
        <f>IFERROR(__xludf.DUMMYFUNCTION("""COMPUTED_VALUE"""),"Puri Orchard Apartment - Jl. Raya Adicipta Kav. 8 Lingkar Luar Barat, Rawa Buaya, Cengkareng, Kota Jakarta Barat, Daerah Khusus Ibukota Jakarta, 11740")</f>
        <v>Puri Orchard Apartment - Jl. Raya Adicipta Kav. 8 Lingkar Luar Barat, Rawa Buaya, Cengkareng, Kota Jakarta Barat, Daerah Khusus Ibukota Jakarta, 11740</v>
      </c>
      <c r="AB241" s="228" t="str">
        <f>IFERROR(__xludf.DUMMYFUNCTION("""COMPUTED_VALUE"""),"Indonesia")</f>
        <v>Indonesia</v>
      </c>
      <c r="AC241" s="228" t="str">
        <f>IFERROR(__xludf.DUMMYFUNCTION("""COMPUTED_VALUE"""),"Single")</f>
        <v>Single</v>
      </c>
      <c r="AD241" s="228"/>
      <c r="AE241" s="228"/>
      <c r="AF241" s="228"/>
      <c r="AG241" s="228" t="str">
        <f>IFERROR(__xludf.DUMMYFUNCTION("""COMPUTED_VALUE"""),"Waluyo")</f>
        <v>Waluyo</v>
      </c>
      <c r="AH241" s="228" t="str">
        <f>IFERROR(__xludf.DUMMYFUNCTION("""COMPUTED_VALUE"""),"Relative")</f>
        <v>Relative</v>
      </c>
      <c r="AI241" s="228" t="str">
        <f>IFERROR(__xludf.DUMMYFUNCTION("""COMPUTED_VALUE"""),"6281387969292")</f>
        <v>6281387969292</v>
      </c>
      <c r="AJ241" s="228" t="str">
        <f>IFERROR(__xludf.DUMMYFUNCTION("""COMPUTED_VALUE"""),"AB+")</f>
        <v>AB+</v>
      </c>
      <c r="AK241" s="731" t="str">
        <f>IFERROR(__xludf.DUMMYFUNCTION("""COMPUTED_VALUE"""),"https://www.linkedin.com/in/faris1991")</f>
        <v>https://www.linkedin.com/in/faris1991</v>
      </c>
      <c r="AL241" s="228"/>
      <c r="AM241" s="730">
        <f>IFERROR(__xludf.DUMMYFUNCTION("""COMPUTED_VALUE"""),45202.0)</f>
        <v>45202</v>
      </c>
      <c r="AN241" s="228"/>
      <c r="AO241" s="228"/>
      <c r="AP241" s="228" t="str">
        <f>IFERROR(__xludf.DUMMYFUNCTION("""COMPUTED_VALUE"""),"NO")</f>
        <v>NO</v>
      </c>
      <c r="AQ241" s="228" t="str">
        <f>IFERROR(__xludf.DUMMYFUNCTION("""COMPUTED_VALUE"""),"Resigned/Terminated")</f>
        <v>Resigned/Terminated</v>
      </c>
    </row>
    <row r="242">
      <c r="A242" s="228">
        <f>IFERROR(__xludf.DUMMYFUNCTION("""COMPUTED_VALUE"""),5013.0)</f>
        <v>5013</v>
      </c>
      <c r="B242" s="228" t="str">
        <f>IFERROR(__xludf.DUMMYFUNCTION("""COMPUTED_VALUE"""),"Muhammad Haris Gul")</f>
        <v>Muhammad Haris Gul</v>
      </c>
      <c r="C242" s="228" t="str">
        <f>IFERROR(__xludf.DUMMYFUNCTION("""COMPUTED_VALUE"""),"muhammadharis86@outlook.com")</f>
        <v>muhammadharis86@outlook.com</v>
      </c>
      <c r="D242" s="228" t="str">
        <f>IFERROR(__xludf.DUMMYFUNCTION("""COMPUTED_VALUE"""),"haris.gul@vyro.ai")</f>
        <v>haris.gul@vyro.ai</v>
      </c>
      <c r="E242" s="730">
        <f>IFERROR(__xludf.DUMMYFUNCTION("""COMPUTED_VALUE"""),45068.0)</f>
        <v>45068</v>
      </c>
      <c r="F242" s="228" t="str">
        <f>IFERROR(__xludf.DUMMYFUNCTION("""COMPUTED_VALUE"""),"Product Designer")</f>
        <v>Product Designer</v>
      </c>
      <c r="G242" s="228" t="str">
        <f>IFERROR(__xludf.DUMMYFUNCTION("""COMPUTED_VALUE"""),"Design")</f>
        <v>Design</v>
      </c>
      <c r="H242" s="228" t="str">
        <f>IFERROR(__xludf.DUMMYFUNCTION("""COMPUTED_VALUE"""),"Z/A")</f>
        <v>Z/A</v>
      </c>
      <c r="I242" s="228" t="str">
        <f>IFERROR(__xludf.DUMMYFUNCTION("""COMPUTED_VALUE"""),"Permanent")</f>
        <v>Permanent</v>
      </c>
      <c r="J242" s="228" t="str">
        <f>IFERROR(__xludf.DUMMYFUNCTION("""COMPUTED_VALUE"""),"Inactive")</f>
        <v>Inactive</v>
      </c>
      <c r="K242" s="228"/>
      <c r="L242" s="228"/>
      <c r="M242" s="228"/>
      <c r="N242" s="228"/>
      <c r="O242" s="228"/>
      <c r="P242" s="228" t="str">
        <f>IFERROR(__xludf.DUMMYFUNCTION("""COMPUTED_VALUE"""),"0346-5007266")</f>
        <v>0346-5007266</v>
      </c>
      <c r="Q242" s="228" t="str">
        <f>IFERROR(__xludf.DUMMYFUNCTION("""COMPUTED_VALUE"""),"61101-3389194-7")</f>
        <v>61101-3389194-7</v>
      </c>
      <c r="R242" s="228" t="str">
        <f>IFERROR(__xludf.DUMMYFUNCTION("""COMPUTED_VALUE"""),"Male")</f>
        <v>Male</v>
      </c>
      <c r="S242" s="228" t="str">
        <f>IFERROR(__xludf.DUMMYFUNCTION("""COMPUTED_VALUE"""),"Meezan")</f>
        <v>Meezan</v>
      </c>
      <c r="T242" s="228"/>
      <c r="U242" s="228" t="str">
        <f>IFERROR(__xludf.DUMMYFUNCTION("""COMPUTED_VALUE"""),"03270105539200")</f>
        <v>03270105539200</v>
      </c>
      <c r="V242" s="228"/>
      <c r="W242" s="228"/>
      <c r="X242" s="228" t="str">
        <f>IFERROR(__xludf.DUMMYFUNCTION("""COMPUTED_VALUE"""),"Islamabad")</f>
        <v>Islamabad</v>
      </c>
      <c r="Y242" s="730">
        <f>IFERROR(__xludf.DUMMYFUNCTION("""COMPUTED_VALUE"""),36029.0)</f>
        <v>36029</v>
      </c>
      <c r="Z242" s="228" t="str">
        <f>IFERROR(__xludf.DUMMYFUNCTION("""COMPUTED_VALUE"""),"26 Years")</f>
        <v>26 Years</v>
      </c>
      <c r="AA242" s="228" t="str">
        <f>IFERROR(__xludf.DUMMYFUNCTION("""COMPUTED_VALUE"""),"12, block 15, category 5, I9/4, isb")</f>
        <v>12, block 15, category 5, I9/4, isb</v>
      </c>
      <c r="AB242" s="228" t="str">
        <f>IFERROR(__xludf.DUMMYFUNCTION("""COMPUTED_VALUE"""),"Pakistani")</f>
        <v>Pakistani</v>
      </c>
      <c r="AC242" s="228" t="str">
        <f>IFERROR(__xludf.DUMMYFUNCTION("""COMPUTED_VALUE"""),"Married")</f>
        <v>Married</v>
      </c>
      <c r="AD242" s="228"/>
      <c r="AE242" s="228"/>
      <c r="AF242" s="228"/>
      <c r="AG242" s="228" t="str">
        <f>IFERROR(__xludf.DUMMYFUNCTION("""COMPUTED_VALUE"""),"Muhammad Anwar Gul")</f>
        <v>Muhammad Anwar Gul</v>
      </c>
      <c r="AH242" s="228" t="str">
        <f>IFERROR(__xludf.DUMMYFUNCTION("""COMPUTED_VALUE"""),"Father")</f>
        <v>Father</v>
      </c>
      <c r="AI242" s="228" t="str">
        <f>IFERROR(__xludf.DUMMYFUNCTION("""COMPUTED_VALUE"""),"0300-5521300")</f>
        <v>0300-5521300</v>
      </c>
      <c r="AJ242" s="228"/>
      <c r="AK242" s="731" t="str">
        <f>IFERROR(__xludf.DUMMYFUNCTION("""COMPUTED_VALUE"""),"https://www.linkedin.com/in/muhammad-haris-37b113135/")</f>
        <v>https://www.linkedin.com/in/muhammad-haris-37b113135/</v>
      </c>
      <c r="AL242" s="228"/>
      <c r="AM242" s="730">
        <f>IFERROR(__xludf.DUMMYFUNCTION("""COMPUTED_VALUE"""),45207.0)</f>
        <v>45207</v>
      </c>
      <c r="AN242" s="228"/>
      <c r="AO242" s="228"/>
      <c r="AP242" s="228" t="str">
        <f>IFERROR(__xludf.DUMMYFUNCTION("""COMPUTED_VALUE"""),"NO")</f>
        <v>NO</v>
      </c>
      <c r="AQ242" s="228" t="str">
        <f>IFERROR(__xludf.DUMMYFUNCTION("""COMPUTED_VALUE"""),"Resigned/Terminated")</f>
        <v>Resigned/Terminated</v>
      </c>
    </row>
    <row r="243">
      <c r="A243" s="228">
        <f>IFERROR(__xludf.DUMMYFUNCTION("""COMPUTED_VALUE"""),5159.0)</f>
        <v>5159</v>
      </c>
      <c r="B243" s="228" t="str">
        <f>IFERROR(__xludf.DUMMYFUNCTION("""COMPUTED_VALUE"""),"Shahzaib Chaudhary")</f>
        <v>Shahzaib Chaudhary</v>
      </c>
      <c r="C243" s="228" t="str">
        <f>IFERROR(__xludf.DUMMYFUNCTION("""COMPUTED_VALUE"""),"shahzaibchaudhary776@gmail.com")</f>
        <v>shahzaibchaudhary776@gmail.com</v>
      </c>
      <c r="D243" s="228" t="str">
        <f>IFERROR(__xludf.DUMMYFUNCTION("""COMPUTED_VALUE"""),"shahzaib.chaudhary@vyro.ai")</f>
        <v>shahzaib.chaudhary@vyro.ai</v>
      </c>
      <c r="E243" s="730">
        <f>IFERROR(__xludf.DUMMYFUNCTION("""COMPUTED_VALUE"""),45159.0)</f>
        <v>45159</v>
      </c>
      <c r="F243" s="228" t="str">
        <f>IFERROR(__xludf.DUMMYFUNCTION("""COMPUTED_VALUE"""),"Associate ML Engineer")</f>
        <v>Associate ML Engineer</v>
      </c>
      <c r="G243" s="228" t="str">
        <f>IFERROR(__xludf.DUMMYFUNCTION("""COMPUTED_VALUE"""),"ML")</f>
        <v>ML</v>
      </c>
      <c r="H243" s="228" t="str">
        <f>IFERROR(__xludf.DUMMYFUNCTION("""COMPUTED_VALUE"""),"Momal Ijaz")</f>
        <v>Momal Ijaz</v>
      </c>
      <c r="I243" s="228" t="str">
        <f>IFERROR(__xludf.DUMMYFUNCTION("""COMPUTED_VALUE"""),"Permanent")</f>
        <v>Permanent</v>
      </c>
      <c r="J243" s="228" t="str">
        <f>IFERROR(__xludf.DUMMYFUNCTION("""COMPUTED_VALUE"""),"Inactive")</f>
        <v>Inactive</v>
      </c>
      <c r="K243" s="228" t="str">
        <f>IFERROR(__xludf.DUMMYFUNCTION("""COMPUTED_VALUE"""),"3 M")</f>
        <v>3 M</v>
      </c>
      <c r="L243" s="732">
        <f>IFERROR(__xludf.DUMMYFUNCTION("""COMPUTED_VALUE"""),45251.0)</f>
        <v>45251</v>
      </c>
      <c r="M243" s="228"/>
      <c r="N243" s="228"/>
      <c r="O243" s="228"/>
      <c r="P243" s="228" t="str">
        <f>IFERROR(__xludf.DUMMYFUNCTION("""COMPUTED_VALUE"""),"3006666555")</f>
        <v>3006666555</v>
      </c>
      <c r="Q243" s="228" t="str">
        <f>IFERROR(__xludf.DUMMYFUNCTION("""COMPUTED_VALUE"""),"33100-9292576-3")</f>
        <v>33100-9292576-3</v>
      </c>
      <c r="R243" s="228" t="str">
        <f>IFERROR(__xludf.DUMMYFUNCTION("""COMPUTED_VALUE"""),"Male")</f>
        <v>Male</v>
      </c>
      <c r="S243" s="228" t="str">
        <f>IFERROR(__xludf.DUMMYFUNCTION("""COMPUTED_VALUE"""),"Meezan Bank")</f>
        <v>Meezan Bank</v>
      </c>
      <c r="T243" s="228" t="str">
        <f>IFERROR(__xludf.DUMMYFUNCTION("""COMPUTED_VALUE"""),"Muhammad Shahzaib Chaudhary")</f>
        <v>Muhammad Shahzaib Chaudhary</v>
      </c>
      <c r="U243" s="228" t="str">
        <f>IFERROR(__xludf.DUMMYFUNCTION("""COMPUTED_VALUE"""),"02050103355192")</f>
        <v>02050103355192</v>
      </c>
      <c r="V243" s="228"/>
      <c r="W243" s="228"/>
      <c r="X243" s="228" t="str">
        <f>IFERROR(__xludf.DUMMYFUNCTION("""COMPUTED_VALUE"""),"Islamabad")</f>
        <v>Islamabad</v>
      </c>
      <c r="Y243" s="730">
        <f>IFERROR(__xludf.DUMMYFUNCTION("""COMPUTED_VALUE"""),36253.0)</f>
        <v>36253</v>
      </c>
      <c r="Z243" s="228" t="str">
        <f>IFERROR(__xludf.DUMMYFUNCTION("""COMPUTED_VALUE"""),"26 Years")</f>
        <v>26 Years</v>
      </c>
      <c r="AA243" s="228" t="str">
        <f>IFERROR(__xludf.DUMMYFUNCTION("""COMPUTED_VALUE"""),"House #629, Street #21, X Block, Phase 3 DHA, Lahore")</f>
        <v>House #629, Street #21, X Block, Phase 3 DHA, Lahore</v>
      </c>
      <c r="AB243" s="228" t="str">
        <f>IFERROR(__xludf.DUMMYFUNCTION("""COMPUTED_VALUE"""),"Pakistani")</f>
        <v>Pakistani</v>
      </c>
      <c r="AC243" s="228" t="str">
        <f>IFERROR(__xludf.DUMMYFUNCTION("""COMPUTED_VALUE"""),"Single")</f>
        <v>Single</v>
      </c>
      <c r="AD243" s="228"/>
      <c r="AE243" s="228"/>
      <c r="AF243" s="228"/>
      <c r="AG243" s="228" t="str">
        <f>IFERROR(__xludf.DUMMYFUNCTION("""COMPUTED_VALUE"""),"Imran Afzal Chaudhary")</f>
        <v>Imran Afzal Chaudhary</v>
      </c>
      <c r="AH243" s="228" t="str">
        <f>IFERROR(__xludf.DUMMYFUNCTION("""COMPUTED_VALUE"""),"Mother")</f>
        <v>Mother</v>
      </c>
      <c r="AI243" s="228" t="str">
        <f>IFERROR(__xludf.DUMMYFUNCTION("""COMPUTED_VALUE"""),"03217651555")</f>
        <v>03217651555</v>
      </c>
      <c r="AJ243" s="228" t="str">
        <f>IFERROR(__xludf.DUMMYFUNCTION("""COMPUTED_VALUE"""),"B+")</f>
        <v>B+</v>
      </c>
      <c r="AK243" s="228"/>
      <c r="AL243" s="228"/>
      <c r="AM243" s="730">
        <f>IFERROR(__xludf.DUMMYFUNCTION("""COMPUTED_VALUE"""),45209.0)</f>
        <v>45209</v>
      </c>
      <c r="AN243" s="228"/>
      <c r="AO243" s="228"/>
      <c r="AP243" s="228" t="str">
        <f>IFERROR(__xludf.DUMMYFUNCTION("""COMPUTED_VALUE"""),"NO")</f>
        <v>NO</v>
      </c>
      <c r="AQ243" s="228" t="str">
        <f>IFERROR(__xludf.DUMMYFUNCTION("""COMPUTED_VALUE"""),"Resigned/Terminated")</f>
        <v>Resigned/Terminated</v>
      </c>
    </row>
    <row r="244">
      <c r="A244" s="228">
        <f>IFERROR(__xludf.DUMMYFUNCTION("""COMPUTED_VALUE"""),5092.0)</f>
        <v>5092</v>
      </c>
      <c r="B244" s="228" t="str">
        <f>IFERROR(__xludf.DUMMYFUNCTION("""COMPUTED_VALUE"""),"Sheraz Ahmad")</f>
        <v>Sheraz Ahmad</v>
      </c>
      <c r="C244" s="228" t="str">
        <f>IFERROR(__xludf.DUMMYFUNCTION("""COMPUTED_VALUE"""),"sherazahmad383@gmail.com")</f>
        <v>sherazahmad383@gmail.com</v>
      </c>
      <c r="D244" s="228" t="str">
        <f>IFERROR(__xludf.DUMMYFUNCTION("""COMPUTED_VALUE"""),"sheraz.ahmad@vyro.ai")</f>
        <v>sheraz.ahmad@vyro.ai</v>
      </c>
      <c r="E244" s="730">
        <f>IFERROR(__xludf.DUMMYFUNCTION("""COMPUTED_VALUE"""),44914.0)</f>
        <v>44914</v>
      </c>
      <c r="F244" s="228" t="str">
        <f>IFERROR(__xludf.DUMMYFUNCTION("""COMPUTED_VALUE"""),"Senior Marketing Executive")</f>
        <v>Senior Marketing Executive</v>
      </c>
      <c r="G244" s="228" t="str">
        <f>IFERROR(__xludf.DUMMYFUNCTION("""COMPUTED_VALUE"""),"Marketing")</f>
        <v>Marketing</v>
      </c>
      <c r="H244" s="228" t="str">
        <f>IFERROR(__xludf.DUMMYFUNCTION("""COMPUTED_VALUE"""),"Ahmed")</f>
        <v>Ahmed</v>
      </c>
      <c r="I244" s="228" t="str">
        <f>IFERROR(__xludf.DUMMYFUNCTION("""COMPUTED_VALUE"""),"Permanent")</f>
        <v>Permanent</v>
      </c>
      <c r="J244" s="228" t="str">
        <f>IFERROR(__xludf.DUMMYFUNCTION("""COMPUTED_VALUE"""),"Inactive")</f>
        <v>Inactive</v>
      </c>
      <c r="K244" s="228" t="str">
        <f>IFERROR(__xludf.DUMMYFUNCTION("""COMPUTED_VALUE"""),"3 M")</f>
        <v>3 M</v>
      </c>
      <c r="L244" s="732">
        <f>IFERROR(__xludf.DUMMYFUNCTION("""COMPUTED_VALUE"""),45004.0)</f>
        <v>45004</v>
      </c>
      <c r="M244" s="228"/>
      <c r="N244" s="228"/>
      <c r="O244" s="228"/>
      <c r="P244" s="228" t="str">
        <f>IFERROR(__xludf.DUMMYFUNCTION("""COMPUTED_VALUE"""),"03006306383")</f>
        <v>03006306383</v>
      </c>
      <c r="Q244" s="228" t="str">
        <f>IFERROR(__xludf.DUMMYFUNCTION("""COMPUTED_VALUE"""),"32304-6599148-9")</f>
        <v>32304-6599148-9</v>
      </c>
      <c r="R244" s="228" t="str">
        <f>IFERROR(__xludf.DUMMYFUNCTION("""COMPUTED_VALUE"""),"Male")</f>
        <v>Male</v>
      </c>
      <c r="S244" s="228" t="str">
        <f>IFERROR(__xludf.DUMMYFUNCTION("""COMPUTED_VALUE"""),"Alfalah")</f>
        <v>Alfalah</v>
      </c>
      <c r="T244" s="228"/>
      <c r="U244" s="228" t="str">
        <f>IFERROR(__xludf.DUMMYFUNCTION("""COMPUTED_VALUE"""),"PK31ALFH0974001007338159")</f>
        <v>PK31ALFH0974001007338159</v>
      </c>
      <c r="V244" s="228"/>
      <c r="W244" s="228"/>
      <c r="X244" s="228" t="str">
        <f>IFERROR(__xludf.DUMMYFUNCTION("""COMPUTED_VALUE"""),"Islamabad")</f>
        <v>Islamabad</v>
      </c>
      <c r="Y244" s="730">
        <f>IFERROR(__xludf.DUMMYFUNCTION("""COMPUTED_VALUE"""),35461.0)</f>
        <v>35461</v>
      </c>
      <c r="Z244" s="228" t="str">
        <f>IFERROR(__xludf.DUMMYFUNCTION("""COMPUTED_VALUE"""),"28 Years")</f>
        <v>28 Years</v>
      </c>
      <c r="AA244" s="228" t="str">
        <f>IFERROR(__xludf.DUMMYFUNCTION("""COMPUTED_VALUE"""),"House 433, St 33, Phase 4A, Ghauri Town, Islamabad")</f>
        <v>House 433, St 33, Phase 4A, Ghauri Town, Islamabad</v>
      </c>
      <c r="AB244" s="228" t="str">
        <f>IFERROR(__xludf.DUMMYFUNCTION("""COMPUTED_VALUE"""),"Pakistani")</f>
        <v>Pakistani</v>
      </c>
      <c r="AC244" s="228" t="str">
        <f>IFERROR(__xludf.DUMMYFUNCTION("""COMPUTED_VALUE"""),"Single")</f>
        <v>Single</v>
      </c>
      <c r="AD244" s="228"/>
      <c r="AE244" s="228"/>
      <c r="AF244" s="228"/>
      <c r="AG244" s="228" t="str">
        <f>IFERROR(__xludf.DUMMYFUNCTION("""COMPUTED_VALUE"""),"Mukhtar Ahmad")</f>
        <v>Mukhtar Ahmad</v>
      </c>
      <c r="AH244" s="228" t="str">
        <f>IFERROR(__xludf.DUMMYFUNCTION("""COMPUTED_VALUE"""),"Father")</f>
        <v>Father</v>
      </c>
      <c r="AI244" s="228" t="str">
        <f>IFERROR(__xludf.DUMMYFUNCTION("""COMPUTED_VALUE"""),"03007516567")</f>
        <v>03007516567</v>
      </c>
      <c r="AJ244" s="228" t="str">
        <f>IFERROR(__xludf.DUMMYFUNCTION("""COMPUTED_VALUE"""),"B-")</f>
        <v>B-</v>
      </c>
      <c r="AK244" s="731" t="str">
        <f>IFERROR(__xludf.DUMMYFUNCTION("""COMPUTED_VALUE"""),"https://www.linkedin.com/in/sherazahmad383/")</f>
        <v>https://www.linkedin.com/in/sherazahmad383/</v>
      </c>
      <c r="AL244" s="228"/>
      <c r="AM244" s="730">
        <f>IFERROR(__xludf.DUMMYFUNCTION("""COMPUTED_VALUE"""),45210.0)</f>
        <v>45210</v>
      </c>
      <c r="AN244" s="228"/>
      <c r="AO244" s="228"/>
      <c r="AP244" s="228" t="str">
        <f>IFERROR(__xludf.DUMMYFUNCTION("""COMPUTED_VALUE"""),"NO")</f>
        <v>NO</v>
      </c>
      <c r="AQ244" s="228" t="str">
        <f>IFERROR(__xludf.DUMMYFUNCTION("""COMPUTED_VALUE"""),"Resigned/Terminated")</f>
        <v>Resigned/Terminated</v>
      </c>
    </row>
    <row r="245">
      <c r="A245" s="228">
        <f>IFERROR(__xludf.DUMMYFUNCTION("""COMPUTED_VALUE"""),5155.0)</f>
        <v>5155</v>
      </c>
      <c r="B245" s="228" t="str">
        <f>IFERROR(__xludf.DUMMYFUNCTION("""COMPUTED_VALUE"""),"Saad Farooq")</f>
        <v>Saad Farooq</v>
      </c>
      <c r="C245" s="228" t="str">
        <f>IFERROR(__xludf.DUMMYFUNCTION("""COMPUTED_VALUE"""),"saad.farooq1988@gmail.com")</f>
        <v>saad.farooq1988@gmail.com</v>
      </c>
      <c r="D245" s="228" t="str">
        <f>IFERROR(__xludf.DUMMYFUNCTION("""COMPUTED_VALUE"""),"saad.farooq@vyro.ai")</f>
        <v>saad.farooq@vyro.ai</v>
      </c>
      <c r="E245" s="730">
        <f>IFERROR(__xludf.DUMMYFUNCTION("""COMPUTED_VALUE"""),45139.0)</f>
        <v>45139</v>
      </c>
      <c r="F245" s="228" t="str">
        <f>IFERROR(__xludf.DUMMYFUNCTION("""COMPUTED_VALUE"""),"Recruitment Consultant")</f>
        <v>Recruitment Consultant</v>
      </c>
      <c r="G245" s="228" t="str">
        <f>IFERROR(__xludf.DUMMYFUNCTION("""COMPUTED_VALUE"""),"Talent")</f>
        <v>Talent</v>
      </c>
      <c r="H245" s="228" t="str">
        <f>IFERROR(__xludf.DUMMYFUNCTION("""COMPUTED_VALUE"""),"Fatemah")</f>
        <v>Fatemah</v>
      </c>
      <c r="I245" s="228" t="str">
        <f>IFERROR(__xludf.DUMMYFUNCTION("""COMPUTED_VALUE"""),"Contract")</f>
        <v>Contract</v>
      </c>
      <c r="J245" s="228" t="str">
        <f>IFERROR(__xludf.DUMMYFUNCTION("""COMPUTED_VALUE"""),"Inactive")</f>
        <v>Inactive</v>
      </c>
      <c r="K245" s="228" t="str">
        <f>IFERROR(__xludf.DUMMYFUNCTION("""COMPUTED_VALUE"""),"3 M")</f>
        <v>3 M</v>
      </c>
      <c r="L245" s="732">
        <f>IFERROR(__xludf.DUMMYFUNCTION("""COMPUTED_VALUE"""),45231.0)</f>
        <v>45231</v>
      </c>
      <c r="M245" s="228"/>
      <c r="N245" s="228"/>
      <c r="O245" s="228"/>
      <c r="P245" s="228" t="str">
        <f>IFERROR(__xludf.DUMMYFUNCTION("""COMPUTED_VALUE"""),"0345-4745314")</f>
        <v>0345-4745314</v>
      </c>
      <c r="Q245" s="228" t="str">
        <f>IFERROR(__xludf.DUMMYFUNCTION("""COMPUTED_VALUE"""),"35202-0407101-1")</f>
        <v>35202-0407101-1</v>
      </c>
      <c r="R245" s="228" t="str">
        <f>IFERROR(__xludf.DUMMYFUNCTION("""COMPUTED_VALUE"""),"Male")</f>
        <v>Male</v>
      </c>
      <c r="S245" s="228" t="str">
        <f>IFERROR(__xludf.DUMMYFUNCTION("""COMPUTED_VALUE"""),"Standard Chartered Bank")</f>
        <v>Standard Chartered Bank</v>
      </c>
      <c r="T245" s="228"/>
      <c r="U245" s="228" t="str">
        <f>IFERROR(__xludf.DUMMYFUNCTION("""COMPUTED_VALUE"""),"PK43SCBL0000001700162801")</f>
        <v>PK43SCBL0000001700162801</v>
      </c>
      <c r="V245" s="228"/>
      <c r="W245" s="228"/>
      <c r="X245" s="228" t="str">
        <f>IFERROR(__xludf.DUMMYFUNCTION("""COMPUTED_VALUE"""),"Lahore")</f>
        <v>Lahore</v>
      </c>
      <c r="Y245" s="730">
        <f>IFERROR(__xludf.DUMMYFUNCTION("""COMPUTED_VALUE"""),35803.0)</f>
        <v>35803</v>
      </c>
      <c r="Z245" s="228" t="str">
        <f>IFERROR(__xludf.DUMMYFUNCTION("""COMPUTED_VALUE"""),"27 Years")</f>
        <v>27 Years</v>
      </c>
      <c r="AA245" s="228" t="str">
        <f>IFERROR(__xludf.DUMMYFUNCTION("""COMPUTED_VALUE"""),"House no 18-A Rattigan Road, Infront of University of Education, lower mall campus. Lahore")</f>
        <v>House no 18-A Rattigan Road, Infront of University of Education, lower mall campus. Lahore</v>
      </c>
      <c r="AB245" s="228" t="str">
        <f>IFERROR(__xludf.DUMMYFUNCTION("""COMPUTED_VALUE"""),"Pakistani")</f>
        <v>Pakistani</v>
      </c>
      <c r="AC245" s="228" t="str">
        <f>IFERROR(__xludf.DUMMYFUNCTION("""COMPUTED_VALUE"""),"Married")</f>
        <v>Married</v>
      </c>
      <c r="AD245" s="228"/>
      <c r="AE245" s="228"/>
      <c r="AF245" s="228"/>
      <c r="AG245" s="228" t="str">
        <f>IFERROR(__xludf.DUMMYFUNCTION("""COMPUTED_VALUE"""),"Muhammad Farooq")</f>
        <v>Muhammad Farooq</v>
      </c>
      <c r="AH245" s="228" t="str">
        <f>IFERROR(__xludf.DUMMYFUNCTION("""COMPUTED_VALUE"""),"Father")</f>
        <v>Father</v>
      </c>
      <c r="AI245" s="228" t="str">
        <f>IFERROR(__xludf.DUMMYFUNCTION("""COMPUTED_VALUE"""),"0314-4034999")</f>
        <v>0314-4034999</v>
      </c>
      <c r="AJ245" s="228" t="str">
        <f>IFERROR(__xludf.DUMMYFUNCTION("""COMPUTED_VALUE"""),"B+")</f>
        <v>B+</v>
      </c>
      <c r="AK245" s="731" t="str">
        <f>IFERROR(__xludf.DUMMYFUNCTION("""COMPUTED_VALUE"""),"https://www.linkedin.com/in/iamsaadfarooq/")</f>
        <v>https://www.linkedin.com/in/iamsaadfarooq/</v>
      </c>
      <c r="AL245" s="228"/>
      <c r="AM245" s="730">
        <f>IFERROR(__xludf.DUMMYFUNCTION("""COMPUTED_VALUE"""),45212.0)</f>
        <v>45212</v>
      </c>
      <c r="AN245" s="228"/>
      <c r="AO245" s="228"/>
      <c r="AP245" s="228" t="str">
        <f>IFERROR(__xludf.DUMMYFUNCTION("""COMPUTED_VALUE"""),"NO")</f>
        <v>NO</v>
      </c>
      <c r="AQ245" s="228" t="str">
        <f>IFERROR(__xludf.DUMMYFUNCTION("""COMPUTED_VALUE"""),"Resigned/Terminated")</f>
        <v>Resigned/Terminated</v>
      </c>
    </row>
    <row r="246">
      <c r="A246" s="228">
        <f>IFERROR(__xludf.DUMMYFUNCTION("""COMPUTED_VALUE"""),5153.0)</f>
        <v>5153</v>
      </c>
      <c r="B246" s="228" t="str">
        <f>IFERROR(__xludf.DUMMYFUNCTION("""COMPUTED_VALUE"""),"Mahnoor Farhan khokhar")</f>
        <v>Mahnoor Farhan khokhar</v>
      </c>
      <c r="C246" s="228" t="str">
        <f>IFERROR(__xludf.DUMMYFUNCTION("""COMPUTED_VALUE"""),"mahnoor.farhan@gmail.com")</f>
        <v>mahnoor.farhan@gmail.com</v>
      </c>
      <c r="D246" s="228" t="str">
        <f>IFERROR(__xludf.DUMMYFUNCTION("""COMPUTED_VALUE"""),"mahnoor.farhan@vyro.ai")</f>
        <v>mahnoor.farhan@vyro.ai</v>
      </c>
      <c r="E246" s="730">
        <f>IFERROR(__xludf.DUMMYFUNCTION("""COMPUTED_VALUE"""),45139.0)</f>
        <v>45139</v>
      </c>
      <c r="F246" s="228" t="str">
        <f>IFERROR(__xludf.DUMMYFUNCTION("""COMPUTED_VALUE"""),"Visual Designer")</f>
        <v>Visual Designer</v>
      </c>
      <c r="G246" s="228" t="str">
        <f>IFERROR(__xludf.DUMMYFUNCTION("""COMPUTED_VALUE"""),"Design")</f>
        <v>Design</v>
      </c>
      <c r="H246" s="228" t="str">
        <f>IFERROR(__xludf.DUMMYFUNCTION("""COMPUTED_VALUE"""),"Shawal Fida - ASO Executive")</f>
        <v>Shawal Fida - ASO Executive</v>
      </c>
      <c r="I246" s="228" t="str">
        <f>IFERROR(__xludf.DUMMYFUNCTION("""COMPUTED_VALUE"""),"Permanent")</f>
        <v>Permanent</v>
      </c>
      <c r="J246" s="228" t="str">
        <f>IFERROR(__xludf.DUMMYFUNCTION("""COMPUTED_VALUE"""),"Inactive")</f>
        <v>Inactive</v>
      </c>
      <c r="K246" s="228" t="str">
        <f>IFERROR(__xludf.DUMMYFUNCTION("""COMPUTED_VALUE"""),"3 M")</f>
        <v>3 M</v>
      </c>
      <c r="L246" s="732">
        <f>IFERROR(__xludf.DUMMYFUNCTION("""COMPUTED_VALUE"""),45231.0)</f>
        <v>45231</v>
      </c>
      <c r="M246" s="228"/>
      <c r="N246" s="228"/>
      <c r="O246" s="228"/>
      <c r="P246" s="228" t="str">
        <f>IFERROR(__xludf.DUMMYFUNCTION("""COMPUTED_VALUE"""),"0300-4097950")</f>
        <v>0300-4097950</v>
      </c>
      <c r="Q246" s="228" t="str">
        <f>IFERROR(__xludf.DUMMYFUNCTION("""COMPUTED_VALUE"""),"61101-9447970-2")</f>
        <v>61101-9447970-2</v>
      </c>
      <c r="R246" s="228" t="str">
        <f>IFERROR(__xludf.DUMMYFUNCTION("""COMPUTED_VALUE"""),"Female")</f>
        <v>Female</v>
      </c>
      <c r="S246" s="228" t="str">
        <f>IFERROR(__xludf.DUMMYFUNCTION("""COMPUTED_VALUE"""),"HBL")</f>
        <v>HBL</v>
      </c>
      <c r="T246" s="228"/>
      <c r="U246" s="228" t="str">
        <f>IFERROR(__xludf.DUMMYFUNCTION("""COMPUTED_VALUE"""),"PK51HABB0053377000068903")</f>
        <v>PK51HABB0053377000068903</v>
      </c>
      <c r="V246" s="228"/>
      <c r="W246" s="228"/>
      <c r="X246" s="228" t="str">
        <f>IFERROR(__xludf.DUMMYFUNCTION("""COMPUTED_VALUE"""),"Islamabad")</f>
        <v>Islamabad</v>
      </c>
      <c r="Y246" s="730">
        <f>IFERROR(__xludf.DUMMYFUNCTION("""COMPUTED_VALUE"""),36318.0)</f>
        <v>36318</v>
      </c>
      <c r="Z246" s="228" t="str">
        <f>IFERROR(__xludf.DUMMYFUNCTION("""COMPUTED_VALUE"""),"26 Years")</f>
        <v>26 Years</v>
      </c>
      <c r="AA246" s="228" t="str">
        <f>IFERROR(__xludf.DUMMYFUNCTION("""COMPUTED_VALUE"""),"St#12, E-13, Golra Station, Islamabad-44000")</f>
        <v>St#12, E-13, Golra Station, Islamabad-44000</v>
      </c>
      <c r="AB246" s="228" t="str">
        <f>IFERROR(__xludf.DUMMYFUNCTION("""COMPUTED_VALUE"""),"Pakistani")</f>
        <v>Pakistani</v>
      </c>
      <c r="AC246" s="228" t="str">
        <f>IFERROR(__xludf.DUMMYFUNCTION("""COMPUTED_VALUE"""),"Single")</f>
        <v>Single</v>
      </c>
      <c r="AD246" s="228"/>
      <c r="AE246" s="228"/>
      <c r="AF246" s="228"/>
      <c r="AG246" s="228" t="str">
        <f>IFERROR(__xludf.DUMMYFUNCTION("""COMPUTED_VALUE"""),"Farhan Nasir khokhar")</f>
        <v>Farhan Nasir khokhar</v>
      </c>
      <c r="AH246" s="228" t="str">
        <f>IFERROR(__xludf.DUMMYFUNCTION("""COMPUTED_VALUE"""),"Father")</f>
        <v>Father</v>
      </c>
      <c r="AI246" s="228" t="str">
        <f>IFERROR(__xludf.DUMMYFUNCTION("""COMPUTED_VALUE"""),"3135279971")</f>
        <v>3135279971</v>
      </c>
      <c r="AJ246" s="228" t="str">
        <f>IFERROR(__xludf.DUMMYFUNCTION("""COMPUTED_VALUE"""),"B+")</f>
        <v>B+</v>
      </c>
      <c r="AK246" s="731" t="str">
        <f>IFERROR(__xludf.DUMMYFUNCTION("""COMPUTED_VALUE"""),"https://www.linkedin.com/in/mahnoor-farhan-khamsa7699")</f>
        <v>https://www.linkedin.com/in/mahnoor-farhan-khamsa7699</v>
      </c>
      <c r="AL246" s="228"/>
      <c r="AM246" s="730">
        <f>IFERROR(__xludf.DUMMYFUNCTION("""COMPUTED_VALUE"""),45224.0)</f>
        <v>45224</v>
      </c>
      <c r="AN246" s="228"/>
      <c r="AO246" s="228"/>
      <c r="AP246" s="228" t="str">
        <f>IFERROR(__xludf.DUMMYFUNCTION("""COMPUTED_VALUE"""),"NO")</f>
        <v>NO</v>
      </c>
      <c r="AQ246" s="228" t="str">
        <f>IFERROR(__xludf.DUMMYFUNCTION("""COMPUTED_VALUE"""),"Resigned/Terminated")</f>
        <v>Resigned/Terminated</v>
      </c>
    </row>
    <row r="247">
      <c r="A247" s="228">
        <f>IFERROR(__xludf.DUMMYFUNCTION("""COMPUTED_VALUE"""),5123.0)</f>
        <v>5123</v>
      </c>
      <c r="B247" s="228" t="str">
        <f>IFERROR(__xludf.DUMMYFUNCTION("""COMPUTED_VALUE"""),"Javeria Sadia")</f>
        <v>Javeria Sadia</v>
      </c>
      <c r="C247" s="228" t="str">
        <f>IFERROR(__xludf.DUMMYFUNCTION("""COMPUTED_VALUE"""),"javeria.sadia10@gmail.com")</f>
        <v>javeria.sadia10@gmail.com</v>
      </c>
      <c r="D247" s="228" t="str">
        <f>IFERROR(__xludf.DUMMYFUNCTION("""COMPUTED_VALUE"""),"javeria.sadia@vyro.ai")</f>
        <v>javeria.sadia@vyro.ai</v>
      </c>
      <c r="E247" s="730">
        <f>IFERROR(__xludf.DUMMYFUNCTION("""COMPUTED_VALUE"""),45043.0)</f>
        <v>45043</v>
      </c>
      <c r="F247" s="228" t="str">
        <f>IFERROR(__xludf.DUMMYFUNCTION("""COMPUTED_VALUE"""),"Technical Recruiter")</f>
        <v>Technical Recruiter</v>
      </c>
      <c r="G247" s="228" t="str">
        <f>IFERROR(__xludf.DUMMYFUNCTION("""COMPUTED_VALUE"""),"People")</f>
        <v>People</v>
      </c>
      <c r="H247" s="228" t="str">
        <f>IFERROR(__xludf.DUMMYFUNCTION("""COMPUTED_VALUE"""),"Ahmed")</f>
        <v>Ahmed</v>
      </c>
      <c r="I247" s="228" t="str">
        <f>IFERROR(__xludf.DUMMYFUNCTION("""COMPUTED_VALUE"""),"Permanent")</f>
        <v>Permanent</v>
      </c>
      <c r="J247" s="228" t="str">
        <f>IFERROR(__xludf.DUMMYFUNCTION("""COMPUTED_VALUE"""),"inactive")</f>
        <v>inactive</v>
      </c>
      <c r="K247" s="228" t="str">
        <f>IFERROR(__xludf.DUMMYFUNCTION("""COMPUTED_VALUE"""),"3 M")</f>
        <v>3 M</v>
      </c>
      <c r="L247" s="732">
        <f>IFERROR(__xludf.DUMMYFUNCTION("""COMPUTED_VALUE"""),45134.0)</f>
        <v>45134</v>
      </c>
      <c r="M247" s="228"/>
      <c r="N247" s="228"/>
      <c r="O247" s="228"/>
      <c r="P247" s="228" t="str">
        <f>IFERROR(__xludf.DUMMYFUNCTION("""COMPUTED_VALUE"""),"03323281664")</f>
        <v>03323281664</v>
      </c>
      <c r="Q247" s="228" t="str">
        <f>IFERROR(__xludf.DUMMYFUNCTION("""COMPUTED_VALUE"""),"42101-5324187-2")</f>
        <v>42101-5324187-2</v>
      </c>
      <c r="R247" s="228" t="str">
        <f>IFERROR(__xludf.DUMMYFUNCTION("""COMPUTED_VALUE"""),"Female")</f>
        <v>Female</v>
      </c>
      <c r="S247" s="228" t="str">
        <f>IFERROR(__xludf.DUMMYFUNCTION("""COMPUTED_VALUE"""),"Bank Alfalah")</f>
        <v>Bank Alfalah</v>
      </c>
      <c r="T247" s="228"/>
      <c r="U247" s="228" t="str">
        <f>IFERROR(__xludf.DUMMYFUNCTION("""COMPUTED_VALUE"""),"PK64ALFH0030001007554903")</f>
        <v>PK64ALFH0030001007554903</v>
      </c>
      <c r="V247" s="228"/>
      <c r="W247" s="228"/>
      <c r="X247" s="228" t="str">
        <f>IFERROR(__xludf.DUMMYFUNCTION("""COMPUTED_VALUE"""),"Remote")</f>
        <v>Remote</v>
      </c>
      <c r="Y247" s="730">
        <f>IFERROR(__xludf.DUMMYFUNCTION("""COMPUTED_VALUE"""),35483.0)</f>
        <v>35483</v>
      </c>
      <c r="Z247" s="228" t="str">
        <f>IFERROR(__xludf.DUMMYFUNCTION("""COMPUTED_VALUE"""),"28 Years")</f>
        <v>28 Years</v>
      </c>
      <c r="AA247" s="228" t="str">
        <f>IFERROR(__xludf.DUMMYFUNCTION("""COMPUTED_VALUE"""),"C-10, Block 7, Gulistan-e-Johar, Main University Road, Karachi")</f>
        <v>C-10, Block 7, Gulistan-e-Johar, Main University Road, Karachi</v>
      </c>
      <c r="AB247" s="228"/>
      <c r="AC247" s="228" t="str">
        <f>IFERROR(__xludf.DUMMYFUNCTION("""COMPUTED_VALUE"""),"Single")</f>
        <v>Single</v>
      </c>
      <c r="AD247" s="228"/>
      <c r="AE247" s="228"/>
      <c r="AF247" s="228"/>
      <c r="AG247" s="228" t="str">
        <f>IFERROR(__xludf.DUMMYFUNCTION("""COMPUTED_VALUE"""),"Nadeem Kafi Khan")</f>
        <v>Nadeem Kafi Khan</v>
      </c>
      <c r="AH247" s="228" t="str">
        <f>IFERROR(__xludf.DUMMYFUNCTION("""COMPUTED_VALUE"""),"Mother")</f>
        <v>Mother</v>
      </c>
      <c r="AI247" s="228" t="str">
        <f>IFERROR(__xludf.DUMMYFUNCTION("""COMPUTED_VALUE"""),"03362349278")</f>
        <v>03362349278</v>
      </c>
      <c r="AJ247" s="228"/>
      <c r="AK247" s="228"/>
      <c r="AL247" s="228"/>
      <c r="AM247" s="730">
        <f>IFERROR(__xludf.DUMMYFUNCTION("""COMPUTED_VALUE"""),45230.0)</f>
        <v>45230</v>
      </c>
      <c r="AN247" s="228"/>
      <c r="AO247" s="228"/>
      <c r="AP247" s="228" t="str">
        <f>IFERROR(__xludf.DUMMYFUNCTION("""COMPUTED_VALUE"""),"NO")</f>
        <v>NO</v>
      </c>
      <c r="AQ247" s="228" t="str">
        <f>IFERROR(__xludf.DUMMYFUNCTION("""COMPUTED_VALUE"""),"Resigned/Terminated")</f>
        <v>Resigned/Terminated</v>
      </c>
    </row>
    <row r="248">
      <c r="A248" s="228">
        <f>IFERROR(__xludf.DUMMYFUNCTION("""COMPUTED_VALUE"""),1011.0)</f>
        <v>1011</v>
      </c>
      <c r="B248" s="228" t="str">
        <f>IFERROR(__xludf.DUMMYFUNCTION("""COMPUTED_VALUE"""),"Muhammad Adnan")</f>
        <v>Muhammad Adnan</v>
      </c>
      <c r="C248" s="228" t="str">
        <f>IFERROR(__xludf.DUMMYFUNCTION("""COMPUTED_VALUE"""),"m.adnanvyro@gmail.com")</f>
        <v>m.adnanvyro@gmail.com</v>
      </c>
      <c r="D248" s="228" t="str">
        <f>IFERROR(__xludf.DUMMYFUNCTION("""COMPUTED_VALUE"""),"muhammad.adnan@vyro.ai")</f>
        <v>muhammad.adnan@vyro.ai</v>
      </c>
      <c r="E248" s="730">
        <f>IFERROR(__xludf.DUMMYFUNCTION("""COMPUTED_VALUE"""),44290.0)</f>
        <v>44290</v>
      </c>
      <c r="F248" s="228" t="str">
        <f>IFERROR(__xludf.DUMMYFUNCTION("""COMPUTED_VALUE"""),"Admin Executive")</f>
        <v>Admin Executive</v>
      </c>
      <c r="G248" s="228" t="str">
        <f>IFERROR(__xludf.DUMMYFUNCTION("""COMPUTED_VALUE"""),"HR &amp; Admin")</f>
        <v>HR &amp; Admin</v>
      </c>
      <c r="H248" s="228" t="str">
        <f>IFERROR(__xludf.DUMMYFUNCTION("""COMPUTED_VALUE"""),"Ahmed Abubakar")</f>
        <v>Ahmed Abubakar</v>
      </c>
      <c r="I248" s="228" t="str">
        <f>IFERROR(__xludf.DUMMYFUNCTION("""COMPUTED_VALUE"""),"Permanent")</f>
        <v>Permanent</v>
      </c>
      <c r="J248" s="228" t="str">
        <f>IFERROR(__xludf.DUMMYFUNCTION("""COMPUTED_VALUE"""),"inactive")</f>
        <v>inactive</v>
      </c>
      <c r="K248" s="228" t="str">
        <f>IFERROR(__xludf.DUMMYFUNCTION("""COMPUTED_VALUE"""),"3 M")</f>
        <v>3 M</v>
      </c>
      <c r="L248" s="228"/>
      <c r="M248" s="228"/>
      <c r="N248" s="228"/>
      <c r="O248" s="228"/>
      <c r="P248" s="228" t="str">
        <f>IFERROR(__xludf.DUMMYFUNCTION("""COMPUTED_VALUE"""),"03333 750082")</f>
        <v>03333 750082</v>
      </c>
      <c r="Q248" s="228" t="str">
        <f>IFERROR(__xludf.DUMMYFUNCTION("""COMPUTED_VALUE"""),"54401-7578020-9")</f>
        <v>54401-7578020-9</v>
      </c>
      <c r="R248" s="228" t="str">
        <f>IFERROR(__xludf.DUMMYFUNCTION("""COMPUTED_VALUE"""),"Male")</f>
        <v>Male</v>
      </c>
      <c r="S248" s="228" t="str">
        <f>IFERROR(__xludf.DUMMYFUNCTION("""COMPUTED_VALUE"""),"Meezan")</f>
        <v>Meezan</v>
      </c>
      <c r="T248" s="228"/>
      <c r="U248" s="228" t="str">
        <f>IFERROR(__xludf.DUMMYFUNCTION("""COMPUTED_VALUE"""),"01120104034294")</f>
        <v>01120104034294</v>
      </c>
      <c r="V248" s="228"/>
      <c r="W248" s="228"/>
      <c r="X248" s="228" t="str">
        <f>IFERROR(__xludf.DUMMYFUNCTION("""COMPUTED_VALUE"""),"Lahore")</f>
        <v>Lahore</v>
      </c>
      <c r="Y248" s="730">
        <f>IFERROR(__xludf.DUMMYFUNCTION("""COMPUTED_VALUE"""),33240.0)</f>
        <v>33240</v>
      </c>
      <c r="Z248" s="228" t="str">
        <f>IFERROR(__xludf.DUMMYFUNCTION("""COMPUTED_VALUE"""),"34 Years")</f>
        <v>34 Years</v>
      </c>
      <c r="AA248" s="228" t="str">
        <f>IFERROR(__xludf.DUMMYFUNCTION("""COMPUTED_VALUE"""),"NUST , H-12, Islamabad")</f>
        <v>NUST , H-12, Islamabad</v>
      </c>
      <c r="AB248" s="228" t="str">
        <f>IFERROR(__xludf.DUMMYFUNCTION("""COMPUTED_VALUE"""),"Pakistani")</f>
        <v>Pakistani</v>
      </c>
      <c r="AC248" s="228" t="str">
        <f>IFERROR(__xludf.DUMMYFUNCTION("""COMPUTED_VALUE"""),"Single")</f>
        <v>Single</v>
      </c>
      <c r="AD248" s="228"/>
      <c r="AE248" s="228"/>
      <c r="AF248" s="228"/>
      <c r="AG248" s="228" t="str">
        <f>IFERROR(__xludf.DUMMYFUNCTION("""COMPUTED_VALUE"""),"Muhammad Imran")</f>
        <v>Muhammad Imran</v>
      </c>
      <c r="AH248" s="228" t="str">
        <f>IFERROR(__xludf.DUMMYFUNCTION("""COMPUTED_VALUE"""),"Brother")</f>
        <v>Brother</v>
      </c>
      <c r="AI248" s="228" t="str">
        <f>IFERROR(__xludf.DUMMYFUNCTION("""COMPUTED_VALUE"""),"03337917585")</f>
        <v>03337917585</v>
      </c>
      <c r="AJ248" s="228"/>
      <c r="AK248" s="228"/>
      <c r="AL248" s="228"/>
      <c r="AM248" s="730">
        <f>IFERROR(__xludf.DUMMYFUNCTION("""COMPUTED_VALUE"""),45230.0)</f>
        <v>45230</v>
      </c>
      <c r="AN248" s="228"/>
      <c r="AO248" s="228"/>
      <c r="AP248" s="228" t="str">
        <f>IFERROR(__xludf.DUMMYFUNCTION("""COMPUTED_VALUE"""),"NO")</f>
        <v>NO</v>
      </c>
      <c r="AQ248" s="228" t="str">
        <f>IFERROR(__xludf.DUMMYFUNCTION("""COMPUTED_VALUE"""),"Resigned/Terminated")</f>
        <v>Resigned/Terminated</v>
      </c>
    </row>
    <row r="249">
      <c r="A249" s="228">
        <f>IFERROR(__xludf.DUMMYFUNCTION("""COMPUTED_VALUE"""),5174.0)</f>
        <v>5174</v>
      </c>
      <c r="B249" s="228" t="str">
        <f>IFERROR(__xludf.DUMMYFUNCTION("""COMPUTED_VALUE"""),"Danish Aslam")</f>
        <v>Danish Aslam</v>
      </c>
      <c r="C249" s="228" t="str">
        <f>IFERROR(__xludf.DUMMYFUNCTION("""COMPUTED_VALUE"""),"danishaslam1123@gmail.com")</f>
        <v>danishaslam1123@gmail.com</v>
      </c>
      <c r="D249" s="228" t="str">
        <f>IFERROR(__xludf.DUMMYFUNCTION("""COMPUTED_VALUE"""),"danish.aslam@vyro.ai")</f>
        <v>danish.aslam@vyro.ai</v>
      </c>
      <c r="E249" s="730">
        <f>IFERROR(__xludf.DUMMYFUNCTION("""COMPUTED_VALUE"""),45180.0)</f>
        <v>45180</v>
      </c>
      <c r="F249" s="228" t="str">
        <f>IFERROR(__xludf.DUMMYFUNCTION("""COMPUTED_VALUE"""),"Sr. Product Designer")</f>
        <v>Sr. Product Designer</v>
      </c>
      <c r="G249" s="228" t="str">
        <f>IFERROR(__xludf.DUMMYFUNCTION("""COMPUTED_VALUE"""),"Design")</f>
        <v>Design</v>
      </c>
      <c r="H249" s="228"/>
      <c r="I249" s="228" t="str">
        <f>IFERROR(__xludf.DUMMYFUNCTION("""COMPUTED_VALUE"""),"Permanent")</f>
        <v>Permanent</v>
      </c>
      <c r="J249" s="228" t="str">
        <f>IFERROR(__xludf.DUMMYFUNCTION("""COMPUTED_VALUE"""),"inactive")</f>
        <v>inactive</v>
      </c>
      <c r="K249" s="228" t="str">
        <f>IFERROR(__xludf.DUMMYFUNCTION("""COMPUTED_VALUE"""),"3 M")</f>
        <v>3 M</v>
      </c>
      <c r="L249" s="732">
        <f>IFERROR(__xludf.DUMMYFUNCTION("""COMPUTED_VALUE"""),45271.0)</f>
        <v>45271</v>
      </c>
      <c r="M249" s="228"/>
      <c r="N249" s="228"/>
      <c r="O249" s="228"/>
      <c r="P249" s="228" t="str">
        <f>IFERROR(__xludf.DUMMYFUNCTION("""COMPUTED_VALUE"""),"3040313389")</f>
        <v>3040313389</v>
      </c>
      <c r="Q249" s="228" t="str">
        <f>IFERROR(__xludf.DUMMYFUNCTION("""COMPUTED_VALUE"""),"33100-9368094-5")</f>
        <v>33100-9368094-5</v>
      </c>
      <c r="R249" s="228" t="str">
        <f>IFERROR(__xludf.DUMMYFUNCTION("""COMPUTED_VALUE"""),"Male")</f>
        <v>Male</v>
      </c>
      <c r="S249" s="228" t="str">
        <f>IFERROR(__xludf.DUMMYFUNCTION("""COMPUTED_VALUE"""),"Wise Bank, Wise's address: 30 W. 26th Street, Sixth Floor, New York NY 10010, United States")</f>
        <v>Wise Bank, Wise's address: 30 W. 26th Street, Sixth Floor, New York NY 10010, United States</v>
      </c>
      <c r="T249" s="228" t="str">
        <f>IFERROR(__xludf.DUMMYFUNCTION("""COMPUTED_VALUE"""),"Muhammad Danish Aslam")</f>
        <v>Muhammad Danish Aslam</v>
      </c>
      <c r="U249" s="228" t="str">
        <f>IFERROR(__xludf.DUMMYFUNCTION("""COMPUTED_VALUE"""),"8311974000")</f>
        <v>8311974000</v>
      </c>
      <c r="V249" s="228"/>
      <c r="W249" s="228" t="str">
        <f>IFERROR(__xludf.DUMMYFUNCTION("""COMPUTED_VALUE"""),"26073150")</f>
        <v>26073150</v>
      </c>
      <c r="X249" s="228" t="str">
        <f>IFERROR(__xludf.DUMMYFUNCTION("""COMPUTED_VALUE"""),"Lahore")</f>
        <v>Lahore</v>
      </c>
      <c r="Y249" s="730">
        <f>IFERROR(__xludf.DUMMYFUNCTION("""COMPUTED_VALUE"""),35152.0)</f>
        <v>35152</v>
      </c>
      <c r="Z249" s="228" t="str">
        <f>IFERROR(__xludf.DUMMYFUNCTION("""COMPUTED_VALUE"""),"29 Years")</f>
        <v>29 Years</v>
      </c>
      <c r="AA249" s="228" t="str">
        <f>IFERROR(__xludf.DUMMYFUNCTION("""COMPUTED_VALUE"""),"154 Bilal City Baghe wala road Faisalabad")</f>
        <v>154 Bilal City Baghe wala road Faisalabad</v>
      </c>
      <c r="AB249" s="228" t="str">
        <f>IFERROR(__xludf.DUMMYFUNCTION("""COMPUTED_VALUE"""),"Pakistani")</f>
        <v>Pakistani</v>
      </c>
      <c r="AC249" s="228" t="str">
        <f>IFERROR(__xludf.DUMMYFUNCTION("""COMPUTED_VALUE"""),"Married")</f>
        <v>Married</v>
      </c>
      <c r="AD249" s="228"/>
      <c r="AE249" s="228"/>
      <c r="AF249" s="228"/>
      <c r="AG249" s="228" t="str">
        <f>IFERROR(__xludf.DUMMYFUNCTION("""COMPUTED_VALUE"""),"Muhammad Aslam")</f>
        <v>Muhammad Aslam</v>
      </c>
      <c r="AH249" s="228" t="str">
        <f>IFERROR(__xludf.DUMMYFUNCTION("""COMPUTED_VALUE"""),"Brother")</f>
        <v>Brother</v>
      </c>
      <c r="AI249" s="228" t="str">
        <f>IFERROR(__xludf.DUMMYFUNCTION("""COMPUTED_VALUE"""),"03477693389")</f>
        <v>03477693389</v>
      </c>
      <c r="AJ249" s="228" t="str">
        <f>IFERROR(__xludf.DUMMYFUNCTION("""COMPUTED_VALUE"""),"A+")</f>
        <v>A+</v>
      </c>
      <c r="AK249" s="731" t="str">
        <f>IFERROR(__xludf.DUMMYFUNCTION("""COMPUTED_VALUE"""),"linkedin.com/in/connectda")</f>
        <v>linkedin.com/in/connectda</v>
      </c>
      <c r="AL249" s="228"/>
      <c r="AM249" s="730">
        <f>IFERROR(__xludf.DUMMYFUNCTION("""COMPUTED_VALUE"""),45233.0)</f>
        <v>45233</v>
      </c>
      <c r="AN249" s="228"/>
      <c r="AO249" s="228"/>
      <c r="AP249" s="228" t="str">
        <f>IFERROR(__xludf.DUMMYFUNCTION("""COMPUTED_VALUE"""),"NO")</f>
        <v>NO</v>
      </c>
      <c r="AQ249" s="228" t="str">
        <f>IFERROR(__xludf.DUMMYFUNCTION("""COMPUTED_VALUE"""),"Resigned/Terminated")</f>
        <v>Resigned/Terminated</v>
      </c>
    </row>
    <row r="250">
      <c r="A250" s="228">
        <f>IFERROR(__xludf.DUMMYFUNCTION("""COMPUTED_VALUE"""),5067.0)</f>
        <v>5067</v>
      </c>
      <c r="B250" s="228" t="str">
        <f>IFERROR(__xludf.DUMMYFUNCTION("""COMPUTED_VALUE"""),"Muhammad Zaid")</f>
        <v>Muhammad Zaid</v>
      </c>
      <c r="C250" s="228" t="str">
        <f>IFERROR(__xludf.DUMMYFUNCTION("""COMPUTED_VALUE"""),"zedjavi19@gmail.com")</f>
        <v>zedjavi19@gmail.com</v>
      </c>
      <c r="D250" s="228" t="str">
        <f>IFERROR(__xludf.DUMMYFUNCTION("""COMPUTED_VALUE"""),"zaid.javid@vyro.ai")</f>
        <v>zaid.javid@vyro.ai</v>
      </c>
      <c r="E250" s="730">
        <f>IFERROR(__xludf.DUMMYFUNCTION("""COMPUTED_VALUE"""),44783.0)</f>
        <v>44783</v>
      </c>
      <c r="F250" s="228" t="str">
        <f>IFERROR(__xludf.DUMMYFUNCTION("""COMPUTED_VALUE"""),"Product Designer")</f>
        <v>Product Designer</v>
      </c>
      <c r="G250" s="228" t="str">
        <f>IFERROR(__xludf.DUMMYFUNCTION("""COMPUTED_VALUE"""),"Design")</f>
        <v>Design</v>
      </c>
      <c r="H250" s="228" t="str">
        <f>IFERROR(__xludf.DUMMYFUNCTION("""COMPUTED_VALUE"""),"Zain")</f>
        <v>Zain</v>
      </c>
      <c r="I250" s="228" t="str">
        <f>IFERROR(__xludf.DUMMYFUNCTION("""COMPUTED_VALUE"""),"Permanent")</f>
        <v>Permanent</v>
      </c>
      <c r="J250" s="228" t="str">
        <f>IFERROR(__xludf.DUMMYFUNCTION("""COMPUTED_VALUE"""),"inactive")</f>
        <v>inactive</v>
      </c>
      <c r="K250" s="228" t="str">
        <f>IFERROR(__xludf.DUMMYFUNCTION("""COMPUTED_VALUE"""),"3 M")</f>
        <v>3 M</v>
      </c>
      <c r="L250" s="732">
        <f>IFERROR(__xludf.DUMMYFUNCTION("""COMPUTED_VALUE"""),44875.0)</f>
        <v>44875</v>
      </c>
      <c r="M250" s="228"/>
      <c r="N250" s="228"/>
      <c r="O250" s="228"/>
      <c r="P250" s="228" t="str">
        <f>IFERROR(__xludf.DUMMYFUNCTION("""COMPUTED_VALUE"""),"3208822672")</f>
        <v>3208822672</v>
      </c>
      <c r="Q250" s="228" t="str">
        <f>IFERROR(__xludf.DUMMYFUNCTION("""COMPUTED_VALUE"""),"42000-5973098-1")</f>
        <v>42000-5973098-1</v>
      </c>
      <c r="R250" s="228" t="str">
        <f>IFERROR(__xludf.DUMMYFUNCTION("""COMPUTED_VALUE"""),"Male")</f>
        <v>Male</v>
      </c>
      <c r="S250" s="228" t="str">
        <f>IFERROR(__xludf.DUMMYFUNCTION("""COMPUTED_VALUE"""),"HBL")</f>
        <v>HBL</v>
      </c>
      <c r="T250" s="228"/>
      <c r="U250" s="228" t="str">
        <f>IFERROR(__xludf.DUMMYFUNCTION("""COMPUTED_VALUE"""),"PK68HABB0022997001211903")</f>
        <v>PK68HABB0022997001211903</v>
      </c>
      <c r="V250" s="228"/>
      <c r="W250" s="228"/>
      <c r="X250" s="228" t="str">
        <f>IFERROR(__xludf.DUMMYFUNCTION("""COMPUTED_VALUE"""),"Islamabad")</f>
        <v>Islamabad</v>
      </c>
      <c r="Y250" s="730">
        <f>IFERROR(__xludf.DUMMYFUNCTION("""COMPUTED_VALUE"""),36118.0)</f>
        <v>36118</v>
      </c>
      <c r="Z250" s="228" t="str">
        <f>IFERROR(__xludf.DUMMYFUNCTION("""COMPUTED_VALUE"""),"26 Years")</f>
        <v>26 Years</v>
      </c>
      <c r="AA250" s="228" t="str">
        <f>IFERROR(__xludf.DUMMYFUNCTION("""COMPUTED_VALUE"""),"D31/5, Sector E9, Islamabad")</f>
        <v>D31/5, Sector E9, Islamabad</v>
      </c>
      <c r="AB250" s="228" t="str">
        <f>IFERROR(__xludf.DUMMYFUNCTION("""COMPUTED_VALUE"""),"Pakistani")</f>
        <v>Pakistani</v>
      </c>
      <c r="AC250" s="228" t="str">
        <f>IFERROR(__xludf.DUMMYFUNCTION("""COMPUTED_VALUE"""),"Single")</f>
        <v>Single</v>
      </c>
      <c r="AD250" s="228"/>
      <c r="AE250" s="228"/>
      <c r="AF250" s="228"/>
      <c r="AG250" s="228" t="str">
        <f>IFERROR(__xludf.DUMMYFUNCTION("""COMPUTED_VALUE"""),"Muhammad Javed")</f>
        <v>Muhammad Javed</v>
      </c>
      <c r="AH250" s="228" t="str">
        <f>IFERROR(__xludf.DUMMYFUNCTION("""COMPUTED_VALUE"""),"Father")</f>
        <v>Father</v>
      </c>
      <c r="AI250" s="228" t="str">
        <f>IFERROR(__xludf.DUMMYFUNCTION("""COMPUTED_VALUE"""),"0300 6631060")</f>
        <v>0300 6631060</v>
      </c>
      <c r="AJ250" s="228" t="str">
        <f>IFERROR(__xludf.DUMMYFUNCTION("""COMPUTED_VALUE"""),"A+")</f>
        <v>A+</v>
      </c>
      <c r="AK250" s="228"/>
      <c r="AL250" s="228"/>
      <c r="AM250" s="730">
        <f>IFERROR(__xludf.DUMMYFUNCTION("""COMPUTED_VALUE"""),45243.0)</f>
        <v>45243</v>
      </c>
      <c r="AN250" s="228"/>
      <c r="AO250" s="228"/>
      <c r="AP250" s="228" t="str">
        <f>IFERROR(__xludf.DUMMYFUNCTION("""COMPUTED_VALUE"""),"NO")</f>
        <v>NO</v>
      </c>
      <c r="AQ250" s="228" t="str">
        <f>IFERROR(__xludf.DUMMYFUNCTION("""COMPUTED_VALUE"""),"Resigned/Terminated")</f>
        <v>Resigned/Terminated</v>
      </c>
    </row>
    <row r="251">
      <c r="A251" s="228">
        <f>IFERROR(__xludf.DUMMYFUNCTION("""COMPUTED_VALUE"""),5181.0)</f>
        <v>5181</v>
      </c>
      <c r="B251" s="228" t="str">
        <f>IFERROR(__xludf.DUMMYFUNCTION("""COMPUTED_VALUE"""),"Muhaimin Khan")</f>
        <v>Muhaimin Khan</v>
      </c>
      <c r="C251" s="228" t="str">
        <f>IFERROR(__xludf.DUMMYFUNCTION("""COMPUTED_VALUE"""),"muhaiminkhan1@gmail.com")</f>
        <v>muhaiminkhan1@gmail.com</v>
      </c>
      <c r="D251" s="228" t="str">
        <f>IFERROR(__xludf.DUMMYFUNCTION("""COMPUTED_VALUE"""),"muhaimin.khan@vyro.ai")</f>
        <v>muhaimin.khan@vyro.ai</v>
      </c>
      <c r="E251" s="730">
        <f>IFERROR(__xludf.DUMMYFUNCTION("""COMPUTED_VALUE"""),45098.0)</f>
        <v>45098</v>
      </c>
      <c r="F251" s="228" t="str">
        <f>IFERROR(__xludf.DUMMYFUNCTION("""COMPUTED_VALUE"""),"Video Creator")</f>
        <v>Video Creator</v>
      </c>
      <c r="G251" s="228" t="str">
        <f>IFERROR(__xludf.DUMMYFUNCTION("""COMPUTED_VALUE"""),"Product")</f>
        <v>Product</v>
      </c>
      <c r="H251" s="228" t="str">
        <f>IFERROR(__xludf.DUMMYFUNCTION("""COMPUTED_VALUE"""),"Ali Ayub")</f>
        <v>Ali Ayub</v>
      </c>
      <c r="I251" s="228" t="str">
        <f>IFERROR(__xludf.DUMMYFUNCTION("""COMPUTED_VALUE"""),"Part time")</f>
        <v>Part time</v>
      </c>
      <c r="J251" s="228" t="str">
        <f>IFERROR(__xludf.DUMMYFUNCTION("""COMPUTED_VALUE"""),"inactive")</f>
        <v>inactive</v>
      </c>
      <c r="K251" s="228" t="str">
        <f>IFERROR(__xludf.DUMMYFUNCTION("""COMPUTED_VALUE"""),"3 M")</f>
        <v>3 M</v>
      </c>
      <c r="L251" s="732">
        <f>IFERROR(__xludf.DUMMYFUNCTION("""COMPUTED_VALUE"""),45190.0)</f>
        <v>45190</v>
      </c>
      <c r="M251" s="228"/>
      <c r="N251" s="228"/>
      <c r="O251" s="228"/>
      <c r="P251" s="228" t="str">
        <f>IFERROR(__xludf.DUMMYFUNCTION("""COMPUTED_VALUE"""),"03324254555")</f>
        <v>03324254555</v>
      </c>
      <c r="Q251" s="228" t="str">
        <f>IFERROR(__xludf.DUMMYFUNCTION("""COMPUTED_VALUE"""),"34101-67167588-6")</f>
        <v>34101-67167588-6</v>
      </c>
      <c r="R251" s="228" t="str">
        <f>IFERROR(__xludf.DUMMYFUNCTION("""COMPUTED_VALUE"""),"Male")</f>
        <v>Male</v>
      </c>
      <c r="S251" s="228" t="str">
        <f>IFERROR(__xludf.DUMMYFUNCTION("""COMPUTED_VALUE"""),"Meezan Bank")</f>
        <v>Meezan Bank</v>
      </c>
      <c r="T251" s="228" t="str">
        <f>IFERROR(__xludf.DUMMYFUNCTION("""COMPUTED_VALUE"""),"Tabinda Tahir")</f>
        <v>Tabinda Tahir</v>
      </c>
      <c r="U251" s="228" t="str">
        <f>IFERROR(__xludf.DUMMYFUNCTION("""COMPUTED_VALUE"""),"PK07MEZN0008010101418287")</f>
        <v>PK07MEZN0008010101418287</v>
      </c>
      <c r="V251" s="228"/>
      <c r="W251" s="228"/>
      <c r="X251" s="228" t="str">
        <f>IFERROR(__xludf.DUMMYFUNCTION("""COMPUTED_VALUE"""),"Islamabad (hybrid)")</f>
        <v>Islamabad (hybrid)</v>
      </c>
      <c r="Y251" s="730">
        <f>IFERROR(__xludf.DUMMYFUNCTION("""COMPUTED_VALUE"""),36502.0)</f>
        <v>36502</v>
      </c>
      <c r="Z251" s="228" t="str">
        <f>IFERROR(__xludf.DUMMYFUNCTION("""COMPUTED_VALUE"""),"25 Years")</f>
        <v>25 Years</v>
      </c>
      <c r="AA251" s="228" t="str">
        <f>IFERROR(__xludf.DUMMYFUNCTION("""COMPUTED_VALUE"""),"House 14, Street 17, Sector C, DHA-1 Isb")</f>
        <v>House 14, Street 17, Sector C, DHA-1 Isb</v>
      </c>
      <c r="AB251" s="228" t="str">
        <f>IFERROR(__xludf.DUMMYFUNCTION("""COMPUTED_VALUE"""),"Pakistani")</f>
        <v>Pakistani</v>
      </c>
      <c r="AC251" s="228" t="str">
        <f>IFERROR(__xludf.DUMMYFUNCTION("""COMPUTED_VALUE"""),"Single")</f>
        <v>Single</v>
      </c>
      <c r="AD251" s="228"/>
      <c r="AE251" s="228"/>
      <c r="AF251" s="228"/>
      <c r="AG251" s="228" t="str">
        <f>IFERROR(__xludf.DUMMYFUNCTION("""COMPUTED_VALUE"""),"Tahir Maqsood Khan")</f>
        <v>Tahir Maqsood Khan</v>
      </c>
      <c r="AH251" s="228" t="str">
        <f>IFERROR(__xludf.DUMMYFUNCTION("""COMPUTED_VALUE"""),"Mother")</f>
        <v>Mother</v>
      </c>
      <c r="AI251" s="228" t="str">
        <f>IFERROR(__xludf.DUMMYFUNCTION("""COMPUTED_VALUE"""),"03334254124")</f>
        <v>03334254124</v>
      </c>
      <c r="AJ251" s="228" t="str">
        <f>IFERROR(__xludf.DUMMYFUNCTION("""COMPUTED_VALUE"""),"B+")</f>
        <v>B+</v>
      </c>
      <c r="AK251" s="731" t="str">
        <f>IFERROR(__xludf.DUMMYFUNCTION("""COMPUTED_VALUE"""),"https://www.linkedin.com/in/muhaimin-khan-7b68b9196/")</f>
        <v>https://www.linkedin.com/in/muhaimin-khan-7b68b9196/</v>
      </c>
      <c r="AL251" s="228"/>
      <c r="AM251" s="730">
        <f>IFERROR(__xludf.DUMMYFUNCTION("""COMPUTED_VALUE"""),45246.0)</f>
        <v>45246</v>
      </c>
      <c r="AN251" s="228"/>
      <c r="AO251" s="228"/>
      <c r="AP251" s="228" t="str">
        <f>IFERROR(__xludf.DUMMYFUNCTION("""COMPUTED_VALUE"""),"NO")</f>
        <v>NO</v>
      </c>
      <c r="AQ251" s="228" t="str">
        <f>IFERROR(__xludf.DUMMYFUNCTION("""COMPUTED_VALUE"""),"Resigned/Terminated")</f>
        <v>Resigned/Terminated</v>
      </c>
    </row>
    <row r="252">
      <c r="A252" s="228">
        <f>IFERROR(__xludf.DUMMYFUNCTION("""COMPUTED_VALUE"""),5197.0)</f>
        <v>5197</v>
      </c>
      <c r="B252" s="228" t="str">
        <f>IFERROR(__xludf.DUMMYFUNCTION("""COMPUTED_VALUE"""),"Reyan Ahmad")</f>
        <v>Reyan Ahmad</v>
      </c>
      <c r="C252" s="228" t="str">
        <f>IFERROR(__xludf.DUMMYFUNCTION("""COMPUTED_VALUE"""),"reyanahmad138@gmail.com")</f>
        <v>reyanahmad138@gmail.com</v>
      </c>
      <c r="D252" s="228" t="str">
        <f>IFERROR(__xludf.DUMMYFUNCTION("""COMPUTED_VALUE"""),"reyan.ahmed@vyro.ai")</f>
        <v>reyan.ahmed@vyro.ai</v>
      </c>
      <c r="E252" s="730">
        <f>IFERROR(__xludf.DUMMYFUNCTION("""COMPUTED_VALUE"""),45222.0)</f>
        <v>45222</v>
      </c>
      <c r="F252" s="228" t="str">
        <f>IFERROR(__xludf.DUMMYFUNCTION("""COMPUTED_VALUE"""),"Senior QA Automation Engineer")</f>
        <v>Senior QA Automation Engineer</v>
      </c>
      <c r="G252" s="228" t="str">
        <f>IFERROR(__xludf.DUMMYFUNCTION("""COMPUTED_VALUE"""),"Software Quality Assurance")</f>
        <v>Software Quality Assurance</v>
      </c>
      <c r="H252" s="228" t="str">
        <f>IFERROR(__xludf.DUMMYFUNCTION("""COMPUTED_VALUE"""),"Muhammad Abdullah Rafque,, CTO")</f>
        <v>Muhammad Abdullah Rafque,, CTO</v>
      </c>
      <c r="I252" s="228" t="str">
        <f>IFERROR(__xludf.DUMMYFUNCTION("""COMPUTED_VALUE"""),"Permanent")</f>
        <v>Permanent</v>
      </c>
      <c r="J252" s="228" t="str">
        <f>IFERROR(__xludf.DUMMYFUNCTION("""COMPUTED_VALUE"""),"inactive")</f>
        <v>inactive</v>
      </c>
      <c r="K252" s="228" t="str">
        <f>IFERROR(__xludf.DUMMYFUNCTION("""COMPUTED_VALUE"""),"3M")</f>
        <v>3M</v>
      </c>
      <c r="L252" s="732">
        <f>IFERROR(__xludf.DUMMYFUNCTION("""COMPUTED_VALUE"""),45314.0)</f>
        <v>45314</v>
      </c>
      <c r="M252" s="228"/>
      <c r="N252" s="228"/>
      <c r="O252" s="228"/>
      <c r="P252" s="228" t="str">
        <f>IFERROR(__xludf.DUMMYFUNCTION("""COMPUTED_VALUE"""),"3047057347")</f>
        <v>3047057347</v>
      </c>
      <c r="Q252" s="228" t="str">
        <f>IFERROR(__xludf.DUMMYFUNCTION("""COMPUTED_VALUE"""),"36101-6729437-9
")</f>
        <v>36101-6729437-9
</v>
      </c>
      <c r="R252" s="228" t="str">
        <f>IFERROR(__xludf.DUMMYFUNCTION("""COMPUTED_VALUE"""),"Male")</f>
        <v>Male</v>
      </c>
      <c r="S252" s="228" t="str">
        <f>IFERROR(__xludf.DUMMYFUNCTION("""COMPUTED_VALUE"""),"Faysal Bank")</f>
        <v>Faysal Bank</v>
      </c>
      <c r="T252" s="228" t="str">
        <f>IFERROR(__xludf.DUMMYFUNCTION("""COMPUTED_VALUE"""),"MUHAMMAD RAYAN AHMAD")</f>
        <v>MUHAMMAD RAYAN AHMAD</v>
      </c>
      <c r="U252" s="228" t="str">
        <f>IFERROR(__xludf.DUMMYFUNCTION("""COMPUTED_VALUE"""),"PK22FAYS3300301000001765")</f>
        <v>PK22FAYS3300301000001765</v>
      </c>
      <c r="V252" s="228"/>
      <c r="W252" s="228"/>
      <c r="X252" s="228" t="str">
        <f>IFERROR(__xludf.DUMMYFUNCTION("""COMPUTED_VALUE"""),"Lahore")</f>
        <v>Lahore</v>
      </c>
      <c r="Y252" s="730">
        <f>IFERROR(__xludf.DUMMYFUNCTION("""COMPUTED_VALUE"""),35772.0)</f>
        <v>35772</v>
      </c>
      <c r="Z252" s="228" t="str">
        <f>IFERROR(__xludf.DUMMYFUNCTION("""COMPUTED_VALUE"""),"27 Years")</f>
        <v>27 Years</v>
      </c>
      <c r="AA252" s="228" t="str">
        <f>IFERROR(__xludf.DUMMYFUNCTION("""COMPUTED_VALUE"""),"P21, Ittehad Park Society, Lytton Road, Lahore")</f>
        <v>P21, Ittehad Park Society, Lytton Road, Lahore</v>
      </c>
      <c r="AB252" s="228" t="str">
        <f>IFERROR(__xludf.DUMMYFUNCTION("""COMPUTED_VALUE"""),"Pakistani")</f>
        <v>Pakistani</v>
      </c>
      <c r="AC252" s="228" t="str">
        <f>IFERROR(__xludf.DUMMYFUNCTION("""COMPUTED_VALUE"""),"Single")</f>
        <v>Single</v>
      </c>
      <c r="AD252" s="228"/>
      <c r="AE252" s="228"/>
      <c r="AF252" s="228"/>
      <c r="AG252" s="228" t="str">
        <f>IFERROR(__xludf.DUMMYFUNCTION("""COMPUTED_VALUE"""),"Muhammad Mansha")</f>
        <v>Muhammad Mansha</v>
      </c>
      <c r="AH252" s="228" t="str">
        <f>IFERROR(__xludf.DUMMYFUNCTION("""COMPUTED_VALUE"""),"Brother")</f>
        <v>Brother</v>
      </c>
      <c r="AI252" s="228" t="str">
        <f>IFERROR(__xludf.DUMMYFUNCTION("""COMPUTED_VALUE"""),"3085370475")</f>
        <v>3085370475</v>
      </c>
      <c r="AJ252" s="228" t="str">
        <f>IFERROR(__xludf.DUMMYFUNCTION("""COMPUTED_VALUE"""),"AB-")</f>
        <v>AB-</v>
      </c>
      <c r="AK252" s="731" t="str">
        <f>IFERROR(__xludf.DUMMYFUNCTION("""COMPUTED_VALUE"""),"https://www.linkedin.com/in/rayan-ahmad-5a030a165/")</f>
        <v>https://www.linkedin.com/in/rayan-ahmad-5a030a165/</v>
      </c>
      <c r="AL252" s="228"/>
      <c r="AM252" s="730">
        <f>IFERROR(__xludf.DUMMYFUNCTION("""COMPUTED_VALUE"""),45246.0)</f>
        <v>45246</v>
      </c>
      <c r="AN252" s="228"/>
      <c r="AO252" s="228"/>
      <c r="AP252" s="228" t="str">
        <f>IFERROR(__xludf.DUMMYFUNCTION("""COMPUTED_VALUE"""),"NO")</f>
        <v>NO</v>
      </c>
      <c r="AQ252" s="228" t="str">
        <f>IFERROR(__xludf.DUMMYFUNCTION("""COMPUTED_VALUE"""),"Resigned/Terminated")</f>
        <v>Resigned/Terminated</v>
      </c>
    </row>
    <row r="253">
      <c r="A253" s="228">
        <f>IFERROR(__xludf.DUMMYFUNCTION("""COMPUTED_VALUE"""),5175.0)</f>
        <v>5175</v>
      </c>
      <c r="B253" s="228" t="str">
        <f>IFERROR(__xludf.DUMMYFUNCTION("""COMPUTED_VALUE"""),"Muhammad Waleed Imran")</f>
        <v>Muhammad Waleed Imran</v>
      </c>
      <c r="C253" s="228" t="str">
        <f>IFERROR(__xludf.DUMMYFUNCTION("""COMPUTED_VALUE"""),"waleedimran24@gmail.com")</f>
        <v>waleedimran24@gmail.com</v>
      </c>
      <c r="D253" s="228" t="str">
        <f>IFERROR(__xludf.DUMMYFUNCTION("""COMPUTED_VALUE"""),"waleed.imran@vyro.ai")</f>
        <v>waleed.imran@vyro.ai</v>
      </c>
      <c r="E253" s="730">
        <f>IFERROR(__xludf.DUMMYFUNCTION("""COMPUTED_VALUE"""),45180.0)</f>
        <v>45180</v>
      </c>
      <c r="F253" s="228" t="str">
        <f>IFERROR(__xludf.DUMMYFUNCTION("""COMPUTED_VALUE"""),"Product Manager")</f>
        <v>Product Manager</v>
      </c>
      <c r="G253" s="228" t="str">
        <f>IFERROR(__xludf.DUMMYFUNCTION("""COMPUTED_VALUE"""),"Product")</f>
        <v>Product</v>
      </c>
      <c r="H253" s="228"/>
      <c r="I253" s="228" t="str">
        <f>IFERROR(__xludf.DUMMYFUNCTION("""COMPUTED_VALUE"""),"Permanent")</f>
        <v>Permanent</v>
      </c>
      <c r="J253" s="228" t="str">
        <f>IFERROR(__xludf.DUMMYFUNCTION("""COMPUTED_VALUE"""),"inactive")</f>
        <v>inactive</v>
      </c>
      <c r="K253" s="228" t="str">
        <f>IFERROR(__xludf.DUMMYFUNCTION("""COMPUTED_VALUE"""),"3 M")</f>
        <v>3 M</v>
      </c>
      <c r="L253" s="732">
        <f>IFERROR(__xludf.DUMMYFUNCTION("""COMPUTED_VALUE"""),45271.0)</f>
        <v>45271</v>
      </c>
      <c r="M253" s="228"/>
      <c r="N253" s="228"/>
      <c r="O253" s="228"/>
      <c r="P253" s="228" t="str">
        <f>IFERROR(__xludf.DUMMYFUNCTION("""COMPUTED_VALUE"""),"3024531216")</f>
        <v>3024531216</v>
      </c>
      <c r="Q253" s="228" t="str">
        <f>IFERROR(__xludf.DUMMYFUNCTION("""COMPUTED_VALUE"""),"35201-8352529-1")</f>
        <v>35201-8352529-1</v>
      </c>
      <c r="R253" s="228" t="str">
        <f>IFERROR(__xludf.DUMMYFUNCTION("""COMPUTED_VALUE"""),"Male")</f>
        <v>Male</v>
      </c>
      <c r="S253" s="228" t="str">
        <f>IFERROR(__xludf.DUMMYFUNCTION("""COMPUTED_VALUE"""),"MUHAMMAD WALEED IMRAN")</f>
        <v>MUHAMMAD WALEED IMRAN</v>
      </c>
      <c r="T253" s="228" t="str">
        <f>IFERROR(__xludf.DUMMYFUNCTION("""COMPUTED_VALUE"""),"Meezan Bank Limited")</f>
        <v>Meezan Bank Limited</v>
      </c>
      <c r="U253" s="228" t="str">
        <f>IFERROR(__xludf.DUMMYFUNCTION("""COMPUTED_VALUE"""),"PK75MEZN0002200102401661")</f>
        <v>PK75MEZN0002200102401661</v>
      </c>
      <c r="V253" s="228" t="str">
        <f>IFERROR(__xludf.DUMMYFUNCTION("""COMPUTED_VALUE"""),"MEZNPKKALHR")</f>
        <v>MEZNPKKALHR</v>
      </c>
      <c r="W253" s="228"/>
      <c r="X253" s="228" t="str">
        <f>IFERROR(__xludf.DUMMYFUNCTION("""COMPUTED_VALUE"""),"Lahore")</f>
        <v>Lahore</v>
      </c>
      <c r="Y253" s="730">
        <f>IFERROR(__xludf.DUMMYFUNCTION("""COMPUTED_VALUE"""),36074.0)</f>
        <v>36074</v>
      </c>
      <c r="Z253" s="228" t="str">
        <f>IFERROR(__xludf.DUMMYFUNCTION("""COMPUTED_VALUE"""),"26 Years")</f>
        <v>26 Years</v>
      </c>
      <c r="AA253" s="228" t="str">
        <f>IFERROR(__xludf.DUMMYFUNCTION("""COMPUTED_VALUE"""),"46b, B-block, Guldasht Town Society, Zarrar Shaheed Road, Lahore Cantt., Lahore")</f>
        <v>46b, B-block, Guldasht Town Society, Zarrar Shaheed Road, Lahore Cantt., Lahore</v>
      </c>
      <c r="AB253" s="228" t="str">
        <f>IFERROR(__xludf.DUMMYFUNCTION("""COMPUTED_VALUE"""),"Pakistani")</f>
        <v>Pakistani</v>
      </c>
      <c r="AC253" s="228" t="str">
        <f>IFERROR(__xludf.DUMMYFUNCTION("""COMPUTED_VALUE"""),"Single")</f>
        <v>Single</v>
      </c>
      <c r="AD253" s="228"/>
      <c r="AE253" s="228"/>
      <c r="AF253" s="228"/>
      <c r="AG253" s="228" t="str">
        <f>IFERROR(__xludf.DUMMYFUNCTION("""COMPUTED_VALUE"""),"Muhammad Imran")</f>
        <v>Muhammad Imran</v>
      </c>
      <c r="AH253" s="228"/>
      <c r="AI253" s="228"/>
      <c r="AJ253" s="228" t="str">
        <f>IFERROR(__xludf.DUMMYFUNCTION("""COMPUTED_VALUE"""),"A+")</f>
        <v>A+</v>
      </c>
      <c r="AK253" s="731" t="str">
        <f>IFERROR(__xludf.DUMMYFUNCTION("""COMPUTED_VALUE"""),"https://www.linkedin.com/in/m-waleed-imran/")</f>
        <v>https://www.linkedin.com/in/m-waleed-imran/</v>
      </c>
      <c r="AL253" s="228"/>
      <c r="AM253" s="730">
        <f>IFERROR(__xludf.DUMMYFUNCTION("""COMPUTED_VALUE"""),45247.0)</f>
        <v>45247</v>
      </c>
      <c r="AN253" s="228"/>
      <c r="AO253" s="228"/>
      <c r="AP253" s="228" t="str">
        <f>IFERROR(__xludf.DUMMYFUNCTION("""COMPUTED_VALUE"""),"NO")</f>
        <v>NO</v>
      </c>
      <c r="AQ253" s="228" t="str">
        <f>IFERROR(__xludf.DUMMYFUNCTION("""COMPUTED_VALUE"""),"Resigned/Terminated")</f>
        <v>Resigned/Terminated</v>
      </c>
    </row>
    <row r="254">
      <c r="A254" s="228">
        <f>IFERROR(__xludf.DUMMYFUNCTION("""COMPUTED_VALUE"""),5182.0)</f>
        <v>5182</v>
      </c>
      <c r="B254" s="228" t="str">
        <f>IFERROR(__xludf.DUMMYFUNCTION("""COMPUTED_VALUE"""),"Syed Haider")</f>
        <v>Syed Haider</v>
      </c>
      <c r="C254" s="228" t="str">
        <f>IFERROR(__xludf.DUMMYFUNCTION("""COMPUTED_VALUE"""),"webblog123@gmail.com")</f>
        <v>webblog123@gmail.com</v>
      </c>
      <c r="D254" s="228" t="str">
        <f>IFERROR(__xludf.DUMMYFUNCTION("""COMPUTED_VALUE"""),"syed.haider@vyro.ai")</f>
        <v>syed.haider@vyro.ai</v>
      </c>
      <c r="E254" s="730">
        <f>IFERROR(__xludf.DUMMYFUNCTION("""COMPUTED_VALUE"""),45194.0)</f>
        <v>45194</v>
      </c>
      <c r="F254" s="228" t="str">
        <f>IFERROR(__xludf.DUMMYFUNCTION("""COMPUTED_VALUE"""),"Senior Software Engineer II")</f>
        <v>Senior Software Engineer II</v>
      </c>
      <c r="G254" s="228" t="str">
        <f>IFERROR(__xludf.DUMMYFUNCTION("""COMPUTED_VALUE"""),"Tech")</f>
        <v>Tech</v>
      </c>
      <c r="H254" s="228" t="str">
        <f>IFERROR(__xludf.DUMMYFUNCTION("""COMPUTED_VALUE"""),"Abdullah")</f>
        <v>Abdullah</v>
      </c>
      <c r="I254" s="228" t="str">
        <f>IFERROR(__xludf.DUMMYFUNCTION("""COMPUTED_VALUE"""),"Permanent")</f>
        <v>Permanent</v>
      </c>
      <c r="J254" s="228" t="str">
        <f>IFERROR(__xludf.DUMMYFUNCTION("""COMPUTED_VALUE"""),"inactive")</f>
        <v>inactive</v>
      </c>
      <c r="K254" s="228" t="str">
        <f>IFERROR(__xludf.DUMMYFUNCTION("""COMPUTED_VALUE"""),"3 M")</f>
        <v>3 M</v>
      </c>
      <c r="L254" s="732">
        <f>IFERROR(__xludf.DUMMYFUNCTION("""COMPUTED_VALUE"""),45285.0)</f>
        <v>45285</v>
      </c>
      <c r="M254" s="228"/>
      <c r="N254" s="228"/>
      <c r="O254" s="228"/>
      <c r="P254" s="228" t="str">
        <f>IFERROR(__xludf.DUMMYFUNCTION("""COMPUTED_VALUE"""),"3225201314")</f>
        <v>3225201314</v>
      </c>
      <c r="Q254" s="228" t="str">
        <f>IFERROR(__xludf.DUMMYFUNCTION("""COMPUTED_VALUE"""),"33102-5032259-9")</f>
        <v>33102-5032259-9</v>
      </c>
      <c r="R254" s="228" t="str">
        <f>IFERROR(__xludf.DUMMYFUNCTION("""COMPUTED_VALUE"""),"Male")</f>
        <v>Male</v>
      </c>
      <c r="S254" s="228" t="str">
        <f>IFERROR(__xludf.DUMMYFUNCTION("""COMPUTED_VALUE"""),"HBL")</f>
        <v>HBL</v>
      </c>
      <c r="T254" s="228" t="str">
        <f>IFERROR(__xludf.DUMMYFUNCTION("""COMPUTED_VALUE"""),"Haider Anwer")</f>
        <v>Haider Anwer</v>
      </c>
      <c r="U254" s="228" t="str">
        <f>IFERROR(__xludf.DUMMYFUNCTION("""COMPUTED_VALUE"""),"PK41HABB0006117900889203")</f>
        <v>PK41HABB0006117900889203</v>
      </c>
      <c r="V254" s="228"/>
      <c r="W254" s="228"/>
      <c r="X254" s="228" t="str">
        <f>IFERROR(__xludf.DUMMYFUNCTION("""COMPUTED_VALUE"""),"Lahore")</f>
        <v>Lahore</v>
      </c>
      <c r="Y254" s="730">
        <f>IFERROR(__xludf.DUMMYFUNCTION("""COMPUTED_VALUE"""),35115.0)</f>
        <v>35115</v>
      </c>
      <c r="Z254" s="228" t="str">
        <f>IFERROR(__xludf.DUMMYFUNCTION("""COMPUTED_VALUE"""),"29 Years")</f>
        <v>29 Years</v>
      </c>
      <c r="AA254" s="228" t="str">
        <f>IFERROR(__xludf.DUMMYFUNCTION("""COMPUTED_VALUE"""),"H# 11/3 Canal Colony opp GPO, Faisalabad")</f>
        <v>H# 11/3 Canal Colony opp GPO, Faisalabad</v>
      </c>
      <c r="AB254" s="228" t="str">
        <f>IFERROR(__xludf.DUMMYFUNCTION("""COMPUTED_VALUE"""),"Pakistani")</f>
        <v>Pakistani</v>
      </c>
      <c r="AC254" s="228" t="str">
        <f>IFERROR(__xludf.DUMMYFUNCTION("""COMPUTED_VALUE"""),"Single")</f>
        <v>Single</v>
      </c>
      <c r="AD254" s="228"/>
      <c r="AE254" s="228"/>
      <c r="AF254" s="228"/>
      <c r="AG254" s="228" t="str">
        <f>IFERROR(__xludf.DUMMYFUNCTION("""COMPUTED_VALUE"""),"Anwer Latif")</f>
        <v>Anwer Latif</v>
      </c>
      <c r="AH254" s="228" t="str">
        <f>IFERROR(__xludf.DUMMYFUNCTION("""COMPUTED_VALUE"""),"father")</f>
        <v>father</v>
      </c>
      <c r="AI254" s="228" t="str">
        <f>IFERROR(__xludf.DUMMYFUNCTION("""COMPUTED_VALUE"""),"03226233151")</f>
        <v>03226233151</v>
      </c>
      <c r="AJ254" s="228" t="str">
        <f>IFERROR(__xludf.DUMMYFUNCTION("""COMPUTED_VALUE"""),"A+")</f>
        <v>A+</v>
      </c>
      <c r="AK254" s="731" t="str">
        <f>IFERROR(__xludf.DUMMYFUNCTION("""COMPUTED_VALUE"""),"https://www.linkedin.com/in/syed-haider-395685187/")</f>
        <v>https://www.linkedin.com/in/syed-haider-395685187/</v>
      </c>
      <c r="AL254" s="228"/>
      <c r="AM254" s="730">
        <f>IFERROR(__xludf.DUMMYFUNCTION("""COMPUTED_VALUE"""),45247.0)</f>
        <v>45247</v>
      </c>
      <c r="AN254" s="228"/>
      <c r="AO254" s="228"/>
      <c r="AP254" s="228" t="str">
        <f>IFERROR(__xludf.DUMMYFUNCTION("""COMPUTED_VALUE"""),"NO")</f>
        <v>NO</v>
      </c>
      <c r="AQ254" s="228" t="str">
        <f>IFERROR(__xludf.DUMMYFUNCTION("""COMPUTED_VALUE"""),"Resigned/Terminated")</f>
        <v>Resigned/Terminated</v>
      </c>
    </row>
    <row r="255">
      <c r="A255" s="228">
        <f>IFERROR(__xludf.DUMMYFUNCTION("""COMPUTED_VALUE"""),5171.0)</f>
        <v>5171</v>
      </c>
      <c r="B255" s="228" t="str">
        <f>IFERROR(__xludf.DUMMYFUNCTION("""COMPUTED_VALUE"""),"Samman Mustafa")</f>
        <v>Samman Mustafa</v>
      </c>
      <c r="C255" s="228" t="str">
        <f>IFERROR(__xludf.DUMMYFUNCTION("""COMPUTED_VALUE"""),"samanmustafa101@gmail.com")</f>
        <v>samanmustafa101@gmail.com</v>
      </c>
      <c r="D255" s="228" t="str">
        <f>IFERROR(__xludf.DUMMYFUNCTION("""COMPUTED_VALUE"""),"saman.mustafa@vyro.ai")</f>
        <v>saman.mustafa@vyro.ai</v>
      </c>
      <c r="E255" s="730">
        <f>IFERROR(__xludf.DUMMYFUNCTION("""COMPUTED_VALUE"""),45180.0)</f>
        <v>45180</v>
      </c>
      <c r="F255" s="228" t="str">
        <f>IFERROR(__xludf.DUMMYFUNCTION("""COMPUTED_VALUE"""),"Affiliate Marketing Executive")</f>
        <v>Affiliate Marketing Executive</v>
      </c>
      <c r="G255" s="228" t="str">
        <f>IFERROR(__xludf.DUMMYFUNCTION("""COMPUTED_VALUE"""),"Product")</f>
        <v>Product</v>
      </c>
      <c r="H255" s="228" t="str">
        <f>IFERROR(__xludf.DUMMYFUNCTION("""COMPUTED_VALUE"""),"Ali Ayub")</f>
        <v>Ali Ayub</v>
      </c>
      <c r="I255" s="228" t="str">
        <f>IFERROR(__xludf.DUMMYFUNCTION("""COMPUTED_VALUE"""),"Permanent")</f>
        <v>Permanent</v>
      </c>
      <c r="J255" s="228" t="str">
        <f>IFERROR(__xludf.DUMMYFUNCTION("""COMPUTED_VALUE"""),"inactive")</f>
        <v>inactive</v>
      </c>
      <c r="K255" s="228" t="str">
        <f>IFERROR(__xludf.DUMMYFUNCTION("""COMPUTED_VALUE"""),"3 M")</f>
        <v>3 M</v>
      </c>
      <c r="L255" s="732">
        <f>IFERROR(__xludf.DUMMYFUNCTION("""COMPUTED_VALUE"""),45271.0)</f>
        <v>45271</v>
      </c>
      <c r="M255" s="228"/>
      <c r="N255" s="228"/>
      <c r="O255" s="228"/>
      <c r="P255" s="228" t="str">
        <f>IFERROR(__xludf.DUMMYFUNCTION("""COMPUTED_VALUE"""),"3146001338")</f>
        <v>3146001338</v>
      </c>
      <c r="Q255" s="228" t="str">
        <f>IFERROR(__xludf.DUMMYFUNCTION("""COMPUTED_VALUE"""),"3740552049158")</f>
        <v>3740552049158</v>
      </c>
      <c r="R255" s="228" t="str">
        <f>IFERROR(__xludf.DUMMYFUNCTION("""COMPUTED_VALUE"""),"Female")</f>
        <v>Female</v>
      </c>
      <c r="S255" s="228" t="str">
        <f>IFERROR(__xludf.DUMMYFUNCTION("""COMPUTED_VALUE"""),"Meezan")</f>
        <v>Meezan</v>
      </c>
      <c r="T255" s="228" t="str">
        <f>IFERROR(__xludf.DUMMYFUNCTION("""COMPUTED_VALUE"""),"Samman Mustafa abbasi")</f>
        <v>Samman Mustafa abbasi</v>
      </c>
      <c r="U255" s="228" t="str">
        <f>IFERROR(__xludf.DUMMYFUNCTION("""COMPUTED_VALUE"""),"PK37MEZN0003050105801425")</f>
        <v>PK37MEZN0003050105801425</v>
      </c>
      <c r="V255" s="228"/>
      <c r="W255" s="228"/>
      <c r="X255" s="228" t="str">
        <f>IFERROR(__xludf.DUMMYFUNCTION("""COMPUTED_VALUE"""),"Islamabad")</f>
        <v>Islamabad</v>
      </c>
      <c r="Y255" s="730">
        <f>IFERROR(__xludf.DUMMYFUNCTION("""COMPUTED_VALUE"""),36545.0)</f>
        <v>36545</v>
      </c>
      <c r="Z255" s="228" t="str">
        <f>IFERROR(__xludf.DUMMYFUNCTION("""COMPUTED_VALUE"""),"25 Years")</f>
        <v>25 Years</v>
      </c>
      <c r="AA255" s="228" t="str">
        <f>IFERROR(__xludf.DUMMYFUNCTION("""COMPUTED_VALUE"""),"House no 889, street 28, usman block, bahria town phase 8, Rawalpindi")</f>
        <v>House no 889, street 28, usman block, bahria town phase 8, Rawalpindi</v>
      </c>
      <c r="AB255" s="228" t="str">
        <f>IFERROR(__xludf.DUMMYFUNCTION("""COMPUTED_VALUE"""),"Pakistani")</f>
        <v>Pakistani</v>
      </c>
      <c r="AC255" s="228" t="str">
        <f>IFERROR(__xludf.DUMMYFUNCTION("""COMPUTED_VALUE"""),"Single")</f>
        <v>Single</v>
      </c>
      <c r="AD255" s="228"/>
      <c r="AE255" s="228"/>
      <c r="AF255" s="228"/>
      <c r="AG255" s="228" t="str">
        <f>IFERROR(__xludf.DUMMYFUNCTION("""COMPUTED_VALUE"""),"Ghulam Mustafa kamal")</f>
        <v>Ghulam Mustafa kamal</v>
      </c>
      <c r="AH255" s="228" t="str">
        <f>IFERROR(__xludf.DUMMYFUNCTION("""COMPUTED_VALUE"""),"Brother")</f>
        <v>Brother</v>
      </c>
      <c r="AI255" s="228" t="str">
        <f>IFERROR(__xludf.DUMMYFUNCTION("""COMPUTED_VALUE"""),"#ERROR!")</f>
        <v>#ERROR!</v>
      </c>
      <c r="AJ255" s="228" t="str">
        <f>IFERROR(__xludf.DUMMYFUNCTION("""COMPUTED_VALUE"""),"O+")</f>
        <v>O+</v>
      </c>
      <c r="AK255" s="731" t="str">
        <f>IFERROR(__xludf.DUMMYFUNCTION("""COMPUTED_VALUE"""),"https://www.linkedin.com/in/samman-mustafa-0220721a8")</f>
        <v>https://www.linkedin.com/in/samman-mustafa-0220721a8</v>
      </c>
      <c r="AL255" s="228"/>
      <c r="AM255" s="730">
        <f>IFERROR(__xludf.DUMMYFUNCTION("""COMPUTED_VALUE"""),45250.0)</f>
        <v>45250</v>
      </c>
      <c r="AN255" s="228"/>
      <c r="AO255" s="228"/>
      <c r="AP255" s="228" t="str">
        <f>IFERROR(__xludf.DUMMYFUNCTION("""COMPUTED_VALUE"""),"NO")</f>
        <v>NO</v>
      </c>
      <c r="AQ255" s="228" t="str">
        <f>IFERROR(__xludf.DUMMYFUNCTION("""COMPUTED_VALUE"""),"Resigned/Terminated")</f>
        <v>Resigned/Terminated</v>
      </c>
    </row>
    <row r="256">
      <c r="A256" s="228">
        <f>IFERROR(__xludf.DUMMYFUNCTION("""COMPUTED_VALUE"""),5168.0)</f>
        <v>5168</v>
      </c>
      <c r="B256" s="228" t="str">
        <f>IFERROR(__xludf.DUMMYFUNCTION("""COMPUTED_VALUE"""),"Talha Jibran")</f>
        <v>Talha Jibran</v>
      </c>
      <c r="C256" s="228" t="str">
        <f>IFERROR(__xludf.DUMMYFUNCTION("""COMPUTED_VALUE"""),"talhajibrantariq@gmail.com")</f>
        <v>talhajibrantariq@gmail.com</v>
      </c>
      <c r="D256" s="228" t="str">
        <f>IFERROR(__xludf.DUMMYFUNCTION("""COMPUTED_VALUE"""),"talha.jibran@vyro.ai")</f>
        <v>talha.jibran@vyro.ai</v>
      </c>
      <c r="E256" s="730">
        <f>IFERROR(__xludf.DUMMYFUNCTION("""COMPUTED_VALUE"""),45174.0)</f>
        <v>45174</v>
      </c>
      <c r="F256" s="228" t="str">
        <f>IFERROR(__xludf.DUMMYFUNCTION("""COMPUTED_VALUE"""),"Software Engineer I")</f>
        <v>Software Engineer I</v>
      </c>
      <c r="G256" s="228" t="str">
        <f>IFERROR(__xludf.DUMMYFUNCTION("""COMPUTED_VALUE"""),"Tech")</f>
        <v>Tech</v>
      </c>
      <c r="H256" s="228" t="str">
        <f>IFERROR(__xludf.DUMMYFUNCTION("""COMPUTED_VALUE"""),"Abdullah")</f>
        <v>Abdullah</v>
      </c>
      <c r="I256" s="228" t="str">
        <f>IFERROR(__xludf.DUMMYFUNCTION("""COMPUTED_VALUE"""),"Permanent")</f>
        <v>Permanent</v>
      </c>
      <c r="J256" s="228" t="str">
        <f>IFERROR(__xludf.DUMMYFUNCTION("""COMPUTED_VALUE"""),"inactive")</f>
        <v>inactive</v>
      </c>
      <c r="K256" s="228" t="str">
        <f>IFERROR(__xludf.DUMMYFUNCTION("""COMPUTED_VALUE"""),"3 M")</f>
        <v>3 M</v>
      </c>
      <c r="L256" s="732">
        <f>IFERROR(__xludf.DUMMYFUNCTION("""COMPUTED_VALUE"""),45265.0)</f>
        <v>45265</v>
      </c>
      <c r="M256" s="228"/>
      <c r="N256" s="228"/>
      <c r="O256" s="228"/>
      <c r="P256" s="228" t="str">
        <f>IFERROR(__xludf.DUMMYFUNCTION("""COMPUTED_VALUE"""),"3365510467")</f>
        <v>3365510467</v>
      </c>
      <c r="Q256" s="228" t="str">
        <f>IFERROR(__xludf.DUMMYFUNCTION("""COMPUTED_VALUE"""),"61101-8798575-7")</f>
        <v>61101-8798575-7</v>
      </c>
      <c r="R256" s="228" t="str">
        <f>IFERROR(__xludf.DUMMYFUNCTION("""COMPUTED_VALUE"""),"Male")</f>
        <v>Male</v>
      </c>
      <c r="S256" s="228" t="str">
        <f>IFERROR(__xludf.DUMMYFUNCTION("""COMPUTED_VALUE"""),"Bank Alfalah")</f>
        <v>Bank Alfalah</v>
      </c>
      <c r="T256" s="228" t="str">
        <f>IFERROR(__xludf.DUMMYFUNCTION("""COMPUTED_VALUE"""),"TALHA JIBRAN A/C 04041007463461")</f>
        <v>TALHA JIBRAN A/C 04041007463461</v>
      </c>
      <c r="U256" s="228" t="str">
        <f>IFERROR(__xludf.DUMMYFUNCTION("""COMPUTED_VALUE"""),"PK42ALFH0404001007463461")</f>
        <v>PK42ALFH0404001007463461</v>
      </c>
      <c r="V256" s="228"/>
      <c r="W256" s="228"/>
      <c r="X256" s="228" t="str">
        <f>IFERROR(__xludf.DUMMYFUNCTION("""COMPUTED_VALUE"""),"Islamabad")</f>
        <v>Islamabad</v>
      </c>
      <c r="Y256" s="730">
        <f>IFERROR(__xludf.DUMMYFUNCTION("""COMPUTED_VALUE"""),36096.0)</f>
        <v>36096</v>
      </c>
      <c r="Z256" s="228" t="str">
        <f>IFERROR(__xludf.DUMMYFUNCTION("""COMPUTED_VALUE"""),"26 Years")</f>
        <v>26 Years</v>
      </c>
      <c r="AA256" s="228" t="str">
        <f>IFERROR(__xludf.DUMMYFUNCTION("""COMPUTED_VALUE"""),"House#211-D, Street#01, G-7/3-2 Islamabad")</f>
        <v>House#211-D, Street#01, G-7/3-2 Islamabad</v>
      </c>
      <c r="AB256" s="228" t="str">
        <f>IFERROR(__xludf.DUMMYFUNCTION("""COMPUTED_VALUE"""),"Pakistani")</f>
        <v>Pakistani</v>
      </c>
      <c r="AC256" s="228" t="str">
        <f>IFERROR(__xludf.DUMMYFUNCTION("""COMPUTED_VALUE"""),"Single")</f>
        <v>Single</v>
      </c>
      <c r="AD256" s="228"/>
      <c r="AE256" s="228"/>
      <c r="AF256" s="228"/>
      <c r="AG256" s="228" t="str">
        <f>IFERROR(__xludf.DUMMYFUNCTION("""COMPUTED_VALUE"""),"Tariq Mehmood")</f>
        <v>Tariq Mehmood</v>
      </c>
      <c r="AH256" s="228" t="str">
        <f>IFERROR(__xludf.DUMMYFUNCTION("""COMPUTED_VALUE"""),"Mother")</f>
        <v>Mother</v>
      </c>
      <c r="AI256" s="228" t="str">
        <f>IFERROR(__xludf.DUMMYFUNCTION("""COMPUTED_VALUE"""),"03348549239")</f>
        <v>03348549239</v>
      </c>
      <c r="AJ256" s="228" t="str">
        <f>IFERROR(__xludf.DUMMYFUNCTION("""COMPUTED_VALUE"""),"AB+")</f>
        <v>AB+</v>
      </c>
      <c r="AK256" s="731" t="str">
        <f>IFERROR(__xludf.DUMMYFUNCTION("""COMPUTED_VALUE"""),"https://www.linkedin.com/in/talha-jibran-8237aa204")</f>
        <v>https://www.linkedin.com/in/talha-jibran-8237aa204</v>
      </c>
      <c r="AL256" s="228"/>
      <c r="AM256" s="730">
        <f>IFERROR(__xludf.DUMMYFUNCTION("""COMPUTED_VALUE"""),45251.0)</f>
        <v>45251</v>
      </c>
      <c r="AN256" s="228"/>
      <c r="AO256" s="228"/>
      <c r="AP256" s="228" t="str">
        <f>IFERROR(__xludf.DUMMYFUNCTION("""COMPUTED_VALUE"""),"NO")</f>
        <v>NO</v>
      </c>
      <c r="AQ256" s="228" t="str">
        <f>IFERROR(__xludf.DUMMYFUNCTION("""COMPUTED_VALUE"""),"Resigned/Terminated")</f>
        <v>Resigned/Terminated</v>
      </c>
    </row>
    <row r="257">
      <c r="A257" s="228">
        <f>IFERROR(__xludf.DUMMYFUNCTION("""COMPUTED_VALUE"""),5192.0)</f>
        <v>5192</v>
      </c>
      <c r="B257" s="228" t="str">
        <f>IFERROR(__xludf.DUMMYFUNCTION("""COMPUTED_VALUE"""),"Mashal Ashfaque")</f>
        <v>Mashal Ashfaque</v>
      </c>
      <c r="C257" s="228" t="str">
        <f>IFERROR(__xludf.DUMMYFUNCTION("""COMPUTED_VALUE"""),"mashfaque.bscs20seecs@seecs.edu.pk")</f>
        <v>mashfaque.bscs20seecs@seecs.edu.pk</v>
      </c>
      <c r="D257" s="228" t="str">
        <f>IFERROR(__xludf.DUMMYFUNCTION("""COMPUTED_VALUE"""),"mashal.ashfaque@vyro.ai")</f>
        <v>mashal.ashfaque@vyro.ai</v>
      </c>
      <c r="E257" s="730">
        <f>IFERROR(__xludf.DUMMYFUNCTION("""COMPUTED_VALUE"""),45222.0)</f>
        <v>45222</v>
      </c>
      <c r="F257" s="228" t="str">
        <f>IFERROR(__xludf.DUMMYFUNCTION("""COMPUTED_VALUE"""),"Marketing Intern")</f>
        <v>Marketing Intern</v>
      </c>
      <c r="G257" s="228" t="str">
        <f>IFERROR(__xludf.DUMMYFUNCTION("""COMPUTED_VALUE"""),"Marketing &amp; Creatives")</f>
        <v>Marketing &amp; Creatives</v>
      </c>
      <c r="H257" s="228" t="str">
        <f>IFERROR(__xludf.DUMMYFUNCTION("""COMPUTED_VALUE"""),"Laiba Imran")</f>
        <v>Laiba Imran</v>
      </c>
      <c r="I257" s="228" t="str">
        <f>IFERROR(__xludf.DUMMYFUNCTION("""COMPUTED_VALUE"""),"Intern")</f>
        <v>Intern</v>
      </c>
      <c r="J257" s="228" t="str">
        <f>IFERROR(__xludf.DUMMYFUNCTION("""COMPUTED_VALUE"""),"inactive")</f>
        <v>inactive</v>
      </c>
      <c r="K257" s="228" t="str">
        <f>IFERROR(__xludf.DUMMYFUNCTION("""COMPUTED_VALUE"""),"3 M")</f>
        <v>3 M</v>
      </c>
      <c r="L257" s="732">
        <f>IFERROR(__xludf.DUMMYFUNCTION("""COMPUTED_VALUE"""),45314.0)</f>
        <v>45314</v>
      </c>
      <c r="M257" s="228"/>
      <c r="N257" s="228"/>
      <c r="O257" s="228"/>
      <c r="P257" s="228" t="str">
        <f>IFERROR(__xludf.DUMMYFUNCTION("""COMPUTED_VALUE"""),"3305978268")</f>
        <v>3305978268</v>
      </c>
      <c r="Q257" s="228" t="str">
        <f>IFERROR(__xludf.DUMMYFUNCTION("""COMPUTED_VALUE"""),"61101-9206154-0")</f>
        <v>61101-9206154-0</v>
      </c>
      <c r="R257" s="228" t="str">
        <f>IFERROR(__xludf.DUMMYFUNCTION("""COMPUTED_VALUE"""),"Female")</f>
        <v>Female</v>
      </c>
      <c r="S257" s="228" t="str">
        <f>IFERROR(__xludf.DUMMYFUNCTION("""COMPUTED_VALUE"""),"Meezan Bank- Bahria Town Phase 6 Isb")</f>
        <v>Meezan Bank- Bahria Town Phase 6 Isb</v>
      </c>
      <c r="T257" s="228" t="str">
        <f>IFERROR(__xludf.DUMMYFUNCTION("""COMPUTED_VALUE"""),"MASHAL ASHFAQUE")</f>
        <v>MASHAL ASHFAQUE</v>
      </c>
      <c r="U257" s="228" t="str">
        <f>IFERROR(__xludf.DUMMYFUNCTION("""COMPUTED_VALUE"""),"PK69MEZN0003360107432810")</f>
        <v>PK69MEZN0003360107432810</v>
      </c>
      <c r="V257" s="228"/>
      <c r="W257" s="228"/>
      <c r="X257" s="228" t="str">
        <f>IFERROR(__xludf.DUMMYFUNCTION("""COMPUTED_VALUE"""),"Islamabad")</f>
        <v>Islamabad</v>
      </c>
      <c r="Y257" s="730">
        <f>IFERROR(__xludf.DUMMYFUNCTION("""COMPUTED_VALUE"""),37488.0)</f>
        <v>37488</v>
      </c>
      <c r="Z257" s="228" t="str">
        <f>IFERROR(__xludf.DUMMYFUNCTION("""COMPUTED_VALUE"""),"22 Years")</f>
        <v>22 Years</v>
      </c>
      <c r="AA257" s="228" t="str">
        <f>IFERROR(__xludf.DUMMYFUNCTION("""COMPUTED_VALUE"""),"H. 703, St. 15-1 Block B National Police Foundation O-9 Islamabad")</f>
        <v>H. 703, St. 15-1 Block B National Police Foundation O-9 Islamabad</v>
      </c>
      <c r="AB257" s="228" t="str">
        <f>IFERROR(__xludf.DUMMYFUNCTION("""COMPUTED_VALUE"""),"Pakistani")</f>
        <v>Pakistani</v>
      </c>
      <c r="AC257" s="228" t="str">
        <f>IFERROR(__xludf.DUMMYFUNCTION("""COMPUTED_VALUE"""),"Single")</f>
        <v>Single</v>
      </c>
      <c r="AD257" s="228"/>
      <c r="AE257" s="228"/>
      <c r="AF257" s="228"/>
      <c r="AG257" s="228" t="str">
        <f>IFERROR(__xludf.DUMMYFUNCTION("""COMPUTED_VALUE"""),"Dr Ashfaque Ahmed Bajwa")</f>
        <v>Dr Ashfaque Ahmed Bajwa</v>
      </c>
      <c r="AH257" s="228" t="str">
        <f>IFERROR(__xludf.DUMMYFUNCTION("""COMPUTED_VALUE"""),"Father")</f>
        <v>Father</v>
      </c>
      <c r="AI257" s="228" t="str">
        <f>IFERROR(__xludf.DUMMYFUNCTION("""COMPUTED_VALUE"""),"03335182802")</f>
        <v>03335182802</v>
      </c>
      <c r="AJ257" s="228" t="str">
        <f>IFERROR(__xludf.DUMMYFUNCTION("""COMPUTED_VALUE"""),"AB+")</f>
        <v>AB+</v>
      </c>
      <c r="AK257" s="731" t="str">
        <f>IFERROR(__xludf.DUMMYFUNCTION("""COMPUTED_VALUE"""),"https://www.linkedin.com/in/mashal-ashfaque?utm_source=share&amp;utm_campaign=share_via&amp;utm_content=profile&amp;utm_medium=ios_app")</f>
        <v>https://www.linkedin.com/in/mashal-ashfaque?utm_source=share&amp;utm_campaign=share_via&amp;utm_content=profile&amp;utm_medium=ios_app</v>
      </c>
      <c r="AL257" s="228"/>
      <c r="AM257" s="730">
        <f>IFERROR(__xludf.DUMMYFUNCTION("""COMPUTED_VALUE"""),45254.0)</f>
        <v>45254</v>
      </c>
      <c r="AN257" s="228"/>
      <c r="AO257" s="228"/>
      <c r="AP257" s="228" t="str">
        <f>IFERROR(__xludf.DUMMYFUNCTION("""COMPUTED_VALUE"""),"NO")</f>
        <v>NO</v>
      </c>
      <c r="AQ257" s="228" t="str">
        <f>IFERROR(__xludf.DUMMYFUNCTION("""COMPUTED_VALUE"""),"Resigned/Terminated")</f>
        <v>Resigned/Terminated</v>
      </c>
    </row>
    <row r="258">
      <c r="A258" s="228">
        <f>IFERROR(__xludf.DUMMYFUNCTION("""COMPUTED_VALUE"""),5098.0)</f>
        <v>5098</v>
      </c>
      <c r="B258" s="228" t="str">
        <f>IFERROR(__xludf.DUMMYFUNCTION("""COMPUTED_VALUE"""),"Amais Sheikh")</f>
        <v>Amais Sheikh</v>
      </c>
      <c r="C258" s="228" t="str">
        <f>IFERROR(__xludf.DUMMYFUNCTION("""COMPUTED_VALUE"""),"amais.sheikh.vyro@gmail.com")</f>
        <v>amais.sheikh.vyro@gmail.com</v>
      </c>
      <c r="D258" s="228" t="str">
        <f>IFERROR(__xludf.DUMMYFUNCTION("""COMPUTED_VALUE"""),"amais.sheikh@vyro.ai")</f>
        <v>amais.sheikh@vyro.ai</v>
      </c>
      <c r="E258" s="730">
        <f>IFERROR(__xludf.DUMMYFUNCTION("""COMPUTED_VALUE"""),44958.0)</f>
        <v>44958</v>
      </c>
      <c r="F258" s="228" t="str">
        <f>IFERROR(__xludf.DUMMYFUNCTION("""COMPUTED_VALUE"""),"IOS Developer")</f>
        <v>IOS Developer</v>
      </c>
      <c r="G258" s="228" t="str">
        <f>IFERROR(__xludf.DUMMYFUNCTION("""COMPUTED_VALUE"""),"IOS")</f>
        <v>IOS</v>
      </c>
      <c r="H258" s="228" t="str">
        <f>IFERROR(__xludf.DUMMYFUNCTION("""COMPUTED_VALUE"""),"Abdullah")</f>
        <v>Abdullah</v>
      </c>
      <c r="I258" s="228" t="str">
        <f>IFERROR(__xludf.DUMMYFUNCTION("""COMPUTED_VALUE"""),"Permanent")</f>
        <v>Permanent</v>
      </c>
      <c r="J258" s="228" t="str">
        <f>IFERROR(__xludf.DUMMYFUNCTION("""COMPUTED_VALUE"""),"inactive")</f>
        <v>inactive</v>
      </c>
      <c r="K258" s="228" t="str">
        <f>IFERROR(__xludf.DUMMYFUNCTION("""COMPUTED_VALUE"""),"3 M")</f>
        <v>3 M</v>
      </c>
      <c r="L258" s="732">
        <f>IFERROR(__xludf.DUMMYFUNCTION("""COMPUTED_VALUE"""),45047.0)</f>
        <v>45047</v>
      </c>
      <c r="M258" s="228"/>
      <c r="N258" s="228"/>
      <c r="O258" s="228"/>
      <c r="P258" s="228" t="str">
        <f>IFERROR(__xludf.DUMMYFUNCTION("""COMPUTED_VALUE"""),"3315411569")</f>
        <v>3315411569</v>
      </c>
      <c r="Q258" s="228" t="str">
        <f>IFERROR(__xludf.DUMMYFUNCTION("""COMPUTED_VALUE"""),"37405-5578644-1")</f>
        <v>37405-5578644-1</v>
      </c>
      <c r="R258" s="228" t="str">
        <f>IFERROR(__xludf.DUMMYFUNCTION("""COMPUTED_VALUE"""),"Male")</f>
        <v>Male</v>
      </c>
      <c r="S258" s="228" t="str">
        <f>IFERROR(__xludf.DUMMYFUNCTION("""COMPUTED_VALUE"""),"Bank Alfalah")</f>
        <v>Bank Alfalah</v>
      </c>
      <c r="T258" s="228"/>
      <c r="U258" s="228" t="str">
        <f>IFERROR(__xludf.DUMMYFUNCTION("""COMPUTED_VALUE"""),"PK35ALFH0083001005343115")</f>
        <v>PK35ALFH0083001005343115</v>
      </c>
      <c r="V258" s="228"/>
      <c r="W258" s="228"/>
      <c r="X258" s="228" t="str">
        <f>IFERROR(__xludf.DUMMYFUNCTION("""COMPUTED_VALUE"""),"Islamabad")</f>
        <v>Islamabad</v>
      </c>
      <c r="Y258" s="730">
        <f>IFERROR(__xludf.DUMMYFUNCTION("""COMPUTED_VALUE"""),34684.0)</f>
        <v>34684</v>
      </c>
      <c r="Z258" s="228" t="str">
        <f>IFERROR(__xludf.DUMMYFUNCTION("""COMPUTED_VALUE"""),"30 Years")</f>
        <v>30 Years</v>
      </c>
      <c r="AA258" s="228" t="str">
        <f>IFERROR(__xludf.DUMMYFUNCTION("""COMPUTED_VALUE"""),"House 40, Main Khan Avenue, Chaklala Scheme 3, RWP")</f>
        <v>House 40, Main Khan Avenue, Chaklala Scheme 3, RWP</v>
      </c>
      <c r="AB258" s="228" t="str">
        <f>IFERROR(__xludf.DUMMYFUNCTION("""COMPUTED_VALUE"""),"Pakistani")</f>
        <v>Pakistani</v>
      </c>
      <c r="AC258" s="228" t="str">
        <f>IFERROR(__xludf.DUMMYFUNCTION("""COMPUTED_VALUE"""),"Single")</f>
        <v>Single</v>
      </c>
      <c r="AD258" s="228"/>
      <c r="AE258" s="228"/>
      <c r="AF258" s="228"/>
      <c r="AG258" s="228" t="str">
        <f>IFERROR(__xludf.DUMMYFUNCTION("""COMPUTED_VALUE"""),"Muhammad Hanif Nayyar")</f>
        <v>Muhammad Hanif Nayyar</v>
      </c>
      <c r="AH258" s="228" t="str">
        <f>IFERROR(__xludf.DUMMYFUNCTION("""COMPUTED_VALUE"""),"Father")</f>
        <v>Father</v>
      </c>
      <c r="AI258" s="228" t="str">
        <f>IFERROR(__xludf.DUMMYFUNCTION("""COMPUTED_VALUE"""),"3471665791")</f>
        <v>3471665791</v>
      </c>
      <c r="AJ258" s="228"/>
      <c r="AK258" s="228"/>
      <c r="AL258" s="228"/>
      <c r="AM258" s="730">
        <f>IFERROR(__xludf.DUMMYFUNCTION("""COMPUTED_VALUE"""),45256.0)</f>
        <v>45256</v>
      </c>
      <c r="AN258" s="228"/>
      <c r="AO258" s="228"/>
      <c r="AP258" s="228" t="str">
        <f>IFERROR(__xludf.DUMMYFUNCTION("""COMPUTED_VALUE"""),"NO")</f>
        <v>NO</v>
      </c>
      <c r="AQ258" s="228" t="str">
        <f>IFERROR(__xludf.DUMMYFUNCTION("""COMPUTED_VALUE"""),"Resigned/Terminated")</f>
        <v>Resigned/Terminated</v>
      </c>
    </row>
    <row r="259">
      <c r="A259" s="228">
        <f>IFERROR(__xludf.DUMMYFUNCTION("""COMPUTED_VALUE"""),5193.0)</f>
        <v>5193</v>
      </c>
      <c r="B259" s="228" t="str">
        <f>IFERROR(__xludf.DUMMYFUNCTION("""COMPUTED_VALUE"""),"Huzaifa Liaqat")</f>
        <v>Huzaifa Liaqat</v>
      </c>
      <c r="C259" s="228" t="str">
        <f>IFERROR(__xludf.DUMMYFUNCTION("""COMPUTED_VALUE"""),"huzaifa.liaqat@aiesec.net")</f>
        <v>huzaifa.liaqat@aiesec.net</v>
      </c>
      <c r="D259" s="228" t="str">
        <f>IFERROR(__xludf.DUMMYFUNCTION("""COMPUTED_VALUE"""),"huzaifa.liaqat@vyro.ai")</f>
        <v>huzaifa.liaqat@vyro.ai</v>
      </c>
      <c r="E259" s="730">
        <f>IFERROR(__xludf.DUMMYFUNCTION("""COMPUTED_VALUE"""),45222.0)</f>
        <v>45222</v>
      </c>
      <c r="F259" s="228" t="str">
        <f>IFERROR(__xludf.DUMMYFUNCTION("""COMPUTED_VALUE"""),"Sales Intern")</f>
        <v>Sales Intern</v>
      </c>
      <c r="G259" s="228" t="str">
        <f>IFERROR(__xludf.DUMMYFUNCTION("""COMPUTED_VALUE"""),"Sales")</f>
        <v>Sales</v>
      </c>
      <c r="H259" s="228" t="str">
        <f>IFERROR(__xludf.DUMMYFUNCTION("""COMPUTED_VALUE"""),"Ahmed Abubakar")</f>
        <v>Ahmed Abubakar</v>
      </c>
      <c r="I259" s="228" t="str">
        <f>IFERROR(__xludf.DUMMYFUNCTION("""COMPUTED_VALUE"""),"Intern")</f>
        <v>Intern</v>
      </c>
      <c r="J259" s="228" t="str">
        <f>IFERROR(__xludf.DUMMYFUNCTION("""COMPUTED_VALUE"""),"Active")</f>
        <v>Active</v>
      </c>
      <c r="K259" s="228" t="str">
        <f>IFERROR(__xludf.DUMMYFUNCTION("""COMPUTED_VALUE"""),"3 M")</f>
        <v>3 M</v>
      </c>
      <c r="L259" s="732">
        <f>IFERROR(__xludf.DUMMYFUNCTION("""COMPUTED_VALUE"""),45314.0)</f>
        <v>45314</v>
      </c>
      <c r="M259" s="228"/>
      <c r="N259" s="228"/>
      <c r="O259" s="228"/>
      <c r="P259" s="228" t="str">
        <f>IFERROR(__xludf.DUMMYFUNCTION("""COMPUTED_VALUE"""),"03455431537")</f>
        <v>03455431537</v>
      </c>
      <c r="Q259" s="228" t="str">
        <f>IFERROR(__xludf.DUMMYFUNCTION("""COMPUTED_VALUE"""),"3520036242397")</f>
        <v>3520036242397</v>
      </c>
      <c r="R259" s="228" t="str">
        <f>IFERROR(__xludf.DUMMYFUNCTION("""COMPUTED_VALUE"""),"Male")</f>
        <v>Male</v>
      </c>
      <c r="S259" s="228" t="str">
        <f>IFERROR(__xludf.DUMMYFUNCTION("""COMPUTED_VALUE"""),"Askari Bank Limited")</f>
        <v>Askari Bank Limited</v>
      </c>
      <c r="T259" s="228" t="str">
        <f>IFERROR(__xludf.DUMMYFUNCTION("""COMPUTED_VALUE"""),"Huzaifa Liaqat")</f>
        <v>Huzaifa Liaqat</v>
      </c>
      <c r="U259" s="228" t="str">
        <f>IFERROR(__xludf.DUMMYFUNCTION("""COMPUTED_VALUE"""),"PK92ASCM0000260320217697")</f>
        <v>PK92ASCM0000260320217697</v>
      </c>
      <c r="V259" s="228"/>
      <c r="W259" s="228"/>
      <c r="X259" s="228" t="str">
        <f>IFERROR(__xludf.DUMMYFUNCTION("""COMPUTED_VALUE"""),"Islamabad")</f>
        <v>Islamabad</v>
      </c>
      <c r="Y259" s="730">
        <f>IFERROR(__xludf.DUMMYFUNCTION("""COMPUTED_VALUE"""),37704.0)</f>
        <v>37704</v>
      </c>
      <c r="Z259" s="228" t="str">
        <f>IFERROR(__xludf.DUMMYFUNCTION("""COMPUTED_VALUE"""),"22 Years")</f>
        <v>22 Years</v>
      </c>
      <c r="AA259" s="228" t="str">
        <f>IFERROR(__xludf.DUMMYFUNCTION("""COMPUTED_VALUE"""),"House 4C, Defence Complex Islamabad, E-10, Islamabad")</f>
        <v>House 4C, Defence Complex Islamabad, E-10, Islamabad</v>
      </c>
      <c r="AB259" s="228" t="str">
        <f>IFERROR(__xludf.DUMMYFUNCTION("""COMPUTED_VALUE"""),"Pakistani")</f>
        <v>Pakistani</v>
      </c>
      <c r="AC259" s="228" t="str">
        <f>IFERROR(__xludf.DUMMYFUNCTION("""COMPUTED_VALUE"""),"Single")</f>
        <v>Single</v>
      </c>
      <c r="AD259" s="228"/>
      <c r="AE259" s="228"/>
      <c r="AF259" s="228"/>
      <c r="AG259" s="228" t="str">
        <f>IFERROR(__xludf.DUMMYFUNCTION("""COMPUTED_VALUE"""),"Liaqat Mahmood")</f>
        <v>Liaqat Mahmood</v>
      </c>
      <c r="AH259" s="228" t="str">
        <f>IFERROR(__xludf.DUMMYFUNCTION("""COMPUTED_VALUE"""),"Son")</f>
        <v>Son</v>
      </c>
      <c r="AI259" s="228" t="str">
        <f>IFERROR(__xludf.DUMMYFUNCTION("""COMPUTED_VALUE"""),"03455507662")</f>
        <v>03455507662</v>
      </c>
      <c r="AJ259" s="228" t="str">
        <f>IFERROR(__xludf.DUMMYFUNCTION("""COMPUTED_VALUE"""),"B-")</f>
        <v>B-</v>
      </c>
      <c r="AK259" s="731" t="str">
        <f>IFERROR(__xludf.DUMMYFUNCTION("""COMPUTED_VALUE"""),"https://www.linkedin.com/in/huzaifa-liaqat/")</f>
        <v>https://www.linkedin.com/in/huzaifa-liaqat/</v>
      </c>
      <c r="AL259" s="228"/>
      <c r="AM259" s="730">
        <f>IFERROR(__xludf.DUMMYFUNCTION("""COMPUTED_VALUE"""),45259.0)</f>
        <v>45259</v>
      </c>
      <c r="AN259" s="228"/>
      <c r="AO259" s="228"/>
      <c r="AP259" s="228" t="str">
        <f>IFERROR(__xludf.DUMMYFUNCTION("""COMPUTED_VALUE"""),"NO")</f>
        <v>NO</v>
      </c>
      <c r="AQ259" s="228" t="str">
        <f>IFERROR(__xludf.DUMMYFUNCTION("""COMPUTED_VALUE"""),"Resigned/Terminated")</f>
        <v>Resigned/Terminated</v>
      </c>
    </row>
    <row r="260">
      <c r="A260" s="228">
        <f>IFERROR(__xludf.DUMMYFUNCTION("""COMPUTED_VALUE"""),5115.0)</f>
        <v>5115</v>
      </c>
      <c r="B260" s="228" t="str">
        <f>IFERROR(__xludf.DUMMYFUNCTION("""COMPUTED_VALUE"""),"Abeera Shah")</f>
        <v>Abeera Shah</v>
      </c>
      <c r="C260" s="228" t="str">
        <f>IFERROR(__xludf.DUMMYFUNCTION("""COMPUTED_VALUE"""),"abeerashah.vyro@gmail.com")</f>
        <v>abeerashah.vyro@gmail.com</v>
      </c>
      <c r="D260" s="228" t="str">
        <f>IFERROR(__xludf.DUMMYFUNCTION("""COMPUTED_VALUE"""),"abeera.shah@vyro.ai")</f>
        <v>abeera.shah@vyro.ai</v>
      </c>
      <c r="E260" s="730">
        <f>IFERROR(__xludf.DUMMYFUNCTION("""COMPUTED_VALUE"""),45019.0)</f>
        <v>45019</v>
      </c>
      <c r="F260" s="228" t="str">
        <f>IFERROR(__xludf.DUMMYFUNCTION("""COMPUTED_VALUE"""),"Senior Marketing Executive")</f>
        <v>Senior Marketing Executive</v>
      </c>
      <c r="G260" s="228" t="str">
        <f>IFERROR(__xludf.DUMMYFUNCTION("""COMPUTED_VALUE"""),"Marketing")</f>
        <v>Marketing</v>
      </c>
      <c r="H260" s="228" t="str">
        <f>IFERROR(__xludf.DUMMYFUNCTION("""COMPUTED_VALUE"""),"Ahmed")</f>
        <v>Ahmed</v>
      </c>
      <c r="I260" s="228" t="str">
        <f>IFERROR(__xludf.DUMMYFUNCTION("""COMPUTED_VALUE"""),"Permanent")</f>
        <v>Permanent</v>
      </c>
      <c r="J260" s="228" t="str">
        <f>IFERROR(__xludf.DUMMYFUNCTION("""COMPUTED_VALUE"""),"Active")</f>
        <v>Active</v>
      </c>
      <c r="K260" s="228" t="str">
        <f>IFERROR(__xludf.DUMMYFUNCTION("""COMPUTED_VALUE"""),"3 M")</f>
        <v>3 M</v>
      </c>
      <c r="L260" s="732">
        <f>IFERROR(__xludf.DUMMYFUNCTION("""COMPUTED_VALUE"""),45110.0)</f>
        <v>45110</v>
      </c>
      <c r="M260" s="228"/>
      <c r="N260" s="228"/>
      <c r="O260" s="228"/>
      <c r="P260" s="228" t="str">
        <f>IFERROR(__xludf.DUMMYFUNCTION("""COMPUTED_VALUE"""),"3365723327")</f>
        <v>3365723327</v>
      </c>
      <c r="Q260" s="228" t="str">
        <f>IFERROR(__xludf.DUMMYFUNCTION("""COMPUTED_VALUE"""),"61101-5688667-0")</f>
        <v>61101-5688667-0</v>
      </c>
      <c r="R260" s="228" t="str">
        <f>IFERROR(__xludf.DUMMYFUNCTION("""COMPUTED_VALUE"""),"Female")</f>
        <v>Female</v>
      </c>
      <c r="S260" s="228" t="str">
        <f>IFERROR(__xludf.DUMMYFUNCTION("""COMPUTED_VALUE"""),"Habib Metro")</f>
        <v>Habib Metro</v>
      </c>
      <c r="T260" s="228"/>
      <c r="U260" s="228" t="str">
        <f>IFERROR(__xludf.DUMMYFUNCTION("""COMPUTED_VALUE"""),"PK65MPBL0268027140141296")</f>
        <v>PK65MPBL0268027140141296</v>
      </c>
      <c r="V260" s="228"/>
      <c r="W260" s="228"/>
      <c r="X260" s="228" t="str">
        <f>IFERROR(__xludf.DUMMYFUNCTION("""COMPUTED_VALUE"""),"Islamabad")</f>
        <v>Islamabad</v>
      </c>
      <c r="Y260" s="730">
        <f>IFERROR(__xludf.DUMMYFUNCTION("""COMPUTED_VALUE"""),36257.0)</f>
        <v>36257</v>
      </c>
      <c r="Z260" s="228" t="str">
        <f>IFERROR(__xludf.DUMMYFUNCTION("""COMPUTED_VALUE"""),"24 Years")</f>
        <v>24 Years</v>
      </c>
      <c r="AA260" s="228" t="str">
        <f>IFERROR(__xludf.DUMMYFUNCTION("""COMPUTED_VALUE"""),"House #E6/4 , Street #30, E-8 Islamabad")</f>
        <v>House #E6/4 , Street #30, E-8 Islamabad</v>
      </c>
      <c r="AB260" s="228" t="str">
        <f>IFERROR(__xludf.DUMMYFUNCTION("""COMPUTED_VALUE"""),"Pakistani")</f>
        <v>Pakistani</v>
      </c>
      <c r="AC260" s="228" t="str">
        <f>IFERROR(__xludf.DUMMYFUNCTION("""COMPUTED_VALUE"""),"Single")</f>
        <v>Single</v>
      </c>
      <c r="AD260" s="228"/>
      <c r="AE260" s="228"/>
      <c r="AF260" s="228"/>
      <c r="AG260" s="228" t="str">
        <f>IFERROR(__xludf.DUMMYFUNCTION("""COMPUTED_VALUE"""),"Sohail Majeed")</f>
        <v>Sohail Majeed</v>
      </c>
      <c r="AH260" s="228" t="str">
        <f>IFERROR(__xludf.DUMMYFUNCTION("""COMPUTED_VALUE"""),"Brother")</f>
        <v>Brother</v>
      </c>
      <c r="AI260" s="228" t="str">
        <f>IFERROR(__xludf.DUMMYFUNCTION("""COMPUTED_VALUE"""),"3203213539")</f>
        <v>3203213539</v>
      </c>
      <c r="AJ260" s="228" t="str">
        <f>IFERROR(__xludf.DUMMYFUNCTION("""COMPUTED_VALUE"""),"AB+")</f>
        <v>AB+</v>
      </c>
      <c r="AK260" s="228"/>
      <c r="AL260" s="228"/>
      <c r="AM260" s="730">
        <f>IFERROR(__xludf.DUMMYFUNCTION("""COMPUTED_VALUE"""),45260.0)</f>
        <v>45260</v>
      </c>
      <c r="AN260" s="228"/>
      <c r="AO260" s="228"/>
      <c r="AP260" s="228" t="str">
        <f>IFERROR(__xludf.DUMMYFUNCTION("""COMPUTED_VALUE"""),"NO")</f>
        <v>NO</v>
      </c>
      <c r="AQ260" s="228" t="str">
        <f>IFERROR(__xludf.DUMMYFUNCTION("""COMPUTED_VALUE"""),"Resigned/Terminated")</f>
        <v>Resigned/Terminated</v>
      </c>
    </row>
    <row r="261">
      <c r="A261" s="228">
        <f>IFERROR(__xludf.DUMMYFUNCTION("""COMPUTED_VALUE"""),5100.0)</f>
        <v>5100</v>
      </c>
      <c r="B261" s="228" t="str">
        <f>IFERROR(__xludf.DUMMYFUNCTION("""COMPUTED_VALUE"""),"Muhammad Umair")</f>
        <v>Muhammad Umair</v>
      </c>
      <c r="C261" s="228" t="str">
        <f>IFERROR(__xludf.DUMMYFUNCTION("""COMPUTED_VALUE"""),"aomer9844@gmail.com")</f>
        <v>aomer9844@gmail.com</v>
      </c>
      <c r="D261" s="228" t="str">
        <f>IFERROR(__xludf.DUMMYFUNCTION("""COMPUTED_VALUE"""),"muhammad.umair@vyro.ai")</f>
        <v>muhammad.umair@vyro.ai</v>
      </c>
      <c r="E261" s="730">
        <f>IFERROR(__xludf.DUMMYFUNCTION("""COMPUTED_VALUE"""),44970.0)</f>
        <v>44970</v>
      </c>
      <c r="F261" s="228" t="str">
        <f>IFERROR(__xludf.DUMMYFUNCTION("""COMPUTED_VALUE"""),"SQA Engineer")</f>
        <v>SQA Engineer</v>
      </c>
      <c r="G261" s="228" t="str">
        <f>IFERROR(__xludf.DUMMYFUNCTION("""COMPUTED_VALUE"""),"QA")</f>
        <v>QA</v>
      </c>
      <c r="H261" s="228" t="str">
        <f>IFERROR(__xludf.DUMMYFUNCTION("""COMPUTED_VALUE"""),"Abdullah")</f>
        <v>Abdullah</v>
      </c>
      <c r="I261" s="228" t="str">
        <f>IFERROR(__xludf.DUMMYFUNCTION("""COMPUTED_VALUE"""),"Permanent")</f>
        <v>Permanent</v>
      </c>
      <c r="J261" s="228" t="str">
        <f>IFERROR(__xludf.DUMMYFUNCTION("""COMPUTED_VALUE"""),"Active")</f>
        <v>Active</v>
      </c>
      <c r="K261" s="228" t="str">
        <f>IFERROR(__xludf.DUMMYFUNCTION("""COMPUTED_VALUE"""),"3 M")</f>
        <v>3 M</v>
      </c>
      <c r="L261" s="732">
        <f>IFERROR(__xludf.DUMMYFUNCTION("""COMPUTED_VALUE"""),45047.0)</f>
        <v>45047</v>
      </c>
      <c r="M261" s="228"/>
      <c r="N261" s="228"/>
      <c r="O261" s="228"/>
      <c r="P261" s="228" t="str">
        <f>IFERROR(__xludf.DUMMYFUNCTION("""COMPUTED_VALUE"""),"03105250903/03408637817(whatsapp)")</f>
        <v>03105250903/03408637817(whatsapp)</v>
      </c>
      <c r="Q261" s="228" t="str">
        <f>IFERROR(__xludf.DUMMYFUNCTION("""COMPUTED_VALUE"""),"42501-3911861-7")</f>
        <v>42501-3911861-7</v>
      </c>
      <c r="R261" s="228" t="str">
        <f>IFERROR(__xludf.DUMMYFUNCTION("""COMPUTED_VALUE"""),"Male")</f>
        <v>Male</v>
      </c>
      <c r="S261" s="228" t="str">
        <f>IFERROR(__xludf.DUMMYFUNCTION("""COMPUTED_VALUE"""),"Meezan")</f>
        <v>Meezan</v>
      </c>
      <c r="T261" s="228"/>
      <c r="U261" s="228" t="str">
        <f>IFERROR(__xludf.DUMMYFUNCTION("""COMPUTED_VALUE"""),"PK26MEZN0008170103350759")</f>
        <v>PK26MEZN0008170103350759</v>
      </c>
      <c r="V261" s="228"/>
      <c r="W261" s="228"/>
      <c r="X261" s="228" t="str">
        <f>IFERROR(__xludf.DUMMYFUNCTION("""COMPUTED_VALUE"""),"Islamabad")</f>
        <v>Islamabad</v>
      </c>
      <c r="Y261" s="730">
        <f>IFERROR(__xludf.DUMMYFUNCTION("""COMPUTED_VALUE"""),36480.0)</f>
        <v>36480</v>
      </c>
      <c r="Z261" s="228" t="str">
        <f>IFERROR(__xludf.DUMMYFUNCTION("""COMPUTED_VALUE"""),"25 Years")</f>
        <v>25 Years</v>
      </c>
      <c r="AA261" s="228" t="str">
        <f>IFERROR(__xludf.DUMMYFUNCTION("""COMPUTED_VALUE"""),"House 89c, st 9, khayaban e Faisal, old airport road rawalpindi")</f>
        <v>House 89c, st 9, khayaban e Faisal, old airport road rawalpindi</v>
      </c>
      <c r="AB261" s="228" t="str">
        <f>IFERROR(__xludf.DUMMYFUNCTION("""COMPUTED_VALUE"""),"Pakistani")</f>
        <v>Pakistani</v>
      </c>
      <c r="AC261" s="228" t="str">
        <f>IFERROR(__xludf.DUMMYFUNCTION("""COMPUTED_VALUE"""),"Married")</f>
        <v>Married</v>
      </c>
      <c r="AD261" s="228"/>
      <c r="AE261" s="228"/>
      <c r="AF261" s="228"/>
      <c r="AG261" s="228" t="str">
        <f>IFERROR(__xludf.DUMMYFUNCTION("""COMPUTED_VALUE"""),"Sultan Rahi")</f>
        <v>Sultan Rahi</v>
      </c>
      <c r="AH261" s="228" t="str">
        <f>IFERROR(__xludf.DUMMYFUNCTION("""COMPUTED_VALUE"""),"Father")</f>
        <v>Father</v>
      </c>
      <c r="AI261" s="228" t="str">
        <f>IFERROR(__xludf.DUMMYFUNCTION("""COMPUTED_VALUE"""),"03062884548")</f>
        <v>03062884548</v>
      </c>
      <c r="AJ261" s="228" t="str">
        <f>IFERROR(__xludf.DUMMYFUNCTION("""COMPUTED_VALUE"""),"A+")</f>
        <v>A+</v>
      </c>
      <c r="AK261" s="228"/>
      <c r="AL261" s="228"/>
      <c r="AM261" s="730">
        <f>IFERROR(__xludf.DUMMYFUNCTION("""COMPUTED_VALUE"""),45260.0)</f>
        <v>45260</v>
      </c>
      <c r="AN261" s="228"/>
      <c r="AO261" s="228"/>
      <c r="AP261" s="228" t="str">
        <f>IFERROR(__xludf.DUMMYFUNCTION("""COMPUTED_VALUE"""),"NO")</f>
        <v>NO</v>
      </c>
      <c r="AQ261" s="228" t="str">
        <f>IFERROR(__xludf.DUMMYFUNCTION("""COMPUTED_VALUE"""),"Resigned/Terminated")</f>
        <v>Resigned/Terminated</v>
      </c>
    </row>
    <row r="262">
      <c r="A262" s="228">
        <f>IFERROR(__xludf.DUMMYFUNCTION("""COMPUTED_VALUE"""),5180.0)</f>
        <v>5180</v>
      </c>
      <c r="B262" s="228" t="str">
        <f>IFERROR(__xludf.DUMMYFUNCTION("""COMPUTED_VALUE"""),"Abdullah Aziz")</f>
        <v>Abdullah Aziz</v>
      </c>
      <c r="C262" s="228" t="str">
        <f>IFERROR(__xludf.DUMMYFUNCTION("""COMPUTED_VALUE"""),"abdullahaziz1998@gmail.com")</f>
        <v>abdullahaziz1998@gmail.com</v>
      </c>
      <c r="D262" s="228" t="str">
        <f>IFERROR(__xludf.DUMMYFUNCTION("""COMPUTED_VALUE"""),"abdullah.aziz@vyro.ai")</f>
        <v>abdullah.aziz@vyro.ai</v>
      </c>
      <c r="E262" s="730">
        <f>IFERROR(__xludf.DUMMYFUNCTION("""COMPUTED_VALUE"""),45187.0)</f>
        <v>45187</v>
      </c>
      <c r="F262" s="228" t="str">
        <f>IFERROR(__xludf.DUMMYFUNCTION("""COMPUTED_VALUE"""),"Senior Software Engineer II")</f>
        <v>Senior Software Engineer II</v>
      </c>
      <c r="G262" s="228" t="str">
        <f>IFERROR(__xludf.DUMMYFUNCTION("""COMPUTED_VALUE"""),"tech")</f>
        <v>tech</v>
      </c>
      <c r="H262" s="228" t="str">
        <f>IFERROR(__xludf.DUMMYFUNCTION("""COMPUTED_VALUE"""),"Abdullah")</f>
        <v>Abdullah</v>
      </c>
      <c r="I262" s="228" t="str">
        <f>IFERROR(__xludf.DUMMYFUNCTION("""COMPUTED_VALUE"""),"Permanent")</f>
        <v>Permanent</v>
      </c>
      <c r="J262" s="228" t="str">
        <f>IFERROR(__xludf.DUMMYFUNCTION("""COMPUTED_VALUE"""),"Active")</f>
        <v>Active</v>
      </c>
      <c r="K262" s="228" t="str">
        <f>IFERROR(__xludf.DUMMYFUNCTION("""COMPUTED_VALUE"""),"3 M")</f>
        <v>3 M</v>
      </c>
      <c r="L262" s="732">
        <f>IFERROR(__xludf.DUMMYFUNCTION("""COMPUTED_VALUE"""),45278.0)</f>
        <v>45278</v>
      </c>
      <c r="M262" s="228"/>
      <c r="N262" s="228"/>
      <c r="O262" s="228"/>
      <c r="P262" s="228" t="str">
        <f>IFERROR(__xludf.DUMMYFUNCTION("""COMPUTED_VALUE"""),"03078144504")</f>
        <v>03078144504</v>
      </c>
      <c r="Q262" s="228" t="str">
        <f>IFERROR(__xludf.DUMMYFUNCTION("""COMPUTED_VALUE"""),"3520249063021")</f>
        <v>3520249063021</v>
      </c>
      <c r="R262" s="228" t="str">
        <f>IFERROR(__xludf.DUMMYFUNCTION("""COMPUTED_VALUE"""),"Male")</f>
        <v>Male</v>
      </c>
      <c r="S262" s="228" t="str">
        <f>IFERROR(__xludf.DUMMYFUNCTION("""COMPUTED_VALUE"""),"First Century Bank, Address: 1731 N Elm St Commerce, GA 30529 USA")</f>
        <v>First Century Bank, Address: 1731 N Elm St Commerce, GA 30529 USA</v>
      </c>
      <c r="T262" s="228" t="str">
        <f>IFERROR(__xludf.DUMMYFUNCTION("""COMPUTED_VALUE"""),"Muhammad Abdullah Aziz")</f>
        <v>Muhammad Abdullah Aziz</v>
      </c>
      <c r="U262" s="228" t="str">
        <f>IFERROR(__xludf.DUMMYFUNCTION("""COMPUTED_VALUE"""),"4024124748099")</f>
        <v>4024124748099</v>
      </c>
      <c r="V262" s="228" t="str">
        <f>IFERROR(__xludf.DUMMYFUNCTION("""COMPUTED_VALUE"""),"61120084")</f>
        <v>61120084</v>
      </c>
      <c r="W262" s="228"/>
      <c r="X262" s="228" t="str">
        <f>IFERROR(__xludf.DUMMYFUNCTION("""COMPUTED_VALUE"""),"Lahore")</f>
        <v>Lahore</v>
      </c>
      <c r="Y262" s="730">
        <f>IFERROR(__xludf.DUMMYFUNCTION("""COMPUTED_VALUE"""),35940.0)</f>
        <v>35940</v>
      </c>
      <c r="Z262" s="228" t="str">
        <f>IFERROR(__xludf.DUMMYFUNCTION("""COMPUTED_VALUE"""),"27 Years")</f>
        <v>27 Years</v>
      </c>
      <c r="AA262" s="228" t="str">
        <f>IFERROR(__xludf.DUMMYFUNCTION("""COMPUTED_VALUE"""),"192 B block, SJ garden, Bedian Road Lahore, Pakistan")</f>
        <v>192 B block, SJ garden, Bedian Road Lahore, Pakistan</v>
      </c>
      <c r="AB262" s="228" t="str">
        <f>IFERROR(__xludf.DUMMYFUNCTION("""COMPUTED_VALUE"""),"Pakistani")</f>
        <v>Pakistani</v>
      </c>
      <c r="AC262" s="228" t="str">
        <f>IFERROR(__xludf.DUMMYFUNCTION("""COMPUTED_VALUE"""),"Single")</f>
        <v>Single</v>
      </c>
      <c r="AD262" s="228"/>
      <c r="AE262" s="228"/>
      <c r="AF262" s="228"/>
      <c r="AG262" s="228" t="str">
        <f>IFERROR(__xludf.DUMMYFUNCTION("""COMPUTED_VALUE"""),"Amjad Aziz")</f>
        <v>Amjad Aziz</v>
      </c>
      <c r="AH262" s="228" t="str">
        <f>IFERROR(__xludf.DUMMYFUNCTION("""COMPUTED_VALUE"""),"Father")</f>
        <v>Father</v>
      </c>
      <c r="AI262" s="228" t="str">
        <f>IFERROR(__xludf.DUMMYFUNCTION("""COMPUTED_VALUE"""),"03224098888")</f>
        <v>03224098888</v>
      </c>
      <c r="AJ262" s="228" t="str">
        <f>IFERROR(__xludf.DUMMYFUNCTION("""COMPUTED_VALUE"""),"A+")</f>
        <v>A+</v>
      </c>
      <c r="AK262" s="731" t="str">
        <f>IFERROR(__xludf.DUMMYFUNCTION("""COMPUTED_VALUE"""),"linkedin.com/in/muhammadabdullahaziz98")</f>
        <v>linkedin.com/in/muhammadabdullahaziz98</v>
      </c>
      <c r="AL262" s="228"/>
      <c r="AM262" s="730">
        <f>IFERROR(__xludf.DUMMYFUNCTION("""COMPUTED_VALUE"""),45275.0)</f>
        <v>45275</v>
      </c>
      <c r="AN262" s="228"/>
      <c r="AO262" s="228"/>
      <c r="AP262" s="228" t="str">
        <f>IFERROR(__xludf.DUMMYFUNCTION("""COMPUTED_VALUE"""),"NO")</f>
        <v>NO</v>
      </c>
      <c r="AQ262" s="228" t="str">
        <f>IFERROR(__xludf.DUMMYFUNCTION("""COMPUTED_VALUE"""),"Resigned/Terminated")</f>
        <v>Resigned/Terminated</v>
      </c>
    </row>
    <row r="263">
      <c r="A263" s="228">
        <f>IFERROR(__xludf.DUMMYFUNCTION("""COMPUTED_VALUE"""),5185.0)</f>
        <v>5185</v>
      </c>
      <c r="B263" s="228" t="str">
        <f>IFERROR(__xludf.DUMMYFUNCTION("""COMPUTED_VALUE"""),"Shehroz Babar")</f>
        <v>Shehroz Babar</v>
      </c>
      <c r="C263" s="228" t="str">
        <f>IFERROR(__xludf.DUMMYFUNCTION("""COMPUTED_VALUE"""),"shehrozbb@gmail.com")</f>
        <v>shehrozbb@gmail.com</v>
      </c>
      <c r="D263" s="228" t="str">
        <f>IFERROR(__xludf.DUMMYFUNCTION("""COMPUTED_VALUE"""),"shehroz.babar@vyro.ai")</f>
        <v>shehroz.babar@vyro.ai</v>
      </c>
      <c r="E263" s="730">
        <f>IFERROR(__xludf.DUMMYFUNCTION("""COMPUTED_VALUE"""),45194.0)</f>
        <v>45194</v>
      </c>
      <c r="F263" s="228" t="str">
        <f>IFERROR(__xludf.DUMMYFUNCTION("""COMPUTED_VALUE"""),"Finance Intern")</f>
        <v>Finance Intern</v>
      </c>
      <c r="G263" s="228" t="str">
        <f>IFERROR(__xludf.DUMMYFUNCTION("""COMPUTED_VALUE"""),"Finance")</f>
        <v>Finance</v>
      </c>
      <c r="H263" s="228" t="str">
        <f>IFERROR(__xludf.DUMMYFUNCTION("""COMPUTED_VALUE"""),"Namra")</f>
        <v>Namra</v>
      </c>
      <c r="I263" s="228" t="str">
        <f>IFERROR(__xludf.DUMMYFUNCTION("""COMPUTED_VALUE"""),"Permanent")</f>
        <v>Permanent</v>
      </c>
      <c r="J263" s="228" t="str">
        <f>IFERROR(__xludf.DUMMYFUNCTION("""COMPUTED_VALUE"""),"Active")</f>
        <v>Active</v>
      </c>
      <c r="K263" s="228" t="str">
        <f>IFERROR(__xludf.DUMMYFUNCTION("""COMPUTED_VALUE"""),"3 M")</f>
        <v>3 M</v>
      </c>
      <c r="L263" s="732">
        <f>IFERROR(__xludf.DUMMYFUNCTION("""COMPUTED_VALUE"""),45285.0)</f>
        <v>45285</v>
      </c>
      <c r="M263" s="228"/>
      <c r="N263" s="228"/>
      <c r="O263" s="228"/>
      <c r="P263" s="228" t="str">
        <f>IFERROR(__xludf.DUMMYFUNCTION("""COMPUTED_VALUE"""),"3204800998")</f>
        <v>3204800998</v>
      </c>
      <c r="Q263" s="228" t="str">
        <f>IFERROR(__xludf.DUMMYFUNCTION("""COMPUTED_VALUE"""),"35202-0763743-5")</f>
        <v>35202-0763743-5</v>
      </c>
      <c r="R263" s="228" t="str">
        <f>IFERROR(__xludf.DUMMYFUNCTION("""COMPUTED_VALUE"""),"Male")</f>
        <v>Male</v>
      </c>
      <c r="S263" s="228" t="str">
        <f>IFERROR(__xludf.DUMMYFUNCTION("""COMPUTED_VALUE"""),"Meezan Bank")</f>
        <v>Meezan Bank</v>
      </c>
      <c r="T263" s="228" t="str">
        <f>IFERROR(__xludf.DUMMYFUNCTION("""COMPUTED_VALUE"""),"Shehroz Babar Butt")</f>
        <v>Shehroz Babar Butt</v>
      </c>
      <c r="U263" s="228" t="str">
        <f>IFERROR(__xludf.DUMMYFUNCTION("""COMPUTED_VALUE"""),"PK28MEZN0002080104156758")</f>
        <v>PK28MEZN0002080104156758</v>
      </c>
      <c r="V263" s="228"/>
      <c r="W263" s="228"/>
      <c r="X263" s="228" t="str">
        <f>IFERROR(__xludf.DUMMYFUNCTION("""COMPUTED_VALUE"""),"Islamabad")</f>
        <v>Islamabad</v>
      </c>
      <c r="Y263" s="730">
        <f>IFERROR(__xludf.DUMMYFUNCTION("""COMPUTED_VALUE"""),37193.0)</f>
        <v>37193</v>
      </c>
      <c r="Z263" s="228" t="str">
        <f>IFERROR(__xludf.DUMMYFUNCTION("""COMPUTED_VALUE"""),"23 Years")</f>
        <v>23 Years</v>
      </c>
      <c r="AA263" s="228" t="str">
        <f>IFERROR(__xludf.DUMMYFUNCTION("""COMPUTED_VALUE"""),"558-D block, street 16, DHA Phase 5, Lahore, Pakistan")</f>
        <v>558-D block, street 16, DHA Phase 5, Lahore, Pakistan</v>
      </c>
      <c r="AB263" s="228" t="str">
        <f>IFERROR(__xludf.DUMMYFUNCTION("""COMPUTED_VALUE"""),"Pakistani")</f>
        <v>Pakistani</v>
      </c>
      <c r="AC263" s="228" t="str">
        <f>IFERROR(__xludf.DUMMYFUNCTION("""COMPUTED_VALUE"""),"Single")</f>
        <v>Single</v>
      </c>
      <c r="AD263" s="228"/>
      <c r="AE263" s="228"/>
      <c r="AF263" s="228"/>
      <c r="AG263" s="228" t="str">
        <f>IFERROR(__xludf.DUMMYFUNCTION("""COMPUTED_VALUE"""),"Babar Butt")</f>
        <v>Babar Butt</v>
      </c>
      <c r="AH263" s="228" t="str">
        <f>IFERROR(__xludf.DUMMYFUNCTION("""COMPUTED_VALUE"""),"Friend")</f>
        <v>Friend</v>
      </c>
      <c r="AI263" s="228" t="str">
        <f>IFERROR(__xludf.DUMMYFUNCTION("""COMPUTED_VALUE"""),"3331527226")</f>
        <v>3331527226</v>
      </c>
      <c r="AJ263" s="228" t="str">
        <f>IFERROR(__xludf.DUMMYFUNCTION("""COMPUTED_VALUE"""),"A-")</f>
        <v>A-</v>
      </c>
      <c r="AK263" s="731" t="str">
        <f>IFERROR(__xludf.DUMMYFUNCTION("""COMPUTED_VALUE"""),"www.linkedin.com/in/shehroz-babar")</f>
        <v>www.linkedin.com/in/shehroz-babar</v>
      </c>
      <c r="AL263" s="228"/>
      <c r="AM263" s="730">
        <f>IFERROR(__xludf.DUMMYFUNCTION("""COMPUTED_VALUE"""),45279.0)</f>
        <v>45279</v>
      </c>
      <c r="AN263" s="228"/>
      <c r="AO263" s="228"/>
      <c r="AP263" s="228" t="str">
        <f>IFERROR(__xludf.DUMMYFUNCTION("""COMPUTED_VALUE"""),"NO")</f>
        <v>NO</v>
      </c>
      <c r="AQ263" s="228" t="str">
        <f>IFERROR(__xludf.DUMMYFUNCTION("""COMPUTED_VALUE"""),"Resigned/Terminated")</f>
        <v>Resigned/Terminated</v>
      </c>
    </row>
    <row r="264">
      <c r="A264" s="228">
        <f>IFERROR(__xludf.DUMMYFUNCTION("""COMPUTED_VALUE"""),5199.0)</f>
        <v>5199</v>
      </c>
      <c r="B264" s="228" t="str">
        <f>IFERROR(__xludf.DUMMYFUNCTION("""COMPUTED_VALUE"""),"Hashim Barraq")</f>
        <v>Hashim Barraq</v>
      </c>
      <c r="C264" s="228" t="str">
        <f>IFERROR(__xludf.DUMMYFUNCTION("""COMPUTED_VALUE"""),"barraqhashim@gmail.com")</f>
        <v>barraqhashim@gmail.com</v>
      </c>
      <c r="D264" s="228" t="str">
        <f>IFERROR(__xludf.DUMMYFUNCTION("""COMPUTED_VALUE"""),"hashim.barraq@vyro.ai")</f>
        <v>hashim.barraq@vyro.ai</v>
      </c>
      <c r="E264" s="730">
        <f>IFERROR(__xludf.DUMMYFUNCTION("""COMPUTED_VALUE"""),45236.0)</f>
        <v>45236</v>
      </c>
      <c r="F264" s="228" t="str">
        <f>IFERROR(__xludf.DUMMYFUNCTION("""COMPUTED_VALUE"""),"Director, Business Operations")</f>
        <v>Director, Business Operations</v>
      </c>
      <c r="G264" s="228" t="str">
        <f>IFERROR(__xludf.DUMMYFUNCTION("""COMPUTED_VALUE"""),"Business Development")</f>
        <v>Business Development</v>
      </c>
      <c r="H264" s="228" t="str">
        <f>IFERROR(__xludf.DUMMYFUNCTION("""COMPUTED_VALUE"""),"Ahmed Abubakar, CEO &amp; Founder")</f>
        <v>Ahmed Abubakar, CEO &amp; Founder</v>
      </c>
      <c r="I264" s="228" t="str">
        <f>IFERROR(__xludf.DUMMYFUNCTION("""COMPUTED_VALUE"""),"Permanent")</f>
        <v>Permanent</v>
      </c>
      <c r="J264" s="228" t="str">
        <f>IFERROR(__xludf.DUMMYFUNCTION("""COMPUTED_VALUE"""),"Active")</f>
        <v>Active</v>
      </c>
      <c r="K264" s="228" t="str">
        <f>IFERROR(__xludf.DUMMYFUNCTION("""COMPUTED_VALUE"""),"3M")</f>
        <v>3M</v>
      </c>
      <c r="L264" s="732">
        <f>IFERROR(__xludf.DUMMYFUNCTION("""COMPUTED_VALUE"""),45328.0)</f>
        <v>45328</v>
      </c>
      <c r="M264" s="228"/>
      <c r="N264" s="228"/>
      <c r="O264" s="228"/>
      <c r="P264" s="228" t="str">
        <f>IFERROR(__xludf.DUMMYFUNCTION("""COMPUTED_VALUE"""),"0331-5145790")</f>
        <v>0331-5145790</v>
      </c>
      <c r="Q264" s="228" t="str">
        <f>IFERROR(__xludf.DUMMYFUNCTION("""COMPUTED_VALUE"""),"36502-5207125-9")</f>
        <v>36502-5207125-9</v>
      </c>
      <c r="R264" s="228" t="str">
        <f>IFERROR(__xludf.DUMMYFUNCTION("""COMPUTED_VALUE"""),"Male")</f>
        <v>Male</v>
      </c>
      <c r="S264" s="228" t="str">
        <f>IFERROR(__xludf.DUMMYFUNCTION("""COMPUTED_VALUE"""),"Habib Bank Limited")</f>
        <v>Habib Bank Limited</v>
      </c>
      <c r="T264" s="228" t="str">
        <f>IFERROR(__xludf.DUMMYFUNCTION("""COMPUTED_VALUE"""),"Hashim Barraq")</f>
        <v>Hashim Barraq</v>
      </c>
      <c r="U264" s="228" t="str">
        <f>IFERROR(__xludf.DUMMYFUNCTION("""COMPUTED_VALUE"""),"PK06HABB0024467902494799")</f>
        <v>PK06HABB0024467902494799</v>
      </c>
      <c r="V264" s="228" t="str">
        <f>IFERROR(__xludf.DUMMYFUNCTION("""COMPUTED_VALUE"""),"HABBPKKA")</f>
        <v>HABBPKKA</v>
      </c>
      <c r="W264" s="228"/>
      <c r="X264" s="228" t="str">
        <f>IFERROR(__xludf.DUMMYFUNCTION("""COMPUTED_VALUE"""),"Islamabad")</f>
        <v>Islamabad</v>
      </c>
      <c r="Y264" s="730">
        <f>IFERROR(__xludf.DUMMYFUNCTION("""COMPUTED_VALUE"""),33188.0)</f>
        <v>33188</v>
      </c>
      <c r="Z264" s="228" t="str">
        <f>IFERROR(__xludf.DUMMYFUNCTION("""COMPUTED_VALUE"""),"34 Years")</f>
        <v>34 Years</v>
      </c>
      <c r="AA264" s="228" t="str">
        <f>IFERROR(__xludf.DUMMYFUNCTION("""COMPUTED_VALUE"""),"House 298, Street 34, Block C, PWD Housing Society, Islamabad, Pakistan")</f>
        <v>House 298, Street 34, Block C, PWD Housing Society, Islamabad, Pakistan</v>
      </c>
      <c r="AB264" s="228" t="str">
        <f>IFERROR(__xludf.DUMMYFUNCTION("""COMPUTED_VALUE"""),"Pakistani")</f>
        <v>Pakistani</v>
      </c>
      <c r="AC264" s="228" t="str">
        <f>IFERROR(__xludf.DUMMYFUNCTION("""COMPUTED_VALUE"""),"Married")</f>
        <v>Married</v>
      </c>
      <c r="AD264" s="228"/>
      <c r="AE264" s="228"/>
      <c r="AF264" s="228"/>
      <c r="AG264" s="228" t="str">
        <f>IFERROR(__xludf.DUMMYFUNCTION("""COMPUTED_VALUE"""),"Muhammad Hussain Raza")</f>
        <v>Muhammad Hussain Raza</v>
      </c>
      <c r="AH264" s="228" t="str">
        <f>IFERROR(__xludf.DUMMYFUNCTION("""COMPUTED_VALUE"""),"Father")</f>
        <v>Father</v>
      </c>
      <c r="AI264" s="228" t="str">
        <f>IFERROR(__xludf.DUMMYFUNCTION("""COMPUTED_VALUE"""),"3345095081")</f>
        <v>3345095081</v>
      </c>
      <c r="AJ264" s="228" t="str">
        <f>IFERROR(__xludf.DUMMYFUNCTION("""COMPUTED_VALUE"""),"B+")</f>
        <v>B+</v>
      </c>
      <c r="AK264" s="731" t="str">
        <f>IFERROR(__xludf.DUMMYFUNCTION("""COMPUTED_VALUE"""),"https://www.linkedin.com/in/hbarraq/")</f>
        <v>https://www.linkedin.com/in/hbarraq/</v>
      </c>
      <c r="AL264" s="228"/>
      <c r="AM264" s="730">
        <f>IFERROR(__xludf.DUMMYFUNCTION("""COMPUTED_VALUE"""),45280.0)</f>
        <v>45280</v>
      </c>
      <c r="AN264" s="228"/>
      <c r="AO264" s="228"/>
      <c r="AP264" s="228" t="str">
        <f>IFERROR(__xludf.DUMMYFUNCTION("""COMPUTED_VALUE"""),"NO")</f>
        <v>NO</v>
      </c>
      <c r="AQ264" s="228" t="str">
        <f>IFERROR(__xludf.DUMMYFUNCTION("""COMPUTED_VALUE"""),"Resigned/Terminated")</f>
        <v>Resigned/Terminated</v>
      </c>
    </row>
    <row r="265">
      <c r="A265" s="228">
        <f>IFERROR(__xludf.DUMMYFUNCTION("""COMPUTED_VALUE"""),5163.0)</f>
        <v>5163</v>
      </c>
      <c r="B265" s="228" t="str">
        <f>IFERROR(__xludf.DUMMYFUNCTION("""COMPUTED_VALUE"""),"Aamir Nawaz")</f>
        <v>Aamir Nawaz</v>
      </c>
      <c r="C265" s="228" t="str">
        <f>IFERROR(__xludf.DUMMYFUNCTION("""COMPUTED_VALUE"""),"aamir.nawaz990@gmail.com")</f>
        <v>aamir.nawaz990@gmail.com</v>
      </c>
      <c r="D265" s="228" t="str">
        <f>IFERROR(__xludf.DUMMYFUNCTION("""COMPUTED_VALUE"""),"aamir.nawaz@vyro.ai")</f>
        <v>aamir.nawaz@vyro.ai</v>
      </c>
      <c r="E265" s="730">
        <f>IFERROR(__xludf.DUMMYFUNCTION("""COMPUTED_VALUE"""),45166.0)</f>
        <v>45166</v>
      </c>
      <c r="F265" s="228" t="str">
        <f>IFERROR(__xludf.DUMMYFUNCTION("""COMPUTED_VALUE"""),"Senior Software Engineer II")</f>
        <v>Senior Software Engineer II</v>
      </c>
      <c r="G265" s="228" t="str">
        <f>IFERROR(__xludf.DUMMYFUNCTION("""COMPUTED_VALUE"""),"Backend")</f>
        <v>Backend</v>
      </c>
      <c r="H265" s="228" t="str">
        <f>IFERROR(__xludf.DUMMYFUNCTION("""COMPUTED_VALUE"""),"Abdul Rahim Bajwa")</f>
        <v>Abdul Rahim Bajwa</v>
      </c>
      <c r="I265" s="228" t="str">
        <f>IFERROR(__xludf.DUMMYFUNCTION("""COMPUTED_VALUE"""),"Permanent")</f>
        <v>Permanent</v>
      </c>
      <c r="J265" s="228" t="str">
        <f>IFERROR(__xludf.DUMMYFUNCTION("""COMPUTED_VALUE"""),"Active")</f>
        <v>Active</v>
      </c>
      <c r="K265" s="228" t="str">
        <f>IFERROR(__xludf.DUMMYFUNCTION("""COMPUTED_VALUE"""),"3 M")</f>
        <v>3 M</v>
      </c>
      <c r="L265" s="732">
        <f>IFERROR(__xludf.DUMMYFUNCTION("""COMPUTED_VALUE"""),45258.0)</f>
        <v>45258</v>
      </c>
      <c r="M265" s="228"/>
      <c r="N265" s="228"/>
      <c r="O265" s="228"/>
      <c r="P265" s="228" t="str">
        <f>IFERROR(__xludf.DUMMYFUNCTION("""COMPUTED_VALUE"""),"3233763602")</f>
        <v>3233763602</v>
      </c>
      <c r="Q265" s="228" t="str">
        <f>IFERROR(__xludf.DUMMYFUNCTION("""COMPUTED_VALUE"""),"1430179810967")</f>
        <v>1430179810967</v>
      </c>
      <c r="R265" s="228" t="str">
        <f>IFERROR(__xludf.DUMMYFUNCTION("""COMPUTED_VALUE"""),"Male")</f>
        <v>Male</v>
      </c>
      <c r="S265" s="228" t="str">
        <f>IFERROR(__xludf.DUMMYFUNCTION("""COMPUTED_VALUE"""),"Hbl")</f>
        <v>Hbl</v>
      </c>
      <c r="T265" s="228" t="str">
        <f>IFERROR(__xludf.DUMMYFUNCTION("""COMPUTED_VALUE"""),"AAMIR NAWAZ")</f>
        <v>AAMIR NAWAZ</v>
      </c>
      <c r="U265" s="228" t="str">
        <f>IFERROR(__xludf.DUMMYFUNCTION("""COMPUTED_VALUE"""),"PK66HABB0002187992065603")</f>
        <v>PK66HABB0002187992065603</v>
      </c>
      <c r="V265" s="228"/>
      <c r="W265" s="228"/>
      <c r="X265" s="228" t="str">
        <f>IFERROR(__xludf.DUMMYFUNCTION("""COMPUTED_VALUE"""),"Islamabad")</f>
        <v>Islamabad</v>
      </c>
      <c r="Y265" s="730">
        <f>IFERROR(__xludf.DUMMYFUNCTION("""COMPUTED_VALUE"""),32933.0)</f>
        <v>32933</v>
      </c>
      <c r="Z265" s="228" t="str">
        <f>IFERROR(__xludf.DUMMYFUNCTION("""COMPUTED_VALUE"""),"35 Years")</f>
        <v>35 Years</v>
      </c>
      <c r="AA265" s="228" t="str">
        <f>IFERROR(__xludf.DUMMYFUNCTION("""COMPUTED_VALUE"""),"House 428D Haroon awan house seta lite town commercial market Rawalpindi")</f>
        <v>House 428D Haroon awan house seta lite town commercial market Rawalpindi</v>
      </c>
      <c r="AB265" s="228" t="str">
        <f>IFERROR(__xludf.DUMMYFUNCTION("""COMPUTED_VALUE"""),"Pakistani")</f>
        <v>Pakistani</v>
      </c>
      <c r="AC265" s="228" t="str">
        <f>IFERROR(__xludf.DUMMYFUNCTION("""COMPUTED_VALUE"""),"Married")</f>
        <v>Married</v>
      </c>
      <c r="AD265" s="228"/>
      <c r="AE265" s="228"/>
      <c r="AF265" s="228"/>
      <c r="AG265" s="228" t="str">
        <f>IFERROR(__xludf.DUMMYFUNCTION("""COMPUTED_VALUE"""),"Muhammad ilyas")</f>
        <v>Muhammad ilyas</v>
      </c>
      <c r="AH265" s="228" t="str">
        <f>IFERROR(__xludf.DUMMYFUNCTION("""COMPUTED_VALUE"""),"Father")</f>
        <v>Father</v>
      </c>
      <c r="AI265" s="228" t="str">
        <f>IFERROR(__xludf.DUMMYFUNCTION("""COMPUTED_VALUE"""),"3348484123")</f>
        <v>3348484123</v>
      </c>
      <c r="AJ265" s="228" t="str">
        <f>IFERROR(__xludf.DUMMYFUNCTION("""COMPUTED_VALUE"""),"B+")</f>
        <v>B+</v>
      </c>
      <c r="AK265" s="731" t="str">
        <f>IFERROR(__xludf.DUMMYFUNCTION("""COMPUTED_VALUE"""),"https://LinkedIn.com/in/aamirnawaz123")</f>
        <v>https://LinkedIn.com/in/aamirnawaz123</v>
      </c>
      <c r="AL265" s="228"/>
      <c r="AM265" s="730">
        <f>IFERROR(__xludf.DUMMYFUNCTION("""COMPUTED_VALUE"""),45282.0)</f>
        <v>45282</v>
      </c>
      <c r="AN265" s="228"/>
      <c r="AO265" s="228"/>
      <c r="AP265" s="228" t="str">
        <f>IFERROR(__xludf.DUMMYFUNCTION("""COMPUTED_VALUE"""),"NO")</f>
        <v>NO</v>
      </c>
      <c r="AQ265" s="228" t="str">
        <f>IFERROR(__xludf.DUMMYFUNCTION("""COMPUTED_VALUE"""),"Resigned/Terminated")</f>
        <v>Resigned/Terminated</v>
      </c>
    </row>
    <row r="266">
      <c r="A266" s="228">
        <f>IFERROR(__xludf.DUMMYFUNCTION("""COMPUTED_VALUE"""),5186.0)</f>
        <v>5186</v>
      </c>
      <c r="B266" s="228" t="str">
        <f>IFERROR(__xludf.DUMMYFUNCTION("""COMPUTED_VALUE"""),"Sheikh Muhammad Saad")</f>
        <v>Sheikh Muhammad Saad</v>
      </c>
      <c r="C266" s="228" t="str">
        <f>IFERROR(__xludf.DUMMYFUNCTION("""COMPUTED_VALUE"""),"Sheikhsaad0298@gmail.com")</f>
        <v>Sheikhsaad0298@gmail.com</v>
      </c>
      <c r="D266" s="228" t="str">
        <f>IFERROR(__xludf.DUMMYFUNCTION("""COMPUTED_VALUE"""),"saad.sheikh@vyro.ai")</f>
        <v>saad.sheikh@vyro.ai</v>
      </c>
      <c r="E266" s="730">
        <f>IFERROR(__xludf.DUMMYFUNCTION("""COMPUTED_VALUE"""),45195.0)</f>
        <v>45195</v>
      </c>
      <c r="F266" s="228" t="str">
        <f>IFERROR(__xludf.DUMMYFUNCTION("""COMPUTED_VALUE"""),"Product Designer")</f>
        <v>Product Designer</v>
      </c>
      <c r="G266" s="228" t="str">
        <f>IFERROR(__xludf.DUMMYFUNCTION("""COMPUTED_VALUE"""),"Product")</f>
        <v>Product</v>
      </c>
      <c r="H266" s="228" t="str">
        <f>IFERROR(__xludf.DUMMYFUNCTION("""COMPUTED_VALUE"""),"Abdullah")</f>
        <v>Abdullah</v>
      </c>
      <c r="I266" s="228" t="str">
        <f>IFERROR(__xludf.DUMMYFUNCTION("""COMPUTED_VALUE"""),"Permanent")</f>
        <v>Permanent</v>
      </c>
      <c r="J266" s="228" t="str">
        <f>IFERROR(__xludf.DUMMYFUNCTION("""COMPUTED_VALUE"""),"Active")</f>
        <v>Active</v>
      </c>
      <c r="K266" s="228" t="str">
        <f>IFERROR(__xludf.DUMMYFUNCTION("""COMPUTED_VALUE"""),"3 M")</f>
        <v>3 M</v>
      </c>
      <c r="L266" s="732">
        <f>IFERROR(__xludf.DUMMYFUNCTION("""COMPUTED_VALUE"""),45285.0)</f>
        <v>45285</v>
      </c>
      <c r="M266" s="228"/>
      <c r="N266" s="228"/>
      <c r="O266" s="228"/>
      <c r="P266" s="228" t="str">
        <f>IFERROR(__xludf.DUMMYFUNCTION("""COMPUTED_VALUE"""),"3234821818")</f>
        <v>3234821818</v>
      </c>
      <c r="Q266" s="228" t="str">
        <f>IFERROR(__xludf.DUMMYFUNCTION("""COMPUTED_VALUE"""),"3520222114379")</f>
        <v>3520222114379</v>
      </c>
      <c r="R266" s="228" t="str">
        <f>IFERROR(__xludf.DUMMYFUNCTION("""COMPUTED_VALUE"""),"Male")</f>
        <v>Male</v>
      </c>
      <c r="S266" s="228" t="str">
        <f>IFERROR(__xludf.DUMMYFUNCTION("""COMPUTED_VALUE"""),"Habib Bank Limited")</f>
        <v>Habib Bank Limited</v>
      </c>
      <c r="T266" s="228" t="str">
        <f>IFERROR(__xludf.DUMMYFUNCTION("""COMPUTED_VALUE"""),"Sheikh")</f>
        <v>Sheikh</v>
      </c>
      <c r="U266" s="228" t="str">
        <f>IFERROR(__xludf.DUMMYFUNCTION("""COMPUTED_VALUE"""),"PK68HABB0022977107433403")</f>
        <v>PK68HABB0022977107433403</v>
      </c>
      <c r="V266" s="228"/>
      <c r="W266" s="228"/>
      <c r="X266" s="228" t="str">
        <f>IFERROR(__xludf.DUMMYFUNCTION("""COMPUTED_VALUE"""),"Lahore")</f>
        <v>Lahore</v>
      </c>
      <c r="Y266" s="730">
        <f>IFERROR(__xludf.DUMMYFUNCTION("""COMPUTED_VALUE"""),36089.0)</f>
        <v>36089</v>
      </c>
      <c r="Z266" s="228" t="str">
        <f>IFERROR(__xludf.DUMMYFUNCTION("""COMPUTED_VALUE"""),"26 Years")</f>
        <v>26 Years</v>
      </c>
      <c r="AA266" s="228" t="str">
        <f>IFERROR(__xludf.DUMMYFUNCTION("""COMPUTED_VALUE"""),"150 - B PCSIR Phase 2, Lahore")</f>
        <v>150 - B PCSIR Phase 2, Lahore</v>
      </c>
      <c r="AB266" s="228" t="str">
        <f>IFERROR(__xludf.DUMMYFUNCTION("""COMPUTED_VALUE"""),"Pakistani")</f>
        <v>Pakistani</v>
      </c>
      <c r="AC266" s="228" t="str">
        <f>IFERROR(__xludf.DUMMYFUNCTION("""COMPUTED_VALUE"""),"Single")</f>
        <v>Single</v>
      </c>
      <c r="AD266" s="228"/>
      <c r="AE266" s="228"/>
      <c r="AF266" s="228"/>
      <c r="AG266" s="228" t="str">
        <f>IFERROR(__xludf.DUMMYFUNCTION("""COMPUTED_VALUE"""),"Muhammad Shafiq")</f>
        <v>Muhammad Shafiq</v>
      </c>
      <c r="AH266" s="228" t="str">
        <f>IFERROR(__xludf.DUMMYFUNCTION("""COMPUTED_VALUE"""),"Sister")</f>
        <v>Sister</v>
      </c>
      <c r="AI266" s="228" t="str">
        <f>IFERROR(__xludf.DUMMYFUNCTION("""COMPUTED_VALUE"""),"03024821818")</f>
        <v>03024821818</v>
      </c>
      <c r="AJ266" s="228" t="str">
        <f>IFERROR(__xludf.DUMMYFUNCTION("""COMPUTED_VALUE"""),"O-")</f>
        <v>O-</v>
      </c>
      <c r="AK266" s="731" t="str">
        <f>IFERROR(__xludf.DUMMYFUNCTION("""COMPUTED_VALUE"""),"https://www.linkedin.com/in/sheikhsaad02/")</f>
        <v>https://www.linkedin.com/in/sheikhsaad02/</v>
      </c>
      <c r="AL266" s="228"/>
      <c r="AM266" s="730">
        <f>IFERROR(__xludf.DUMMYFUNCTION("""COMPUTED_VALUE"""),45282.0)</f>
        <v>45282</v>
      </c>
      <c r="AN266" s="228"/>
      <c r="AO266" s="228"/>
      <c r="AP266" s="228" t="str">
        <f>IFERROR(__xludf.DUMMYFUNCTION("""COMPUTED_VALUE"""),"NO")</f>
        <v>NO</v>
      </c>
      <c r="AQ266" s="228" t="str">
        <f>IFERROR(__xludf.DUMMYFUNCTION("""COMPUTED_VALUE"""),"Resigned/Terminated")</f>
        <v>Resigned/Terminated</v>
      </c>
    </row>
    <row r="267">
      <c r="A267" s="228">
        <f>IFERROR(__xludf.DUMMYFUNCTION("""COMPUTED_VALUE"""),5189.0)</f>
        <v>5189</v>
      </c>
      <c r="B267" s="228" t="str">
        <f>IFERROR(__xludf.DUMMYFUNCTION("""COMPUTED_VALUE"""),"Muhammad Hamza Shahid")</f>
        <v>Muhammad Hamza Shahid</v>
      </c>
      <c r="C267" s="228" t="str">
        <f>IFERROR(__xludf.DUMMYFUNCTION("""COMPUTED_VALUE"""),"muhammad.hamza75@gmail.com")</f>
        <v>muhammad.hamza75@gmail.com</v>
      </c>
      <c r="D267" s="228" t="str">
        <f>IFERROR(__xludf.DUMMYFUNCTION("""COMPUTED_VALUE"""),"hamza.shahid@vyro.ai")</f>
        <v>hamza.shahid@vyro.ai</v>
      </c>
      <c r="E267" s="730">
        <f>IFERROR(__xludf.DUMMYFUNCTION("""COMPUTED_VALUE"""),45215.0)</f>
        <v>45215</v>
      </c>
      <c r="F267" s="228" t="str">
        <f>IFERROR(__xludf.DUMMYFUNCTION("""COMPUTED_VALUE"""),"Senior Software Engineer II")</f>
        <v>Senior Software Engineer II</v>
      </c>
      <c r="G267" s="228" t="str">
        <f>IFERROR(__xludf.DUMMYFUNCTION("""COMPUTED_VALUE"""),"Mobile Engineering")</f>
        <v>Mobile Engineering</v>
      </c>
      <c r="H267" s="228" t="str">
        <f>IFERROR(__xludf.DUMMYFUNCTION("""COMPUTED_VALUE"""),"Ubadah Jafry")</f>
        <v>Ubadah Jafry</v>
      </c>
      <c r="I267" s="228" t="str">
        <f>IFERROR(__xludf.DUMMYFUNCTION("""COMPUTED_VALUE"""),"Permanent")</f>
        <v>Permanent</v>
      </c>
      <c r="J267" s="228" t="str">
        <f>IFERROR(__xludf.DUMMYFUNCTION("""COMPUTED_VALUE"""),"Active")</f>
        <v>Active</v>
      </c>
      <c r="K267" s="228" t="str">
        <f>IFERROR(__xludf.DUMMYFUNCTION("""COMPUTED_VALUE"""),"3M")</f>
        <v>3M</v>
      </c>
      <c r="L267" s="732">
        <f>IFERROR(__xludf.DUMMYFUNCTION("""COMPUTED_VALUE"""),45314.0)</f>
        <v>45314</v>
      </c>
      <c r="M267" s="228"/>
      <c r="N267" s="228"/>
      <c r="O267" s="228"/>
      <c r="P267" s="228" t="str">
        <f>IFERROR(__xludf.DUMMYFUNCTION("""COMPUTED_VALUE"""),"3455916449")</f>
        <v>3455916449</v>
      </c>
      <c r="Q267" s="228" t="str">
        <f>IFERROR(__xludf.DUMMYFUNCTION("""COMPUTED_VALUE"""),"3740551003915")</f>
        <v>3740551003915</v>
      </c>
      <c r="R267" s="228" t="str">
        <f>IFERROR(__xludf.DUMMYFUNCTION("""COMPUTED_VALUE"""),"Male")</f>
        <v>Male</v>
      </c>
      <c r="S267" s="228" t="str">
        <f>IFERROR(__xludf.DUMMYFUNCTION("""COMPUTED_VALUE"""),"Standard Chartered")</f>
        <v>Standard Chartered</v>
      </c>
      <c r="T267" s="228" t="str">
        <f>IFERROR(__xludf.DUMMYFUNCTION("""COMPUTED_VALUE"""),"Muhammad Hamza Shahid")</f>
        <v>Muhammad Hamza Shahid</v>
      </c>
      <c r="U267" s="228" t="str">
        <f>IFERROR(__xludf.DUMMYFUNCTION("""COMPUTED_VALUE"""),"PK87SCBL0000001733921501")</f>
        <v>PK87SCBL0000001733921501</v>
      </c>
      <c r="V267" s="228" t="str">
        <f>IFERROR(__xludf.DUMMYFUNCTION("""COMPUTED_VALUE"""),"SCBLPKKXXXX")</f>
        <v>SCBLPKKXXXX</v>
      </c>
      <c r="W267" s="228"/>
      <c r="X267" s="228" t="str">
        <f>IFERROR(__xludf.DUMMYFUNCTION("""COMPUTED_VALUE"""),"Islamabad")</f>
        <v>Islamabad</v>
      </c>
      <c r="Y267" s="730">
        <f>IFERROR(__xludf.DUMMYFUNCTION("""COMPUTED_VALUE"""),33251.0)</f>
        <v>33251</v>
      </c>
      <c r="Z267" s="228" t="str">
        <f>IFERROR(__xludf.DUMMYFUNCTION("""COMPUTED_VALUE"""),"34 Years")</f>
        <v>34 Years</v>
      </c>
      <c r="AA267" s="228" t="str">
        <f>IFERROR(__xludf.DUMMYFUNCTION("""COMPUTED_VALUE"""),"30/6 D, street 39, F-6/1, Islamabad")</f>
        <v>30/6 D, street 39, F-6/1, Islamabad</v>
      </c>
      <c r="AB267" s="228" t="str">
        <f>IFERROR(__xludf.DUMMYFUNCTION("""COMPUTED_VALUE"""),"Pakistani")</f>
        <v>Pakistani</v>
      </c>
      <c r="AC267" s="228" t="str">
        <f>IFERROR(__xludf.DUMMYFUNCTION("""COMPUTED_VALUE"""),"Married")</f>
        <v>Married</v>
      </c>
      <c r="AD267" s="228"/>
      <c r="AE267" s="228"/>
      <c r="AF267" s="228"/>
      <c r="AG267" s="228" t="str">
        <f>IFERROR(__xludf.DUMMYFUNCTION("""COMPUTED_VALUE"""),"Shahid Nisar Hashmi")</f>
        <v>Shahid Nisar Hashmi</v>
      </c>
      <c r="AH267" s="228" t="str">
        <f>IFERROR(__xludf.DUMMYFUNCTION("""COMPUTED_VALUE"""),"Father")</f>
        <v>Father</v>
      </c>
      <c r="AI267" s="228" t="str">
        <f>IFERROR(__xludf.DUMMYFUNCTION("""COMPUTED_VALUE"""),"3005174454")</f>
        <v>3005174454</v>
      </c>
      <c r="AJ267" s="228" t="str">
        <f>IFERROR(__xludf.DUMMYFUNCTION("""COMPUTED_VALUE"""),"O+")</f>
        <v>O+</v>
      </c>
      <c r="AK267" s="731" t="str">
        <f>IFERROR(__xludf.DUMMYFUNCTION("""COMPUTED_VALUE"""),"https://www.linkedin.com/in/muhammad-hamza-28161b21")</f>
        <v>https://www.linkedin.com/in/muhammad-hamza-28161b21</v>
      </c>
      <c r="AL267" s="228"/>
      <c r="AM267" s="730">
        <f>IFERROR(__xludf.DUMMYFUNCTION("""COMPUTED_VALUE"""),45283.0)</f>
        <v>45283</v>
      </c>
      <c r="AN267" s="228"/>
      <c r="AO267" s="228"/>
      <c r="AP267" s="228" t="str">
        <f>IFERROR(__xludf.DUMMYFUNCTION("""COMPUTED_VALUE"""),"NO")</f>
        <v>NO</v>
      </c>
      <c r="AQ267" s="228" t="str">
        <f>IFERROR(__xludf.DUMMYFUNCTION("""COMPUTED_VALUE"""),"Resigned/Terminated")</f>
        <v>Resigned/Terminated</v>
      </c>
    </row>
    <row r="268">
      <c r="A268" s="228">
        <f>IFERROR(__xludf.DUMMYFUNCTION("""COMPUTED_VALUE"""),5125.0)</f>
        <v>5125</v>
      </c>
      <c r="B268" s="228" t="str">
        <f>IFERROR(__xludf.DUMMYFUNCTION("""COMPUTED_VALUE"""),"Abdolreza Marefat")</f>
        <v>Abdolreza Marefat</v>
      </c>
      <c r="C268" s="228" t="str">
        <f>IFERROR(__xludf.DUMMYFUNCTION("""COMPUTED_VALUE"""),"rzamarefat@gmail.com")</f>
        <v>rzamarefat@gmail.com</v>
      </c>
      <c r="D268" s="228" t="str">
        <f>IFERROR(__xludf.DUMMYFUNCTION("""COMPUTED_VALUE"""),"abdolreza.marefat@vyro.ai")</f>
        <v>abdolreza.marefat@vyro.ai</v>
      </c>
      <c r="E268" s="730">
        <f>IFERROR(__xludf.DUMMYFUNCTION("""COMPUTED_VALUE"""),45047.0)</f>
        <v>45047</v>
      </c>
      <c r="F268" s="228" t="str">
        <f>IFERROR(__xludf.DUMMYFUNCTION("""COMPUTED_VALUE"""),"Machine Learning Engineer")</f>
        <v>Machine Learning Engineer</v>
      </c>
      <c r="G268" s="228" t="str">
        <f>IFERROR(__xludf.DUMMYFUNCTION("""COMPUTED_VALUE"""),"Machine Learning")</f>
        <v>Machine Learning</v>
      </c>
      <c r="H268" s="228" t="str">
        <f>IFERROR(__xludf.DUMMYFUNCTION("""COMPUTED_VALUE"""),"Abdullah")</f>
        <v>Abdullah</v>
      </c>
      <c r="I268" s="228" t="str">
        <f>IFERROR(__xludf.DUMMYFUNCTION("""COMPUTED_VALUE"""),"Permanent")</f>
        <v>Permanent</v>
      </c>
      <c r="J268" s="228" t="str">
        <f>IFERROR(__xludf.DUMMYFUNCTION("""COMPUTED_VALUE"""),"Active")</f>
        <v>Active</v>
      </c>
      <c r="K268" s="228" t="str">
        <f>IFERROR(__xludf.DUMMYFUNCTION("""COMPUTED_VALUE"""),"3 M")</f>
        <v>3 M</v>
      </c>
      <c r="L268" s="732">
        <f>IFERROR(__xludf.DUMMYFUNCTION("""COMPUTED_VALUE"""),45139.0)</f>
        <v>45139</v>
      </c>
      <c r="M268" s="228"/>
      <c r="N268" s="228"/>
      <c r="O268" s="228"/>
      <c r="P268" s="228" t="str">
        <f>IFERROR(__xludf.DUMMYFUNCTION("""COMPUTED_VALUE"""),"989389003192")</f>
        <v>989389003192</v>
      </c>
      <c r="Q268" s="228" t="str">
        <f>IFERROR(__xludf.DUMMYFUNCTION("""COMPUTED_VALUE"""),"13608584-15")</f>
        <v>13608584-15</v>
      </c>
      <c r="R268" s="228" t="str">
        <f>IFERROR(__xludf.DUMMYFUNCTION("""COMPUTED_VALUE"""),"Male")</f>
        <v>Male</v>
      </c>
      <c r="S268" s="228" t="str">
        <f>IFERROR(__xludf.DUMMYFUNCTION("""COMPUTED_VALUE"""),"Ziraat Bankasi, Bank Country: Turkey")</f>
        <v>Ziraat Bankasi, Bank Country: Turkey</v>
      </c>
      <c r="T268" s="228"/>
      <c r="U268" s="228" t="str">
        <f>IFERROR(__xludf.DUMMYFUNCTION("""COMPUTED_VALUE"""),"Account Number : TR230001009010473688905001, Swift : TCZBTR2A")</f>
        <v>Account Number : TR230001009010473688905001, Swift : TCZBTR2A</v>
      </c>
      <c r="V268" s="228" t="str">
        <f>IFERROR(__xludf.DUMMYFUNCTION("""COMPUTED_VALUE"""),"TCZBTR2A")</f>
        <v>TCZBTR2A</v>
      </c>
      <c r="W268" s="228"/>
      <c r="X268" s="228" t="str">
        <f>IFERROR(__xludf.DUMMYFUNCTION("""COMPUTED_VALUE"""),"Remote")</f>
        <v>Remote</v>
      </c>
      <c r="Y268" s="730">
        <f>IFERROR(__xludf.DUMMYFUNCTION("""COMPUTED_VALUE"""),33286.0)</f>
        <v>33286</v>
      </c>
      <c r="Z268" s="228" t="str">
        <f>IFERROR(__xludf.DUMMYFUNCTION("""COMPUTED_VALUE"""),"34 Years")</f>
        <v>34 Years</v>
      </c>
      <c r="AA268" s="228"/>
      <c r="AB268" s="228" t="str">
        <f>IFERROR(__xludf.DUMMYFUNCTION("""COMPUTED_VALUE"""),"Iranian")</f>
        <v>Iranian</v>
      </c>
      <c r="AC268" s="228" t="str">
        <f>IFERROR(__xludf.DUMMYFUNCTION("""COMPUTED_VALUE"""),"Single")</f>
        <v>Single</v>
      </c>
      <c r="AD268" s="228"/>
      <c r="AE268" s="228"/>
      <c r="AF268" s="228"/>
      <c r="AG268" s="228" t="str">
        <f>IFERROR(__xludf.DUMMYFUNCTION("""COMPUTED_VALUE"""),"Mahmoud")</f>
        <v>Mahmoud</v>
      </c>
      <c r="AH268" s="228" t="str">
        <f>IFERROR(__xludf.DUMMYFUNCTION("""COMPUTED_VALUE"""),"Father")</f>
        <v>Father</v>
      </c>
      <c r="AI268" s="228"/>
      <c r="AJ268" s="228" t="str">
        <f>IFERROR(__xludf.DUMMYFUNCTION("""COMPUTED_VALUE"""),"A+")</f>
        <v>A+</v>
      </c>
      <c r="AK268" s="228"/>
      <c r="AL268" s="228"/>
      <c r="AM268" s="730">
        <f>IFERROR(__xludf.DUMMYFUNCTION("""COMPUTED_VALUE"""),45289.0)</f>
        <v>45289</v>
      </c>
      <c r="AN268" s="228"/>
      <c r="AO268" s="228"/>
      <c r="AP268" s="228" t="str">
        <f>IFERROR(__xludf.DUMMYFUNCTION("""COMPUTED_VALUE"""),"NO")</f>
        <v>NO</v>
      </c>
      <c r="AQ268" s="228" t="str">
        <f>IFERROR(__xludf.DUMMYFUNCTION("""COMPUTED_VALUE"""),"Resigned/Terminated")</f>
        <v>Resigned/Terminated</v>
      </c>
    </row>
    <row r="269">
      <c r="A269" s="228">
        <f>IFERROR(__xludf.DUMMYFUNCTION("""COMPUTED_VALUE"""),5169.0)</f>
        <v>5169</v>
      </c>
      <c r="B269" s="228" t="str">
        <f>IFERROR(__xludf.DUMMYFUNCTION("""COMPUTED_VALUE"""),"Elaf Hassan")</f>
        <v>Elaf Hassan</v>
      </c>
      <c r="C269" s="228" t="str">
        <f>IFERROR(__xludf.DUMMYFUNCTION("""COMPUTED_VALUE"""),"Elaf404@gmail.com")</f>
        <v>Elaf404@gmail.com</v>
      </c>
      <c r="D269" s="228" t="str">
        <f>IFERROR(__xludf.DUMMYFUNCTION("""COMPUTED_VALUE"""),"elaf.hassan@vyro.ai")</f>
        <v>elaf.hassan@vyro.ai</v>
      </c>
      <c r="E269" s="730">
        <f>IFERROR(__xludf.DUMMYFUNCTION("""COMPUTED_VALUE"""),45173.0)</f>
        <v>45173</v>
      </c>
      <c r="F269" s="228" t="str">
        <f>IFERROR(__xludf.DUMMYFUNCTION("""COMPUTED_VALUE"""),"Employer Branding Associate")</f>
        <v>Employer Branding Associate</v>
      </c>
      <c r="G269" s="228" t="str">
        <f>IFERROR(__xludf.DUMMYFUNCTION("""COMPUTED_VALUE"""),"People")</f>
        <v>People</v>
      </c>
      <c r="H269" s="228" t="str">
        <f>IFERROR(__xludf.DUMMYFUNCTION("""COMPUTED_VALUE"""),"Naimal Rao")</f>
        <v>Naimal Rao</v>
      </c>
      <c r="I269" s="228" t="str">
        <f>IFERROR(__xludf.DUMMYFUNCTION("""COMPUTED_VALUE"""),"Permanent")</f>
        <v>Permanent</v>
      </c>
      <c r="J269" s="228" t="str">
        <f>IFERROR(__xludf.DUMMYFUNCTION("""COMPUTED_VALUE"""),"Active")</f>
        <v>Active</v>
      </c>
      <c r="K269" s="228" t="str">
        <f>IFERROR(__xludf.DUMMYFUNCTION("""COMPUTED_VALUE"""),"3 M")</f>
        <v>3 M</v>
      </c>
      <c r="L269" s="732">
        <f>IFERROR(__xludf.DUMMYFUNCTION("""COMPUTED_VALUE"""),45264.0)</f>
        <v>45264</v>
      </c>
      <c r="M269" s="228"/>
      <c r="N269" s="228"/>
      <c r="O269" s="228"/>
      <c r="P269" s="228" t="str">
        <f>IFERROR(__xludf.DUMMYFUNCTION("""COMPUTED_VALUE"""),"03346109399")</f>
        <v>03346109399</v>
      </c>
      <c r="Q269" s="228" t="str">
        <f>IFERROR(__xludf.DUMMYFUNCTION("""COMPUTED_VALUE"""),"3630240093337")</f>
        <v>3630240093337</v>
      </c>
      <c r="R269" s="228" t="str">
        <f>IFERROR(__xludf.DUMMYFUNCTION("""COMPUTED_VALUE"""),"Male")</f>
        <v>Male</v>
      </c>
      <c r="S269" s="228" t="str">
        <f>IFERROR(__xludf.DUMMYFUNCTION("""COMPUTED_VALUE"""),"Habib Bank Limited (HBL)")</f>
        <v>Habib Bank Limited (HBL)</v>
      </c>
      <c r="T269" s="228" t="str">
        <f>IFERROR(__xludf.DUMMYFUNCTION("""COMPUTED_VALUE"""),"MUHAMMAD ELAF")</f>
        <v>MUHAMMAD ELAF</v>
      </c>
      <c r="U269" s="228" t="str">
        <f>IFERROR(__xludf.DUMMYFUNCTION("""COMPUTED_VALUE"""),"PK89HABB0004037991833703")</f>
        <v>PK89HABB0004037991833703</v>
      </c>
      <c r="V269" s="228"/>
      <c r="W269" s="228"/>
      <c r="X269" s="228" t="str">
        <f>IFERROR(__xludf.DUMMYFUNCTION("""COMPUTED_VALUE"""),"Islamabad")</f>
        <v>Islamabad</v>
      </c>
      <c r="Y269" s="730">
        <f>IFERROR(__xludf.DUMMYFUNCTION("""COMPUTED_VALUE"""),37244.0)</f>
        <v>37244</v>
      </c>
      <c r="Z269" s="228" t="str">
        <f>IFERROR(__xludf.DUMMYFUNCTION("""COMPUTED_VALUE"""),"23 Years")</f>
        <v>23 Years</v>
      </c>
      <c r="AA269" s="228" t="str">
        <f>IFERROR(__xludf.DUMMYFUNCTION("""COMPUTED_VALUE"""),"Room#913, Zara Heights, Opposite nust gate 2, H13 Islamabad.")</f>
        <v>Room#913, Zara Heights, Opposite nust gate 2, H13 Islamabad.</v>
      </c>
      <c r="AB269" s="228" t="str">
        <f>IFERROR(__xludf.DUMMYFUNCTION("""COMPUTED_VALUE"""),"Pakistani")</f>
        <v>Pakistani</v>
      </c>
      <c r="AC269" s="228" t="str">
        <f>IFERROR(__xludf.DUMMYFUNCTION("""COMPUTED_VALUE"""),"Single")</f>
        <v>Single</v>
      </c>
      <c r="AD269" s="228"/>
      <c r="AE269" s="228"/>
      <c r="AF269" s="228"/>
      <c r="AG269" s="228" t="str">
        <f>IFERROR(__xludf.DUMMYFUNCTION("""COMPUTED_VALUE"""),"Sarfraz Hassan")</f>
        <v>Sarfraz Hassan</v>
      </c>
      <c r="AH269" s="228" t="str">
        <f>IFERROR(__xludf.DUMMYFUNCTION("""COMPUTED_VALUE"""),"Father")</f>
        <v>Father</v>
      </c>
      <c r="AI269" s="228" t="str">
        <f>IFERROR(__xludf.DUMMYFUNCTION("""COMPUTED_VALUE"""),"03336154421")</f>
        <v>03336154421</v>
      </c>
      <c r="AJ269" s="228" t="str">
        <f>IFERROR(__xludf.DUMMYFUNCTION("""COMPUTED_VALUE"""),"B+")</f>
        <v>B+</v>
      </c>
      <c r="AK269" s="731" t="str">
        <f>IFERROR(__xludf.DUMMYFUNCTION("""COMPUTED_VALUE"""),"https://www.linkedin.com/in/theelaf")</f>
        <v>https://www.linkedin.com/in/theelaf</v>
      </c>
      <c r="AL269" s="228"/>
      <c r="AM269" s="730">
        <f>IFERROR(__xludf.DUMMYFUNCTION("""COMPUTED_VALUE"""),45291.0)</f>
        <v>45291</v>
      </c>
      <c r="AN269" s="228"/>
      <c r="AO269" s="228"/>
      <c r="AP269" s="228" t="str">
        <f>IFERROR(__xludf.DUMMYFUNCTION("""COMPUTED_VALUE"""),"NO")</f>
        <v>NO</v>
      </c>
      <c r="AQ269" s="228" t="str">
        <f>IFERROR(__xludf.DUMMYFUNCTION("""COMPUTED_VALUE"""),"Resigned/Terminated")</f>
        <v>Resigned/Terminated</v>
      </c>
    </row>
    <row r="270">
      <c r="A270" s="228">
        <f>IFERROR(__xludf.DUMMYFUNCTION("""COMPUTED_VALUE"""),5099.0)</f>
        <v>5099</v>
      </c>
      <c r="B270" s="228" t="str">
        <f>IFERROR(__xludf.DUMMYFUNCTION("""COMPUTED_VALUE"""),"Zain Shahid")</f>
        <v>Zain Shahid</v>
      </c>
      <c r="C270" s="228" t="str">
        <f>IFERROR(__xludf.DUMMYFUNCTION("""COMPUTED_VALUE"""),"zainshahidbuttt@gmail.com")</f>
        <v>zainshahidbuttt@gmail.com</v>
      </c>
      <c r="D270" s="228" t="str">
        <f>IFERROR(__xludf.DUMMYFUNCTION("""COMPUTED_VALUE"""),"zain.shahid@vyro.ai")</f>
        <v>zain.shahid@vyro.ai</v>
      </c>
      <c r="E270" s="730">
        <f>IFERROR(__xludf.DUMMYFUNCTION("""COMPUTED_VALUE"""),44970.0)</f>
        <v>44970</v>
      </c>
      <c r="F270" s="228" t="str">
        <f>IFERROR(__xludf.DUMMYFUNCTION("""COMPUTED_VALUE"""),"Android Developer")</f>
        <v>Android Developer</v>
      </c>
      <c r="G270" s="228" t="str">
        <f>IFERROR(__xludf.DUMMYFUNCTION("""COMPUTED_VALUE"""),"Android")</f>
        <v>Android</v>
      </c>
      <c r="H270" s="228" t="str">
        <f>IFERROR(__xludf.DUMMYFUNCTION("""COMPUTED_VALUE"""),"Abdullah")</f>
        <v>Abdullah</v>
      </c>
      <c r="I270" s="228" t="str">
        <f>IFERROR(__xludf.DUMMYFUNCTION("""COMPUTED_VALUE"""),"Permanent")</f>
        <v>Permanent</v>
      </c>
      <c r="J270" s="228" t="str">
        <f>IFERROR(__xludf.DUMMYFUNCTION("""COMPUTED_VALUE"""),"Active")</f>
        <v>Active</v>
      </c>
      <c r="K270" s="228" t="str">
        <f>IFERROR(__xludf.DUMMYFUNCTION("""COMPUTED_VALUE"""),"3 M")</f>
        <v>3 M</v>
      </c>
      <c r="L270" s="732">
        <f>IFERROR(__xludf.DUMMYFUNCTION("""COMPUTED_VALUE"""),45059.0)</f>
        <v>45059</v>
      </c>
      <c r="M270" s="228"/>
      <c r="N270" s="228"/>
      <c r="O270" s="228"/>
      <c r="P270" s="228" t="str">
        <f>IFERROR(__xludf.DUMMYFUNCTION("""COMPUTED_VALUE"""),"3033009802")</f>
        <v>3033009802</v>
      </c>
      <c r="Q270" s="228" t="str">
        <f>IFERROR(__xludf.DUMMYFUNCTION("""COMPUTED_VALUE"""),"36401-6591078-1")</f>
        <v>36401-6591078-1</v>
      </c>
      <c r="R270" s="228" t="str">
        <f>IFERROR(__xludf.DUMMYFUNCTION("""COMPUTED_VALUE"""),"Male")</f>
        <v>Male</v>
      </c>
      <c r="S270" s="228" t="str">
        <f>IFERROR(__xludf.DUMMYFUNCTION("""COMPUTED_VALUE"""),"UBL")</f>
        <v>UBL</v>
      </c>
      <c r="T270" s="228"/>
      <c r="U270" s="228" t="str">
        <f>IFERROR(__xludf.DUMMYFUNCTION("""COMPUTED_VALUE"""),"PK24UNIL0109000290954573")</f>
        <v>PK24UNIL0109000290954573</v>
      </c>
      <c r="V270" s="228"/>
      <c r="W270" s="228"/>
      <c r="X270" s="228" t="str">
        <f>IFERROR(__xludf.DUMMYFUNCTION("""COMPUTED_VALUE"""),"Islamabad")</f>
        <v>Islamabad</v>
      </c>
      <c r="Y270" s="730">
        <f>IFERROR(__xludf.DUMMYFUNCTION("""COMPUTED_VALUE"""),36177.0)</f>
        <v>36177</v>
      </c>
      <c r="Z270" s="228" t="str">
        <f>IFERROR(__xludf.DUMMYFUNCTION("""COMPUTED_VALUE"""),"26 Years")</f>
        <v>26 Years</v>
      </c>
      <c r="AA270" s="228" t="str">
        <f>IFERROR(__xludf.DUMMYFUNCTION("""COMPUTED_VALUE"""),"Flat no# D34,  E-11/1")</f>
        <v>Flat no# D34,  E-11/1</v>
      </c>
      <c r="AB270" s="228" t="str">
        <f>IFERROR(__xludf.DUMMYFUNCTION("""COMPUTED_VALUE"""),"Pakistani")</f>
        <v>Pakistani</v>
      </c>
      <c r="AC270" s="228" t="str">
        <f>IFERROR(__xludf.DUMMYFUNCTION("""COMPUTED_VALUE"""),"Single")</f>
        <v>Single</v>
      </c>
      <c r="AD270" s="228"/>
      <c r="AE270" s="228"/>
      <c r="AF270" s="228"/>
      <c r="AG270" s="228" t="str">
        <f>IFERROR(__xludf.DUMMYFUNCTION("""COMPUTED_VALUE"""),"Shahid Mahmood")</f>
        <v>Shahid Mahmood</v>
      </c>
      <c r="AH270" s="228" t="str">
        <f>IFERROR(__xludf.DUMMYFUNCTION("""COMPUTED_VALUE"""),"Father")</f>
        <v>Father</v>
      </c>
      <c r="AI270" s="228" t="str">
        <f>IFERROR(__xludf.DUMMYFUNCTION("""COMPUTED_VALUE"""),"03220683868")</f>
        <v>03220683868</v>
      </c>
      <c r="AJ270" s="228"/>
      <c r="AK270" s="228"/>
      <c r="AL270" s="228"/>
      <c r="AM270" s="730">
        <f>IFERROR(__xludf.DUMMYFUNCTION("""COMPUTED_VALUE"""),45291.0)</f>
        <v>45291</v>
      </c>
      <c r="AN270" s="228"/>
      <c r="AO270" s="228"/>
      <c r="AP270" s="228" t="str">
        <f>IFERROR(__xludf.DUMMYFUNCTION("""COMPUTED_VALUE"""),"NO")</f>
        <v>NO</v>
      </c>
      <c r="AQ270" s="228" t="str">
        <f>IFERROR(__xludf.DUMMYFUNCTION("""COMPUTED_VALUE"""),"Resigned/Terminated")</f>
        <v>Resigned/Terminated</v>
      </c>
    </row>
    <row r="271">
      <c r="A271" s="228">
        <f>IFERROR(__xludf.DUMMYFUNCTION("""COMPUTED_VALUE"""),5082.0)</f>
        <v>5082</v>
      </c>
      <c r="B271" s="228" t="str">
        <f>IFERROR(__xludf.DUMMYFUNCTION("""COMPUTED_VALUE"""),"Laiba Imran")</f>
        <v>Laiba Imran</v>
      </c>
      <c r="C271" s="228" t="str">
        <f>IFERROR(__xludf.DUMMYFUNCTION("""COMPUTED_VALUE"""),"laibavyro@gmail.com")</f>
        <v>laibavyro@gmail.com</v>
      </c>
      <c r="D271" s="228" t="str">
        <f>IFERROR(__xludf.DUMMYFUNCTION("""COMPUTED_VALUE"""),"laiba.imran@vyro.ai")</f>
        <v>laiba.imran@vyro.ai</v>
      </c>
      <c r="E271" s="730">
        <f>IFERROR(__xludf.DUMMYFUNCTION("""COMPUTED_VALUE"""),44866.0)</f>
        <v>44866</v>
      </c>
      <c r="F271" s="228" t="str">
        <f>IFERROR(__xludf.DUMMYFUNCTION("""COMPUTED_VALUE"""),"Junior Product Manager")</f>
        <v>Junior Product Manager</v>
      </c>
      <c r="G271" s="228" t="str">
        <f>IFERROR(__xludf.DUMMYFUNCTION("""COMPUTED_VALUE"""),"Product")</f>
        <v>Product</v>
      </c>
      <c r="H271" s="228" t="str">
        <f>IFERROR(__xludf.DUMMYFUNCTION("""COMPUTED_VALUE"""),"Zain/Abdullah")</f>
        <v>Zain/Abdullah</v>
      </c>
      <c r="I271" s="228" t="str">
        <f>IFERROR(__xludf.DUMMYFUNCTION("""COMPUTED_VALUE"""),"permanent")</f>
        <v>permanent</v>
      </c>
      <c r="J271" s="228" t="str">
        <f>IFERROR(__xludf.DUMMYFUNCTION("""COMPUTED_VALUE"""),"Active")</f>
        <v>Active</v>
      </c>
      <c r="K271" s="228" t="str">
        <f>IFERROR(__xludf.DUMMYFUNCTION("""COMPUTED_VALUE"""),"3 M")</f>
        <v>3 M</v>
      </c>
      <c r="L271" s="732">
        <f>IFERROR(__xludf.DUMMYFUNCTION("""COMPUTED_VALUE"""),44958.0)</f>
        <v>44958</v>
      </c>
      <c r="M271" s="228"/>
      <c r="N271" s="228"/>
      <c r="O271" s="228"/>
      <c r="P271" s="228" t="str">
        <f>IFERROR(__xludf.DUMMYFUNCTION("""COMPUTED_VALUE"""),"03085140155")</f>
        <v>03085140155</v>
      </c>
      <c r="Q271" s="228" t="str">
        <f>IFERROR(__xludf.DUMMYFUNCTION("""COMPUTED_VALUE"""),"37405-8102020-8")</f>
        <v>37405-8102020-8</v>
      </c>
      <c r="R271" s="228" t="str">
        <f>IFERROR(__xludf.DUMMYFUNCTION("""COMPUTED_VALUE"""),"Female")</f>
        <v>Female</v>
      </c>
      <c r="S271" s="228" t="str">
        <f>IFERROR(__xludf.DUMMYFUNCTION("""COMPUTED_VALUE"""),"Faysal Bank")</f>
        <v>Faysal Bank</v>
      </c>
      <c r="T271" s="228"/>
      <c r="U271" s="228" t="str">
        <f>IFERROR(__xludf.DUMMYFUNCTION("""COMPUTED_VALUE"""),"PK27FAYS0184002000002644")</f>
        <v>PK27FAYS0184002000002644</v>
      </c>
      <c r="V271" s="228"/>
      <c r="W271" s="228"/>
      <c r="X271" s="228" t="str">
        <f>IFERROR(__xludf.DUMMYFUNCTION("""COMPUTED_VALUE"""),"Islamabad")</f>
        <v>Islamabad</v>
      </c>
      <c r="Y271" s="730">
        <f>IFERROR(__xludf.DUMMYFUNCTION("""COMPUTED_VALUE"""),36113.0)</f>
        <v>36113</v>
      </c>
      <c r="Z271" s="228" t="str">
        <f>IFERROR(__xludf.DUMMYFUNCTION("""COMPUTED_VALUE"""),"26 Years")</f>
        <v>26 Years</v>
      </c>
      <c r="AA271" s="228" t="str">
        <f>IFERROR(__xludf.DUMMYFUNCTION("""COMPUTED_VALUE"""),"House 6, St 9, Sector D, DHA phase 1, Islamabad")</f>
        <v>House 6, St 9, Sector D, DHA phase 1, Islamabad</v>
      </c>
      <c r="AB271" s="228" t="str">
        <f>IFERROR(__xludf.DUMMYFUNCTION("""COMPUTED_VALUE"""),"Pakistani")</f>
        <v>Pakistani</v>
      </c>
      <c r="AC271" s="228" t="str">
        <f>IFERROR(__xludf.DUMMYFUNCTION("""COMPUTED_VALUE"""),"Single")</f>
        <v>Single</v>
      </c>
      <c r="AD271" s="228"/>
      <c r="AE271" s="228"/>
      <c r="AF271" s="228"/>
      <c r="AG271" s="228" t="str">
        <f>IFERROR(__xludf.DUMMYFUNCTION("""COMPUTED_VALUE"""),"Imran Siddique")</f>
        <v>Imran Siddique</v>
      </c>
      <c r="AH271" s="228" t="str">
        <f>IFERROR(__xludf.DUMMYFUNCTION("""COMPUTED_VALUE"""),"Father")</f>
        <v>Father</v>
      </c>
      <c r="AI271" s="228" t="str">
        <f>IFERROR(__xludf.DUMMYFUNCTION("""COMPUTED_VALUE"""),"03489567274")</f>
        <v>03489567274</v>
      </c>
      <c r="AJ271" s="228" t="str">
        <f>IFERROR(__xludf.DUMMYFUNCTION("""COMPUTED_VALUE"""),"AB+")</f>
        <v>AB+</v>
      </c>
      <c r="AK271" s="731" t="str">
        <f>IFERROR(__xludf.DUMMYFUNCTION("""COMPUTED_VALUE"""),"https://www.linkedin.com/in/laiba-imran-9866991a3/")</f>
        <v>https://www.linkedin.com/in/laiba-imran-9866991a3/</v>
      </c>
      <c r="AL271" s="228"/>
      <c r="AM271" s="730">
        <f>IFERROR(__xludf.DUMMYFUNCTION("""COMPUTED_VALUE"""),45299.0)</f>
        <v>45299</v>
      </c>
      <c r="AN271" s="228"/>
      <c r="AO271" s="228"/>
      <c r="AP271" s="228" t="str">
        <f>IFERROR(__xludf.DUMMYFUNCTION("""COMPUTED_VALUE"""),"NO")</f>
        <v>NO</v>
      </c>
      <c r="AQ271" s="228" t="str">
        <f>IFERROR(__xludf.DUMMYFUNCTION("""COMPUTED_VALUE"""),"Resigned/Terminated")</f>
        <v>Resigned/Terminated</v>
      </c>
    </row>
    <row r="272">
      <c r="A272" s="228">
        <f>IFERROR(__xludf.DUMMYFUNCTION("""COMPUTED_VALUE"""),5071.0)</f>
        <v>5071</v>
      </c>
      <c r="B272" s="228" t="str">
        <f>IFERROR(__xludf.DUMMYFUNCTION("""COMPUTED_VALUE"""),"Sameet Asadullah")</f>
        <v>Sameet Asadullah</v>
      </c>
      <c r="C272" s="228" t="str">
        <f>IFERROR(__xludf.DUMMYFUNCTION("""COMPUTED_VALUE"""),"sameetassadullah744@gmail.com")</f>
        <v>sameetassadullah744@gmail.com</v>
      </c>
      <c r="D272" s="228" t="str">
        <f>IFERROR(__xludf.DUMMYFUNCTION("""COMPUTED_VALUE"""),"sameet.asadullah@vyro.ai")</f>
        <v>sameet.asadullah@vyro.ai</v>
      </c>
      <c r="E272" s="730">
        <f>IFERROR(__xludf.DUMMYFUNCTION("""COMPUTED_VALUE"""),44802.0)</f>
        <v>44802</v>
      </c>
      <c r="F272" s="228" t="str">
        <f>IFERROR(__xludf.DUMMYFUNCTION("""COMPUTED_VALUE"""),"Senior Software Engineer")</f>
        <v>Senior Software Engineer</v>
      </c>
      <c r="G272" s="228" t="str">
        <f>IFERROR(__xludf.DUMMYFUNCTION("""COMPUTED_VALUE"""),"R&amp;D")</f>
        <v>R&amp;D</v>
      </c>
      <c r="H272" s="228" t="str">
        <f>IFERROR(__xludf.DUMMYFUNCTION("""COMPUTED_VALUE"""),"Abdullah")</f>
        <v>Abdullah</v>
      </c>
      <c r="I272" s="228" t="str">
        <f>IFERROR(__xludf.DUMMYFUNCTION("""COMPUTED_VALUE"""),"Permanent")</f>
        <v>Permanent</v>
      </c>
      <c r="J272" s="228" t="str">
        <f>IFERROR(__xludf.DUMMYFUNCTION("""COMPUTED_VALUE"""),"Active")</f>
        <v>Active</v>
      </c>
      <c r="K272" s="228" t="str">
        <f>IFERROR(__xludf.DUMMYFUNCTION("""COMPUTED_VALUE"""),"3 M")</f>
        <v>3 M</v>
      </c>
      <c r="L272" s="732">
        <f>IFERROR(__xludf.DUMMYFUNCTION("""COMPUTED_VALUE"""),44894.0)</f>
        <v>44894</v>
      </c>
      <c r="M272" s="228"/>
      <c r="N272" s="228"/>
      <c r="O272" s="228"/>
      <c r="P272" s="228" t="str">
        <f>IFERROR(__xludf.DUMMYFUNCTION("""COMPUTED_VALUE"""),"03194598889")</f>
        <v>03194598889</v>
      </c>
      <c r="Q272" s="228" t="str">
        <f>IFERROR(__xludf.DUMMYFUNCTION("""COMPUTED_VALUE"""),"33202-2965962-1")</f>
        <v>33202-2965962-1</v>
      </c>
      <c r="R272" s="228" t="str">
        <f>IFERROR(__xludf.DUMMYFUNCTION("""COMPUTED_VALUE"""),"Male")</f>
        <v>Male</v>
      </c>
      <c r="S272" s="228" t="str">
        <f>IFERROR(__xludf.DUMMYFUNCTION("""COMPUTED_VALUE"""),"Meezan")</f>
        <v>Meezan</v>
      </c>
      <c r="T272" s="228"/>
      <c r="U272" s="228" t="str">
        <f>IFERROR(__xludf.DUMMYFUNCTION("""COMPUTED_VALUE"""),"03200107120866")</f>
        <v>03200107120866</v>
      </c>
      <c r="V272" s="228"/>
      <c r="W272" s="228"/>
      <c r="X272" s="228" t="str">
        <f>IFERROR(__xludf.DUMMYFUNCTION("""COMPUTED_VALUE"""),"Islamabad")</f>
        <v>Islamabad</v>
      </c>
      <c r="Y272" s="730">
        <f>IFERROR(__xludf.DUMMYFUNCTION("""COMPUTED_VALUE"""),37005.0)</f>
        <v>37005</v>
      </c>
      <c r="Z272" s="228" t="str">
        <f>IFERROR(__xludf.DUMMYFUNCTION("""COMPUTED_VALUE"""),"24 Years")</f>
        <v>24 Years</v>
      </c>
      <c r="AA272" s="228" t="str">
        <f>IFERROR(__xludf.DUMMYFUNCTION("""COMPUTED_VALUE"""),"House no. 26, St 107, G13/1, Islamabad")</f>
        <v>House no. 26, St 107, G13/1, Islamabad</v>
      </c>
      <c r="AB272" s="228" t="str">
        <f>IFERROR(__xludf.DUMMYFUNCTION("""COMPUTED_VALUE"""),"Pakistani")</f>
        <v>Pakistani</v>
      </c>
      <c r="AC272" s="228" t="str">
        <f>IFERROR(__xludf.DUMMYFUNCTION("""COMPUTED_VALUE"""),"Single")</f>
        <v>Single</v>
      </c>
      <c r="AD272" s="228"/>
      <c r="AE272" s="228"/>
      <c r="AF272" s="228"/>
      <c r="AG272" s="228" t="str">
        <f>IFERROR(__xludf.DUMMYFUNCTION("""COMPUTED_VALUE"""),"Sajjad Hussain")</f>
        <v>Sajjad Hussain</v>
      </c>
      <c r="AH272" s="228" t="str">
        <f>IFERROR(__xludf.DUMMYFUNCTION("""COMPUTED_VALUE"""),"Father")</f>
        <v>Father</v>
      </c>
      <c r="AI272" s="228" t="str">
        <f>IFERROR(__xludf.DUMMYFUNCTION("""COMPUTED_VALUE"""),"03135491961")</f>
        <v>03135491961</v>
      </c>
      <c r="AJ272" s="228"/>
      <c r="AK272" s="731" t="str">
        <f>IFERROR(__xludf.DUMMYFUNCTION("""COMPUTED_VALUE"""),"https://www.linkedin.com/in/sameet-asadullah-055004215/")</f>
        <v>https://www.linkedin.com/in/sameet-asadullah-055004215/</v>
      </c>
      <c r="AL272" s="228"/>
      <c r="AM272" s="730">
        <f>IFERROR(__xludf.DUMMYFUNCTION("""COMPUTED_VALUE"""),45303.0)</f>
        <v>45303</v>
      </c>
      <c r="AN272" s="228"/>
      <c r="AO272" s="228"/>
      <c r="AP272" s="228" t="str">
        <f>IFERROR(__xludf.DUMMYFUNCTION("""COMPUTED_VALUE"""),"NO")</f>
        <v>NO</v>
      </c>
      <c r="AQ272" s="228" t="str">
        <f>IFERROR(__xludf.DUMMYFUNCTION("""COMPUTED_VALUE"""),"Resigned/Terminated")</f>
        <v>Resigned/Terminated</v>
      </c>
    </row>
    <row r="273">
      <c r="A273" s="228">
        <f>IFERROR(__xludf.DUMMYFUNCTION("""COMPUTED_VALUE"""),5157.0)</f>
        <v>5157</v>
      </c>
      <c r="B273" s="228" t="str">
        <f>IFERROR(__xludf.DUMMYFUNCTION("""COMPUTED_VALUE"""),"Zeeshan Afzal")</f>
        <v>Zeeshan Afzal</v>
      </c>
      <c r="C273" s="228" t="str">
        <f>IFERROR(__xludf.DUMMYFUNCTION("""COMPUTED_VALUE"""),"izeeshanafzal348@gmail.com")</f>
        <v>izeeshanafzal348@gmail.com</v>
      </c>
      <c r="D273" s="228" t="str">
        <f>IFERROR(__xludf.DUMMYFUNCTION("""COMPUTED_VALUE"""),"zeeshan.afzal@vyro.ai")</f>
        <v>zeeshan.afzal@vyro.ai</v>
      </c>
      <c r="E273" s="730">
        <f>IFERROR(__xludf.DUMMYFUNCTION("""COMPUTED_VALUE"""),45153.0)</f>
        <v>45153</v>
      </c>
      <c r="F273" s="228" t="str">
        <f>IFERROR(__xludf.DUMMYFUNCTION("""COMPUTED_VALUE"""),"Senior WebGL Engineer")</f>
        <v>Senior WebGL Engineer</v>
      </c>
      <c r="G273" s="228" t="str">
        <f>IFERROR(__xludf.DUMMYFUNCTION("""COMPUTED_VALUE"""),"Web")</f>
        <v>Web</v>
      </c>
      <c r="H273" s="228" t="str">
        <f>IFERROR(__xludf.DUMMYFUNCTION("""COMPUTED_VALUE"""),"Abdullah")</f>
        <v>Abdullah</v>
      </c>
      <c r="I273" s="228" t="str">
        <f>IFERROR(__xludf.DUMMYFUNCTION("""COMPUTED_VALUE"""),"Permanent")</f>
        <v>Permanent</v>
      </c>
      <c r="J273" s="228" t="str">
        <f>IFERROR(__xludf.DUMMYFUNCTION("""COMPUTED_VALUE"""),"Active")</f>
        <v>Active</v>
      </c>
      <c r="K273" s="228" t="str">
        <f>IFERROR(__xludf.DUMMYFUNCTION("""COMPUTED_VALUE"""),"3 M")</f>
        <v>3 M</v>
      </c>
      <c r="L273" s="732">
        <f>IFERROR(__xludf.DUMMYFUNCTION("""COMPUTED_VALUE"""),45245.0)</f>
        <v>45245</v>
      </c>
      <c r="M273" s="228"/>
      <c r="N273" s="228"/>
      <c r="O273" s="228"/>
      <c r="P273" s="228" t="str">
        <f>IFERROR(__xludf.DUMMYFUNCTION("""COMPUTED_VALUE"""),"03347119574")</f>
        <v>03347119574</v>
      </c>
      <c r="Q273" s="228" t="str">
        <f>IFERROR(__xludf.DUMMYFUNCTION("""COMPUTED_VALUE"""),"34402-7115223-7")</f>
        <v>34402-7115223-7</v>
      </c>
      <c r="R273" s="228" t="str">
        <f>IFERROR(__xludf.DUMMYFUNCTION("""COMPUTED_VALUE"""),"Male")</f>
        <v>Male</v>
      </c>
      <c r="S273" s="228" t="str">
        <f>IFERROR(__xludf.DUMMYFUNCTION("""COMPUTED_VALUE"""),"Bank name: First Century Bank,
Transfer type: Local transfer,
Bank Address: 1731 N Elm St Commerce, GA 30529 USA")</f>
        <v>Bank name: First Century Bank,
Transfer type: Local transfer,
Bank Address: 1731 N Elm St Commerce, GA 30529 USA</v>
      </c>
      <c r="T273" s="228" t="str">
        <f>IFERROR(__xludf.DUMMYFUNCTION("""COMPUTED_VALUE"""),"ZEESHAN AFZAL")</f>
        <v>ZEESHAN AFZAL</v>
      </c>
      <c r="U273" s="228" t="str">
        <f>IFERROR(__xludf.DUMMYFUNCTION("""COMPUTED_VALUE""")," Account number: 4021392351779
Account type: CHECKING")</f>
        <v> Account number: 4021392351779
Account type: CHECKING</v>
      </c>
      <c r="V273" s="228" t="str">
        <f>IFERROR(__xludf.DUMMYFUNCTION("""COMPUTED_VALUE"""),"Routing (ABA): 061120084")</f>
        <v>Routing (ABA): 061120084</v>
      </c>
      <c r="W273" s="228"/>
      <c r="X273" s="228" t="str">
        <f>IFERROR(__xludf.DUMMYFUNCTION("""COMPUTED_VALUE"""),"Islamabad")</f>
        <v>Islamabad</v>
      </c>
      <c r="Y273" s="730">
        <f>IFERROR(__xludf.DUMMYFUNCTION("""COMPUTED_VALUE"""),34915.0)</f>
        <v>34915</v>
      </c>
      <c r="Z273" s="228" t="str">
        <f>IFERROR(__xludf.DUMMYFUNCTION("""COMPUTED_VALUE"""),"29 Years")</f>
        <v>29 Years</v>
      </c>
      <c r="AA273" s="228" t="str">
        <f>IFERROR(__xludf.DUMMYFUNCTION("""COMPUTED_VALUE"""),"House 227-b, street no 15, Gulzar e Quaid, Rawalpindi")</f>
        <v>House 227-b, street no 15, Gulzar e Quaid, Rawalpindi</v>
      </c>
      <c r="AB273" s="228" t="str">
        <f>IFERROR(__xludf.DUMMYFUNCTION("""COMPUTED_VALUE"""),"Pakistani")</f>
        <v>Pakistani</v>
      </c>
      <c r="AC273" s="228" t="str">
        <f>IFERROR(__xludf.DUMMYFUNCTION("""COMPUTED_VALUE"""),"Married")</f>
        <v>Married</v>
      </c>
      <c r="AD273" s="228"/>
      <c r="AE273" s="228"/>
      <c r="AF273" s="228"/>
      <c r="AG273" s="228" t="str">
        <f>IFERROR(__xludf.DUMMYFUNCTION("""COMPUTED_VALUE"""),"Muhammad Afzal")</f>
        <v>Muhammad Afzal</v>
      </c>
      <c r="AH273" s="228" t="str">
        <f>IFERROR(__xludf.DUMMYFUNCTION("""COMPUTED_VALUE"""),"Father")</f>
        <v>Father</v>
      </c>
      <c r="AI273" s="228" t="str">
        <f>IFERROR(__xludf.DUMMYFUNCTION("""COMPUTED_VALUE"""),"03005513584")</f>
        <v>03005513584</v>
      </c>
      <c r="AJ273" s="228" t="str">
        <f>IFERROR(__xludf.DUMMYFUNCTION("""COMPUTED_VALUE"""),"A+")</f>
        <v>A+</v>
      </c>
      <c r="AK273" s="731" t="str">
        <f>IFERROR(__xludf.DUMMYFUNCTION("""COMPUTED_VALUE"""),"https://pk.linkedin.com/in/zeeshan-afzal-180")</f>
        <v>https://pk.linkedin.com/in/zeeshan-afzal-180</v>
      </c>
      <c r="AL273" s="228"/>
      <c r="AM273" s="730">
        <f>IFERROR(__xludf.DUMMYFUNCTION("""COMPUTED_VALUE"""),45306.0)</f>
        <v>45306</v>
      </c>
      <c r="AN273" s="228"/>
      <c r="AO273" s="228"/>
      <c r="AP273" s="228" t="str">
        <f>IFERROR(__xludf.DUMMYFUNCTION("""COMPUTED_VALUE"""),"NO")</f>
        <v>NO</v>
      </c>
      <c r="AQ273" s="228" t="str">
        <f>IFERROR(__xludf.DUMMYFUNCTION("""COMPUTED_VALUE"""),"Resigned/Terminated")</f>
        <v>Resigned/Terminated</v>
      </c>
    </row>
    <row r="274">
      <c r="A274" s="228">
        <f>IFERROR(__xludf.DUMMYFUNCTION("""COMPUTED_VALUE"""),5215.0)</f>
        <v>5215</v>
      </c>
      <c r="B274" s="228" t="str">
        <f>IFERROR(__xludf.DUMMYFUNCTION("""COMPUTED_VALUE"""),"Nasser Ansari")</f>
        <v>Nasser Ansari</v>
      </c>
      <c r="C274" s="228" t="str">
        <f>IFERROR(__xludf.DUMMYFUNCTION("""COMPUTED_VALUE"""),"nasseransari31@gmail.com")</f>
        <v>nasseransari31@gmail.com</v>
      </c>
      <c r="D274" s="228" t="str">
        <f>IFERROR(__xludf.DUMMYFUNCTION("""COMPUTED_VALUE"""),"Nasser.ansari@vyro.ai")</f>
        <v>Nasser.ansari@vyro.ai</v>
      </c>
      <c r="E274" s="730">
        <f>IFERROR(__xludf.DUMMYFUNCTION("""COMPUTED_VALUE"""),45258.0)</f>
        <v>45258</v>
      </c>
      <c r="F274" s="228" t="str">
        <f>IFERROR(__xludf.DUMMYFUNCTION("""COMPUTED_VALUE"""),"Product Design Manager")</f>
        <v>Product Design Manager</v>
      </c>
      <c r="G274" s="228" t="str">
        <f>IFERROR(__xludf.DUMMYFUNCTION("""COMPUTED_VALUE"""),"Product Design")</f>
        <v>Product Design</v>
      </c>
      <c r="H274" s="228" t="str">
        <f>IFERROR(__xludf.DUMMYFUNCTION("""COMPUTED_VALUE"""),"Abdullah")</f>
        <v>Abdullah</v>
      </c>
      <c r="I274" s="228" t="str">
        <f>IFERROR(__xludf.DUMMYFUNCTION("""COMPUTED_VALUE"""),"Permanent")</f>
        <v>Permanent</v>
      </c>
      <c r="J274" s="228" t="str">
        <f>IFERROR(__xludf.DUMMYFUNCTION("""COMPUTED_VALUE"""),"Active")</f>
        <v>Active</v>
      </c>
      <c r="K274" s="228" t="str">
        <f>IFERROR(__xludf.DUMMYFUNCTION("""COMPUTED_VALUE"""),"3M")</f>
        <v>3M</v>
      </c>
      <c r="L274" s="732">
        <f>IFERROR(__xludf.DUMMYFUNCTION("""COMPUTED_VALUE"""),45349.0)</f>
        <v>45349</v>
      </c>
      <c r="M274" s="228"/>
      <c r="N274" s="228"/>
      <c r="O274" s="228"/>
      <c r="P274" s="228"/>
      <c r="Q274" s="228" t="str">
        <f>IFERROR(__xludf.DUMMYFUNCTION("""COMPUTED_VALUE"""),"37499764411")</f>
        <v>37499764411</v>
      </c>
      <c r="R274" s="228" t="str">
        <f>IFERROR(__xludf.DUMMYFUNCTION("""COMPUTED_VALUE"""),"Male")</f>
        <v>Male</v>
      </c>
      <c r="S274" s="228" t="str">
        <f>IFERROR(__xludf.DUMMYFUNCTION("""COMPUTED_VALUE"""),"Beneficiary Bank: HSBC Bank Armenia cjsc Yerevan, Armenia
Corresponding Bank: HSBC Bank USA New York US")</f>
        <v>Beneficiary Bank: HSBC Bank Armenia cjsc Yerevan, Armenia
Corresponding Bank: HSBC Bank USA New York US</v>
      </c>
      <c r="T274" s="228" t="str">
        <f>IFERROR(__xludf.DUMMYFUNCTION("""COMPUTED_VALUE"""),"Nasser Ansari")</f>
        <v>Nasser Ansari</v>
      </c>
      <c r="U274" s="228" t="str">
        <f>IFERROR(__xludf.DUMMYFUNCTION("""COMPUTED_VALUE"""),"A/C NO: 003212636001")</f>
        <v>A/C NO: 003212636001</v>
      </c>
      <c r="V274" s="228" t="str">
        <f>IFERROR(__xludf.DUMMYFUNCTION("""COMPUTED_VALUE"""),"Beneficiary Bank Swift Code: MIDLAM22
Corresponding Bank Swift Code: MRMDUS33")</f>
        <v>Beneficiary Bank Swift Code: MIDLAM22
Corresponding Bank Swift Code: MRMDUS33</v>
      </c>
      <c r="W274" s="228"/>
      <c r="X274" s="228" t="str">
        <f>IFERROR(__xludf.DUMMYFUNCTION("""COMPUTED_VALUE"""),"Remote")</f>
        <v>Remote</v>
      </c>
      <c r="Y274" s="228"/>
      <c r="Z274" s="228"/>
      <c r="AA274" s="228"/>
      <c r="AB274" s="228"/>
      <c r="AC274" s="228"/>
      <c r="AD274" s="228"/>
      <c r="AE274" s="228"/>
      <c r="AF274" s="228"/>
      <c r="AG274" s="228"/>
      <c r="AH274" s="228"/>
      <c r="AI274" s="228"/>
      <c r="AJ274" s="228"/>
      <c r="AK274" s="228"/>
      <c r="AL274" s="228"/>
      <c r="AM274" s="730">
        <f>IFERROR(__xludf.DUMMYFUNCTION("""COMPUTED_VALUE"""),45307.0)</f>
        <v>45307</v>
      </c>
      <c r="AN274" s="228"/>
      <c r="AO274" s="228"/>
      <c r="AP274" s="228" t="str">
        <f>IFERROR(__xludf.DUMMYFUNCTION("""COMPUTED_VALUE"""),"NO")</f>
        <v>NO</v>
      </c>
      <c r="AQ274" s="228" t="str">
        <f>IFERROR(__xludf.DUMMYFUNCTION("""COMPUTED_VALUE"""),"Resigned/Terminated")</f>
        <v>Resigned/Terminated</v>
      </c>
    </row>
    <row r="275">
      <c r="A275" s="228">
        <f>IFERROR(__xludf.DUMMYFUNCTION("""COMPUTED_VALUE"""),5143.0)</f>
        <v>5143</v>
      </c>
      <c r="B275" s="228" t="str">
        <f>IFERROR(__xludf.DUMMYFUNCTION("""COMPUTED_VALUE"""),"Momal Ijaz")</f>
        <v>Momal Ijaz</v>
      </c>
      <c r="C275" s="228" t="str">
        <f>IFERROR(__xludf.DUMMYFUNCTION("""COMPUTED_VALUE"""),"momilijaz@gmail.com")</f>
        <v>momilijaz@gmail.com</v>
      </c>
      <c r="D275" s="228" t="str">
        <f>IFERROR(__xludf.DUMMYFUNCTION("""COMPUTED_VALUE"""),"momal.ijaz@vyro.ai")</f>
        <v>momal.ijaz@vyro.ai</v>
      </c>
      <c r="E275" s="730">
        <f>IFERROR(__xludf.DUMMYFUNCTION("""COMPUTED_VALUE"""),45103.0)</f>
        <v>45103</v>
      </c>
      <c r="F275" s="228" t="str">
        <f>IFERROR(__xludf.DUMMYFUNCTION("""COMPUTED_VALUE"""),"ML Lead")</f>
        <v>ML Lead</v>
      </c>
      <c r="G275" s="228" t="str">
        <f>IFERROR(__xludf.DUMMYFUNCTION("""COMPUTED_VALUE"""),"ML")</f>
        <v>ML</v>
      </c>
      <c r="H275" s="228" t="str">
        <f>IFERROR(__xludf.DUMMYFUNCTION("""COMPUTED_VALUE"""),"Abdullah")</f>
        <v>Abdullah</v>
      </c>
      <c r="I275" s="228" t="str">
        <f>IFERROR(__xludf.DUMMYFUNCTION("""COMPUTED_VALUE"""),"Permanent")</f>
        <v>Permanent</v>
      </c>
      <c r="J275" s="228" t="str">
        <f>IFERROR(__xludf.DUMMYFUNCTION("""COMPUTED_VALUE"""),"Active")</f>
        <v>Active</v>
      </c>
      <c r="K275" s="228" t="str">
        <f>IFERROR(__xludf.DUMMYFUNCTION("""COMPUTED_VALUE"""),"3 M")</f>
        <v>3 M</v>
      </c>
      <c r="L275" s="732">
        <f>IFERROR(__xludf.DUMMYFUNCTION("""COMPUTED_VALUE"""),45195.0)</f>
        <v>45195</v>
      </c>
      <c r="M275" s="228"/>
      <c r="N275" s="228"/>
      <c r="O275" s="228"/>
      <c r="P275" s="228" t="str">
        <f>IFERROR(__xludf.DUMMYFUNCTION("""COMPUTED_VALUE"""),"3479075154")</f>
        <v>3479075154</v>
      </c>
      <c r="Q275" s="228" t="str">
        <f>IFERROR(__xludf.DUMMYFUNCTION("""COMPUTED_VALUE"""),"17301-8360724-2")</f>
        <v>17301-8360724-2</v>
      </c>
      <c r="R275" s="228" t="str">
        <f>IFERROR(__xludf.DUMMYFUNCTION("""COMPUTED_VALUE"""),"Female")</f>
        <v>Female</v>
      </c>
      <c r="S275" s="228" t="str">
        <f>IFERROR(__xludf.DUMMYFUNCTION("""COMPUTED_VALUE"""),"UBL")</f>
        <v>UBL</v>
      </c>
      <c r="T275" s="228" t="str">
        <f>IFERROR(__xludf.DUMMYFUNCTION("""COMPUTED_VALUE"""),"Momal Ijaz")</f>
        <v>Momal Ijaz</v>
      </c>
      <c r="U275" s="228" t="str">
        <f>IFERROR(__xludf.DUMMYFUNCTION("""COMPUTED_VALUE"""),"PK25UNIL0109000252623938")</f>
        <v>PK25UNIL0109000252623938</v>
      </c>
      <c r="V275" s="228" t="str">
        <f>IFERROR(__xludf.DUMMYFUNCTION("""COMPUTED_VALUE"""),"UNILPKKA741")</f>
        <v>UNILPKKA741</v>
      </c>
      <c r="W275" s="228"/>
      <c r="X275" s="228" t="str">
        <f>IFERROR(__xludf.DUMMYFUNCTION("""COMPUTED_VALUE"""),"Islamabad")</f>
        <v>Islamabad</v>
      </c>
      <c r="Y275" s="730">
        <f>IFERROR(__xludf.DUMMYFUNCTION("""COMPUTED_VALUE"""),35300.0)</f>
        <v>35300</v>
      </c>
      <c r="Z275" s="228" t="str">
        <f>IFERROR(__xludf.DUMMYFUNCTION("""COMPUTED_VALUE"""),"28 Years")</f>
        <v>28 Years</v>
      </c>
      <c r="AA275" s="228" t="str">
        <f>IFERROR(__xludf.DUMMYFUNCTION("""COMPUTED_VALUE"""),"407 Askaan-1 E-11/1 Islamabad")</f>
        <v>407 Askaan-1 E-11/1 Islamabad</v>
      </c>
      <c r="AB275" s="228" t="str">
        <f>IFERROR(__xludf.DUMMYFUNCTION("""COMPUTED_VALUE"""),"Pakistani")</f>
        <v>Pakistani</v>
      </c>
      <c r="AC275" s="228" t="str">
        <f>IFERROR(__xludf.DUMMYFUNCTION("""COMPUTED_VALUE"""),"Married")</f>
        <v>Married</v>
      </c>
      <c r="AD275" s="228"/>
      <c r="AE275" s="228"/>
      <c r="AF275" s="228"/>
      <c r="AG275" s="228" t="str">
        <f>IFERROR(__xludf.DUMMYFUNCTION("""COMPUTED_VALUE"""),"Ijaz Ahmed")</f>
        <v>Ijaz Ahmed</v>
      </c>
      <c r="AH275" s="228" t="str">
        <f>IFERROR(__xludf.DUMMYFUNCTION("""COMPUTED_VALUE"""),"Fiance")</f>
        <v>Fiance</v>
      </c>
      <c r="AI275" s="228" t="str">
        <f>IFERROR(__xludf.DUMMYFUNCTION("""COMPUTED_VALUE"""),"#ERROR!")</f>
        <v>#ERROR!</v>
      </c>
      <c r="AJ275" s="228" t="str">
        <f>IFERROR(__xludf.DUMMYFUNCTION("""COMPUTED_VALUE"""),"O-")</f>
        <v>O-</v>
      </c>
      <c r="AK275" s="731" t="str">
        <f>IFERROR(__xludf.DUMMYFUNCTION("""COMPUTED_VALUE"""),"https://www.linkedin.com/in/momal-ijaz/")</f>
        <v>https://www.linkedin.com/in/momal-ijaz/</v>
      </c>
      <c r="AL275" s="228"/>
      <c r="AM275" s="730">
        <f>IFERROR(__xludf.DUMMYFUNCTION("""COMPUTED_VALUE"""),45310.0)</f>
        <v>45310</v>
      </c>
      <c r="AN275" s="228"/>
      <c r="AO275" s="228"/>
      <c r="AP275" s="228" t="str">
        <f>IFERROR(__xludf.DUMMYFUNCTION("""COMPUTED_VALUE"""),"NO")</f>
        <v>NO</v>
      </c>
      <c r="AQ275" s="228" t="str">
        <f>IFERROR(__xludf.DUMMYFUNCTION("""COMPUTED_VALUE"""),"Resigned/Terminated")</f>
        <v>Resigned/Terminated</v>
      </c>
    </row>
    <row r="276">
      <c r="A276" s="228">
        <f>IFERROR(__xludf.DUMMYFUNCTION("""COMPUTED_VALUE"""),5176.0)</f>
        <v>5176</v>
      </c>
      <c r="B276" s="228" t="str">
        <f>IFERROR(__xludf.DUMMYFUNCTION("""COMPUTED_VALUE"""),"Rana Usair Sohail")</f>
        <v>Rana Usair Sohail</v>
      </c>
      <c r="C276" s="228" t="str">
        <f>IFERROR(__xludf.DUMMYFUNCTION("""COMPUTED_VALUE"""),"usairrajput100@gmail.com")</f>
        <v>usairrajput100@gmail.com</v>
      </c>
      <c r="D276" s="228" t="str">
        <f>IFERROR(__xludf.DUMMYFUNCTION("""COMPUTED_VALUE"""),"usair.sohail@vyro.ai")</f>
        <v>usair.sohail@vyro.ai</v>
      </c>
      <c r="E276" s="730">
        <f>IFERROR(__xludf.DUMMYFUNCTION("""COMPUTED_VALUE"""),45176.0)</f>
        <v>45176</v>
      </c>
      <c r="F276" s="228" t="str">
        <f>IFERROR(__xludf.DUMMYFUNCTION("""COMPUTED_VALUE"""),"Senior Product Designer")</f>
        <v>Senior Product Designer</v>
      </c>
      <c r="G276" s="228" t="str">
        <f>IFERROR(__xludf.DUMMYFUNCTION("""COMPUTED_VALUE"""),"Design")</f>
        <v>Design</v>
      </c>
      <c r="H276" s="228" t="str">
        <f>IFERROR(__xludf.DUMMYFUNCTION("""COMPUTED_VALUE"""),"Zain")</f>
        <v>Zain</v>
      </c>
      <c r="I276" s="228" t="str">
        <f>IFERROR(__xludf.DUMMYFUNCTION("""COMPUTED_VALUE"""),"Permanent")</f>
        <v>Permanent</v>
      </c>
      <c r="J276" s="228" t="str">
        <f>IFERROR(__xludf.DUMMYFUNCTION("""COMPUTED_VALUE"""),"Active")</f>
        <v>Active</v>
      </c>
      <c r="K276" s="228" t="str">
        <f>IFERROR(__xludf.DUMMYFUNCTION("""COMPUTED_VALUE"""),"3 M")</f>
        <v>3 M</v>
      </c>
      <c r="L276" s="732">
        <f>IFERROR(__xludf.DUMMYFUNCTION("""COMPUTED_VALUE"""),45267.0)</f>
        <v>45267</v>
      </c>
      <c r="M276" s="228"/>
      <c r="N276" s="228"/>
      <c r="O276" s="228"/>
      <c r="P276" s="228" t="str">
        <f>IFERROR(__xludf.DUMMYFUNCTION("""COMPUTED_VALUE"""),"3094158289")</f>
        <v>3094158289</v>
      </c>
      <c r="Q276" s="228" t="str">
        <f>IFERROR(__xludf.DUMMYFUNCTION("""COMPUTED_VALUE"""),"35202-2606196-5")</f>
        <v>35202-2606196-5</v>
      </c>
      <c r="R276" s="228" t="str">
        <f>IFERROR(__xludf.DUMMYFUNCTION("""COMPUTED_VALUE"""),"Male")</f>
        <v>Male</v>
      </c>
      <c r="S276" s="228" t="str">
        <f>IFERROR(__xludf.DUMMYFUNCTION("""COMPUTED_VALUE"""),"Meezan Bank")</f>
        <v>Meezan Bank</v>
      </c>
      <c r="T276" s="228" t="str">
        <f>IFERROR(__xludf.DUMMYFUNCTION("""COMPUTED_VALUE"""),"RANA MUHAMMAD USAIR SOHAIL")</f>
        <v>RANA MUHAMMAD USAIR SOHAIL</v>
      </c>
      <c r="U276" s="228" t="str">
        <f>IFERROR(__xludf.DUMMYFUNCTION("""COMPUTED_VALUE"""),"PK26MEZN0011590107956536")</f>
        <v>PK26MEZN0011590107956536</v>
      </c>
      <c r="V276" s="228" t="str">
        <f>IFERROR(__xludf.DUMMYFUNCTION("""COMPUTED_VALUE"""),"MEZNPKKALHR")</f>
        <v>MEZNPKKALHR</v>
      </c>
      <c r="W276" s="228"/>
      <c r="X276" s="228" t="str">
        <f>IFERROR(__xludf.DUMMYFUNCTION("""COMPUTED_VALUE"""),"Lahore")</f>
        <v>Lahore</v>
      </c>
      <c r="Y276" s="730">
        <f>IFERROR(__xludf.DUMMYFUNCTION("""COMPUTED_VALUE"""),35779.0)</f>
        <v>35779</v>
      </c>
      <c r="Z276" s="228" t="str">
        <f>IFERROR(__xludf.DUMMYFUNCTION("""COMPUTED_VALUE"""),"27 Years")</f>
        <v>27 Years</v>
      </c>
      <c r="AA276" s="228" t="str">
        <f>IFERROR(__xludf.DUMMYFUNCTION("""COMPUTED_VALUE"""),"House #52 Street #3 Iqbal Block, Bismillah Housing Scheme, Manawan, Main G.T Road Lahore")</f>
        <v>House #52 Street #3 Iqbal Block, Bismillah Housing Scheme, Manawan, Main G.T Road Lahore</v>
      </c>
      <c r="AB276" s="228" t="str">
        <f>IFERROR(__xludf.DUMMYFUNCTION("""COMPUTED_VALUE"""),"Pakistani")</f>
        <v>Pakistani</v>
      </c>
      <c r="AC276" s="228" t="str">
        <f>IFERROR(__xludf.DUMMYFUNCTION("""COMPUTED_VALUE"""),"Single")</f>
        <v>Single</v>
      </c>
      <c r="AD276" s="228"/>
      <c r="AE276" s="228"/>
      <c r="AF276" s="228"/>
      <c r="AG276" s="228" t="str">
        <f>IFERROR(__xludf.DUMMYFUNCTION("""COMPUTED_VALUE"""),"Rana Sohail")</f>
        <v>Rana Sohail</v>
      </c>
      <c r="AH276" s="228" t="str">
        <f>IFERROR(__xludf.DUMMYFUNCTION("""COMPUTED_VALUE"""),"Father")</f>
        <v>Father</v>
      </c>
      <c r="AI276" s="228" t="str">
        <f>IFERROR(__xludf.DUMMYFUNCTION("""COMPUTED_VALUE"""),"3317060023")</f>
        <v>3317060023</v>
      </c>
      <c r="AJ276" s="228" t="str">
        <f>IFERROR(__xludf.DUMMYFUNCTION("""COMPUTED_VALUE"""),"B-")</f>
        <v>B-</v>
      </c>
      <c r="AK276" s="731" t="str">
        <f>IFERROR(__xludf.DUMMYFUNCTION("""COMPUTED_VALUE"""),"https://pk.linkedin.com/in/usair-rana-41904b171")</f>
        <v>https://pk.linkedin.com/in/usair-rana-41904b171</v>
      </c>
      <c r="AL276" s="228"/>
      <c r="AM276" s="730">
        <f>IFERROR(__xludf.DUMMYFUNCTION("""COMPUTED_VALUE"""),45317.0)</f>
        <v>45317</v>
      </c>
      <c r="AN276" s="228"/>
      <c r="AO276" s="228"/>
      <c r="AP276" s="228" t="str">
        <f>IFERROR(__xludf.DUMMYFUNCTION("""COMPUTED_VALUE"""),"NO")</f>
        <v>NO</v>
      </c>
      <c r="AQ276" s="228" t="str">
        <f>IFERROR(__xludf.DUMMYFUNCTION("""COMPUTED_VALUE"""),"Resigned/Terminated")</f>
        <v>Resigned/Terminated</v>
      </c>
    </row>
    <row r="277">
      <c r="A277" s="228">
        <f>IFERROR(__xludf.DUMMYFUNCTION("""COMPUTED_VALUE"""),5162.0)</f>
        <v>5162</v>
      </c>
      <c r="B277" s="228" t="str">
        <f>IFERROR(__xludf.DUMMYFUNCTION("""COMPUTED_VALUE"""),"Muaaz Arshad")</f>
        <v>Muaaz Arshad</v>
      </c>
      <c r="C277" s="228" t="str">
        <f>IFERROR(__xludf.DUMMYFUNCTION("""COMPUTED_VALUE"""),"muaazarshad07@gmail.com")</f>
        <v>muaazarshad07@gmail.com</v>
      </c>
      <c r="D277" s="228" t="str">
        <f>IFERROR(__xludf.DUMMYFUNCTION("""COMPUTED_VALUE"""),"muaaz.arshad@vyro.ai")</f>
        <v>muaaz.arshad@vyro.ai</v>
      </c>
      <c r="E277" s="730">
        <f>IFERROR(__xludf.DUMMYFUNCTION("""COMPUTED_VALUE"""),45166.0)</f>
        <v>45166</v>
      </c>
      <c r="F277" s="228" t="str">
        <f>IFERROR(__xludf.DUMMYFUNCTION("""COMPUTED_VALUE"""),"People Stream Expert")</f>
        <v>People Stream Expert</v>
      </c>
      <c r="G277" s="228" t="str">
        <f>IFERROR(__xludf.DUMMYFUNCTION("""COMPUTED_VALUE"""),"People")</f>
        <v>People</v>
      </c>
      <c r="H277" s="228" t="str">
        <f>IFERROR(__xludf.DUMMYFUNCTION("""COMPUTED_VALUE"""),"Ahmed")</f>
        <v>Ahmed</v>
      </c>
      <c r="I277" s="228" t="str">
        <f>IFERROR(__xludf.DUMMYFUNCTION("""COMPUTED_VALUE"""),"Terminated")</f>
        <v>Terminated</v>
      </c>
      <c r="J277" s="228" t="str">
        <f>IFERROR(__xludf.DUMMYFUNCTION("""COMPUTED_VALUE"""),"inactive")</f>
        <v>inactive</v>
      </c>
      <c r="K277" s="228" t="str">
        <f>IFERROR(__xludf.DUMMYFUNCTION("""COMPUTED_VALUE"""),"3 M")</f>
        <v>3 M</v>
      </c>
      <c r="L277" s="732">
        <f>IFERROR(__xludf.DUMMYFUNCTION("""COMPUTED_VALUE"""),45258.0)</f>
        <v>45258</v>
      </c>
      <c r="M277" s="228"/>
      <c r="N277" s="228"/>
      <c r="O277" s="228"/>
      <c r="P277" s="228" t="str">
        <f>IFERROR(__xludf.DUMMYFUNCTION("""COMPUTED_VALUE"""),"3223304542")</f>
        <v>3223304542</v>
      </c>
      <c r="Q277" s="228" t="str">
        <f>IFERROR(__xludf.DUMMYFUNCTION("""COMPUTED_VALUE"""),"34101-0197233-1")</f>
        <v>34101-0197233-1</v>
      </c>
      <c r="R277" s="228" t="str">
        <f>IFERROR(__xludf.DUMMYFUNCTION("""COMPUTED_VALUE"""),"Male")</f>
        <v>Male</v>
      </c>
      <c r="S277" s="228" t="str">
        <f>IFERROR(__xludf.DUMMYFUNCTION("""COMPUTED_VALUE"""),"Meezan")</f>
        <v>Meezan</v>
      </c>
      <c r="T277" s="228" t="str">
        <f>IFERROR(__xludf.DUMMYFUNCTION("""COMPUTED_VALUE"""),"Muaaz Arshad")</f>
        <v>Muaaz Arshad</v>
      </c>
      <c r="U277" s="228" t="str">
        <f>IFERROR(__xludf.DUMMYFUNCTION("""COMPUTED_VALUE"""),"PK87MEZN0002160106548876")</f>
        <v>PK87MEZN0002160106548876</v>
      </c>
      <c r="V277" s="228"/>
      <c r="W277" s="228"/>
      <c r="X277" s="228" t="str">
        <f>IFERROR(__xludf.DUMMYFUNCTION("""COMPUTED_VALUE"""),"Lahore")</f>
        <v>Lahore</v>
      </c>
      <c r="Y277" s="730">
        <f>IFERROR(__xludf.DUMMYFUNCTION("""COMPUTED_VALUE"""),33917.0)</f>
        <v>33917</v>
      </c>
      <c r="Z277" s="228" t="str">
        <f>IFERROR(__xludf.DUMMYFUNCTION("""COMPUTED_VALUE"""),"32 Years")</f>
        <v>32 Years</v>
      </c>
      <c r="AA277" s="228" t="str">
        <f>IFERROR(__xludf.DUMMYFUNCTION("""COMPUTED_VALUE"""),"11-R, Gulberg 2, Lahore.")</f>
        <v>11-R, Gulberg 2, Lahore.</v>
      </c>
      <c r="AB277" s="228" t="str">
        <f>IFERROR(__xludf.DUMMYFUNCTION("""COMPUTED_VALUE"""),"Pakistani")</f>
        <v>Pakistani</v>
      </c>
      <c r="AC277" s="228" t="str">
        <f>IFERROR(__xludf.DUMMYFUNCTION("""COMPUTED_VALUE"""),"Married")</f>
        <v>Married</v>
      </c>
      <c r="AD277" s="228"/>
      <c r="AE277" s="228"/>
      <c r="AF277" s="228"/>
      <c r="AG277" s="228" t="str">
        <f>IFERROR(__xludf.DUMMYFUNCTION("""COMPUTED_VALUE"""),"Arshad Mahmood")</f>
        <v>Arshad Mahmood</v>
      </c>
      <c r="AH277" s="228" t="str">
        <f>IFERROR(__xludf.DUMMYFUNCTION("""COMPUTED_VALUE"""),"Brother")</f>
        <v>Brother</v>
      </c>
      <c r="AI277" s="228" t="str">
        <f>IFERROR(__xludf.DUMMYFUNCTION("""COMPUTED_VALUE"""),"03225642453")</f>
        <v>03225642453</v>
      </c>
      <c r="AJ277" s="228" t="str">
        <f>IFERROR(__xludf.DUMMYFUNCTION("""COMPUTED_VALUE"""),"B+")</f>
        <v>B+</v>
      </c>
      <c r="AK277" s="731" t="str">
        <f>IFERROR(__xludf.DUMMYFUNCTION("""COMPUTED_VALUE"""),"https://www.linkedin.com/mwlite/in/muaaz-arshad-00696710b")</f>
        <v>https://www.linkedin.com/mwlite/in/muaaz-arshad-00696710b</v>
      </c>
      <c r="AL277" s="228"/>
      <c r="AM277" s="730">
        <f>IFERROR(__xludf.DUMMYFUNCTION("""COMPUTED_VALUE"""),45321.0)</f>
        <v>45321</v>
      </c>
      <c r="AN277" s="228"/>
      <c r="AO277" s="228"/>
      <c r="AP277" s="228" t="str">
        <f>IFERROR(__xludf.DUMMYFUNCTION("""COMPUTED_VALUE"""),"NO")</f>
        <v>NO</v>
      </c>
      <c r="AQ277" s="228" t="str">
        <f>IFERROR(__xludf.DUMMYFUNCTION("""COMPUTED_VALUE"""),"Resigned/Terminated")</f>
        <v>Resigned/Terminated</v>
      </c>
    </row>
    <row r="278">
      <c r="A278" s="228">
        <f>IFERROR(__xludf.DUMMYFUNCTION("""COMPUTED_VALUE"""),5165.0)</f>
        <v>5165</v>
      </c>
      <c r="B278" s="228" t="str">
        <f>IFERROR(__xludf.DUMMYFUNCTION("""COMPUTED_VALUE"""),"Ali Aziz")</f>
        <v>Ali Aziz</v>
      </c>
      <c r="C278" s="228" t="str">
        <f>IFERROR(__xludf.DUMMYFUNCTION("""COMPUTED_VALUE"""),"aliazizjanjua@gmail.com")</f>
        <v>aliazizjanjua@gmail.com</v>
      </c>
      <c r="D278" s="228" t="str">
        <f>IFERROR(__xludf.DUMMYFUNCTION("""COMPUTED_VALUE"""),"ali.aziz@vyro.ai")</f>
        <v>ali.aziz@vyro.ai</v>
      </c>
      <c r="E278" s="730">
        <f>IFERROR(__xludf.DUMMYFUNCTION("""COMPUTED_VALUE"""),45173.0)</f>
        <v>45173</v>
      </c>
      <c r="F278" s="228" t="str">
        <f>IFERROR(__xludf.DUMMYFUNCTION("""COMPUTED_VALUE"""),"Motion Graphic Designer")</f>
        <v>Motion Graphic Designer</v>
      </c>
      <c r="G278" s="228" t="str">
        <f>IFERROR(__xludf.DUMMYFUNCTION("""COMPUTED_VALUE"""),"Creatives")</f>
        <v>Creatives</v>
      </c>
      <c r="H278" s="228" t="str">
        <f>IFERROR(__xludf.DUMMYFUNCTION("""COMPUTED_VALUE"""),"Ahmed")</f>
        <v>Ahmed</v>
      </c>
      <c r="I278" s="228" t="str">
        <f>IFERROR(__xludf.DUMMYFUNCTION("""COMPUTED_VALUE"""),"Permanent")</f>
        <v>Permanent</v>
      </c>
      <c r="J278" s="228" t="str">
        <f>IFERROR(__xludf.DUMMYFUNCTION("""COMPUTED_VALUE"""),"Active")</f>
        <v>Active</v>
      </c>
      <c r="K278" s="228" t="str">
        <f>IFERROR(__xludf.DUMMYFUNCTION("""COMPUTED_VALUE"""),"3 M")</f>
        <v>3 M</v>
      </c>
      <c r="L278" s="732">
        <f>IFERROR(__xludf.DUMMYFUNCTION("""COMPUTED_VALUE"""),45264.0)</f>
        <v>45264</v>
      </c>
      <c r="M278" s="228"/>
      <c r="N278" s="228"/>
      <c r="O278" s="228"/>
      <c r="P278" s="228" t="str">
        <f>IFERROR(__xludf.DUMMYFUNCTION("""COMPUTED_VALUE"""),"3065863359")</f>
        <v>3065863359</v>
      </c>
      <c r="Q278" s="228" t="str">
        <f>IFERROR(__xludf.DUMMYFUNCTION("""COMPUTED_VALUE"""),"81202-8426576-7")</f>
        <v>81202-8426576-7</v>
      </c>
      <c r="R278" s="228" t="str">
        <f>IFERROR(__xludf.DUMMYFUNCTION("""COMPUTED_VALUE"""),"Male")</f>
        <v>Male</v>
      </c>
      <c r="S278" s="228" t="str">
        <f>IFERROR(__xludf.DUMMYFUNCTION("""COMPUTED_VALUE"""),"Habib Bank Limited(HBL)")</f>
        <v>Habib Bank Limited(HBL)</v>
      </c>
      <c r="T278" s="228" t="str">
        <f>IFERROR(__xludf.DUMMYFUNCTION("""COMPUTED_VALUE"""),"Ali Aziz Janjua")</f>
        <v>Ali Aziz Janjua</v>
      </c>
      <c r="U278" s="228" t="str">
        <f>IFERROR(__xludf.DUMMYFUNCTION("""COMPUTED_VALUE"""),"PK07HABB0050837900867403")</f>
        <v>PK07HABB0050837900867403</v>
      </c>
      <c r="V278" s="228"/>
      <c r="W278" s="228"/>
      <c r="X278" s="228" t="str">
        <f>IFERROR(__xludf.DUMMYFUNCTION("""COMPUTED_VALUE"""),"Islamabad")</f>
        <v>Islamabad</v>
      </c>
      <c r="Y278" s="730">
        <f>IFERROR(__xludf.DUMMYFUNCTION("""COMPUTED_VALUE"""),35053.0)</f>
        <v>35053</v>
      </c>
      <c r="Z278" s="228" t="str">
        <f>IFERROR(__xludf.DUMMYFUNCTION("""COMPUTED_VALUE"""),"29 Years")</f>
        <v>29 Years</v>
      </c>
      <c r="AA278" s="228" t="str">
        <f>IFERROR(__xludf.DUMMYFUNCTION("""COMPUTED_VALUE"""),"Apartment #1, Chaudhry Heights, Main Marwa Town Markaz, Islamabad")</f>
        <v>Apartment #1, Chaudhry Heights, Main Marwa Town Markaz, Islamabad</v>
      </c>
      <c r="AB278" s="228" t="str">
        <f>IFERROR(__xludf.DUMMYFUNCTION("""COMPUTED_VALUE"""),"Pakistani")</f>
        <v>Pakistani</v>
      </c>
      <c r="AC278" s="228" t="str">
        <f>IFERROR(__xludf.DUMMYFUNCTION("""COMPUTED_VALUE"""),"Single")</f>
        <v>Single</v>
      </c>
      <c r="AD278" s="228"/>
      <c r="AE278" s="228"/>
      <c r="AF278" s="228"/>
      <c r="AG278" s="228" t="str">
        <f>IFERROR(__xludf.DUMMYFUNCTION("""COMPUTED_VALUE"""),"Muhammad Aziz")</f>
        <v>Muhammad Aziz</v>
      </c>
      <c r="AH278" s="228" t="str">
        <f>IFERROR(__xludf.DUMMYFUNCTION("""COMPUTED_VALUE"""),"Mother")</f>
        <v>Mother</v>
      </c>
      <c r="AI278" s="228" t="str">
        <f>IFERROR(__xludf.DUMMYFUNCTION("""COMPUTED_VALUE"""),"03465212663")</f>
        <v>03465212663</v>
      </c>
      <c r="AJ278" s="228" t="str">
        <f>IFERROR(__xludf.DUMMYFUNCTION("""COMPUTED_VALUE"""),"A+")</f>
        <v>A+</v>
      </c>
      <c r="AK278" s="731" t="str">
        <f>IFERROR(__xludf.DUMMYFUNCTION("""COMPUTED_VALUE"""),"https://www.linkedin.com/in/muhammadabdullahaziz98/")</f>
        <v>https://www.linkedin.com/in/muhammadabdullahaziz98/</v>
      </c>
      <c r="AL278" s="228"/>
      <c r="AM278" s="730">
        <f>IFERROR(__xludf.DUMMYFUNCTION("""COMPUTED_VALUE"""),45322.0)</f>
        <v>45322</v>
      </c>
      <c r="AN278" s="228"/>
      <c r="AO278" s="228"/>
      <c r="AP278" s="228" t="str">
        <f>IFERROR(__xludf.DUMMYFUNCTION("""COMPUTED_VALUE"""),"NO")</f>
        <v>NO</v>
      </c>
      <c r="AQ278" s="228" t="str">
        <f>IFERROR(__xludf.DUMMYFUNCTION("""COMPUTED_VALUE"""),"Resigned/Terminated")</f>
        <v>Resigned/Terminated</v>
      </c>
    </row>
    <row r="279">
      <c r="A279" s="228">
        <f>IFERROR(__xludf.DUMMYFUNCTION("""COMPUTED_VALUE"""),5132.0)</f>
        <v>5132</v>
      </c>
      <c r="B279" s="228" t="str">
        <f>IFERROR(__xludf.DUMMYFUNCTION("""COMPUTED_VALUE"""),"Muhammad Hamza")</f>
        <v>Muhammad Hamza</v>
      </c>
      <c r="C279" s="228" t="str">
        <f>IFERROR(__xludf.DUMMYFUNCTION("""COMPUTED_VALUE"""),"mhamza041996@gmail.com")</f>
        <v>mhamza041996@gmail.com</v>
      </c>
      <c r="D279" s="228" t="str">
        <f>IFERROR(__xludf.DUMMYFUNCTION("""COMPUTED_VALUE"""),"muhammad.hamza@vyro.ai")</f>
        <v>muhammad.hamza@vyro.ai</v>
      </c>
      <c r="E279" s="730">
        <f>IFERROR(__xludf.DUMMYFUNCTION("""COMPUTED_VALUE"""),45078.0)</f>
        <v>45078</v>
      </c>
      <c r="F279" s="228" t="str">
        <f>IFERROR(__xludf.DUMMYFUNCTION("""COMPUTED_VALUE"""),"Admin Executive")</f>
        <v>Admin Executive</v>
      </c>
      <c r="G279" s="228" t="str">
        <f>IFERROR(__xludf.DUMMYFUNCTION("""COMPUTED_VALUE"""),"Admin")</f>
        <v>Admin</v>
      </c>
      <c r="H279" s="228" t="str">
        <f>IFERROR(__xludf.DUMMYFUNCTION("""COMPUTED_VALUE"""),"Ahmed")</f>
        <v>Ahmed</v>
      </c>
      <c r="I279" s="228" t="str">
        <f>IFERROR(__xludf.DUMMYFUNCTION("""COMPUTED_VALUE"""),"Permanent")</f>
        <v>Permanent</v>
      </c>
      <c r="J279" s="228" t="str">
        <f>IFERROR(__xludf.DUMMYFUNCTION("""COMPUTED_VALUE"""),"Active")</f>
        <v>Active</v>
      </c>
      <c r="K279" s="228" t="str">
        <f>IFERROR(__xludf.DUMMYFUNCTION("""COMPUTED_VALUE"""),"3 M")</f>
        <v>3 M</v>
      </c>
      <c r="L279" s="732">
        <f>IFERROR(__xludf.DUMMYFUNCTION("""COMPUTED_VALUE"""),45170.0)</f>
        <v>45170</v>
      </c>
      <c r="M279" s="228"/>
      <c r="N279" s="228"/>
      <c r="O279" s="228"/>
      <c r="P279" s="228" t="str">
        <f>IFERROR(__xludf.DUMMYFUNCTION("""COMPUTED_VALUE"""),"3035898005")</f>
        <v>3035898005</v>
      </c>
      <c r="Q279" s="228" t="str">
        <f>IFERROR(__xludf.DUMMYFUNCTION("""COMPUTED_VALUE"""),"61101-4668132-7")</f>
        <v>61101-4668132-7</v>
      </c>
      <c r="R279" s="228" t="str">
        <f>IFERROR(__xludf.DUMMYFUNCTION("""COMPUTED_VALUE"""),"Male")</f>
        <v>Male</v>
      </c>
      <c r="S279" s="228" t="str">
        <f>IFERROR(__xludf.DUMMYFUNCTION("""COMPUTED_VALUE"""),"Bank Al Habib")</f>
        <v>Bank Al Habib</v>
      </c>
      <c r="T279" s="228" t="str">
        <f>IFERROR(__xludf.DUMMYFUNCTION("""COMPUTED_VALUE"""),"Muhammad Hamza")</f>
        <v>Muhammad Hamza</v>
      </c>
      <c r="U279" s="228" t="str">
        <f>IFERROR(__xludf.DUMMYFUNCTION("""COMPUTED_VALUE"""),"PK09BAHL5518008100508501")</f>
        <v>PK09BAHL5518008100508501</v>
      </c>
      <c r="V279" s="228"/>
      <c r="W279" s="228"/>
      <c r="X279" s="228" t="str">
        <f>IFERROR(__xludf.DUMMYFUNCTION("""COMPUTED_VALUE"""),"Islamabad")</f>
        <v>Islamabad</v>
      </c>
      <c r="Y279" s="730">
        <f>IFERROR(__xludf.DUMMYFUNCTION("""COMPUTED_VALUE"""),35159.0)</f>
        <v>35159</v>
      </c>
      <c r="Z279" s="228" t="str">
        <f>IFERROR(__xludf.DUMMYFUNCTION("""COMPUTED_VALUE"""),"29 Years")</f>
        <v>29 Years</v>
      </c>
      <c r="AA279" s="228" t="str">
        <f>IFERROR(__xludf.DUMMYFUNCTION("""COMPUTED_VALUE"""),"Zubair Shah Road Street No 09, Sector H-13 Islamabad")</f>
        <v>Zubair Shah Road Street No 09, Sector H-13 Islamabad</v>
      </c>
      <c r="AB279" s="228" t="str">
        <f>IFERROR(__xludf.DUMMYFUNCTION("""COMPUTED_VALUE"""),"Pakistani")</f>
        <v>Pakistani</v>
      </c>
      <c r="AC279" s="228" t="str">
        <f>IFERROR(__xludf.DUMMYFUNCTION("""COMPUTED_VALUE"""),"Married")</f>
        <v>Married</v>
      </c>
      <c r="AD279" s="228"/>
      <c r="AE279" s="228"/>
      <c r="AF279" s="228"/>
      <c r="AG279" s="228" t="str">
        <f>IFERROR(__xludf.DUMMYFUNCTION("""COMPUTED_VALUE"""),"Ghulam Hussain")</f>
        <v>Ghulam Hussain</v>
      </c>
      <c r="AH279" s="228" t="str">
        <f>IFERROR(__xludf.DUMMYFUNCTION("""COMPUTED_VALUE"""),"Father")</f>
        <v>Father</v>
      </c>
      <c r="AI279" s="228" t="str">
        <f>IFERROR(__xludf.DUMMYFUNCTION("""COMPUTED_VALUE"""),"03204166580")</f>
        <v>03204166580</v>
      </c>
      <c r="AJ279" s="228" t="str">
        <f>IFERROR(__xludf.DUMMYFUNCTION("""COMPUTED_VALUE"""),"B+")</f>
        <v>B+</v>
      </c>
      <c r="AK279" s="731" t="str">
        <f>IFERROR(__xludf.DUMMYFUNCTION("""COMPUTED_VALUE"""),"https://www.linkedin.com/in/muhammad-hamza-253257279")</f>
        <v>https://www.linkedin.com/in/muhammad-hamza-253257279</v>
      </c>
      <c r="AL279" s="228"/>
      <c r="AM279" s="730">
        <f>IFERROR(__xludf.DUMMYFUNCTION("""COMPUTED_VALUE"""),45322.0)</f>
        <v>45322</v>
      </c>
      <c r="AN279" s="228"/>
      <c r="AO279" s="228"/>
      <c r="AP279" s="228" t="str">
        <f>IFERROR(__xludf.DUMMYFUNCTION("""COMPUTED_VALUE"""),"NO")</f>
        <v>NO</v>
      </c>
      <c r="AQ279" s="228" t="str">
        <f>IFERROR(__xludf.DUMMYFUNCTION("""COMPUTED_VALUE"""),"Resigned/Terminated")</f>
        <v>Resigned/Terminated</v>
      </c>
    </row>
    <row r="280">
      <c r="A280" s="228">
        <f>IFERROR(__xludf.DUMMYFUNCTION("""COMPUTED_VALUE"""),5133.0)</f>
        <v>5133</v>
      </c>
      <c r="B280" s="228" t="str">
        <f>IFERROR(__xludf.DUMMYFUNCTION("""COMPUTED_VALUE"""),"Qazi Mohammad Shayan")</f>
        <v>Qazi Mohammad Shayan</v>
      </c>
      <c r="C280" s="228" t="str">
        <f>IFERROR(__xludf.DUMMYFUNCTION("""COMPUTED_VALUE"""),"shayan34794@gmail.com")</f>
        <v>shayan34794@gmail.com</v>
      </c>
      <c r="D280" s="228" t="str">
        <f>IFERROR(__xludf.DUMMYFUNCTION("""COMPUTED_VALUE"""),"qazi.shayan@vyro.ai")</f>
        <v>qazi.shayan@vyro.ai</v>
      </c>
      <c r="E280" s="730">
        <f>IFERROR(__xludf.DUMMYFUNCTION("""COMPUTED_VALUE"""),45079.0)</f>
        <v>45079</v>
      </c>
      <c r="F280" s="228" t="str">
        <f>IFERROR(__xludf.DUMMYFUNCTION("""COMPUTED_VALUE"""),"Content Writer &amp; SEO Specialist")</f>
        <v>Content Writer &amp; SEO Specialist</v>
      </c>
      <c r="G280" s="228" t="str">
        <f>IFERROR(__xludf.DUMMYFUNCTION("""COMPUTED_VALUE"""),"Marketing")</f>
        <v>Marketing</v>
      </c>
      <c r="H280" s="228" t="str">
        <f>IFERROR(__xludf.DUMMYFUNCTION("""COMPUTED_VALUE"""),"Ahmed")</f>
        <v>Ahmed</v>
      </c>
      <c r="I280" s="228" t="str">
        <f>IFERROR(__xludf.DUMMYFUNCTION("""COMPUTED_VALUE"""),"Permanent")</f>
        <v>Permanent</v>
      </c>
      <c r="J280" s="228" t="str">
        <f>IFERROR(__xludf.DUMMYFUNCTION("""COMPUTED_VALUE"""),"Active")</f>
        <v>Active</v>
      </c>
      <c r="K280" s="228" t="str">
        <f>IFERROR(__xludf.DUMMYFUNCTION("""COMPUTED_VALUE"""),"3 M")</f>
        <v>3 M</v>
      </c>
      <c r="L280" s="732">
        <f>IFERROR(__xludf.DUMMYFUNCTION("""COMPUTED_VALUE"""),45171.0)</f>
        <v>45171</v>
      </c>
      <c r="M280" s="228"/>
      <c r="N280" s="228"/>
      <c r="O280" s="228"/>
      <c r="P280" s="228" t="str">
        <f>IFERROR(__xludf.DUMMYFUNCTION("""COMPUTED_VALUE"""),"03479301124")</f>
        <v>03479301124</v>
      </c>
      <c r="Q280" s="228" t="str">
        <f>IFERROR(__xludf.DUMMYFUNCTION("""COMPUTED_VALUE"""),"15402-0378555-7")</f>
        <v>15402-0378555-7</v>
      </c>
      <c r="R280" s="228" t="str">
        <f>IFERROR(__xludf.DUMMYFUNCTION("""COMPUTED_VALUE"""),"Male")</f>
        <v>Male</v>
      </c>
      <c r="S280" s="228" t="str">
        <f>IFERROR(__xludf.DUMMYFUNCTION("""COMPUTED_VALUE"""),"UBL")</f>
        <v>UBL</v>
      </c>
      <c r="T280" s="228" t="str">
        <f>IFERROR(__xludf.DUMMYFUNCTION("""COMPUTED_VALUE"""),"Qazi Mohammad Shayan")</f>
        <v>Qazi Mohammad Shayan</v>
      </c>
      <c r="U280" s="228" t="str">
        <f>IFERROR(__xludf.DUMMYFUNCTION("""COMPUTED_VALUE"""),"PK44UNIL0109000270721274")</f>
        <v>PK44UNIL0109000270721274</v>
      </c>
      <c r="V280" s="228"/>
      <c r="W280" s="228"/>
      <c r="X280" s="228" t="str">
        <f>IFERROR(__xludf.DUMMYFUNCTION("""COMPUTED_VALUE"""),"Islamabad (hybrid)")</f>
        <v>Islamabad (hybrid)</v>
      </c>
      <c r="Y280" s="730">
        <f>IFERROR(__xludf.DUMMYFUNCTION("""COMPUTED_VALUE"""),35150.0)</f>
        <v>35150</v>
      </c>
      <c r="Z280" s="228" t="str">
        <f>IFERROR(__xludf.DUMMYFUNCTION("""COMPUTED_VALUE"""),"29 Years")</f>
        <v>29 Years</v>
      </c>
      <c r="AA280" s="228" t="str">
        <f>IFERROR(__xludf.DUMMYFUNCTION("""COMPUTED_VALUE"""),"House#4, Gated Street, Opposite Shell fuel pump, Batkhela.")</f>
        <v>House#4, Gated Street, Opposite Shell fuel pump, Batkhela.</v>
      </c>
      <c r="AB280" s="228" t="str">
        <f>IFERROR(__xludf.DUMMYFUNCTION("""COMPUTED_VALUE"""),"Pakistani")</f>
        <v>Pakistani</v>
      </c>
      <c r="AC280" s="228" t="str">
        <f>IFERROR(__xludf.DUMMYFUNCTION("""COMPUTED_VALUE"""),"Single")</f>
        <v>Single</v>
      </c>
      <c r="AD280" s="228"/>
      <c r="AE280" s="228"/>
      <c r="AF280" s="228"/>
      <c r="AG280" s="228" t="str">
        <f>IFERROR(__xludf.DUMMYFUNCTION("""COMPUTED_VALUE"""),"Qazi Azhar Ul Khaliq")</f>
        <v>Qazi Azhar Ul Khaliq</v>
      </c>
      <c r="AH280" s="228" t="str">
        <f>IFERROR(__xludf.DUMMYFUNCTION("""COMPUTED_VALUE"""),"Father")</f>
        <v>Father</v>
      </c>
      <c r="AI280" s="228" t="str">
        <f>IFERROR(__xludf.DUMMYFUNCTION("""COMPUTED_VALUE"""),"03335214834")</f>
        <v>03335214834</v>
      </c>
      <c r="AJ280" s="228" t="str">
        <f>IFERROR(__xludf.DUMMYFUNCTION("""COMPUTED_VALUE"""),"B+")</f>
        <v>B+</v>
      </c>
      <c r="AK280" s="228"/>
      <c r="AL280" s="228"/>
      <c r="AM280" s="730">
        <f>IFERROR(__xludf.DUMMYFUNCTION("""COMPUTED_VALUE"""),45322.0)</f>
        <v>45322</v>
      </c>
      <c r="AN280" s="228"/>
      <c r="AO280" s="228"/>
      <c r="AP280" s="228" t="str">
        <f>IFERROR(__xludf.DUMMYFUNCTION("""COMPUTED_VALUE"""),"NO")</f>
        <v>NO</v>
      </c>
      <c r="AQ280" s="228" t="str">
        <f>IFERROR(__xludf.DUMMYFUNCTION("""COMPUTED_VALUE"""),"Resigned/Terminated")</f>
        <v>Resigned/Terminated</v>
      </c>
    </row>
    <row r="281">
      <c r="A281" s="228">
        <f>IFERROR(__xludf.DUMMYFUNCTION("""COMPUTED_VALUE"""),5201.0)</f>
        <v>5201</v>
      </c>
      <c r="B281" s="228" t="str">
        <f>IFERROR(__xludf.DUMMYFUNCTION("""COMPUTED_VALUE"""),"Altamash Shaban")</f>
        <v>Altamash Shaban</v>
      </c>
      <c r="C281" s="228" t="str">
        <f>IFERROR(__xludf.DUMMYFUNCTION("""COMPUTED_VALUE"""),"altamazy@gmail.com")</f>
        <v>altamazy@gmail.com</v>
      </c>
      <c r="D281" s="228" t="str">
        <f>IFERROR(__xludf.DUMMYFUNCTION("""COMPUTED_VALUE"""),"altamash.shaban@vyro.ai")</f>
        <v>altamash.shaban@vyro.ai</v>
      </c>
      <c r="E281" s="730">
        <f>IFERROR(__xludf.DUMMYFUNCTION("""COMPUTED_VALUE"""),45250.0)</f>
        <v>45250</v>
      </c>
      <c r="F281" s="228" t="str">
        <f>IFERROR(__xludf.DUMMYFUNCTION("""COMPUTED_VALUE"""),"Product Designer")</f>
        <v>Product Designer</v>
      </c>
      <c r="G281" s="228" t="str">
        <f>IFERROR(__xludf.DUMMYFUNCTION("""COMPUTED_VALUE"""),"Product Design")</f>
        <v>Product Design</v>
      </c>
      <c r="H281" s="228" t="str">
        <f>IFERROR(__xludf.DUMMYFUNCTION("""COMPUTED_VALUE"""),"Syed Zeeshan Ali Shah")</f>
        <v>Syed Zeeshan Ali Shah</v>
      </c>
      <c r="I281" s="228" t="str">
        <f>IFERROR(__xludf.DUMMYFUNCTION("""COMPUTED_VALUE"""),"Permanent")</f>
        <v>Permanent</v>
      </c>
      <c r="J281" s="228" t="str">
        <f>IFERROR(__xludf.DUMMYFUNCTION("""COMPUTED_VALUE"""),"Active")</f>
        <v>Active</v>
      </c>
      <c r="K281" s="228" t="str">
        <f>IFERROR(__xludf.DUMMYFUNCTION("""COMPUTED_VALUE"""),"3M")</f>
        <v>3M</v>
      </c>
      <c r="L281" s="732">
        <f>IFERROR(__xludf.DUMMYFUNCTION("""COMPUTED_VALUE"""),45342.0)</f>
        <v>45342</v>
      </c>
      <c r="M281" s="228"/>
      <c r="N281" s="228"/>
      <c r="O281" s="228"/>
      <c r="P281" s="228" t="str">
        <f>IFERROR(__xludf.DUMMYFUNCTION("""COMPUTED_VALUE"""),"3455315448")</f>
        <v>3455315448</v>
      </c>
      <c r="Q281" s="228" t="str">
        <f>IFERROR(__xludf.DUMMYFUNCTION("""COMPUTED_VALUE"""),"37405-5322814-9")</f>
        <v>37405-5322814-9</v>
      </c>
      <c r="R281" s="228" t="str">
        <f>IFERROR(__xludf.DUMMYFUNCTION("""COMPUTED_VALUE"""),"Male")</f>
        <v>Male</v>
      </c>
      <c r="S281" s="228" t="str">
        <f>IFERROR(__xludf.DUMMYFUNCTION("""COMPUTED_VALUE"""),"Standard Chartered Bank")</f>
        <v>Standard Chartered Bank</v>
      </c>
      <c r="T281" s="228" t="str">
        <f>IFERROR(__xludf.DUMMYFUNCTION("""COMPUTED_VALUE"""),"Altamash Shaban")</f>
        <v>Altamash Shaban</v>
      </c>
      <c r="U281" s="228" t="str">
        <f>IFERROR(__xludf.DUMMYFUNCTION("""COMPUTED_VALUE"""),"PK72SCBL0000001710155801")</f>
        <v>PK72SCBL0000001710155801</v>
      </c>
      <c r="V281" s="228"/>
      <c r="W281" s="228"/>
      <c r="X281" s="228" t="str">
        <f>IFERROR(__xludf.DUMMYFUNCTION("""COMPUTED_VALUE"""),"Islamabad")</f>
        <v>Islamabad</v>
      </c>
      <c r="Y281" s="730">
        <f>IFERROR(__xludf.DUMMYFUNCTION("""COMPUTED_VALUE"""),33048.0)</f>
        <v>33048</v>
      </c>
      <c r="Z281" s="228" t="str">
        <f>IFERROR(__xludf.DUMMYFUNCTION("""COMPUTED_VALUE"""),"35 Years")</f>
        <v>35 Years</v>
      </c>
      <c r="AA281" s="228" t="str">
        <f>IFERROR(__xludf.DUMMYFUNCTION("""COMPUTED_VALUE"""),"H#1061, Main Jinnah Road, Sector 4, AECHS, RWP")</f>
        <v>H#1061, Main Jinnah Road, Sector 4, AECHS, RWP</v>
      </c>
      <c r="AB281" s="228" t="str">
        <f>IFERROR(__xludf.DUMMYFUNCTION("""COMPUTED_VALUE"""),"Pakistani")</f>
        <v>Pakistani</v>
      </c>
      <c r="AC281" s="228" t="str">
        <f>IFERROR(__xludf.DUMMYFUNCTION("""COMPUTED_VALUE"""),"Married")</f>
        <v>Married</v>
      </c>
      <c r="AD281" s="228"/>
      <c r="AE281" s="228"/>
      <c r="AF281" s="228"/>
      <c r="AG281" s="228" t="str">
        <f>IFERROR(__xludf.DUMMYFUNCTION("""COMPUTED_VALUE"""),"Shaban Abbasi")</f>
        <v>Shaban Abbasi</v>
      </c>
      <c r="AH281" s="228" t="str">
        <f>IFERROR(__xludf.DUMMYFUNCTION("""COMPUTED_VALUE"""),"Nil")</f>
        <v>Nil</v>
      </c>
      <c r="AI281" s="228" t="str">
        <f>IFERROR(__xludf.DUMMYFUNCTION("""COMPUTED_VALUE"""),"Nil")</f>
        <v>Nil</v>
      </c>
      <c r="AJ281" s="228" t="str">
        <f>IFERROR(__xludf.DUMMYFUNCTION("""COMPUTED_VALUE"""),"B+")</f>
        <v>B+</v>
      </c>
      <c r="AK281" s="731" t="str">
        <f>IFERROR(__xludf.DUMMYFUNCTION("""COMPUTED_VALUE"""),"www.linkedin.com/in/altamashshaban/")</f>
        <v>www.linkedin.com/in/altamashshaban/</v>
      </c>
      <c r="AL281" s="228"/>
      <c r="AM281" s="730">
        <f>IFERROR(__xludf.DUMMYFUNCTION("""COMPUTED_VALUE"""),45329.0)</f>
        <v>45329</v>
      </c>
      <c r="AN281" s="228"/>
      <c r="AO281" s="228"/>
      <c r="AP281" s="228" t="str">
        <f>IFERROR(__xludf.DUMMYFUNCTION("""COMPUTED_VALUE"""),"NO")</f>
        <v>NO</v>
      </c>
      <c r="AQ281" s="228" t="str">
        <f>IFERROR(__xludf.DUMMYFUNCTION("""COMPUTED_VALUE"""),"Resigned/Terminated")</f>
        <v>Resigned/Terminated</v>
      </c>
    </row>
    <row r="282">
      <c r="A282" s="228">
        <f>IFERROR(__xludf.DUMMYFUNCTION("""COMPUTED_VALUE"""),5156.0)</f>
        <v>5156</v>
      </c>
      <c r="B282" s="228" t="str">
        <f>IFERROR(__xludf.DUMMYFUNCTION("""COMPUTED_VALUE"""),"Abdul Rahim")</f>
        <v>Abdul Rahim</v>
      </c>
      <c r="C282" s="228" t="str">
        <f>IFERROR(__xludf.DUMMYFUNCTION("""COMPUTED_VALUE"""),"abdulrahimbajwa@gmail.com")</f>
        <v>abdulrahimbajwa@gmail.com</v>
      </c>
      <c r="D282" s="228" t="str">
        <f>IFERROR(__xludf.DUMMYFUNCTION("""COMPUTED_VALUE"""),"abdul.rahim@vyro.ai")</f>
        <v>abdul.rahim@vyro.ai</v>
      </c>
      <c r="E282" s="730">
        <f>IFERROR(__xludf.DUMMYFUNCTION("""COMPUTED_VALUE"""),45139.0)</f>
        <v>45139</v>
      </c>
      <c r="F282" s="228" t="str">
        <f>IFERROR(__xludf.DUMMYFUNCTION("""COMPUTED_VALUE"""),"Lead Backend Engineer")</f>
        <v>Lead Backend Engineer</v>
      </c>
      <c r="G282" s="228" t="str">
        <f>IFERROR(__xludf.DUMMYFUNCTION("""COMPUTED_VALUE"""),"Backend")</f>
        <v>Backend</v>
      </c>
      <c r="H282" s="228" t="str">
        <f>IFERROR(__xludf.DUMMYFUNCTION("""COMPUTED_VALUE"""),"Abdullah")</f>
        <v>Abdullah</v>
      </c>
      <c r="I282" s="228" t="str">
        <f>IFERROR(__xludf.DUMMYFUNCTION("""COMPUTED_VALUE"""),"Permanent")</f>
        <v>Permanent</v>
      </c>
      <c r="J282" s="228" t="str">
        <f>IFERROR(__xludf.DUMMYFUNCTION("""COMPUTED_VALUE"""),"Active")</f>
        <v>Active</v>
      </c>
      <c r="K282" s="228" t="str">
        <f>IFERROR(__xludf.DUMMYFUNCTION("""COMPUTED_VALUE"""),"3 M")</f>
        <v>3 M</v>
      </c>
      <c r="L282" s="732">
        <f>IFERROR(__xludf.DUMMYFUNCTION("""COMPUTED_VALUE"""),45231.0)</f>
        <v>45231</v>
      </c>
      <c r="M282" s="228"/>
      <c r="N282" s="228"/>
      <c r="O282" s="228"/>
      <c r="P282" s="228" t="str">
        <f>IFERROR(__xludf.DUMMYFUNCTION("""COMPUTED_VALUE"""),"3328858356")</f>
        <v>3328858356</v>
      </c>
      <c r="Q282" s="228" t="str">
        <f>IFERROR(__xludf.DUMMYFUNCTION("""COMPUTED_VALUE"""),"34202-0319615-5")</f>
        <v>34202-0319615-5</v>
      </c>
      <c r="R282" s="228" t="str">
        <f>IFERROR(__xludf.DUMMYFUNCTION("""COMPUTED_VALUE"""),"Male")</f>
        <v>Male</v>
      </c>
      <c r="S282" s="228" t="str">
        <f>IFERROR(__xludf.DUMMYFUNCTION("""COMPUTED_VALUE"""),"Bank name: First Century Bank
Transfer type: Local transfer
Bank Address: 1731 N Elm St  Commerce, GA 30529 USA")</f>
        <v>Bank name: First Century Bank
Transfer type: Local transfer
Bank Address: 1731 N Elm St  Commerce, GA 30529 USA</v>
      </c>
      <c r="T282" s="228" t="str">
        <f>IFERROR(__xludf.DUMMYFUNCTION("""COMPUTED_VALUE"""),"Abdul Rahim Bajwa")</f>
        <v>Abdul Rahim Bajwa</v>
      </c>
      <c r="U282" s="228" t="str">
        <f>IFERROR(__xludf.DUMMYFUNCTION("""COMPUTED_VALUE"""),"4012898095732, Account type: CHECKING")</f>
        <v>4012898095732, Account type: CHECKING</v>
      </c>
      <c r="V282" s="228" t="str">
        <f>IFERROR(__xludf.DUMMYFUNCTION("""COMPUTED_VALUE"""),"Routing (ABA): 061120084,")</f>
        <v>Routing (ABA): 061120084,</v>
      </c>
      <c r="W282" s="228"/>
      <c r="X282" s="228" t="str">
        <f>IFERROR(__xludf.DUMMYFUNCTION("""COMPUTED_VALUE"""),"Lahore")</f>
        <v>Lahore</v>
      </c>
      <c r="Y282" s="730">
        <f>IFERROR(__xludf.DUMMYFUNCTION("""COMPUTED_VALUE"""),33158.0)</f>
        <v>33158</v>
      </c>
      <c r="Z282" s="228" t="str">
        <f>IFERROR(__xludf.DUMMYFUNCTION("""COMPUTED_VALUE"""),"34 Years")</f>
        <v>34 Years</v>
      </c>
      <c r="AA282" s="228" t="str">
        <f>IFERROR(__xludf.DUMMYFUNCTION("""COMPUTED_VALUE"""),"37A1 Mian Farms T&amp;T Aabpara Housing Society, Raiwand Road, Lahore")</f>
        <v>37A1 Mian Farms T&amp;T Aabpara Housing Society, Raiwand Road, Lahore</v>
      </c>
      <c r="AB282" s="228" t="str">
        <f>IFERROR(__xludf.DUMMYFUNCTION("""COMPUTED_VALUE"""),"Pakistani")</f>
        <v>Pakistani</v>
      </c>
      <c r="AC282" s="228" t="str">
        <f>IFERROR(__xludf.DUMMYFUNCTION("""COMPUTED_VALUE"""),"Married")</f>
        <v>Married</v>
      </c>
      <c r="AD282" s="228"/>
      <c r="AE282" s="228"/>
      <c r="AF282" s="228"/>
      <c r="AG282" s="228" t="str">
        <f>IFERROR(__xludf.DUMMYFUNCTION("""COMPUTED_VALUE"""),"Mahmood Hussain")</f>
        <v>Mahmood Hussain</v>
      </c>
      <c r="AH282" s="228" t="str">
        <f>IFERROR(__xludf.DUMMYFUNCTION("""COMPUTED_VALUE"""),"Wife")</f>
        <v>Wife</v>
      </c>
      <c r="AI282" s="228" t="str">
        <f>IFERROR(__xludf.DUMMYFUNCTION("""COMPUTED_VALUE"""),"03355249357")</f>
        <v>03355249357</v>
      </c>
      <c r="AJ282" s="228" t="str">
        <f>IFERROR(__xludf.DUMMYFUNCTION("""COMPUTED_VALUE"""),"B+")</f>
        <v>B+</v>
      </c>
      <c r="AK282" s="228"/>
      <c r="AL282" s="228"/>
      <c r="AM282" s="730">
        <f>IFERROR(__xludf.DUMMYFUNCTION("""COMPUTED_VALUE"""),45337.0)</f>
        <v>45337</v>
      </c>
      <c r="AN282" s="228"/>
      <c r="AO282" s="228"/>
      <c r="AP282" s="228" t="str">
        <f>IFERROR(__xludf.DUMMYFUNCTION("""COMPUTED_VALUE"""),"NO")</f>
        <v>NO</v>
      </c>
      <c r="AQ282" s="228" t="str">
        <f>IFERROR(__xludf.DUMMYFUNCTION("""COMPUTED_VALUE"""),"Resigned/Terminated")</f>
        <v>Resigned/Terminated</v>
      </c>
    </row>
    <row r="283">
      <c r="A283" s="228">
        <f>IFERROR(__xludf.DUMMYFUNCTION("""COMPUTED_VALUE"""),5227.0)</f>
        <v>5227</v>
      </c>
      <c r="B283" s="228" t="str">
        <f>IFERROR(__xludf.DUMMYFUNCTION("""COMPUTED_VALUE"""),"Parsee Mizuhashi")</f>
        <v>Parsee Mizuhashi</v>
      </c>
      <c r="C283" s="228" t="str">
        <f>IFERROR(__xludf.DUMMYFUNCTION("""COMPUTED_VALUE"""),"parsee.mizuhashi.th11@gmail.com")</f>
        <v>parsee.mizuhashi.th11@gmail.com</v>
      </c>
      <c r="D283" s="228" t="str">
        <f>IFERROR(__xludf.DUMMYFUNCTION("""COMPUTED_VALUE"""),"parsee.mizuhashi@vyro.ai")</f>
        <v>parsee.mizuhashi@vyro.ai</v>
      </c>
      <c r="E283" s="730">
        <f>IFERROR(__xludf.DUMMYFUNCTION("""COMPUTED_VALUE"""),45320.0)</f>
        <v>45320</v>
      </c>
      <c r="F283" s="228" t="str">
        <f>IFERROR(__xludf.DUMMYFUNCTION("""COMPUTED_VALUE"""),"Associate Machine Learning Engineer")</f>
        <v>Associate Machine Learning Engineer</v>
      </c>
      <c r="G283" s="228" t="str">
        <f>IFERROR(__xludf.DUMMYFUNCTION("""COMPUTED_VALUE"""),"ML")</f>
        <v>ML</v>
      </c>
      <c r="H283" s="228" t="str">
        <f>IFERROR(__xludf.DUMMYFUNCTION("""COMPUTED_VALUE"""),"Abdullah Rafique")</f>
        <v>Abdullah Rafique</v>
      </c>
      <c r="I283" s="228" t="str">
        <f>IFERROR(__xludf.DUMMYFUNCTION("""COMPUTED_VALUE"""),"Probation")</f>
        <v>Probation</v>
      </c>
      <c r="J283" s="228" t="str">
        <f>IFERROR(__xludf.DUMMYFUNCTION("""COMPUTED_VALUE"""),"Active")</f>
        <v>Active</v>
      </c>
      <c r="K283" s="228" t="str">
        <f>IFERROR(__xludf.DUMMYFUNCTION("""COMPUTED_VALUE"""),"3M")</f>
        <v>3M</v>
      </c>
      <c r="L283" s="732">
        <f>IFERROR(__xludf.DUMMYFUNCTION("""COMPUTED_VALUE"""),45411.0)</f>
        <v>45411</v>
      </c>
      <c r="M283" s="228"/>
      <c r="N283" s="228"/>
      <c r="O283" s="228"/>
      <c r="P283" s="228"/>
      <c r="Q283" s="228"/>
      <c r="R283" s="228" t="str">
        <f>IFERROR(__xludf.DUMMYFUNCTION("""COMPUTED_VALUE"""),"Male")</f>
        <v>Male</v>
      </c>
      <c r="S283" s="228"/>
      <c r="T283" s="228"/>
      <c r="U283" s="228"/>
      <c r="V283" s="228"/>
      <c r="W283" s="228"/>
      <c r="X283" s="228" t="str">
        <f>IFERROR(__xludf.DUMMYFUNCTION("""COMPUTED_VALUE"""),"Remote")</f>
        <v>Remote</v>
      </c>
      <c r="Y283" s="228"/>
      <c r="Z283" s="228"/>
      <c r="AA283" s="228"/>
      <c r="AB283" s="228"/>
      <c r="AC283" s="228"/>
      <c r="AD283" s="228"/>
      <c r="AE283" s="228"/>
      <c r="AF283" s="228"/>
      <c r="AG283" s="228"/>
      <c r="AH283" s="228"/>
      <c r="AI283" s="228"/>
      <c r="AJ283" s="228"/>
      <c r="AK283" s="228"/>
      <c r="AL283" s="228"/>
      <c r="AM283" s="730">
        <f>IFERROR(__xludf.DUMMYFUNCTION("""COMPUTED_VALUE"""),45337.0)</f>
        <v>45337</v>
      </c>
      <c r="AN283" s="228"/>
      <c r="AO283" s="228"/>
      <c r="AP283" s="228" t="str">
        <f>IFERROR(__xludf.DUMMYFUNCTION("""COMPUTED_VALUE"""),"NO")</f>
        <v>NO</v>
      </c>
      <c r="AQ283" s="228" t="str">
        <f>IFERROR(__xludf.DUMMYFUNCTION("""COMPUTED_VALUE"""),"Resigned/Terminated")</f>
        <v>Resigned/Terminated</v>
      </c>
    </row>
    <row r="284">
      <c r="A284" s="228">
        <f>IFERROR(__xludf.DUMMYFUNCTION("""COMPUTED_VALUE"""),5206.0)</f>
        <v>5206</v>
      </c>
      <c r="B284" s="228" t="str">
        <f>IFERROR(__xludf.DUMMYFUNCTION("""COMPUTED_VALUE"""),"Muhammad Nabeel Asif")</f>
        <v>Muhammad Nabeel Asif</v>
      </c>
      <c r="C284" s="228" t="str">
        <f>IFERROR(__xludf.DUMMYFUNCTION("""COMPUTED_VALUE"""),"nabeelasif18@gmail.com")</f>
        <v>nabeelasif18@gmail.com</v>
      </c>
      <c r="D284" s="228" t="str">
        <f>IFERROR(__xludf.DUMMYFUNCTION("""COMPUTED_VALUE"""),"nabeel.asif@vyro.ai")</f>
        <v>nabeel.asif@vyro.ai</v>
      </c>
      <c r="E284" s="730">
        <f>IFERROR(__xludf.DUMMYFUNCTION("""COMPUTED_VALUE"""),45246.0)</f>
        <v>45246</v>
      </c>
      <c r="F284" s="228" t="str">
        <f>IFERROR(__xludf.DUMMYFUNCTION("""COMPUTED_VALUE"""),"Product Manager")</f>
        <v>Product Manager</v>
      </c>
      <c r="G284" s="228"/>
      <c r="H284" s="228" t="str">
        <f>IFERROR(__xludf.DUMMYFUNCTION("""COMPUTED_VALUE"""),"Muhammad Abdullah, CTO")</f>
        <v>Muhammad Abdullah, CTO</v>
      </c>
      <c r="I284" s="228" t="str">
        <f>IFERROR(__xludf.DUMMYFUNCTION("""COMPUTED_VALUE"""),"Permanent")</f>
        <v>Permanent</v>
      </c>
      <c r="J284" s="228" t="str">
        <f>IFERROR(__xludf.DUMMYFUNCTION("""COMPUTED_VALUE"""),"Active")</f>
        <v>Active</v>
      </c>
      <c r="K284" s="228" t="str">
        <f>IFERROR(__xludf.DUMMYFUNCTION("""COMPUTED_VALUE"""),"3M")</f>
        <v>3M</v>
      </c>
      <c r="L284" s="732">
        <f>IFERROR(__xludf.DUMMYFUNCTION("""COMPUTED_VALUE"""),45338.0)</f>
        <v>45338</v>
      </c>
      <c r="M284" s="228"/>
      <c r="N284" s="228"/>
      <c r="O284" s="228"/>
      <c r="P284" s="228" t="str">
        <f>IFERROR(__xludf.DUMMYFUNCTION("""COMPUTED_VALUE"""),"0301-9404488")</f>
        <v>0301-9404488</v>
      </c>
      <c r="Q284" s="228" t="str">
        <f>IFERROR(__xludf.DUMMYFUNCTION("""COMPUTED_VALUE"""),"42101-1217952-3")</f>
        <v>42101-1217952-3</v>
      </c>
      <c r="R284" s="228" t="str">
        <f>IFERROR(__xludf.DUMMYFUNCTION("""COMPUTED_VALUE"""),"Male")</f>
        <v>Male</v>
      </c>
      <c r="S284" s="228" t="str">
        <f>IFERROR(__xludf.DUMMYFUNCTION("""COMPUTED_VALUE"""),"Meezan Bank")</f>
        <v>Meezan Bank</v>
      </c>
      <c r="T284" s="228" t="str">
        <f>IFERROR(__xludf.DUMMYFUNCTION("""COMPUTED_VALUE"""),"MUHAMMAD NABEEL ASIF")</f>
        <v>MUHAMMAD NABEEL ASIF</v>
      </c>
      <c r="U284" s="228" t="str">
        <f>IFERROR(__xludf.DUMMYFUNCTION("""COMPUTED_VALUE"""),"PK25MEZN0099220107885000")</f>
        <v>PK25MEZN0099220107885000</v>
      </c>
      <c r="V284" s="228"/>
      <c r="W284" s="228"/>
      <c r="X284" s="228" t="str">
        <f>IFERROR(__xludf.DUMMYFUNCTION("""COMPUTED_VALUE"""),"Islamabad/Remote")</f>
        <v>Islamabad/Remote</v>
      </c>
      <c r="Y284" s="730">
        <f>IFERROR(__xludf.DUMMYFUNCTION("""COMPUTED_VALUE"""),34503.0)</f>
        <v>34503</v>
      </c>
      <c r="Z284" s="228" t="str">
        <f>IFERROR(__xludf.DUMMYFUNCTION("""COMPUTED_VALUE"""),"31 Years")</f>
        <v>31 Years</v>
      </c>
      <c r="AA284" s="228" t="str">
        <f>IFERROR(__xludf.DUMMYFUNCTION("""COMPUTED_VALUE"""),"House# B-11, Row-S, Gulshan-e-Kaneez Fatima Society, Block-1, Scheme-33, Karachi")</f>
        <v>House# B-11, Row-S, Gulshan-e-Kaneez Fatima Society, Block-1, Scheme-33, Karachi</v>
      </c>
      <c r="AB284" s="228" t="str">
        <f>IFERROR(__xludf.DUMMYFUNCTION("""COMPUTED_VALUE"""),"Pakistani")</f>
        <v>Pakistani</v>
      </c>
      <c r="AC284" s="228" t="str">
        <f>IFERROR(__xludf.DUMMYFUNCTION("""COMPUTED_VALUE"""),"Married")</f>
        <v>Married</v>
      </c>
      <c r="AD284" s="228"/>
      <c r="AE284" s="228"/>
      <c r="AF284" s="228"/>
      <c r="AG284" s="228" t="str">
        <f>IFERROR(__xludf.DUMMYFUNCTION("""COMPUTED_VALUE"""),"Muhammad Asif")</f>
        <v>Muhammad Asif</v>
      </c>
      <c r="AH284" s="228" t="str">
        <f>IFERROR(__xludf.DUMMYFUNCTION("""COMPUTED_VALUE"""),"Wife")</f>
        <v>Wife</v>
      </c>
      <c r="AI284" s="228" t="str">
        <f>IFERROR(__xludf.DUMMYFUNCTION("""COMPUTED_VALUE"""),"923152076458")</f>
        <v>923152076458</v>
      </c>
      <c r="AJ284" s="228" t="str">
        <f>IFERROR(__xludf.DUMMYFUNCTION("""COMPUTED_VALUE"""),"AB+")</f>
        <v>AB+</v>
      </c>
      <c r="AK284" s="731" t="str">
        <f>IFERROR(__xludf.DUMMYFUNCTION("""COMPUTED_VALUE"""),"https://pk.linkedin.com/in/muhammadnabeelasif")</f>
        <v>https://pk.linkedin.com/in/muhammadnabeelasif</v>
      </c>
      <c r="AL284" s="228"/>
      <c r="AM284" s="730">
        <f>IFERROR(__xludf.DUMMYFUNCTION("""COMPUTED_VALUE"""),45338.0)</f>
        <v>45338</v>
      </c>
      <c r="AN284" s="228"/>
      <c r="AO284" s="228"/>
      <c r="AP284" s="228" t="str">
        <f>IFERROR(__xludf.DUMMYFUNCTION("""COMPUTED_VALUE"""),"NO")</f>
        <v>NO</v>
      </c>
      <c r="AQ284" s="228" t="str">
        <f>IFERROR(__xludf.DUMMYFUNCTION("""COMPUTED_VALUE"""),"Resigned/Terminated")</f>
        <v>Resigned/Terminated</v>
      </c>
    </row>
    <row r="285">
      <c r="A285" s="228">
        <f>IFERROR(__xludf.DUMMYFUNCTION("""COMPUTED_VALUE"""),5213.0)</f>
        <v>5213</v>
      </c>
      <c r="B285" s="228" t="str">
        <f>IFERROR(__xludf.DUMMYFUNCTION("""COMPUTED_VALUE"""),"Maria Aftab")</f>
        <v>Maria Aftab</v>
      </c>
      <c r="C285" s="228" t="str">
        <f>IFERROR(__xludf.DUMMYFUNCTION("""COMPUTED_VALUE"""),"mariaaftab83@yahoo.com")</f>
        <v>mariaaftab83@yahoo.com</v>
      </c>
      <c r="D285" s="228" t="str">
        <f>IFERROR(__xludf.DUMMYFUNCTION("""COMPUTED_VALUE"""),"maria.aftab@vyro.ai")</f>
        <v>maria.aftab@vyro.ai</v>
      </c>
      <c r="E285" s="730">
        <f>IFERROR(__xludf.DUMMYFUNCTION("""COMPUTED_VALUE"""),45278.0)</f>
        <v>45278</v>
      </c>
      <c r="F285" s="228" t="str">
        <f>IFERROR(__xludf.DUMMYFUNCTION("""COMPUTED_VALUE"""),"People Excellence Intern")</f>
        <v>People Excellence Intern</v>
      </c>
      <c r="G285" s="228" t="str">
        <f>IFERROR(__xludf.DUMMYFUNCTION("""COMPUTED_VALUE"""),"People")</f>
        <v>People</v>
      </c>
      <c r="H285" s="228" t="str">
        <f>IFERROR(__xludf.DUMMYFUNCTION("""COMPUTED_VALUE"""),"Naimal Rao")</f>
        <v>Naimal Rao</v>
      </c>
      <c r="I285" s="228" t="str">
        <f>IFERROR(__xludf.DUMMYFUNCTION("""COMPUTED_VALUE"""),"Intern")</f>
        <v>Intern</v>
      </c>
      <c r="J285" s="228" t="str">
        <f>IFERROR(__xludf.DUMMYFUNCTION("""COMPUTED_VALUE"""),"Active")</f>
        <v>Active</v>
      </c>
      <c r="K285" s="228" t="str">
        <f>IFERROR(__xludf.DUMMYFUNCTION("""COMPUTED_VALUE"""),"3M")</f>
        <v>3M</v>
      </c>
      <c r="L285" s="732">
        <f>IFERROR(__xludf.DUMMYFUNCTION("""COMPUTED_VALUE"""),45369.0)</f>
        <v>45369</v>
      </c>
      <c r="M285" s="228"/>
      <c r="N285" s="228"/>
      <c r="O285" s="228"/>
      <c r="P285" s="228" t="str">
        <f>IFERROR(__xludf.DUMMYFUNCTION("""COMPUTED_VALUE"""),"3321342994")</f>
        <v>3321342994</v>
      </c>
      <c r="Q285" s="228" t="str">
        <f>IFERROR(__xludf.DUMMYFUNCTION("""COMPUTED_VALUE"""),"35202-1471897-8")</f>
        <v>35202-1471897-8</v>
      </c>
      <c r="R285" s="228" t="str">
        <f>IFERROR(__xludf.DUMMYFUNCTION("""COMPUTED_VALUE"""),"Female")</f>
        <v>Female</v>
      </c>
      <c r="S285" s="228" t="str">
        <f>IFERROR(__xludf.DUMMYFUNCTION("""COMPUTED_VALUE"""),"JS BANK ltd")</f>
        <v>JS BANK ltd</v>
      </c>
      <c r="T285" s="228" t="str">
        <f>IFERROR(__xludf.DUMMYFUNCTION("""COMPUTED_VALUE"""),"IRAM AFTAB")</f>
        <v>IRAM AFTAB</v>
      </c>
      <c r="U285" s="228" t="str">
        <f>IFERROR(__xludf.DUMMYFUNCTION("""COMPUTED_VALUE"""),"PK77JSBL9516000001487434")</f>
        <v>PK77JSBL9516000001487434</v>
      </c>
      <c r="V285" s="228"/>
      <c r="W285" s="228"/>
      <c r="X285" s="228" t="str">
        <f>IFERROR(__xludf.DUMMYFUNCTION("""COMPUTED_VALUE"""),"Lahore")</f>
        <v>Lahore</v>
      </c>
      <c r="Y285" s="730">
        <f>IFERROR(__xludf.DUMMYFUNCTION("""COMPUTED_VALUE"""),36551.0)</f>
        <v>36551</v>
      </c>
      <c r="Z285" s="228" t="str">
        <f>IFERROR(__xludf.DUMMYFUNCTION("""COMPUTED_VALUE"""),"25 Years")</f>
        <v>25 Years</v>
      </c>
      <c r="AA285" s="228" t="str">
        <f>IFERROR(__xludf.DUMMYFUNCTION("""COMPUTED_VALUE"""),"190/1 F phase 8 ex Park view, Lahore")</f>
        <v>190/1 F phase 8 ex Park view, Lahore</v>
      </c>
      <c r="AB285" s="228" t="str">
        <f>IFERROR(__xludf.DUMMYFUNCTION("""COMPUTED_VALUE"""),"Pakistani")</f>
        <v>Pakistani</v>
      </c>
      <c r="AC285" s="228" t="str">
        <f>IFERROR(__xludf.DUMMYFUNCTION("""COMPUTED_VALUE"""),"Single")</f>
        <v>Single</v>
      </c>
      <c r="AD285" s="228"/>
      <c r="AE285" s="228"/>
      <c r="AF285" s="228"/>
      <c r="AG285" s="228" t="str">
        <f>IFERROR(__xludf.DUMMYFUNCTION("""COMPUTED_VALUE"""),"Muhammad Aftab")</f>
        <v>Muhammad Aftab</v>
      </c>
      <c r="AH285" s="228" t="str">
        <f>IFERROR(__xludf.DUMMYFUNCTION("""COMPUTED_VALUE"""),"Mother")</f>
        <v>Mother</v>
      </c>
      <c r="AI285" s="228" t="str">
        <f>IFERROR(__xludf.DUMMYFUNCTION("""COMPUTED_VALUE"""),"03004272390")</f>
        <v>03004272390</v>
      </c>
      <c r="AJ285" s="228" t="str">
        <f>IFERROR(__xludf.DUMMYFUNCTION("""COMPUTED_VALUE"""),"O+")</f>
        <v>O+</v>
      </c>
      <c r="AK285" s="731" t="str">
        <f>IFERROR(__xludf.DUMMYFUNCTION("""COMPUTED_VALUE"""),"http://linkedin.com/in/maria-aftab-91541b16b")</f>
        <v>http://linkedin.com/in/maria-aftab-91541b16b</v>
      </c>
      <c r="AL285" s="228"/>
      <c r="AM285" s="730">
        <f>IFERROR(__xludf.DUMMYFUNCTION("""COMPUTED_VALUE"""),45359.0)</f>
        <v>45359</v>
      </c>
      <c r="AN285" s="228"/>
      <c r="AO285" s="228"/>
      <c r="AP285" s="228" t="str">
        <f>IFERROR(__xludf.DUMMYFUNCTION("""COMPUTED_VALUE"""),"NO")</f>
        <v>NO</v>
      </c>
      <c r="AQ285" s="228" t="str">
        <f>IFERROR(__xludf.DUMMYFUNCTION("""COMPUTED_VALUE"""),"Resigned/Terminated")</f>
        <v>Resigned/Terminated</v>
      </c>
    </row>
    <row r="286">
      <c r="A286" s="228">
        <f>IFERROR(__xludf.DUMMYFUNCTION("""COMPUTED_VALUE"""),5112.0)</f>
        <v>5112</v>
      </c>
      <c r="B286" s="228" t="str">
        <f>IFERROR(__xludf.DUMMYFUNCTION("""COMPUTED_VALUE"""),"Shahnoor Ejaz")</f>
        <v>Shahnoor Ejaz</v>
      </c>
      <c r="C286" s="228" t="str">
        <f>IFERROR(__xludf.DUMMYFUNCTION("""COMPUTED_VALUE"""),"shahnoorejaz@gmail.com")</f>
        <v>shahnoorejaz@gmail.com</v>
      </c>
      <c r="D286" s="228" t="str">
        <f>IFERROR(__xludf.DUMMYFUNCTION("""COMPUTED_VALUE"""),"shahnoor.ejaz@vyro.ai")</f>
        <v>shahnoor.ejaz@vyro.ai</v>
      </c>
      <c r="E286" s="730">
        <f>IFERROR(__xludf.DUMMYFUNCTION("""COMPUTED_VALUE"""),45001.0)</f>
        <v>45001</v>
      </c>
      <c r="F286" s="228" t="str">
        <f>IFERROR(__xludf.DUMMYFUNCTION("""COMPUTED_VALUE"""),"Visual Designer")</f>
        <v>Visual Designer</v>
      </c>
      <c r="G286" s="228" t="str">
        <f>IFERROR(__xludf.DUMMYFUNCTION("""COMPUTED_VALUE"""),"Design")</f>
        <v>Design</v>
      </c>
      <c r="H286" s="228" t="str">
        <f>IFERROR(__xludf.DUMMYFUNCTION("""COMPUTED_VALUE"""),"Abdullah")</f>
        <v>Abdullah</v>
      </c>
      <c r="I286" s="228" t="str">
        <f>IFERROR(__xludf.DUMMYFUNCTION("""COMPUTED_VALUE"""),"Permanent")</f>
        <v>Permanent</v>
      </c>
      <c r="J286" s="228" t="str">
        <f>IFERROR(__xludf.DUMMYFUNCTION("""COMPUTED_VALUE"""),"Active")</f>
        <v>Active</v>
      </c>
      <c r="K286" s="228" t="str">
        <f>IFERROR(__xludf.DUMMYFUNCTION("""COMPUTED_VALUE"""),"3M")</f>
        <v>3M</v>
      </c>
      <c r="L286" s="732">
        <f>IFERROR(__xludf.DUMMYFUNCTION("""COMPUTED_VALUE"""),45093.0)</f>
        <v>45093</v>
      </c>
      <c r="M286" s="228"/>
      <c r="N286" s="228"/>
      <c r="O286" s="228"/>
      <c r="P286" s="228" t="str">
        <f>IFERROR(__xludf.DUMMYFUNCTION("""COMPUTED_VALUE"""),"3059647269")</f>
        <v>3059647269</v>
      </c>
      <c r="Q286" s="228" t="str">
        <f>IFERROR(__xludf.DUMMYFUNCTION("""COMPUTED_VALUE"""),"42501-6125083-4")</f>
        <v>42501-6125083-4</v>
      </c>
      <c r="R286" s="228" t="str">
        <f>IFERROR(__xludf.DUMMYFUNCTION("""COMPUTED_VALUE"""),"Female")</f>
        <v>Female</v>
      </c>
      <c r="S286" s="228" t="str">
        <f>IFERROR(__xludf.DUMMYFUNCTION("""COMPUTED_VALUE"""),"HBL")</f>
        <v>HBL</v>
      </c>
      <c r="T286" s="228" t="str">
        <f>IFERROR(__xludf.DUMMYFUNCTION("""COMPUTED_VALUE"""),"Shahnoor Ejaz")</f>
        <v>Shahnoor Ejaz</v>
      </c>
      <c r="U286" s="228" t="str">
        <f>IFERROR(__xludf.DUMMYFUNCTION("""COMPUTED_VALUE"""),"PK77HABB0024467902529799")</f>
        <v>PK77HABB0024467902529799</v>
      </c>
      <c r="V286" s="228"/>
      <c r="W286" s="228"/>
      <c r="X286" s="228" t="str">
        <f>IFERROR(__xludf.DUMMYFUNCTION("""COMPUTED_VALUE"""),"Islamabad")</f>
        <v>Islamabad</v>
      </c>
      <c r="Y286" s="730">
        <f>IFERROR(__xludf.DUMMYFUNCTION("""COMPUTED_VALUE"""),36297.0)</f>
        <v>36297</v>
      </c>
      <c r="Z286" s="228" t="str">
        <f>IFERROR(__xludf.DUMMYFUNCTION("""COMPUTED_VALUE"""),"26 Years")</f>
        <v>26 Years</v>
      </c>
      <c r="AA286" s="228" t="str">
        <f>IFERROR(__xludf.DUMMYFUNCTION("""COMPUTED_VALUE"""),"G9/3, ST.8, House 711, Islamabad")</f>
        <v>G9/3, ST.8, House 711, Islamabad</v>
      </c>
      <c r="AB286" s="228" t="str">
        <f>IFERROR(__xludf.DUMMYFUNCTION("""COMPUTED_VALUE"""),"Pakistani")</f>
        <v>Pakistani</v>
      </c>
      <c r="AC286" s="228" t="str">
        <f>IFERROR(__xludf.DUMMYFUNCTION("""COMPUTED_VALUE"""),"Single")</f>
        <v>Single</v>
      </c>
      <c r="AD286" s="228"/>
      <c r="AE286" s="228"/>
      <c r="AF286" s="228"/>
      <c r="AG286" s="228" t="str">
        <f>IFERROR(__xludf.DUMMYFUNCTION("""COMPUTED_VALUE"""),"Amer Ejaz")</f>
        <v>Amer Ejaz</v>
      </c>
      <c r="AH286" s="228" t="str">
        <f>IFERROR(__xludf.DUMMYFUNCTION("""COMPUTED_VALUE"""),"Father")</f>
        <v>Father</v>
      </c>
      <c r="AI286" s="228" t="str">
        <f>IFERROR(__xludf.DUMMYFUNCTION("""COMPUTED_VALUE"""),"03009287063")</f>
        <v>03009287063</v>
      </c>
      <c r="AJ286" s="228" t="str">
        <f>IFERROR(__xludf.DUMMYFUNCTION("""COMPUTED_VALUE"""),"B+")</f>
        <v>B+</v>
      </c>
      <c r="AK286" s="228"/>
      <c r="AL286" s="228"/>
      <c r="AM286" s="730">
        <f>IFERROR(__xludf.DUMMYFUNCTION("""COMPUTED_VALUE"""),45359.0)</f>
        <v>45359</v>
      </c>
      <c r="AN286" s="228"/>
      <c r="AO286" s="228"/>
      <c r="AP286" s="228" t="str">
        <f>IFERROR(__xludf.DUMMYFUNCTION("""COMPUTED_VALUE"""),"NO")</f>
        <v>NO</v>
      </c>
      <c r="AQ286" s="228" t="str">
        <f>IFERROR(__xludf.DUMMYFUNCTION("""COMPUTED_VALUE"""),"Resigned/Terminated")</f>
        <v>Resigned/Terminated</v>
      </c>
    </row>
    <row r="287">
      <c r="A287" s="228">
        <f>IFERROR(__xludf.DUMMYFUNCTION("""COMPUTED_VALUE"""),5137.0)</f>
        <v>5137</v>
      </c>
      <c r="B287" s="228" t="str">
        <f>IFERROR(__xludf.DUMMYFUNCTION("""COMPUTED_VALUE"""),"Alina Mubarik")</f>
        <v>Alina Mubarik</v>
      </c>
      <c r="C287" s="228" t="str">
        <f>IFERROR(__xludf.DUMMYFUNCTION("""COMPUTED_VALUE"""),"Alinamubarik@gmail.com")</f>
        <v>Alinamubarik@gmail.com</v>
      </c>
      <c r="D287" s="228" t="str">
        <f>IFERROR(__xludf.DUMMYFUNCTION("""COMPUTED_VALUE"""),"alina.mubarik@vyro.ai")</f>
        <v>alina.mubarik@vyro.ai</v>
      </c>
      <c r="E287" s="730">
        <f>IFERROR(__xludf.DUMMYFUNCTION("""COMPUTED_VALUE"""),45082.0)</f>
        <v>45082</v>
      </c>
      <c r="F287" s="228" t="str">
        <f>IFERROR(__xludf.DUMMYFUNCTION("""COMPUTED_VALUE"""),"UX Researcher")</f>
        <v>UX Researcher</v>
      </c>
      <c r="G287" s="228" t="str">
        <f>IFERROR(__xludf.DUMMYFUNCTION("""COMPUTED_VALUE"""),"Product")</f>
        <v>Product</v>
      </c>
      <c r="H287" s="228" t="str">
        <f>IFERROR(__xludf.DUMMYFUNCTION("""COMPUTED_VALUE"""),"Abdullah CTO")</f>
        <v>Abdullah CTO</v>
      </c>
      <c r="I287" s="228" t="str">
        <f>IFERROR(__xludf.DUMMYFUNCTION("""COMPUTED_VALUE"""),"Permanent")</f>
        <v>Permanent</v>
      </c>
      <c r="J287" s="228" t="str">
        <f>IFERROR(__xludf.DUMMYFUNCTION("""COMPUTED_VALUE"""),"Active")</f>
        <v>Active</v>
      </c>
      <c r="K287" s="228" t="str">
        <f>IFERROR(__xludf.DUMMYFUNCTION("""COMPUTED_VALUE"""),"3M")</f>
        <v>3M</v>
      </c>
      <c r="L287" s="732">
        <f>IFERROR(__xludf.DUMMYFUNCTION("""COMPUTED_VALUE"""),45174.0)</f>
        <v>45174</v>
      </c>
      <c r="M287" s="228"/>
      <c r="N287" s="228"/>
      <c r="O287" s="228"/>
      <c r="P287" s="228" t="str">
        <f>IFERROR(__xludf.DUMMYFUNCTION("""COMPUTED_VALUE"""),"03082229797")</f>
        <v>03082229797</v>
      </c>
      <c r="Q287" s="228" t="str">
        <f>IFERROR(__xludf.DUMMYFUNCTION("""COMPUTED_VALUE"""),"61101-5318332-4")</f>
        <v>61101-5318332-4</v>
      </c>
      <c r="R287" s="228" t="str">
        <f>IFERROR(__xludf.DUMMYFUNCTION("""COMPUTED_VALUE"""),"Female")</f>
        <v>Female</v>
      </c>
      <c r="S287" s="228" t="str">
        <f>IFERROR(__xludf.DUMMYFUNCTION("""COMPUTED_VALUE"""),"Meezan Bank")</f>
        <v>Meezan Bank</v>
      </c>
      <c r="T287" s="228" t="str">
        <f>IFERROR(__xludf.DUMMYFUNCTION("""COMPUTED_VALUE"""),"Alina Mubarik")</f>
        <v>Alina Mubarik</v>
      </c>
      <c r="U287" s="228" t="str">
        <f>IFERROR(__xludf.DUMMYFUNCTION("""COMPUTED_VALUE"""),"K81MEZN0003170106331896")</f>
        <v>K81MEZN0003170106331896</v>
      </c>
      <c r="V287" s="228"/>
      <c r="W287" s="228"/>
      <c r="X287" s="228" t="str">
        <f>IFERROR(__xludf.DUMMYFUNCTION("""COMPUTED_VALUE"""),"Islamabad")</f>
        <v>Islamabad</v>
      </c>
      <c r="Y287" s="730">
        <f>IFERROR(__xludf.DUMMYFUNCTION("""COMPUTED_VALUE"""),35983.0)</f>
        <v>35983</v>
      </c>
      <c r="Z287" s="228" t="str">
        <f>IFERROR(__xludf.DUMMYFUNCTION("""COMPUTED_VALUE"""),"26 Years")</f>
        <v>26 Years</v>
      </c>
      <c r="AA287" s="228" t="str">
        <f>IFERROR(__xludf.DUMMYFUNCTION("""COMPUTED_VALUE"""),"House 679, street 47, G-9/1")</f>
        <v>House 679, street 47, G-9/1</v>
      </c>
      <c r="AB287" s="228" t="str">
        <f>IFERROR(__xludf.DUMMYFUNCTION("""COMPUTED_VALUE"""),"Pakistani")</f>
        <v>Pakistani</v>
      </c>
      <c r="AC287" s="228" t="str">
        <f>IFERROR(__xludf.DUMMYFUNCTION("""COMPUTED_VALUE"""),"Married")</f>
        <v>Married</v>
      </c>
      <c r="AD287" s="228"/>
      <c r="AE287" s="228"/>
      <c r="AF287" s="228"/>
      <c r="AG287" s="228" t="str">
        <f>IFERROR(__xludf.DUMMYFUNCTION("""COMPUTED_VALUE"""),"Sheharyar Khan")</f>
        <v>Sheharyar Khan</v>
      </c>
      <c r="AH287" s="228" t="str">
        <f>IFERROR(__xludf.DUMMYFUNCTION("""COMPUTED_VALUE"""),"Husband")</f>
        <v>Husband</v>
      </c>
      <c r="AI287" s="228" t="str">
        <f>IFERROR(__xludf.DUMMYFUNCTION("""COMPUTED_VALUE"""),"03339263745")</f>
        <v>03339263745</v>
      </c>
      <c r="AJ287" s="228" t="str">
        <f>IFERROR(__xludf.DUMMYFUNCTION("""COMPUTED_VALUE"""),"B+")</f>
        <v>B+</v>
      </c>
      <c r="AK287" s="228"/>
      <c r="AL287" s="228"/>
      <c r="AM287" s="730">
        <f>IFERROR(__xludf.DUMMYFUNCTION("""COMPUTED_VALUE"""),45362.0)</f>
        <v>45362</v>
      </c>
      <c r="AN287" s="228"/>
      <c r="AO287" s="228"/>
      <c r="AP287" s="228" t="str">
        <f>IFERROR(__xludf.DUMMYFUNCTION("""COMPUTED_VALUE"""),"NO")</f>
        <v>NO</v>
      </c>
      <c r="AQ287" s="228" t="str">
        <f>IFERROR(__xludf.DUMMYFUNCTION("""COMPUTED_VALUE"""),"Resigned/Terminated")</f>
        <v>Resigned/Terminated</v>
      </c>
    </row>
    <row r="288">
      <c r="A288" s="228">
        <f>IFERROR(__xludf.DUMMYFUNCTION("""COMPUTED_VALUE"""),5164.0)</f>
        <v>5164</v>
      </c>
      <c r="B288" s="228" t="str">
        <f>IFERROR(__xludf.DUMMYFUNCTION("""COMPUTED_VALUE"""),"Bilal Iftikhar")</f>
        <v>Bilal Iftikhar</v>
      </c>
      <c r="C288" s="228" t="str">
        <f>IFERROR(__xludf.DUMMYFUNCTION("""COMPUTED_VALUE"""),"bilaalahmaad1@gmail.com")</f>
        <v>bilaalahmaad1@gmail.com</v>
      </c>
      <c r="D288" s="228" t="str">
        <f>IFERROR(__xludf.DUMMYFUNCTION("""COMPUTED_VALUE"""),"bilal.iftikhar@vyro.ai")</f>
        <v>bilal.iftikhar@vyro.ai</v>
      </c>
      <c r="E288" s="730">
        <f>IFERROR(__xludf.DUMMYFUNCTION("""COMPUTED_VALUE"""),45167.0)</f>
        <v>45167</v>
      </c>
      <c r="F288" s="228" t="str">
        <f>IFERROR(__xludf.DUMMYFUNCTION("""COMPUTED_VALUE"""),"Senior Software Engineer II")</f>
        <v>Senior Software Engineer II</v>
      </c>
      <c r="G288" s="228" t="str">
        <f>IFERROR(__xludf.DUMMYFUNCTION("""COMPUTED_VALUE"""),"Tech")</f>
        <v>Tech</v>
      </c>
      <c r="H288" s="228" t="str">
        <f>IFERROR(__xludf.DUMMYFUNCTION("""COMPUTED_VALUE"""),"Shariq")</f>
        <v>Shariq</v>
      </c>
      <c r="I288" s="228" t="str">
        <f>IFERROR(__xludf.DUMMYFUNCTION("""COMPUTED_VALUE"""),"Permanent")</f>
        <v>Permanent</v>
      </c>
      <c r="J288" s="228" t="str">
        <f>IFERROR(__xludf.DUMMYFUNCTION("""COMPUTED_VALUE"""),"Active")</f>
        <v>Active</v>
      </c>
      <c r="K288" s="228" t="str">
        <f>IFERROR(__xludf.DUMMYFUNCTION("""COMPUTED_VALUE"""),"3M")</f>
        <v>3M</v>
      </c>
      <c r="L288" s="732">
        <f>IFERROR(__xludf.DUMMYFUNCTION("""COMPUTED_VALUE"""),45259.0)</f>
        <v>45259</v>
      </c>
      <c r="M288" s="228"/>
      <c r="N288" s="228"/>
      <c r="O288" s="228"/>
      <c r="P288" s="228" t="str">
        <f>IFERROR(__xludf.DUMMYFUNCTION("""COMPUTED_VALUE"""),"3234431272")</f>
        <v>3234431272</v>
      </c>
      <c r="Q288" s="228" t="str">
        <f>IFERROR(__xludf.DUMMYFUNCTION("""COMPUTED_VALUE"""),"35202-1537744-7")</f>
        <v>35202-1537744-7</v>
      </c>
      <c r="R288" s="228" t="str">
        <f>IFERROR(__xludf.DUMMYFUNCTION("""COMPUTED_VALUE"""),"Male")</f>
        <v>Male</v>
      </c>
      <c r="S288" s="228" t="str">
        <f>IFERROR(__xludf.DUMMYFUNCTION("""COMPUTED_VALUE"""),"Standard Chartered")</f>
        <v>Standard Chartered</v>
      </c>
      <c r="T288" s="228" t="str">
        <f>IFERROR(__xludf.DUMMYFUNCTION("""COMPUTED_VALUE"""),"Bilal Iftikhar")</f>
        <v>Bilal Iftikhar</v>
      </c>
      <c r="U288" s="228" t="str">
        <f>IFERROR(__xludf.DUMMYFUNCTION("""COMPUTED_VALUE"""),"PK70SCBL0000001731322401")</f>
        <v>PK70SCBL0000001731322401</v>
      </c>
      <c r="V288" s="228" t="str">
        <f>IFERROR(__xludf.DUMMYFUNCTION("""COMPUTED_VALUE"""),"SCBLPKKXLHR")</f>
        <v>SCBLPKKXLHR</v>
      </c>
      <c r="W288" s="228"/>
      <c r="X288" s="228" t="str">
        <f>IFERROR(__xludf.DUMMYFUNCTION("""COMPUTED_VALUE"""),"Lahore (Hybrid)")</f>
        <v>Lahore (Hybrid)</v>
      </c>
      <c r="Y288" s="730">
        <f>IFERROR(__xludf.DUMMYFUNCTION("""COMPUTED_VALUE"""),34627.0)</f>
        <v>34627</v>
      </c>
      <c r="Z288" s="228" t="str">
        <f>IFERROR(__xludf.DUMMYFUNCTION("""COMPUTED_VALUE"""),"30 Years")</f>
        <v>30 Years</v>
      </c>
      <c r="AA288" s="228" t="str">
        <f>IFERROR(__xludf.DUMMYFUNCTION("""COMPUTED_VALUE"""),"161 SA Muslim Park Ichhra")</f>
        <v>161 SA Muslim Park Ichhra</v>
      </c>
      <c r="AB288" s="228" t="str">
        <f>IFERROR(__xludf.DUMMYFUNCTION("""COMPUTED_VALUE"""),"Pakistani")</f>
        <v>Pakistani</v>
      </c>
      <c r="AC288" s="228" t="str">
        <f>IFERROR(__xludf.DUMMYFUNCTION("""COMPUTED_VALUE"""),"Married")</f>
        <v>Married</v>
      </c>
      <c r="AD288" s="228"/>
      <c r="AE288" s="228"/>
      <c r="AF288" s="228"/>
      <c r="AG288" s="228" t="str">
        <f>IFERROR(__xludf.DUMMYFUNCTION("""COMPUTED_VALUE"""),"Iftikhar Ahmed")</f>
        <v>Iftikhar Ahmed</v>
      </c>
      <c r="AH288" s="228" t="str">
        <f>IFERROR(__xludf.DUMMYFUNCTION("""COMPUTED_VALUE"""),"Brother")</f>
        <v>Brother</v>
      </c>
      <c r="AI288" s="228" t="str">
        <f>IFERROR(__xludf.DUMMYFUNCTION("""COMPUTED_VALUE"""),"03248466714")</f>
        <v>03248466714</v>
      </c>
      <c r="AJ288" s="228" t="str">
        <f>IFERROR(__xludf.DUMMYFUNCTION("""COMPUTED_VALUE"""),"O+")</f>
        <v>O+</v>
      </c>
      <c r="AK288" s="731" t="str">
        <f>IFERROR(__xludf.DUMMYFUNCTION("""COMPUTED_VALUE"""),"https://www.linkedin.com/in/bilal-iftikhar")</f>
        <v>https://www.linkedin.com/in/bilal-iftikhar</v>
      </c>
      <c r="AL288" s="228"/>
      <c r="AM288" s="730">
        <f>IFERROR(__xludf.DUMMYFUNCTION("""COMPUTED_VALUE"""),45363.0)</f>
        <v>45363</v>
      </c>
      <c r="AN288" s="228"/>
      <c r="AO288" s="228"/>
      <c r="AP288" s="228" t="str">
        <f>IFERROR(__xludf.DUMMYFUNCTION("""COMPUTED_VALUE"""),"NO")</f>
        <v>NO</v>
      </c>
      <c r="AQ288" s="228" t="str">
        <f>IFERROR(__xludf.DUMMYFUNCTION("""COMPUTED_VALUE"""),"Resigned/Terminated")</f>
        <v>Resigned/Terminated</v>
      </c>
    </row>
    <row r="289">
      <c r="A289" s="228">
        <f>IFERROR(__xludf.DUMMYFUNCTION("""COMPUTED_VALUE"""),5202.0)</f>
        <v>5202</v>
      </c>
      <c r="B289" s="228" t="str">
        <f>IFERROR(__xludf.DUMMYFUNCTION("""COMPUTED_VALUE"""),"Mueed Hassan")</f>
        <v>Mueed Hassan</v>
      </c>
      <c r="C289" s="228" t="str">
        <f>IFERROR(__xludf.DUMMYFUNCTION("""COMPUTED_VALUE"""),"mhassan.bscs20seecs@seecs.edu.pk")</f>
        <v>mhassan.bscs20seecs@seecs.edu.pk</v>
      </c>
      <c r="D289" s="228" t="str">
        <f>IFERROR(__xludf.DUMMYFUNCTION("""COMPUTED_VALUE"""),"mueed.hassan@vyro.ai")</f>
        <v>mueed.hassan@vyro.ai</v>
      </c>
      <c r="E289" s="730">
        <f>IFERROR(__xludf.DUMMYFUNCTION("""COMPUTED_VALUE"""),45243.0)</f>
        <v>45243</v>
      </c>
      <c r="F289" s="228" t="str">
        <f>IFERROR(__xludf.DUMMYFUNCTION("""COMPUTED_VALUE"""),"Android associate")</f>
        <v>Android associate</v>
      </c>
      <c r="G289" s="228" t="str">
        <f>IFERROR(__xludf.DUMMYFUNCTION("""COMPUTED_VALUE"""),"Mobile Engineering")</f>
        <v>Mobile Engineering</v>
      </c>
      <c r="H289" s="228" t="str">
        <f>IFERROR(__xludf.DUMMYFUNCTION("""COMPUTED_VALUE"""),"Zaid Abbasi, Senior Android Developer")</f>
        <v>Zaid Abbasi, Senior Android Developer</v>
      </c>
      <c r="I289" s="228" t="str">
        <f>IFERROR(__xludf.DUMMYFUNCTION("""COMPUTED_VALUE"""),"Permanent")</f>
        <v>Permanent</v>
      </c>
      <c r="J289" s="228" t="str">
        <f>IFERROR(__xludf.DUMMYFUNCTION("""COMPUTED_VALUE"""),"Active")</f>
        <v>Active</v>
      </c>
      <c r="K289" s="228" t="str">
        <f>IFERROR(__xludf.DUMMYFUNCTION("""COMPUTED_VALUE"""),"3M")</f>
        <v>3M</v>
      </c>
      <c r="L289" s="732">
        <f>IFERROR(__xludf.DUMMYFUNCTION("""COMPUTED_VALUE"""),45335.0)</f>
        <v>45335</v>
      </c>
      <c r="M289" s="228"/>
      <c r="N289" s="228"/>
      <c r="O289" s="228"/>
      <c r="P289" s="228" t="str">
        <f>IFERROR(__xludf.DUMMYFUNCTION("""COMPUTED_VALUE"""),"3341127513")</f>
        <v>3341127513</v>
      </c>
      <c r="Q289" s="228" t="str">
        <f>IFERROR(__xludf.DUMMYFUNCTION("""COMPUTED_VALUE"""),"42201-4339208-7")</f>
        <v>42201-4339208-7</v>
      </c>
      <c r="R289" s="228" t="str">
        <f>IFERROR(__xludf.DUMMYFUNCTION("""COMPUTED_VALUE"""),"Male")</f>
        <v>Male</v>
      </c>
      <c r="S289" s="228" t="str">
        <f>IFERROR(__xludf.DUMMYFUNCTION("""COMPUTED_VALUE"""),"Habib Bank Limited")</f>
        <v>Habib Bank Limited</v>
      </c>
      <c r="T289" s="228" t="str">
        <f>IFERROR(__xludf.DUMMYFUNCTION("""COMPUTED_VALUE"""),"Mueed Hassan")</f>
        <v>Mueed Hassan</v>
      </c>
      <c r="U289" s="228" t="str">
        <f>IFERROR(__xludf.DUMMYFUNCTION("""COMPUTED_VALUE"""),"PK72HABB0023897000296203")</f>
        <v>PK72HABB0023897000296203</v>
      </c>
      <c r="V289" s="228"/>
      <c r="W289" s="228"/>
      <c r="X289" s="228" t="str">
        <f>IFERROR(__xludf.DUMMYFUNCTION("""COMPUTED_VALUE"""),"Islamabad")</f>
        <v>Islamabad</v>
      </c>
      <c r="Y289" s="730">
        <f>IFERROR(__xludf.DUMMYFUNCTION("""COMPUTED_VALUE"""),36692.0)</f>
        <v>36692</v>
      </c>
      <c r="Z289" s="228" t="str">
        <f>IFERROR(__xludf.DUMMYFUNCTION("""COMPUTED_VALUE"""),"25 Years")</f>
        <v>25 Years</v>
      </c>
      <c r="AA289" s="228" t="str">
        <f>IFERROR(__xludf.DUMMYFUNCTION("""COMPUTED_VALUE"""),"Nust hajveri hostel room 208")</f>
        <v>Nust hajveri hostel room 208</v>
      </c>
      <c r="AB289" s="228" t="str">
        <f>IFERROR(__xludf.DUMMYFUNCTION("""COMPUTED_VALUE"""),"Pakistani")</f>
        <v>Pakistani</v>
      </c>
      <c r="AC289" s="228" t="str">
        <f>IFERROR(__xludf.DUMMYFUNCTION("""COMPUTED_VALUE"""),"Single")</f>
        <v>Single</v>
      </c>
      <c r="AD289" s="228"/>
      <c r="AE289" s="228"/>
      <c r="AF289" s="228"/>
      <c r="AG289" s="228" t="str">
        <f>IFERROR(__xludf.DUMMYFUNCTION("""COMPUTED_VALUE"""),"Muhammad Pervez Akhter")</f>
        <v>Muhammad Pervez Akhter</v>
      </c>
      <c r="AH289" s="228" t="str">
        <f>IFERROR(__xludf.DUMMYFUNCTION("""COMPUTED_VALUE"""),"Mother")</f>
        <v>Mother</v>
      </c>
      <c r="AI289" s="228" t="str">
        <f>IFERROR(__xludf.DUMMYFUNCTION("""COMPUTED_VALUE"""),"03343034229")</f>
        <v>03343034229</v>
      </c>
      <c r="AJ289" s="228" t="str">
        <f>IFERROR(__xludf.DUMMYFUNCTION("""COMPUTED_VALUE"""),"B+")</f>
        <v>B+</v>
      </c>
      <c r="AK289" s="731" t="str">
        <f>IFERROR(__xludf.DUMMYFUNCTION("""COMPUTED_VALUE"""),"https://www.linkedin.com/in/mueed-hassan-350944265?utm_source=share&amp;utm_campaign=share_via&amp;utm_content=profile&amp;utm_medium=android_app")</f>
        <v>https://www.linkedin.com/in/mueed-hassan-350944265?utm_source=share&amp;utm_campaign=share_via&amp;utm_content=profile&amp;utm_medium=android_app</v>
      </c>
      <c r="AL289" s="228"/>
      <c r="AM289" s="730">
        <f>IFERROR(__xludf.DUMMYFUNCTION("""COMPUTED_VALUE"""),45365.0)</f>
        <v>45365</v>
      </c>
      <c r="AN289" s="228"/>
      <c r="AO289" s="228"/>
      <c r="AP289" s="228" t="str">
        <f>IFERROR(__xludf.DUMMYFUNCTION("""COMPUTED_VALUE"""),"NO")</f>
        <v>NO</v>
      </c>
      <c r="AQ289" s="228" t="str">
        <f>IFERROR(__xludf.DUMMYFUNCTION("""COMPUTED_VALUE"""),"Resigned/Terminated")</f>
        <v>Resigned/Terminated</v>
      </c>
    </row>
    <row r="290">
      <c r="A290" s="228">
        <f>IFERROR(__xludf.DUMMYFUNCTION("""COMPUTED_VALUE"""),5135.0)</f>
        <v>5135</v>
      </c>
      <c r="B290" s="228" t="str">
        <f>IFERROR(__xludf.DUMMYFUNCTION("""COMPUTED_VALUE"""),"Ali Nawaz Channa")</f>
        <v>Ali Nawaz Channa</v>
      </c>
      <c r="C290" s="228" t="str">
        <f>IFERROR(__xludf.DUMMYFUNCTION("""COMPUTED_VALUE"""),"ali.nawaz9119@gmail.com")</f>
        <v>ali.nawaz9119@gmail.com</v>
      </c>
      <c r="D290" s="228" t="str">
        <f>IFERROR(__xludf.DUMMYFUNCTION("""COMPUTED_VALUE"""),"ali.nawaz@vyro.ai")</f>
        <v>ali.nawaz@vyro.ai</v>
      </c>
      <c r="E290" s="730">
        <f>IFERROR(__xludf.DUMMYFUNCTION("""COMPUTED_VALUE"""),45078.0)</f>
        <v>45078</v>
      </c>
      <c r="F290" s="228" t="str">
        <f>IFERROR(__xludf.DUMMYFUNCTION("""COMPUTED_VALUE"""),"Product Business Strategist")</f>
        <v>Product Business Strategist</v>
      </c>
      <c r="G290" s="228" t="str">
        <f>IFERROR(__xludf.DUMMYFUNCTION("""COMPUTED_VALUE"""),"Business")</f>
        <v>Business</v>
      </c>
      <c r="H290" s="228" t="str">
        <f>IFERROR(__xludf.DUMMYFUNCTION("""COMPUTED_VALUE"""),"Ahmed Abubakar, CEO")</f>
        <v>Ahmed Abubakar, CEO</v>
      </c>
      <c r="I290" s="228" t="str">
        <f>IFERROR(__xludf.DUMMYFUNCTION("""COMPUTED_VALUE"""),"Permanent")</f>
        <v>Permanent</v>
      </c>
      <c r="J290" s="228" t="str">
        <f>IFERROR(__xludf.DUMMYFUNCTION("""COMPUTED_VALUE"""),"Active")</f>
        <v>Active</v>
      </c>
      <c r="K290" s="228" t="str">
        <f>IFERROR(__xludf.DUMMYFUNCTION("""COMPUTED_VALUE"""),"3M")</f>
        <v>3M</v>
      </c>
      <c r="L290" s="732">
        <f>IFERROR(__xludf.DUMMYFUNCTION("""COMPUTED_VALUE"""),45170.0)</f>
        <v>45170</v>
      </c>
      <c r="M290" s="228"/>
      <c r="N290" s="228"/>
      <c r="O290" s="228"/>
      <c r="P290" s="228" t="str">
        <f>IFERROR(__xludf.DUMMYFUNCTION("""COMPUTED_VALUE"""),"03105428008")</f>
        <v>03105428008</v>
      </c>
      <c r="Q290" s="228" t="str">
        <f>IFERROR(__xludf.DUMMYFUNCTION("""COMPUTED_VALUE"""),"42201-8465990-5")</f>
        <v>42201-8465990-5</v>
      </c>
      <c r="R290" s="228" t="str">
        <f>IFERROR(__xludf.DUMMYFUNCTION("""COMPUTED_VALUE"""),"Male")</f>
        <v>Male</v>
      </c>
      <c r="S290" s="228" t="str">
        <f>IFERROR(__xludf.DUMMYFUNCTION("""COMPUTED_VALUE"""),"Meezan Bank")</f>
        <v>Meezan Bank</v>
      </c>
      <c r="T290" s="228" t="str">
        <f>IFERROR(__xludf.DUMMYFUNCTION("""COMPUTED_VALUE"""),"Ali Nawaz Channa")</f>
        <v>Ali Nawaz Channa</v>
      </c>
      <c r="U290" s="228" t="str">
        <f>IFERROR(__xludf.DUMMYFUNCTION("""COMPUTED_VALUE"""),"PK59MEZN0001190102253153")</f>
        <v>PK59MEZN0001190102253153</v>
      </c>
      <c r="V290" s="228"/>
      <c r="W290" s="228"/>
      <c r="X290" s="228"/>
      <c r="Y290" s="730">
        <f>IFERROR(__xludf.DUMMYFUNCTION("""COMPUTED_VALUE"""),33408.0)</f>
        <v>33408</v>
      </c>
      <c r="Z290" s="228" t="str">
        <f>IFERROR(__xludf.DUMMYFUNCTION("""COMPUTED_VALUE"""),"34 Years")</f>
        <v>34 Years</v>
      </c>
      <c r="AA290" s="228" t="str">
        <f>IFERROR(__xludf.DUMMYFUNCTION("""COMPUTED_VALUE"""),"House No. 172, Street 92, G-11/3, Islamabad")</f>
        <v>House No. 172, Street 92, G-11/3, Islamabad</v>
      </c>
      <c r="AB290" s="228" t="str">
        <f>IFERROR(__xludf.DUMMYFUNCTION("""COMPUTED_VALUE"""),"Pakistani")</f>
        <v>Pakistani</v>
      </c>
      <c r="AC290" s="228" t="str">
        <f>IFERROR(__xludf.DUMMYFUNCTION("""COMPUTED_VALUE"""),"Single")</f>
        <v>Single</v>
      </c>
      <c r="AD290" s="228"/>
      <c r="AE290" s="228"/>
      <c r="AF290" s="228"/>
      <c r="AG290" s="228" t="str">
        <f>IFERROR(__xludf.DUMMYFUNCTION("""COMPUTED_VALUE"""),"Hassan Ali Channa")</f>
        <v>Hassan Ali Channa</v>
      </c>
      <c r="AH290" s="228" t="str">
        <f>IFERROR(__xludf.DUMMYFUNCTION("""COMPUTED_VALUE"""),"Brother")</f>
        <v>Brother</v>
      </c>
      <c r="AI290" s="228" t="str">
        <f>IFERROR(__xludf.DUMMYFUNCTION("""COMPUTED_VALUE"""),"03367079646")</f>
        <v>03367079646</v>
      </c>
      <c r="AJ290" s="228" t="str">
        <f>IFERROR(__xludf.DUMMYFUNCTION("""COMPUTED_VALUE"""),"B+")</f>
        <v>B+</v>
      </c>
      <c r="AK290" s="228"/>
      <c r="AL290" s="228"/>
      <c r="AM290" s="730">
        <f>IFERROR(__xludf.DUMMYFUNCTION("""COMPUTED_VALUE"""),45366.0)</f>
        <v>45366</v>
      </c>
      <c r="AN290" s="228"/>
      <c r="AO290" s="228"/>
      <c r="AP290" s="228" t="str">
        <f>IFERROR(__xludf.DUMMYFUNCTION("""COMPUTED_VALUE"""),"NO")</f>
        <v>NO</v>
      </c>
      <c r="AQ290" s="228" t="str">
        <f>IFERROR(__xludf.DUMMYFUNCTION("""COMPUTED_VALUE"""),"Resigned/Terminated")</f>
        <v>Resigned/Terminated</v>
      </c>
    </row>
    <row r="291">
      <c r="A291" s="228">
        <f>IFERROR(__xludf.DUMMYFUNCTION("""COMPUTED_VALUE"""),5222.0)</f>
        <v>5222</v>
      </c>
      <c r="B291" s="228" t="str">
        <f>IFERROR(__xludf.DUMMYFUNCTION("""COMPUTED_VALUE"""),"Samet Semercioğlu")</f>
        <v>Samet Semercioğlu</v>
      </c>
      <c r="C291" s="228" t="str">
        <f>IFERROR(__xludf.DUMMYFUNCTION("""COMPUTED_VALUE"""),"ametsemercioglu@gmail.com")</f>
        <v>ametsemercioglu@gmail.com</v>
      </c>
      <c r="D291" s="228" t="str">
        <f>IFERROR(__xludf.DUMMYFUNCTION("""COMPUTED_VALUE"""),"growth.consultant@vyro.ai")</f>
        <v>growth.consultant@vyro.ai</v>
      </c>
      <c r="E291" s="730">
        <f>IFERROR(__xludf.DUMMYFUNCTION("""COMPUTED_VALUE"""),45308.0)</f>
        <v>45308</v>
      </c>
      <c r="F291" s="228" t="str">
        <f>IFERROR(__xludf.DUMMYFUNCTION("""COMPUTED_VALUE"""),"App Marketing Consultant")</f>
        <v>App Marketing Consultant</v>
      </c>
      <c r="G291" s="228" t="str">
        <f>IFERROR(__xludf.DUMMYFUNCTION("""COMPUTED_VALUE"""),"Business &amp; Growth")</f>
        <v>Business &amp; Growth</v>
      </c>
      <c r="H291" s="228" t="str">
        <f>IFERROR(__xludf.DUMMYFUNCTION("""COMPUTED_VALUE"""),"Zain")</f>
        <v>Zain</v>
      </c>
      <c r="I291" s="228" t="str">
        <f>IFERROR(__xludf.DUMMYFUNCTION("""COMPUTED_VALUE"""),"Consultant")</f>
        <v>Consultant</v>
      </c>
      <c r="J291" s="228" t="str">
        <f>IFERROR(__xludf.DUMMYFUNCTION("""COMPUTED_VALUE"""),"Active")</f>
        <v>Active</v>
      </c>
      <c r="K291" s="228"/>
      <c r="L291" s="228"/>
      <c r="M291" s="228"/>
      <c r="N291" s="228"/>
      <c r="O291" s="228"/>
      <c r="P291" s="228"/>
      <c r="Q291" s="228"/>
      <c r="R291" s="228" t="str">
        <f>IFERROR(__xludf.DUMMYFUNCTION("""COMPUTED_VALUE"""),"Male")</f>
        <v>Male</v>
      </c>
      <c r="S291" s="228" t="str">
        <f>IFERROR(__xludf.DUMMYFUNCTION("""COMPUTED_VALUE"""),"Citibank,
address: 111 Wall Street New York, NY 10043 USA,
Account type: CHECKING")</f>
        <v>Citibank,
address: 111 Wall Street New York, NY 10043 USA,
Account type: CHECKING</v>
      </c>
      <c r="T291" s="228" t="str">
        <f>IFERROR(__xludf.DUMMYFUNCTION("""COMPUTED_VALUE"""),"Samet Semercioglu")</f>
        <v>Samet Semercioglu</v>
      </c>
      <c r="U291" s="228" t="str">
        <f>IFERROR(__xludf.DUMMYFUNCTION("""COMPUTED_VALUE"""),"70585370000803510")</f>
        <v>70585370000803510</v>
      </c>
      <c r="V291" s="228" t="str">
        <f>IFERROR(__xludf.DUMMYFUNCTION("""COMPUTED_VALUE"""),"CITIUS33")</f>
        <v>CITIUS33</v>
      </c>
      <c r="W291" s="228" t="str">
        <f>IFERROR(__xludf.DUMMYFUNCTION("""COMPUTED_VALUE"""),"31100209")</f>
        <v>31100209</v>
      </c>
      <c r="X291" s="228" t="str">
        <f>IFERROR(__xludf.DUMMYFUNCTION("""COMPUTED_VALUE"""),"Remote")</f>
        <v>Remote</v>
      </c>
      <c r="Y291" s="228"/>
      <c r="Z291" s="228" t="str">
        <f>IFERROR(__xludf.DUMMYFUNCTION("""COMPUTED_VALUE"""),"-")</f>
        <v>-</v>
      </c>
      <c r="AA291" s="228"/>
      <c r="AB291" s="228"/>
      <c r="AC291" s="228"/>
      <c r="AD291" s="228"/>
      <c r="AE291" s="228"/>
      <c r="AF291" s="228"/>
      <c r="AG291" s="228"/>
      <c r="AH291" s="228"/>
      <c r="AI291" s="228"/>
      <c r="AJ291" s="228"/>
      <c r="AK291" s="731" t="str">
        <f>IFERROR(__xludf.DUMMYFUNCTION("""COMPUTED_VALUE"""),"https://www.linkedin.com/in/samet-semercioglu/")</f>
        <v>https://www.linkedin.com/in/samet-semercioglu/</v>
      </c>
      <c r="AL291" s="228"/>
      <c r="AM291" s="730">
        <f>IFERROR(__xludf.DUMMYFUNCTION("""COMPUTED_VALUE"""),45366.0)</f>
        <v>45366</v>
      </c>
      <c r="AN291" s="228"/>
      <c r="AO291" s="228"/>
      <c r="AP291" s="228" t="str">
        <f>IFERROR(__xludf.DUMMYFUNCTION("""COMPUTED_VALUE"""),"NO")</f>
        <v>NO</v>
      </c>
      <c r="AQ291" s="228" t="str">
        <f>IFERROR(__xludf.DUMMYFUNCTION("""COMPUTED_VALUE"""),"Resigned/Terminated")</f>
        <v>Resigned/Terminated</v>
      </c>
    </row>
    <row r="292">
      <c r="A292" s="228">
        <f>IFERROR(__xludf.DUMMYFUNCTION("""COMPUTED_VALUE"""),5173.0)</f>
        <v>5173</v>
      </c>
      <c r="B292" s="228" t="str">
        <f>IFERROR(__xludf.DUMMYFUNCTION("""COMPUTED_VALUE"""),"Arif Nawaz")</f>
        <v>Arif Nawaz</v>
      </c>
      <c r="C292" s="228" t="str">
        <f>IFERROR(__xludf.DUMMYFUNCTION("""COMPUTED_VALUE"""),"arifnawaz669@gmail.com")</f>
        <v>arifnawaz669@gmail.com</v>
      </c>
      <c r="D292" s="228" t="str">
        <f>IFERROR(__xludf.DUMMYFUNCTION("""COMPUTED_VALUE"""),"arif.nawaz@vyro.ai")</f>
        <v>arif.nawaz@vyro.ai</v>
      </c>
      <c r="E292" s="730">
        <f>IFERROR(__xludf.DUMMYFUNCTION("""COMPUTED_VALUE"""),45180.0)</f>
        <v>45180</v>
      </c>
      <c r="F292" s="228" t="str">
        <f>IFERROR(__xludf.DUMMYFUNCTION("""COMPUTED_VALUE"""),"Sr. Backend Engineer II")</f>
        <v>Sr. Backend Engineer II</v>
      </c>
      <c r="G292" s="228" t="str">
        <f>IFERROR(__xludf.DUMMYFUNCTION("""COMPUTED_VALUE"""),"Backend")</f>
        <v>Backend</v>
      </c>
      <c r="H292" s="228" t="str">
        <f>IFERROR(__xludf.DUMMYFUNCTION("""COMPUTED_VALUE"""),"Shariq")</f>
        <v>Shariq</v>
      </c>
      <c r="I292" s="228" t="str">
        <f>IFERROR(__xludf.DUMMYFUNCTION("""COMPUTED_VALUE"""),"Permanent")</f>
        <v>Permanent</v>
      </c>
      <c r="J292" s="228" t="str">
        <f>IFERROR(__xludf.DUMMYFUNCTION("""COMPUTED_VALUE"""),"Active")</f>
        <v>Active</v>
      </c>
      <c r="K292" s="228" t="str">
        <f>IFERROR(__xludf.DUMMYFUNCTION("""COMPUTED_VALUE"""),"3M")</f>
        <v>3M</v>
      </c>
      <c r="L292" s="732">
        <f>IFERROR(__xludf.DUMMYFUNCTION("""COMPUTED_VALUE"""),45271.0)</f>
        <v>45271</v>
      </c>
      <c r="M292" s="228"/>
      <c r="N292" s="228"/>
      <c r="O292" s="228"/>
      <c r="P292" s="228" t="str">
        <f>IFERROR(__xludf.DUMMYFUNCTION("""COMPUTED_VALUE"""),"3153131375")</f>
        <v>3153131375</v>
      </c>
      <c r="Q292" s="228" t="str">
        <f>IFERROR(__xludf.DUMMYFUNCTION("""COMPUTED_VALUE"""),"17202-0352804-3")</f>
        <v>17202-0352804-3</v>
      </c>
      <c r="R292" s="228" t="str">
        <f>IFERROR(__xludf.DUMMYFUNCTION("""COMPUTED_VALUE"""),"Male")</f>
        <v>Male</v>
      </c>
      <c r="S292" s="228" t="str">
        <f>IFERROR(__xludf.DUMMYFUNCTION("""COMPUTED_VALUE"""),"United Bank Limited (UBL)")</f>
        <v>United Bank Limited (UBL)</v>
      </c>
      <c r="T292" s="228" t="str">
        <f>IFERROR(__xludf.DUMMYFUNCTION("""COMPUTED_VALUE"""),"Arif Nawaz")</f>
        <v>Arif Nawaz</v>
      </c>
      <c r="U292" s="228" t="str">
        <f>IFERROR(__xludf.DUMMYFUNCTION("""COMPUTED_VALUE"""),"PK43UNIL0109000248364926")</f>
        <v>PK43UNIL0109000248364926</v>
      </c>
      <c r="V292" s="228" t="str">
        <f>IFERROR(__xludf.DUMMYFUNCTION("""COMPUTED_VALUE"""),"UNILPKKA")</f>
        <v>UNILPKKA</v>
      </c>
      <c r="W292" s="228"/>
      <c r="X292" s="228" t="str">
        <f>IFERROR(__xludf.DUMMYFUNCTION("""COMPUTED_VALUE"""),"Lahore")</f>
        <v>Lahore</v>
      </c>
      <c r="Y292" s="730">
        <f>IFERROR(__xludf.DUMMYFUNCTION("""COMPUTED_VALUE"""),34771.0)</f>
        <v>34771</v>
      </c>
      <c r="Z292" s="228" t="str">
        <f>IFERROR(__xludf.DUMMYFUNCTION("""COMPUTED_VALUE"""),"30 Years")</f>
        <v>30 Years</v>
      </c>
      <c r="AA292" s="228" t="str">
        <f>IFERROR(__xludf.DUMMYFUNCTION("""COMPUTED_VALUE"""),"P/O Taru Jabba, 24310, Pabbi, KPK")</f>
        <v>P/O Taru Jabba, 24310, Pabbi, KPK</v>
      </c>
      <c r="AB292" s="228" t="str">
        <f>IFERROR(__xludf.DUMMYFUNCTION("""COMPUTED_VALUE"""),"Pakistani")</f>
        <v>Pakistani</v>
      </c>
      <c r="AC292" s="228" t="str">
        <f>IFERROR(__xludf.DUMMYFUNCTION("""COMPUTED_VALUE"""),"Married")</f>
        <v>Married</v>
      </c>
      <c r="AD292" s="228"/>
      <c r="AE292" s="228"/>
      <c r="AF292" s="228"/>
      <c r="AG292" s="228" t="str">
        <f>IFERROR(__xludf.DUMMYFUNCTION("""COMPUTED_VALUE"""),"Amir Nawaz Khan")</f>
        <v>Amir Nawaz Khan</v>
      </c>
      <c r="AH292" s="228" t="str">
        <f>IFERROR(__xludf.DUMMYFUNCTION("""COMPUTED_VALUE"""),"Father")</f>
        <v>Father</v>
      </c>
      <c r="AI292" s="228" t="str">
        <f>IFERROR(__xludf.DUMMYFUNCTION("""COMPUTED_VALUE"""),"3369320585")</f>
        <v>3369320585</v>
      </c>
      <c r="AJ292" s="228" t="str">
        <f>IFERROR(__xludf.DUMMYFUNCTION("""COMPUTED_VALUE"""),"O+")</f>
        <v>O+</v>
      </c>
      <c r="AK292" s="731" t="str">
        <f>IFERROR(__xludf.DUMMYFUNCTION("""COMPUTED_VALUE"""),"https://www.linkedin.com/in/arif-nawaz/")</f>
        <v>https://www.linkedin.com/in/arif-nawaz/</v>
      </c>
      <c r="AL292" s="228"/>
      <c r="AM292" s="730">
        <f>IFERROR(__xludf.DUMMYFUNCTION("""COMPUTED_VALUE"""),45377.0)</f>
        <v>45377</v>
      </c>
      <c r="AN292" s="228"/>
      <c r="AO292" s="228"/>
      <c r="AP292" s="228" t="str">
        <f>IFERROR(__xludf.DUMMYFUNCTION("""COMPUTED_VALUE"""),"NO")</f>
        <v>NO</v>
      </c>
      <c r="AQ292" s="228" t="str">
        <f>IFERROR(__xludf.DUMMYFUNCTION("""COMPUTED_VALUE"""),"Resigned/Terminated")</f>
        <v>Resigned/Terminated</v>
      </c>
    </row>
    <row r="293">
      <c r="A293" s="228">
        <f>IFERROR(__xludf.DUMMYFUNCTION("""COMPUTED_VALUE"""),5119.0)</f>
        <v>5119</v>
      </c>
      <c r="B293" s="228" t="str">
        <f>IFERROR(__xludf.DUMMYFUNCTION("""COMPUTED_VALUE"""),"Muhammad Usman")</f>
        <v>Muhammad Usman</v>
      </c>
      <c r="C293" s="228" t="str">
        <f>IFERROR(__xludf.DUMMYFUNCTION("""COMPUTED_VALUE"""),"beingusman.mu@gmail.com")</f>
        <v>beingusman.mu@gmail.com</v>
      </c>
      <c r="D293" s="228" t="str">
        <f>IFERROR(__xludf.DUMMYFUNCTION("""COMPUTED_VALUE"""),"muhammad.usman@vyro.ai")</f>
        <v>muhammad.usman@vyro.ai</v>
      </c>
      <c r="E293" s="730">
        <f>IFERROR(__xludf.DUMMYFUNCTION("""COMPUTED_VALUE"""),45033.0)</f>
        <v>45033</v>
      </c>
      <c r="F293" s="228" t="str">
        <f>IFERROR(__xludf.DUMMYFUNCTION("""COMPUTED_VALUE"""),"Senior DevOps Engineer")</f>
        <v>Senior DevOps Engineer</v>
      </c>
      <c r="G293" s="228" t="str">
        <f>IFERROR(__xludf.DUMMYFUNCTION("""COMPUTED_VALUE"""),"DevOps")</f>
        <v>DevOps</v>
      </c>
      <c r="H293" s="228" t="str">
        <f>IFERROR(__xludf.DUMMYFUNCTION("""COMPUTED_VALUE"""),"Abdullah")</f>
        <v>Abdullah</v>
      </c>
      <c r="I293" s="228" t="str">
        <f>IFERROR(__xludf.DUMMYFUNCTION("""COMPUTED_VALUE"""),"Permanent")</f>
        <v>Permanent</v>
      </c>
      <c r="J293" s="228" t="str">
        <f>IFERROR(__xludf.DUMMYFUNCTION("""COMPUTED_VALUE"""),"Active")</f>
        <v>Active</v>
      </c>
      <c r="K293" s="228" t="str">
        <f>IFERROR(__xludf.DUMMYFUNCTION("""COMPUTED_VALUE"""),"3M")</f>
        <v>3M</v>
      </c>
      <c r="L293" s="732">
        <f>IFERROR(__xludf.DUMMYFUNCTION("""COMPUTED_VALUE"""),45111.0)</f>
        <v>45111</v>
      </c>
      <c r="M293" s="228"/>
      <c r="N293" s="228"/>
      <c r="O293" s="228"/>
      <c r="P293" s="228" t="str">
        <f>IFERROR(__xludf.DUMMYFUNCTION("""COMPUTED_VALUE"""),"3035984627")</f>
        <v>3035984627</v>
      </c>
      <c r="Q293" s="228" t="str">
        <f>IFERROR(__xludf.DUMMYFUNCTION("""COMPUTED_VALUE"""),"54401-4066985-5")</f>
        <v>54401-4066985-5</v>
      </c>
      <c r="R293" s="228" t="str">
        <f>IFERROR(__xludf.DUMMYFUNCTION("""COMPUTED_VALUE"""),"Male")</f>
        <v>Male</v>
      </c>
      <c r="S293" s="228" t="str">
        <f>IFERROR(__xludf.DUMMYFUNCTION("""COMPUTED_VALUE"""),"Meezan Bank")</f>
        <v>Meezan Bank</v>
      </c>
      <c r="T293" s="228"/>
      <c r="U293" s="228" t="str">
        <f>IFERROR(__xludf.DUMMYFUNCTION("""COMPUTED_VALUE"""),"PK09MEZN0008170108392737")</f>
        <v>PK09MEZN0008170108392737</v>
      </c>
      <c r="V293" s="228" t="str">
        <f>IFERROR(__xludf.DUMMYFUNCTION("""COMPUTED_VALUE"""),"MEZNPKKAGRD")</f>
        <v>MEZNPKKAGRD</v>
      </c>
      <c r="W293" s="228"/>
      <c r="X293" s="228" t="str">
        <f>IFERROR(__xludf.DUMMYFUNCTION("""COMPUTED_VALUE"""),"Lahore")</f>
        <v>Lahore</v>
      </c>
      <c r="Y293" s="730">
        <f>IFERROR(__xludf.DUMMYFUNCTION("""COMPUTED_VALUE"""),34748.0)</f>
        <v>34748</v>
      </c>
      <c r="Z293" s="228" t="str">
        <f>IFERROR(__xludf.DUMMYFUNCTION("""COMPUTED_VALUE"""),"30 Years")</f>
        <v>30 Years</v>
      </c>
      <c r="AA293" s="228" t="str">
        <f>IFERROR(__xludf.DUMMYFUNCTION("""COMPUTED_VALUE"""),"House 1478, Street #41, Sector I-10/2 Islamabad")</f>
        <v>House 1478, Street #41, Sector I-10/2 Islamabad</v>
      </c>
      <c r="AB293" s="228" t="str">
        <f>IFERROR(__xludf.DUMMYFUNCTION("""COMPUTED_VALUE"""),"Pakistani")</f>
        <v>Pakistani</v>
      </c>
      <c r="AC293" s="228" t="str">
        <f>IFERROR(__xludf.DUMMYFUNCTION("""COMPUTED_VALUE"""),"Single")</f>
        <v>Single</v>
      </c>
      <c r="AD293" s="228"/>
      <c r="AE293" s="228"/>
      <c r="AF293" s="228"/>
      <c r="AG293" s="228" t="str">
        <f>IFERROR(__xludf.DUMMYFUNCTION("""COMPUTED_VALUE"""),"Hussnain Akhtar")</f>
        <v>Hussnain Akhtar</v>
      </c>
      <c r="AH293" s="228" t="str">
        <f>IFERROR(__xludf.DUMMYFUNCTION("""COMPUTED_VALUE"""),"Father")</f>
        <v>Father</v>
      </c>
      <c r="AI293" s="228" t="str">
        <f>IFERROR(__xludf.DUMMYFUNCTION("""COMPUTED_VALUE"""),"00966562446471")</f>
        <v>00966562446471</v>
      </c>
      <c r="AJ293" s="228"/>
      <c r="AK293" s="228"/>
      <c r="AL293" s="228"/>
      <c r="AM293" s="730">
        <f>IFERROR(__xludf.DUMMYFUNCTION("""COMPUTED_VALUE"""),45381.0)</f>
        <v>45381</v>
      </c>
      <c r="AN293" s="228"/>
      <c r="AO293" s="228"/>
      <c r="AP293" s="228" t="str">
        <f>IFERROR(__xludf.DUMMYFUNCTION("""COMPUTED_VALUE"""),"NO")</f>
        <v>NO</v>
      </c>
      <c r="AQ293" s="228" t="str">
        <f>IFERROR(__xludf.DUMMYFUNCTION("""COMPUTED_VALUE"""),"Resigned/Terminated")</f>
        <v>Resigned/Terminated</v>
      </c>
    </row>
    <row r="294">
      <c r="A294" s="228">
        <f>IFERROR(__xludf.DUMMYFUNCTION("""COMPUTED_VALUE"""),5170.0)</f>
        <v>5170</v>
      </c>
      <c r="B294" s="228" t="str">
        <f>IFERROR(__xludf.DUMMYFUNCTION("""COMPUTED_VALUE"""),"Abdullah Makhdoom")</f>
        <v>Abdullah Makhdoom</v>
      </c>
      <c r="C294" s="228" t="str">
        <f>IFERROR(__xludf.DUMMYFUNCTION("""COMPUTED_VALUE"""),"abdullahmakhdoom1998@gmail.com")</f>
        <v>abdullahmakhdoom1998@gmail.com</v>
      </c>
      <c r="D294" s="228" t="str">
        <f>IFERROR(__xludf.DUMMYFUNCTION("""COMPUTED_VALUE"""),"abdullah.makhdoom@vyro.ai")</f>
        <v>abdullah.makhdoom@vyro.ai</v>
      </c>
      <c r="E294" s="730">
        <f>IFERROR(__xludf.DUMMYFUNCTION("""COMPUTED_VALUE"""),45180.0)</f>
        <v>45180</v>
      </c>
      <c r="F294" s="228" t="str">
        <f>IFERROR(__xludf.DUMMYFUNCTION("""COMPUTED_VALUE"""),"Software Engineer (ML-Researcher)")</f>
        <v>Software Engineer (ML-Researcher)</v>
      </c>
      <c r="G294" s="228" t="str">
        <f>IFERROR(__xludf.DUMMYFUNCTION("""COMPUTED_VALUE"""),"ML")</f>
        <v>ML</v>
      </c>
      <c r="H294" s="228" t="str">
        <f>IFERROR(__xludf.DUMMYFUNCTION("""COMPUTED_VALUE"""),"Abdullah")</f>
        <v>Abdullah</v>
      </c>
      <c r="I294" s="228" t="str">
        <f>IFERROR(__xludf.DUMMYFUNCTION("""COMPUTED_VALUE"""),"permanent")</f>
        <v>permanent</v>
      </c>
      <c r="J294" s="228" t="str">
        <f>IFERROR(__xludf.DUMMYFUNCTION("""COMPUTED_VALUE"""),"Active")</f>
        <v>Active</v>
      </c>
      <c r="K294" s="228" t="str">
        <f>IFERROR(__xludf.DUMMYFUNCTION("""COMPUTED_VALUE"""),"3M")</f>
        <v>3M</v>
      </c>
      <c r="L294" s="732">
        <f>IFERROR(__xludf.DUMMYFUNCTION("""COMPUTED_VALUE"""),45303.0)</f>
        <v>45303</v>
      </c>
      <c r="M294" s="228"/>
      <c r="N294" s="228"/>
      <c r="O294" s="228"/>
      <c r="P294" s="228" t="str">
        <f>IFERROR(__xludf.DUMMYFUNCTION("""COMPUTED_VALUE"""),"03185407011")</f>
        <v>03185407011</v>
      </c>
      <c r="Q294" s="228" t="str">
        <f>IFERROR(__xludf.DUMMYFUNCTION("""COMPUTED_VALUE"""),"37406-6220323-1")</f>
        <v>37406-6220323-1</v>
      </c>
      <c r="R294" s="228" t="str">
        <f>IFERROR(__xludf.DUMMYFUNCTION("""COMPUTED_VALUE"""),"Male")</f>
        <v>Male</v>
      </c>
      <c r="S294" s="228" t="str">
        <f>IFERROR(__xludf.DUMMYFUNCTION("""COMPUTED_VALUE"""),"HBL")</f>
        <v>HBL</v>
      </c>
      <c r="T294" s="228" t="str">
        <f>IFERROR(__xludf.DUMMYFUNCTION("""COMPUTED_VALUE"""),"ABDULLAH")</f>
        <v>ABDULLAH</v>
      </c>
      <c r="U294" s="228" t="str">
        <f>IFERROR(__xludf.DUMMYFUNCTION("""COMPUTED_VALUE"""),"PK40HABB0018597900733203")</f>
        <v>PK40HABB0018597900733203</v>
      </c>
      <c r="V294" s="228" t="str">
        <f>IFERROR(__xludf.DUMMYFUNCTION("""COMPUTED_VALUE"""),"HABBPKKA")</f>
        <v>HABBPKKA</v>
      </c>
      <c r="W294" s="228"/>
      <c r="X294" s="228" t="str">
        <f>IFERROR(__xludf.DUMMYFUNCTION("""COMPUTED_VALUE"""),"Islamabad")</f>
        <v>Islamabad</v>
      </c>
      <c r="Y294" s="730">
        <f>IFERROR(__xludf.DUMMYFUNCTION("""COMPUTED_VALUE"""),35819.0)</f>
        <v>35819</v>
      </c>
      <c r="Z294" s="228" t="str">
        <f>IFERROR(__xludf.DUMMYFUNCTION("""COMPUTED_VALUE"""),"27 Years")</f>
        <v>27 Years</v>
      </c>
      <c r="AA294" s="228" t="str">
        <f>IFERROR(__xludf.DUMMYFUNCTION("""COMPUTED_VALUE"""),"B-1, Aero Colony, AWC, Hazara Road, Hassanabdal.")</f>
        <v>B-1, Aero Colony, AWC, Hazara Road, Hassanabdal.</v>
      </c>
      <c r="AB294" s="228" t="str">
        <f>IFERROR(__xludf.DUMMYFUNCTION("""COMPUTED_VALUE"""),"Pakistani")</f>
        <v>Pakistani</v>
      </c>
      <c r="AC294" s="228" t="str">
        <f>IFERROR(__xludf.DUMMYFUNCTION("""COMPUTED_VALUE"""),"Single")</f>
        <v>Single</v>
      </c>
      <c r="AD294" s="228"/>
      <c r="AE294" s="228"/>
      <c r="AF294" s="228"/>
      <c r="AG294" s="228" t="str">
        <f>IFERROR(__xludf.DUMMYFUNCTION("""COMPUTED_VALUE"""),"Iftikhar Haider Makhdoom")</f>
        <v>Iftikhar Haider Makhdoom</v>
      </c>
      <c r="AH294" s="228" t="str">
        <f>IFERROR(__xludf.DUMMYFUNCTION("""COMPUTED_VALUE"""),"Paternal")</f>
        <v>Paternal</v>
      </c>
      <c r="AI294" s="228" t="str">
        <f>IFERROR(__xludf.DUMMYFUNCTION("""COMPUTED_VALUE"""),"03218567264")</f>
        <v>03218567264</v>
      </c>
      <c r="AJ294" s="228" t="str">
        <f>IFERROR(__xludf.DUMMYFUNCTION("""COMPUTED_VALUE"""),"AB+")</f>
        <v>AB+</v>
      </c>
      <c r="AK294" s="731" t="str">
        <f>IFERROR(__xludf.DUMMYFUNCTION("""COMPUTED_VALUE"""),"https://www.linkedin.com/in/abdullah-makhdoom-ml-engineer/")</f>
        <v>https://www.linkedin.com/in/abdullah-makhdoom-ml-engineer/</v>
      </c>
      <c r="AL294" s="228"/>
      <c r="AM294" s="730">
        <f>IFERROR(__xludf.DUMMYFUNCTION("""COMPUTED_VALUE"""),45382.0)</f>
        <v>45382</v>
      </c>
      <c r="AN294" s="228"/>
      <c r="AO294" s="228"/>
      <c r="AP294" s="228" t="str">
        <f>IFERROR(__xludf.DUMMYFUNCTION("""COMPUTED_VALUE"""),"NO")</f>
        <v>NO</v>
      </c>
      <c r="AQ294" s="228" t="str">
        <f>IFERROR(__xludf.DUMMYFUNCTION("""COMPUTED_VALUE"""),"Resigned/Terminated")</f>
        <v>Resigned/Terminated</v>
      </c>
    </row>
    <row r="295">
      <c r="A295" s="228">
        <f>IFERROR(__xludf.DUMMYFUNCTION("""COMPUTED_VALUE"""),5064.0)</f>
        <v>5064</v>
      </c>
      <c r="B295" s="228" t="str">
        <f>IFERROR(__xludf.DUMMYFUNCTION("""COMPUTED_VALUE"""),"Naimal Imran")</f>
        <v>Naimal Imran</v>
      </c>
      <c r="C295" s="228" t="str">
        <f>IFERROR(__xludf.DUMMYFUNCTION("""COMPUTED_VALUE"""),"naimalrao@gmail.com")</f>
        <v>naimalrao@gmail.com</v>
      </c>
      <c r="D295" s="228" t="str">
        <f>IFERROR(__xludf.DUMMYFUNCTION("""COMPUTED_VALUE"""),"naimal.rao@vyro.ai")</f>
        <v>naimal.rao@vyro.ai</v>
      </c>
      <c r="E295" s="730">
        <f>IFERROR(__xludf.DUMMYFUNCTION("""COMPUTED_VALUE"""),44755.0)</f>
        <v>44755</v>
      </c>
      <c r="F295" s="228" t="str">
        <f>IFERROR(__xludf.DUMMYFUNCTION("""COMPUTED_VALUE"""),"Senior Executive, People Operations")</f>
        <v>Senior Executive, People Operations</v>
      </c>
      <c r="G295" s="228" t="str">
        <f>IFERROR(__xludf.DUMMYFUNCTION("""COMPUTED_VALUE"""),"People")</f>
        <v>People</v>
      </c>
      <c r="H295" s="228" t="str">
        <f>IFERROR(__xludf.DUMMYFUNCTION("""COMPUTED_VALUE"""),"Umer")</f>
        <v>Umer</v>
      </c>
      <c r="I295" s="228" t="str">
        <f>IFERROR(__xludf.DUMMYFUNCTION("""COMPUTED_VALUE"""),"Permanent")</f>
        <v>Permanent</v>
      </c>
      <c r="J295" s="228" t="str">
        <f>IFERROR(__xludf.DUMMYFUNCTION("""COMPUTED_VALUE"""),"Active")</f>
        <v>Active</v>
      </c>
      <c r="K295" s="228" t="str">
        <f>IFERROR(__xludf.DUMMYFUNCTION("""COMPUTED_VALUE"""),"3M")</f>
        <v>3M</v>
      </c>
      <c r="L295" s="732">
        <f>IFERROR(__xludf.DUMMYFUNCTION("""COMPUTED_VALUE"""),44847.0)</f>
        <v>44847</v>
      </c>
      <c r="M295" s="228"/>
      <c r="N295" s="228"/>
      <c r="O295" s="228"/>
      <c r="P295" s="228" t="str">
        <f>IFERROR(__xludf.DUMMYFUNCTION("""COMPUTED_VALUE"""),"0323 8551726")</f>
        <v>0323 8551726</v>
      </c>
      <c r="Q295" s="228" t="str">
        <f>IFERROR(__xludf.DUMMYFUNCTION("""COMPUTED_VALUE"""),"35202-0754928-4")</f>
        <v>35202-0754928-4</v>
      </c>
      <c r="R295" s="228" t="str">
        <f>IFERROR(__xludf.DUMMYFUNCTION("""COMPUTED_VALUE"""),"Female")</f>
        <v>Female</v>
      </c>
      <c r="S295" s="228" t="str">
        <f>IFERROR(__xludf.DUMMYFUNCTION("""COMPUTED_VALUE"""),"HBL")</f>
        <v>HBL</v>
      </c>
      <c r="T295" s="228"/>
      <c r="U295" s="228" t="str">
        <f>IFERROR(__xludf.DUMMYFUNCTION("""COMPUTED_VALUE"""),"PK12HABB0012637900611203")</f>
        <v>PK12HABB0012637900611203</v>
      </c>
      <c r="V295" s="228"/>
      <c r="W295" s="228"/>
      <c r="X295" s="228" t="str">
        <f>IFERROR(__xludf.DUMMYFUNCTION("""COMPUTED_VALUE"""),"Islamabad")</f>
        <v>Islamabad</v>
      </c>
      <c r="Y295" s="730">
        <f>IFERROR(__xludf.DUMMYFUNCTION("""COMPUTED_VALUE"""),36541.0)</f>
        <v>36541</v>
      </c>
      <c r="Z295" s="228" t="str">
        <f>IFERROR(__xludf.DUMMYFUNCTION("""COMPUTED_VALUE"""),"25 Years")</f>
        <v>25 Years</v>
      </c>
      <c r="AA295" s="228" t="str">
        <f>IFERROR(__xludf.DUMMYFUNCTION("""COMPUTED_VALUE"""),"2nd Floor, Block 5 , Kohsar Complex, Islamabad")</f>
        <v>2nd Floor, Block 5 , Kohsar Complex, Islamabad</v>
      </c>
      <c r="AB295" s="228" t="str">
        <f>IFERROR(__xludf.DUMMYFUNCTION("""COMPUTED_VALUE"""),"Pakistani")</f>
        <v>Pakistani</v>
      </c>
      <c r="AC295" s="228" t="str">
        <f>IFERROR(__xludf.DUMMYFUNCTION("""COMPUTED_VALUE"""),"Married")</f>
        <v>Married</v>
      </c>
      <c r="AD295" s="228"/>
      <c r="AE295" s="228"/>
      <c r="AF295" s="228"/>
      <c r="AG295" s="228" t="str">
        <f>IFERROR(__xludf.DUMMYFUNCTION("""COMPUTED_VALUE"""),"Rao Imran")</f>
        <v>Rao Imran</v>
      </c>
      <c r="AH295" s="228" t="str">
        <f>IFERROR(__xludf.DUMMYFUNCTION("""COMPUTED_VALUE"""),"Father")</f>
        <v>Father</v>
      </c>
      <c r="AI295" s="228" t="str">
        <f>IFERROR(__xludf.DUMMYFUNCTION("""COMPUTED_VALUE"""),"03225951656")</f>
        <v>03225951656</v>
      </c>
      <c r="AJ295" s="228" t="str">
        <f>IFERROR(__xludf.DUMMYFUNCTION("""COMPUTED_VALUE"""),"A+")</f>
        <v>A+</v>
      </c>
      <c r="AK295" s="731" t="str">
        <f>IFERROR(__xludf.DUMMYFUNCTION("""COMPUTED_VALUE"""),"https://www.linkedin.com/in/naimal-rao-296a66212/")</f>
        <v>https://www.linkedin.com/in/naimal-rao-296a66212/</v>
      </c>
      <c r="AL295" s="228"/>
      <c r="AM295" s="730">
        <f>IFERROR(__xludf.DUMMYFUNCTION("""COMPUTED_VALUE"""),45386.0)</f>
        <v>45386</v>
      </c>
      <c r="AN295" s="228"/>
      <c r="AO295" s="228"/>
      <c r="AP295" s="228" t="str">
        <f>IFERROR(__xludf.DUMMYFUNCTION("""COMPUTED_VALUE"""),"NO")</f>
        <v>NO</v>
      </c>
      <c r="AQ295" s="228" t="str">
        <f>IFERROR(__xludf.DUMMYFUNCTION("""COMPUTED_VALUE"""),"Resigned/Terminated")</f>
        <v>Resigned/Terminated</v>
      </c>
    </row>
    <row r="296">
      <c r="A296" s="228">
        <f>IFERROR(__xludf.DUMMYFUNCTION("""COMPUTED_VALUE"""),5073.0)</f>
        <v>5073</v>
      </c>
      <c r="B296" s="228" t="str">
        <f>IFERROR(__xludf.DUMMYFUNCTION("""COMPUTED_VALUE"""),"Muhammad Arham")</f>
        <v>Muhammad Arham</v>
      </c>
      <c r="C296" s="228" t="str">
        <f>IFERROR(__xludf.DUMMYFUNCTION("""COMPUTED_VALUE"""),"marham.bese20seecs@seecs.edu.pk")</f>
        <v>marham.bese20seecs@seecs.edu.pk</v>
      </c>
      <c r="D296" s="228" t="str">
        <f>IFERROR(__xludf.DUMMYFUNCTION("""COMPUTED_VALUE"""),"muhammad.arham@vyro.ai")</f>
        <v>muhammad.arham@vyro.ai</v>
      </c>
      <c r="E296" s="730">
        <f>IFERROR(__xludf.DUMMYFUNCTION("""COMPUTED_VALUE"""),45201.0)</f>
        <v>45201</v>
      </c>
      <c r="F296" s="228" t="str">
        <f>IFERROR(__xludf.DUMMYFUNCTION("""COMPUTED_VALUE"""),"Software Engineer - MLOps")</f>
        <v>Software Engineer - MLOps</v>
      </c>
      <c r="G296" s="228" t="str">
        <f>IFERROR(__xludf.DUMMYFUNCTION("""COMPUTED_VALUE"""),"ML")</f>
        <v>ML</v>
      </c>
      <c r="H296" s="228" t="str">
        <f>IFERROR(__xludf.DUMMYFUNCTION("""COMPUTED_VALUE"""),"Abdullah")</f>
        <v>Abdullah</v>
      </c>
      <c r="I296" s="228" t="str">
        <f>IFERROR(__xludf.DUMMYFUNCTION("""COMPUTED_VALUE"""),"Permanent")</f>
        <v>Permanent</v>
      </c>
      <c r="J296" s="228" t="str">
        <f>IFERROR(__xludf.DUMMYFUNCTION("""COMPUTED_VALUE"""),"Active")</f>
        <v>Active</v>
      </c>
      <c r="K296" s="228" t="str">
        <f>IFERROR(__xludf.DUMMYFUNCTION("""COMPUTED_VALUE"""),"3M")</f>
        <v>3M</v>
      </c>
      <c r="L296" s="732">
        <f>IFERROR(__xludf.DUMMYFUNCTION("""COMPUTED_VALUE"""),45293.0)</f>
        <v>45293</v>
      </c>
      <c r="M296" s="228"/>
      <c r="N296" s="228"/>
      <c r="O296" s="228"/>
      <c r="P296" s="228" t="str">
        <f>IFERROR(__xludf.DUMMYFUNCTION("""COMPUTED_VALUE"""),"0321-6891642")</f>
        <v>0321-6891642</v>
      </c>
      <c r="Q296" s="228" t="str">
        <f>IFERROR(__xludf.DUMMYFUNCTION("""COMPUTED_VALUE"""),"36103-7439746-1")</f>
        <v>36103-7439746-1</v>
      </c>
      <c r="R296" s="228" t="str">
        <f>IFERROR(__xludf.DUMMYFUNCTION("""COMPUTED_VALUE"""),"Male")</f>
        <v>Male</v>
      </c>
      <c r="S296" s="228" t="str">
        <f>IFERROR(__xludf.DUMMYFUNCTION("""COMPUTED_VALUE"""),"HBL")</f>
        <v>HBL</v>
      </c>
      <c r="T296" s="228"/>
      <c r="U296" s="228" t="str">
        <f>IFERROR(__xludf.DUMMYFUNCTION("""COMPUTED_VALUE"""),"PK61HABB0001187991966803")</f>
        <v>PK61HABB0001187991966803</v>
      </c>
      <c r="V296" s="228"/>
      <c r="W296" s="228"/>
      <c r="X296" s="228" t="str">
        <f>IFERROR(__xludf.DUMMYFUNCTION("""COMPUTED_VALUE"""),"Islamabad")</f>
        <v>Islamabad</v>
      </c>
      <c r="Y296" s="730">
        <f>IFERROR(__xludf.DUMMYFUNCTION("""COMPUTED_VALUE"""),37136.0)</f>
        <v>37136</v>
      </c>
      <c r="Z296" s="228" t="str">
        <f>IFERROR(__xludf.DUMMYFUNCTION("""COMPUTED_VALUE"""),"23 Years")</f>
        <v>23 Years</v>
      </c>
      <c r="AA296" s="228" t="str">
        <f>IFERROR(__xludf.DUMMYFUNCTION("""COMPUTED_VALUE"""),"Ghazali Hostels, NUST, H12, Islamabad")</f>
        <v>Ghazali Hostels, NUST, H12, Islamabad</v>
      </c>
      <c r="AB296" s="228" t="str">
        <f>IFERROR(__xludf.DUMMYFUNCTION("""COMPUTED_VALUE"""),"Pakistani")</f>
        <v>Pakistani</v>
      </c>
      <c r="AC296" s="228" t="str">
        <f>IFERROR(__xludf.DUMMYFUNCTION("""COMPUTED_VALUE"""),"Single")</f>
        <v>Single</v>
      </c>
      <c r="AD296" s="228"/>
      <c r="AE296" s="228"/>
      <c r="AF296" s="228"/>
      <c r="AG296" s="228" t="str">
        <f>IFERROR(__xludf.DUMMYFUNCTION("""COMPUTED_VALUE"""),"Muhammad Iqbal Malik")</f>
        <v>Muhammad Iqbal Malik</v>
      </c>
      <c r="AH296" s="228" t="str">
        <f>IFERROR(__xludf.DUMMYFUNCTION("""COMPUTED_VALUE"""),"Father")</f>
        <v>Father</v>
      </c>
      <c r="AI296" s="228" t="str">
        <f>IFERROR(__xludf.DUMMYFUNCTION("""COMPUTED_VALUE"""),"0300 6891642")</f>
        <v>0300 6891642</v>
      </c>
      <c r="AJ296" s="228" t="str">
        <f>IFERROR(__xludf.DUMMYFUNCTION("""COMPUTED_VALUE"""),"O+")</f>
        <v>O+</v>
      </c>
      <c r="AK296" s="731" t="str">
        <f>IFERROR(__xludf.DUMMYFUNCTION("""COMPUTED_VALUE"""),"https://www.linkedin.com/in/muhammad-arham-a5b1b1237/")</f>
        <v>https://www.linkedin.com/in/muhammad-arham-a5b1b1237/</v>
      </c>
      <c r="AL296" s="228"/>
      <c r="AM296" s="730">
        <f>IFERROR(__xludf.DUMMYFUNCTION("""COMPUTED_VALUE"""),45390.0)</f>
        <v>45390</v>
      </c>
      <c r="AN296" s="228"/>
      <c r="AO296" s="228"/>
      <c r="AP296" s="228" t="str">
        <f>IFERROR(__xludf.DUMMYFUNCTION("""COMPUTED_VALUE"""),"NO")</f>
        <v>NO</v>
      </c>
      <c r="AQ296" s="228" t="str">
        <f>IFERROR(__xludf.DUMMYFUNCTION("""COMPUTED_VALUE"""),"Resigned/Terminated")</f>
        <v>Resigned/Terminated</v>
      </c>
    </row>
    <row r="297">
      <c r="A297" s="228">
        <f>IFERROR(__xludf.DUMMYFUNCTION("""COMPUTED_VALUE"""),5147.0)</f>
        <v>5147</v>
      </c>
      <c r="B297" s="228" t="str">
        <f>IFERROR(__xludf.DUMMYFUNCTION("""COMPUTED_VALUE"""),"Syed Muhammad Sherjeel")</f>
        <v>Syed Muhammad Sherjeel</v>
      </c>
      <c r="C297" s="228" t="str">
        <f>IFERROR(__xludf.DUMMYFUNCTION("""COMPUTED_VALUE"""),"sherjeelhashmi@gmail.com")</f>
        <v>sherjeelhashmi@gmail.com</v>
      </c>
      <c r="D297" s="228" t="str">
        <f>IFERROR(__xludf.DUMMYFUNCTION("""COMPUTED_VALUE"""),"sherjeel.hashmi@vyro.ai")</f>
        <v>sherjeel.hashmi@vyro.ai</v>
      </c>
      <c r="E297" s="730">
        <f>IFERROR(__xludf.DUMMYFUNCTION("""COMPUTED_VALUE"""),45111.0)</f>
        <v>45111</v>
      </c>
      <c r="F297" s="228" t="str">
        <f>IFERROR(__xludf.DUMMYFUNCTION("""COMPUTED_VALUE"""),"Software Engineer - MLOps")</f>
        <v>Software Engineer - MLOps</v>
      </c>
      <c r="G297" s="228" t="str">
        <f>IFERROR(__xludf.DUMMYFUNCTION("""COMPUTED_VALUE"""),"ML")</f>
        <v>ML</v>
      </c>
      <c r="H297" s="228" t="str">
        <f>IFERROR(__xludf.DUMMYFUNCTION("""COMPUTED_VALUE"""),"Abdullah")</f>
        <v>Abdullah</v>
      </c>
      <c r="I297" s="228" t="str">
        <f>IFERROR(__xludf.DUMMYFUNCTION("""COMPUTED_VALUE"""),"Permanent")</f>
        <v>Permanent</v>
      </c>
      <c r="J297" s="228" t="str">
        <f>IFERROR(__xludf.DUMMYFUNCTION("""COMPUTED_VALUE"""),"Active")</f>
        <v>Active</v>
      </c>
      <c r="K297" s="228" t="str">
        <f>IFERROR(__xludf.DUMMYFUNCTION("""COMPUTED_VALUE"""),"3M")</f>
        <v>3M</v>
      </c>
      <c r="L297" s="732">
        <f>IFERROR(__xludf.DUMMYFUNCTION("""COMPUTED_VALUE"""),45203.0)</f>
        <v>45203</v>
      </c>
      <c r="M297" s="228"/>
      <c r="N297" s="228"/>
      <c r="O297" s="228"/>
      <c r="P297" s="228" t="str">
        <f>IFERROR(__xludf.DUMMYFUNCTION("""COMPUTED_VALUE"""),"03167317733")</f>
        <v>03167317733</v>
      </c>
      <c r="Q297" s="228" t="str">
        <f>IFERROR(__xludf.DUMMYFUNCTION("""COMPUTED_VALUE"""),"38403-5309129-3")</f>
        <v>38403-5309129-3</v>
      </c>
      <c r="R297" s="228" t="str">
        <f>IFERROR(__xludf.DUMMYFUNCTION("""COMPUTED_VALUE"""),"Male")</f>
        <v>Male</v>
      </c>
      <c r="S297" s="228" t="str">
        <f>IFERROR(__xludf.DUMMYFUNCTION("""COMPUTED_VALUE"""),"Citibank,
address: 111 Wall Street New York, NY 10043 USA,
Account type: CHECKING")</f>
        <v>Citibank,
address: 111 Wall Street New York, NY 10043 USA,
Account type: CHECKING</v>
      </c>
      <c r="T297" s="228" t="str">
        <f>IFERROR(__xludf.DUMMYFUNCTION("""COMPUTED_VALUE"""),"Syed Muhammad Sherjeel")</f>
        <v>Syed Muhammad Sherjeel</v>
      </c>
      <c r="U297" s="228" t="str">
        <f>IFERROR(__xludf.DUMMYFUNCTION("""COMPUTED_VALUE"""),"70581430000597633")</f>
        <v>70581430000597633</v>
      </c>
      <c r="V297" s="228" t="str">
        <f>IFERROR(__xludf.DUMMYFUNCTION("""COMPUTED_VALUE"""),"31100209")</f>
        <v>31100209</v>
      </c>
      <c r="W297" s="228"/>
      <c r="X297" s="228" t="str">
        <f>IFERROR(__xludf.DUMMYFUNCTION("""COMPUTED_VALUE"""),"Lahore")</f>
        <v>Lahore</v>
      </c>
      <c r="Y297" s="730">
        <f>IFERROR(__xludf.DUMMYFUNCTION("""COMPUTED_VALUE"""),36386.0)</f>
        <v>36386</v>
      </c>
      <c r="Z297" s="228" t="str">
        <f>IFERROR(__xludf.DUMMYFUNCTION("""COMPUTED_VALUE"""),"25 Years")</f>
        <v>25 Years</v>
      </c>
      <c r="AA297" s="228" t="str">
        <f>IFERROR(__xludf.DUMMYFUNCTION("""COMPUTED_VALUE"""),"House #12, Block E Gulshan Colony Sargodha")</f>
        <v>House #12, Block E Gulshan Colony Sargodha</v>
      </c>
      <c r="AB297" s="228" t="str">
        <f>IFERROR(__xludf.DUMMYFUNCTION("""COMPUTED_VALUE"""),"Pakistani")</f>
        <v>Pakistani</v>
      </c>
      <c r="AC297" s="228" t="str">
        <f>IFERROR(__xludf.DUMMYFUNCTION("""COMPUTED_VALUE"""),"Single")</f>
        <v>Single</v>
      </c>
      <c r="AD297" s="228"/>
      <c r="AE297" s="228"/>
      <c r="AF297" s="228"/>
      <c r="AG297" s="228" t="str">
        <f>IFERROR(__xludf.DUMMYFUNCTION("""COMPUTED_VALUE"""),"Muhammad Mohib Ul Haq")</f>
        <v>Muhammad Mohib Ul Haq</v>
      </c>
      <c r="AH297" s="228" t="str">
        <f>IFERROR(__xludf.DUMMYFUNCTION("""COMPUTED_VALUE"""),"Mother")</f>
        <v>Mother</v>
      </c>
      <c r="AI297" s="228" t="str">
        <f>IFERROR(__xludf.DUMMYFUNCTION("""COMPUTED_VALUE"""),"=+92 324 5573789")</f>
        <v>=+92 324 5573789</v>
      </c>
      <c r="AJ297" s="228" t="str">
        <f>IFERROR(__xludf.DUMMYFUNCTION("""COMPUTED_VALUE"""),"A+")</f>
        <v>A+</v>
      </c>
      <c r="AK297" s="731" t="str">
        <f>IFERROR(__xludf.DUMMYFUNCTION("""COMPUTED_VALUE"""),"https://www.linkedin.com/in/syed-sherjeel/")</f>
        <v>https://www.linkedin.com/in/syed-sherjeel/</v>
      </c>
      <c r="AL297" s="228"/>
      <c r="AM297" s="730">
        <f>IFERROR(__xludf.DUMMYFUNCTION("""COMPUTED_VALUE"""),45394.0)</f>
        <v>45394</v>
      </c>
      <c r="AN297" s="228"/>
      <c r="AO297" s="228"/>
      <c r="AP297" s="228" t="str">
        <f>IFERROR(__xludf.DUMMYFUNCTION("""COMPUTED_VALUE"""),"NO")</f>
        <v>NO</v>
      </c>
      <c r="AQ297" s="228" t="str">
        <f>IFERROR(__xludf.DUMMYFUNCTION("""COMPUTED_VALUE"""),"Resigned/Terminated")</f>
        <v>Resigned/Terminated</v>
      </c>
    </row>
    <row r="298">
      <c r="A298" s="228">
        <f>IFERROR(__xludf.DUMMYFUNCTION("""COMPUTED_VALUE"""),5247.0)</f>
        <v>5247</v>
      </c>
      <c r="B298" s="228" t="str">
        <f>IFERROR(__xludf.DUMMYFUNCTION("""COMPUTED_VALUE"""),"Abu Usama")</f>
        <v>Abu Usama</v>
      </c>
      <c r="C298" s="228" t="str">
        <f>IFERROR(__xludf.DUMMYFUNCTION("""COMPUTED_VALUE"""),"usamaliaqat5846@gmail.com")</f>
        <v>usamaliaqat5846@gmail.com</v>
      </c>
      <c r="D298" s="228" t="str">
        <f>IFERROR(__xludf.DUMMYFUNCTION("""COMPUTED_VALUE"""),"abu.usama@vyro.ai")</f>
        <v>abu.usama@vyro.ai</v>
      </c>
      <c r="E298" s="730">
        <f>IFERROR(__xludf.DUMMYFUNCTION("""COMPUTED_VALUE"""),45369.0)</f>
        <v>45369</v>
      </c>
      <c r="F298" s="228" t="str">
        <f>IFERROR(__xludf.DUMMYFUNCTION("""COMPUTED_VALUE"""),"Software Engineer II")</f>
        <v>Software Engineer II</v>
      </c>
      <c r="G298" s="228" t="str">
        <f>IFERROR(__xludf.DUMMYFUNCTION("""COMPUTED_VALUE"""),"Software Engineering")</f>
        <v>Software Engineering</v>
      </c>
      <c r="H298" s="228" t="str">
        <f>IFERROR(__xludf.DUMMYFUNCTION("""COMPUTED_VALUE"""),"Shariq Arif")</f>
        <v>Shariq Arif</v>
      </c>
      <c r="I298" s="228" t="str">
        <f>IFERROR(__xludf.DUMMYFUNCTION("""COMPUTED_VALUE"""),"Probation")</f>
        <v>Probation</v>
      </c>
      <c r="J298" s="228" t="str">
        <f>IFERROR(__xludf.DUMMYFUNCTION("""COMPUTED_VALUE"""),"Active")</f>
        <v>Active</v>
      </c>
      <c r="K298" s="228" t="str">
        <f>IFERROR(__xludf.DUMMYFUNCTION("""COMPUTED_VALUE"""),"3M")</f>
        <v>3M</v>
      </c>
      <c r="L298" s="732">
        <f>IFERROR(__xludf.DUMMYFUNCTION("""COMPUTED_VALUE"""),45461.0)</f>
        <v>45461</v>
      </c>
      <c r="M298" s="228"/>
      <c r="N298" s="228"/>
      <c r="O298" s="228"/>
      <c r="P298" s="228" t="str">
        <f>IFERROR(__xludf.DUMMYFUNCTION("""COMPUTED_VALUE"""),"3065384942")</f>
        <v>3065384942</v>
      </c>
      <c r="Q298" s="228" t="str">
        <f>IFERROR(__xludf.DUMMYFUNCTION("""COMPUTED_VALUE"""),"36501-7651414-9")</f>
        <v>36501-7651414-9</v>
      </c>
      <c r="R298" s="228" t="str">
        <f>IFERROR(__xludf.DUMMYFUNCTION("""COMPUTED_VALUE"""),"Male")</f>
        <v>Male</v>
      </c>
      <c r="S298" s="228" t="str">
        <f>IFERROR(__xludf.DUMMYFUNCTION("""COMPUTED_VALUE"""),"Meezan Bank-Chichawatni")</f>
        <v>Meezan Bank-Chichawatni</v>
      </c>
      <c r="T298" s="228" t="str">
        <f>IFERROR(__xludf.DUMMYFUNCTION("""COMPUTED_VALUE"""),"ABU USAMA")</f>
        <v>ABU USAMA</v>
      </c>
      <c r="U298" s="228" t="str">
        <f>IFERROR(__xludf.DUMMYFUNCTION("""COMPUTED_VALUE"""),"PK68MEZN0064010104564949")</f>
        <v>PK68MEZN0064010104564949</v>
      </c>
      <c r="V298" s="228" t="str">
        <f>IFERROR(__xludf.DUMMYFUNCTION("""COMPUTED_VALUE"""),"MEZNPKKA")</f>
        <v>MEZNPKKA</v>
      </c>
      <c r="W298" s="228"/>
      <c r="X298" s="228" t="str">
        <f>IFERROR(__xludf.DUMMYFUNCTION("""COMPUTED_VALUE"""),"Lahore")</f>
        <v>Lahore</v>
      </c>
      <c r="Y298" s="730">
        <f>IFERROR(__xludf.DUMMYFUNCTION("""COMPUTED_VALUE"""),35619.0)</f>
        <v>35619</v>
      </c>
      <c r="Z298" s="228" t="str">
        <f>IFERROR(__xludf.DUMMYFUNCTION("""COMPUTED_VALUE"""),"27 Years")</f>
        <v>27 Years</v>
      </c>
      <c r="AA298" s="228" t="str">
        <f>IFERROR(__xludf.DUMMYFUNCTION("""COMPUTED_VALUE"""),"House # 31, Guhava Morr, Airport road, Lahore")</f>
        <v>House # 31, Guhava Morr, Airport road, Lahore</v>
      </c>
      <c r="AB298" s="228" t="str">
        <f>IFERROR(__xludf.DUMMYFUNCTION("""COMPUTED_VALUE"""),"Pakistani")</f>
        <v>Pakistani</v>
      </c>
      <c r="AC298" s="228" t="str">
        <f>IFERROR(__xludf.DUMMYFUNCTION("""COMPUTED_VALUE"""),"Single")</f>
        <v>Single</v>
      </c>
      <c r="AD298" s="228"/>
      <c r="AE298" s="228"/>
      <c r="AF298" s="228"/>
      <c r="AG298" s="228" t="str">
        <f>IFERROR(__xludf.DUMMYFUNCTION("""COMPUTED_VALUE"""),"Liaqat-Ur-Rehman")</f>
        <v>Liaqat-Ur-Rehman</v>
      </c>
      <c r="AH298" s="228" t="str">
        <f>IFERROR(__xludf.DUMMYFUNCTION("""COMPUTED_VALUE"""),"Friend")</f>
        <v>Friend</v>
      </c>
      <c r="AI298" s="228" t="str">
        <f>IFERROR(__xludf.DUMMYFUNCTION("""COMPUTED_VALUE"""),"03016932041")</f>
        <v>03016932041</v>
      </c>
      <c r="AJ298" s="228" t="str">
        <f>IFERROR(__xludf.DUMMYFUNCTION("""COMPUTED_VALUE"""),"B+")</f>
        <v>B+</v>
      </c>
      <c r="AK298" s="731" t="str">
        <f>IFERROR(__xludf.DUMMYFUNCTION("""COMPUTED_VALUE"""),"https://www.linkedin.com/in/abu-usama/")</f>
        <v>https://www.linkedin.com/in/abu-usama/</v>
      </c>
      <c r="AL298" s="228"/>
      <c r="AM298" s="730">
        <f>IFERROR(__xludf.DUMMYFUNCTION("""COMPUTED_VALUE"""),45399.0)</f>
        <v>45399</v>
      </c>
      <c r="AN298" s="228"/>
      <c r="AO298" s="228"/>
      <c r="AP298" s="228" t="str">
        <f>IFERROR(__xludf.DUMMYFUNCTION("""COMPUTED_VALUE"""),"NO")</f>
        <v>NO</v>
      </c>
      <c r="AQ298" s="228" t="str">
        <f>IFERROR(__xludf.DUMMYFUNCTION("""COMPUTED_VALUE"""),"Resigned/Terminated")</f>
        <v>Resigned/Terminated</v>
      </c>
    </row>
    <row r="299">
      <c r="A299" s="228">
        <f>IFERROR(__xludf.DUMMYFUNCTION("""COMPUTED_VALUE"""),5131.0)</f>
        <v>5131</v>
      </c>
      <c r="B299" s="228" t="str">
        <f>IFERROR(__xludf.DUMMYFUNCTION("""COMPUTED_VALUE"""),"Namra Akram")</f>
        <v>Namra Akram</v>
      </c>
      <c r="C299" s="228" t="str">
        <f>IFERROR(__xludf.DUMMYFUNCTION("""COMPUTED_VALUE"""),"namraakram@hotmail.com")</f>
        <v>namraakram@hotmail.com</v>
      </c>
      <c r="D299" s="228" t="str">
        <f>IFERROR(__xludf.DUMMYFUNCTION("""COMPUTED_VALUE"""),"namra.akram@vyro.ai")</f>
        <v>namra.akram@vyro.ai</v>
      </c>
      <c r="E299" s="730">
        <f>IFERROR(__xludf.DUMMYFUNCTION("""COMPUTED_VALUE"""),45078.0)</f>
        <v>45078</v>
      </c>
      <c r="F299" s="228" t="str">
        <f>IFERROR(__xludf.DUMMYFUNCTION("""COMPUTED_VALUE"""),"Finance Business Partner")</f>
        <v>Finance Business Partner</v>
      </c>
      <c r="G299" s="228" t="str">
        <f>IFERROR(__xludf.DUMMYFUNCTION("""COMPUTED_VALUE"""),"Finance")</f>
        <v>Finance</v>
      </c>
      <c r="H299" s="228" t="str">
        <f>IFERROR(__xludf.DUMMYFUNCTION("""COMPUTED_VALUE"""),"Ahmed Abubakar, CEO")</f>
        <v>Ahmed Abubakar, CEO</v>
      </c>
      <c r="I299" s="228" t="str">
        <f>IFERROR(__xludf.DUMMYFUNCTION("""COMPUTED_VALUE"""),"Permanent")</f>
        <v>Permanent</v>
      </c>
      <c r="J299" s="228" t="str">
        <f>IFERROR(__xludf.DUMMYFUNCTION("""COMPUTED_VALUE"""),"Active")</f>
        <v>Active</v>
      </c>
      <c r="K299" s="228" t="str">
        <f>IFERROR(__xludf.DUMMYFUNCTION("""COMPUTED_VALUE"""),"3M")</f>
        <v>3M</v>
      </c>
      <c r="L299" s="732">
        <f>IFERROR(__xludf.DUMMYFUNCTION("""COMPUTED_VALUE"""),45170.0)</f>
        <v>45170</v>
      </c>
      <c r="M299" s="228"/>
      <c r="N299" s="228"/>
      <c r="O299" s="228"/>
      <c r="P299" s="228" t="str">
        <f>IFERROR(__xludf.DUMMYFUNCTION("""COMPUTED_VALUE"""),"0307 1274155")</f>
        <v>0307 1274155</v>
      </c>
      <c r="Q299" s="228" t="str">
        <f>IFERROR(__xludf.DUMMYFUNCTION("""COMPUTED_VALUE"""),"61101-4919576-8")</f>
        <v>61101-4919576-8</v>
      </c>
      <c r="R299" s="228" t="str">
        <f>IFERROR(__xludf.DUMMYFUNCTION("""COMPUTED_VALUE"""),"Female")</f>
        <v>Female</v>
      </c>
      <c r="S299" s="228" t="str">
        <f>IFERROR(__xludf.DUMMYFUNCTION("""COMPUTED_VALUE"""),"Bank Al Habib")</f>
        <v>Bank Al Habib</v>
      </c>
      <c r="T299" s="228" t="str">
        <f>IFERROR(__xludf.DUMMYFUNCTION("""COMPUTED_VALUE"""),"Namra Akram")</f>
        <v>Namra Akram</v>
      </c>
      <c r="U299" s="228" t="str">
        <f>IFERROR(__xludf.DUMMYFUNCTION("""COMPUTED_VALUE"""),"PK93BAHL5518183000779801")</f>
        <v>PK93BAHL5518183000779801</v>
      </c>
      <c r="V299" s="228"/>
      <c r="W299" s="228"/>
      <c r="X299" s="228" t="str">
        <f>IFERROR(__xludf.DUMMYFUNCTION("""COMPUTED_VALUE"""),"Islamabad")</f>
        <v>Islamabad</v>
      </c>
      <c r="Y299" s="730">
        <f>IFERROR(__xludf.DUMMYFUNCTION("""COMPUTED_VALUE"""),34335.0)</f>
        <v>34335</v>
      </c>
      <c r="Z299" s="228" t="str">
        <f>IFERROR(__xludf.DUMMYFUNCTION("""COMPUTED_VALUE"""),"31 Years")</f>
        <v>31 Years</v>
      </c>
      <c r="AA299" s="228" t="str">
        <f>IFERROR(__xludf.DUMMYFUNCTION("""COMPUTED_VALUE"""),"House no. 28 Street no. 7 Sector A DHA Phase II Islamabad")</f>
        <v>House no. 28 Street no. 7 Sector A DHA Phase II Islamabad</v>
      </c>
      <c r="AB299" s="228" t="str">
        <f>IFERROR(__xludf.DUMMYFUNCTION("""COMPUTED_VALUE"""),"Pakistani")</f>
        <v>Pakistani</v>
      </c>
      <c r="AC299" s="228" t="str">
        <f>IFERROR(__xludf.DUMMYFUNCTION("""COMPUTED_VALUE"""),"Single")</f>
        <v>Single</v>
      </c>
      <c r="AD299" s="228"/>
      <c r="AE299" s="228"/>
      <c r="AF299" s="228"/>
      <c r="AG299" s="228" t="str">
        <f>IFERROR(__xludf.DUMMYFUNCTION("""COMPUTED_VALUE"""),"Talha Akram")</f>
        <v>Talha Akram</v>
      </c>
      <c r="AH299" s="228" t="str">
        <f>IFERROR(__xludf.DUMMYFUNCTION("""COMPUTED_VALUE"""),"Brother")</f>
        <v>Brother</v>
      </c>
      <c r="AI299" s="228" t="str">
        <f>IFERROR(__xludf.DUMMYFUNCTION("""COMPUTED_VALUE"""),"03315122798")</f>
        <v>03315122798</v>
      </c>
      <c r="AJ299" s="228" t="str">
        <f>IFERROR(__xludf.DUMMYFUNCTION("""COMPUTED_VALUE"""),"B+")</f>
        <v>B+</v>
      </c>
      <c r="AK299" s="228"/>
      <c r="AL299" s="228"/>
      <c r="AM299" s="730">
        <f>IFERROR(__xludf.DUMMYFUNCTION("""COMPUTED_VALUE"""),45400.0)</f>
        <v>45400</v>
      </c>
      <c r="AN299" s="228"/>
      <c r="AO299" s="228"/>
      <c r="AP299" s="228" t="str">
        <f>IFERROR(__xludf.DUMMYFUNCTION("""COMPUTED_VALUE"""),"NO")</f>
        <v>NO</v>
      </c>
      <c r="AQ299" s="228" t="str">
        <f>IFERROR(__xludf.DUMMYFUNCTION("""COMPUTED_VALUE"""),"Resigned/Terminated")</f>
        <v>Resigned/Terminated</v>
      </c>
    </row>
    <row r="300">
      <c r="A300" s="228">
        <f>IFERROR(__xludf.DUMMYFUNCTION("""COMPUTED_VALUE"""),5196.0)</f>
        <v>5196</v>
      </c>
      <c r="B300" s="228" t="str">
        <f>IFERROR(__xludf.DUMMYFUNCTION("""COMPUTED_VALUE"""),"Musa Naqvi")</f>
        <v>Musa Naqvi</v>
      </c>
      <c r="C300" s="228" t="str">
        <f>IFERROR(__xludf.DUMMYFUNCTION("""COMPUTED_VALUE"""),"naqvim3@gmailcom")</f>
        <v>naqvim3@gmailcom</v>
      </c>
      <c r="D300" s="228" t="str">
        <f>IFERROR(__xludf.DUMMYFUNCTION("""COMPUTED_VALUE"""),"musa.naqvi@vyro.ai")</f>
        <v>musa.naqvi@vyro.ai</v>
      </c>
      <c r="E300" s="730">
        <f>IFERROR(__xludf.DUMMYFUNCTION("""COMPUTED_VALUE"""),45222.0)</f>
        <v>45222</v>
      </c>
      <c r="F300" s="228" t="str">
        <f>IFERROR(__xludf.DUMMYFUNCTION("""COMPUTED_VALUE"""),"Senior Manager, Marketing &amp; Sales")</f>
        <v>Senior Manager, Marketing &amp; Sales</v>
      </c>
      <c r="G300" s="228" t="str">
        <f>IFERROR(__xludf.DUMMYFUNCTION("""COMPUTED_VALUE"""),"Marketing &amp; Creatives")</f>
        <v>Marketing &amp; Creatives</v>
      </c>
      <c r="H300" s="228" t="str">
        <f>IFERROR(__xludf.DUMMYFUNCTION("""COMPUTED_VALUE"""),"Ahmed Abubakar, CEO")</f>
        <v>Ahmed Abubakar, CEO</v>
      </c>
      <c r="I300" s="228" t="str">
        <f>IFERROR(__xludf.DUMMYFUNCTION("""COMPUTED_VALUE"""),"Permanent")</f>
        <v>Permanent</v>
      </c>
      <c r="J300" s="228" t="str">
        <f>IFERROR(__xludf.DUMMYFUNCTION("""COMPUTED_VALUE"""),"Active")</f>
        <v>Active</v>
      </c>
      <c r="K300" s="228" t="str">
        <f>IFERROR(__xludf.DUMMYFUNCTION("""COMPUTED_VALUE"""),"3M")</f>
        <v>3M</v>
      </c>
      <c r="L300" s="732">
        <f>IFERROR(__xludf.DUMMYFUNCTION("""COMPUTED_VALUE"""),45314.0)</f>
        <v>45314</v>
      </c>
      <c r="M300" s="228"/>
      <c r="N300" s="228"/>
      <c r="O300" s="228"/>
      <c r="P300" s="228" t="str">
        <f>IFERROR(__xludf.DUMMYFUNCTION("""COMPUTED_VALUE"""),"3412634874")</f>
        <v>3412634874</v>
      </c>
      <c r="Q300" s="228" t="str">
        <f>IFERROR(__xludf.DUMMYFUNCTION("""COMPUTED_VALUE"""),"42201-7415069-1")</f>
        <v>42201-7415069-1</v>
      </c>
      <c r="R300" s="228" t="str">
        <f>IFERROR(__xludf.DUMMYFUNCTION("""COMPUTED_VALUE"""),"Male")</f>
        <v>Male</v>
      </c>
      <c r="S300" s="228" t="str">
        <f>IFERROR(__xludf.DUMMYFUNCTION("""COMPUTED_VALUE"""),"UBL")</f>
        <v>UBL</v>
      </c>
      <c r="T300" s="228" t="str">
        <f>IFERROR(__xludf.DUMMYFUNCTION("""COMPUTED_VALUE"""),"namra Akram")</f>
        <v>namra Akram</v>
      </c>
      <c r="U300" s="228" t="str">
        <f>IFERROR(__xludf.DUMMYFUNCTION("""COMPUTED_VALUE"""),"PK88UNIL0109000259226079")</f>
        <v>PK88UNIL0109000259226079</v>
      </c>
      <c r="V300" s="228" t="str">
        <f>IFERROR(__xludf.DUMMYFUNCTION("""COMPUTED_VALUE"""),"UNILPKKA028")</f>
        <v>UNILPKKA028</v>
      </c>
      <c r="W300" s="228"/>
      <c r="X300" s="228" t="str">
        <f>IFERROR(__xludf.DUMMYFUNCTION("""COMPUTED_VALUE"""),"Islamabad")</f>
        <v>Islamabad</v>
      </c>
      <c r="Y300" s="730">
        <f>IFERROR(__xludf.DUMMYFUNCTION("""COMPUTED_VALUE"""),34326.0)</f>
        <v>34326</v>
      </c>
      <c r="Z300" s="228" t="str">
        <f>IFERROR(__xludf.DUMMYFUNCTION("""COMPUTED_VALUE"""),"31 Years")</f>
        <v>31 Years</v>
      </c>
      <c r="AA300" s="228" t="str">
        <f>IFERROR(__xludf.DUMMYFUNCTION("""COMPUTED_VALUE"""),"House 55, street 2, sector g10/3")</f>
        <v>House 55, street 2, sector g10/3</v>
      </c>
      <c r="AB300" s="228" t="str">
        <f>IFERROR(__xludf.DUMMYFUNCTION("""COMPUTED_VALUE"""),"Pakistani")</f>
        <v>Pakistani</v>
      </c>
      <c r="AC300" s="228" t="str">
        <f>IFERROR(__xludf.DUMMYFUNCTION("""COMPUTED_VALUE"""),"Married")</f>
        <v>Married</v>
      </c>
      <c r="AD300" s="228"/>
      <c r="AE300" s="228"/>
      <c r="AF300" s="228"/>
      <c r="AG300" s="228" t="str">
        <f>IFERROR(__xludf.DUMMYFUNCTION("""COMPUTED_VALUE"""),"Syed Saeed Ahmed Naqvi")</f>
        <v>Syed Saeed Ahmed Naqvi</v>
      </c>
      <c r="AH300" s="228" t="str">
        <f>IFERROR(__xludf.DUMMYFUNCTION("""COMPUTED_VALUE"""),"Sibling")</f>
        <v>Sibling</v>
      </c>
      <c r="AI300" s="228" t="str">
        <f>IFERROR(__xludf.DUMMYFUNCTION("""COMPUTED_VALUE"""),"3323960135")</f>
        <v>3323960135</v>
      </c>
      <c r="AJ300" s="228" t="str">
        <f>IFERROR(__xludf.DUMMYFUNCTION("""COMPUTED_VALUE"""),"B+")</f>
        <v>B+</v>
      </c>
      <c r="AK300" s="731" t="str">
        <f>IFERROR(__xludf.DUMMYFUNCTION("""COMPUTED_VALUE"""),"https://www.linkedin.com/in/musanaqvi/")</f>
        <v>https://www.linkedin.com/in/musanaqvi/</v>
      </c>
      <c r="AL300" s="228"/>
      <c r="AM300" s="730">
        <f>IFERROR(__xludf.DUMMYFUNCTION("""COMPUTED_VALUE"""),45408.0)</f>
        <v>45408</v>
      </c>
      <c r="AN300" s="228"/>
      <c r="AO300" s="228"/>
      <c r="AP300" s="228" t="str">
        <f>IFERROR(__xludf.DUMMYFUNCTION("""COMPUTED_VALUE"""),"NO")</f>
        <v>NO</v>
      </c>
      <c r="AQ300" s="228" t="str">
        <f>IFERROR(__xludf.DUMMYFUNCTION("""COMPUTED_VALUE"""),"Resigned/Terminated")</f>
        <v>Resigned/Terminated</v>
      </c>
    </row>
    <row r="301">
      <c r="A301" s="228">
        <f>IFERROR(__xludf.DUMMYFUNCTION("""COMPUTED_VALUE"""),5230.0)</f>
        <v>5230</v>
      </c>
      <c r="B301" s="228" t="str">
        <f>IFERROR(__xludf.DUMMYFUNCTION("""COMPUTED_VALUE"""),"Aykut Subekci")</f>
        <v>Aykut Subekci</v>
      </c>
      <c r="C301" s="228" t="str">
        <f>IFERROR(__xludf.DUMMYFUNCTION("""COMPUTED_VALUE"""),"subekciaykut@gmail.com")</f>
        <v>subekciaykut@gmail.com</v>
      </c>
      <c r="D301" s="228" t="str">
        <f>IFERROR(__xludf.DUMMYFUNCTION("""COMPUTED_VALUE"""),"aykut.subekci@vyro.ai")</f>
        <v>aykut.subekci@vyro.ai</v>
      </c>
      <c r="E301" s="730">
        <f>IFERROR(__xludf.DUMMYFUNCTION("""COMPUTED_VALUE"""),45336.0)</f>
        <v>45336</v>
      </c>
      <c r="F301" s="228" t="str">
        <f>IFERROR(__xludf.DUMMYFUNCTION("""COMPUTED_VALUE"""),"Marketing Consultant")</f>
        <v>Marketing Consultant</v>
      </c>
      <c r="G301" s="228" t="str">
        <f>IFERROR(__xludf.DUMMYFUNCTION("""COMPUTED_VALUE"""),"Marketing")</f>
        <v>Marketing</v>
      </c>
      <c r="H301" s="228" t="str">
        <f>IFERROR(__xludf.DUMMYFUNCTION("""COMPUTED_VALUE"""),"Ahmed/Zain")</f>
        <v>Ahmed/Zain</v>
      </c>
      <c r="I301" s="228" t="str">
        <f>IFERROR(__xludf.DUMMYFUNCTION("""COMPUTED_VALUE"""),"Consultant")</f>
        <v>Consultant</v>
      </c>
      <c r="J301" s="228" t="str">
        <f>IFERROR(__xludf.DUMMYFUNCTION("""COMPUTED_VALUE"""),"Active")</f>
        <v>Active</v>
      </c>
      <c r="K301" s="228"/>
      <c r="L301" s="228"/>
      <c r="M301" s="228"/>
      <c r="N301" s="228"/>
      <c r="O301" s="228"/>
      <c r="P301" s="228"/>
      <c r="Q301" s="228"/>
      <c r="R301" s="228" t="str">
        <f>IFERROR(__xludf.DUMMYFUNCTION("""COMPUTED_VALUE"""),"Male")</f>
        <v>Male</v>
      </c>
      <c r="S301" s="228" t="str">
        <f>IFERROR(__xludf.DUMMYFUNCTION("""COMPUTED_VALUE"""),"Wise's address: 30 W. 26th Street, Sixth Floor, New York NY 10010, United States")</f>
        <v>Wise's address: 30 W. 26th Street, Sixth Floor, New York NY 10010, United States</v>
      </c>
      <c r="T301" s="228" t="str">
        <f>IFERROR(__xludf.DUMMYFUNCTION("""COMPUTED_VALUE"""),"Aykut Subekci")</f>
        <v>Aykut Subekci</v>
      </c>
      <c r="U301" s="228" t="str">
        <f>IFERROR(__xludf.DUMMYFUNCTION("""COMPUTED_VALUE"""),"8310635542")</f>
        <v>8310635542</v>
      </c>
      <c r="V301" s="228" t="str">
        <f>IFERROR(__xludf.DUMMYFUNCTION("""COMPUTED_VALUE"""),"CMFGUS33")</f>
        <v>CMFGUS33</v>
      </c>
      <c r="W301" s="228" t="str">
        <f>IFERROR(__xludf.DUMMYFUNCTION("""COMPUTED_VALUE"""),"026073150")</f>
        <v>026073150</v>
      </c>
      <c r="X301" s="228" t="str">
        <f>IFERROR(__xludf.DUMMYFUNCTION("""COMPUTED_VALUE"""),"Remote")</f>
        <v>Remote</v>
      </c>
      <c r="Y301" s="228"/>
      <c r="Z301" s="228" t="str">
        <f>IFERROR(__xludf.DUMMYFUNCTION("""COMPUTED_VALUE"""),"-")</f>
        <v>-</v>
      </c>
      <c r="AA301" s="228"/>
      <c r="AB301" s="228" t="str">
        <f>IFERROR(__xludf.DUMMYFUNCTION("""COMPUTED_VALUE"""),"Turkish")</f>
        <v>Turkish</v>
      </c>
      <c r="AC301" s="228"/>
      <c r="AD301" s="228"/>
      <c r="AE301" s="228"/>
      <c r="AF301" s="228"/>
      <c r="AG301" s="228"/>
      <c r="AH301" s="228"/>
      <c r="AI301" s="228"/>
      <c r="AJ301" s="228"/>
      <c r="AK301" s="228"/>
      <c r="AL301" s="228"/>
      <c r="AM301" s="730">
        <f>IFERROR(__xludf.DUMMYFUNCTION("""COMPUTED_VALUE"""),45412.0)</f>
        <v>45412</v>
      </c>
      <c r="AN301" s="228"/>
      <c r="AO301" s="228"/>
      <c r="AP301" s="228" t="str">
        <f>IFERROR(__xludf.DUMMYFUNCTION("""COMPUTED_VALUE"""),"NO")</f>
        <v>NO</v>
      </c>
      <c r="AQ301" s="228" t="str">
        <f>IFERROR(__xludf.DUMMYFUNCTION("""COMPUTED_VALUE"""),"Resigned/Terminated")</f>
        <v>Resigned/Terminated</v>
      </c>
    </row>
    <row r="302">
      <c r="A302" s="228">
        <f>IFERROR(__xludf.DUMMYFUNCTION("""COMPUTED_VALUE"""),5077.0)</f>
        <v>5077</v>
      </c>
      <c r="B302" s="228" t="str">
        <f>IFERROR(__xludf.DUMMYFUNCTION("""COMPUTED_VALUE"""),"Muhammad Saad Tariq")</f>
        <v>Muhammad Saad Tariq</v>
      </c>
      <c r="C302" s="228" t="str">
        <f>IFERROR(__xludf.DUMMYFUNCTION("""COMPUTED_VALUE"""),"m16saad99@gmail.com")</f>
        <v>m16saad99@gmail.com</v>
      </c>
      <c r="D302" s="228" t="str">
        <f>IFERROR(__xludf.DUMMYFUNCTION("""COMPUTED_VALUE"""),"saad.tariq@vyro.ai")</f>
        <v>saad.tariq@vyro.ai</v>
      </c>
      <c r="E302" s="730">
        <f>IFERROR(__xludf.DUMMYFUNCTION("""COMPUTED_VALUE"""),45054.0)</f>
        <v>45054</v>
      </c>
      <c r="F302" s="228" t="str">
        <f>IFERROR(__xludf.DUMMYFUNCTION("""COMPUTED_VALUE"""),"AM, Business")</f>
        <v>AM, Business</v>
      </c>
      <c r="G302" s="228" t="str">
        <f>IFERROR(__xludf.DUMMYFUNCTION("""COMPUTED_VALUE"""),"Business")</f>
        <v>Business</v>
      </c>
      <c r="H302" s="228" t="str">
        <f>IFERROR(__xludf.DUMMYFUNCTION("""COMPUTED_VALUE"""),"Ahmed Abubakar, CEO")</f>
        <v>Ahmed Abubakar, CEO</v>
      </c>
      <c r="I302" s="228" t="str">
        <f>IFERROR(__xludf.DUMMYFUNCTION("""COMPUTED_VALUE"""),"Permanent")</f>
        <v>Permanent</v>
      </c>
      <c r="J302" s="228" t="str">
        <f>IFERROR(__xludf.DUMMYFUNCTION("""COMPUTED_VALUE"""),"Active")</f>
        <v>Active</v>
      </c>
      <c r="K302" s="228" t="str">
        <f>IFERROR(__xludf.DUMMYFUNCTION("""COMPUTED_VALUE"""),"-")</f>
        <v>-</v>
      </c>
      <c r="L302" s="228"/>
      <c r="M302" s="228"/>
      <c r="N302" s="228"/>
      <c r="O302" s="228"/>
      <c r="P302" s="228" t="str">
        <f>IFERROR(__xludf.DUMMYFUNCTION("""COMPUTED_VALUE"""),"3018569190")</f>
        <v>3018569190</v>
      </c>
      <c r="Q302" s="228" t="str">
        <f>IFERROR(__xludf.DUMMYFUNCTION("""COMPUTED_VALUE"""),"61101-0817777-7")</f>
        <v>61101-0817777-7</v>
      </c>
      <c r="R302" s="228" t="str">
        <f>IFERROR(__xludf.DUMMYFUNCTION("""COMPUTED_VALUE"""),"Male")</f>
        <v>Male</v>
      </c>
      <c r="S302" s="228" t="str">
        <f>IFERROR(__xludf.DUMMYFUNCTION("""COMPUTED_VALUE"""),"National Australia bank (NAB)")</f>
        <v>National Australia bank (NAB)</v>
      </c>
      <c r="T302" s="228" t="str">
        <f>IFERROR(__xludf.DUMMYFUNCTION("""COMPUTED_VALUE"""),"Muhammad Saad Tariq")</f>
        <v>Muhammad Saad Tariq</v>
      </c>
      <c r="U302" s="228" t="str">
        <f>IFERROR(__xludf.DUMMYFUNCTION("""COMPUTED_VALUE"""),"34-903-0237")</f>
        <v>34-903-0237</v>
      </c>
      <c r="V302" s="228" t="str">
        <f>IFERROR(__xludf.DUMMYFUNCTION("""COMPUTED_VALUE"""),"Swift Code: NATAAU3303M,   BSB: 083-218")</f>
        <v>Swift Code: NATAAU3303M,   BSB: 083-218</v>
      </c>
      <c r="W302" s="228" t="str">
        <f>IFERROR(__xludf.DUMMYFUNCTION("""COMPUTED_VALUE"""),"Address: Westfield Doncaster, Shop G043, 619 Doncaster Road, Doncaster East, VIC 3109")</f>
        <v>Address: Westfield Doncaster, Shop G043, 619 Doncaster Road, Doncaster East, VIC 3109</v>
      </c>
      <c r="X302" s="228" t="str">
        <f>IFERROR(__xludf.DUMMYFUNCTION("""COMPUTED_VALUE"""),"Australia")</f>
        <v>Australia</v>
      </c>
      <c r="Y302" s="730">
        <f>IFERROR(__xludf.DUMMYFUNCTION("""COMPUTED_VALUE"""),36207.0)</f>
        <v>36207</v>
      </c>
      <c r="Z302" s="228" t="str">
        <f>IFERROR(__xludf.DUMMYFUNCTION("""COMPUTED_VALUE"""),"26 Years")</f>
        <v>26 Years</v>
      </c>
      <c r="AA302" s="228" t="str">
        <f>IFERROR(__xludf.DUMMYFUNCTION("""COMPUTED_VALUE"""),"House no. 17, St 37, F7/1, Islamabad")</f>
        <v>House no. 17, St 37, F7/1, Islamabad</v>
      </c>
      <c r="AB302" s="228" t="str">
        <f>IFERROR(__xludf.DUMMYFUNCTION("""COMPUTED_VALUE"""),"Pakistani")</f>
        <v>Pakistani</v>
      </c>
      <c r="AC302" s="228" t="str">
        <f>IFERROR(__xludf.DUMMYFUNCTION("""COMPUTED_VALUE"""),"Single")</f>
        <v>Single</v>
      </c>
      <c r="AD302" s="228"/>
      <c r="AE302" s="228"/>
      <c r="AF302" s="228"/>
      <c r="AG302" s="228" t="str">
        <f>IFERROR(__xludf.DUMMYFUNCTION("""COMPUTED_VALUE"""),"Chaudhry Tariq Mahmood")</f>
        <v>Chaudhry Tariq Mahmood</v>
      </c>
      <c r="AH302" s="228" t="str">
        <f>IFERROR(__xludf.DUMMYFUNCTION("""COMPUTED_VALUE"""),"Father")</f>
        <v>Father</v>
      </c>
      <c r="AI302" s="228" t="str">
        <f>IFERROR(__xludf.DUMMYFUNCTION("""COMPUTED_VALUE"""),"03008550938 (Mother's number)")</f>
        <v>03008550938 (Mother's number)</v>
      </c>
      <c r="AJ302" s="228" t="str">
        <f>IFERROR(__xludf.DUMMYFUNCTION("""COMPUTED_VALUE"""),"B+")</f>
        <v>B+</v>
      </c>
      <c r="AK302" s="731" t="str">
        <f>IFERROR(__xludf.DUMMYFUNCTION("""COMPUTED_VALUE"""),"https://www.linkedin.com/in/saad-tariq-751106117/")</f>
        <v>https://www.linkedin.com/in/saad-tariq-751106117/</v>
      </c>
      <c r="AL302" s="228"/>
      <c r="AM302" s="730">
        <f>IFERROR(__xludf.DUMMYFUNCTION("""COMPUTED_VALUE"""),45412.0)</f>
        <v>45412</v>
      </c>
      <c r="AN302" s="228"/>
      <c r="AO302" s="228"/>
      <c r="AP302" s="228" t="str">
        <f>IFERROR(__xludf.DUMMYFUNCTION("""COMPUTED_VALUE"""),"NO")</f>
        <v>NO</v>
      </c>
      <c r="AQ302" s="228" t="str">
        <f>IFERROR(__xludf.DUMMYFUNCTION("""COMPUTED_VALUE"""),"Resigned/Terminated")</f>
        <v>Resigned/Terminated</v>
      </c>
    </row>
    <row r="303">
      <c r="A303" s="228">
        <f>IFERROR(__xludf.DUMMYFUNCTION("""COMPUTED_VALUE"""),5167.0)</f>
        <v>5167</v>
      </c>
      <c r="B303" s="228" t="str">
        <f>IFERROR(__xludf.DUMMYFUNCTION("""COMPUTED_VALUE"""),"Umar Farooq")</f>
        <v>Umar Farooq</v>
      </c>
      <c r="C303" s="228" t="str">
        <f>IFERROR(__xludf.DUMMYFUNCTION("""COMPUTED_VALUE"""),"mail.umar.now@gmail.com")</f>
        <v>mail.umar.now@gmail.com</v>
      </c>
      <c r="D303" s="228" t="str">
        <f>IFERROR(__xludf.DUMMYFUNCTION("""COMPUTED_VALUE"""),"umar.farooq@vyro.ai")</f>
        <v>umar.farooq@vyro.ai</v>
      </c>
      <c r="E303" s="730">
        <f>IFERROR(__xludf.DUMMYFUNCTION("""COMPUTED_VALUE"""),45173.0)</f>
        <v>45173</v>
      </c>
      <c r="F303" s="228" t="str">
        <f>IFERROR(__xludf.DUMMYFUNCTION("""COMPUTED_VALUE"""),"Software Engineer II")</f>
        <v>Software Engineer II</v>
      </c>
      <c r="G303" s="228" t="str">
        <f>IFERROR(__xludf.DUMMYFUNCTION("""COMPUTED_VALUE"""),"Tech")</f>
        <v>Tech</v>
      </c>
      <c r="H303" s="228" t="str">
        <f>IFERROR(__xludf.DUMMYFUNCTION("""COMPUTED_VALUE"""),"M. Abdullah Rafique, CTO")</f>
        <v>M. Abdullah Rafique, CTO</v>
      </c>
      <c r="I303" s="228" t="str">
        <f>IFERROR(__xludf.DUMMYFUNCTION("""COMPUTED_VALUE"""),"Permanent")</f>
        <v>Permanent</v>
      </c>
      <c r="J303" s="228" t="str">
        <f>IFERROR(__xludf.DUMMYFUNCTION("""COMPUTED_VALUE"""),"Active")</f>
        <v>Active</v>
      </c>
      <c r="K303" s="228" t="str">
        <f>IFERROR(__xludf.DUMMYFUNCTION("""COMPUTED_VALUE"""),"3M")</f>
        <v>3M</v>
      </c>
      <c r="L303" s="732">
        <f>IFERROR(__xludf.DUMMYFUNCTION("""COMPUTED_VALUE"""),45264.0)</f>
        <v>45264</v>
      </c>
      <c r="M303" s="228"/>
      <c r="N303" s="228"/>
      <c r="O303" s="228"/>
      <c r="P303" s="228" t="str">
        <f>IFERROR(__xludf.DUMMYFUNCTION("""COMPUTED_VALUE"""),"03023145123")</f>
        <v>03023145123</v>
      </c>
      <c r="Q303" s="228" t="str">
        <f>IFERROR(__xludf.DUMMYFUNCTION("""COMPUTED_VALUE"""),"36501-4241566-9")</f>
        <v>36501-4241566-9</v>
      </c>
      <c r="R303" s="228" t="str">
        <f>IFERROR(__xludf.DUMMYFUNCTION("""COMPUTED_VALUE"""),"Male")</f>
        <v>Male</v>
      </c>
      <c r="S303" s="228" t="str">
        <f>IFERROR(__xludf.DUMMYFUNCTION("""COMPUTED_VALUE"""),"Meezan Bank")</f>
        <v>Meezan Bank</v>
      </c>
      <c r="T303" s="228" t="str">
        <f>IFERROR(__xludf.DUMMYFUNCTION("""COMPUTED_VALUE"""),"HAFIZ MUHAMMAD UMAR FAROOQ")</f>
        <v>HAFIZ MUHAMMAD UMAR FAROOQ</v>
      </c>
      <c r="U303" s="228" t="str">
        <f>IFERROR(__xludf.DUMMYFUNCTION("""COMPUTED_VALUE"""),"PK30MEZN0064010105513614")</f>
        <v>PK30MEZN0064010105513614</v>
      </c>
      <c r="V303" s="228"/>
      <c r="W303" s="228"/>
      <c r="X303" s="228" t="str">
        <f>IFERROR(__xludf.DUMMYFUNCTION("""COMPUTED_VALUE"""),"Lahore")</f>
        <v>Lahore</v>
      </c>
      <c r="Y303" s="730">
        <f>IFERROR(__xludf.DUMMYFUNCTION("""COMPUTED_VALUE"""),36408.0)</f>
        <v>36408</v>
      </c>
      <c r="Z303" s="228" t="str">
        <f>IFERROR(__xludf.DUMMYFUNCTION("""COMPUTED_VALUE"""),"25 Years")</f>
        <v>25 Years</v>
      </c>
      <c r="AA303" s="228" t="str">
        <f>IFERROR(__xludf.DUMMYFUNCTION("""COMPUTED_VALUE"""),"Shah St, KB Society Lahore")</f>
        <v>Shah St, KB Society Lahore</v>
      </c>
      <c r="AB303" s="228" t="str">
        <f>IFERROR(__xludf.DUMMYFUNCTION("""COMPUTED_VALUE"""),"Pakistani")</f>
        <v>Pakistani</v>
      </c>
      <c r="AC303" s="228" t="str">
        <f>IFERROR(__xludf.DUMMYFUNCTION("""COMPUTED_VALUE"""),"Single")</f>
        <v>Single</v>
      </c>
      <c r="AD303" s="228"/>
      <c r="AE303" s="228"/>
      <c r="AF303" s="228"/>
      <c r="AG303" s="228" t="str">
        <f>IFERROR(__xludf.DUMMYFUNCTION("""COMPUTED_VALUE"""),"Muhammad Aslam")</f>
        <v>Muhammad Aslam</v>
      </c>
      <c r="AH303" s="228" t="str">
        <f>IFERROR(__xludf.DUMMYFUNCTION("""COMPUTED_VALUE"""),"Father")</f>
        <v>Father</v>
      </c>
      <c r="AI303" s="228" t="str">
        <f>IFERROR(__xludf.DUMMYFUNCTION("""COMPUTED_VALUE"""),"3016901317")</f>
        <v>3016901317</v>
      </c>
      <c r="AJ303" s="228" t="str">
        <f>IFERROR(__xludf.DUMMYFUNCTION("""COMPUTED_VALUE"""),"O+")</f>
        <v>O+</v>
      </c>
      <c r="AK303" s="731" t="str">
        <f>IFERROR(__xludf.DUMMYFUNCTION("""COMPUTED_VALUE"""),"https://www.linkedin.com/in/rm-umar")</f>
        <v>https://www.linkedin.com/in/rm-umar</v>
      </c>
      <c r="AL303" s="228"/>
      <c r="AM303" s="730">
        <f>IFERROR(__xludf.DUMMYFUNCTION("""COMPUTED_VALUE"""),45412.0)</f>
        <v>45412</v>
      </c>
      <c r="AN303" s="228"/>
      <c r="AO303" s="228"/>
      <c r="AP303" s="228" t="str">
        <f>IFERROR(__xludf.DUMMYFUNCTION("""COMPUTED_VALUE"""),"NO")</f>
        <v>NO</v>
      </c>
      <c r="AQ303" s="228" t="str">
        <f>IFERROR(__xludf.DUMMYFUNCTION("""COMPUTED_VALUE"""),"Resigned/Terminated")</f>
        <v>Resigned/Terminated</v>
      </c>
    </row>
    <row r="304">
      <c r="A304" s="228">
        <f>IFERROR(__xludf.DUMMYFUNCTION("""COMPUTED_VALUE"""),5224.0)</f>
        <v>5224</v>
      </c>
      <c r="B304" s="228" t="str">
        <f>IFERROR(__xludf.DUMMYFUNCTION("""COMPUTED_VALUE"""),"Mirza Zain Ali Nasir")</f>
        <v>Mirza Zain Ali Nasir</v>
      </c>
      <c r="C304" s="228" t="str">
        <f>IFERROR(__xludf.DUMMYFUNCTION("""COMPUTED_VALUE"""),"mirzazainalinasir@gmail.com")</f>
        <v>mirzazainalinasir@gmail.com</v>
      </c>
      <c r="D304" s="228" t="str">
        <f>IFERROR(__xludf.DUMMYFUNCTION("""COMPUTED_VALUE"""),"zain.nasir@vyro.ai")</f>
        <v>zain.nasir@vyro.ai</v>
      </c>
      <c r="E304" s="730">
        <f>IFERROR(__xludf.DUMMYFUNCTION("""COMPUTED_VALUE"""),45313.0)</f>
        <v>45313</v>
      </c>
      <c r="F304" s="228" t="str">
        <f>IFERROR(__xludf.DUMMYFUNCTION("""COMPUTED_VALUE"""),"Associate Machine Learning Engineer")</f>
        <v>Associate Machine Learning Engineer</v>
      </c>
      <c r="G304" s="228" t="str">
        <f>IFERROR(__xludf.DUMMYFUNCTION("""COMPUTED_VALUE"""),"Machine Learning")</f>
        <v>Machine Learning</v>
      </c>
      <c r="H304" s="228" t="str">
        <f>IFERROR(__xludf.DUMMYFUNCTION("""COMPUTED_VALUE"""),"Ameer Hamza")</f>
        <v>Ameer Hamza</v>
      </c>
      <c r="I304" s="228" t="str">
        <f>IFERROR(__xludf.DUMMYFUNCTION("""COMPUTED_VALUE"""),"Probation")</f>
        <v>Probation</v>
      </c>
      <c r="J304" s="228" t="str">
        <f>IFERROR(__xludf.DUMMYFUNCTION("""COMPUTED_VALUE"""),"Active")</f>
        <v>Active</v>
      </c>
      <c r="K304" s="228" t="str">
        <f>IFERROR(__xludf.DUMMYFUNCTION("""COMPUTED_VALUE"""),"3M + 1.5M")</f>
        <v>3M + 1.5M</v>
      </c>
      <c r="L304" s="732">
        <f>IFERROR(__xludf.DUMMYFUNCTION("""COMPUTED_VALUE"""),45448.0)</f>
        <v>45448</v>
      </c>
      <c r="M304" s="228"/>
      <c r="N304" s="228"/>
      <c r="O304" s="228"/>
      <c r="P304" s="228" t="str">
        <f>IFERROR(__xludf.DUMMYFUNCTION("""COMPUTED_VALUE"""),"03211416675")</f>
        <v>03211416675</v>
      </c>
      <c r="Q304" s="228" t="str">
        <f>IFERROR(__xludf.DUMMYFUNCTION("""COMPUTED_VALUE"""),"35201-1057763-3")</f>
        <v>35201-1057763-3</v>
      </c>
      <c r="R304" s="228" t="str">
        <f>IFERROR(__xludf.DUMMYFUNCTION("""COMPUTED_VALUE"""),"Male")</f>
        <v>Male</v>
      </c>
      <c r="S304" s="228" t="str">
        <f>IFERROR(__xludf.DUMMYFUNCTION("""COMPUTED_VALUE"""),"Meezan bank")</f>
        <v>Meezan bank</v>
      </c>
      <c r="T304" s="228" t="str">
        <f>IFERROR(__xludf.DUMMYFUNCTION("""COMPUTED_VALUE"""),"MirzaZain Ali Nasir")</f>
        <v>MirzaZain Ali Nasir</v>
      </c>
      <c r="U304" s="228" t="str">
        <f>IFERROR(__xludf.DUMMYFUNCTION("""COMPUTED_VALUE"""),"PK16MEZN0011530108810901")</f>
        <v>PK16MEZN0011530108810901</v>
      </c>
      <c r="V304" s="228"/>
      <c r="W304" s="228"/>
      <c r="X304" s="228" t="str">
        <f>IFERROR(__xludf.DUMMYFUNCTION("""COMPUTED_VALUE"""),"Lahore")</f>
        <v>Lahore</v>
      </c>
      <c r="Y304" s="730">
        <f>IFERROR(__xludf.DUMMYFUNCTION("""COMPUTED_VALUE"""),36769.0)</f>
        <v>36769</v>
      </c>
      <c r="Z304" s="228" t="str">
        <f>IFERROR(__xludf.DUMMYFUNCTION("""COMPUTED_VALUE"""),"24 Years")</f>
        <v>24 Years</v>
      </c>
      <c r="AA304" s="228" t="str">
        <f>IFERROR(__xludf.DUMMYFUNCTION("""COMPUTED_VALUE"""),"House#14, St#11 Block B, Al- Faisal Town Joray Pull Lahore")</f>
        <v>House#14, St#11 Block B, Al- Faisal Town Joray Pull Lahore</v>
      </c>
      <c r="AB304" s="228" t="str">
        <f>IFERROR(__xludf.DUMMYFUNCTION("""COMPUTED_VALUE"""),"Pakistani")</f>
        <v>Pakistani</v>
      </c>
      <c r="AC304" s="228" t="str">
        <f>IFERROR(__xludf.DUMMYFUNCTION("""COMPUTED_VALUE"""),"Single")</f>
        <v>Single</v>
      </c>
      <c r="AD304" s="228"/>
      <c r="AE304" s="228"/>
      <c r="AF304" s="228"/>
      <c r="AG304" s="228" t="str">
        <f>IFERROR(__xludf.DUMMYFUNCTION("""COMPUTED_VALUE"""),"Nasir Mahmood")</f>
        <v>Nasir Mahmood</v>
      </c>
      <c r="AH304" s="228" t="str">
        <f>IFERROR(__xludf.DUMMYFUNCTION("""COMPUTED_VALUE"""),"Father")</f>
        <v>Father</v>
      </c>
      <c r="AI304" s="228" t="str">
        <f>IFERROR(__xludf.DUMMYFUNCTION("""COMPUTED_VALUE"""),"321141665")</f>
        <v>321141665</v>
      </c>
      <c r="AJ304" s="228" t="str">
        <f>IFERROR(__xludf.DUMMYFUNCTION("""COMPUTED_VALUE"""),"B+")</f>
        <v>B+</v>
      </c>
      <c r="AK304" s="731" t="str">
        <f>IFERROR(__xludf.DUMMYFUNCTION("""COMPUTED_VALUE"""),"www.linkedin.com/in/mirza-zain-ali-nasir-9b0b19218")</f>
        <v>www.linkedin.com/in/mirza-zain-ali-nasir-9b0b19218</v>
      </c>
      <c r="AL304" s="228"/>
      <c r="AM304" s="730">
        <f>IFERROR(__xludf.DUMMYFUNCTION("""COMPUTED_VALUE"""),45415.0)</f>
        <v>45415</v>
      </c>
      <c r="AN304" s="228"/>
      <c r="AO304" s="228"/>
      <c r="AP304" s="228" t="str">
        <f>IFERROR(__xludf.DUMMYFUNCTION("""COMPUTED_VALUE"""),"NO")</f>
        <v>NO</v>
      </c>
      <c r="AQ304" s="228" t="str">
        <f>IFERROR(__xludf.DUMMYFUNCTION("""COMPUTED_VALUE"""),"Resigned/Terminated")</f>
        <v>Resigned/Terminated</v>
      </c>
    </row>
    <row r="305">
      <c r="A305" s="228">
        <f>IFERROR(__xludf.DUMMYFUNCTION("""COMPUTED_VALUE"""),5203.0)</f>
        <v>5203</v>
      </c>
      <c r="B305" s="228" t="str">
        <f>IFERROR(__xludf.DUMMYFUNCTION("""COMPUTED_VALUE"""),"Sana Sajjad Chaudhary")</f>
        <v>Sana Sajjad Chaudhary</v>
      </c>
      <c r="C305" s="228" t="str">
        <f>IFERROR(__xludf.DUMMYFUNCTION("""COMPUTED_VALUE"""),"Sanasajjadchaudhry@gmail.com")</f>
        <v>Sanasajjadchaudhry@gmail.com</v>
      </c>
      <c r="D305" s="228" t="str">
        <f>IFERROR(__xludf.DUMMYFUNCTION("""COMPUTED_VALUE"""),"sana.sajjad@vyro.ai")</f>
        <v>sana.sajjad@vyro.ai</v>
      </c>
      <c r="E305" s="730">
        <f>IFERROR(__xludf.DUMMYFUNCTION("""COMPUTED_VALUE"""),45250.0)</f>
        <v>45250</v>
      </c>
      <c r="F305" s="228" t="str">
        <f>IFERROR(__xludf.DUMMYFUNCTION("""COMPUTED_VALUE"""),"Associate Marketing Executive")</f>
        <v>Associate Marketing Executive</v>
      </c>
      <c r="G305" s="228" t="str">
        <f>IFERROR(__xludf.DUMMYFUNCTION("""COMPUTED_VALUE"""),"Marketing &amp; Creatives")</f>
        <v>Marketing &amp; Creatives</v>
      </c>
      <c r="H305" s="228" t="str">
        <f>IFERROR(__xludf.DUMMYFUNCTION("""COMPUTED_VALUE"""),"Ali Nawaz")</f>
        <v>Ali Nawaz</v>
      </c>
      <c r="I305" s="228" t="str">
        <f>IFERROR(__xludf.DUMMYFUNCTION("""COMPUTED_VALUE"""),"Permanent")</f>
        <v>Permanent</v>
      </c>
      <c r="J305" s="228" t="str">
        <f>IFERROR(__xludf.DUMMYFUNCTION("""COMPUTED_VALUE"""),"Active")</f>
        <v>Active</v>
      </c>
      <c r="K305" s="228" t="str">
        <f>IFERROR(__xludf.DUMMYFUNCTION("""COMPUTED_VALUE"""),"3M")</f>
        <v>3M</v>
      </c>
      <c r="L305" s="732">
        <f>IFERROR(__xludf.DUMMYFUNCTION("""COMPUTED_VALUE"""),45342.0)</f>
        <v>45342</v>
      </c>
      <c r="M305" s="228"/>
      <c r="N305" s="228"/>
      <c r="O305" s="228"/>
      <c r="P305" s="228" t="str">
        <f>IFERROR(__xludf.DUMMYFUNCTION("""COMPUTED_VALUE"""),"3206321006")</f>
        <v>3206321006</v>
      </c>
      <c r="Q305" s="228" t="str">
        <f>IFERROR(__xludf.DUMMYFUNCTION("""COMPUTED_VALUE"""),"37301-3885164-8")</f>
        <v>37301-3885164-8</v>
      </c>
      <c r="R305" s="228" t="str">
        <f>IFERROR(__xludf.DUMMYFUNCTION("""COMPUTED_VALUE"""),"Female")</f>
        <v>Female</v>
      </c>
      <c r="S305" s="228" t="str">
        <f>IFERROR(__xludf.DUMMYFUNCTION("""COMPUTED_VALUE"""),"Standard Chartered")</f>
        <v>Standard Chartered</v>
      </c>
      <c r="T305" s="228" t="str">
        <f>IFERROR(__xludf.DUMMYFUNCTION("""COMPUTED_VALUE"""),"Sana Sajjad Chaudhry")</f>
        <v>Sana Sajjad Chaudhry</v>
      </c>
      <c r="U305" s="228" t="str">
        <f>IFERROR(__xludf.DUMMYFUNCTION("""COMPUTED_VALUE"""),"PK80SCBL0000001025331001")</f>
        <v>PK80SCBL0000001025331001</v>
      </c>
      <c r="V305" s="228"/>
      <c r="W305" s="228"/>
      <c r="X305" s="228" t="str">
        <f>IFERROR(__xludf.DUMMYFUNCTION("""COMPUTED_VALUE"""),"Islamabad")</f>
        <v>Islamabad</v>
      </c>
      <c r="Y305" s="730">
        <f>IFERROR(__xludf.DUMMYFUNCTION("""COMPUTED_VALUE"""),36109.0)</f>
        <v>36109</v>
      </c>
      <c r="Z305" s="228" t="str">
        <f>IFERROR(__xludf.DUMMYFUNCTION("""COMPUTED_VALUE"""),"26 Years")</f>
        <v>26 Years</v>
      </c>
      <c r="AA305" s="228" t="str">
        <f>IFERROR(__xludf.DUMMYFUNCTION("""COMPUTED_VALUE"""),"I-8/4 Street 85 House number 838 Islamabad")</f>
        <v>I-8/4 Street 85 House number 838 Islamabad</v>
      </c>
      <c r="AB305" s="228" t="str">
        <f>IFERROR(__xludf.DUMMYFUNCTION("""COMPUTED_VALUE"""),"Pakistani")</f>
        <v>Pakistani</v>
      </c>
      <c r="AC305" s="228" t="str">
        <f>IFERROR(__xludf.DUMMYFUNCTION("""COMPUTED_VALUE"""),"Single")</f>
        <v>Single</v>
      </c>
      <c r="AD305" s="228"/>
      <c r="AE305" s="228"/>
      <c r="AF305" s="228"/>
      <c r="AG305" s="228" t="str">
        <f>IFERROR(__xludf.DUMMYFUNCTION("""COMPUTED_VALUE"""),"Chaudhary Sajjad Ahmed")</f>
        <v>Chaudhary Sajjad Ahmed</v>
      </c>
      <c r="AH305" s="228" t="str">
        <f>IFERROR(__xludf.DUMMYFUNCTION("""COMPUTED_VALUE"""),"Mother")</f>
        <v>Mother</v>
      </c>
      <c r="AI305" s="228" t="str">
        <f>IFERROR(__xludf.DUMMYFUNCTION("""COMPUTED_VALUE"""),"3216446118")</f>
        <v>3216446118</v>
      </c>
      <c r="AJ305" s="228" t="str">
        <f>IFERROR(__xludf.DUMMYFUNCTION("""COMPUTED_VALUE"""),"A+")</f>
        <v>A+</v>
      </c>
      <c r="AK305" s="731" t="str">
        <f>IFERROR(__xludf.DUMMYFUNCTION("""COMPUTED_VALUE"""),"https://www.linkedin.com/in/sana-sajjad-793247249?utm_source=share&amp;utm_campaign=share_via&amp;utm_content=profile&amp;utm_medium=ios_app")</f>
        <v>https://www.linkedin.com/in/sana-sajjad-793247249?utm_source=share&amp;utm_campaign=share_via&amp;utm_content=profile&amp;utm_medium=ios_app</v>
      </c>
      <c r="AL305" s="228"/>
      <c r="AM305" s="730">
        <f>IFERROR(__xludf.DUMMYFUNCTION("""COMPUTED_VALUE"""),45416.0)</f>
        <v>45416</v>
      </c>
      <c r="AN305" s="228"/>
      <c r="AO305" s="228"/>
      <c r="AP305" s="228" t="str">
        <f>IFERROR(__xludf.DUMMYFUNCTION("""COMPUTED_VALUE"""),"NO")</f>
        <v>NO</v>
      </c>
      <c r="AQ305" s="228" t="str">
        <f>IFERROR(__xludf.DUMMYFUNCTION("""COMPUTED_VALUE"""),"Resigned/Terminated")</f>
        <v>Resigned/Terminated</v>
      </c>
    </row>
    <row r="306">
      <c r="A306" s="228">
        <f>IFERROR(__xludf.DUMMYFUNCTION("""COMPUTED_VALUE"""),5248.0)</f>
        <v>5248</v>
      </c>
      <c r="B306" s="228" t="str">
        <f>IFERROR(__xludf.DUMMYFUNCTION("""COMPUTED_VALUE"""),"Ghassan Sarfraz")</f>
        <v>Ghassan Sarfraz</v>
      </c>
      <c r="C306" s="228" t="str">
        <f>IFERROR(__xludf.DUMMYFUNCTION("""COMPUTED_VALUE"""),"ghassanmalik17@gmail.com")</f>
        <v>ghassanmalik17@gmail.com</v>
      </c>
      <c r="D306" s="228" t="str">
        <f>IFERROR(__xludf.DUMMYFUNCTION("""COMPUTED_VALUE"""),"ghassan.malik@vyro.ai")</f>
        <v>ghassan.malik@vyro.ai</v>
      </c>
      <c r="E306" s="730">
        <f>IFERROR(__xludf.DUMMYFUNCTION("""COMPUTED_VALUE"""),45369.0)</f>
        <v>45369</v>
      </c>
      <c r="F306" s="228" t="str">
        <f>IFERROR(__xludf.DUMMYFUNCTION("""COMPUTED_VALUE"""),"Sr. Software Engineer I")</f>
        <v>Sr. Software Engineer I</v>
      </c>
      <c r="G306" s="228" t="str">
        <f>IFERROR(__xludf.DUMMYFUNCTION("""COMPUTED_VALUE"""),"Tech")</f>
        <v>Tech</v>
      </c>
      <c r="H306" s="228" t="str">
        <f>IFERROR(__xludf.DUMMYFUNCTION("""COMPUTED_VALUE"""),"Ubadah Jafry")</f>
        <v>Ubadah Jafry</v>
      </c>
      <c r="I306" s="228" t="str">
        <f>IFERROR(__xludf.DUMMYFUNCTION("""COMPUTED_VALUE"""),"Probation")</f>
        <v>Probation</v>
      </c>
      <c r="J306" s="228" t="str">
        <f>IFERROR(__xludf.DUMMYFUNCTION("""COMPUTED_VALUE"""),"Active")</f>
        <v>Active</v>
      </c>
      <c r="K306" s="228" t="str">
        <f>IFERROR(__xludf.DUMMYFUNCTION("""COMPUTED_VALUE"""),"3M")</f>
        <v>3M</v>
      </c>
      <c r="L306" s="732">
        <f>IFERROR(__xludf.DUMMYFUNCTION("""COMPUTED_VALUE"""),45461.0)</f>
        <v>45461</v>
      </c>
      <c r="M306" s="228"/>
      <c r="N306" s="228"/>
      <c r="O306" s="228"/>
      <c r="P306" s="228" t="str">
        <f>IFERROR(__xludf.DUMMYFUNCTION("""COMPUTED_VALUE"""),"03085499766")</f>
        <v>03085499766</v>
      </c>
      <c r="Q306" s="228" t="str">
        <f>IFERROR(__xludf.DUMMYFUNCTION("""COMPUTED_VALUE"""),"35202-4814639-9")</f>
        <v>35202-4814639-9</v>
      </c>
      <c r="R306" s="228" t="str">
        <f>IFERROR(__xludf.DUMMYFUNCTION("""COMPUTED_VALUE"""),"Male")</f>
        <v>Male</v>
      </c>
      <c r="S306" s="228" t="str">
        <f>IFERROR(__xludf.DUMMYFUNCTION("""COMPUTED_VALUE"""),"HBL")</f>
        <v>HBL</v>
      </c>
      <c r="T306" s="228" t="str">
        <f>IFERROR(__xludf.DUMMYFUNCTION("""COMPUTED_VALUE"""),"Ghassan Sarfraz")</f>
        <v>Ghassan Sarfraz</v>
      </c>
      <c r="U306" s="228" t="str">
        <f>IFERROR(__xludf.DUMMYFUNCTION("""COMPUTED_VALUE"""),"PK09HABB0024847000486003")</f>
        <v>PK09HABB0024847000486003</v>
      </c>
      <c r="V306" s="228" t="str">
        <f>IFERROR(__xludf.DUMMYFUNCTION("""COMPUTED_VALUE"""),"HABBPKKA")</f>
        <v>HABBPKKA</v>
      </c>
      <c r="W306" s="228"/>
      <c r="X306" s="228" t="str">
        <f>IFERROR(__xludf.DUMMYFUNCTION("""COMPUTED_VALUE"""),"Lahore")</f>
        <v>Lahore</v>
      </c>
      <c r="Y306" s="730">
        <f>IFERROR(__xludf.DUMMYFUNCTION("""COMPUTED_VALUE"""),35871.0)</f>
        <v>35871</v>
      </c>
      <c r="Z306" s="228" t="str">
        <f>IFERROR(__xludf.DUMMYFUNCTION("""COMPUTED_VALUE"""),"27 Years")</f>
        <v>27 Years</v>
      </c>
      <c r="AA306" s="228" t="str">
        <f>IFERROR(__xludf.DUMMYFUNCTION("""COMPUTED_VALUE"""),"Sabzazar lahore")</f>
        <v>Sabzazar lahore</v>
      </c>
      <c r="AB306" s="228" t="str">
        <f>IFERROR(__xludf.DUMMYFUNCTION("""COMPUTED_VALUE"""),"Pakistani")</f>
        <v>Pakistani</v>
      </c>
      <c r="AC306" s="228" t="str">
        <f>IFERROR(__xludf.DUMMYFUNCTION("""COMPUTED_VALUE"""),"Single")</f>
        <v>Single</v>
      </c>
      <c r="AD306" s="228"/>
      <c r="AE306" s="228"/>
      <c r="AF306" s="228"/>
      <c r="AG306" s="228" t="str">
        <f>IFERROR(__xludf.DUMMYFUNCTION("""COMPUTED_VALUE"""),"Sarfraz Ahmed")</f>
        <v>Sarfraz Ahmed</v>
      </c>
      <c r="AH306" s="228" t="str">
        <f>IFERROR(__xludf.DUMMYFUNCTION("""COMPUTED_VALUE"""),"Mother")</f>
        <v>Mother</v>
      </c>
      <c r="AI306" s="228" t="str">
        <f>IFERROR(__xludf.DUMMYFUNCTION("""COMPUTED_VALUE"""),"03224537404")</f>
        <v>03224537404</v>
      </c>
      <c r="AJ306" s="228" t="str">
        <f>IFERROR(__xludf.DUMMYFUNCTION("""COMPUTED_VALUE"""),"B+")</f>
        <v>B+</v>
      </c>
      <c r="AK306" s="731" t="str">
        <f>IFERROR(__xludf.DUMMYFUNCTION("""COMPUTED_VALUE"""),"https://www.linkedin.com/in/ghassan-malik-949600188")</f>
        <v>https://www.linkedin.com/in/ghassan-malik-949600188</v>
      </c>
      <c r="AL306" s="228"/>
      <c r="AM306" s="730">
        <f>IFERROR(__xludf.DUMMYFUNCTION("""COMPUTED_VALUE"""),45419.0)</f>
        <v>45419</v>
      </c>
      <c r="AN306" s="228"/>
      <c r="AO306" s="228"/>
      <c r="AP306" s="228" t="str">
        <f>IFERROR(__xludf.DUMMYFUNCTION("""COMPUTED_VALUE"""),"NO")</f>
        <v>NO</v>
      </c>
      <c r="AQ306" s="228" t="str">
        <f>IFERROR(__xludf.DUMMYFUNCTION("""COMPUTED_VALUE"""),"Resigned/Terminated")</f>
        <v>Resigned/Terminated</v>
      </c>
    </row>
    <row r="307">
      <c r="A307" s="228">
        <f>IFERROR(__xludf.DUMMYFUNCTION("""COMPUTED_VALUE"""),5252.0)</f>
        <v>5252</v>
      </c>
      <c r="B307" s="228" t="str">
        <f>IFERROR(__xludf.DUMMYFUNCTION("""COMPUTED_VALUE"""),"Arsal Sher Khan")</f>
        <v>Arsal Sher Khan</v>
      </c>
      <c r="C307" s="228" t="str">
        <f>IFERROR(__xludf.DUMMYFUNCTION("""COMPUTED_VALUE"""),"arsal28sher@gmail.com")</f>
        <v>arsal28sher@gmail.com</v>
      </c>
      <c r="D307" s="228" t="str">
        <f>IFERROR(__xludf.DUMMYFUNCTION("""COMPUTED_VALUE"""),"arsal.sher@vyro.ai")</f>
        <v>arsal.sher@vyro.ai</v>
      </c>
      <c r="E307" s="730">
        <f>IFERROR(__xludf.DUMMYFUNCTION("""COMPUTED_VALUE"""),45376.0)</f>
        <v>45376</v>
      </c>
      <c r="F307" s="228" t="str">
        <f>IFERROR(__xludf.DUMMYFUNCTION("""COMPUTED_VALUE"""),"SEO Content Writer")</f>
        <v>SEO Content Writer</v>
      </c>
      <c r="G307" s="228" t="str">
        <f>IFERROR(__xludf.DUMMYFUNCTION("""COMPUTED_VALUE"""),"Content")</f>
        <v>Content</v>
      </c>
      <c r="H307" s="228" t="str">
        <f>IFERROR(__xludf.DUMMYFUNCTION("""COMPUTED_VALUE"""),"Shehak Raza")</f>
        <v>Shehak Raza</v>
      </c>
      <c r="I307" s="228" t="str">
        <f>IFERROR(__xludf.DUMMYFUNCTION("""COMPUTED_VALUE"""),"Probation")</f>
        <v>Probation</v>
      </c>
      <c r="J307" s="228" t="str">
        <f>IFERROR(__xludf.DUMMYFUNCTION("""COMPUTED_VALUE"""),"Active")</f>
        <v>Active</v>
      </c>
      <c r="K307" s="228" t="str">
        <f>IFERROR(__xludf.DUMMYFUNCTION("""COMPUTED_VALUE"""),"3M")</f>
        <v>3M</v>
      </c>
      <c r="L307" s="732">
        <f>IFERROR(__xludf.DUMMYFUNCTION("""COMPUTED_VALUE"""),45468.0)</f>
        <v>45468</v>
      </c>
      <c r="M307" s="228"/>
      <c r="N307" s="228"/>
      <c r="O307" s="228"/>
      <c r="P307" s="228" t="str">
        <f>IFERROR(__xludf.DUMMYFUNCTION("""COMPUTED_VALUE"""),"03202821001")</f>
        <v>03202821001</v>
      </c>
      <c r="Q307" s="228" t="str">
        <f>IFERROR(__xludf.DUMMYFUNCTION("""COMPUTED_VALUE"""),"35201-5498096-5")</f>
        <v>35201-5498096-5</v>
      </c>
      <c r="R307" s="228" t="str">
        <f>IFERROR(__xludf.DUMMYFUNCTION("""COMPUTED_VALUE"""),"Male")</f>
        <v>Male</v>
      </c>
      <c r="S307" s="228" t="str">
        <f>IFERROR(__xludf.DUMMYFUNCTION("""COMPUTED_VALUE"""),"Allied Bank")</f>
        <v>Allied Bank</v>
      </c>
      <c r="T307" s="228" t="str">
        <f>IFERROR(__xludf.DUMMYFUNCTION("""COMPUTED_VALUE"""),"Muhammad Arsal Sher Khan")</f>
        <v>Muhammad Arsal Sher Khan</v>
      </c>
      <c r="U307" s="228" t="str">
        <f>IFERROR(__xludf.DUMMYFUNCTION("""COMPUTED_VALUE"""),"PK94ABPA0010063528460019")</f>
        <v>PK94ABPA0010063528460019</v>
      </c>
      <c r="V307" s="228" t="str">
        <f>IFERROR(__xludf.DUMMYFUNCTION("""COMPUTED_VALUE"""),"ABPA PK KA")</f>
        <v>ABPA PK KA</v>
      </c>
      <c r="W307" s="228"/>
      <c r="X307" s="228" t="str">
        <f>IFERROR(__xludf.DUMMYFUNCTION("""COMPUTED_VALUE"""),"Islamabad")</f>
        <v>Islamabad</v>
      </c>
      <c r="Y307" s="730">
        <f>IFERROR(__xludf.DUMMYFUNCTION("""COMPUTED_VALUE"""),37100.0)</f>
        <v>37100</v>
      </c>
      <c r="Z307" s="228" t="str">
        <f>IFERROR(__xludf.DUMMYFUNCTION("""COMPUTED_VALUE"""),"23 Years")</f>
        <v>23 Years</v>
      </c>
      <c r="AA307" s="228" t="str">
        <f>IFERROR(__xludf.DUMMYFUNCTION("""COMPUTED_VALUE"""),"Room 115, Rahmat Hostel, NUST H-12, Sector H-12, Islamabad")</f>
        <v>Room 115, Rahmat Hostel, NUST H-12, Sector H-12, Islamabad</v>
      </c>
      <c r="AB307" s="228" t="str">
        <f>IFERROR(__xludf.DUMMYFUNCTION("""COMPUTED_VALUE"""),"Pakistani")</f>
        <v>Pakistani</v>
      </c>
      <c r="AC307" s="228" t="str">
        <f>IFERROR(__xludf.DUMMYFUNCTION("""COMPUTED_VALUE"""),"Single")</f>
        <v>Single</v>
      </c>
      <c r="AD307" s="228"/>
      <c r="AE307" s="228"/>
      <c r="AF307" s="228"/>
      <c r="AG307" s="228" t="str">
        <f>IFERROR(__xludf.DUMMYFUNCTION("""COMPUTED_VALUE"""),"Muhammad Azam Khan")</f>
        <v>Muhammad Azam Khan</v>
      </c>
      <c r="AH307" s="228" t="str">
        <f>IFERROR(__xludf.DUMMYFUNCTION("""COMPUTED_VALUE"""),"Mother")</f>
        <v>Mother</v>
      </c>
      <c r="AI307" s="228" t="str">
        <f>IFERROR(__xludf.DUMMYFUNCTION("""COMPUTED_VALUE"""),"03217792323")</f>
        <v>03217792323</v>
      </c>
      <c r="AJ307" s="228" t="str">
        <f>IFERROR(__xludf.DUMMYFUNCTION("""COMPUTED_VALUE"""),"B+")</f>
        <v>B+</v>
      </c>
      <c r="AK307" s="731" t="str">
        <f>IFERROR(__xludf.DUMMYFUNCTION("""COMPUTED_VALUE"""),"linkedin.com/in/arsal28sher")</f>
        <v>linkedin.com/in/arsal28sher</v>
      </c>
      <c r="AL307" s="228"/>
      <c r="AM307" s="730">
        <f>IFERROR(__xludf.DUMMYFUNCTION("""COMPUTED_VALUE"""),45425.0)</f>
        <v>45425</v>
      </c>
      <c r="AN307" s="228"/>
      <c r="AO307" s="228"/>
      <c r="AP307" s="228" t="str">
        <f>IFERROR(__xludf.DUMMYFUNCTION("""COMPUTED_VALUE"""),"NO")</f>
        <v>NO</v>
      </c>
      <c r="AQ307" s="228" t="str">
        <f>IFERROR(__xludf.DUMMYFUNCTION("""COMPUTED_VALUE"""),"Resigned/Terminated")</f>
        <v>Resigned/Terminated</v>
      </c>
    </row>
    <row r="308">
      <c r="A308" s="228">
        <f>IFERROR(__xludf.DUMMYFUNCTION("""COMPUTED_VALUE"""),5221.0)</f>
        <v>5221</v>
      </c>
      <c r="B308" s="228" t="str">
        <f>IFERROR(__xludf.DUMMYFUNCTION("""COMPUTED_VALUE"""),"Jan Frederic Panne (Deceased)")</f>
        <v>Jan Frederic Panne (Deceased)</v>
      </c>
      <c r="C308" s="228" t="str">
        <f>IFERROR(__xludf.DUMMYFUNCTION("""COMPUTED_VALUE"""),"aotsuyu@protonmail.com")</f>
        <v>aotsuyu@protonmail.com</v>
      </c>
      <c r="D308" s="228" t="str">
        <f>IFERROR(__xludf.DUMMYFUNCTION("""COMPUTED_VALUE"""),"jan.panne@vyro.ai")</f>
        <v>jan.panne@vyro.ai</v>
      </c>
      <c r="E308" s="730">
        <f>IFERROR(__xludf.DUMMYFUNCTION("""COMPUTED_VALUE"""),45302.0)</f>
        <v>45302</v>
      </c>
      <c r="F308" s="228" t="str">
        <f>IFERROR(__xludf.DUMMYFUNCTION("""COMPUTED_VALUE"""),"ML Engineer")</f>
        <v>ML Engineer</v>
      </c>
      <c r="G308" s="228" t="str">
        <f>IFERROR(__xludf.DUMMYFUNCTION("""COMPUTED_VALUE"""),"Machine Learning")</f>
        <v>Machine Learning</v>
      </c>
      <c r="H308" s="228" t="str">
        <f>IFERROR(__xludf.DUMMYFUNCTION("""COMPUTED_VALUE"""),"M. Abdullah Rafique, CTO")</f>
        <v>M. Abdullah Rafique, CTO</v>
      </c>
      <c r="I308" s="228" t="str">
        <f>IFERROR(__xludf.DUMMYFUNCTION("""COMPUTED_VALUE"""),"Permanent")</f>
        <v>Permanent</v>
      </c>
      <c r="J308" s="228" t="str">
        <f>IFERROR(__xludf.DUMMYFUNCTION("""COMPUTED_VALUE"""),"Active")</f>
        <v>Active</v>
      </c>
      <c r="K308" s="228" t="str">
        <f>IFERROR(__xludf.DUMMYFUNCTION("""COMPUTED_VALUE"""),"3M")</f>
        <v>3M</v>
      </c>
      <c r="L308" s="732">
        <f>IFERROR(__xludf.DUMMYFUNCTION("""COMPUTED_VALUE"""),45393.0)</f>
        <v>45393</v>
      </c>
      <c r="M308" s="228"/>
      <c r="N308" s="228"/>
      <c r="O308" s="228"/>
      <c r="P308" s="228" t="str">
        <f>IFERROR(__xludf.DUMMYFUNCTION("""COMPUTED_VALUE"""),"48731016617")</f>
        <v>48731016617</v>
      </c>
      <c r="Q308" s="228"/>
      <c r="R308" s="228" t="str">
        <f>IFERROR(__xludf.DUMMYFUNCTION("""COMPUTED_VALUE"""),"Male")</f>
        <v>Male</v>
      </c>
      <c r="S308" s="228" t="str">
        <f>IFERROR(__xludf.DUMMYFUNCTION("""COMPUTED_VALUE"""),"Santander Bank Polska")</f>
        <v>Santander Bank Polska</v>
      </c>
      <c r="T308" s="228" t="str">
        <f>IFERROR(__xludf.DUMMYFUNCTION("""COMPUTED_VALUE"""),"Jan Panne")</f>
        <v>Jan Panne</v>
      </c>
      <c r="U308" s="228" t="str">
        <f>IFERROR(__xludf.DUMMYFUNCTION("""COMPUTED_VALUE"""),"PL27109018410000000131371048")</f>
        <v>PL27109018410000000131371048</v>
      </c>
      <c r="V308" s="228" t="str">
        <f>IFERROR(__xludf.DUMMYFUNCTION("""COMPUTED_VALUE"""),"WBKPPLPP")</f>
        <v>WBKPPLPP</v>
      </c>
      <c r="W308" s="228"/>
      <c r="X308" s="228" t="str">
        <f>IFERROR(__xludf.DUMMYFUNCTION("""COMPUTED_VALUE"""),"Remote (Poland)")</f>
        <v>Remote (Poland)</v>
      </c>
      <c r="Y308" s="730">
        <f>IFERROR(__xludf.DUMMYFUNCTION("""COMPUTED_VALUE"""),36023.0)</f>
        <v>36023</v>
      </c>
      <c r="Z308" s="228" t="str">
        <f>IFERROR(__xludf.DUMMYFUNCTION("""COMPUTED_VALUE"""),"26 Years")</f>
        <v>26 Years</v>
      </c>
      <c r="AA308" s="228" t="str">
        <f>IFERROR(__xludf.DUMMYFUNCTION("""COMPUTED_VALUE"""),"Wilanowska 21/9, 51-206 Wrocław")</f>
        <v>Wilanowska 21/9, 51-206 Wrocław</v>
      </c>
      <c r="AB308" s="228" t="str">
        <f>IFERROR(__xludf.DUMMYFUNCTION("""COMPUTED_VALUE"""),"Polish")</f>
        <v>Polish</v>
      </c>
      <c r="AC308" s="228" t="str">
        <f>IFERROR(__xludf.DUMMYFUNCTION("""COMPUTED_VALUE"""),"Single")</f>
        <v>Single</v>
      </c>
      <c r="AD308" s="228"/>
      <c r="AE308" s="228"/>
      <c r="AF308" s="228"/>
      <c r="AG308" s="228" t="str">
        <f>IFERROR(__xludf.DUMMYFUNCTION("""COMPUTED_VALUE"""),"Jean-Louis")</f>
        <v>Jean-Louis</v>
      </c>
      <c r="AH308" s="228" t="str">
        <f>IFERROR(__xludf.DUMMYFUNCTION("""COMPUTED_VALUE"""),"Father")</f>
        <v>Father</v>
      </c>
      <c r="AI308" s="228" t="str">
        <f>IFERROR(__xludf.DUMMYFUNCTION("""COMPUTED_VALUE"""),"33624700705")</f>
        <v>33624700705</v>
      </c>
      <c r="AJ308" s="228" t="str">
        <f>IFERROR(__xludf.DUMMYFUNCTION("""COMPUTED_VALUE"""),"A+")</f>
        <v>A+</v>
      </c>
      <c r="AK308" s="731" t="str">
        <f>IFERROR(__xludf.DUMMYFUNCTION("""COMPUTED_VALUE"""),"https://www.linkedin.com/in/jan-panne-4b46622a9/")</f>
        <v>https://www.linkedin.com/in/jan-panne-4b46622a9/</v>
      </c>
      <c r="AL308" s="228"/>
      <c r="AM308" s="730">
        <f>IFERROR(__xludf.DUMMYFUNCTION("""COMPUTED_VALUE"""),45425.0)</f>
        <v>45425</v>
      </c>
      <c r="AN308" s="228"/>
      <c r="AO308" s="228"/>
      <c r="AP308" s="228" t="str">
        <f>IFERROR(__xludf.DUMMYFUNCTION("""COMPUTED_VALUE"""),"NO")</f>
        <v>NO</v>
      </c>
      <c r="AQ308" s="228" t="str">
        <f>IFERROR(__xludf.DUMMYFUNCTION("""COMPUTED_VALUE"""),"Resigned/Terminated")</f>
        <v>Resigned/Terminated</v>
      </c>
    </row>
    <row r="309">
      <c r="A309" s="228">
        <f>IFERROR(__xludf.DUMMYFUNCTION("""COMPUTED_VALUE"""),5258.0)</f>
        <v>5258</v>
      </c>
      <c r="B309" s="228" t="str">
        <f>IFERROR(__xludf.DUMMYFUNCTION("""COMPUTED_VALUE"""),"Jeremy Ford")</f>
        <v>Jeremy Ford</v>
      </c>
      <c r="C309" s="228" t="str">
        <f>IFERROR(__xludf.DUMMYFUNCTION("""COMPUTED_VALUE"""),"jeremyjf1994@gmail.com")</f>
        <v>jeremyjf1994@gmail.com</v>
      </c>
      <c r="D309" s="228" t="str">
        <f>IFERROR(__xludf.DUMMYFUNCTION("""COMPUTED_VALUE"""),"jeremy.ford@vyro.ai")</f>
        <v>jeremy.ford@vyro.ai</v>
      </c>
      <c r="E309" s="730">
        <f>IFERROR(__xludf.DUMMYFUNCTION("""COMPUTED_VALUE"""),45390.0)</f>
        <v>45390</v>
      </c>
      <c r="F309" s="228" t="str">
        <f>IFERROR(__xludf.DUMMYFUNCTION("""COMPUTED_VALUE"""),"Community and Growth Executive")</f>
        <v>Community and Growth Executive</v>
      </c>
      <c r="G309" s="228" t="str">
        <f>IFERROR(__xludf.DUMMYFUNCTION("""COMPUTED_VALUE"""),"Business &amp; Growth")</f>
        <v>Business &amp; Growth</v>
      </c>
      <c r="H309" s="228" t="str">
        <f>IFERROR(__xludf.DUMMYFUNCTION("""COMPUTED_VALUE"""),"M. Abdullah Rafique, CTO")</f>
        <v>M. Abdullah Rafique, CTO</v>
      </c>
      <c r="I309" s="228" t="str">
        <f>IFERROR(__xludf.DUMMYFUNCTION("""COMPUTED_VALUE"""),"Probation")</f>
        <v>Probation</v>
      </c>
      <c r="J309" s="228" t="str">
        <f>IFERROR(__xludf.DUMMYFUNCTION("""COMPUTED_VALUE"""),"Active")</f>
        <v>Active</v>
      </c>
      <c r="K309" s="228" t="str">
        <f>IFERROR(__xludf.DUMMYFUNCTION("""COMPUTED_VALUE"""),"2M")</f>
        <v>2M</v>
      </c>
      <c r="L309" s="732">
        <f>IFERROR(__xludf.DUMMYFUNCTION("""COMPUTED_VALUE"""),45451.0)</f>
        <v>45451</v>
      </c>
      <c r="M309" s="228"/>
      <c r="N309" s="228"/>
      <c r="O309" s="228"/>
      <c r="P309" s="228"/>
      <c r="Q309" s="228"/>
      <c r="R309" s="228" t="str">
        <f>IFERROR(__xludf.DUMMYFUNCTION("""COMPUTED_VALUE"""),"Male")</f>
        <v>Male</v>
      </c>
      <c r="S309" s="228" t="str">
        <f>IFERROR(__xludf.DUMMYFUNCTION("""COMPUTED_VALUE"""),"Sutton Bank, US")</f>
        <v>Sutton Bank, US</v>
      </c>
      <c r="T309" s="228" t="str">
        <f>IFERROR(__xludf.DUMMYFUNCTION("""COMPUTED_VALUE"""),"Jeremy Ford")</f>
        <v>Jeremy Ford</v>
      </c>
      <c r="U309" s="228" t="str">
        <f>IFERROR(__xludf.DUMMYFUNCTION("""COMPUTED_VALUE"""),"1314145226696")</f>
        <v>1314145226696</v>
      </c>
      <c r="V309" s="228" t="str">
        <f>IFERROR(__xludf.DUMMYFUNCTION("""COMPUTED_VALUE"""),"-")</f>
        <v>-</v>
      </c>
      <c r="W309" s="228" t="str">
        <f>IFERROR(__xludf.DUMMYFUNCTION("""COMPUTED_VALUE"""),"41215663")</f>
        <v>41215663</v>
      </c>
      <c r="X309" s="228" t="str">
        <f>IFERROR(__xludf.DUMMYFUNCTION("""COMPUTED_VALUE"""),"Remote")</f>
        <v>Remote</v>
      </c>
      <c r="Y309" s="228"/>
      <c r="Z309" s="228" t="str">
        <f>IFERROR(__xludf.DUMMYFUNCTION("""COMPUTED_VALUE"""),"-")</f>
        <v>-</v>
      </c>
      <c r="AA309" s="228"/>
      <c r="AB309" s="228" t="str">
        <f>IFERROR(__xludf.DUMMYFUNCTION("""COMPUTED_VALUE"""),"American")</f>
        <v>American</v>
      </c>
      <c r="AC309" s="228"/>
      <c r="AD309" s="228"/>
      <c r="AE309" s="228"/>
      <c r="AF309" s="228"/>
      <c r="AG309" s="228"/>
      <c r="AH309" s="228"/>
      <c r="AI309" s="228"/>
      <c r="AJ309" s="228"/>
      <c r="AK309" s="228"/>
      <c r="AL309" s="228"/>
      <c r="AM309" s="730">
        <f>IFERROR(__xludf.DUMMYFUNCTION("""COMPUTED_VALUE"""),45426.0)</f>
        <v>45426</v>
      </c>
      <c r="AN309" s="228"/>
      <c r="AO309" s="228"/>
      <c r="AP309" s="228" t="str">
        <f>IFERROR(__xludf.DUMMYFUNCTION("""COMPUTED_VALUE"""),"NO")</f>
        <v>NO</v>
      </c>
      <c r="AQ309" s="228" t="str">
        <f>IFERROR(__xludf.DUMMYFUNCTION("""COMPUTED_VALUE"""),"Resigned/Terminated")</f>
        <v>Resigned/Terminated</v>
      </c>
    </row>
    <row r="310">
      <c r="A310" s="228">
        <f>IFERROR(__xludf.DUMMYFUNCTION("""COMPUTED_VALUE"""),5205.0)</f>
        <v>5205</v>
      </c>
      <c r="B310" s="228" t="str">
        <f>IFERROR(__xludf.DUMMYFUNCTION("""COMPUTED_VALUE"""),"Ali Irfan")</f>
        <v>Ali Irfan</v>
      </c>
      <c r="C310" s="228" t="str">
        <f>IFERROR(__xludf.DUMMYFUNCTION("""COMPUTED_VALUE"""),"ali7279.aa@gmail.com")</f>
        <v>ali7279.aa@gmail.com</v>
      </c>
      <c r="D310" s="228" t="str">
        <f>IFERROR(__xludf.DUMMYFUNCTION("""COMPUTED_VALUE"""),"ali.irfan@vyro.ai")</f>
        <v>ali.irfan@vyro.ai</v>
      </c>
      <c r="E310" s="730">
        <f>IFERROR(__xludf.DUMMYFUNCTION("""COMPUTED_VALUE"""),45251.0)</f>
        <v>45251</v>
      </c>
      <c r="F310" s="228" t="str">
        <f>IFERROR(__xludf.DUMMYFUNCTION("""COMPUTED_VALUE"""),"Software Engineer I")</f>
        <v>Software Engineer I</v>
      </c>
      <c r="G310" s="228" t="str">
        <f>IFERROR(__xludf.DUMMYFUNCTION("""COMPUTED_VALUE"""),"Android")</f>
        <v>Android</v>
      </c>
      <c r="H310" s="228" t="str">
        <f>IFERROR(__xludf.DUMMYFUNCTION("""COMPUTED_VALUE"""),"Ubadah Jafry")</f>
        <v>Ubadah Jafry</v>
      </c>
      <c r="I310" s="228" t="str">
        <f>IFERROR(__xludf.DUMMYFUNCTION("""COMPUTED_VALUE"""),"Permanent")</f>
        <v>Permanent</v>
      </c>
      <c r="J310" s="228" t="str">
        <f>IFERROR(__xludf.DUMMYFUNCTION("""COMPUTED_VALUE"""),"Active")</f>
        <v>Active</v>
      </c>
      <c r="K310" s="228" t="str">
        <f>IFERROR(__xludf.DUMMYFUNCTION("""COMPUTED_VALUE"""),"3M")</f>
        <v>3M</v>
      </c>
      <c r="L310" s="732">
        <f>IFERROR(__xludf.DUMMYFUNCTION("""COMPUTED_VALUE"""),45343.0)</f>
        <v>45343</v>
      </c>
      <c r="M310" s="228"/>
      <c r="N310" s="228"/>
      <c r="O310" s="228"/>
      <c r="P310" s="228" t="str">
        <f>IFERROR(__xludf.DUMMYFUNCTION("""COMPUTED_VALUE"""),"03019404488")</f>
        <v>03019404488</v>
      </c>
      <c r="Q310" s="228" t="str">
        <f>IFERROR(__xludf.DUMMYFUNCTION("""COMPUTED_VALUE"""),"35202-7336402-9")</f>
        <v>35202-7336402-9</v>
      </c>
      <c r="R310" s="228" t="str">
        <f>IFERROR(__xludf.DUMMYFUNCTION("""COMPUTED_VALUE"""),"Male")</f>
        <v>Male</v>
      </c>
      <c r="S310" s="228" t="str">
        <f>IFERROR(__xludf.DUMMYFUNCTION("""COMPUTED_VALUE"""),"United Bank Limited")</f>
        <v>United Bank Limited</v>
      </c>
      <c r="T310" s="228" t="str">
        <f>IFERROR(__xludf.DUMMYFUNCTION("""COMPUTED_VALUE"""),"Muhammad Ali Irfan")</f>
        <v>Muhammad Ali Irfan</v>
      </c>
      <c r="U310" s="228" t="str">
        <f>IFERROR(__xludf.DUMMYFUNCTION("""COMPUTED_VALUE"""),"PK68UNIL0109000259017404")</f>
        <v>PK68UNIL0109000259017404</v>
      </c>
      <c r="V310" s="228"/>
      <c r="W310" s="228"/>
      <c r="X310" s="228" t="str">
        <f>IFERROR(__xludf.DUMMYFUNCTION("""COMPUTED_VALUE"""),"Lahore")</f>
        <v>Lahore</v>
      </c>
      <c r="Y310" s="730">
        <f>IFERROR(__xludf.DUMMYFUNCTION("""COMPUTED_VALUE"""),36634.0)</f>
        <v>36634</v>
      </c>
      <c r="Z310" s="228" t="str">
        <f>IFERROR(__xludf.DUMMYFUNCTION("""COMPUTED_VALUE"""),"25 Years")</f>
        <v>25 Years</v>
      </c>
      <c r="AA310" s="228" t="str">
        <f>IFERROR(__xludf.DUMMYFUNCTION("""COMPUTED_VALUE"""),"House # 77/8, Street # 175, Maqbool Road, Ichra, Lahore")</f>
        <v>House # 77/8, Street # 175, Maqbool Road, Ichra, Lahore</v>
      </c>
      <c r="AB310" s="228" t="str">
        <f>IFERROR(__xludf.DUMMYFUNCTION("""COMPUTED_VALUE"""),"Pakistani")</f>
        <v>Pakistani</v>
      </c>
      <c r="AC310" s="228" t="str">
        <f>IFERROR(__xludf.DUMMYFUNCTION("""COMPUTED_VALUE"""),"Single")</f>
        <v>Single</v>
      </c>
      <c r="AD310" s="228"/>
      <c r="AE310" s="228"/>
      <c r="AF310" s="228"/>
      <c r="AG310" s="228" t="str">
        <f>IFERROR(__xludf.DUMMYFUNCTION("""COMPUTED_VALUE"""),"Muhammad Irfan Saleem")</f>
        <v>Muhammad Irfan Saleem</v>
      </c>
      <c r="AH310" s="228" t="str">
        <f>IFERROR(__xludf.DUMMYFUNCTION("""COMPUTED_VALUE"""),"Brother")</f>
        <v>Brother</v>
      </c>
      <c r="AI310" s="228" t="str">
        <f>IFERROR(__xludf.DUMMYFUNCTION("""COMPUTED_VALUE"""),"03029404488")</f>
        <v>03029404488</v>
      </c>
      <c r="AJ310" s="228" t="str">
        <f>IFERROR(__xludf.DUMMYFUNCTION("""COMPUTED_VALUE"""),"A+")</f>
        <v>A+</v>
      </c>
      <c r="AK310" s="731" t="str">
        <f>IFERROR(__xludf.DUMMYFUNCTION("""COMPUTED_VALUE"""),"https://www.linkedin.com/in/ali-irfan-51b190195")</f>
        <v>https://www.linkedin.com/in/ali-irfan-51b190195</v>
      </c>
      <c r="AL310" s="228"/>
      <c r="AM310" s="730">
        <f>IFERROR(__xludf.DUMMYFUNCTION("""COMPUTED_VALUE"""),45428.0)</f>
        <v>45428</v>
      </c>
      <c r="AN310" s="228"/>
      <c r="AO310" s="228"/>
      <c r="AP310" s="228" t="str">
        <f>IFERROR(__xludf.DUMMYFUNCTION("""COMPUTED_VALUE"""),"NO")</f>
        <v>NO</v>
      </c>
      <c r="AQ310" s="228" t="str">
        <f>IFERROR(__xludf.DUMMYFUNCTION("""COMPUTED_VALUE"""),"Resigned/Terminated")</f>
        <v>Resigned/Terminated</v>
      </c>
    </row>
    <row r="311">
      <c r="A311" s="228">
        <f>IFERROR(__xludf.DUMMYFUNCTION("""COMPUTED_VALUE"""),5263.0)</f>
        <v>5263</v>
      </c>
      <c r="B311" s="228" t="str">
        <f>IFERROR(__xludf.DUMMYFUNCTION("""COMPUTED_VALUE"""),"Alina Shoaib")</f>
        <v>Alina Shoaib</v>
      </c>
      <c r="C311" s="228" t="str">
        <f>IFERROR(__xludf.DUMMYFUNCTION("""COMPUTED_VALUE"""),"alina.shoaibq@gmail.com")</f>
        <v>alina.shoaibq@gmail.com</v>
      </c>
      <c r="D311" s="228" t="str">
        <f>IFERROR(__xludf.DUMMYFUNCTION("""COMPUTED_VALUE"""),"alina.shoaib@vyro.ai")</f>
        <v>alina.shoaib@vyro.ai</v>
      </c>
      <c r="E311" s="730">
        <f>IFERROR(__xludf.DUMMYFUNCTION("""COMPUTED_VALUE"""),45411.0)</f>
        <v>45411</v>
      </c>
      <c r="F311" s="228" t="str">
        <f>IFERROR(__xludf.DUMMYFUNCTION("""COMPUTED_VALUE"""),"Product Manager")</f>
        <v>Product Manager</v>
      </c>
      <c r="G311" s="228" t="str">
        <f>IFERROR(__xludf.DUMMYFUNCTION("""COMPUTED_VALUE"""),"Product")</f>
        <v>Product</v>
      </c>
      <c r="H311" s="228" t="str">
        <f>IFERROR(__xludf.DUMMYFUNCTION("""COMPUTED_VALUE"""),"Saad Ahmed")</f>
        <v>Saad Ahmed</v>
      </c>
      <c r="I311" s="228" t="str">
        <f>IFERROR(__xludf.DUMMYFUNCTION("""COMPUTED_VALUE"""),"Probation")</f>
        <v>Probation</v>
      </c>
      <c r="J311" s="228" t="str">
        <f>IFERROR(__xludf.DUMMYFUNCTION("""COMPUTED_VALUE"""),"Active")</f>
        <v>Active</v>
      </c>
      <c r="K311" s="228" t="str">
        <f>IFERROR(__xludf.DUMMYFUNCTION("""COMPUTED_VALUE"""),"3M")</f>
        <v>3M</v>
      </c>
      <c r="L311" s="732">
        <f>IFERROR(__xludf.DUMMYFUNCTION("""COMPUTED_VALUE"""),45502.0)</f>
        <v>45502</v>
      </c>
      <c r="M311" s="228"/>
      <c r="N311" s="228"/>
      <c r="O311" s="228"/>
      <c r="P311" s="228" t="str">
        <f>IFERROR(__xludf.DUMMYFUNCTION("""COMPUTED_VALUE"""),"3488026402")</f>
        <v>3488026402</v>
      </c>
      <c r="Q311" s="228" t="str">
        <f>IFERROR(__xludf.DUMMYFUNCTION("""COMPUTED_VALUE"""),"37401-2006672-6")</f>
        <v>37401-2006672-6</v>
      </c>
      <c r="R311" s="228" t="str">
        <f>IFERROR(__xludf.DUMMYFUNCTION("""COMPUTED_VALUE"""),"Female")</f>
        <v>Female</v>
      </c>
      <c r="S311" s="228" t="str">
        <f>IFERROR(__xludf.DUMMYFUNCTION("""COMPUTED_VALUE"""),"Habib Bank Limited")</f>
        <v>Habib Bank Limited</v>
      </c>
      <c r="T311" s="228" t="str">
        <f>IFERROR(__xludf.DUMMYFUNCTION("""COMPUTED_VALUE"""),"Alina Shoaib Qureshi")</f>
        <v>Alina Shoaib Qureshi</v>
      </c>
      <c r="U311" s="228" t="str">
        <f>IFERROR(__xludf.DUMMYFUNCTION("""COMPUTED_VALUE"""),"PK74HABB0022927916915903")</f>
        <v>PK74HABB0022927916915903</v>
      </c>
      <c r="V311" s="228" t="str">
        <f>IFERROR(__xludf.DUMMYFUNCTION("""COMPUTED_VALUE"""),"HABBPKKA")</f>
        <v>HABBPKKA</v>
      </c>
      <c r="W311" s="228"/>
      <c r="X311" s="228" t="str">
        <f>IFERROR(__xludf.DUMMYFUNCTION("""COMPUTED_VALUE"""),"Islamabad")</f>
        <v>Islamabad</v>
      </c>
      <c r="Y311" s="730">
        <f>IFERROR(__xludf.DUMMYFUNCTION("""COMPUTED_VALUE"""),36703.0)</f>
        <v>36703</v>
      </c>
      <c r="Z311" s="228" t="str">
        <f>IFERROR(__xludf.DUMMYFUNCTION("""COMPUTED_VALUE"""),"25 Years")</f>
        <v>25 Years</v>
      </c>
      <c r="AA311" s="228" t="str">
        <f>IFERROR(__xludf.DUMMYFUNCTION("""COMPUTED_VALUE"""),"House 578 C4A, Street 6, Allahabad road, westridge 3, rwp")</f>
        <v>House 578 C4A, Street 6, Allahabad road, westridge 3, rwp</v>
      </c>
      <c r="AB311" s="228" t="str">
        <f>IFERROR(__xludf.DUMMYFUNCTION("""COMPUTED_VALUE"""),"Pakistani")</f>
        <v>Pakistani</v>
      </c>
      <c r="AC311" s="228" t="str">
        <f>IFERROR(__xludf.DUMMYFUNCTION("""COMPUTED_VALUE"""),"Single")</f>
        <v>Single</v>
      </c>
      <c r="AD311" s="228"/>
      <c r="AE311" s="228"/>
      <c r="AF311" s="228"/>
      <c r="AG311" s="228" t="str">
        <f>IFERROR(__xludf.DUMMYFUNCTION("""COMPUTED_VALUE"""),"Arifa Anjum")</f>
        <v>Arifa Anjum</v>
      </c>
      <c r="AH311" s="228" t="str">
        <f>IFERROR(__xludf.DUMMYFUNCTION("""COMPUTED_VALUE"""),"Mother")</f>
        <v>Mother</v>
      </c>
      <c r="AI311" s="228" t="str">
        <f>IFERROR(__xludf.DUMMYFUNCTION("""COMPUTED_VALUE"""),"03409188729")</f>
        <v>03409188729</v>
      </c>
      <c r="AJ311" s="228" t="str">
        <f>IFERROR(__xludf.DUMMYFUNCTION("""COMPUTED_VALUE"""),"A+")</f>
        <v>A+</v>
      </c>
      <c r="AK311" s="731" t="str">
        <f>IFERROR(__xludf.DUMMYFUNCTION("""COMPUTED_VALUE"""),"https://www.linkedin.com/in/alina-shoaib/")</f>
        <v>https://www.linkedin.com/in/alina-shoaib/</v>
      </c>
      <c r="AL311" s="228"/>
      <c r="AM311" s="730">
        <f>IFERROR(__xludf.DUMMYFUNCTION("""COMPUTED_VALUE"""),45432.0)</f>
        <v>45432</v>
      </c>
      <c r="AN311" s="228"/>
      <c r="AO311" s="228"/>
      <c r="AP311" s="228" t="str">
        <f>IFERROR(__xludf.DUMMYFUNCTION("""COMPUTED_VALUE"""),"NO")</f>
        <v>NO</v>
      </c>
      <c r="AQ311" s="228" t="str">
        <f>IFERROR(__xludf.DUMMYFUNCTION("""COMPUTED_VALUE"""),"Resigned/Terminated")</f>
        <v>Resigned/Terminated</v>
      </c>
    </row>
    <row r="312">
      <c r="A312" s="228">
        <f>IFERROR(__xludf.DUMMYFUNCTION("""COMPUTED_VALUE"""),5238.0)</f>
        <v>5238</v>
      </c>
      <c r="B312" s="228" t="str">
        <f>IFERROR(__xludf.DUMMYFUNCTION("""COMPUTED_VALUE"""),"Shaheryar Ehsan I Haque")</f>
        <v>Shaheryar Ehsan I Haque</v>
      </c>
      <c r="C312" s="228" t="str">
        <f>IFERROR(__xludf.DUMMYFUNCTION("""COMPUTED_VALUE"""),"shaheryarehsanihaque@gmail.com")</f>
        <v>shaheryarehsanihaque@gmail.com</v>
      </c>
      <c r="D312" s="228" t="str">
        <f>IFERROR(__xludf.DUMMYFUNCTION("""COMPUTED_VALUE"""),"shaheryar.ehsan@vyro.ai")</f>
        <v>shaheryar.ehsan@vyro.ai</v>
      </c>
      <c r="E312" s="730">
        <f>IFERROR(__xludf.DUMMYFUNCTION("""COMPUTED_VALUE"""),45383.0)</f>
        <v>45383</v>
      </c>
      <c r="F312" s="228" t="str">
        <f>IFERROR(__xludf.DUMMYFUNCTION("""COMPUTED_VALUE"""),"AM, Talent &amp; Branding")</f>
        <v>AM, Talent &amp; Branding</v>
      </c>
      <c r="G312" s="228" t="str">
        <f>IFERROR(__xludf.DUMMYFUNCTION("""COMPUTED_VALUE"""),"People &amp; Talent")</f>
        <v>People &amp; Talent</v>
      </c>
      <c r="H312" s="228" t="str">
        <f>IFERROR(__xludf.DUMMYFUNCTION("""COMPUTED_VALUE"""),"Ahmed Abubakar, CEO")</f>
        <v>Ahmed Abubakar, CEO</v>
      </c>
      <c r="I312" s="228" t="str">
        <f>IFERROR(__xludf.DUMMYFUNCTION("""COMPUTED_VALUE"""),"Probation")</f>
        <v>Probation</v>
      </c>
      <c r="J312" s="228" t="str">
        <f>IFERROR(__xludf.DUMMYFUNCTION("""COMPUTED_VALUE"""),"Active")</f>
        <v>Active</v>
      </c>
      <c r="K312" s="228" t="str">
        <f>IFERROR(__xludf.DUMMYFUNCTION("""COMPUTED_VALUE"""),"3M")</f>
        <v>3M</v>
      </c>
      <c r="L312" s="732">
        <f>IFERROR(__xludf.DUMMYFUNCTION("""COMPUTED_VALUE"""),45474.0)</f>
        <v>45474</v>
      </c>
      <c r="M312" s="228"/>
      <c r="N312" s="228"/>
      <c r="O312" s="228"/>
      <c r="P312" s="228" t="str">
        <f>IFERROR(__xludf.DUMMYFUNCTION("""COMPUTED_VALUE"""),"3365545394")</f>
        <v>3365545394</v>
      </c>
      <c r="Q312" s="228" t="str">
        <f>IFERROR(__xludf.DUMMYFUNCTION("""COMPUTED_VALUE"""),"37405-6028477-3")</f>
        <v>37405-6028477-3</v>
      </c>
      <c r="R312" s="228" t="str">
        <f>IFERROR(__xludf.DUMMYFUNCTION("""COMPUTED_VALUE"""),"Male")</f>
        <v>Male</v>
      </c>
      <c r="S312" s="228" t="str">
        <f>IFERROR(__xludf.DUMMYFUNCTION("""COMPUTED_VALUE"""),"UBL")</f>
        <v>UBL</v>
      </c>
      <c r="T312" s="228" t="str">
        <f>IFERROR(__xludf.DUMMYFUNCTION("""COMPUTED_VALUE"""),"Shaheryar Ehsan I Haque")</f>
        <v>Shaheryar Ehsan I Haque</v>
      </c>
      <c r="U312" s="228" t="str">
        <f>IFERROR(__xludf.DUMMYFUNCTION("""COMPUTED_VALUE"""),"PK60UNIL0109000277304182")</f>
        <v>PK60UNIL0109000277304182</v>
      </c>
      <c r="V312" s="228" t="str">
        <f>IFERROR(__xludf.DUMMYFUNCTION("""COMPUTED_VALUE"""),"UNILPKKA741")</f>
        <v>UNILPKKA741</v>
      </c>
      <c r="W312" s="228"/>
      <c r="X312" s="228" t="str">
        <f>IFERROR(__xludf.DUMMYFUNCTION("""COMPUTED_VALUE"""),"Islamabad")</f>
        <v>Islamabad</v>
      </c>
      <c r="Y312" s="730">
        <f>IFERROR(__xludf.DUMMYFUNCTION("""COMPUTED_VALUE"""),36289.0)</f>
        <v>36289</v>
      </c>
      <c r="Z312" s="228" t="str">
        <f>IFERROR(__xludf.DUMMYFUNCTION("""COMPUTED_VALUE"""),"26 Years")</f>
        <v>26 Years</v>
      </c>
      <c r="AA312" s="228" t="str">
        <f>IFERROR(__xludf.DUMMYFUNCTION("""COMPUTED_VALUE"""),"H#81-A Zakria Road Westridge 2 Rawalpindi")</f>
        <v>H#81-A Zakria Road Westridge 2 Rawalpindi</v>
      </c>
      <c r="AB312" s="228" t="str">
        <f>IFERROR(__xludf.DUMMYFUNCTION("""COMPUTED_VALUE"""),"Pakistani")</f>
        <v>Pakistani</v>
      </c>
      <c r="AC312" s="228" t="str">
        <f>IFERROR(__xludf.DUMMYFUNCTION("""COMPUTED_VALUE"""),"Married")</f>
        <v>Married</v>
      </c>
      <c r="AD312" s="228"/>
      <c r="AE312" s="228"/>
      <c r="AF312" s="228"/>
      <c r="AG312" s="228" t="str">
        <f>IFERROR(__xludf.DUMMYFUNCTION("""COMPUTED_VALUE"""),"Vaqar")</f>
        <v>Vaqar</v>
      </c>
      <c r="AH312" s="228" t="str">
        <f>IFERROR(__xludf.DUMMYFUNCTION("""COMPUTED_VALUE"""),"Tehreem Farooqi - Wife")</f>
        <v>Tehreem Farooqi - Wife</v>
      </c>
      <c r="AI312" s="228" t="str">
        <f>IFERROR(__xludf.DUMMYFUNCTION("""COMPUTED_VALUE"""),"03350156335")</f>
        <v>03350156335</v>
      </c>
      <c r="AJ312" s="228" t="str">
        <f>IFERROR(__xludf.DUMMYFUNCTION("""COMPUTED_VALUE"""),"A+")</f>
        <v>A+</v>
      </c>
      <c r="AK312" s="731" t="str">
        <f>IFERROR(__xludf.DUMMYFUNCTION("""COMPUTED_VALUE"""),"https://www.linkedin.com/in/shaheryar-ehsan/")</f>
        <v>https://www.linkedin.com/in/shaheryar-ehsan/</v>
      </c>
      <c r="AL312" s="228"/>
      <c r="AM312" s="730">
        <f>IFERROR(__xludf.DUMMYFUNCTION("""COMPUTED_VALUE"""),45433.0)</f>
        <v>45433</v>
      </c>
      <c r="AN312" s="228"/>
      <c r="AO312" s="228"/>
      <c r="AP312" s="228" t="str">
        <f>IFERROR(__xludf.DUMMYFUNCTION("""COMPUTED_VALUE"""),"NO")</f>
        <v>NO</v>
      </c>
      <c r="AQ312" s="228" t="str">
        <f>IFERROR(__xludf.DUMMYFUNCTION("""COMPUTED_VALUE"""),"Resigned/Terminated")</f>
        <v>Resigned/Terminated</v>
      </c>
    </row>
    <row r="313">
      <c r="A313" s="228">
        <f>IFERROR(__xludf.DUMMYFUNCTION("""COMPUTED_VALUE"""),5218.0)</f>
        <v>5218</v>
      </c>
      <c r="B313" s="228" t="str">
        <f>IFERROR(__xludf.DUMMYFUNCTION("""COMPUTED_VALUE"""),"Salman Khalid")</f>
        <v>Salman Khalid</v>
      </c>
      <c r="C313" s="228" t="str">
        <f>IFERROR(__xludf.DUMMYFUNCTION("""COMPUTED_VALUE"""),"zalmankhalid@gmail.com")</f>
        <v>zalmankhalid@gmail.com</v>
      </c>
      <c r="D313" s="228" t="str">
        <f>IFERROR(__xludf.DUMMYFUNCTION("""COMPUTED_VALUE"""),"salman.khalid@vyro.ai")</f>
        <v>salman.khalid@vyro.ai</v>
      </c>
      <c r="E313" s="730">
        <f>IFERROR(__xludf.DUMMYFUNCTION("""COMPUTED_VALUE"""),45313.0)</f>
        <v>45313</v>
      </c>
      <c r="F313" s="228" t="str">
        <f>IFERROR(__xludf.DUMMYFUNCTION("""COMPUTED_VALUE"""),"Software Engineer II")</f>
        <v>Software Engineer II</v>
      </c>
      <c r="G313" s="228" t="str">
        <f>IFERROR(__xludf.DUMMYFUNCTION("""COMPUTED_VALUE"""),"iOS")</f>
        <v>iOS</v>
      </c>
      <c r="H313" s="228" t="str">
        <f>IFERROR(__xludf.DUMMYFUNCTION("""COMPUTED_VALUE"""),"Ubadah Jafry")</f>
        <v>Ubadah Jafry</v>
      </c>
      <c r="I313" s="228" t="str">
        <f>IFERROR(__xludf.DUMMYFUNCTION("""COMPUTED_VALUE"""),"Permanent")</f>
        <v>Permanent</v>
      </c>
      <c r="J313" s="228" t="str">
        <f>IFERROR(__xludf.DUMMYFUNCTION("""COMPUTED_VALUE"""),"Active")</f>
        <v>Active</v>
      </c>
      <c r="K313" s="228" t="str">
        <f>IFERROR(__xludf.DUMMYFUNCTION("""COMPUTED_VALUE"""),"3M")</f>
        <v>3M</v>
      </c>
      <c r="L313" s="732">
        <f>IFERROR(__xludf.DUMMYFUNCTION("""COMPUTED_VALUE"""),45404.0)</f>
        <v>45404</v>
      </c>
      <c r="M313" s="228"/>
      <c r="N313" s="228"/>
      <c r="O313" s="228"/>
      <c r="P313" s="228" t="str">
        <f>IFERROR(__xludf.DUMMYFUNCTION("""COMPUTED_VALUE"""),"3334498002")</f>
        <v>3334498002</v>
      </c>
      <c r="Q313" s="228" t="str">
        <f>IFERROR(__xludf.DUMMYFUNCTION("""COMPUTED_VALUE"""),"34603-0435168-5")</f>
        <v>34603-0435168-5</v>
      </c>
      <c r="R313" s="228" t="str">
        <f>IFERROR(__xludf.DUMMYFUNCTION("""COMPUTED_VALUE"""),"Male")</f>
        <v>Male</v>
      </c>
      <c r="S313" s="228" t="str">
        <f>IFERROR(__xludf.DUMMYFUNCTION("""COMPUTED_VALUE"""),"Meezan bank")</f>
        <v>Meezan bank</v>
      </c>
      <c r="T313" s="228" t="str">
        <f>IFERROR(__xludf.DUMMYFUNCTION("""COMPUTED_VALUE"""),"Salman Khalid")</f>
        <v>Salman Khalid</v>
      </c>
      <c r="U313" s="228" t="str">
        <f>IFERROR(__xludf.DUMMYFUNCTION("""COMPUTED_VALUE"""),"PK31MEZN0002050103261444")</f>
        <v>PK31MEZN0002050103261444</v>
      </c>
      <c r="V313" s="228"/>
      <c r="W313" s="228"/>
      <c r="X313" s="228" t="str">
        <f>IFERROR(__xludf.DUMMYFUNCTION("""COMPUTED_VALUE"""),"Lahore")</f>
        <v>Lahore</v>
      </c>
      <c r="Y313" s="730">
        <f>IFERROR(__xludf.DUMMYFUNCTION("""COMPUTED_VALUE"""),33003.0)</f>
        <v>33003</v>
      </c>
      <c r="Z313" s="228" t="str">
        <f>IFERROR(__xludf.DUMMYFUNCTION("""COMPUTED_VALUE"""),"35 Years")</f>
        <v>35 Years</v>
      </c>
      <c r="AA313" s="228" t="str">
        <f>IFERROR(__xludf.DUMMYFUNCTION("""COMPUTED_VALUE"""),"House 244, street 92, K block, DHA Lahore")</f>
        <v>House 244, street 92, K block, DHA Lahore</v>
      </c>
      <c r="AB313" s="228" t="str">
        <f>IFERROR(__xludf.DUMMYFUNCTION("""COMPUTED_VALUE"""),"Pakistani")</f>
        <v>Pakistani</v>
      </c>
      <c r="AC313" s="228" t="str">
        <f>IFERROR(__xludf.DUMMYFUNCTION("""COMPUTED_VALUE"""),"Married")</f>
        <v>Married</v>
      </c>
      <c r="AD313" s="228"/>
      <c r="AE313" s="228"/>
      <c r="AF313" s="228"/>
      <c r="AG313" s="228" t="str">
        <f>IFERROR(__xludf.DUMMYFUNCTION("""COMPUTED_VALUE"""),"Khalid Masood")</f>
        <v>Khalid Masood</v>
      </c>
      <c r="AH313" s="228" t="str">
        <f>IFERROR(__xludf.DUMMYFUNCTION("""COMPUTED_VALUE"""),"Brother (Faizan Khalid)")</f>
        <v>Brother (Faizan Khalid)</v>
      </c>
      <c r="AI313" s="228" t="str">
        <f>IFERROR(__xludf.DUMMYFUNCTION("""COMPUTED_VALUE"""),"3421501920")</f>
        <v>3421501920</v>
      </c>
      <c r="AJ313" s="228" t="str">
        <f>IFERROR(__xludf.DUMMYFUNCTION("""COMPUTED_VALUE"""),"O+")</f>
        <v>O+</v>
      </c>
      <c r="AK313" s="731" t="str">
        <f>IFERROR(__xludf.DUMMYFUNCTION("""COMPUTED_VALUE"""),"https://www.linkedin.com/in/salmankhalid66/")</f>
        <v>https://www.linkedin.com/in/salmankhalid66/</v>
      </c>
      <c r="AL313" s="228"/>
      <c r="AM313" s="730">
        <f>IFERROR(__xludf.DUMMYFUNCTION("""COMPUTED_VALUE"""),45434.0)</f>
        <v>45434</v>
      </c>
      <c r="AN313" s="228"/>
      <c r="AO313" s="228"/>
      <c r="AP313" s="228" t="str">
        <f>IFERROR(__xludf.DUMMYFUNCTION("""COMPUTED_VALUE"""),"NO")</f>
        <v>NO</v>
      </c>
      <c r="AQ313" s="228" t="str">
        <f>IFERROR(__xludf.DUMMYFUNCTION("""COMPUTED_VALUE"""),"Resigned/Terminated")</f>
        <v>Resigned/Terminated</v>
      </c>
    </row>
    <row r="314">
      <c r="A314" s="228">
        <f>IFERROR(__xludf.DUMMYFUNCTION("""COMPUTED_VALUE"""),5232.0)</f>
        <v>5232</v>
      </c>
      <c r="B314" s="228" t="str">
        <f>IFERROR(__xludf.DUMMYFUNCTION("""COMPUTED_VALUE"""),"Eeman Irfan Kiyani")</f>
        <v>Eeman Irfan Kiyani</v>
      </c>
      <c r="C314" s="228" t="str">
        <f>IFERROR(__xludf.DUMMYFUNCTION("""COMPUTED_VALUE"""),"kukukiyani@gmail.com")</f>
        <v>kukukiyani@gmail.com</v>
      </c>
      <c r="D314" s="228" t="str">
        <f>IFERROR(__xludf.DUMMYFUNCTION("""COMPUTED_VALUE"""),"eeman.kiyani@vyro.ai")</f>
        <v>eeman.kiyani@vyro.ai</v>
      </c>
      <c r="E314" s="730">
        <f>IFERROR(__xludf.DUMMYFUNCTION("""COMPUTED_VALUE"""),45348.0)</f>
        <v>45348</v>
      </c>
      <c r="F314" s="228" t="str">
        <f>IFERROR(__xludf.DUMMYFUNCTION("""COMPUTED_VALUE"""),"Content Intern")</f>
        <v>Content Intern</v>
      </c>
      <c r="G314" s="228" t="str">
        <f>IFERROR(__xludf.DUMMYFUNCTION("""COMPUTED_VALUE"""),"Content")</f>
        <v>Content</v>
      </c>
      <c r="H314" s="228" t="str">
        <f>IFERROR(__xludf.DUMMYFUNCTION("""COMPUTED_VALUE"""),"Ali Ayub")</f>
        <v>Ali Ayub</v>
      </c>
      <c r="I314" s="228" t="str">
        <f>IFERROR(__xludf.DUMMYFUNCTION("""COMPUTED_VALUE"""),"Intern")</f>
        <v>Intern</v>
      </c>
      <c r="J314" s="228" t="str">
        <f>IFERROR(__xludf.DUMMYFUNCTION("""COMPUTED_VALUE"""),"Active")</f>
        <v>Active</v>
      </c>
      <c r="K314" s="228" t="str">
        <f>IFERROR(__xludf.DUMMYFUNCTION("""COMPUTED_VALUE"""),"3M")</f>
        <v>3M</v>
      </c>
      <c r="L314" s="732">
        <f>IFERROR(__xludf.DUMMYFUNCTION("""COMPUTED_VALUE"""),45438.0)</f>
        <v>45438</v>
      </c>
      <c r="M314" s="228"/>
      <c r="N314" s="228"/>
      <c r="O314" s="228"/>
      <c r="P314" s="228" t="str">
        <f>IFERROR(__xludf.DUMMYFUNCTION("""COMPUTED_VALUE"""),"3216117925")</f>
        <v>3216117925</v>
      </c>
      <c r="Q314" s="228" t="str">
        <f>IFERROR(__xludf.DUMMYFUNCTION("""COMPUTED_VALUE"""),"37405-4158010-2")</f>
        <v>37405-4158010-2</v>
      </c>
      <c r="R314" s="228" t="str">
        <f>IFERROR(__xludf.DUMMYFUNCTION("""COMPUTED_VALUE"""),"Female")</f>
        <v>Female</v>
      </c>
      <c r="S314" s="228" t="str">
        <f>IFERROR(__xludf.DUMMYFUNCTION("""COMPUTED_VALUE"""),"Askari Bank")</f>
        <v>Askari Bank</v>
      </c>
      <c r="T314" s="228" t="str">
        <f>IFERROR(__xludf.DUMMYFUNCTION("""COMPUTED_VALUE"""),"Eeman Irfan Kiyani")</f>
        <v>Eeman Irfan Kiyani</v>
      </c>
      <c r="U314" s="228" t="str">
        <f>IFERROR(__xludf.DUMMYFUNCTION("""COMPUTED_VALUE"""),"PK14ASCM0007350200023961")</f>
        <v>PK14ASCM0007350200023961</v>
      </c>
      <c r="V314" s="228"/>
      <c r="W314" s="228"/>
      <c r="X314" s="228" t="str">
        <f>IFERROR(__xludf.DUMMYFUNCTION("""COMPUTED_VALUE"""),"Islamabad")</f>
        <v>Islamabad</v>
      </c>
      <c r="Y314" s="730">
        <f>IFERROR(__xludf.DUMMYFUNCTION("""COMPUTED_VALUE"""),37802.0)</f>
        <v>37802</v>
      </c>
      <c r="Z314" s="228" t="str">
        <f>IFERROR(__xludf.DUMMYFUNCTION("""COMPUTED_VALUE"""),"22 Years")</f>
        <v>22 Years</v>
      </c>
      <c r="AA314" s="228" t="str">
        <f>IFERROR(__xludf.DUMMYFUNCTION("""COMPUTED_VALUE"""),"House number 250, road 1A, Bahria Springs, Phase 7,  Bahria Town, Rawalpindi")</f>
        <v>House number 250, road 1A, Bahria Springs, Phase 7,  Bahria Town, Rawalpindi</v>
      </c>
      <c r="AB314" s="228" t="str">
        <f>IFERROR(__xludf.DUMMYFUNCTION("""COMPUTED_VALUE"""),"Pakistani")</f>
        <v>Pakistani</v>
      </c>
      <c r="AC314" s="228" t="str">
        <f>IFERROR(__xludf.DUMMYFUNCTION("""COMPUTED_VALUE"""),"Single")</f>
        <v>Single</v>
      </c>
      <c r="AD314" s="228"/>
      <c r="AE314" s="228"/>
      <c r="AF314" s="228"/>
      <c r="AG314" s="228" t="str">
        <f>IFERROR(__xludf.DUMMYFUNCTION("""COMPUTED_VALUE"""),"Irfan Mushtaq Kiyani")</f>
        <v>Irfan Mushtaq Kiyani</v>
      </c>
      <c r="AH314" s="228" t="str">
        <f>IFERROR(__xludf.DUMMYFUNCTION("""COMPUTED_VALUE"""),"Mother")</f>
        <v>Mother</v>
      </c>
      <c r="AI314" s="228" t="str">
        <f>IFERROR(__xludf.DUMMYFUNCTION("""COMPUTED_VALUE"""),"03226189868")</f>
        <v>03226189868</v>
      </c>
      <c r="AJ314" s="228" t="str">
        <f>IFERROR(__xludf.DUMMYFUNCTION("""COMPUTED_VALUE"""),"B+")</f>
        <v>B+</v>
      </c>
      <c r="AK314" s="731" t="str">
        <f>IFERROR(__xludf.DUMMYFUNCTION("""COMPUTED_VALUE"""),"www.linkedin.com/in/eemankiyani")</f>
        <v>www.linkedin.com/in/eemankiyani</v>
      </c>
      <c r="AL314" s="228"/>
      <c r="AM314" s="730">
        <f>IFERROR(__xludf.DUMMYFUNCTION("""COMPUTED_VALUE"""),45438.0)</f>
        <v>45438</v>
      </c>
      <c r="AN314" s="228"/>
      <c r="AO314" s="228"/>
      <c r="AP314" s="228" t="str">
        <f>IFERROR(__xludf.DUMMYFUNCTION("""COMPUTED_VALUE"""),"NO")</f>
        <v>NO</v>
      </c>
      <c r="AQ314" s="228" t="str">
        <f>IFERROR(__xludf.DUMMYFUNCTION("""COMPUTED_VALUE"""),"Resigned/Terminated")</f>
        <v>Resigned/Terminated</v>
      </c>
    </row>
    <row r="315">
      <c r="A315" s="228">
        <f>IFERROR(__xludf.DUMMYFUNCTION("""COMPUTED_VALUE"""),5007.0)</f>
        <v>5007</v>
      </c>
      <c r="B315" s="228" t="str">
        <f>IFERROR(__xludf.DUMMYFUNCTION("""COMPUTED_VALUE"""),"Jalees Mukarram")</f>
        <v>Jalees Mukarram</v>
      </c>
      <c r="C315" s="228" t="str">
        <f>IFERROR(__xludf.DUMMYFUNCTION("""COMPUTED_VALUE"""),"jaleesmukarram@gmail.com")</f>
        <v>jaleesmukarram@gmail.com</v>
      </c>
      <c r="D315" s="228" t="str">
        <f>IFERROR(__xludf.DUMMYFUNCTION("""COMPUTED_VALUE"""),"jalees.mukarram@vyro.ai")</f>
        <v>jalees.mukarram@vyro.ai</v>
      </c>
      <c r="E315" s="730">
        <f>IFERROR(__xludf.DUMMYFUNCTION("""COMPUTED_VALUE"""),44125.0)</f>
        <v>44125</v>
      </c>
      <c r="F315" s="228" t="str">
        <f>IFERROR(__xludf.DUMMYFUNCTION("""COMPUTED_VALUE"""),"Senior Software Engineer")</f>
        <v>Senior Software Engineer</v>
      </c>
      <c r="G315" s="228" t="str">
        <f>IFERROR(__xludf.DUMMYFUNCTION("""COMPUTED_VALUE"""),"Research &amp; Development")</f>
        <v>Research &amp; Development</v>
      </c>
      <c r="H315" s="228" t="str">
        <f>IFERROR(__xludf.DUMMYFUNCTION("""COMPUTED_VALUE"""),"Ahmed Abubakar, CEO")</f>
        <v>Ahmed Abubakar, CEO</v>
      </c>
      <c r="I315" s="228" t="str">
        <f>IFERROR(__xludf.DUMMYFUNCTION("""COMPUTED_VALUE"""),"Permanent")</f>
        <v>Permanent</v>
      </c>
      <c r="J315" s="228" t="str">
        <f>IFERROR(__xludf.DUMMYFUNCTION("""COMPUTED_VALUE"""),"Active")</f>
        <v>Active</v>
      </c>
      <c r="K315" s="228"/>
      <c r="L315" s="228"/>
      <c r="M315" s="228"/>
      <c r="N315" s="228"/>
      <c r="O315" s="228"/>
      <c r="P315" s="228" t="str">
        <f>IFERROR(__xludf.DUMMYFUNCTION("""COMPUTED_VALUE"""),"03473413877")</f>
        <v>03473413877</v>
      </c>
      <c r="Q315" s="228" t="str">
        <f>IFERROR(__xludf.DUMMYFUNCTION("""COMPUTED_VALUE"""),"31201-9892348-9")</f>
        <v>31201-9892348-9</v>
      </c>
      <c r="R315" s="228" t="str">
        <f>IFERROR(__xludf.DUMMYFUNCTION("""COMPUTED_VALUE"""),"Male")</f>
        <v>Male</v>
      </c>
      <c r="S315" s="228" t="str">
        <f>IFERROR(__xludf.DUMMYFUNCTION("""COMPUTED_VALUE"""),"MCB")</f>
        <v>MCB</v>
      </c>
      <c r="T315" s="228"/>
      <c r="U315" s="228" t="str">
        <f>IFERROR(__xludf.DUMMYFUNCTION("""COMPUTED_VALUE"""),"PK57MUCB1167638011001571")</f>
        <v>PK57MUCB1167638011001571</v>
      </c>
      <c r="V315" s="228"/>
      <c r="W315" s="228"/>
      <c r="X315" s="228" t="str">
        <f>IFERROR(__xludf.DUMMYFUNCTION("""COMPUTED_VALUE"""),"Remote")</f>
        <v>Remote</v>
      </c>
      <c r="Y315" s="730">
        <f>IFERROR(__xludf.DUMMYFUNCTION("""COMPUTED_VALUE"""),37210.0)</f>
        <v>37210</v>
      </c>
      <c r="Z315" s="228" t="str">
        <f>IFERROR(__xludf.DUMMYFUNCTION("""COMPUTED_VALUE"""),"23 Years")</f>
        <v>23 Years</v>
      </c>
      <c r="AA315" s="228" t="str">
        <f>IFERROR(__xludf.DUMMYFUNCTION("""COMPUTED_VALUE"""),"Civil Judge House, Judges Colony, Khanewal")</f>
        <v>Civil Judge House, Judges Colony, Khanewal</v>
      </c>
      <c r="AB315" s="228" t="str">
        <f>IFERROR(__xludf.DUMMYFUNCTION("""COMPUTED_VALUE"""),"Pakistani")</f>
        <v>Pakistani</v>
      </c>
      <c r="AC315" s="228" t="str">
        <f>IFERROR(__xludf.DUMMYFUNCTION("""COMPUTED_VALUE"""),"Single")</f>
        <v>Single</v>
      </c>
      <c r="AD315" s="228"/>
      <c r="AE315" s="228"/>
      <c r="AF315" s="228"/>
      <c r="AG315" s="228" t="str">
        <f>IFERROR(__xludf.DUMMYFUNCTION("""COMPUTED_VALUE"""),"Mukarram Hussain")</f>
        <v>Mukarram Hussain</v>
      </c>
      <c r="AH315" s="228" t="str">
        <f>IFERROR(__xludf.DUMMYFUNCTION("""COMPUTED_VALUE"""),"Father")</f>
        <v>Father</v>
      </c>
      <c r="AI315" s="228" t="str">
        <f>IFERROR(__xludf.DUMMYFUNCTION("""COMPUTED_VALUE"""),"03017732419")</f>
        <v>03017732419</v>
      </c>
      <c r="AJ315" s="228"/>
      <c r="AK315" s="731" t="str">
        <f>IFERROR(__xludf.DUMMYFUNCTION("""COMPUTED_VALUE"""),"http://www.linkedin.com/in/jalees-mukarram")</f>
        <v>http://www.linkedin.com/in/jalees-mukarram</v>
      </c>
      <c r="AL315" s="228"/>
      <c r="AM315" s="730">
        <f>IFERROR(__xludf.DUMMYFUNCTION("""COMPUTED_VALUE"""),45442.0)</f>
        <v>45442</v>
      </c>
      <c r="AN315" s="228"/>
      <c r="AO315" s="228"/>
      <c r="AP315" s="228" t="str">
        <f>IFERROR(__xludf.DUMMYFUNCTION("""COMPUTED_VALUE"""),"NO")</f>
        <v>NO</v>
      </c>
      <c r="AQ315" s="228" t="str">
        <f>IFERROR(__xludf.DUMMYFUNCTION("""COMPUTED_VALUE"""),"Resigned/Terminated")</f>
        <v>Resigned/Terminated</v>
      </c>
    </row>
    <row r="316">
      <c r="A316" s="228">
        <f>IFERROR(__xludf.DUMMYFUNCTION("""COMPUTED_VALUE"""),5243.0)</f>
        <v>5243</v>
      </c>
      <c r="B316" s="228" t="str">
        <f>IFERROR(__xludf.DUMMYFUNCTION("""COMPUTED_VALUE"""),"Abdul Rehan Najam")</f>
        <v>Abdul Rehan Najam</v>
      </c>
      <c r="C316" s="228" t="str">
        <f>IFERROR(__xludf.DUMMYFUNCTION("""COMPUTED_VALUE"""),"rehannajam2@gmail.com")</f>
        <v>rehannajam2@gmail.com</v>
      </c>
      <c r="D316" s="228" t="str">
        <f>IFERROR(__xludf.DUMMYFUNCTION("""COMPUTED_VALUE"""),"abdul.rehan@vyro.ai")</f>
        <v>abdul.rehan@vyro.ai</v>
      </c>
      <c r="E316" s="730">
        <f>IFERROR(__xludf.DUMMYFUNCTION("""COMPUTED_VALUE"""),45362.0)</f>
        <v>45362</v>
      </c>
      <c r="F316" s="228" t="str">
        <f>IFERROR(__xludf.DUMMYFUNCTION("""COMPUTED_VALUE"""),"Software Engineer I")</f>
        <v>Software Engineer I</v>
      </c>
      <c r="G316" s="228" t="str">
        <f>IFERROR(__xludf.DUMMYFUNCTION("""COMPUTED_VALUE"""),"Tech")</f>
        <v>Tech</v>
      </c>
      <c r="H316" s="228" t="str">
        <f>IFERROR(__xludf.DUMMYFUNCTION("""COMPUTED_VALUE"""),"Product Manager")</f>
        <v>Product Manager</v>
      </c>
      <c r="I316" s="228" t="str">
        <f>IFERROR(__xludf.DUMMYFUNCTION("""COMPUTED_VALUE"""),"Probation")</f>
        <v>Probation</v>
      </c>
      <c r="J316" s="228" t="str">
        <f>IFERROR(__xludf.DUMMYFUNCTION("""COMPUTED_VALUE"""),"Active")</f>
        <v>Active</v>
      </c>
      <c r="K316" s="228" t="str">
        <f>IFERROR(__xludf.DUMMYFUNCTION("""COMPUTED_VALUE"""),"3M")</f>
        <v>3M</v>
      </c>
      <c r="L316" s="732">
        <f>IFERROR(__xludf.DUMMYFUNCTION("""COMPUTED_VALUE"""),45454.0)</f>
        <v>45454</v>
      </c>
      <c r="M316" s="228"/>
      <c r="N316" s="228"/>
      <c r="O316" s="228"/>
      <c r="P316" s="228" t="str">
        <f>IFERROR(__xludf.DUMMYFUNCTION("""COMPUTED_VALUE"""),"3025493447")</f>
        <v>3025493447</v>
      </c>
      <c r="Q316" s="228" t="str">
        <f>IFERROR(__xludf.DUMMYFUNCTION("""COMPUTED_VALUE"""),"61101-8333683-7")</f>
        <v>61101-8333683-7</v>
      </c>
      <c r="R316" s="228" t="str">
        <f>IFERROR(__xludf.DUMMYFUNCTION("""COMPUTED_VALUE"""),"Male")</f>
        <v>Male</v>
      </c>
      <c r="S316" s="228" t="str">
        <f>IFERROR(__xludf.DUMMYFUNCTION("""COMPUTED_VALUE"""),"Bank Al Habib Limited")</f>
        <v>Bank Al Habib Limited</v>
      </c>
      <c r="T316" s="228" t="str">
        <f>IFERROR(__xludf.DUMMYFUNCTION("""COMPUTED_VALUE"""),"Abdul Rehan Najam")</f>
        <v>Abdul Rehan Najam</v>
      </c>
      <c r="U316" s="228" t="str">
        <f>IFERROR(__xludf.DUMMYFUNCTION("""COMPUTED_VALUE"""),"PK91BAHL0185098100172901")</f>
        <v>PK91BAHL0185098100172901</v>
      </c>
      <c r="V316" s="228" t="str">
        <f>IFERROR(__xludf.DUMMYFUNCTION("""COMPUTED_VALUE"""),"BAHLPKKAXXX")</f>
        <v>BAHLPKKAXXX</v>
      </c>
      <c r="W316" s="228"/>
      <c r="X316" s="228" t="str">
        <f>IFERROR(__xludf.DUMMYFUNCTION("""COMPUTED_VALUE"""),"Islamabad")</f>
        <v>Islamabad</v>
      </c>
      <c r="Y316" s="730">
        <f>IFERROR(__xludf.DUMMYFUNCTION("""COMPUTED_VALUE"""),37282.0)</f>
        <v>37282</v>
      </c>
      <c r="Z316" s="228" t="str">
        <f>IFERROR(__xludf.DUMMYFUNCTION("""COMPUTED_VALUE"""),"23 Years")</f>
        <v>23 Years</v>
      </c>
      <c r="AA316" s="228" t="str">
        <f>IFERROR(__xludf.DUMMYFUNCTION("""COMPUTED_VALUE"""),"E-11/4, st.no 26, Hamid Apartment, Islamabad")</f>
        <v>E-11/4, st.no 26, Hamid Apartment, Islamabad</v>
      </c>
      <c r="AB316" s="228" t="str">
        <f>IFERROR(__xludf.DUMMYFUNCTION("""COMPUTED_VALUE"""),"Pakistani")</f>
        <v>Pakistani</v>
      </c>
      <c r="AC316" s="228" t="str">
        <f>IFERROR(__xludf.DUMMYFUNCTION("""COMPUTED_VALUE"""),"Single")</f>
        <v>Single</v>
      </c>
      <c r="AD316" s="228"/>
      <c r="AE316" s="228"/>
      <c r="AF316" s="228"/>
      <c r="AG316" s="228" t="str">
        <f>IFERROR(__xludf.DUMMYFUNCTION("""COMPUTED_VALUE"""),"Najam Rafiq")</f>
        <v>Najam Rafiq</v>
      </c>
      <c r="AH316" s="228" t="str">
        <f>IFERROR(__xludf.DUMMYFUNCTION("""COMPUTED_VALUE"""),"N/A")</f>
        <v>N/A</v>
      </c>
      <c r="AI316" s="228" t="str">
        <f>IFERROR(__xludf.DUMMYFUNCTION("""COMPUTED_VALUE"""),"N/A")</f>
        <v>N/A</v>
      </c>
      <c r="AJ316" s="228" t="str">
        <f>IFERROR(__xludf.DUMMYFUNCTION("""COMPUTED_VALUE"""),"B+")</f>
        <v>B+</v>
      </c>
      <c r="AK316" s="731" t="str">
        <f>IFERROR(__xludf.DUMMYFUNCTION("""COMPUTED_VALUE"""),"https://www.linkedin.com/in/abrehan")</f>
        <v>https://www.linkedin.com/in/abrehan</v>
      </c>
      <c r="AL316" s="228"/>
      <c r="AM316" s="730">
        <f>IFERROR(__xludf.DUMMYFUNCTION("""COMPUTED_VALUE"""),45443.0)</f>
        <v>45443</v>
      </c>
      <c r="AN316" s="228"/>
      <c r="AO316" s="228"/>
      <c r="AP316" s="228" t="str">
        <f>IFERROR(__xludf.DUMMYFUNCTION("""COMPUTED_VALUE"""),"NO")</f>
        <v>NO</v>
      </c>
      <c r="AQ316" s="228" t="str">
        <f>IFERROR(__xludf.DUMMYFUNCTION("""COMPUTED_VALUE"""),"Resigned/Terminated")</f>
        <v>Resigned/Terminated</v>
      </c>
    </row>
    <row r="317">
      <c r="A317" s="228"/>
      <c r="B317" s="228" t="str">
        <f>IFERROR(__xludf.DUMMYFUNCTION("""COMPUTED_VALUE"""),"Arwah Muhammad Jawwad")</f>
        <v>Arwah Muhammad Jawwad</v>
      </c>
      <c r="C317" s="228" t="str">
        <f>IFERROR(__xludf.DUMMYFUNCTION("""COMPUTED_VALUE"""),"arwah.jawwad.aj@gmail.com")</f>
        <v>arwah.jawwad.aj@gmail.com</v>
      </c>
      <c r="D317" s="228"/>
      <c r="E317" s="730">
        <f>IFERROR(__xludf.DUMMYFUNCTION("""COMPUTED_VALUE"""),44228.0)</f>
        <v>44228</v>
      </c>
      <c r="F317" s="228" t="str">
        <f>IFERROR(__xludf.DUMMYFUNCTION("""COMPUTED_VALUE"""),"Project Management Intern")</f>
        <v>Project Management Intern</v>
      </c>
      <c r="G317" s="228" t="str">
        <f>IFERROR(__xludf.DUMMYFUNCTION("""COMPUTED_VALUE"""),"BP")</f>
        <v>BP</v>
      </c>
      <c r="H317" s="228" t="str">
        <f>IFERROR(__xludf.DUMMYFUNCTION("""COMPUTED_VALUE"""),"Z/A")</f>
        <v>Z/A</v>
      </c>
      <c r="I317" s="228" t="str">
        <f>IFERROR(__xludf.DUMMYFUNCTION("""COMPUTED_VALUE"""),"Intern")</f>
        <v>Intern</v>
      </c>
      <c r="J317" s="228"/>
      <c r="K317" s="228" t="str">
        <f>IFERROR(__xludf.DUMMYFUNCTION("""COMPUTED_VALUE"""),"3 M")</f>
        <v>3 M</v>
      </c>
      <c r="L317" s="228"/>
      <c r="M317" s="228"/>
      <c r="N317" s="228"/>
      <c r="O317" s="228"/>
      <c r="P317" s="228" t="str">
        <f>IFERROR(__xludf.DUMMYFUNCTION("""COMPUTED_VALUE"""),"0320-7417459")</f>
        <v>0320-7417459</v>
      </c>
      <c r="Q317" s="228" t="str">
        <f>IFERROR(__xludf.DUMMYFUNCTION("""COMPUTED_VALUE"""),"34603-0650161-2")</f>
        <v>34603-0650161-2</v>
      </c>
      <c r="R317" s="228" t="str">
        <f>IFERROR(__xludf.DUMMYFUNCTION("""COMPUTED_VALUE"""),"Female")</f>
        <v>Female</v>
      </c>
      <c r="S317" s="228" t="str">
        <f>IFERROR(__xludf.DUMMYFUNCTION("""COMPUTED_VALUE"""),"-------")</f>
        <v>-------</v>
      </c>
      <c r="T317" s="228"/>
      <c r="U317" s="228"/>
      <c r="V317" s="228"/>
      <c r="W317" s="228"/>
      <c r="X317" s="228"/>
      <c r="Y317" s="730">
        <f>IFERROR(__xludf.DUMMYFUNCTION("""COMPUTED_VALUE"""),36432.0)</f>
        <v>36432</v>
      </c>
      <c r="Z317" s="228" t="str">
        <f>IFERROR(__xludf.DUMMYFUNCTION("""COMPUTED_VALUE"""),"25 Years")</f>
        <v>25 Years</v>
      </c>
      <c r="AA317" s="228" t="str">
        <f>IFERROR(__xludf.DUMMYFUNCTION("""COMPUTED_VALUE"""),"New Era Girls Hostel, H-13, Islamabad")</f>
        <v>New Era Girls Hostel, H-13, Islamabad</v>
      </c>
      <c r="AB317" s="228"/>
      <c r="AC317" s="228" t="str">
        <f>IFERROR(__xludf.DUMMYFUNCTION("""COMPUTED_VALUE"""),"Single")</f>
        <v>Single</v>
      </c>
      <c r="AD317" s="228"/>
      <c r="AE317" s="228"/>
      <c r="AF317" s="228"/>
      <c r="AG317" s="228" t="str">
        <f>IFERROR(__xludf.DUMMYFUNCTION("""COMPUTED_VALUE"""),"Tahmeena Nosheen")</f>
        <v>Tahmeena Nosheen</v>
      </c>
      <c r="AH317" s="228" t="str">
        <f>IFERROR(__xludf.DUMMYFUNCTION("""COMPUTED_VALUE"""),"Mother")</f>
        <v>Mother</v>
      </c>
      <c r="AI317" s="228" t="str">
        <f>IFERROR(__xludf.DUMMYFUNCTION("""COMPUTED_VALUE"""),"0322-8954346")</f>
        <v>0322-8954346</v>
      </c>
      <c r="AJ317" s="228" t="str">
        <f>IFERROR(__xludf.DUMMYFUNCTION("""COMPUTED_VALUE"""),"B+")</f>
        <v>B+</v>
      </c>
      <c r="AK317" s="731" t="str">
        <f>IFERROR(__xludf.DUMMYFUNCTION("""COMPUTED_VALUE"""),"https://www.linkedin.com/in/arwah-jawwad")</f>
        <v>https://www.linkedin.com/in/arwah-jawwad</v>
      </c>
      <c r="AL317" s="228"/>
      <c r="AM317" s="228"/>
      <c r="AN317" s="228"/>
      <c r="AO317" s="228"/>
      <c r="AP317" s="228" t="str">
        <f>IFERROR(__xludf.DUMMYFUNCTION("""COMPUTED_VALUE"""),"NO")</f>
        <v>NO</v>
      </c>
      <c r="AQ317" s="228" t="str">
        <f>IFERROR(__xludf.DUMMYFUNCTION("""COMPUTED_VALUE"""),"Resigned/Terminated")</f>
        <v>Resigned/Terminated</v>
      </c>
    </row>
    <row r="318">
      <c r="A318" s="228"/>
      <c r="B318" s="228" t="str">
        <f>IFERROR(__xludf.DUMMYFUNCTION("""COMPUTED_VALUE"""),"Hamza Iftikhar")</f>
        <v>Hamza Iftikhar</v>
      </c>
      <c r="C318" s="228" t="str">
        <f>IFERROR(__xludf.DUMMYFUNCTION("""COMPUTED_VALUE"""),"bscs14.47@gmail.com")</f>
        <v>bscs14.47@gmail.com</v>
      </c>
      <c r="D318" s="228"/>
      <c r="E318" s="730">
        <f>IFERROR(__xludf.DUMMYFUNCTION("""COMPUTED_VALUE"""),44186.0)</f>
        <v>44186</v>
      </c>
      <c r="F318" s="228" t="str">
        <f>IFERROR(__xludf.DUMMYFUNCTION("""COMPUTED_VALUE"""),"UI/UX Designer")</f>
        <v>UI/UX Designer</v>
      </c>
      <c r="G318" s="228" t="str">
        <f>IFERROR(__xludf.DUMMYFUNCTION("""COMPUTED_VALUE"""),"Design")</f>
        <v>Design</v>
      </c>
      <c r="H318" s="228" t="str">
        <f>IFERROR(__xludf.DUMMYFUNCTION("""COMPUTED_VALUE"""),"Z/A")</f>
        <v>Z/A</v>
      </c>
      <c r="I318" s="228" t="str">
        <f>IFERROR(__xludf.DUMMYFUNCTION("""COMPUTED_VALUE"""),"Permanent")</f>
        <v>Permanent</v>
      </c>
      <c r="J318" s="228"/>
      <c r="K318" s="228" t="str">
        <f>IFERROR(__xludf.DUMMYFUNCTION("""COMPUTED_VALUE"""),"3 M")</f>
        <v>3 M</v>
      </c>
      <c r="L318" s="228"/>
      <c r="M318" s="228"/>
      <c r="N318" s="228"/>
      <c r="O318" s="228"/>
      <c r="P318" s="228" t="str">
        <f>IFERROR(__xludf.DUMMYFUNCTION("""COMPUTED_VALUE"""),"0307-8656150")</f>
        <v>0307-8656150</v>
      </c>
      <c r="Q318" s="228" t="str">
        <f>IFERROR(__xludf.DUMMYFUNCTION("""COMPUTED_VALUE"""),"37405-11529639")</f>
        <v>37405-11529639</v>
      </c>
      <c r="R318" s="228" t="str">
        <f>IFERROR(__xludf.DUMMYFUNCTION("""COMPUTED_VALUE"""),"Male")</f>
        <v>Male</v>
      </c>
      <c r="S318" s="228" t="str">
        <f>IFERROR(__xludf.DUMMYFUNCTION("""COMPUTED_VALUE"""),"------")</f>
        <v>------</v>
      </c>
      <c r="T318" s="228"/>
      <c r="U318" s="228"/>
      <c r="V318" s="228"/>
      <c r="W318" s="228"/>
      <c r="X318" s="228"/>
      <c r="Y318" s="730">
        <f>IFERROR(__xludf.DUMMYFUNCTION("""COMPUTED_VALUE"""),35164.0)</f>
        <v>35164</v>
      </c>
      <c r="Z318" s="228" t="str">
        <f>IFERROR(__xludf.DUMMYFUNCTION("""COMPUTED_VALUE"""),"29 Years")</f>
        <v>29 Years</v>
      </c>
      <c r="AA318" s="228" t="str">
        <f>IFERROR(__xludf.DUMMYFUNCTION("""COMPUTED_VALUE"""),"H #105-A, Satelite Town RWP")</f>
        <v>H #105-A, Satelite Town RWP</v>
      </c>
      <c r="AB318" s="228"/>
      <c r="AC318" s="228" t="str">
        <f>IFERROR(__xludf.DUMMYFUNCTION("""COMPUTED_VALUE"""),"Single")</f>
        <v>Single</v>
      </c>
      <c r="AD318" s="228"/>
      <c r="AE318" s="228"/>
      <c r="AF318" s="228"/>
      <c r="AG318" s="228" t="str">
        <f>IFERROR(__xludf.DUMMYFUNCTION("""COMPUTED_VALUE"""),"Ahsan Iftikhar")</f>
        <v>Ahsan Iftikhar</v>
      </c>
      <c r="AH318" s="228" t="str">
        <f>IFERROR(__xludf.DUMMYFUNCTION("""COMPUTED_VALUE"""),"Brother")</f>
        <v>Brother</v>
      </c>
      <c r="AI318" s="228" t="str">
        <f>IFERROR(__xludf.DUMMYFUNCTION("""COMPUTED_VALUE"""),"0336-5080423")</f>
        <v>0336-5080423</v>
      </c>
      <c r="AJ318" s="228" t="str">
        <f>IFERROR(__xludf.DUMMYFUNCTION("""COMPUTED_VALUE"""),"b+")</f>
        <v>b+</v>
      </c>
      <c r="AK318" s="731" t="str">
        <f>IFERROR(__xludf.DUMMYFUNCTION("""COMPUTED_VALUE"""),"https://www.linkedin.com/in/hamza-iftikhar-2a4755b0/")</f>
        <v>https://www.linkedin.com/in/hamza-iftikhar-2a4755b0/</v>
      </c>
      <c r="AL318" s="228"/>
      <c r="AM318" s="228"/>
      <c r="AN318" s="228"/>
      <c r="AO318" s="228"/>
      <c r="AP318" s="228" t="str">
        <f>IFERROR(__xludf.DUMMYFUNCTION("""COMPUTED_VALUE"""),"NO")</f>
        <v>NO</v>
      </c>
      <c r="AQ318" s="228" t="str">
        <f>IFERROR(__xludf.DUMMYFUNCTION("""COMPUTED_VALUE"""),"Resigned/Terminated")</f>
        <v>Resigned/Terminated</v>
      </c>
    </row>
    <row r="319">
      <c r="A319" s="228"/>
      <c r="B319" s="228" t="str">
        <f>IFERROR(__xludf.DUMMYFUNCTION("""COMPUTED_VALUE"""),"Muhammad Ali")</f>
        <v>Muhammad Ali</v>
      </c>
      <c r="C319" s="228"/>
      <c r="D319" s="228"/>
      <c r="E319" s="730">
        <f>IFERROR(__xludf.DUMMYFUNCTION("""COMPUTED_VALUE"""),44101.0)</f>
        <v>44101</v>
      </c>
      <c r="F319" s="228" t="str">
        <f>IFERROR(__xludf.DUMMYFUNCTION("""COMPUTED_VALUE"""),"Senior Android Developer")</f>
        <v>Senior Android Developer</v>
      </c>
      <c r="G319" s="228" t="str">
        <f>IFERROR(__xludf.DUMMYFUNCTION("""COMPUTED_VALUE"""),"Android")</f>
        <v>Android</v>
      </c>
      <c r="H319" s="228" t="str">
        <f>IFERROR(__xludf.DUMMYFUNCTION("""COMPUTED_VALUE"""),"Z/A")</f>
        <v>Z/A</v>
      </c>
      <c r="I319" s="228" t="str">
        <f>IFERROR(__xludf.DUMMYFUNCTION("""COMPUTED_VALUE"""),"Permanent")</f>
        <v>Permanent</v>
      </c>
      <c r="J319" s="228"/>
      <c r="K319" s="228" t="str">
        <f>IFERROR(__xludf.DUMMYFUNCTION("""COMPUTED_VALUE"""),"2-3M")</f>
        <v>2-3M</v>
      </c>
      <c r="L319" s="228"/>
      <c r="M319" s="228"/>
      <c r="N319" s="228"/>
      <c r="O319" s="228"/>
      <c r="P319" s="228" t="str">
        <f>IFERROR(__xludf.DUMMYFUNCTION("""COMPUTED_VALUE"""),"0307-8981856")</f>
        <v>0307-8981856</v>
      </c>
      <c r="Q319" s="228" t="str">
        <f>IFERROR(__xludf.DUMMYFUNCTION("""COMPUTED_VALUE"""),"61101-6846393-7")</f>
        <v>61101-6846393-7</v>
      </c>
      <c r="R319" s="228" t="str">
        <f>IFERROR(__xludf.DUMMYFUNCTION("""COMPUTED_VALUE"""),"Male")</f>
        <v>Male</v>
      </c>
      <c r="S319" s="228"/>
      <c r="T319" s="228"/>
      <c r="U319" s="228" t="str">
        <f>IFERROR(__xludf.DUMMYFUNCTION("""COMPUTED_VALUE"""),"13.12.1993/13.06.2020 (actual)")</f>
        <v>13.12.1993/13.06.2020 (actual)</v>
      </c>
      <c r="V319" s="228"/>
      <c r="W319" s="228"/>
      <c r="X319" s="228"/>
      <c r="Y319" s="228"/>
      <c r="Z319" s="228"/>
      <c r="AA319" s="228" t="str">
        <f>IFERROR(__xludf.DUMMYFUNCTION("""COMPUTED_VALUE"""),"House #16, St 1, Raja Iqbal Town, Near Khanna Kak RWP")</f>
        <v>House #16, St 1, Raja Iqbal Town, Near Khanna Kak RWP</v>
      </c>
      <c r="AB319" s="228"/>
      <c r="AC319" s="228" t="str">
        <f>IFERROR(__xludf.DUMMYFUNCTION("""COMPUTED_VALUE"""),"Single")</f>
        <v>Single</v>
      </c>
      <c r="AD319" s="228"/>
      <c r="AE319" s="228"/>
      <c r="AF319" s="228"/>
      <c r="AG319" s="228" t="str">
        <f>IFERROR(__xludf.DUMMYFUNCTION("""COMPUTED_VALUE"""),"Muntaha Ayaz")</f>
        <v>Muntaha Ayaz</v>
      </c>
      <c r="AH319" s="228" t="str">
        <f>IFERROR(__xludf.DUMMYFUNCTION("""COMPUTED_VALUE"""),"Mother")</f>
        <v>Mother</v>
      </c>
      <c r="AI319" s="228" t="str">
        <f>IFERROR(__xludf.DUMMYFUNCTION("""COMPUTED_VALUE"""),"0306-5373343")</f>
        <v>0306-5373343</v>
      </c>
      <c r="AJ319" s="228" t="str">
        <f>IFERROR(__xludf.DUMMYFUNCTION("""COMPUTED_VALUE"""),"B+")</f>
        <v>B+</v>
      </c>
      <c r="AK319" s="228"/>
      <c r="AL319" s="228"/>
      <c r="AM319" s="228"/>
      <c r="AN319" s="228"/>
      <c r="AO319" s="228"/>
      <c r="AP319" s="228" t="str">
        <f>IFERROR(__xludf.DUMMYFUNCTION("""COMPUTED_VALUE"""),"NO")</f>
        <v>NO</v>
      </c>
      <c r="AQ319" s="228" t="str">
        <f>IFERROR(__xludf.DUMMYFUNCTION("""COMPUTED_VALUE"""),"Resigned/Terminated")</f>
        <v>Resigned/Terminated</v>
      </c>
    </row>
    <row r="320">
      <c r="A320" s="228"/>
      <c r="B320" s="228" t="str">
        <f>IFERROR(__xludf.DUMMYFUNCTION("""COMPUTED_VALUE"""),"Siddhartt Kumaran")</f>
        <v>Siddhartt Kumaran</v>
      </c>
      <c r="C320" s="228" t="str">
        <f>IFERROR(__xludf.DUMMYFUNCTION("""COMPUTED_VALUE"""),"siddharttkumaran@gmail.com")</f>
        <v>siddharttkumaran@gmail.com</v>
      </c>
      <c r="D320" s="228"/>
      <c r="E320" s="730">
        <f>IFERROR(__xludf.DUMMYFUNCTION("""COMPUTED_VALUE"""),45078.0)</f>
        <v>45078</v>
      </c>
      <c r="F320" s="228" t="str">
        <f>IFERROR(__xludf.DUMMYFUNCTION("""COMPUTED_VALUE"""),"Software Engineering Intern")</f>
        <v>Software Engineering Intern</v>
      </c>
      <c r="G320" s="228"/>
      <c r="H320" s="228" t="str">
        <f>IFERROR(__xludf.DUMMYFUNCTION("""COMPUTED_VALUE"""),"Abdullah")</f>
        <v>Abdullah</v>
      </c>
      <c r="I320" s="228" t="str">
        <f>IFERROR(__xludf.DUMMYFUNCTION("""COMPUTED_VALUE"""),"Intern (unpaid)")</f>
        <v>Intern (unpaid)</v>
      </c>
      <c r="J320" s="228"/>
      <c r="K320" s="228"/>
      <c r="L320" s="732">
        <f>IFERROR(__xludf.DUMMYFUNCTION("""COMPUTED_VALUE"""),45138.0)</f>
        <v>45138</v>
      </c>
      <c r="M320" s="228"/>
      <c r="N320" s="228"/>
      <c r="O320" s="228"/>
      <c r="P320" s="228"/>
      <c r="Q320" s="228"/>
      <c r="R320" s="228" t="str">
        <f>IFERROR(__xludf.DUMMYFUNCTION("""COMPUTED_VALUE"""),"Male")</f>
        <v>Male</v>
      </c>
      <c r="S320" s="228"/>
      <c r="T320" s="228"/>
      <c r="U320" s="228"/>
      <c r="V320" s="228"/>
      <c r="W320" s="228"/>
      <c r="X320" s="228"/>
      <c r="Y320" s="228"/>
      <c r="Z320" s="228"/>
      <c r="AA320" s="228"/>
      <c r="AB320" s="228"/>
      <c r="AC320" s="228"/>
      <c r="AD320" s="228"/>
      <c r="AE320" s="228"/>
      <c r="AF320" s="228"/>
      <c r="AG320" s="228"/>
      <c r="AH320" s="228"/>
      <c r="AI320" s="228"/>
      <c r="AJ320" s="228"/>
      <c r="AK320" s="228"/>
      <c r="AL320" s="228"/>
      <c r="AM320" s="228"/>
      <c r="AN320" s="228"/>
      <c r="AO320" s="228"/>
      <c r="AP320" s="228" t="str">
        <f>IFERROR(__xludf.DUMMYFUNCTION("""COMPUTED_VALUE"""),"NO")</f>
        <v>NO</v>
      </c>
      <c r="AQ320" s="228" t="str">
        <f>IFERROR(__xludf.DUMMYFUNCTION("""COMPUTED_VALUE"""),"Resigned/Terminated")</f>
        <v>Resigned/Terminated</v>
      </c>
    </row>
    <row r="321">
      <c r="A321" s="228">
        <f>IFERROR(__xludf.DUMMYFUNCTION("""COMPUTED_VALUE"""),5195.0)</f>
        <v>5195</v>
      </c>
      <c r="B321" s="228" t="str">
        <f>IFERROR(__xludf.DUMMYFUNCTION("""COMPUTED_VALUE"""),"Hamza Hamid Khan")</f>
        <v>Hamza Hamid Khan</v>
      </c>
      <c r="C321" s="228" t="str">
        <f>IFERROR(__xludf.DUMMYFUNCTION("""COMPUTED_VALUE"""),"Hamzakhan3116@gmail.com")</f>
        <v>Hamzakhan3116@gmail.com</v>
      </c>
      <c r="D321" s="228" t="str">
        <f>IFERROR(__xludf.DUMMYFUNCTION("""COMPUTED_VALUE"""),"hamza.hamid@vyro.ai")</f>
        <v>hamza.hamid@vyro.ai</v>
      </c>
      <c r="E321" s="730">
        <f>IFERROR(__xludf.DUMMYFUNCTION("""COMPUTED_VALUE"""),45216.0)</f>
        <v>45216</v>
      </c>
      <c r="F321" s="228" t="str">
        <f>IFERROR(__xludf.DUMMYFUNCTION("""COMPUTED_VALUE"""),"Social Media Associate")</f>
        <v>Social Media Associate</v>
      </c>
      <c r="G321" s="228" t="str">
        <f>IFERROR(__xludf.DUMMYFUNCTION("""COMPUTED_VALUE"""),"Social Media")</f>
        <v>Social Media</v>
      </c>
      <c r="H321" s="228" t="str">
        <f>IFERROR(__xludf.DUMMYFUNCTION("""COMPUTED_VALUE"""),"Ali Ayub")</f>
        <v>Ali Ayub</v>
      </c>
      <c r="I321" s="228" t="str">
        <f>IFERROR(__xludf.DUMMYFUNCTION("""COMPUTED_VALUE"""),"Permanent")</f>
        <v>Permanent</v>
      </c>
      <c r="J321" s="228" t="str">
        <f>IFERROR(__xludf.DUMMYFUNCTION("""COMPUTED_VALUE"""),"Active")</f>
        <v>Active</v>
      </c>
      <c r="K321" s="228" t="str">
        <f>IFERROR(__xludf.DUMMYFUNCTION("""COMPUTED_VALUE"""),"3M")</f>
        <v>3M</v>
      </c>
      <c r="L321" s="732">
        <f>IFERROR(__xludf.DUMMYFUNCTION("""COMPUTED_VALUE"""),45308.0)</f>
        <v>45308</v>
      </c>
      <c r="M321" s="228"/>
      <c r="N321" s="228"/>
      <c r="O321" s="228"/>
      <c r="P321" s="228" t="str">
        <f>IFERROR(__xludf.DUMMYFUNCTION("""COMPUTED_VALUE"""),"3088798487")</f>
        <v>3088798487</v>
      </c>
      <c r="Q321" s="228" t="str">
        <f>IFERROR(__xludf.DUMMYFUNCTION("""COMPUTED_VALUE"""),"17301-1771123-5")</f>
        <v>17301-1771123-5</v>
      </c>
      <c r="R321" s="228" t="str">
        <f>IFERROR(__xludf.DUMMYFUNCTION("""COMPUTED_VALUE"""),"Male")</f>
        <v>Male</v>
      </c>
      <c r="S321" s="228" t="str">
        <f>IFERROR(__xludf.DUMMYFUNCTION("""COMPUTED_VALUE"""),"Bank Alfalah")</f>
        <v>Bank Alfalah</v>
      </c>
      <c r="T321" s="228" t="str">
        <f>IFERROR(__xludf.DUMMYFUNCTION("""COMPUTED_VALUE"""),"Naheed Akhtar")</f>
        <v>Naheed Akhtar</v>
      </c>
      <c r="U321" s="228" t="str">
        <f>IFERROR(__xludf.DUMMYFUNCTION("""COMPUTED_VALUE"""),"PK46ALFH0656001008301964")</f>
        <v>PK46ALFH0656001008301964</v>
      </c>
      <c r="V321" s="228"/>
      <c r="W321" s="228"/>
      <c r="X321" s="228" t="str">
        <f>IFERROR(__xludf.DUMMYFUNCTION("""COMPUTED_VALUE"""),"Islamabad")</f>
        <v>Islamabad</v>
      </c>
      <c r="Y321" s="730">
        <f>IFERROR(__xludf.DUMMYFUNCTION("""COMPUTED_VALUE"""),37067.0)</f>
        <v>37067</v>
      </c>
      <c r="Z321" s="228" t="str">
        <f>IFERROR(__xludf.DUMMYFUNCTION("""COMPUTED_VALUE"""),"24 Years")</f>
        <v>24 Years</v>
      </c>
      <c r="AA321" s="228" t="str">
        <f>IFERROR(__xludf.DUMMYFUNCTION("""COMPUTED_VALUE"""),"House 467, Main Road 3, G-15/1, Islamabad.")</f>
        <v>House 467, Main Road 3, G-15/1, Islamabad.</v>
      </c>
      <c r="AB321" s="228" t="str">
        <f>IFERROR(__xludf.DUMMYFUNCTION("""COMPUTED_VALUE"""),"Pakistani")</f>
        <v>Pakistani</v>
      </c>
      <c r="AC321" s="228" t="str">
        <f>IFERROR(__xludf.DUMMYFUNCTION("""COMPUTED_VALUE"""),"Single")</f>
        <v>Single</v>
      </c>
      <c r="AD321" s="228"/>
      <c r="AE321" s="228"/>
      <c r="AF321" s="228"/>
      <c r="AG321" s="228" t="str">
        <f>IFERROR(__xludf.DUMMYFUNCTION("""COMPUTED_VALUE"""),"Abdul Hamid Khan")</f>
        <v>Abdul Hamid Khan</v>
      </c>
      <c r="AH321" s="228" t="str">
        <f>IFERROR(__xludf.DUMMYFUNCTION("""COMPUTED_VALUE"""),"Father")</f>
        <v>Father</v>
      </c>
      <c r="AI321" s="228" t="str">
        <f>IFERROR(__xludf.DUMMYFUNCTION("""COMPUTED_VALUE"""),"03028557461")</f>
        <v>03028557461</v>
      </c>
      <c r="AJ321" s="228" t="str">
        <f>IFERROR(__xludf.DUMMYFUNCTION("""COMPUTED_VALUE"""),"AB+")</f>
        <v>AB+</v>
      </c>
      <c r="AK321" s="228" t="str">
        <f>IFERROR(__xludf.DUMMYFUNCTION("""COMPUTED_VALUE"""),"@hamza.khan")</f>
        <v>@hamza.khan</v>
      </c>
      <c r="AL321" s="228"/>
      <c r="AM321" s="730">
        <f>IFERROR(__xludf.DUMMYFUNCTION("""COMPUTED_VALUE"""),45453.0)</f>
        <v>45453</v>
      </c>
      <c r="AN321" s="228"/>
      <c r="AO321" s="228"/>
      <c r="AP321" s="228" t="str">
        <f>IFERROR(__xludf.DUMMYFUNCTION("""COMPUTED_VALUE"""),"NO")</f>
        <v>NO</v>
      </c>
      <c r="AQ321" s="228" t="str">
        <f>IFERROR(__xludf.DUMMYFUNCTION("""COMPUTED_VALUE"""),"Resigned/Terminated")</f>
        <v>Resigned/Terminated</v>
      </c>
    </row>
    <row r="322">
      <c r="A322" s="228">
        <f>IFERROR(__xludf.DUMMYFUNCTION("""COMPUTED_VALUE"""),5025.0)</f>
        <v>5025</v>
      </c>
      <c r="B322" s="228" t="str">
        <f>IFERROR(__xludf.DUMMYFUNCTION("""COMPUTED_VALUE"""),"Ubadah Jafry")</f>
        <v>Ubadah Jafry</v>
      </c>
      <c r="C322" s="228" t="str">
        <f>IFERROR(__xludf.DUMMYFUNCTION("""COMPUTED_VALUE"""),"ubadahjafry@gmail.com")</f>
        <v>ubadahjafry@gmail.com</v>
      </c>
      <c r="D322" s="228" t="str">
        <f>IFERROR(__xludf.DUMMYFUNCTION("""COMPUTED_VALUE"""),"ubadah.jafry@vyro.ai")</f>
        <v>ubadah.jafry@vyro.ai</v>
      </c>
      <c r="E322" s="730">
        <f>IFERROR(__xludf.DUMMYFUNCTION("""COMPUTED_VALUE"""),44121.0)</f>
        <v>44121</v>
      </c>
      <c r="F322" s="228" t="str">
        <f>IFERROR(__xludf.DUMMYFUNCTION("""COMPUTED_VALUE"""),"Software Architect")</f>
        <v>Software Architect</v>
      </c>
      <c r="G322" s="228" t="str">
        <f>IFERROR(__xludf.DUMMYFUNCTION("""COMPUTED_VALUE"""),"Tech")</f>
        <v>Tech</v>
      </c>
      <c r="H322" s="228" t="str">
        <f>IFERROR(__xludf.DUMMYFUNCTION("""COMPUTED_VALUE"""),"M. Abdullah Rafique, CTO")</f>
        <v>M. Abdullah Rafique, CTO</v>
      </c>
      <c r="I322" s="228" t="str">
        <f>IFERROR(__xludf.DUMMYFUNCTION("""COMPUTED_VALUE"""),"Permanent")</f>
        <v>Permanent</v>
      </c>
      <c r="J322" s="228" t="str">
        <f>IFERROR(__xludf.DUMMYFUNCTION("""COMPUTED_VALUE"""),"Active")</f>
        <v>Active</v>
      </c>
      <c r="K322" s="228" t="str">
        <f>IFERROR(__xludf.DUMMYFUNCTION("""COMPUTED_VALUE"""),"3M")</f>
        <v>3M</v>
      </c>
      <c r="L322" s="732">
        <f>IFERROR(__xludf.DUMMYFUNCTION("""COMPUTED_VALUE"""),44213.0)</f>
        <v>44213</v>
      </c>
      <c r="M322" s="228"/>
      <c r="N322" s="228"/>
      <c r="O322" s="228"/>
      <c r="P322" s="228" t="str">
        <f>IFERROR(__xludf.DUMMYFUNCTION("""COMPUTED_VALUE"""),"0344-1839470")</f>
        <v>0344-1839470</v>
      </c>
      <c r="Q322" s="228" t="str">
        <f>IFERROR(__xludf.DUMMYFUNCTION("""COMPUTED_VALUE"""),"36302-5213272-3")</f>
        <v>36302-5213272-3</v>
      </c>
      <c r="R322" s="228" t="str">
        <f>IFERROR(__xludf.DUMMYFUNCTION("""COMPUTED_VALUE"""),"Male")</f>
        <v>Male</v>
      </c>
      <c r="S322" s="228" t="str">
        <f>IFERROR(__xludf.DUMMYFUNCTION("""COMPUTED_VALUE"""),"Alfalah")</f>
        <v>Alfalah</v>
      </c>
      <c r="T322" s="228" t="str">
        <f>IFERROR(__xludf.DUMMYFUNCTION("""COMPUTED_VALUE"""),"Syed Muhammad Ubadah Jafry")</f>
        <v>Syed Muhammad Ubadah Jafry</v>
      </c>
      <c r="U322" s="228" t="str">
        <f>IFERROR(__xludf.DUMMYFUNCTION("""COMPUTED_VALUE"""),"PK84ALFH0285001006857361")</f>
        <v>PK84ALFH0285001006857361</v>
      </c>
      <c r="V322" s="228" t="str">
        <f>IFERROR(__xludf.DUMMYFUNCTION("""COMPUTED_VALUE"""),"ALFHPKKAXXX")</f>
        <v>ALFHPKKAXXX</v>
      </c>
      <c r="W322" s="228"/>
      <c r="X322" s="228" t="str">
        <f>IFERROR(__xludf.DUMMYFUNCTION("""COMPUTED_VALUE"""),"Islamabad")</f>
        <v>Islamabad</v>
      </c>
      <c r="Y322" s="730">
        <f>IFERROR(__xludf.DUMMYFUNCTION("""COMPUTED_VALUE"""),36961.0)</f>
        <v>36961</v>
      </c>
      <c r="Z322" s="228" t="str">
        <f>IFERROR(__xludf.DUMMYFUNCTION("""COMPUTED_VALUE"""),"24 Years")</f>
        <v>24 Years</v>
      </c>
      <c r="AA322" s="228" t="str">
        <f>IFERROR(__xludf.DUMMYFUNCTION("""COMPUTED_VALUE"""),"House 41/2, Ghani Bukhari Road, Muhallah Babu, Multan, 61000")</f>
        <v>House 41/2, Ghani Bukhari Road, Muhallah Babu, Multan, 61000</v>
      </c>
      <c r="AB322" s="228" t="str">
        <f>IFERROR(__xludf.DUMMYFUNCTION("""COMPUTED_VALUE"""),"Pakistani")</f>
        <v>Pakistani</v>
      </c>
      <c r="AC322" s="228" t="str">
        <f>IFERROR(__xludf.DUMMYFUNCTION("""COMPUTED_VALUE"""),"Single")</f>
        <v>Single</v>
      </c>
      <c r="AD322" s="228"/>
      <c r="AE322" s="228"/>
      <c r="AF322" s="228"/>
      <c r="AG322" s="228" t="str">
        <f>IFERROR(__xludf.DUMMYFUNCTION("""COMPUTED_VALUE"""),"Syed Masood Ali Jafry")</f>
        <v>Syed Masood Ali Jafry</v>
      </c>
      <c r="AH322" s="228" t="str">
        <f>IFERROR(__xludf.DUMMYFUNCTION("""COMPUTED_VALUE"""),"Father")</f>
        <v>Father</v>
      </c>
      <c r="AI322" s="228" t="str">
        <f>IFERROR(__xludf.DUMMYFUNCTION("""COMPUTED_VALUE"""),"03458239290")</f>
        <v>03458239290</v>
      </c>
      <c r="AJ322" s="228" t="str">
        <f>IFERROR(__xludf.DUMMYFUNCTION("""COMPUTED_VALUE"""),"O+")</f>
        <v>O+</v>
      </c>
      <c r="AK322" s="731" t="str">
        <f>IFERROR(__xludf.DUMMYFUNCTION("""COMPUTED_VALUE"""),"https://www.linkedin.com/in/ubadah-jafry/")</f>
        <v>https://www.linkedin.com/in/ubadah-jafry/</v>
      </c>
      <c r="AL322" s="228"/>
      <c r="AM322" s="730">
        <f>IFERROR(__xludf.DUMMYFUNCTION("""COMPUTED_VALUE"""),45457.0)</f>
        <v>45457</v>
      </c>
      <c r="AN322" s="228"/>
      <c r="AO322" s="228"/>
      <c r="AP322" s="228" t="str">
        <f>IFERROR(__xludf.DUMMYFUNCTION("""COMPUTED_VALUE"""),"NO")</f>
        <v>NO</v>
      </c>
      <c r="AQ322" s="228" t="str">
        <f>IFERROR(__xludf.DUMMYFUNCTION("""COMPUTED_VALUE"""),"Resigned/Terminated")</f>
        <v>Resigned/Terminated</v>
      </c>
    </row>
    <row r="323">
      <c r="A323" s="228">
        <f>IFERROR(__xludf.DUMMYFUNCTION("""COMPUTED_VALUE"""),5120.0)</f>
        <v>5120</v>
      </c>
      <c r="B323" s="228" t="str">
        <f>IFERROR(__xludf.DUMMYFUNCTION("""COMPUTED_VALUE"""),"Joshua Richardson")</f>
        <v>Joshua Richardson</v>
      </c>
      <c r="C323" s="228" t="str">
        <f>IFERROR(__xludf.DUMMYFUNCTION("""COMPUTED_VALUE"""),"leonardo.the.alien@gmail.com")</f>
        <v>leonardo.the.alien@gmail.com</v>
      </c>
      <c r="D323" s="228" t="str">
        <f>IFERROR(__xludf.DUMMYFUNCTION("""COMPUTED_VALUE"""),"joshua.richardson@vyro.ai")</f>
        <v>joshua.richardson@vyro.ai</v>
      </c>
      <c r="E323" s="730">
        <f>IFERROR(__xludf.DUMMYFUNCTION("""COMPUTED_VALUE"""),45033.0)</f>
        <v>45033</v>
      </c>
      <c r="F323" s="228" t="str">
        <f>IFERROR(__xludf.DUMMYFUNCTION("""COMPUTED_VALUE"""),"Machine Learning Engineer")</f>
        <v>Machine Learning Engineer</v>
      </c>
      <c r="G323" s="228" t="str">
        <f>IFERROR(__xludf.DUMMYFUNCTION("""COMPUTED_VALUE"""),"Research &amp; Development")</f>
        <v>Research &amp; Development</v>
      </c>
      <c r="H323" s="228" t="str">
        <f>IFERROR(__xludf.DUMMYFUNCTION("""COMPUTED_VALUE"""),"M. Abdullah Rafique, CTO")</f>
        <v>M. Abdullah Rafique, CTO</v>
      </c>
      <c r="I323" s="228" t="str">
        <f>IFERROR(__xludf.DUMMYFUNCTION("""COMPUTED_VALUE"""),"Permanent")</f>
        <v>Permanent</v>
      </c>
      <c r="J323" s="228" t="str">
        <f>IFERROR(__xludf.DUMMYFUNCTION("""COMPUTED_VALUE"""),"Active")</f>
        <v>Active</v>
      </c>
      <c r="K323" s="228" t="str">
        <f>IFERROR(__xludf.DUMMYFUNCTION("""COMPUTED_VALUE"""),"3M")</f>
        <v>3M</v>
      </c>
      <c r="L323" s="732">
        <f>IFERROR(__xludf.DUMMYFUNCTION("""COMPUTED_VALUE"""),45124.0)</f>
        <v>45124</v>
      </c>
      <c r="M323" s="228"/>
      <c r="N323" s="228"/>
      <c r="O323" s="228"/>
      <c r="P323" s="228" t="str">
        <f>IFERROR(__xludf.DUMMYFUNCTION("""COMPUTED_VALUE"""),"227267606")</f>
        <v>227267606</v>
      </c>
      <c r="Q323" s="228" t="str">
        <f>IFERROR(__xludf.DUMMYFUNCTION("""COMPUTED_VALUE"""),"880615-5094-08-1")</f>
        <v>880615-5094-08-1</v>
      </c>
      <c r="R323" s="228" t="str">
        <f>IFERROR(__xludf.DUMMYFUNCTION("""COMPUTED_VALUE"""),"Male")</f>
        <v>Male</v>
      </c>
      <c r="S323" s="228" t="str">
        <f>IFERROR(__xludf.DUMMYFUNCTION("""COMPUTED_VALUE"""),"Standard Bank of South Africa")</f>
        <v>Standard Bank of South Africa</v>
      </c>
      <c r="T323" s="228"/>
      <c r="U323" s="228" t="str">
        <f>IFERROR(__xludf.DUMMYFUNCTION("""COMPUTED_VALUE"""),"Account Number: 221227261, IBAN: 051001221227261 Branch Code: 016641")</f>
        <v>Account Number: 221227261, IBAN: 051001221227261 Branch Code: 016641</v>
      </c>
      <c r="V323" s="228" t="str">
        <f>IFERROR(__xludf.DUMMYFUNCTION("""COMPUTED_VALUE"""),"SBZAZAJJ")</f>
        <v>SBZAZAJJ</v>
      </c>
      <c r="W323" s="228"/>
      <c r="X323" s="228" t="str">
        <f>IFERROR(__xludf.DUMMYFUNCTION("""COMPUTED_VALUE"""),"Remote")</f>
        <v>Remote</v>
      </c>
      <c r="Y323" s="730">
        <f>IFERROR(__xludf.DUMMYFUNCTION("""COMPUTED_VALUE"""),32309.0)</f>
        <v>32309</v>
      </c>
      <c r="Z323" s="228" t="str">
        <f>IFERROR(__xludf.DUMMYFUNCTION("""COMPUTED_VALUE"""),"37 Years")</f>
        <v>37 Years</v>
      </c>
      <c r="AA323" s="228" t="str">
        <f>IFERROR(__xludf.DUMMYFUNCTION("""COMPUTED_VALUE"""),"13 Maud street Florida, Roodepoort, Johannesburg, South Africa, 1709")</f>
        <v>13 Maud street Florida, Roodepoort, Johannesburg, South Africa, 1709</v>
      </c>
      <c r="AB323" s="228" t="str">
        <f>IFERROR(__xludf.DUMMYFUNCTION("""COMPUTED_VALUE"""),"South African")</f>
        <v>South African</v>
      </c>
      <c r="AC323" s="228" t="str">
        <f>IFERROR(__xludf.DUMMYFUNCTION("""COMPUTED_VALUE"""),"single")</f>
        <v>single</v>
      </c>
      <c r="AD323" s="228"/>
      <c r="AE323" s="228"/>
      <c r="AF323" s="228"/>
      <c r="AG323" s="228" t="str">
        <f>IFERROR(__xludf.DUMMYFUNCTION("""COMPUTED_VALUE"""),"Gill Richardson")</f>
        <v>Gill Richardson</v>
      </c>
      <c r="AH323" s="228" t="str">
        <f>IFERROR(__xludf.DUMMYFUNCTION("""COMPUTED_VALUE"""),"Mother")</f>
        <v>Mother</v>
      </c>
      <c r="AI323" s="228" t="str">
        <f>IFERROR(__xludf.DUMMYFUNCTION("""COMPUTED_VALUE"""),"27833256175")</f>
        <v>27833256175</v>
      </c>
      <c r="AJ323" s="228"/>
      <c r="AK323" s="228"/>
      <c r="AL323" s="228"/>
      <c r="AM323" s="730">
        <f>IFERROR(__xludf.DUMMYFUNCTION("""COMPUTED_VALUE"""),45449.0)</f>
        <v>45449</v>
      </c>
      <c r="AN323" s="228"/>
      <c r="AO323" s="228"/>
      <c r="AP323" s="228" t="str">
        <f>IFERROR(__xludf.DUMMYFUNCTION("""COMPUTED_VALUE"""),"NO")</f>
        <v>NO</v>
      </c>
      <c r="AQ323" s="228" t="str">
        <f>IFERROR(__xludf.DUMMYFUNCTION("""COMPUTED_VALUE"""),"Resigned/Terminated")</f>
        <v>Resigned/Terminated</v>
      </c>
    </row>
    <row r="324">
      <c r="A324" s="228">
        <f>IFERROR(__xludf.DUMMYFUNCTION("""COMPUTED_VALUE"""),5121.0)</f>
        <v>5121</v>
      </c>
      <c r="B324" s="228" t="str">
        <f>IFERROR(__xludf.DUMMYFUNCTION("""COMPUTED_VALUE"""),"Sana Tahir")</f>
        <v>Sana Tahir</v>
      </c>
      <c r="C324" s="228" t="str">
        <f>IFERROR(__xludf.DUMMYFUNCTION("""COMPUTED_VALUE"""),"tsana125@gmail.com")</f>
        <v>tsana125@gmail.com</v>
      </c>
      <c r="D324" s="228" t="str">
        <f>IFERROR(__xludf.DUMMYFUNCTION("""COMPUTED_VALUE"""),"sana.tahir@vyro.ai")</f>
        <v>sana.tahir@vyro.ai</v>
      </c>
      <c r="E324" s="730">
        <f>IFERROR(__xludf.DUMMYFUNCTION("""COMPUTED_VALUE"""),45042.0)</f>
        <v>45042</v>
      </c>
      <c r="F324" s="228" t="str">
        <f>IFERROR(__xludf.DUMMYFUNCTION("""COMPUTED_VALUE"""),"Technical Recruiter")</f>
        <v>Technical Recruiter</v>
      </c>
      <c r="G324" s="228" t="str">
        <f>IFERROR(__xludf.DUMMYFUNCTION("""COMPUTED_VALUE"""),"People &amp; Talent")</f>
        <v>People &amp; Talent</v>
      </c>
      <c r="H324" s="228" t="str">
        <f>IFERROR(__xludf.DUMMYFUNCTION("""COMPUTED_VALUE"""),"Umer Janjua")</f>
        <v>Umer Janjua</v>
      </c>
      <c r="I324" s="228" t="str">
        <f>IFERROR(__xludf.DUMMYFUNCTION("""COMPUTED_VALUE"""),"Permanent")</f>
        <v>Permanent</v>
      </c>
      <c r="J324" s="228" t="str">
        <f>IFERROR(__xludf.DUMMYFUNCTION("""COMPUTED_VALUE"""),"Active")</f>
        <v>Active</v>
      </c>
      <c r="K324" s="228" t="str">
        <f>IFERROR(__xludf.DUMMYFUNCTION("""COMPUTED_VALUE"""),"3M")</f>
        <v>3M</v>
      </c>
      <c r="L324" s="732">
        <f>IFERROR(__xludf.DUMMYFUNCTION("""COMPUTED_VALUE"""),45133.0)</f>
        <v>45133</v>
      </c>
      <c r="M324" s="228"/>
      <c r="N324" s="228"/>
      <c r="O324" s="228"/>
      <c r="P324" s="228" t="str">
        <f>IFERROR(__xludf.DUMMYFUNCTION("""COMPUTED_VALUE"""),"3345350875")</f>
        <v>3345350875</v>
      </c>
      <c r="Q324" s="228" t="str">
        <f>IFERROR(__xludf.DUMMYFUNCTION("""COMPUTED_VALUE"""),"37103-2235902-2")</f>
        <v>37103-2235902-2</v>
      </c>
      <c r="R324" s="228" t="str">
        <f>IFERROR(__xludf.DUMMYFUNCTION("""COMPUTED_VALUE"""),"Female")</f>
        <v>Female</v>
      </c>
      <c r="S324" s="228" t="str">
        <f>IFERROR(__xludf.DUMMYFUNCTION("""COMPUTED_VALUE"""),"HBL")</f>
        <v>HBL</v>
      </c>
      <c r="T324" s="228"/>
      <c r="U324" s="228" t="str">
        <f>IFERROR(__xludf.DUMMYFUNCTION("""COMPUTED_VALUE"""),"PK35HABB0002747900916203")</f>
        <v>PK35HABB0002747900916203</v>
      </c>
      <c r="V324" s="228"/>
      <c r="W324" s="228"/>
      <c r="X324" s="228" t="str">
        <f>IFERROR(__xludf.DUMMYFUNCTION("""COMPUTED_VALUE"""),"Islamabad")</f>
        <v>Islamabad</v>
      </c>
      <c r="Y324" s="730">
        <f>IFERROR(__xludf.DUMMYFUNCTION("""COMPUTED_VALUE"""),35976.0)</f>
        <v>35976</v>
      </c>
      <c r="Z324" s="228" t="str">
        <f>IFERROR(__xludf.DUMMYFUNCTION("""COMPUTED_VALUE"""),"27 Years")</f>
        <v>27 Years</v>
      </c>
      <c r="AA324" s="228" t="str">
        <f>IFERROR(__xludf.DUMMYFUNCTION("""COMPUTED_VALUE"""),"Opposite THQ Hospital, St khan Bahadur Khan, Hazara Road, Hasanabdal")</f>
        <v>Opposite THQ Hospital, St khan Bahadur Khan, Hazara Road, Hasanabdal</v>
      </c>
      <c r="AB324" s="228" t="str">
        <f>IFERROR(__xludf.DUMMYFUNCTION("""COMPUTED_VALUE"""),"Pakistani")</f>
        <v>Pakistani</v>
      </c>
      <c r="AC324" s="228" t="str">
        <f>IFERROR(__xludf.DUMMYFUNCTION("""COMPUTED_VALUE"""),"Single")</f>
        <v>Single</v>
      </c>
      <c r="AD324" s="228"/>
      <c r="AE324" s="228"/>
      <c r="AF324" s="228"/>
      <c r="AG324" s="228" t="str">
        <f>IFERROR(__xludf.DUMMYFUNCTION("""COMPUTED_VALUE"""),"Tahir Iqbal")</f>
        <v>Tahir Iqbal</v>
      </c>
      <c r="AH324" s="228" t="str">
        <f>IFERROR(__xludf.DUMMYFUNCTION("""COMPUTED_VALUE"""),"Father")</f>
        <v>Father</v>
      </c>
      <c r="AI324" s="228" t="str">
        <f>IFERROR(__xludf.DUMMYFUNCTION("""COMPUTED_VALUE"""),"03095555804")</f>
        <v>03095555804</v>
      </c>
      <c r="AJ324" s="228" t="str">
        <f>IFERROR(__xludf.DUMMYFUNCTION("""COMPUTED_VALUE"""),"O-")</f>
        <v>O-</v>
      </c>
      <c r="AK324" s="228"/>
      <c r="AL324" s="228"/>
      <c r="AM324" s="730">
        <f>IFERROR(__xludf.DUMMYFUNCTION("""COMPUTED_VALUE"""),45464.0)</f>
        <v>45464</v>
      </c>
      <c r="AN324" s="228"/>
      <c r="AO324" s="228"/>
      <c r="AP324" s="228" t="str">
        <f>IFERROR(__xludf.DUMMYFUNCTION("""COMPUTED_VALUE"""),"NO")</f>
        <v>NO</v>
      </c>
      <c r="AQ324" s="228" t="str">
        <f>IFERROR(__xludf.DUMMYFUNCTION("""COMPUTED_VALUE"""),"Resigned/Terminated")</f>
        <v>Resigned/Terminated</v>
      </c>
    </row>
    <row r="325">
      <c r="A325" s="228">
        <f>IFERROR(__xludf.DUMMYFUNCTION("""COMPUTED_VALUE"""),5150.0)</f>
        <v>5150</v>
      </c>
      <c r="B325" s="228" t="str">
        <f>IFERROR(__xludf.DUMMYFUNCTION("""COMPUTED_VALUE"""),"Muhammad Ibrahim")</f>
        <v>Muhammad Ibrahim</v>
      </c>
      <c r="C325" s="228" t="str">
        <f>IFERROR(__xludf.DUMMYFUNCTION("""COMPUTED_VALUE"""),"ibrahimwattoo33353@gmail.com")</f>
        <v>ibrahimwattoo33353@gmail.com</v>
      </c>
      <c r="D325" s="228" t="str">
        <f>IFERROR(__xludf.DUMMYFUNCTION("""COMPUTED_VALUE"""),"muhammad.ibrahim@vyro.ai")</f>
        <v>muhammad.ibrahim@vyro.ai</v>
      </c>
      <c r="E325" s="730">
        <f>IFERROR(__xludf.DUMMYFUNCTION("""COMPUTED_VALUE"""),45124.0)</f>
        <v>45124</v>
      </c>
      <c r="F325" s="228" t="str">
        <f>IFERROR(__xludf.DUMMYFUNCTION("""COMPUTED_VALUE"""),"Visual Designer")</f>
        <v>Visual Designer</v>
      </c>
      <c r="G325" s="228" t="str">
        <f>IFERROR(__xludf.DUMMYFUNCTION("""COMPUTED_VALUE"""),"Design")</f>
        <v>Design</v>
      </c>
      <c r="H325" s="228" t="str">
        <f>IFERROR(__xludf.DUMMYFUNCTION("""COMPUTED_VALUE"""),"Subhana Yasin")</f>
        <v>Subhana Yasin</v>
      </c>
      <c r="I325" s="228" t="str">
        <f>IFERROR(__xludf.DUMMYFUNCTION("""COMPUTED_VALUE"""),"Permanent")</f>
        <v>Permanent</v>
      </c>
      <c r="J325" s="228" t="str">
        <f>IFERROR(__xludf.DUMMYFUNCTION("""COMPUTED_VALUE"""),"Active")</f>
        <v>Active</v>
      </c>
      <c r="K325" s="228" t="str">
        <f>IFERROR(__xludf.DUMMYFUNCTION("""COMPUTED_VALUE"""),"3M")</f>
        <v>3M</v>
      </c>
      <c r="L325" s="732">
        <f>IFERROR(__xludf.DUMMYFUNCTION("""COMPUTED_VALUE"""),45216.0)</f>
        <v>45216</v>
      </c>
      <c r="M325" s="228"/>
      <c r="N325" s="228"/>
      <c r="O325" s="228"/>
      <c r="P325" s="228" t="str">
        <f>IFERROR(__xludf.DUMMYFUNCTION("""COMPUTED_VALUE"""),"03036681089")</f>
        <v>03036681089</v>
      </c>
      <c r="Q325" s="228" t="str">
        <f>IFERROR(__xludf.DUMMYFUNCTION("""COMPUTED_VALUE"""),"31101-0776303-7")</f>
        <v>31101-0776303-7</v>
      </c>
      <c r="R325" s="228" t="str">
        <f>IFERROR(__xludf.DUMMYFUNCTION("""COMPUTED_VALUE"""),"Male")</f>
        <v>Male</v>
      </c>
      <c r="S325" s="228" t="str">
        <f>IFERROR(__xludf.DUMMYFUNCTION("""COMPUTED_VALUE"""),"The Bank of Punjab")</f>
        <v>The Bank of Punjab</v>
      </c>
      <c r="T325" s="228" t="str">
        <f>IFERROR(__xludf.DUMMYFUNCTION("""COMPUTED_VALUE"""),"Muhammad Ibrahim")</f>
        <v>Muhammad Ibrahim</v>
      </c>
      <c r="U325" s="228" t="str">
        <f>IFERROR(__xludf.DUMMYFUNCTION("""COMPUTED_VALUE"""),"PK15BPUN6050232796000019")</f>
        <v>PK15BPUN6050232796000019</v>
      </c>
      <c r="V325" s="228"/>
      <c r="W325" s="228"/>
      <c r="X325" s="228" t="str">
        <f>IFERROR(__xludf.DUMMYFUNCTION("""COMPUTED_VALUE"""),"Remote")</f>
        <v>Remote</v>
      </c>
      <c r="Y325" s="730">
        <f>IFERROR(__xludf.DUMMYFUNCTION("""COMPUTED_VALUE"""),37149.0)</f>
        <v>37149</v>
      </c>
      <c r="Z325" s="228" t="str">
        <f>IFERROR(__xludf.DUMMYFUNCTION("""COMPUTED_VALUE"""),"23 Years")</f>
        <v>23 Years</v>
      </c>
      <c r="AA325" s="228" t="str">
        <f>IFERROR(__xludf.DUMMYFUNCTION("""COMPUTED_VALUE"""),"H#631B, street 39,E11/3, Islamabad")</f>
        <v>H#631B, street 39,E11/3, Islamabad</v>
      </c>
      <c r="AB325" s="228" t="str">
        <f>IFERROR(__xludf.DUMMYFUNCTION("""COMPUTED_VALUE"""),"Pakistani")</f>
        <v>Pakistani</v>
      </c>
      <c r="AC325" s="228" t="str">
        <f>IFERROR(__xludf.DUMMYFUNCTION("""COMPUTED_VALUE"""),"Single")</f>
        <v>Single</v>
      </c>
      <c r="AD325" s="228"/>
      <c r="AE325" s="228"/>
      <c r="AF325" s="228"/>
      <c r="AG325" s="228" t="str">
        <f>IFERROR(__xludf.DUMMYFUNCTION("""COMPUTED_VALUE"""),"Muhammad Ahmad")</f>
        <v>Muhammad Ahmad</v>
      </c>
      <c r="AH325" s="228" t="str">
        <f>IFERROR(__xludf.DUMMYFUNCTION("""COMPUTED_VALUE"""),"Friend")</f>
        <v>Friend</v>
      </c>
      <c r="AI325" s="228" t="str">
        <f>IFERROR(__xludf.DUMMYFUNCTION("""COMPUTED_VALUE"""),"03111410572")</f>
        <v>03111410572</v>
      </c>
      <c r="AJ325" s="228" t="str">
        <f>IFERROR(__xludf.DUMMYFUNCTION("""COMPUTED_VALUE"""),"O+")</f>
        <v>O+</v>
      </c>
      <c r="AK325" s="731" t="str">
        <f>IFERROR(__xludf.DUMMYFUNCTION("""COMPUTED_VALUE"""),"http://www.linkedin.com/in/ibrahimwattoo")</f>
        <v>http://www.linkedin.com/in/ibrahimwattoo</v>
      </c>
      <c r="AL325" s="228"/>
      <c r="AM325" s="730">
        <f>IFERROR(__xludf.DUMMYFUNCTION("""COMPUTED_VALUE"""),45453.0)</f>
        <v>45453</v>
      </c>
      <c r="AN325" s="228"/>
      <c r="AO325" s="228"/>
      <c r="AP325" s="228" t="str">
        <f>IFERROR(__xludf.DUMMYFUNCTION("""COMPUTED_VALUE"""),"NO")</f>
        <v>NO</v>
      </c>
      <c r="AQ325" s="228" t="str">
        <f>IFERROR(__xludf.DUMMYFUNCTION("""COMPUTED_VALUE"""),"Resigned/Terminated")</f>
        <v>Resigned/Terminated</v>
      </c>
    </row>
    <row r="326">
      <c r="A326" s="228">
        <f>IFERROR(__xludf.DUMMYFUNCTION("""COMPUTED_VALUE"""),5154.0)</f>
        <v>5154</v>
      </c>
      <c r="B326" s="228" t="str">
        <f>IFERROR(__xludf.DUMMYFUNCTION("""COMPUTED_VALUE"""),"Yatharth Piplani")</f>
        <v>Yatharth Piplani</v>
      </c>
      <c r="C326" s="228" t="str">
        <f>IFERROR(__xludf.DUMMYFUNCTION("""COMPUTED_VALUE"""),"pipinstallyatharth@gmail.com")</f>
        <v>pipinstallyatharth@gmail.com</v>
      </c>
      <c r="D326" s="228" t="str">
        <f>IFERROR(__xludf.DUMMYFUNCTION("""COMPUTED_VALUE"""),"yatharth.piplani@vyro.ai")</f>
        <v>yatharth.piplani@vyro.ai</v>
      </c>
      <c r="E326" s="730">
        <f>IFERROR(__xludf.DUMMYFUNCTION("""COMPUTED_VALUE"""),45131.0)</f>
        <v>45131</v>
      </c>
      <c r="F326" s="228" t="str">
        <f>IFERROR(__xludf.DUMMYFUNCTION("""COMPUTED_VALUE"""),"Sr. Machine Learning Engineer")</f>
        <v>Sr. Machine Learning Engineer</v>
      </c>
      <c r="G326" s="228" t="str">
        <f>IFERROR(__xludf.DUMMYFUNCTION("""COMPUTED_VALUE"""),"Machine Learning")</f>
        <v>Machine Learning</v>
      </c>
      <c r="H326" s="228" t="str">
        <f>IFERROR(__xludf.DUMMYFUNCTION("""COMPUTED_VALUE"""),"M. Abdullah Rafique, CTO")</f>
        <v>M. Abdullah Rafique, CTO</v>
      </c>
      <c r="I326" s="228" t="str">
        <f>IFERROR(__xludf.DUMMYFUNCTION("""COMPUTED_VALUE"""),"Permanent")</f>
        <v>Permanent</v>
      </c>
      <c r="J326" s="228" t="str">
        <f>IFERROR(__xludf.DUMMYFUNCTION("""COMPUTED_VALUE"""),"Active")</f>
        <v>Active</v>
      </c>
      <c r="K326" s="228" t="str">
        <f>IFERROR(__xludf.DUMMYFUNCTION("""COMPUTED_VALUE"""),"3M")</f>
        <v>3M</v>
      </c>
      <c r="L326" s="732">
        <f>IFERROR(__xludf.DUMMYFUNCTION("""COMPUTED_VALUE"""),45223.0)</f>
        <v>45223</v>
      </c>
      <c r="M326" s="228"/>
      <c r="N326" s="228"/>
      <c r="O326" s="228"/>
      <c r="P326" s="228" t="str">
        <f>IFERROR(__xludf.DUMMYFUNCTION("""COMPUTED_VALUE"""),"8178402951")</f>
        <v>8178402951</v>
      </c>
      <c r="Q326" s="228" t="str">
        <f>IFERROR(__xludf.DUMMYFUNCTION("""COMPUTED_VALUE"""),"24034932214")</f>
        <v>24034932214</v>
      </c>
      <c r="R326" s="228" t="str">
        <f>IFERROR(__xludf.DUMMYFUNCTION("""COMPUTED_VALUE"""),"Male")</f>
        <v>Male</v>
      </c>
      <c r="S326" s="228" t="str">
        <f>IFERROR(__xludf.DUMMYFUNCTION("""COMPUTED_VALUE"""),"HDFC Bank")</f>
        <v>HDFC Bank</v>
      </c>
      <c r="T326" s="228" t="str">
        <f>IFERROR(__xludf.DUMMYFUNCTION("""COMPUTED_VALUE"""),"YATHARTH PIPLANI")</f>
        <v>YATHARTH PIPLANI</v>
      </c>
      <c r="U326" s="228" t="str">
        <f>IFERROR(__xludf.DUMMYFUNCTION("""COMPUTED_VALUE"""),"50100647811530")</f>
        <v>50100647811530</v>
      </c>
      <c r="V326" s="228" t="str">
        <f>IFERROR(__xludf.DUMMYFUNCTION("""COMPUTED_VALUE"""),"HDFCINBB")</f>
        <v>HDFCINBB</v>
      </c>
      <c r="W326" s="228"/>
      <c r="X326" s="228" t="str">
        <f>IFERROR(__xludf.DUMMYFUNCTION("""COMPUTED_VALUE"""),"Remote")</f>
        <v>Remote</v>
      </c>
      <c r="Y326" s="730">
        <f>IFERROR(__xludf.DUMMYFUNCTION("""COMPUTED_VALUE"""),35783.0)</f>
        <v>35783</v>
      </c>
      <c r="Z326" s="228" t="str">
        <f>IFERROR(__xludf.DUMMYFUNCTION("""COMPUTED_VALUE"""),"27 Years")</f>
        <v>27 Years</v>
      </c>
      <c r="AA326" s="228" t="str">
        <f>IFERROR(__xludf.DUMMYFUNCTION("""COMPUTED_VALUE"""),"a1 west delhi - delhi 110058")</f>
        <v>a1 west delhi - delhi 110058</v>
      </c>
      <c r="AB326" s="228" t="str">
        <f>IFERROR(__xludf.DUMMYFUNCTION("""COMPUTED_VALUE"""),"Indian")</f>
        <v>Indian</v>
      </c>
      <c r="AC326" s="228" t="str">
        <f>IFERROR(__xludf.DUMMYFUNCTION("""COMPUTED_VALUE"""),"Single")</f>
        <v>Single</v>
      </c>
      <c r="AD326" s="228"/>
      <c r="AE326" s="228"/>
      <c r="AF326" s="228"/>
      <c r="AG326" s="228"/>
      <c r="AH326" s="228"/>
      <c r="AI326" s="228"/>
      <c r="AJ326" s="228" t="str">
        <f>IFERROR(__xludf.DUMMYFUNCTION("""COMPUTED_VALUE"""),"B+")</f>
        <v>B+</v>
      </c>
      <c r="AK326" s="731" t="str">
        <f>IFERROR(__xludf.DUMMYFUNCTION("""COMPUTED_VALUE"""),"https://in.linkedin.com/in/yatharthp")</f>
        <v>https://in.linkedin.com/in/yatharthp</v>
      </c>
      <c r="AL326" s="228"/>
      <c r="AM326" s="730">
        <f>IFERROR(__xludf.DUMMYFUNCTION("""COMPUTED_VALUE"""),45458.0)</f>
        <v>45458</v>
      </c>
      <c r="AN326" s="228"/>
      <c r="AO326" s="228"/>
      <c r="AP326" s="228" t="str">
        <f>IFERROR(__xludf.DUMMYFUNCTION("""COMPUTED_VALUE"""),"NO")</f>
        <v>NO</v>
      </c>
      <c r="AQ326" s="228" t="str">
        <f>IFERROR(__xludf.DUMMYFUNCTION("""COMPUTED_VALUE"""),"Resigned/Terminated")</f>
        <v>Resigned/Terminated</v>
      </c>
    </row>
    <row r="327">
      <c r="A327" s="228">
        <f>IFERROR(__xludf.DUMMYFUNCTION("""COMPUTED_VALUE"""),5160.0)</f>
        <v>5160</v>
      </c>
      <c r="B327" s="228" t="str">
        <f>IFERROR(__xludf.DUMMYFUNCTION("""COMPUTED_VALUE"""),"David Israel")</f>
        <v>David Israel</v>
      </c>
      <c r="C327" s="228" t="str">
        <f>IFERROR(__xludf.DUMMYFUNCTION("""COMPUTED_VALUE"""),"theovercomer8@gmail.com")</f>
        <v>theovercomer8@gmail.com</v>
      </c>
      <c r="D327" s="228" t="str">
        <f>IFERROR(__xludf.DUMMYFUNCTION("""COMPUTED_VALUE"""),"david.israel@vyro.ai")</f>
        <v>david.israel@vyro.ai</v>
      </c>
      <c r="E327" s="730">
        <f>IFERROR(__xludf.DUMMYFUNCTION("""COMPUTED_VALUE"""),44977.0)</f>
        <v>44977</v>
      </c>
      <c r="F327" s="228" t="str">
        <f>IFERROR(__xludf.DUMMYFUNCTION("""COMPUTED_VALUE"""),"Machine Learning Engineer")</f>
        <v>Machine Learning Engineer</v>
      </c>
      <c r="G327" s="228" t="str">
        <f>IFERROR(__xludf.DUMMYFUNCTION("""COMPUTED_VALUE"""),"Machine Learning")</f>
        <v>Machine Learning</v>
      </c>
      <c r="H327" s="228" t="str">
        <f>IFERROR(__xludf.DUMMYFUNCTION("""COMPUTED_VALUE"""),"M. Abdullah Rafique, CTO")</f>
        <v>M. Abdullah Rafique, CTO</v>
      </c>
      <c r="I327" s="228" t="str">
        <f>IFERROR(__xludf.DUMMYFUNCTION("""COMPUTED_VALUE"""),"Permanent")</f>
        <v>Permanent</v>
      </c>
      <c r="J327" s="228" t="str">
        <f>IFERROR(__xludf.DUMMYFUNCTION("""COMPUTED_VALUE"""),"Active")</f>
        <v>Active</v>
      </c>
      <c r="K327" s="228"/>
      <c r="L327" s="228"/>
      <c r="M327" s="228"/>
      <c r="N327" s="228"/>
      <c r="O327" s="228"/>
      <c r="P327" s="228" t="str">
        <f>IFERROR(__xludf.DUMMYFUNCTION("""COMPUTED_VALUE"""),"8045712959")</f>
        <v>8045712959</v>
      </c>
      <c r="Q327" s="228"/>
      <c r="R327" s="228" t="str">
        <f>IFERROR(__xludf.DUMMYFUNCTION("""COMPUTED_VALUE"""),"Male")</f>
        <v>Male</v>
      </c>
      <c r="S327" s="228" t="str">
        <f>IFERROR(__xludf.DUMMYFUNCTION("""COMPUTED_VALUE"""),"Sutton Bank")</f>
        <v>Sutton Bank</v>
      </c>
      <c r="T327" s="228"/>
      <c r="U327" s="228" t="str">
        <f>IFERROR(__xludf.DUMMYFUNCTION("""COMPUTED_VALUE"""),"Account title: Amy Gleason, Routing: 041215663, Account number: 1306385497573")</f>
        <v>Account title: Amy Gleason, Routing: 041215663, Account number: 1306385497573</v>
      </c>
      <c r="V327" s="228"/>
      <c r="W327" s="228"/>
      <c r="X327" s="228" t="str">
        <f>IFERROR(__xludf.DUMMYFUNCTION("""COMPUTED_VALUE"""),"Remote")</f>
        <v>Remote</v>
      </c>
      <c r="Y327" s="730">
        <f>IFERROR(__xludf.DUMMYFUNCTION("""COMPUTED_VALUE"""),29773.0)</f>
        <v>29773</v>
      </c>
      <c r="Z327" s="228" t="str">
        <f>IFERROR(__xludf.DUMMYFUNCTION("""COMPUTED_VALUE"""),"43 Years")</f>
        <v>43 Years</v>
      </c>
      <c r="AA327" s="228"/>
      <c r="AB327" s="228" t="str">
        <f>IFERROR(__xludf.DUMMYFUNCTION("""COMPUTED_VALUE"""),"American")</f>
        <v>American</v>
      </c>
      <c r="AC327" s="228" t="str">
        <f>IFERROR(__xludf.DUMMYFUNCTION("""COMPUTED_VALUE"""),"Married")</f>
        <v>Married</v>
      </c>
      <c r="AD327" s="228"/>
      <c r="AE327" s="228"/>
      <c r="AF327" s="228"/>
      <c r="AG327" s="228"/>
      <c r="AH327" s="228"/>
      <c r="AI327" s="228"/>
      <c r="AJ327" s="228"/>
      <c r="AK327" s="228"/>
      <c r="AL327" s="228"/>
      <c r="AM327" s="730">
        <f>IFERROR(__xludf.DUMMYFUNCTION("""COMPUTED_VALUE"""),45467.0)</f>
        <v>45467</v>
      </c>
      <c r="AN327" s="228"/>
      <c r="AO327" s="228"/>
      <c r="AP327" s="228" t="str">
        <f>IFERROR(__xludf.DUMMYFUNCTION("""COMPUTED_VALUE"""),"NO")</f>
        <v>NO</v>
      </c>
      <c r="AQ327" s="228" t="str">
        <f>IFERROR(__xludf.DUMMYFUNCTION("""COMPUTED_VALUE"""),"Resigned/Terminated")</f>
        <v>Resigned/Terminated</v>
      </c>
    </row>
    <row r="328">
      <c r="A328" s="228">
        <f>IFERROR(__xludf.DUMMYFUNCTION("""COMPUTED_VALUE"""),5161.0)</f>
        <v>5161</v>
      </c>
      <c r="B328" s="228" t="str">
        <f>IFERROR(__xludf.DUMMYFUNCTION("""COMPUTED_VALUE"""),"Immar Karim")</f>
        <v>Immar Karim</v>
      </c>
      <c r="C328" s="228" t="str">
        <f>IFERROR(__xludf.DUMMYFUNCTION("""COMPUTED_VALUE"""),"immarunnar@gmail.com")</f>
        <v>immarunnar@gmail.com</v>
      </c>
      <c r="D328" s="228" t="str">
        <f>IFERROR(__xludf.DUMMYFUNCTION("""COMPUTED_VALUE"""),"immar.karim@vyro.ai")</f>
        <v>immar.karim@vyro.ai</v>
      </c>
      <c r="E328" s="730">
        <f>IFERROR(__xludf.DUMMYFUNCTION("""COMPUTED_VALUE"""),45159.0)</f>
        <v>45159</v>
      </c>
      <c r="F328" s="228" t="str">
        <f>IFERROR(__xludf.DUMMYFUNCTION("""COMPUTED_VALUE"""),"Production DevOps Associate")</f>
        <v>Production DevOps Associate</v>
      </c>
      <c r="G328" s="228" t="str">
        <f>IFERROR(__xludf.DUMMYFUNCTION("""COMPUTED_VALUE"""),"DevOps")</f>
        <v>DevOps</v>
      </c>
      <c r="H328" s="228" t="str">
        <f>IFERROR(__xludf.DUMMYFUNCTION("""COMPUTED_VALUE"""),"Nabeel")</f>
        <v>Nabeel</v>
      </c>
      <c r="I328" s="228" t="str">
        <f>IFERROR(__xludf.DUMMYFUNCTION("""COMPUTED_VALUE"""),"Permanent")</f>
        <v>Permanent</v>
      </c>
      <c r="J328" s="228" t="str">
        <f>IFERROR(__xludf.DUMMYFUNCTION("""COMPUTED_VALUE"""),"Active")</f>
        <v>Active</v>
      </c>
      <c r="K328" s="228" t="str">
        <f>IFERROR(__xludf.DUMMYFUNCTION("""COMPUTED_VALUE"""),"3M")</f>
        <v>3M</v>
      </c>
      <c r="L328" s="732">
        <f>IFERROR(__xludf.DUMMYFUNCTION("""COMPUTED_VALUE"""),45251.0)</f>
        <v>45251</v>
      </c>
      <c r="M328" s="228"/>
      <c r="N328" s="228"/>
      <c r="O328" s="228"/>
      <c r="P328" s="228" t="str">
        <f>IFERROR(__xludf.DUMMYFUNCTION("""COMPUTED_VALUE"""),"03443844854")</f>
        <v>03443844854</v>
      </c>
      <c r="Q328" s="228" t="str">
        <f>IFERROR(__xludf.DUMMYFUNCTION("""COMPUTED_VALUE"""),"43203-1564655-3")</f>
        <v>43203-1564655-3</v>
      </c>
      <c r="R328" s="228" t="str">
        <f>IFERROR(__xludf.DUMMYFUNCTION("""COMPUTED_VALUE"""),"Male")</f>
        <v>Male</v>
      </c>
      <c r="S328" s="228" t="str">
        <f>IFERROR(__xludf.DUMMYFUNCTION("""COMPUTED_VALUE"""),"Bank Makramah")</f>
        <v>Bank Makramah</v>
      </c>
      <c r="T328" s="228" t="str">
        <f>IFERROR(__xludf.DUMMYFUNCTION("""COMPUTED_VALUE"""),"Immar Karim Unnar")</f>
        <v>Immar Karim Unnar</v>
      </c>
      <c r="U328" s="228" t="str">
        <f>IFERROR(__xludf.DUMMYFUNCTION("""COMPUTED_VALUE"""),"PK88SUMB1306387140133777")</f>
        <v>PK88SUMB1306387140133777</v>
      </c>
      <c r="V328" s="228"/>
      <c r="W328" s="228"/>
      <c r="X328" s="228" t="str">
        <f>IFERROR(__xludf.DUMMYFUNCTION("""COMPUTED_VALUE"""),"Islamabad")</f>
        <v>Islamabad</v>
      </c>
      <c r="Y328" s="730">
        <f>IFERROR(__xludf.DUMMYFUNCTION("""COMPUTED_VALUE"""),37516.0)</f>
        <v>37516</v>
      </c>
      <c r="Z328" s="228" t="str">
        <f>IFERROR(__xludf.DUMMYFUNCTION("""COMPUTED_VALUE"""),"22 Years")</f>
        <v>22 Years</v>
      </c>
      <c r="AA328" s="228" t="str">
        <f>IFERROR(__xludf.DUMMYFUNCTION("""COMPUTED_VALUE"""),"House # 28, Mir Chakar Khan Road, I-8/3, Islamabad")</f>
        <v>House # 28, Mir Chakar Khan Road, I-8/3, Islamabad</v>
      </c>
      <c r="AB328" s="228" t="str">
        <f>IFERROR(__xludf.DUMMYFUNCTION("""COMPUTED_VALUE"""),"Pakistani")</f>
        <v>Pakistani</v>
      </c>
      <c r="AC328" s="228" t="str">
        <f>IFERROR(__xludf.DUMMYFUNCTION("""COMPUTED_VALUE"""),"Single")</f>
        <v>Single</v>
      </c>
      <c r="AD328" s="228"/>
      <c r="AE328" s="228"/>
      <c r="AF328" s="228"/>
      <c r="AG328" s="228" t="str">
        <f>IFERROR(__xludf.DUMMYFUNCTION("""COMPUTED_VALUE"""),"Inamullah Unnar")</f>
        <v>Inamullah Unnar</v>
      </c>
      <c r="AH328" s="228" t="str">
        <f>IFERROR(__xludf.DUMMYFUNCTION("""COMPUTED_VALUE"""),"Mother")</f>
        <v>Mother</v>
      </c>
      <c r="AI328" s="228" t="str">
        <f>IFERROR(__xludf.DUMMYFUNCTION("""COMPUTED_VALUE"""),"03013473883")</f>
        <v>03013473883</v>
      </c>
      <c r="AJ328" s="228" t="str">
        <f>IFERROR(__xludf.DUMMYFUNCTION("""COMPUTED_VALUE"""),"O+")</f>
        <v>O+</v>
      </c>
      <c r="AK328" s="731" t="str">
        <f>IFERROR(__xludf.DUMMYFUNCTION("""COMPUTED_VALUE"""),"https://www.linkedin.com/in/immar-karim/")</f>
        <v>https://www.linkedin.com/in/immar-karim/</v>
      </c>
      <c r="AL328" s="228"/>
      <c r="AM328" s="730">
        <f>IFERROR(__xludf.DUMMYFUNCTION("""COMPUTED_VALUE"""),45450.0)</f>
        <v>45450</v>
      </c>
      <c r="AN328" s="228"/>
      <c r="AO328" s="228"/>
      <c r="AP328" s="228" t="str">
        <f>IFERROR(__xludf.DUMMYFUNCTION("""COMPUTED_VALUE"""),"NO")</f>
        <v>NO</v>
      </c>
      <c r="AQ328" s="228" t="str">
        <f>IFERROR(__xludf.DUMMYFUNCTION("""COMPUTED_VALUE"""),"Resigned/Terminated")</f>
        <v>Resigned/Terminated</v>
      </c>
    </row>
    <row r="329">
      <c r="A329" s="228">
        <f>IFERROR(__xludf.DUMMYFUNCTION("""COMPUTED_VALUE"""),5226.0)</f>
        <v>5226</v>
      </c>
      <c r="B329" s="228" t="str">
        <f>IFERROR(__xludf.DUMMYFUNCTION("""COMPUTED_VALUE"""),"Saif Ullah")</f>
        <v>Saif Ullah</v>
      </c>
      <c r="C329" s="228" t="str">
        <f>IFERROR(__xludf.DUMMYFUNCTION("""COMPUTED_VALUE"""),"sullah.bese20seecs@seecs.edu.pk")</f>
        <v>sullah.bese20seecs@seecs.edu.pk</v>
      </c>
      <c r="D329" s="228" t="str">
        <f>IFERROR(__xludf.DUMMYFUNCTION("""COMPUTED_VALUE"""),"saif.ullah@vyro.ai")</f>
        <v>saif.ullah@vyro.ai</v>
      </c>
      <c r="E329" s="730">
        <f>IFERROR(__xludf.DUMMYFUNCTION("""COMPUTED_VALUE"""),45320.0)</f>
        <v>45320</v>
      </c>
      <c r="F329" s="228" t="str">
        <f>IFERROR(__xludf.DUMMYFUNCTION("""COMPUTED_VALUE"""),"Data Engineer")</f>
        <v>Data Engineer</v>
      </c>
      <c r="G329" s="228" t="str">
        <f>IFERROR(__xludf.DUMMYFUNCTION("""COMPUTED_VALUE"""),"Business &amp; Growth")</f>
        <v>Business &amp; Growth</v>
      </c>
      <c r="H329" s="228" t="str">
        <f>IFERROR(__xludf.DUMMYFUNCTION("""COMPUTED_VALUE"""),"Ali Ayub")</f>
        <v>Ali Ayub</v>
      </c>
      <c r="I329" s="228" t="str">
        <f>IFERROR(__xludf.DUMMYFUNCTION("""COMPUTED_VALUE"""),"Permanent")</f>
        <v>Permanent</v>
      </c>
      <c r="J329" s="228" t="str">
        <f>IFERROR(__xludf.DUMMYFUNCTION("""COMPUTED_VALUE"""),"Active")</f>
        <v>Active</v>
      </c>
      <c r="K329" s="228" t="str">
        <f>IFERROR(__xludf.DUMMYFUNCTION("""COMPUTED_VALUE"""),"3M")</f>
        <v>3M</v>
      </c>
      <c r="L329" s="732">
        <f>IFERROR(__xludf.DUMMYFUNCTION("""COMPUTED_VALUE"""),45411.0)</f>
        <v>45411</v>
      </c>
      <c r="M329" s="228"/>
      <c r="N329" s="228"/>
      <c r="O329" s="228"/>
      <c r="P329" s="228" t="str">
        <f>IFERROR(__xludf.DUMMYFUNCTION("""COMPUTED_VALUE"""),"03430753002")</f>
        <v>03430753002</v>
      </c>
      <c r="Q329" s="228" t="str">
        <f>IFERROR(__xludf.DUMMYFUNCTION("""COMPUTED_VALUE"""),"61101-5764361-9")</f>
        <v>61101-5764361-9</v>
      </c>
      <c r="R329" s="228" t="str">
        <f>IFERROR(__xludf.DUMMYFUNCTION("""COMPUTED_VALUE"""),"Male")</f>
        <v>Male</v>
      </c>
      <c r="S329" s="228" t="str">
        <f>IFERROR(__xludf.DUMMYFUNCTION("""COMPUTED_VALUE"""),"HBL")</f>
        <v>HBL</v>
      </c>
      <c r="T329" s="228" t="str">
        <f>IFERROR(__xludf.DUMMYFUNCTION("""COMPUTED_VALUE"""),"SAIF ADA")</f>
        <v>SAIF ADA</v>
      </c>
      <c r="U329" s="228" t="str">
        <f>IFERROR(__xludf.DUMMYFUNCTION("""COMPUTED_VALUE"""),"PK02HABB0022927917363399")</f>
        <v>PK02HABB0022927917363399</v>
      </c>
      <c r="V329" s="228"/>
      <c r="W329" s="228"/>
      <c r="X329" s="228" t="str">
        <f>IFERROR(__xludf.DUMMYFUNCTION("""COMPUTED_VALUE"""),"Islamabad")</f>
        <v>Islamabad</v>
      </c>
      <c r="Y329" s="730">
        <f>IFERROR(__xludf.DUMMYFUNCTION("""COMPUTED_VALUE"""),37479.0)</f>
        <v>37479</v>
      </c>
      <c r="Z329" s="228" t="str">
        <f>IFERROR(__xludf.DUMMYFUNCTION("""COMPUTED_VALUE"""),"22 Years")</f>
        <v>22 Years</v>
      </c>
      <c r="AA329" s="228" t="str">
        <f>IFERROR(__xludf.DUMMYFUNCTION("""COMPUTED_VALUE"""),"Razi Hostel, NUST Main Campus, H-12, Islamabad")</f>
        <v>Razi Hostel, NUST Main Campus, H-12, Islamabad</v>
      </c>
      <c r="AB329" s="228" t="str">
        <f>IFERROR(__xludf.DUMMYFUNCTION("""COMPUTED_VALUE"""),"Pakistani")</f>
        <v>Pakistani</v>
      </c>
      <c r="AC329" s="228" t="str">
        <f>IFERROR(__xludf.DUMMYFUNCTION("""COMPUTED_VALUE"""),"Single")</f>
        <v>Single</v>
      </c>
      <c r="AD329" s="228"/>
      <c r="AE329" s="228"/>
      <c r="AF329" s="228"/>
      <c r="AG329" s="228" t="str">
        <f>IFERROR(__xludf.DUMMYFUNCTION("""COMPUTED_VALUE"""),"Fouzia Shahid")</f>
        <v>Fouzia Shahid</v>
      </c>
      <c r="AH329" s="228" t="str">
        <f>IFERROR(__xludf.DUMMYFUNCTION("""COMPUTED_VALUE"""),"Mother")</f>
        <v>Mother</v>
      </c>
      <c r="AI329" s="228" t="str">
        <f>IFERROR(__xludf.DUMMYFUNCTION("""COMPUTED_VALUE"""),"03455236181")</f>
        <v>03455236181</v>
      </c>
      <c r="AJ329" s="228" t="str">
        <f>IFERROR(__xludf.DUMMYFUNCTION("""COMPUTED_VALUE"""),"A+")</f>
        <v>A+</v>
      </c>
      <c r="AK329" s="731" t="str">
        <f>IFERROR(__xludf.DUMMYFUNCTION("""COMPUTED_VALUE"""),"https://www.linkedin.com/in/saifsafsf")</f>
        <v>https://www.linkedin.com/in/saifsafsf</v>
      </c>
      <c r="AL329" s="228"/>
      <c r="AM329" s="730">
        <f>IFERROR(__xludf.DUMMYFUNCTION("""COMPUTED_VALUE"""),45453.0)</f>
        <v>45453</v>
      </c>
      <c r="AN329" s="228"/>
      <c r="AO329" s="228"/>
      <c r="AP329" s="228" t="str">
        <f>IFERROR(__xludf.DUMMYFUNCTION("""COMPUTED_VALUE"""),"NO")</f>
        <v>NO</v>
      </c>
      <c r="AQ329" s="228" t="str">
        <f>IFERROR(__xludf.DUMMYFUNCTION("""COMPUTED_VALUE"""),"Resigned/Terminated")</f>
        <v>Resigned/Terminated</v>
      </c>
    </row>
    <row r="330">
      <c r="A330" s="228">
        <f>IFERROR(__xludf.DUMMYFUNCTION("""COMPUTED_VALUE"""),5254.0)</f>
        <v>5254</v>
      </c>
      <c r="B330" s="228" t="str">
        <f>IFERROR(__xludf.DUMMYFUNCTION("""COMPUTED_VALUE"""),"Saboor Ahmad")</f>
        <v>Saboor Ahmad</v>
      </c>
      <c r="C330" s="228" t="str">
        <f>IFERROR(__xludf.DUMMYFUNCTION("""COMPUTED_VALUE"""),"saboorahmad2105@gmail.com")</f>
        <v>saboorahmad2105@gmail.com</v>
      </c>
      <c r="D330" s="228" t="str">
        <f>IFERROR(__xludf.DUMMYFUNCTION("""COMPUTED_VALUE"""),"saboor.ahmad@vyro.ai")</f>
        <v>saboor.ahmad@vyro.ai</v>
      </c>
      <c r="E330" s="730">
        <f>IFERROR(__xludf.DUMMYFUNCTION("""COMPUTED_VALUE"""),45377.0)</f>
        <v>45377</v>
      </c>
      <c r="F330" s="228" t="str">
        <f>IFERROR(__xludf.DUMMYFUNCTION("""COMPUTED_VALUE"""),"People Associate")</f>
        <v>People Associate</v>
      </c>
      <c r="G330" s="228" t="str">
        <f>IFERROR(__xludf.DUMMYFUNCTION("""COMPUTED_VALUE"""),"People &amp; Talent")</f>
        <v>People &amp; Talent</v>
      </c>
      <c r="H330" s="228" t="str">
        <f>IFERROR(__xludf.DUMMYFUNCTION("""COMPUTED_VALUE"""),"Umer Janjua")</f>
        <v>Umer Janjua</v>
      </c>
      <c r="I330" s="228" t="str">
        <f>IFERROR(__xludf.DUMMYFUNCTION("""COMPUTED_VALUE"""),"Probation")</f>
        <v>Probation</v>
      </c>
      <c r="J330" s="228" t="str">
        <f>IFERROR(__xludf.DUMMYFUNCTION("""COMPUTED_VALUE"""),"Active")</f>
        <v>Active</v>
      </c>
      <c r="K330" s="228" t="str">
        <f>IFERROR(__xludf.DUMMYFUNCTION("""COMPUTED_VALUE"""),"3M")</f>
        <v>3M</v>
      </c>
      <c r="L330" s="732">
        <f>IFERROR(__xludf.DUMMYFUNCTION("""COMPUTED_VALUE"""),45469.0)</f>
        <v>45469</v>
      </c>
      <c r="M330" s="228"/>
      <c r="N330" s="228"/>
      <c r="O330" s="228"/>
      <c r="P330" s="228" t="str">
        <f>IFERROR(__xludf.DUMMYFUNCTION("""COMPUTED_VALUE"""),"3170834475")</f>
        <v>3170834475</v>
      </c>
      <c r="Q330" s="228" t="str">
        <f>IFERROR(__xludf.DUMMYFUNCTION("""COMPUTED_VALUE"""),"61101-8448365-1")</f>
        <v>61101-8448365-1</v>
      </c>
      <c r="R330" s="228" t="str">
        <f>IFERROR(__xludf.DUMMYFUNCTION("""COMPUTED_VALUE"""),"Male")</f>
        <v>Male</v>
      </c>
      <c r="S330" s="228" t="str">
        <f>IFERROR(__xludf.DUMMYFUNCTION("""COMPUTED_VALUE"""),"Habib Bank Limited")</f>
        <v>Habib Bank Limited</v>
      </c>
      <c r="T330" s="228" t="str">
        <f>IFERROR(__xludf.DUMMYFUNCTION("""COMPUTED_VALUE"""),"Saboor Ahmad")</f>
        <v>Saboor Ahmad</v>
      </c>
      <c r="U330" s="228" t="str">
        <f>IFERROR(__xludf.DUMMYFUNCTION("""COMPUTED_VALUE"""),"PK16HABB0025057000175903")</f>
        <v>PK16HABB0025057000175903</v>
      </c>
      <c r="V330" s="228" t="str">
        <f>IFERROR(__xludf.DUMMYFUNCTION("""COMPUTED_VALUE"""),"HABBPKKA")</f>
        <v>HABBPKKA</v>
      </c>
      <c r="W330" s="228"/>
      <c r="X330" s="228" t="str">
        <f>IFERROR(__xludf.DUMMYFUNCTION("""COMPUTED_VALUE"""),"Islamabad")</f>
        <v>Islamabad</v>
      </c>
      <c r="Y330" s="730">
        <f>IFERROR(__xludf.DUMMYFUNCTION("""COMPUTED_VALUE"""),37397.0)</f>
        <v>37397</v>
      </c>
      <c r="Z330" s="228" t="str">
        <f>IFERROR(__xludf.DUMMYFUNCTION("""COMPUTED_VALUE"""),"23 Years")</f>
        <v>23 Years</v>
      </c>
      <c r="AA330" s="228" t="str">
        <f>IFERROR(__xludf.DUMMYFUNCTION("""COMPUTED_VALUE"""),"955, Street 50, Block-C, MPCHS B-17, Islamabad 45230")</f>
        <v>955, Street 50, Block-C, MPCHS B-17, Islamabad 45230</v>
      </c>
      <c r="AB330" s="228" t="str">
        <f>IFERROR(__xludf.DUMMYFUNCTION("""COMPUTED_VALUE"""),"Pakistani")</f>
        <v>Pakistani</v>
      </c>
      <c r="AC330" s="228" t="str">
        <f>IFERROR(__xludf.DUMMYFUNCTION("""COMPUTED_VALUE"""),"Single")</f>
        <v>Single</v>
      </c>
      <c r="AD330" s="228"/>
      <c r="AE330" s="228"/>
      <c r="AF330" s="228"/>
      <c r="AG330" s="228" t="str">
        <f>IFERROR(__xludf.DUMMYFUNCTION("""COMPUTED_VALUE"""),"Muzaffar Ahmad")</f>
        <v>Muzaffar Ahmad</v>
      </c>
      <c r="AH330" s="228" t="str">
        <f>IFERROR(__xludf.DUMMYFUNCTION("""COMPUTED_VALUE"""),"Father")</f>
        <v>Father</v>
      </c>
      <c r="AI330" s="228" t="str">
        <f>IFERROR(__xludf.DUMMYFUNCTION("""COMPUTED_VALUE"""),"3215019850")</f>
        <v>3215019850</v>
      </c>
      <c r="AJ330" s="228" t="str">
        <f>IFERROR(__xludf.DUMMYFUNCTION("""COMPUTED_VALUE"""),"B+")</f>
        <v>B+</v>
      </c>
      <c r="AK330" s="731" t="str">
        <f>IFERROR(__xludf.DUMMYFUNCTION("""COMPUTED_VALUE"""),"linkedin.com/in/thisaboor21")</f>
        <v>linkedin.com/in/thisaboor21</v>
      </c>
      <c r="AL330" s="228"/>
      <c r="AM330" s="730">
        <f>IFERROR(__xludf.DUMMYFUNCTION("""COMPUTED_VALUE"""),45454.0)</f>
        <v>45454</v>
      </c>
      <c r="AN330" s="228"/>
      <c r="AO330" s="228"/>
      <c r="AP330" s="228" t="str">
        <f>IFERROR(__xludf.DUMMYFUNCTION("""COMPUTED_VALUE"""),"NO")</f>
        <v>NO</v>
      </c>
      <c r="AQ330" s="228" t="str">
        <f>IFERROR(__xludf.DUMMYFUNCTION("""COMPUTED_VALUE"""),"Resigned/Terminated")</f>
        <v>Resigned/Terminated</v>
      </c>
    </row>
    <row r="331">
      <c r="A331" s="228">
        <f>IFERROR(__xludf.DUMMYFUNCTION("""COMPUTED_VALUE"""),5267.0)</f>
        <v>5267</v>
      </c>
      <c r="B331" s="228" t="str">
        <f>IFERROR(__xludf.DUMMYFUNCTION("""COMPUTED_VALUE"""),"Aiman Daud")</f>
        <v>Aiman Daud</v>
      </c>
      <c r="C331" s="228" t="str">
        <f>IFERROR(__xludf.DUMMYFUNCTION("""COMPUTED_VALUE"""),"aimandaud97@gmail.com")</f>
        <v>aimandaud97@gmail.com</v>
      </c>
      <c r="D331" s="228" t="str">
        <f>IFERROR(__xludf.DUMMYFUNCTION("""COMPUTED_VALUE"""),"aiman.daud@vyro.ai")</f>
        <v>aiman.daud@vyro.ai</v>
      </c>
      <c r="E331" s="730">
        <f>IFERROR(__xludf.DUMMYFUNCTION("""COMPUTED_VALUE"""),45418.0)</f>
        <v>45418</v>
      </c>
      <c r="F331" s="228" t="str">
        <f>IFERROR(__xludf.DUMMYFUNCTION("""COMPUTED_VALUE"""),"Associate Product Designer")</f>
        <v>Associate Product Designer</v>
      </c>
      <c r="G331" s="228" t="str">
        <f>IFERROR(__xludf.DUMMYFUNCTION("""COMPUTED_VALUE"""),"Product Design")</f>
        <v>Product Design</v>
      </c>
      <c r="H331" s="228" t="str">
        <f>IFERROR(__xludf.DUMMYFUNCTION("""COMPUTED_VALUE"""),"Shawal Fida")</f>
        <v>Shawal Fida</v>
      </c>
      <c r="I331" s="228" t="str">
        <f>IFERROR(__xludf.DUMMYFUNCTION("""COMPUTED_VALUE"""),"Probation")</f>
        <v>Probation</v>
      </c>
      <c r="J331" s="228" t="str">
        <f>IFERROR(__xludf.DUMMYFUNCTION("""COMPUTED_VALUE"""),"Active")</f>
        <v>Active</v>
      </c>
      <c r="K331" s="228" t="str">
        <f>IFERROR(__xludf.DUMMYFUNCTION("""COMPUTED_VALUE"""),"3M")</f>
        <v>3M</v>
      </c>
      <c r="L331" s="732">
        <f>IFERROR(__xludf.DUMMYFUNCTION("""COMPUTED_VALUE"""),45510.0)</f>
        <v>45510</v>
      </c>
      <c r="M331" s="228"/>
      <c r="N331" s="228"/>
      <c r="O331" s="228"/>
      <c r="P331" s="228" t="str">
        <f>IFERROR(__xludf.DUMMYFUNCTION("""COMPUTED_VALUE"""),"3115862688")</f>
        <v>3115862688</v>
      </c>
      <c r="Q331" s="228" t="str">
        <f>IFERROR(__xludf.DUMMYFUNCTION("""COMPUTED_VALUE"""),"37404-5596830-8")</f>
        <v>37404-5596830-8</v>
      </c>
      <c r="R331" s="228" t="str">
        <f>IFERROR(__xludf.DUMMYFUNCTION("""COMPUTED_VALUE"""),"Female")</f>
        <v>Female</v>
      </c>
      <c r="S331" s="228" t="str">
        <f>IFERROR(__xludf.DUMMYFUNCTION("""COMPUTED_VALUE"""),"Habib Bank Limited")</f>
        <v>Habib Bank Limited</v>
      </c>
      <c r="T331" s="228" t="str">
        <f>IFERROR(__xludf.DUMMYFUNCTION("""COMPUTED_VALUE"""),"Aiman Daud")</f>
        <v>Aiman Daud</v>
      </c>
      <c r="U331" s="228" t="str">
        <f>IFERROR(__xludf.DUMMYFUNCTION("""COMPUTED_VALUE"""),"PK70HABB0022447901680403")</f>
        <v>PK70HABB0022447901680403</v>
      </c>
      <c r="V331" s="228" t="str">
        <f>IFERROR(__xludf.DUMMYFUNCTION("""COMPUTED_VALUE"""),"HABBPKKAA")</f>
        <v>HABBPKKAA</v>
      </c>
      <c r="W331" s="228"/>
      <c r="X331" s="228" t="str">
        <f>IFERROR(__xludf.DUMMYFUNCTION("""COMPUTED_VALUE"""),"Islamabad")</f>
        <v>Islamabad</v>
      </c>
      <c r="Y331" s="730">
        <f>IFERROR(__xludf.DUMMYFUNCTION("""COMPUTED_VALUE"""),35669.0)</f>
        <v>35669</v>
      </c>
      <c r="Z331" s="228" t="str">
        <f>IFERROR(__xludf.DUMMYFUNCTION("""COMPUTED_VALUE"""),"27 Years")</f>
        <v>27 Years</v>
      </c>
      <c r="AA331" s="228" t="str">
        <f>IFERROR(__xludf.DUMMYFUNCTION("""COMPUTED_VALUE"""),"House# 15, Street# 15, Colonel Amanullah road Bharakahu")</f>
        <v>House# 15, Street# 15, Colonel Amanullah road Bharakahu</v>
      </c>
      <c r="AB331" s="228" t="str">
        <f>IFERROR(__xludf.DUMMYFUNCTION("""COMPUTED_VALUE"""),"Pakistani")</f>
        <v>Pakistani</v>
      </c>
      <c r="AC331" s="228" t="str">
        <f>IFERROR(__xludf.DUMMYFUNCTION("""COMPUTED_VALUE"""),"Single")</f>
        <v>Single</v>
      </c>
      <c r="AD331" s="228"/>
      <c r="AE331" s="228"/>
      <c r="AF331" s="228"/>
      <c r="AG331" s="228" t="str">
        <f>IFERROR(__xludf.DUMMYFUNCTION("""COMPUTED_VALUE"""),"Muhammad Daud Abbasi")</f>
        <v>Muhammad Daud Abbasi</v>
      </c>
      <c r="AH331" s="228" t="str">
        <f>IFERROR(__xludf.DUMMYFUNCTION("""COMPUTED_VALUE"""),"Father")</f>
        <v>Father</v>
      </c>
      <c r="AI331" s="228" t="str">
        <f>IFERROR(__xludf.DUMMYFUNCTION("""COMPUTED_VALUE"""),"03215606942")</f>
        <v>03215606942</v>
      </c>
      <c r="AJ331" s="228" t="str">
        <f>IFERROR(__xludf.DUMMYFUNCTION("""COMPUTED_VALUE"""),"O+")</f>
        <v>O+</v>
      </c>
      <c r="AK331" s="731" t="str">
        <f>IFERROR(__xludf.DUMMYFUNCTION("""COMPUTED_VALUE"""),"https://www.linkedin.com/in/aiman-daud-53506aa2")</f>
        <v>https://www.linkedin.com/in/aiman-daud-53506aa2</v>
      </c>
      <c r="AL331" s="228"/>
      <c r="AM331" s="228"/>
      <c r="AN331" s="228"/>
      <c r="AO331" s="228"/>
      <c r="AP331" s="228" t="str">
        <f>IFERROR(__xludf.DUMMYFUNCTION("""COMPUTED_VALUE"""),"NO")</f>
        <v>NO</v>
      </c>
      <c r="AQ331" s="228" t="str">
        <f>IFERROR(__xludf.DUMMYFUNCTION("""COMPUTED_VALUE"""),"Resigned/Terminated")</f>
        <v>Resigned/Terminated</v>
      </c>
    </row>
    <row r="332">
      <c r="A332" s="228">
        <f>IFERROR(__xludf.DUMMYFUNCTION("""COMPUTED_VALUE"""),5268.0)</f>
        <v>5268</v>
      </c>
      <c r="B332" s="228" t="str">
        <f>IFERROR(__xludf.DUMMYFUNCTION("""COMPUTED_VALUE"""),"Ayesha Nasir")</f>
        <v>Ayesha Nasir</v>
      </c>
      <c r="C332" s="228" t="str">
        <f>IFERROR(__xludf.DUMMYFUNCTION("""COMPUTED_VALUE"""),"ayesha.nasir37726@gmail.com")</f>
        <v>ayesha.nasir37726@gmail.com</v>
      </c>
      <c r="D332" s="228" t="str">
        <f>IFERROR(__xludf.DUMMYFUNCTION("""COMPUTED_VALUE"""),"ayesha.nasir@vyro.ai")</f>
        <v>ayesha.nasir@vyro.ai</v>
      </c>
      <c r="E332" s="730">
        <f>IFERROR(__xludf.DUMMYFUNCTION("""COMPUTED_VALUE"""),45418.0)</f>
        <v>45418</v>
      </c>
      <c r="F332" s="228" t="str">
        <f>IFERROR(__xludf.DUMMYFUNCTION("""COMPUTED_VALUE"""),"App Marketing Associate")</f>
        <v>App Marketing Associate</v>
      </c>
      <c r="G332" s="228" t="str">
        <f>IFERROR(__xludf.DUMMYFUNCTION("""COMPUTED_VALUE"""),"Marketing &amp; Creatives")</f>
        <v>Marketing &amp; Creatives</v>
      </c>
      <c r="H332" s="228" t="str">
        <f>IFERROR(__xludf.DUMMYFUNCTION("""COMPUTED_VALUE"""),"Subhana Yasin")</f>
        <v>Subhana Yasin</v>
      </c>
      <c r="I332" s="228" t="str">
        <f>IFERROR(__xludf.DUMMYFUNCTION("""COMPUTED_VALUE"""),"Probation")</f>
        <v>Probation</v>
      </c>
      <c r="J332" s="228" t="str">
        <f>IFERROR(__xludf.DUMMYFUNCTION("""COMPUTED_VALUE"""),"Active")</f>
        <v>Active</v>
      </c>
      <c r="K332" s="228" t="str">
        <f>IFERROR(__xludf.DUMMYFUNCTION("""COMPUTED_VALUE"""),"3M")</f>
        <v>3M</v>
      </c>
      <c r="L332" s="732">
        <f>IFERROR(__xludf.DUMMYFUNCTION("""COMPUTED_VALUE"""),45510.0)</f>
        <v>45510</v>
      </c>
      <c r="M332" s="228"/>
      <c r="N332" s="228"/>
      <c r="O332" s="228"/>
      <c r="P332" s="228" t="str">
        <f>IFERROR(__xludf.DUMMYFUNCTION("""COMPUTED_VALUE"""),"03335561155")</f>
        <v>03335561155</v>
      </c>
      <c r="Q332" s="228" t="str">
        <f>IFERROR(__xludf.DUMMYFUNCTION("""COMPUTED_VALUE"""),"37405-8603058-0")</f>
        <v>37405-8603058-0</v>
      </c>
      <c r="R332" s="228" t="str">
        <f>IFERROR(__xludf.DUMMYFUNCTION("""COMPUTED_VALUE"""),"Female")</f>
        <v>Female</v>
      </c>
      <c r="S332" s="228" t="str">
        <f>IFERROR(__xludf.DUMMYFUNCTION("""COMPUTED_VALUE"""),"Allied Bank")</f>
        <v>Allied Bank</v>
      </c>
      <c r="T332" s="228" t="str">
        <f>IFERROR(__xludf.DUMMYFUNCTION("""COMPUTED_VALUE"""),"AYESHA NASIR")</f>
        <v>AYESHA NASIR</v>
      </c>
      <c r="U332" s="228" t="str">
        <f>IFERROR(__xludf.DUMMYFUNCTION("""COMPUTED_VALUE"""),"PK53ABPA0010085341240018")</f>
        <v>PK53ABPA0010085341240018</v>
      </c>
      <c r="V332" s="228" t="str">
        <f>IFERROR(__xludf.DUMMYFUNCTION("""COMPUTED_VALUE"""),"ABPAPKKA006")</f>
        <v>ABPAPKKA006</v>
      </c>
      <c r="W332" s="228"/>
      <c r="X332" s="228" t="str">
        <f>IFERROR(__xludf.DUMMYFUNCTION("""COMPUTED_VALUE"""),"Islamabad")</f>
        <v>Islamabad</v>
      </c>
      <c r="Y332" s="730">
        <f>IFERROR(__xludf.DUMMYFUNCTION("""COMPUTED_VALUE"""),37144.0)</f>
        <v>37144</v>
      </c>
      <c r="Z332" s="228" t="str">
        <f>IFERROR(__xludf.DUMMYFUNCTION("""COMPUTED_VALUE"""),"23 Years")</f>
        <v>23 Years</v>
      </c>
      <c r="AA332" s="228" t="str">
        <f>IFERROR(__xludf.DUMMYFUNCTION("""COMPUTED_VALUE"""),"CB335 Next to Ufone franchise, 22 no chungi road, Rawalpindi")</f>
        <v>CB335 Next to Ufone franchise, 22 no chungi road, Rawalpindi</v>
      </c>
      <c r="AB332" s="228" t="str">
        <f>IFERROR(__xludf.DUMMYFUNCTION("""COMPUTED_VALUE"""),"Pakistani")</f>
        <v>Pakistani</v>
      </c>
      <c r="AC332" s="228" t="str">
        <f>IFERROR(__xludf.DUMMYFUNCTION("""COMPUTED_VALUE"""),"Single")</f>
        <v>Single</v>
      </c>
      <c r="AD332" s="228"/>
      <c r="AE332" s="228"/>
      <c r="AF332" s="228"/>
      <c r="AG332" s="228" t="str">
        <f>IFERROR(__xludf.DUMMYFUNCTION("""COMPUTED_VALUE"""),"Nasir Mehmood")</f>
        <v>Nasir Mehmood</v>
      </c>
      <c r="AH332" s="228" t="str">
        <f>IFERROR(__xludf.DUMMYFUNCTION("""COMPUTED_VALUE"""),"Father")</f>
        <v>Father</v>
      </c>
      <c r="AI332" s="228" t="str">
        <f>IFERROR(__xludf.DUMMYFUNCTION("""COMPUTED_VALUE"""),"03335505505")</f>
        <v>03335505505</v>
      </c>
      <c r="AJ332" s="228" t="str">
        <f>IFERROR(__xludf.DUMMYFUNCTION("""COMPUTED_VALUE"""),"O+")</f>
        <v>O+</v>
      </c>
      <c r="AK332" s="731" t="str">
        <f>IFERROR(__xludf.DUMMYFUNCTION("""COMPUTED_VALUE"""),"https://pk.linkedin.com/in/ayesha-nasir-051352249")</f>
        <v>https://pk.linkedin.com/in/ayesha-nasir-051352249</v>
      </c>
      <c r="AL332" s="228"/>
      <c r="AM332" s="228"/>
      <c r="AN332" s="228"/>
      <c r="AO332" s="228"/>
      <c r="AP332" s="228" t="str">
        <f>IFERROR(__xludf.DUMMYFUNCTION("""COMPUTED_VALUE"""),"NO")</f>
        <v>NO</v>
      </c>
      <c r="AQ332" s="228" t="str">
        <f>IFERROR(__xludf.DUMMYFUNCTION("""COMPUTED_VALUE"""),"Resigned/Terminated")</f>
        <v>Resigned/Terminated</v>
      </c>
    </row>
    <row r="333">
      <c r="A333" s="228">
        <f>IFERROR(__xludf.DUMMYFUNCTION("""COMPUTED_VALUE"""),5262.0)</f>
        <v>5262</v>
      </c>
      <c r="B333" s="228" t="str">
        <f>IFERROR(__xludf.DUMMYFUNCTION("""COMPUTED_VALUE"""),"Hafsa Hassan")</f>
        <v>Hafsa Hassan</v>
      </c>
      <c r="C333" s="228" t="str">
        <f>IFERROR(__xludf.DUMMYFUNCTION("""COMPUTED_VALUE"""),"hafsahassan114@gmail.com")</f>
        <v>hafsahassan114@gmail.com</v>
      </c>
      <c r="D333" s="228" t="str">
        <f>IFERROR(__xludf.DUMMYFUNCTION("""COMPUTED_VALUE"""),"hafsa.hassan@vyro.ai")</f>
        <v>hafsa.hassan@vyro.ai</v>
      </c>
      <c r="E333" s="730">
        <f>IFERROR(__xludf.DUMMYFUNCTION("""COMPUTED_VALUE"""),45397.0)</f>
        <v>45397</v>
      </c>
      <c r="F333" s="228" t="str">
        <f>IFERROR(__xludf.DUMMYFUNCTION("""COMPUTED_VALUE"""),"Associate Product Manager")</f>
        <v>Associate Product Manager</v>
      </c>
      <c r="G333" s="228" t="str">
        <f>IFERROR(__xludf.DUMMYFUNCTION("""COMPUTED_VALUE"""),"Product")</f>
        <v>Product</v>
      </c>
      <c r="H333" s="228" t="str">
        <f>IFERROR(__xludf.DUMMYFUNCTION("""COMPUTED_VALUE"""),"Shawal Fida")</f>
        <v>Shawal Fida</v>
      </c>
      <c r="I333" s="228" t="str">
        <f>IFERROR(__xludf.DUMMYFUNCTION("""COMPUTED_VALUE"""),"Probation")</f>
        <v>Probation</v>
      </c>
      <c r="J333" s="228" t="str">
        <f>IFERROR(__xludf.DUMMYFUNCTION("""COMPUTED_VALUE"""),"Active")</f>
        <v>Active</v>
      </c>
      <c r="K333" s="228" t="str">
        <f>IFERROR(__xludf.DUMMYFUNCTION("""COMPUTED_VALUE"""),"3M")</f>
        <v>3M</v>
      </c>
      <c r="L333" s="732">
        <f>IFERROR(__xludf.DUMMYFUNCTION("""COMPUTED_VALUE"""),45488.0)</f>
        <v>45488</v>
      </c>
      <c r="M333" s="228"/>
      <c r="N333" s="228"/>
      <c r="O333" s="228"/>
      <c r="P333" s="228" t="str">
        <f>IFERROR(__xludf.DUMMYFUNCTION("""COMPUTED_VALUE"""),"3185341384")</f>
        <v>3185341384</v>
      </c>
      <c r="Q333" s="228" t="str">
        <f>IFERROR(__xludf.DUMMYFUNCTION("""COMPUTED_VALUE"""),"37406-2194723-0")</f>
        <v>37406-2194723-0</v>
      </c>
      <c r="R333" s="228" t="str">
        <f>IFERROR(__xludf.DUMMYFUNCTION("""COMPUTED_VALUE"""),"Female")</f>
        <v>Female</v>
      </c>
      <c r="S333" s="228" t="str">
        <f>IFERROR(__xludf.DUMMYFUNCTION("""COMPUTED_VALUE"""),"Bank Alfalah")</f>
        <v>Bank Alfalah</v>
      </c>
      <c r="T333" s="228" t="str">
        <f>IFERROR(__xludf.DUMMYFUNCTION("""COMPUTED_VALUE"""),"TAHREEM SABAHAT HASSAN")</f>
        <v>TAHREEM SABAHAT HASSAN</v>
      </c>
      <c r="U333" s="228" t="str">
        <f>IFERROR(__xludf.DUMMYFUNCTION("""COMPUTED_VALUE"""),"PK61ALFH0990001008439806")</f>
        <v>PK61ALFH0990001008439806</v>
      </c>
      <c r="V333" s="228" t="str">
        <f>IFERROR(__xludf.DUMMYFUNCTION("""COMPUTED_VALUE"""),"ALFHPKKAXXX")</f>
        <v>ALFHPKKAXXX</v>
      </c>
      <c r="W333" s="228"/>
      <c r="X333" s="228" t="str">
        <f>IFERROR(__xludf.DUMMYFUNCTION("""COMPUTED_VALUE"""),"Islamabad")</f>
        <v>Islamabad</v>
      </c>
      <c r="Y333" s="730">
        <f>IFERROR(__xludf.DUMMYFUNCTION("""COMPUTED_VALUE"""),36718.0)</f>
        <v>36718</v>
      </c>
      <c r="Z333" s="228" t="str">
        <f>IFERROR(__xludf.DUMMYFUNCTION("""COMPUTED_VALUE"""),"24 Years")</f>
        <v>24 Years</v>
      </c>
      <c r="AA333" s="228" t="str">
        <f>IFERROR(__xludf.DUMMYFUNCTION("""COMPUTED_VALUE"""),"CB-267/4, Street No. 05, Liaquat Road, Lalazar Colony, Wah Cantt")</f>
        <v>CB-267/4, Street No. 05, Liaquat Road, Lalazar Colony, Wah Cantt</v>
      </c>
      <c r="AB333" s="228" t="str">
        <f>IFERROR(__xludf.DUMMYFUNCTION("""COMPUTED_VALUE"""),"Pakistani")</f>
        <v>Pakistani</v>
      </c>
      <c r="AC333" s="228" t="str">
        <f>IFERROR(__xludf.DUMMYFUNCTION("""COMPUTED_VALUE"""),"Single")</f>
        <v>Single</v>
      </c>
      <c r="AD333" s="228"/>
      <c r="AE333" s="228"/>
      <c r="AF333" s="228"/>
      <c r="AG333" s="228" t="str">
        <f>IFERROR(__xludf.DUMMYFUNCTION("""COMPUTED_VALUE"""),"Saeed Ul Hassan")</f>
        <v>Saeed Ul Hassan</v>
      </c>
      <c r="AH333" s="228" t="str">
        <f>IFERROR(__xludf.DUMMYFUNCTION("""COMPUTED_VALUE"""),"Father")</f>
        <v>Father</v>
      </c>
      <c r="AI333" s="228" t="str">
        <f>IFERROR(__xludf.DUMMYFUNCTION("""COMPUTED_VALUE"""),"03145207494")</f>
        <v>03145207494</v>
      </c>
      <c r="AJ333" s="228" t="str">
        <f>IFERROR(__xludf.DUMMYFUNCTION("""COMPUTED_VALUE"""),"A+")</f>
        <v>A+</v>
      </c>
      <c r="AK333" s="731" t="str">
        <f>IFERROR(__xludf.DUMMYFUNCTION("""COMPUTED_VALUE"""),"https://www.linkedin.com/in/hafsa-hassan-330262158/")</f>
        <v>https://www.linkedin.com/in/hafsa-hassan-330262158/</v>
      </c>
      <c r="AL333" s="228"/>
      <c r="AM333" s="228"/>
      <c r="AN333" s="228"/>
      <c r="AO333" s="228"/>
      <c r="AP333" s="228" t="str">
        <f>IFERROR(__xludf.DUMMYFUNCTION("""COMPUTED_VALUE"""),"NO")</f>
        <v>NO</v>
      </c>
      <c r="AQ333" s="228" t="str">
        <f>IFERROR(__xludf.DUMMYFUNCTION("""COMPUTED_VALUE"""),"Resigned/Terminated")</f>
        <v>Resigned/Terminated</v>
      </c>
    </row>
    <row r="334">
      <c r="A334" s="228">
        <f>IFERROR(__xludf.DUMMYFUNCTION("""COMPUTED_VALUE"""),5260.0)</f>
        <v>5260</v>
      </c>
      <c r="B334" s="228" t="str">
        <f>IFERROR(__xludf.DUMMYFUNCTION("""COMPUTED_VALUE"""),"Mariam Babar Khan")</f>
        <v>Mariam Babar Khan</v>
      </c>
      <c r="C334" s="228" t="str">
        <f>IFERROR(__xludf.DUMMYFUNCTION("""COMPUTED_VALUE"""),"mariambabar2002@gmail.com")</f>
        <v>mariambabar2002@gmail.com</v>
      </c>
      <c r="D334" s="228" t="str">
        <f>IFERROR(__xludf.DUMMYFUNCTION("""COMPUTED_VALUE"""),"mariam.babar@vyro.ai")</f>
        <v>mariam.babar@vyro.ai</v>
      </c>
      <c r="E334" s="730">
        <f>IFERROR(__xludf.DUMMYFUNCTION("""COMPUTED_VALUE"""),45397.0)</f>
        <v>45397</v>
      </c>
      <c r="F334" s="228" t="str">
        <f>IFERROR(__xludf.DUMMYFUNCTION("""COMPUTED_VALUE"""),"App Marketing Associate")</f>
        <v>App Marketing Associate</v>
      </c>
      <c r="G334" s="228" t="str">
        <f>IFERROR(__xludf.DUMMYFUNCTION("""COMPUTED_VALUE"""),"Marketing &amp; Creatives")</f>
        <v>Marketing &amp; Creatives</v>
      </c>
      <c r="H334" s="228" t="str">
        <f>IFERROR(__xludf.DUMMYFUNCTION("""COMPUTED_VALUE"""),"Subhana Yasin")</f>
        <v>Subhana Yasin</v>
      </c>
      <c r="I334" s="228" t="str">
        <f>IFERROR(__xludf.DUMMYFUNCTION("""COMPUTED_VALUE"""),"Probation")</f>
        <v>Probation</v>
      </c>
      <c r="J334" s="228" t="str">
        <f>IFERROR(__xludf.DUMMYFUNCTION("""COMPUTED_VALUE"""),"Active")</f>
        <v>Active</v>
      </c>
      <c r="K334" s="228" t="str">
        <f>IFERROR(__xludf.DUMMYFUNCTION("""COMPUTED_VALUE"""),"3M")</f>
        <v>3M</v>
      </c>
      <c r="L334" s="732">
        <f>IFERROR(__xludf.DUMMYFUNCTION("""COMPUTED_VALUE"""),45488.0)</f>
        <v>45488</v>
      </c>
      <c r="M334" s="228"/>
      <c r="N334" s="228"/>
      <c r="O334" s="228"/>
      <c r="P334" s="228" t="str">
        <f>IFERROR(__xludf.DUMMYFUNCTION("""COMPUTED_VALUE"""),"3339279119")</f>
        <v>3339279119</v>
      </c>
      <c r="Q334" s="228" t="str">
        <f>IFERROR(__xludf.DUMMYFUNCTION("""COMPUTED_VALUE"""),"33302-5119953-8")</f>
        <v>33302-5119953-8</v>
      </c>
      <c r="R334" s="228" t="str">
        <f>IFERROR(__xludf.DUMMYFUNCTION("""COMPUTED_VALUE"""),"Female")</f>
        <v>Female</v>
      </c>
      <c r="S334" s="228" t="str">
        <f>IFERROR(__xludf.DUMMYFUNCTION("""COMPUTED_VALUE"""),"Askari Bank Limited")</f>
        <v>Askari Bank Limited</v>
      </c>
      <c r="T334" s="228" t="str">
        <f>IFERROR(__xludf.DUMMYFUNCTION("""COMPUTED_VALUE"""),"Mariam Babar Khan")</f>
        <v>Mariam Babar Khan</v>
      </c>
      <c r="U334" s="228" t="str">
        <f>IFERROR(__xludf.DUMMYFUNCTION("""COMPUTED_VALUE"""),"PK66ASCM0002390320008878")</f>
        <v>PK66ASCM0002390320008878</v>
      </c>
      <c r="V334" s="228" t="str">
        <f>IFERROR(__xludf.DUMMYFUNCTION("""COMPUTED_VALUE"""),"ASCMPKKA001")</f>
        <v>ASCMPKKA001</v>
      </c>
      <c r="W334" s="228"/>
      <c r="X334" s="228" t="str">
        <f>IFERROR(__xludf.DUMMYFUNCTION("""COMPUTED_VALUE"""),"Islamabad")</f>
        <v>Islamabad</v>
      </c>
      <c r="Y334" s="730">
        <f>IFERROR(__xludf.DUMMYFUNCTION("""COMPUTED_VALUE"""),37489.0)</f>
        <v>37489</v>
      </c>
      <c r="Z334" s="228" t="str">
        <f>IFERROR(__xludf.DUMMYFUNCTION("""COMPUTED_VALUE"""),"22 Years")</f>
        <v>22 Years</v>
      </c>
      <c r="AA334" s="228" t="str">
        <f>IFERROR(__xludf.DUMMYFUNCTION("""COMPUTED_VALUE"""),"House 10, Street 95, I-8/4, Islamabad 44000")</f>
        <v>House 10, Street 95, I-8/4, Islamabad 44000</v>
      </c>
      <c r="AB334" s="228" t="str">
        <f>IFERROR(__xludf.DUMMYFUNCTION("""COMPUTED_VALUE"""),"Pakistani")</f>
        <v>Pakistani</v>
      </c>
      <c r="AC334" s="228" t="str">
        <f>IFERROR(__xludf.DUMMYFUNCTION("""COMPUTED_VALUE"""),"Single")</f>
        <v>Single</v>
      </c>
      <c r="AD334" s="228"/>
      <c r="AE334" s="228"/>
      <c r="AF334" s="228"/>
      <c r="AG334" s="228" t="str">
        <f>IFERROR(__xludf.DUMMYFUNCTION("""COMPUTED_VALUE"""),"Babar Shafi Khan")</f>
        <v>Babar Shafi Khan</v>
      </c>
      <c r="AH334" s="228" t="str">
        <f>IFERROR(__xludf.DUMMYFUNCTION("""COMPUTED_VALUE"""),"Father")</f>
        <v>Father</v>
      </c>
      <c r="AI334" s="228" t="str">
        <f>IFERROR(__xludf.DUMMYFUNCTION("""COMPUTED_VALUE"""),"03334876438")</f>
        <v>03334876438</v>
      </c>
      <c r="AJ334" s="228" t="str">
        <f>IFERROR(__xludf.DUMMYFUNCTION("""COMPUTED_VALUE"""),"A+")</f>
        <v>A+</v>
      </c>
      <c r="AK334" s="731" t="str">
        <f>IFERROR(__xludf.DUMMYFUNCTION("""COMPUTED_VALUE"""),"http://linkedin.com/in/mariambabarkhan")</f>
        <v>http://linkedin.com/in/mariambabarkhan</v>
      </c>
      <c r="AL334" s="228"/>
      <c r="AM334" s="730">
        <f>IFERROR(__xludf.DUMMYFUNCTION("""COMPUTED_VALUE"""),45488.0)</f>
        <v>45488</v>
      </c>
      <c r="AN334" s="228"/>
      <c r="AO334" s="228"/>
      <c r="AP334" s="228" t="str">
        <f>IFERROR(__xludf.DUMMYFUNCTION("""COMPUTED_VALUE"""),"NO")</f>
        <v>NO</v>
      </c>
      <c r="AQ334" s="228" t="str">
        <f>IFERROR(__xludf.DUMMYFUNCTION("""COMPUTED_VALUE"""),"Resigned/Terminated")</f>
        <v>Resigned/Terminated</v>
      </c>
    </row>
    <row r="335">
      <c r="A335" s="228">
        <f>IFERROR(__xludf.DUMMYFUNCTION("""COMPUTED_VALUE"""),5035.0)</f>
        <v>5035</v>
      </c>
      <c r="B335" s="228" t="str">
        <f>IFERROR(__xludf.DUMMYFUNCTION("""COMPUTED_VALUE"""),"Syed Zeeshan Ali Shah")</f>
        <v>Syed Zeeshan Ali Shah</v>
      </c>
      <c r="C335" s="228" t="str">
        <f>IFERROR(__xludf.DUMMYFUNCTION("""COMPUTED_VALUE"""),"syedzeeshana07@gmail.com")</f>
        <v>syedzeeshana07@gmail.com</v>
      </c>
      <c r="D335" s="228" t="str">
        <f>IFERROR(__xludf.DUMMYFUNCTION("""COMPUTED_VALUE"""),"zeeshan.ali@vyro.ai")</f>
        <v>zeeshan.ali@vyro.ai</v>
      </c>
      <c r="E335" s="730">
        <f>IFERROR(__xludf.DUMMYFUNCTION("""COMPUTED_VALUE"""),44391.0)</f>
        <v>44391</v>
      </c>
      <c r="F335" s="228" t="str">
        <f>IFERROR(__xludf.DUMMYFUNCTION("""COMPUTED_VALUE"""),"Design Lead")</f>
        <v>Design Lead</v>
      </c>
      <c r="G335" s="228" t="str">
        <f>IFERROR(__xludf.DUMMYFUNCTION("""COMPUTED_VALUE"""),"Marketing")</f>
        <v>Marketing</v>
      </c>
      <c r="H335" s="228" t="str">
        <f>IFERROR(__xludf.DUMMYFUNCTION("""COMPUTED_VALUE"""),"M. Abdullah Rafique, CTO")</f>
        <v>M. Abdullah Rafique, CTO</v>
      </c>
      <c r="I335" s="228" t="str">
        <f>IFERROR(__xludf.DUMMYFUNCTION("""COMPUTED_VALUE"""),"Permanent")</f>
        <v>Permanent</v>
      </c>
      <c r="J335" s="228" t="str">
        <f>IFERROR(__xludf.DUMMYFUNCTION("""COMPUTED_VALUE"""),"Active")</f>
        <v>Active</v>
      </c>
      <c r="K335" s="228" t="str">
        <f>IFERROR(__xludf.DUMMYFUNCTION("""COMPUTED_VALUE"""),"3M")</f>
        <v>3M</v>
      </c>
      <c r="L335" s="732">
        <f>IFERROR(__xludf.DUMMYFUNCTION("""COMPUTED_VALUE"""),44483.0)</f>
        <v>44483</v>
      </c>
      <c r="M335" s="228"/>
      <c r="N335" s="228"/>
      <c r="O335" s="228"/>
      <c r="P335" s="228" t="str">
        <f>IFERROR(__xludf.DUMMYFUNCTION("""COMPUTED_VALUE"""),"3009731481")</f>
        <v>3009731481</v>
      </c>
      <c r="Q335" s="228" t="str">
        <f>IFERROR(__xludf.DUMMYFUNCTION("""COMPUTED_VALUE"""),"42401-8911321-9")</f>
        <v>42401-8911321-9</v>
      </c>
      <c r="R335" s="228" t="str">
        <f>IFERROR(__xludf.DUMMYFUNCTION("""COMPUTED_VALUE"""),"Male")</f>
        <v>Male</v>
      </c>
      <c r="S335" s="228" t="str">
        <f>IFERROR(__xludf.DUMMYFUNCTION("""COMPUTED_VALUE"""),"Wise")</f>
        <v>Wise</v>
      </c>
      <c r="T335" s="228" t="str">
        <f>IFERROR(__xludf.DUMMYFUNCTION("""COMPUTED_VALUE"""),"Syed Zeeshan Ali Shah")</f>
        <v>Syed Zeeshan Ali Shah</v>
      </c>
      <c r="U335" s="228" t="str">
        <f>IFERROR(__xludf.DUMMYFUNCTION("""COMPUTED_VALUE"""),"8313443563, Account type: Checking, Wise's address: 30 W. 26th Street, Sixth Floor, New York NY 10010, United States")</f>
        <v>8313443563, Account type: Checking, Wise's address: 30 W. 26th Street, Sixth Floor, New York NY 10010, United States</v>
      </c>
      <c r="V335" s="228"/>
      <c r="W335" s="228" t="str">
        <f>IFERROR(__xludf.DUMMYFUNCTION("""COMPUTED_VALUE"""),"026073150")</f>
        <v>026073150</v>
      </c>
      <c r="X335" s="228" t="str">
        <f>IFERROR(__xludf.DUMMYFUNCTION("""COMPUTED_VALUE"""),"Islamabad")</f>
        <v>Islamabad</v>
      </c>
      <c r="Y335" s="730">
        <f>IFERROR(__xludf.DUMMYFUNCTION("""COMPUTED_VALUE"""),36545.0)</f>
        <v>36545</v>
      </c>
      <c r="Z335" s="228" t="str">
        <f>IFERROR(__xludf.DUMMYFUNCTION("""COMPUTED_VALUE"""),"25 Years")</f>
        <v>25 Years</v>
      </c>
      <c r="AA335" s="228" t="str">
        <f>IFERROR(__xludf.DUMMYFUNCTION("""COMPUTED_VALUE"""),"House no. 200, STREET 70, PARK Avenue, E-11/2, ISB")</f>
        <v>House no. 200, STREET 70, PARK Avenue, E-11/2, ISB</v>
      </c>
      <c r="AB335" s="228" t="str">
        <f>IFERROR(__xludf.DUMMYFUNCTION("""COMPUTED_VALUE"""),"Pakistani")</f>
        <v>Pakistani</v>
      </c>
      <c r="AC335" s="228" t="str">
        <f>IFERROR(__xludf.DUMMYFUNCTION("""COMPUTED_VALUE"""),"Married")</f>
        <v>Married</v>
      </c>
      <c r="AD335" s="228"/>
      <c r="AE335" s="228"/>
      <c r="AF335" s="228"/>
      <c r="AG335" s="228" t="str">
        <f>IFERROR(__xludf.DUMMYFUNCTION("""COMPUTED_VALUE"""),"Syed Shahzad")</f>
        <v>Syed Shahzad</v>
      </c>
      <c r="AH335" s="228" t="str">
        <f>IFERROR(__xludf.DUMMYFUNCTION("""COMPUTED_VALUE"""),"Father")</f>
        <v>Father</v>
      </c>
      <c r="AI335" s="228" t="str">
        <f>IFERROR(__xludf.DUMMYFUNCTION("""COMPUTED_VALUE"""),"03009731481")</f>
        <v>03009731481</v>
      </c>
      <c r="AJ335" s="228" t="str">
        <f>IFERROR(__xludf.DUMMYFUNCTION("""COMPUTED_VALUE"""),"AB+")</f>
        <v>AB+</v>
      </c>
      <c r="AK335" s="731" t="str">
        <f>IFERROR(__xludf.DUMMYFUNCTION("""COMPUTED_VALUE"""),"https://www.linkedin.com/in/syed-zeeshan-ali-shah-78913b171/")</f>
        <v>https://www.linkedin.com/in/syed-zeeshan-ali-shah-78913b171/</v>
      </c>
      <c r="AL335" s="228"/>
      <c r="AM335" s="228"/>
      <c r="AN335" s="228"/>
      <c r="AO335" s="228"/>
      <c r="AP335" s="228" t="str">
        <f>IFERROR(__xludf.DUMMYFUNCTION("""COMPUTED_VALUE"""),"NO")</f>
        <v>NO</v>
      </c>
      <c r="AQ335" s="228" t="str">
        <f>IFERROR(__xludf.DUMMYFUNCTION("""COMPUTED_VALUE"""),"Resigned/Terminated")</f>
        <v>Resigned/Terminated</v>
      </c>
    </row>
    <row r="336">
      <c r="A336" s="228">
        <f>IFERROR(__xludf.DUMMYFUNCTION("""COMPUTED_VALUE"""),5255.0)</f>
        <v>5255</v>
      </c>
      <c r="B336" s="228" t="str">
        <f>IFERROR(__xludf.DUMMYFUNCTION("""COMPUTED_VALUE"""),"Muhammad Azfar Bin Nadeem")</f>
        <v>Muhammad Azfar Bin Nadeem</v>
      </c>
      <c r="C336" s="228" t="str">
        <f>IFERROR(__xludf.DUMMYFUNCTION("""COMPUTED_VALUE"""),"azfarnadeem9@gmail.com")</f>
        <v>azfarnadeem9@gmail.com</v>
      </c>
      <c r="D336" s="228" t="str">
        <f>IFERROR(__xludf.DUMMYFUNCTION("""COMPUTED_VALUE"""),"azfar.nadeem@vyro.ai")</f>
        <v>azfar.nadeem@vyro.ai</v>
      </c>
      <c r="E336" s="730">
        <f>IFERROR(__xludf.DUMMYFUNCTION("""COMPUTED_VALUE"""),45383.0)</f>
        <v>45383</v>
      </c>
      <c r="F336" s="228" t="str">
        <f>IFERROR(__xludf.DUMMYFUNCTION("""COMPUTED_VALUE"""),"Motion Graphics Design - Intern")</f>
        <v>Motion Graphics Design - Intern</v>
      </c>
      <c r="G336" s="228" t="str">
        <f>IFERROR(__xludf.DUMMYFUNCTION("""COMPUTED_VALUE"""),"Content")</f>
        <v>Content</v>
      </c>
      <c r="H336" s="228" t="str">
        <f>IFERROR(__xludf.DUMMYFUNCTION("""COMPUTED_VALUE"""),"Shawal Fida")</f>
        <v>Shawal Fida</v>
      </c>
      <c r="I336" s="228" t="str">
        <f>IFERROR(__xludf.DUMMYFUNCTION("""COMPUTED_VALUE"""),"Intern")</f>
        <v>Intern</v>
      </c>
      <c r="J336" s="228" t="str">
        <f>IFERROR(__xludf.DUMMYFUNCTION("""COMPUTED_VALUE"""),"Active")</f>
        <v>Active</v>
      </c>
      <c r="K336" s="228" t="str">
        <f>IFERROR(__xludf.DUMMYFUNCTION("""COMPUTED_VALUE"""),"3M")</f>
        <v>3M</v>
      </c>
      <c r="L336" s="732">
        <f>IFERROR(__xludf.DUMMYFUNCTION("""COMPUTED_VALUE"""),45474.0)</f>
        <v>45474</v>
      </c>
      <c r="M336" s="228"/>
      <c r="N336" s="228"/>
      <c r="O336" s="228"/>
      <c r="P336" s="228" t="str">
        <f>IFERROR(__xludf.DUMMYFUNCTION("""COMPUTED_VALUE"""),"03344594059")</f>
        <v>03344594059</v>
      </c>
      <c r="Q336" s="228" t="str">
        <f>IFERROR(__xludf.DUMMYFUNCTION("""COMPUTED_VALUE"""),"35202-7322972-9")</f>
        <v>35202-7322972-9</v>
      </c>
      <c r="R336" s="228" t="str">
        <f>IFERROR(__xludf.DUMMYFUNCTION("""COMPUTED_VALUE"""),"Male")</f>
        <v>Male</v>
      </c>
      <c r="S336" s="228" t="str">
        <f>IFERROR(__xludf.DUMMYFUNCTION("""COMPUTED_VALUE"""),"Meezan Bank")</f>
        <v>Meezan Bank</v>
      </c>
      <c r="T336" s="228" t="str">
        <f>IFERROR(__xludf.DUMMYFUNCTION("""COMPUTED_VALUE"""),"Muhammad Azfar Bin Nadeem")</f>
        <v>Muhammad Azfar Bin Nadeem</v>
      </c>
      <c r="U336" s="228" t="str">
        <f>IFERROR(__xludf.DUMMYFUNCTION("""COMPUTED_VALUE"""),"PK72MEZN0011640108433867")</f>
        <v>PK72MEZN0011640108433867</v>
      </c>
      <c r="V336" s="228" t="str">
        <f>IFERROR(__xludf.DUMMYFUNCTION("""COMPUTED_VALUE"""),"MEZNPKKAGRD")</f>
        <v>MEZNPKKAGRD</v>
      </c>
      <c r="W336" s="228"/>
      <c r="X336" s="228" t="str">
        <f>IFERROR(__xludf.DUMMYFUNCTION("""COMPUTED_VALUE"""),"Islamabad")</f>
        <v>Islamabad</v>
      </c>
      <c r="Y336" s="730">
        <f>IFERROR(__xludf.DUMMYFUNCTION("""COMPUTED_VALUE"""),38323.0)</f>
        <v>38323</v>
      </c>
      <c r="Z336" s="228" t="str">
        <f>IFERROR(__xludf.DUMMYFUNCTION("""COMPUTED_VALUE"""),"20 Years")</f>
        <v>20 Years</v>
      </c>
      <c r="AA336" s="228" t="str">
        <f>IFERROR(__xludf.DUMMYFUNCTION("""COMPUTED_VALUE"""),"H#60, Block C, Eden Lane Villas 1, Lahore")</f>
        <v>H#60, Block C, Eden Lane Villas 1, Lahore</v>
      </c>
      <c r="AB336" s="228" t="str">
        <f>IFERROR(__xludf.DUMMYFUNCTION("""COMPUTED_VALUE"""),"Pakistani")</f>
        <v>Pakistani</v>
      </c>
      <c r="AC336" s="228" t="str">
        <f>IFERROR(__xludf.DUMMYFUNCTION("""COMPUTED_VALUE"""),"Single")</f>
        <v>Single</v>
      </c>
      <c r="AD336" s="228"/>
      <c r="AE336" s="228"/>
      <c r="AF336" s="228"/>
      <c r="AG336" s="228" t="str">
        <f>IFERROR(__xludf.DUMMYFUNCTION("""COMPUTED_VALUE"""),"Nadeem Zafar")</f>
        <v>Nadeem Zafar</v>
      </c>
      <c r="AH336" s="228" t="str">
        <f>IFERROR(__xludf.DUMMYFUNCTION("""COMPUTED_VALUE"""),"Father")</f>
        <v>Father</v>
      </c>
      <c r="AI336" s="228" t="str">
        <f>IFERROR(__xludf.DUMMYFUNCTION("""COMPUTED_VALUE"""),"3006583089")</f>
        <v>3006583089</v>
      </c>
      <c r="AJ336" s="228" t="str">
        <f>IFERROR(__xludf.DUMMYFUNCTION("""COMPUTED_VALUE"""),"O+")</f>
        <v>O+</v>
      </c>
      <c r="AK336" s="731" t="str">
        <f>IFERROR(__xludf.DUMMYFUNCTION("""COMPUTED_VALUE"""),"https://www.linkedin.com/in/azfar-nadeem-568185301/")</f>
        <v>https://www.linkedin.com/in/azfar-nadeem-568185301/</v>
      </c>
      <c r="AL336" s="228"/>
      <c r="AM336" s="228"/>
      <c r="AN336" s="228"/>
      <c r="AO336" s="228"/>
      <c r="AP336" s="228" t="str">
        <f>IFERROR(__xludf.DUMMYFUNCTION("""COMPUTED_VALUE"""),"NO")</f>
        <v>NO</v>
      </c>
      <c r="AQ336" s="228" t="str">
        <f>IFERROR(__xludf.DUMMYFUNCTION("""COMPUTED_VALUE"""),"Resigned/Terminated")</f>
        <v>Resigned/Terminated</v>
      </c>
    </row>
    <row r="337">
      <c r="A337" s="228">
        <f>IFERROR(__xludf.DUMMYFUNCTION("""COMPUTED_VALUE"""),5142.0)</f>
        <v>5142</v>
      </c>
      <c r="B337" s="228" t="str">
        <f>IFERROR(__xludf.DUMMYFUNCTION("""COMPUTED_VALUE"""),"Faiza Khan")</f>
        <v>Faiza Khan</v>
      </c>
      <c r="C337" s="228" t="str">
        <f>IFERROR(__xludf.DUMMYFUNCTION("""COMPUTED_VALUE"""),"fk732002@gmail.com")</f>
        <v>fk732002@gmail.com</v>
      </c>
      <c r="D337" s="228" t="str">
        <f>IFERROR(__xludf.DUMMYFUNCTION("""COMPUTED_VALUE"""),"faiza.khan@vyro.ai")</f>
        <v>faiza.khan@vyro.ai</v>
      </c>
      <c r="E337" s="730">
        <f>IFERROR(__xludf.DUMMYFUNCTION("""COMPUTED_VALUE"""),45096.0)</f>
        <v>45096</v>
      </c>
      <c r="F337" s="228" t="str">
        <f>IFERROR(__xludf.DUMMYFUNCTION("""COMPUTED_VALUE"""),"Social Media Associate")</f>
        <v>Social Media Associate</v>
      </c>
      <c r="G337" s="228" t="str">
        <f>IFERROR(__xludf.DUMMYFUNCTION("""COMPUTED_VALUE"""),"Product")</f>
        <v>Product</v>
      </c>
      <c r="H337" s="228" t="str">
        <f>IFERROR(__xludf.DUMMYFUNCTION("""COMPUTED_VALUE"""),"Ali Ayub")</f>
        <v>Ali Ayub</v>
      </c>
      <c r="I337" s="228" t="str">
        <f>IFERROR(__xludf.DUMMYFUNCTION("""COMPUTED_VALUE"""),"Permanent")</f>
        <v>Permanent</v>
      </c>
      <c r="J337" s="228" t="str">
        <f>IFERROR(__xludf.DUMMYFUNCTION("""COMPUTED_VALUE"""),"Active")</f>
        <v>Active</v>
      </c>
      <c r="K337" s="228" t="str">
        <f>IFERROR(__xludf.DUMMYFUNCTION("""COMPUTED_VALUE"""),"3M")</f>
        <v>3M</v>
      </c>
      <c r="L337" s="732">
        <f>IFERROR(__xludf.DUMMYFUNCTION("""COMPUTED_VALUE"""),45188.0)</f>
        <v>45188</v>
      </c>
      <c r="M337" s="228"/>
      <c r="N337" s="228"/>
      <c r="O337" s="228"/>
      <c r="P337" s="228" t="str">
        <f>IFERROR(__xludf.DUMMYFUNCTION("""COMPUTED_VALUE"""),"03059017361")</f>
        <v>03059017361</v>
      </c>
      <c r="Q337" s="228" t="str">
        <f>IFERROR(__xludf.DUMMYFUNCTION("""COMPUTED_VALUE"""),"61101-0776147-2")</f>
        <v>61101-0776147-2</v>
      </c>
      <c r="R337" s="228" t="str">
        <f>IFERROR(__xludf.DUMMYFUNCTION("""COMPUTED_VALUE"""),"Female")</f>
        <v>Female</v>
      </c>
      <c r="S337" s="228" t="str">
        <f>IFERROR(__xludf.DUMMYFUNCTION("""COMPUTED_VALUE"""),"Meezan Bank")</f>
        <v>Meezan Bank</v>
      </c>
      <c r="T337" s="228" t="str">
        <f>IFERROR(__xludf.DUMMYFUNCTION("""COMPUTED_VALUE"""),"FAIZA KHAN")</f>
        <v>FAIZA KHAN</v>
      </c>
      <c r="U337" s="228" t="str">
        <f>IFERROR(__xludf.DUMMYFUNCTION("""COMPUTED_VALUE"""),"PK57MEZN0003120107502393")</f>
        <v>PK57MEZN0003120107502393</v>
      </c>
      <c r="V337" s="228"/>
      <c r="W337" s="228"/>
      <c r="X337" s="228" t="str">
        <f>IFERROR(__xludf.DUMMYFUNCTION("""COMPUTED_VALUE"""),"Islamabad")</f>
        <v>Islamabad</v>
      </c>
      <c r="Y337" s="730">
        <f>IFERROR(__xludf.DUMMYFUNCTION("""COMPUTED_VALUE"""),37322.0)</f>
        <v>37322</v>
      </c>
      <c r="Z337" s="228" t="str">
        <f>IFERROR(__xludf.DUMMYFUNCTION("""COMPUTED_VALUE"""),"23 Years")</f>
        <v>23 Years</v>
      </c>
      <c r="AA337" s="228" t="str">
        <f>IFERROR(__xludf.DUMMYFUNCTION("""COMPUTED_VALUE"""),"House # 556, Street # 108, Sector I-8/4 , Islamabad")</f>
        <v>House # 556, Street # 108, Sector I-8/4 , Islamabad</v>
      </c>
      <c r="AB337" s="228" t="str">
        <f>IFERROR(__xludf.DUMMYFUNCTION("""COMPUTED_VALUE"""),"Pakistani")</f>
        <v>Pakistani</v>
      </c>
      <c r="AC337" s="228" t="str">
        <f>IFERROR(__xludf.DUMMYFUNCTION("""COMPUTED_VALUE"""),"Single")</f>
        <v>Single</v>
      </c>
      <c r="AD337" s="228"/>
      <c r="AE337" s="228"/>
      <c r="AF337" s="228"/>
      <c r="AG337" s="228" t="str">
        <f>IFERROR(__xludf.DUMMYFUNCTION("""COMPUTED_VALUE"""),"Ziaullah Khan")</f>
        <v>Ziaullah Khan</v>
      </c>
      <c r="AH337" s="228" t="str">
        <f>IFERROR(__xludf.DUMMYFUNCTION("""COMPUTED_VALUE"""),"Father")</f>
        <v>Father</v>
      </c>
      <c r="AI337" s="228" t="str">
        <f>IFERROR(__xludf.DUMMYFUNCTION("""COMPUTED_VALUE"""),"3005171081")</f>
        <v>3005171081</v>
      </c>
      <c r="AJ337" s="228" t="str">
        <f>IFERROR(__xludf.DUMMYFUNCTION("""COMPUTED_VALUE"""),"A+")</f>
        <v>A+</v>
      </c>
      <c r="AK337" s="731" t="str">
        <f>IFERROR(__xludf.DUMMYFUNCTION("""COMPUTED_VALUE"""),"https://www.linkedin.com/in/faiza-khan-b99155214")</f>
        <v>https://www.linkedin.com/in/faiza-khan-b99155214</v>
      </c>
      <c r="AL337" s="228"/>
      <c r="AM337" s="730">
        <f>IFERROR(__xludf.DUMMYFUNCTION("""COMPUTED_VALUE"""),45523.0)</f>
        <v>45523</v>
      </c>
      <c r="AN337" s="228"/>
      <c r="AO337" s="228"/>
      <c r="AP337" s="228" t="str">
        <f>IFERROR(__xludf.DUMMYFUNCTION("""COMPUTED_VALUE"""),"NO")</f>
        <v>NO</v>
      </c>
      <c r="AQ337" s="228" t="str">
        <f>IFERROR(__xludf.DUMMYFUNCTION("""COMPUTED_VALUE"""),"Resigned/Terminated")</f>
        <v>Resigned/Terminated</v>
      </c>
    </row>
    <row r="338">
      <c r="A338" s="228">
        <f>IFERROR(__xludf.DUMMYFUNCTION("""COMPUTED_VALUE"""),5200.0)</f>
        <v>5200</v>
      </c>
      <c r="B338" s="228" t="str">
        <f>IFERROR(__xludf.DUMMYFUNCTION("""COMPUTED_VALUE"""),"Muhammad Waris")</f>
        <v>Muhammad Waris</v>
      </c>
      <c r="C338" s="228" t="str">
        <f>IFERROR(__xludf.DUMMYFUNCTION("""COMPUTED_VALUE"""),"warisdgk@gmail.com")</f>
        <v>warisdgk@gmail.com</v>
      </c>
      <c r="D338" s="228" t="str">
        <f>IFERROR(__xludf.DUMMYFUNCTION("""COMPUTED_VALUE"""),"muhammad.waris@vyro.ai")</f>
        <v>muhammad.waris@vyro.ai</v>
      </c>
      <c r="E338" s="730">
        <f>IFERROR(__xludf.DUMMYFUNCTION("""COMPUTED_VALUE"""),45243.0)</f>
        <v>45243</v>
      </c>
      <c r="F338" s="228" t="str">
        <f>IFERROR(__xludf.DUMMYFUNCTION("""COMPUTED_VALUE"""),"Senior Software Engineer II")</f>
        <v>Senior Software Engineer II</v>
      </c>
      <c r="G338" s="228" t="str">
        <f>IFERROR(__xludf.DUMMYFUNCTION("""COMPUTED_VALUE"""),"Mobile Engineering")</f>
        <v>Mobile Engineering</v>
      </c>
      <c r="H338" s="228" t="str">
        <f>IFERROR(__xludf.DUMMYFUNCTION("""COMPUTED_VALUE"""),"Saad Aziz")</f>
        <v>Saad Aziz</v>
      </c>
      <c r="I338" s="228" t="str">
        <f>IFERROR(__xludf.DUMMYFUNCTION("""COMPUTED_VALUE"""),"Permanent")</f>
        <v>Permanent</v>
      </c>
      <c r="J338" s="228" t="str">
        <f>IFERROR(__xludf.DUMMYFUNCTION("""COMPUTED_VALUE"""),"Active")</f>
        <v>Active</v>
      </c>
      <c r="K338" s="228" t="str">
        <f>IFERROR(__xludf.DUMMYFUNCTION("""COMPUTED_VALUE"""),"3M")</f>
        <v>3M</v>
      </c>
      <c r="L338" s="732">
        <f>IFERROR(__xludf.DUMMYFUNCTION("""COMPUTED_VALUE"""),45335.0)</f>
        <v>45335</v>
      </c>
      <c r="M338" s="228"/>
      <c r="N338" s="228"/>
      <c r="O338" s="228"/>
      <c r="P338" s="228" t="str">
        <f>IFERROR(__xludf.DUMMYFUNCTION("""COMPUTED_VALUE"""),"03346967872")</f>
        <v>03346967872</v>
      </c>
      <c r="Q338" s="228" t="str">
        <f>IFERROR(__xludf.DUMMYFUNCTION("""COMPUTED_VALUE"""),"32103-7421090-9")</f>
        <v>32103-7421090-9</v>
      </c>
      <c r="R338" s="228" t="str">
        <f>IFERROR(__xludf.DUMMYFUNCTION("""COMPUTED_VALUE"""),"Male")</f>
        <v>Male</v>
      </c>
      <c r="S338" s="228" t="str">
        <f>IFERROR(__xludf.DUMMYFUNCTION("""COMPUTED_VALUE"""),"Wise's address: 30 W. 26th Street, Sixth Floor, New York NY 10010, United States")</f>
        <v>Wise's address: 30 W. 26th Street, Sixth Floor, New York NY 10010, United States</v>
      </c>
      <c r="T338" s="228" t="str">
        <f>IFERROR(__xludf.DUMMYFUNCTION("""COMPUTED_VALUE"""),"Muhammad Waris")</f>
        <v>Muhammad Waris</v>
      </c>
      <c r="U338" s="228" t="str">
        <f>IFERROR(__xludf.DUMMYFUNCTION("""COMPUTED_VALUE"""),"8312114139")</f>
        <v>8312114139</v>
      </c>
      <c r="V338" s="228" t="str">
        <f>IFERROR(__xludf.DUMMYFUNCTION("""COMPUTED_VALUE"""),"CMFGUS33")</f>
        <v>CMFGUS33</v>
      </c>
      <c r="W338" s="228" t="str">
        <f>IFERROR(__xludf.DUMMYFUNCTION("""COMPUTED_VALUE"""),"26073150")</f>
        <v>26073150</v>
      </c>
      <c r="X338" s="228" t="str">
        <f>IFERROR(__xludf.DUMMYFUNCTION("""COMPUTED_VALUE"""),"Remote")</f>
        <v>Remote</v>
      </c>
      <c r="Y338" s="730">
        <f>IFERROR(__xludf.DUMMYFUNCTION("""COMPUTED_VALUE"""),34318.0)</f>
        <v>34318</v>
      </c>
      <c r="Z338" s="228" t="str">
        <f>IFERROR(__xludf.DUMMYFUNCTION("""COMPUTED_VALUE"""),"31 Years")</f>
        <v>31 Years</v>
      </c>
      <c r="AA338" s="228" t="str">
        <f>IFERROR(__xludf.DUMMYFUNCTION("""COMPUTED_VALUE"""),"House # 38, Awammi villas 1, Road B, Bahria Town Phase 8, Rawalpindi")</f>
        <v>House # 38, Awammi villas 1, Road B, Bahria Town Phase 8, Rawalpindi</v>
      </c>
      <c r="AB338" s="228" t="str">
        <f>IFERROR(__xludf.DUMMYFUNCTION("""COMPUTED_VALUE"""),"Pakistani")</f>
        <v>Pakistani</v>
      </c>
      <c r="AC338" s="228" t="str">
        <f>IFERROR(__xludf.DUMMYFUNCTION("""COMPUTED_VALUE"""),"Married")</f>
        <v>Married</v>
      </c>
      <c r="AD338" s="228"/>
      <c r="AE338" s="228"/>
      <c r="AF338" s="228"/>
      <c r="AG338" s="228" t="str">
        <f>IFERROR(__xludf.DUMMYFUNCTION("""COMPUTED_VALUE"""),"Ghulam Shabbir")</f>
        <v>Ghulam Shabbir</v>
      </c>
      <c r="AH338" s="228" t="str">
        <f>IFERROR(__xludf.DUMMYFUNCTION("""COMPUTED_VALUE"""),"Brother")</f>
        <v>Brother</v>
      </c>
      <c r="AI338" s="228" t="str">
        <f>IFERROR(__xludf.DUMMYFUNCTION("""COMPUTED_VALUE"""),"3365402080")</f>
        <v>3365402080</v>
      </c>
      <c r="AJ338" s="228" t="str">
        <f>IFERROR(__xludf.DUMMYFUNCTION("""COMPUTED_VALUE"""),"O+")</f>
        <v>O+</v>
      </c>
      <c r="AK338" s="731" t="str">
        <f>IFERROR(__xludf.DUMMYFUNCTION("""COMPUTED_VALUE"""),"https://www.linkedin.com/in/warisdgk/")</f>
        <v>https://www.linkedin.com/in/warisdgk/</v>
      </c>
      <c r="AL338" s="228"/>
      <c r="AM338" s="730">
        <f>IFERROR(__xludf.DUMMYFUNCTION("""COMPUTED_VALUE"""),45523.0)</f>
        <v>45523</v>
      </c>
      <c r="AN338" s="228"/>
      <c r="AO338" s="228"/>
      <c r="AP338" s="228" t="str">
        <f>IFERROR(__xludf.DUMMYFUNCTION("""COMPUTED_VALUE"""),"NO")</f>
        <v>NO</v>
      </c>
      <c r="AQ338" s="228" t="str">
        <f>IFERROR(__xludf.DUMMYFUNCTION("""COMPUTED_VALUE"""),"Resigned/Terminated")</f>
        <v>Resigned/Terminated</v>
      </c>
    </row>
    <row r="339">
      <c r="A339" s="228">
        <f>IFERROR(__xludf.DUMMYFUNCTION("""COMPUTED_VALUE"""),5152.0)</f>
        <v>5152</v>
      </c>
      <c r="B339" s="228" t="str">
        <f>IFERROR(__xludf.DUMMYFUNCTION("""COMPUTED_VALUE"""),"Abdullah Rasheed")</f>
        <v>Abdullah Rasheed</v>
      </c>
      <c r="C339" s="228" t="str">
        <f>IFERROR(__xludf.DUMMYFUNCTION("""COMPUTED_VALUE"""),"abdullahrasheed12@gmail.com")</f>
        <v>abdullahrasheed12@gmail.com</v>
      </c>
      <c r="D339" s="228" t="str">
        <f>IFERROR(__xludf.DUMMYFUNCTION("""COMPUTED_VALUE"""),"abdullah.rasheed@vyro.ai")</f>
        <v>abdullah.rasheed@vyro.ai</v>
      </c>
      <c r="E339" s="730">
        <f>IFERROR(__xludf.DUMMYFUNCTION("""COMPUTED_VALUE"""),45124.0)</f>
        <v>45124</v>
      </c>
      <c r="F339" s="228" t="str">
        <f>IFERROR(__xludf.DUMMYFUNCTION("""COMPUTED_VALUE"""),"Marketing Analyst")</f>
        <v>Marketing Analyst</v>
      </c>
      <c r="G339" s="228" t="str">
        <f>IFERROR(__xludf.DUMMYFUNCTION("""COMPUTED_VALUE"""),"Marketing")</f>
        <v>Marketing</v>
      </c>
      <c r="H339" s="228" t="str">
        <f>IFERROR(__xludf.DUMMYFUNCTION("""COMPUTED_VALUE"""),"Ahmed Abubakar, CEO")</f>
        <v>Ahmed Abubakar, CEO</v>
      </c>
      <c r="I339" s="228" t="str">
        <f>IFERROR(__xludf.DUMMYFUNCTION("""COMPUTED_VALUE"""),"Permanent")</f>
        <v>Permanent</v>
      </c>
      <c r="J339" s="228" t="str">
        <f>IFERROR(__xludf.DUMMYFUNCTION("""COMPUTED_VALUE"""),"Active")</f>
        <v>Active</v>
      </c>
      <c r="K339" s="228" t="str">
        <f>IFERROR(__xludf.DUMMYFUNCTION("""COMPUTED_VALUE"""),"3M")</f>
        <v>3M</v>
      </c>
      <c r="L339" s="732">
        <f>IFERROR(__xludf.DUMMYFUNCTION("""COMPUTED_VALUE"""),45216.0)</f>
        <v>45216</v>
      </c>
      <c r="M339" s="228"/>
      <c r="N339" s="228"/>
      <c r="O339" s="228"/>
      <c r="P339" s="228" t="str">
        <f>IFERROR(__xludf.DUMMYFUNCTION("""COMPUTED_VALUE"""),"03431464702")</f>
        <v>03431464702</v>
      </c>
      <c r="Q339" s="228" t="str">
        <f>IFERROR(__xludf.DUMMYFUNCTION("""COMPUTED_VALUE"""),"37401-7271621-7")</f>
        <v>37401-7271621-7</v>
      </c>
      <c r="R339" s="228" t="str">
        <f>IFERROR(__xludf.DUMMYFUNCTION("""COMPUTED_VALUE"""),"Male")</f>
        <v>Male</v>
      </c>
      <c r="S339" s="228" t="str">
        <f>IFERROR(__xludf.DUMMYFUNCTION("""COMPUTED_VALUE"""),"HBL")</f>
        <v>HBL</v>
      </c>
      <c r="T339" s="228" t="str">
        <f>IFERROR(__xludf.DUMMYFUNCTION("""COMPUTED_VALUE"""),"Abdullah")</f>
        <v>Abdullah</v>
      </c>
      <c r="U339" s="228" t="str">
        <f>IFERROR(__xludf.DUMMYFUNCTION("""COMPUTED_VALUE"""),"PK51HABB0023997980946303")</f>
        <v>PK51HABB0023997980946303</v>
      </c>
      <c r="V339" s="228"/>
      <c r="W339" s="228"/>
      <c r="X339" s="228" t="str">
        <f>IFERROR(__xludf.DUMMYFUNCTION("""COMPUTED_VALUE"""),"Islamabad")</f>
        <v>Islamabad</v>
      </c>
      <c r="Y339" s="730">
        <f>IFERROR(__xludf.DUMMYFUNCTION("""COMPUTED_VALUE"""),36860.0)</f>
        <v>36860</v>
      </c>
      <c r="Z339" s="228" t="str">
        <f>IFERROR(__xludf.DUMMYFUNCTION("""COMPUTED_VALUE"""),"24 Years")</f>
        <v>24 Years</v>
      </c>
      <c r="AA339" s="228" t="str">
        <f>IFERROR(__xludf.DUMMYFUNCTION("""COMPUTED_VALUE"""),"House 26, Street 3, Sec A, DHA Ph 2, Islamabad")</f>
        <v>House 26, Street 3, Sec A, DHA Ph 2, Islamabad</v>
      </c>
      <c r="AB339" s="228" t="str">
        <f>IFERROR(__xludf.DUMMYFUNCTION("""COMPUTED_VALUE"""),"Pakistani")</f>
        <v>Pakistani</v>
      </c>
      <c r="AC339" s="228" t="str">
        <f>IFERROR(__xludf.DUMMYFUNCTION("""COMPUTED_VALUE"""),"Single")</f>
        <v>Single</v>
      </c>
      <c r="AD339" s="228"/>
      <c r="AE339" s="228"/>
      <c r="AF339" s="228"/>
      <c r="AG339" s="228" t="str">
        <f>IFERROR(__xludf.DUMMYFUNCTION("""COMPUTED_VALUE"""),"Abdul Rashid")</f>
        <v>Abdul Rashid</v>
      </c>
      <c r="AH339" s="228" t="str">
        <f>IFERROR(__xludf.DUMMYFUNCTION("""COMPUTED_VALUE"""),"Father")</f>
        <v>Father</v>
      </c>
      <c r="AI339" s="228" t="str">
        <f>IFERROR(__xludf.DUMMYFUNCTION("""COMPUTED_VALUE"""),"03219090722")</f>
        <v>03219090722</v>
      </c>
      <c r="AJ339" s="228" t="str">
        <f>IFERROR(__xludf.DUMMYFUNCTION("""COMPUTED_VALUE"""),"O+")</f>
        <v>O+</v>
      </c>
      <c r="AK339" s="731" t="str">
        <f>IFERROR(__xludf.DUMMYFUNCTION("""COMPUTED_VALUE"""),"https://www.linkedin.com/in/abdullah-rashid-a1b894189")</f>
        <v>https://www.linkedin.com/in/abdullah-rashid-a1b894189</v>
      </c>
      <c r="AL339" s="228"/>
      <c r="AM339" s="730">
        <f>IFERROR(__xludf.DUMMYFUNCTION("""COMPUTED_VALUE"""),45527.0)</f>
        <v>45527</v>
      </c>
      <c r="AN339" s="228"/>
      <c r="AO339" s="228"/>
      <c r="AP339" s="228" t="str">
        <f>IFERROR(__xludf.DUMMYFUNCTION("""COMPUTED_VALUE"""),"NO")</f>
        <v>NO</v>
      </c>
      <c r="AQ339" s="228" t="str">
        <f>IFERROR(__xludf.DUMMYFUNCTION("""COMPUTED_VALUE"""),"Resigned/Terminated")</f>
        <v>Resigned/Terminated</v>
      </c>
    </row>
    <row r="340">
      <c r="A340" s="228">
        <f>IFERROR(__xludf.DUMMYFUNCTION("""COMPUTED_VALUE"""),5127.0)</f>
        <v>5127</v>
      </c>
      <c r="B340" s="228" t="str">
        <f>IFERROR(__xludf.DUMMYFUNCTION("""COMPUTED_VALUE"""),"Ali Ayub Khan")</f>
        <v>Ali Ayub Khan</v>
      </c>
      <c r="C340" s="228" t="str">
        <f>IFERROR(__xludf.DUMMYFUNCTION("""COMPUTED_VALUE"""),"aliayubkhan.work@gmail.com")</f>
        <v>aliayubkhan.work@gmail.com</v>
      </c>
      <c r="D340" s="228" t="str">
        <f>IFERROR(__xludf.DUMMYFUNCTION("""COMPUTED_VALUE"""),"ali.ayub@vyro.ai")</f>
        <v>ali.ayub@vyro.ai</v>
      </c>
      <c r="E340" s="730">
        <f>IFERROR(__xludf.DUMMYFUNCTION("""COMPUTED_VALUE"""),45061.0)</f>
        <v>45061</v>
      </c>
      <c r="F340" s="228" t="str">
        <f>IFERROR(__xludf.DUMMYFUNCTION("""COMPUTED_VALUE"""),"Product Analytics Manager")</f>
        <v>Product Analytics Manager</v>
      </c>
      <c r="G340" s="228" t="str">
        <f>IFERROR(__xludf.DUMMYFUNCTION("""COMPUTED_VALUE"""),"Product")</f>
        <v>Product</v>
      </c>
      <c r="H340" s="228" t="str">
        <f>IFERROR(__xludf.DUMMYFUNCTION("""COMPUTED_VALUE"""),"M. Abdullah Rafique, CTO")</f>
        <v>M. Abdullah Rafique, CTO</v>
      </c>
      <c r="I340" s="228" t="str">
        <f>IFERROR(__xludf.DUMMYFUNCTION("""COMPUTED_VALUE"""),"Permanent")</f>
        <v>Permanent</v>
      </c>
      <c r="J340" s="228" t="str">
        <f>IFERROR(__xludf.DUMMYFUNCTION("""COMPUTED_VALUE"""),"Active")</f>
        <v>Active</v>
      </c>
      <c r="K340" s="228" t="str">
        <f>IFERROR(__xludf.DUMMYFUNCTION("""COMPUTED_VALUE"""),"3M")</f>
        <v>3M</v>
      </c>
      <c r="L340" s="732">
        <f>IFERROR(__xludf.DUMMYFUNCTION("""COMPUTED_VALUE"""),45153.0)</f>
        <v>45153</v>
      </c>
      <c r="M340" s="228"/>
      <c r="N340" s="228"/>
      <c r="O340" s="228"/>
      <c r="P340" s="228" t="str">
        <f>IFERROR(__xludf.DUMMYFUNCTION("""COMPUTED_VALUE"""),"0301 2010198")</f>
        <v>0301 2010198</v>
      </c>
      <c r="Q340" s="228" t="str">
        <f>IFERROR(__xludf.DUMMYFUNCTION("""COMPUTED_VALUE"""),"37201-9867608-9")</f>
        <v>37201-9867608-9</v>
      </c>
      <c r="R340" s="228" t="str">
        <f>IFERROR(__xludf.DUMMYFUNCTION("""COMPUTED_VALUE"""),"Male")</f>
        <v>Male</v>
      </c>
      <c r="S340" s="228" t="str">
        <f>IFERROR(__xludf.DUMMYFUNCTION("""COMPUTED_VALUE"""),"Wise, United States")</f>
        <v>Wise, United States</v>
      </c>
      <c r="T340" s="228"/>
      <c r="U340" s="228" t="str">
        <f>IFERROR(__xludf.DUMMYFUNCTION("""COMPUTED_VALUE"""),"ACH Routing Number: 026073150, Account number: 8312165415")</f>
        <v>ACH Routing Number: 026073150, Account number: 8312165415</v>
      </c>
      <c r="V340" s="228"/>
      <c r="W340" s="228"/>
      <c r="X340" s="228" t="str">
        <f>IFERROR(__xludf.DUMMYFUNCTION("""COMPUTED_VALUE"""),"Islamabad")</f>
        <v>Islamabad</v>
      </c>
      <c r="Y340" s="730">
        <f>IFERROR(__xludf.DUMMYFUNCTION("""COMPUTED_VALUE"""),35400.0)</f>
        <v>35400</v>
      </c>
      <c r="Z340" s="228" t="str">
        <f>IFERROR(__xludf.DUMMYFUNCTION("""COMPUTED_VALUE"""),"28 Years")</f>
        <v>28 Years</v>
      </c>
      <c r="AA340" s="228" t="str">
        <f>IFERROR(__xludf.DUMMYFUNCTION("""COMPUTED_VALUE"""),"House no. 458, Street no. 22, Sector E, Bahria Town Phase 8")</f>
        <v>House no. 458, Street no. 22, Sector E, Bahria Town Phase 8</v>
      </c>
      <c r="AB340" s="228" t="str">
        <f>IFERROR(__xludf.DUMMYFUNCTION("""COMPUTED_VALUE"""),"Pakistani")</f>
        <v>Pakistani</v>
      </c>
      <c r="AC340" s="228" t="str">
        <f>IFERROR(__xludf.DUMMYFUNCTION("""COMPUTED_VALUE"""),"Married")</f>
        <v>Married</v>
      </c>
      <c r="AD340" s="228"/>
      <c r="AE340" s="228"/>
      <c r="AF340" s="228"/>
      <c r="AG340" s="228" t="str">
        <f>IFERROR(__xludf.DUMMYFUNCTION("""COMPUTED_VALUE"""),"Khalid Mahmood")</f>
        <v>Khalid Mahmood</v>
      </c>
      <c r="AH340" s="228" t="str">
        <f>IFERROR(__xludf.DUMMYFUNCTION("""COMPUTED_VALUE"""),"Father")</f>
        <v>Father</v>
      </c>
      <c r="AI340" s="228" t="str">
        <f>IFERROR(__xludf.DUMMYFUNCTION("""COMPUTED_VALUE"""),"0302 8281863")</f>
        <v>0302 8281863</v>
      </c>
      <c r="AJ340" s="228" t="str">
        <f>IFERROR(__xludf.DUMMYFUNCTION("""COMPUTED_VALUE"""),"A+")</f>
        <v>A+</v>
      </c>
      <c r="AK340" s="228"/>
      <c r="AL340" s="228"/>
      <c r="AM340" s="730">
        <f>IFERROR(__xludf.DUMMYFUNCTION("""COMPUTED_VALUE"""),45503.0)</f>
        <v>45503</v>
      </c>
      <c r="AN340" s="228"/>
      <c r="AO340" s="228"/>
      <c r="AP340" s="228" t="str">
        <f>IFERROR(__xludf.DUMMYFUNCTION("""COMPUTED_VALUE"""),"NO")</f>
        <v>NO</v>
      </c>
      <c r="AQ340" s="228" t="str">
        <f>IFERROR(__xludf.DUMMYFUNCTION("""COMPUTED_VALUE"""),"Resigned/Terminated")</f>
        <v>Resigned/Terminated</v>
      </c>
    </row>
    <row r="341">
      <c r="A341" s="228">
        <f>IFERROR(__xludf.DUMMYFUNCTION("""COMPUTED_VALUE"""),5177.0)</f>
        <v>5177</v>
      </c>
      <c r="B341" s="228" t="str">
        <f>IFERROR(__xludf.DUMMYFUNCTION("""COMPUTED_VALUE"""),"Muhammad Abubakar")</f>
        <v>Muhammad Abubakar</v>
      </c>
      <c r="C341" s="228" t="str">
        <f>IFERROR(__xludf.DUMMYFUNCTION("""COMPUTED_VALUE"""),"muhammadabubakar.bkr@gmail.com")</f>
        <v>muhammadabubakar.bkr@gmail.com</v>
      </c>
      <c r="D341" s="228" t="str">
        <f>IFERROR(__xludf.DUMMYFUNCTION("""COMPUTED_VALUE"""),"muhammad.abubakar@vyro.ai")</f>
        <v>muhammad.abubakar@vyro.ai</v>
      </c>
      <c r="E341" s="730">
        <f>IFERROR(__xludf.DUMMYFUNCTION("""COMPUTED_VALUE"""),45176.0)</f>
        <v>45176</v>
      </c>
      <c r="F341" s="228" t="str">
        <f>IFERROR(__xludf.DUMMYFUNCTION("""COMPUTED_VALUE"""),"Senior Software Engineer I")</f>
        <v>Senior Software Engineer I</v>
      </c>
      <c r="G341" s="228" t="str">
        <f>IFERROR(__xludf.DUMMYFUNCTION("""COMPUTED_VALUE"""),"Tech")</f>
        <v>Tech</v>
      </c>
      <c r="H341" s="228" t="str">
        <f>IFERROR(__xludf.DUMMYFUNCTION("""COMPUTED_VALUE"""),"Hammad Maqsood")</f>
        <v>Hammad Maqsood</v>
      </c>
      <c r="I341" s="228" t="str">
        <f>IFERROR(__xludf.DUMMYFUNCTION("""COMPUTED_VALUE"""),"Permanent")</f>
        <v>Permanent</v>
      </c>
      <c r="J341" s="228" t="str">
        <f>IFERROR(__xludf.DUMMYFUNCTION("""COMPUTED_VALUE"""),"Active")</f>
        <v>Active</v>
      </c>
      <c r="K341" s="228" t="str">
        <f>IFERROR(__xludf.DUMMYFUNCTION("""COMPUTED_VALUE"""),"3M")</f>
        <v>3M</v>
      </c>
      <c r="L341" s="732">
        <f>IFERROR(__xludf.DUMMYFUNCTION("""COMPUTED_VALUE"""),45267.0)</f>
        <v>45267</v>
      </c>
      <c r="M341" s="228"/>
      <c r="N341" s="228"/>
      <c r="O341" s="228"/>
      <c r="P341" s="228" t="str">
        <f>IFERROR(__xludf.DUMMYFUNCTION("""COMPUTED_VALUE"""),"03367946618")</f>
        <v>03367946618</v>
      </c>
      <c r="Q341" s="228" t="str">
        <f>IFERROR(__xludf.DUMMYFUNCTION("""COMPUTED_VALUE"""),"35201-8046049-1")</f>
        <v>35201-8046049-1</v>
      </c>
      <c r="R341" s="228" t="str">
        <f>IFERROR(__xludf.DUMMYFUNCTION("""COMPUTED_VALUE"""),"Male")</f>
        <v>Male</v>
      </c>
      <c r="S341" s="228" t="str">
        <f>IFERROR(__xludf.DUMMYFUNCTION("""COMPUTED_VALUE"""),"Faysal Bank")</f>
        <v>Faysal Bank</v>
      </c>
      <c r="T341" s="228" t="str">
        <f>IFERROR(__xludf.DUMMYFUNCTION("""COMPUTED_VALUE"""),"3433301000000528")</f>
        <v>3433301000000528</v>
      </c>
      <c r="U341" s="228" t="str">
        <f>IFERROR(__xludf.DUMMYFUNCTION("""COMPUTED_VALUE"""),"PK50FAYS3433301000000528")</f>
        <v>PK50FAYS3433301000000528</v>
      </c>
      <c r="V341" s="228" t="str">
        <f>IFERROR(__xludf.DUMMYFUNCTION("""COMPUTED_VALUE"""),"FAYSPKKA233")</f>
        <v>FAYSPKKA233</v>
      </c>
      <c r="W341" s="228"/>
      <c r="X341" s="228" t="str">
        <f>IFERROR(__xludf.DUMMYFUNCTION("""COMPUTED_VALUE"""),"Lahore")</f>
        <v>Lahore</v>
      </c>
      <c r="Y341" s="730">
        <f>IFERROR(__xludf.DUMMYFUNCTION("""COMPUTED_VALUE"""),37240.0)</f>
        <v>37240</v>
      </c>
      <c r="Z341" s="228" t="str">
        <f>IFERROR(__xludf.DUMMYFUNCTION("""COMPUTED_VALUE"""),"23 Years")</f>
        <v>23 Years</v>
      </c>
      <c r="AA341" s="228" t="str">
        <f>IFERROR(__xludf.DUMMYFUNCTION("""COMPUTED_VALUE"""),"Sagar Road Saddar Bazar Lahore Cantt")</f>
        <v>Sagar Road Saddar Bazar Lahore Cantt</v>
      </c>
      <c r="AB341" s="228" t="str">
        <f>IFERROR(__xludf.DUMMYFUNCTION("""COMPUTED_VALUE"""),"Pakistani")</f>
        <v>Pakistani</v>
      </c>
      <c r="AC341" s="228" t="str">
        <f>IFERROR(__xludf.DUMMYFUNCTION("""COMPUTED_VALUE"""),"Single")</f>
        <v>Single</v>
      </c>
      <c r="AD341" s="228"/>
      <c r="AE341" s="228"/>
      <c r="AF341" s="228"/>
      <c r="AG341" s="228" t="str">
        <f>IFERROR(__xludf.DUMMYFUNCTION("""COMPUTED_VALUE"""),"Zulfiqar Ali")</f>
        <v>Zulfiqar Ali</v>
      </c>
      <c r="AH341" s="228" t="str">
        <f>IFERROR(__xludf.DUMMYFUNCTION("""COMPUTED_VALUE"""),"Father")</f>
        <v>Father</v>
      </c>
      <c r="AI341" s="228" t="str">
        <f>IFERROR(__xludf.DUMMYFUNCTION("""COMPUTED_VALUE"""),"3016901317")</f>
        <v>3016901317</v>
      </c>
      <c r="AJ341" s="228" t="str">
        <f>IFERROR(__xludf.DUMMYFUNCTION("""COMPUTED_VALUE"""),"O+")</f>
        <v>O+</v>
      </c>
      <c r="AK341" s="731" t="str">
        <f>IFERROR(__xludf.DUMMYFUNCTION("""COMPUTED_VALUE"""),"https://www.linkedin.com/in/rm-umar")</f>
        <v>https://www.linkedin.com/in/rm-umar</v>
      </c>
      <c r="AL341" s="228"/>
      <c r="AM341" s="730">
        <f>IFERROR(__xludf.DUMMYFUNCTION("""COMPUTED_VALUE"""),45535.0)</f>
        <v>45535</v>
      </c>
      <c r="AN341" s="228"/>
      <c r="AO341" s="228"/>
      <c r="AP341" s="228" t="str">
        <f>IFERROR(__xludf.DUMMYFUNCTION("""COMPUTED_VALUE"""),"NO")</f>
        <v>NO</v>
      </c>
      <c r="AQ341" s="228" t="str">
        <f>IFERROR(__xludf.DUMMYFUNCTION("""COMPUTED_VALUE"""),"Resigned/Terminated")</f>
        <v>Resigned/Terminated</v>
      </c>
    </row>
    <row r="342">
      <c r="A342" s="228">
        <f>IFERROR(__xludf.DUMMYFUNCTION("""COMPUTED_VALUE"""),5269.0)</f>
        <v>5269</v>
      </c>
      <c r="B342" s="228" t="str">
        <f>IFERROR(__xludf.DUMMYFUNCTION("""COMPUTED_VALUE"""),"Myda Abbas")</f>
        <v>Myda Abbas</v>
      </c>
      <c r="C342" s="228" t="str">
        <f>IFERROR(__xludf.DUMMYFUNCTION("""COMPUTED_VALUE"""),"mydaabbas98@gmail.com")</f>
        <v>mydaabbas98@gmail.com</v>
      </c>
      <c r="D342" s="228" t="str">
        <f>IFERROR(__xludf.DUMMYFUNCTION("""COMPUTED_VALUE"""),"myda.abbas@vyro.ai")</f>
        <v>myda.abbas@vyro.ai</v>
      </c>
      <c r="E342" s="730">
        <f>IFERROR(__xludf.DUMMYFUNCTION("""COMPUTED_VALUE"""),45418.0)</f>
        <v>45418</v>
      </c>
      <c r="F342" s="228" t="str">
        <f>IFERROR(__xludf.DUMMYFUNCTION("""COMPUTED_VALUE"""),"Marketing Artist")</f>
        <v>Marketing Artist</v>
      </c>
      <c r="G342" s="228" t="str">
        <f>IFERROR(__xludf.DUMMYFUNCTION("""COMPUTED_VALUE"""),"Marketing &amp; Creatives")</f>
        <v>Marketing &amp; Creatives</v>
      </c>
      <c r="H342" s="228" t="str">
        <f>IFERROR(__xludf.DUMMYFUNCTION("""COMPUTED_VALUE"""),"Hassan Shakeel")</f>
        <v>Hassan Shakeel</v>
      </c>
      <c r="I342" s="228" t="str">
        <f>IFERROR(__xludf.DUMMYFUNCTION("""COMPUTED_VALUE"""),"Probation")</f>
        <v>Probation</v>
      </c>
      <c r="J342" s="228" t="str">
        <f>IFERROR(__xludf.DUMMYFUNCTION("""COMPUTED_VALUE"""),"Active")</f>
        <v>Active</v>
      </c>
      <c r="K342" s="228" t="str">
        <f>IFERROR(__xludf.DUMMYFUNCTION("""COMPUTED_VALUE"""),"3M")</f>
        <v>3M</v>
      </c>
      <c r="L342" s="732">
        <f>IFERROR(__xludf.DUMMYFUNCTION("""COMPUTED_VALUE"""),45510.0)</f>
        <v>45510</v>
      </c>
      <c r="M342" s="228"/>
      <c r="N342" s="228"/>
      <c r="O342" s="228"/>
      <c r="P342" s="228" t="str">
        <f>IFERROR(__xludf.DUMMYFUNCTION("""COMPUTED_VALUE"""),"03335107084")</f>
        <v>03335107084</v>
      </c>
      <c r="Q342" s="228" t="str">
        <f>IFERROR(__xludf.DUMMYFUNCTION("""COMPUTED_VALUE"""),"37405-3363346-0")</f>
        <v>37405-3363346-0</v>
      </c>
      <c r="R342" s="228" t="str">
        <f>IFERROR(__xludf.DUMMYFUNCTION("""COMPUTED_VALUE"""),"Female")</f>
        <v>Female</v>
      </c>
      <c r="S342" s="228" t="str">
        <f>IFERROR(__xludf.DUMMYFUNCTION("""COMPUTED_VALUE"""),"UBL")</f>
        <v>UBL</v>
      </c>
      <c r="T342" s="228" t="str">
        <f>IFERROR(__xludf.DUMMYFUNCTION("""COMPUTED_VALUE"""),"Myda Abbas")</f>
        <v>Myda Abbas</v>
      </c>
      <c r="U342" s="228" t="str">
        <f>IFERROR(__xludf.DUMMYFUNCTION("""COMPUTED_VALUE"""),"PK88UNIL0109000267799424")</f>
        <v>PK88UNIL0109000267799424</v>
      </c>
      <c r="V342" s="228" t="str">
        <f>IFERROR(__xludf.DUMMYFUNCTION("""COMPUTED_VALUE"""),"UNIL")</f>
        <v>UNIL</v>
      </c>
      <c r="W342" s="228"/>
      <c r="X342" s="228" t="str">
        <f>IFERROR(__xludf.DUMMYFUNCTION("""COMPUTED_VALUE"""),"Islamabad")</f>
        <v>Islamabad</v>
      </c>
      <c r="Y342" s="730">
        <f>IFERROR(__xludf.DUMMYFUNCTION("""COMPUTED_VALUE"""),36655.0)</f>
        <v>36655</v>
      </c>
      <c r="Z342" s="228" t="str">
        <f>IFERROR(__xludf.DUMMYFUNCTION("""COMPUTED_VALUE"""),"25 Years")</f>
        <v>25 Years</v>
      </c>
      <c r="AA342" s="228" t="str">
        <f>IFERROR(__xludf.DUMMYFUNCTION("""COMPUTED_VALUE"""),"334 M/2 Lane 5 Peshawar Road Rawalpindi")</f>
        <v>334 M/2 Lane 5 Peshawar Road Rawalpindi</v>
      </c>
      <c r="AB342" s="228" t="str">
        <f>IFERROR(__xludf.DUMMYFUNCTION("""COMPUTED_VALUE"""),"Pakistani")</f>
        <v>Pakistani</v>
      </c>
      <c r="AC342" s="228" t="str">
        <f>IFERROR(__xludf.DUMMYFUNCTION("""COMPUTED_VALUE"""),"Single")</f>
        <v>Single</v>
      </c>
      <c r="AD342" s="228"/>
      <c r="AE342" s="228"/>
      <c r="AF342" s="228"/>
      <c r="AG342" s="228" t="str">
        <f>IFERROR(__xludf.DUMMYFUNCTION("""COMPUTED_VALUE"""),"Sarah Sadeque")</f>
        <v>Sarah Sadeque</v>
      </c>
      <c r="AH342" s="228" t="str">
        <f>IFERROR(__xludf.DUMMYFUNCTION("""COMPUTED_VALUE"""),"Mother")</f>
        <v>Mother</v>
      </c>
      <c r="AI342" s="228" t="str">
        <f>IFERROR(__xludf.DUMMYFUNCTION("""COMPUTED_VALUE"""),"3005384049")</f>
        <v>3005384049</v>
      </c>
      <c r="AJ342" s="228" t="str">
        <f>IFERROR(__xludf.DUMMYFUNCTION("""COMPUTED_VALUE"""),"B+")</f>
        <v>B+</v>
      </c>
      <c r="AK342" s="731" t="str">
        <f>IFERROR(__xludf.DUMMYFUNCTION("""COMPUTED_VALUE"""),"https://www.linkedin.com/in/myda-abbas-51")</f>
        <v>https://www.linkedin.com/in/myda-abbas-51</v>
      </c>
      <c r="AL342" s="228"/>
      <c r="AM342" s="228"/>
      <c r="AN342" s="228"/>
      <c r="AO342" s="228"/>
      <c r="AP342" s="228" t="str">
        <f>IFERROR(__xludf.DUMMYFUNCTION("""COMPUTED_VALUE"""),"NO")</f>
        <v>NO</v>
      </c>
      <c r="AQ342" s="228" t="str">
        <f>IFERROR(__xludf.DUMMYFUNCTION("""COMPUTED_VALUE"""),"Resigned/Terminated")</f>
        <v>Resigned/Terminated</v>
      </c>
    </row>
    <row r="343">
      <c r="A343" s="228">
        <f>IFERROR(__xludf.DUMMYFUNCTION("""COMPUTED_VALUE"""),5179.0)</f>
        <v>5179</v>
      </c>
      <c r="B343" s="228" t="str">
        <f>IFERROR(__xludf.DUMMYFUNCTION("""COMPUTED_VALUE"""),"Subhana Yasin")</f>
        <v>Subhana Yasin</v>
      </c>
      <c r="C343" s="228" t="str">
        <f>IFERROR(__xludf.DUMMYFUNCTION("""COMPUTED_VALUE"""),"subhanayasin18@gmail.com")</f>
        <v>subhanayasin18@gmail.com</v>
      </c>
      <c r="D343" s="228" t="str">
        <f>IFERROR(__xludf.DUMMYFUNCTION("""COMPUTED_VALUE"""),"subhana.yasin@vyro.ai")</f>
        <v>subhana.yasin@vyro.ai</v>
      </c>
      <c r="E343" s="730">
        <f>IFERROR(__xludf.DUMMYFUNCTION("""COMPUTED_VALUE"""),45187.0)</f>
        <v>45187</v>
      </c>
      <c r="F343" s="228" t="str">
        <f>IFERROR(__xludf.DUMMYFUNCTION("""COMPUTED_VALUE"""),"App Marketing Executive")</f>
        <v>App Marketing Executive</v>
      </c>
      <c r="G343" s="228" t="str">
        <f>IFERROR(__xludf.DUMMYFUNCTION("""COMPUTED_VALUE"""),"Marketing")</f>
        <v>Marketing</v>
      </c>
      <c r="H343" s="228" t="str">
        <f>IFERROR(__xludf.DUMMYFUNCTION("""COMPUTED_VALUE"""),"Shawal Fida")</f>
        <v>Shawal Fida</v>
      </c>
      <c r="I343" s="228" t="str">
        <f>IFERROR(__xludf.DUMMYFUNCTION("""COMPUTED_VALUE"""),"Permanent")</f>
        <v>Permanent</v>
      </c>
      <c r="J343" s="228" t="str">
        <f>IFERROR(__xludf.DUMMYFUNCTION("""COMPUTED_VALUE"""),"Active")</f>
        <v>Active</v>
      </c>
      <c r="K343" s="228" t="str">
        <f>IFERROR(__xludf.DUMMYFUNCTION("""COMPUTED_VALUE"""),"3M")</f>
        <v>3M</v>
      </c>
      <c r="L343" s="732">
        <f>IFERROR(__xludf.DUMMYFUNCTION("""COMPUTED_VALUE"""),45278.0)</f>
        <v>45278</v>
      </c>
      <c r="M343" s="228"/>
      <c r="N343" s="228"/>
      <c r="O343" s="228"/>
      <c r="P343" s="228" t="str">
        <f>IFERROR(__xludf.DUMMYFUNCTION("""COMPUTED_VALUE"""),"03167125867")</f>
        <v>03167125867</v>
      </c>
      <c r="Q343" s="228" t="str">
        <f>IFERROR(__xludf.DUMMYFUNCTION("""COMPUTED_VALUE"""),"36502-1828819-0")</f>
        <v>36502-1828819-0</v>
      </c>
      <c r="R343" s="228" t="str">
        <f>IFERROR(__xludf.DUMMYFUNCTION("""COMPUTED_VALUE"""),"Female")</f>
        <v>Female</v>
      </c>
      <c r="S343" s="228" t="str">
        <f>IFERROR(__xludf.DUMMYFUNCTION("""COMPUTED_VALUE"""),"Bank Al-Habib Limited")</f>
        <v>Bank Al-Habib Limited</v>
      </c>
      <c r="T343" s="228" t="str">
        <f>IFERROR(__xludf.DUMMYFUNCTION("""COMPUTED_VALUE"""),"Subhana Yasin")</f>
        <v>Subhana Yasin</v>
      </c>
      <c r="U343" s="228" t="str">
        <f>IFERROR(__xludf.DUMMYFUNCTION("""COMPUTED_VALUE"""),"PK57BAHL5558183000149501")</f>
        <v>PK57BAHL5558183000149501</v>
      </c>
      <c r="V343" s="228"/>
      <c r="W343" s="228"/>
      <c r="X343" s="228" t="str">
        <f>IFERROR(__xludf.DUMMYFUNCTION("""COMPUTED_VALUE"""),"Islamabad")</f>
        <v>Islamabad</v>
      </c>
      <c r="Y343" s="730">
        <f>IFERROR(__xludf.DUMMYFUNCTION("""COMPUTED_VALUE"""),36574.0)</f>
        <v>36574</v>
      </c>
      <c r="Z343" s="228" t="str">
        <f>IFERROR(__xludf.DUMMYFUNCTION("""COMPUTED_VALUE"""),"25 Years")</f>
        <v>25 Years</v>
      </c>
      <c r="AA343" s="228" t="str">
        <f>IFERROR(__xludf.DUMMYFUNCTION("""COMPUTED_VALUE"""),"House 45, Street 65, Sector G-13/2, Islamabad")</f>
        <v>House 45, Street 65, Sector G-13/2, Islamabad</v>
      </c>
      <c r="AB343" s="228" t="str">
        <f>IFERROR(__xludf.DUMMYFUNCTION("""COMPUTED_VALUE"""),"Pakistani")</f>
        <v>Pakistani</v>
      </c>
      <c r="AC343" s="228" t="str">
        <f>IFERROR(__xludf.DUMMYFUNCTION("""COMPUTED_VALUE"""),"Single")</f>
        <v>Single</v>
      </c>
      <c r="AD343" s="228"/>
      <c r="AE343" s="228"/>
      <c r="AF343" s="228"/>
      <c r="AG343" s="228" t="str">
        <f>IFERROR(__xludf.DUMMYFUNCTION("""COMPUTED_VALUE"""),"Muhammad Yasin")</f>
        <v>Muhammad Yasin</v>
      </c>
      <c r="AH343" s="228" t="str">
        <f>IFERROR(__xludf.DUMMYFUNCTION("""COMPUTED_VALUE"""),"Mother")</f>
        <v>Mother</v>
      </c>
      <c r="AI343" s="228" t="str">
        <f>IFERROR(__xludf.DUMMYFUNCTION("""COMPUTED_VALUE"""),"3077289709")</f>
        <v>3077289709</v>
      </c>
      <c r="AJ343" s="228" t="str">
        <f>IFERROR(__xludf.DUMMYFUNCTION("""COMPUTED_VALUE"""),"B+")</f>
        <v>B+</v>
      </c>
      <c r="AK343" s="731" t="str">
        <f>IFERROR(__xludf.DUMMYFUNCTION("""COMPUTED_VALUE"""),"https://www.linkedin.com/in/subhana-yasin")</f>
        <v>https://www.linkedin.com/in/subhana-yasin</v>
      </c>
      <c r="AL343" s="228"/>
      <c r="AM343" s="228"/>
      <c r="AN343" s="228"/>
      <c r="AO343" s="228"/>
      <c r="AP343" s="228" t="str">
        <f>IFERROR(__xludf.DUMMYFUNCTION("""COMPUTED_VALUE"""),"NO")</f>
        <v>NO</v>
      </c>
      <c r="AQ343" s="228" t="str">
        <f>IFERROR(__xludf.DUMMYFUNCTION("""COMPUTED_VALUE"""),"Resigned/Terminated")</f>
        <v>Resigned/Terminated</v>
      </c>
    </row>
    <row r="344">
      <c r="A344" s="228">
        <f>IFERROR(__xludf.DUMMYFUNCTION("""COMPUTED_VALUE"""),5128.0)</f>
        <v>5128</v>
      </c>
      <c r="B344" s="228" t="str">
        <f>IFERROR(__xludf.DUMMYFUNCTION("""COMPUTED_VALUE"""),"Ahmad Hassan")</f>
        <v>Ahmad Hassan</v>
      </c>
      <c r="C344" s="228" t="str">
        <f>IFERROR(__xludf.DUMMYFUNCTION("""COMPUTED_VALUE"""),"Ahmadhassan136@gmail.com")</f>
        <v>Ahmadhassan136@gmail.com</v>
      </c>
      <c r="D344" s="228" t="str">
        <f>IFERROR(__xludf.DUMMYFUNCTION("""COMPUTED_VALUE"""),"ahmad.hassan@vyro.ai")</f>
        <v>ahmad.hassan@vyro.ai</v>
      </c>
      <c r="E344" s="730">
        <f>IFERROR(__xludf.DUMMYFUNCTION("""COMPUTED_VALUE"""),45061.0)</f>
        <v>45061</v>
      </c>
      <c r="F344" s="228" t="str">
        <f>IFERROR(__xludf.DUMMYFUNCTION("""COMPUTED_VALUE"""),"Flutter Developer")</f>
        <v>Flutter Developer</v>
      </c>
      <c r="G344" s="228" t="str">
        <f>IFERROR(__xludf.DUMMYFUNCTION("""COMPUTED_VALUE"""),"Flutter")</f>
        <v>Flutter</v>
      </c>
      <c r="H344" s="228" t="str">
        <f>IFERROR(__xludf.DUMMYFUNCTION("""COMPUTED_VALUE"""),"M. Abdullah Rafique, CTO")</f>
        <v>M. Abdullah Rafique, CTO</v>
      </c>
      <c r="I344" s="228" t="str">
        <f>IFERROR(__xludf.DUMMYFUNCTION("""COMPUTED_VALUE"""),"Permanent")</f>
        <v>Permanent</v>
      </c>
      <c r="J344" s="228" t="str">
        <f>IFERROR(__xludf.DUMMYFUNCTION("""COMPUTED_VALUE"""),"Active")</f>
        <v>Active</v>
      </c>
      <c r="K344" s="228" t="str">
        <f>IFERROR(__xludf.DUMMYFUNCTION("""COMPUTED_VALUE"""),"3M")</f>
        <v>3M</v>
      </c>
      <c r="L344" s="732">
        <f>IFERROR(__xludf.DUMMYFUNCTION("""COMPUTED_VALUE"""),45153.0)</f>
        <v>45153</v>
      </c>
      <c r="M344" s="228"/>
      <c r="N344" s="228"/>
      <c r="O344" s="228"/>
      <c r="P344" s="228" t="str">
        <f>IFERROR(__xludf.DUMMYFUNCTION("""COMPUTED_VALUE"""),"03405174664")</f>
        <v>03405174664</v>
      </c>
      <c r="Q344" s="228" t="str">
        <f>IFERROR(__xludf.DUMMYFUNCTION("""COMPUTED_VALUE"""),"37405-4246562-3")</f>
        <v>37405-4246562-3</v>
      </c>
      <c r="R344" s="228" t="str">
        <f>IFERROR(__xludf.DUMMYFUNCTION("""COMPUTED_VALUE"""),"Male")</f>
        <v>Male</v>
      </c>
      <c r="S344" s="228" t="str">
        <f>IFERROR(__xludf.DUMMYFUNCTION("""COMPUTED_VALUE"""),"Meezan")</f>
        <v>Meezan</v>
      </c>
      <c r="T344" s="228"/>
      <c r="U344" s="228" t="str">
        <f>IFERROR(__xludf.DUMMYFUNCTION("""COMPUTED_VALUE"""),"8810103921006")</f>
        <v>8810103921006</v>
      </c>
      <c r="V344" s="228"/>
      <c r="W344" s="228"/>
      <c r="X344" s="228" t="str">
        <f>IFERROR(__xludf.DUMMYFUNCTION("""COMPUTED_VALUE"""),"Islamabad")</f>
        <v>Islamabad</v>
      </c>
      <c r="Y344" s="730">
        <f>IFERROR(__xludf.DUMMYFUNCTION("""COMPUTED_VALUE"""),35997.0)</f>
        <v>35997</v>
      </c>
      <c r="Z344" s="228" t="str">
        <f>IFERROR(__xludf.DUMMYFUNCTION("""COMPUTED_VALUE"""),"26 Years")</f>
        <v>26 Years</v>
      </c>
      <c r="AA344" s="228" t="str">
        <f>IFERROR(__xludf.DUMMYFUNCTION("""COMPUTED_VALUE"""),"A/519, St 10, Mohan pura, RWP")</f>
        <v>A/519, St 10, Mohan pura, RWP</v>
      </c>
      <c r="AB344" s="228" t="str">
        <f>IFERROR(__xludf.DUMMYFUNCTION("""COMPUTED_VALUE"""),"Pakistani")</f>
        <v>Pakistani</v>
      </c>
      <c r="AC344" s="228" t="str">
        <f>IFERROR(__xludf.DUMMYFUNCTION("""COMPUTED_VALUE"""),"Single")</f>
        <v>Single</v>
      </c>
      <c r="AD344" s="228"/>
      <c r="AE344" s="228"/>
      <c r="AF344" s="228"/>
      <c r="AG344" s="228" t="str">
        <f>IFERROR(__xludf.DUMMYFUNCTION("""COMPUTED_VALUE"""),"Abid Majeed")</f>
        <v>Abid Majeed</v>
      </c>
      <c r="AH344" s="228" t="str">
        <f>IFERROR(__xludf.DUMMYFUNCTION("""COMPUTED_VALUE"""),"Father")</f>
        <v>Father</v>
      </c>
      <c r="AI344" s="228" t="str">
        <f>IFERROR(__xludf.DUMMYFUNCTION("""COMPUTED_VALUE"""),"3215509443")</f>
        <v>3215509443</v>
      </c>
      <c r="AJ344" s="228"/>
      <c r="AK344" s="228"/>
      <c r="AL344" s="228"/>
      <c r="AM344" s="730">
        <f>IFERROR(__xludf.DUMMYFUNCTION("""COMPUTED_VALUE"""),45569.0)</f>
        <v>45569</v>
      </c>
      <c r="AN344" s="228"/>
      <c r="AO344" s="228"/>
      <c r="AP344" s="228" t="str">
        <f>IFERROR(__xludf.DUMMYFUNCTION("""COMPUTED_VALUE"""),"NO")</f>
        <v>NO</v>
      </c>
      <c r="AQ344" s="228" t="str">
        <f>IFERROR(__xludf.DUMMYFUNCTION("""COMPUTED_VALUE"""),"Resigned/Terminated")</f>
        <v>Resigned/Terminated</v>
      </c>
    </row>
    <row r="345">
      <c r="A345" s="228">
        <f>IFERROR(__xludf.DUMMYFUNCTION("""COMPUTED_VALUE"""),5253.0)</f>
        <v>5253</v>
      </c>
      <c r="B345" s="228" t="str">
        <f>IFERROR(__xludf.DUMMYFUNCTION("""COMPUTED_VALUE"""),"Ayesha Shakeel")</f>
        <v>Ayesha Shakeel</v>
      </c>
      <c r="C345" s="228" t="str">
        <f>IFERROR(__xludf.DUMMYFUNCTION("""COMPUTED_VALUE"""),"Ayeshafarooqui55@gmail.com")</f>
        <v>Ayeshafarooqui55@gmail.com</v>
      </c>
      <c r="D345" s="228" t="str">
        <f>IFERROR(__xludf.DUMMYFUNCTION("""COMPUTED_VALUE"""),"ayesha.shakeel@vyro.ai")</f>
        <v>ayesha.shakeel@vyro.ai</v>
      </c>
      <c r="E345" s="730">
        <f>IFERROR(__xludf.DUMMYFUNCTION("""COMPUTED_VALUE"""),45376.0)</f>
        <v>45376</v>
      </c>
      <c r="F345" s="228" t="str">
        <f>IFERROR(__xludf.DUMMYFUNCTION("""COMPUTED_VALUE"""),"SEO Content Writer")</f>
        <v>SEO Content Writer</v>
      </c>
      <c r="G345" s="228" t="str">
        <f>IFERROR(__xludf.DUMMYFUNCTION("""COMPUTED_VALUE"""),"Content")</f>
        <v>Content</v>
      </c>
      <c r="H345" s="228" t="str">
        <f>IFERROR(__xludf.DUMMYFUNCTION("""COMPUTED_VALUE"""),"Shehak Raza")</f>
        <v>Shehak Raza</v>
      </c>
      <c r="I345" s="228" t="str">
        <f>IFERROR(__xludf.DUMMYFUNCTION("""COMPUTED_VALUE"""),"Probation")</f>
        <v>Probation</v>
      </c>
      <c r="J345" s="228" t="str">
        <f>IFERROR(__xludf.DUMMYFUNCTION("""COMPUTED_VALUE"""),"Active")</f>
        <v>Active</v>
      </c>
      <c r="K345" s="228" t="str">
        <f>IFERROR(__xludf.DUMMYFUNCTION("""COMPUTED_VALUE"""),"3M")</f>
        <v>3M</v>
      </c>
      <c r="L345" s="732">
        <f>IFERROR(__xludf.DUMMYFUNCTION("""COMPUTED_VALUE"""),45468.0)</f>
        <v>45468</v>
      </c>
      <c r="M345" s="228"/>
      <c r="N345" s="228"/>
      <c r="O345" s="228"/>
      <c r="P345" s="228" t="str">
        <f>IFERROR(__xludf.DUMMYFUNCTION("""COMPUTED_VALUE"""),"03075896313")</f>
        <v>03075896313</v>
      </c>
      <c r="Q345" s="228" t="str">
        <f>IFERROR(__xludf.DUMMYFUNCTION("""COMPUTED_VALUE"""),"42301-1838144-6")</f>
        <v>42301-1838144-6</v>
      </c>
      <c r="R345" s="228" t="str">
        <f>IFERROR(__xludf.DUMMYFUNCTION("""COMPUTED_VALUE"""),"Female")</f>
        <v>Female</v>
      </c>
      <c r="S345" s="228" t="str">
        <f>IFERROR(__xludf.DUMMYFUNCTION("""COMPUTED_VALUE"""),"Bank Islami")</f>
        <v>Bank Islami</v>
      </c>
      <c r="T345" s="228" t="str">
        <f>IFERROR(__xludf.DUMMYFUNCTION("""COMPUTED_VALUE"""),"Ayesha Shakeel")</f>
        <v>Ayesha Shakeel</v>
      </c>
      <c r="U345" s="228" t="str">
        <f>IFERROR(__xludf.DUMMYFUNCTION("""COMPUTED_VALUE"""),"PK12BKIP0300218331700001")</f>
        <v>PK12BKIP0300218331700001</v>
      </c>
      <c r="V345" s="228" t="str">
        <f>IFERROR(__xludf.DUMMYFUNCTION("""COMPUTED_VALUE"""),"Not Provided")</f>
        <v>Not Provided</v>
      </c>
      <c r="W345" s="228"/>
      <c r="X345" s="228" t="str">
        <f>IFERROR(__xludf.DUMMYFUNCTION("""COMPUTED_VALUE"""),"Islamabad")</f>
        <v>Islamabad</v>
      </c>
      <c r="Y345" s="730">
        <f>IFERROR(__xludf.DUMMYFUNCTION("""COMPUTED_VALUE"""),36962.0)</f>
        <v>36962</v>
      </c>
      <c r="Z345" s="228" t="str">
        <f>IFERROR(__xludf.DUMMYFUNCTION("""COMPUTED_VALUE"""),"24 Years")</f>
        <v>24 Years</v>
      </c>
      <c r="AA345" s="228" t="str">
        <f>IFERROR(__xludf.DUMMYFUNCTION("""COMPUTED_VALUE"""),"House E4, Lane 16, Phase 4 , Officer Colony , Wah Cantt")</f>
        <v>House E4, Lane 16, Phase 4 , Officer Colony , Wah Cantt</v>
      </c>
      <c r="AB345" s="228" t="str">
        <f>IFERROR(__xludf.DUMMYFUNCTION("""COMPUTED_VALUE"""),"Pakistani")</f>
        <v>Pakistani</v>
      </c>
      <c r="AC345" s="228" t="str">
        <f>IFERROR(__xludf.DUMMYFUNCTION("""COMPUTED_VALUE"""),"Single")</f>
        <v>Single</v>
      </c>
      <c r="AD345" s="228"/>
      <c r="AE345" s="228"/>
      <c r="AF345" s="228"/>
      <c r="AG345" s="228" t="str">
        <f>IFERROR(__xludf.DUMMYFUNCTION("""COMPUTED_VALUE"""),"Shakeel")</f>
        <v>Shakeel</v>
      </c>
      <c r="AH345" s="228" t="str">
        <f>IFERROR(__xludf.DUMMYFUNCTION("""COMPUTED_VALUE"""),"Father")</f>
        <v>Father</v>
      </c>
      <c r="AI345" s="228" t="str">
        <f>IFERROR(__xludf.DUMMYFUNCTION("""COMPUTED_VALUE"""),"03445023771")</f>
        <v>03445023771</v>
      </c>
      <c r="AJ345" s="228" t="str">
        <f>IFERROR(__xludf.DUMMYFUNCTION("""COMPUTED_VALUE"""),"B-")</f>
        <v>B-</v>
      </c>
      <c r="AK345" s="731" t="str">
        <f>IFERROR(__xludf.DUMMYFUNCTION("""COMPUTED_VALUE"""),"https://www.linkedin.com/in/ayesha-farooqui-661155242/")</f>
        <v>https://www.linkedin.com/in/ayesha-farooqui-661155242/</v>
      </c>
      <c r="AL345" s="228"/>
      <c r="AM345" s="228"/>
      <c r="AN345" s="228"/>
      <c r="AO345" s="228"/>
      <c r="AP345" s="228" t="str">
        <f>IFERROR(__xludf.DUMMYFUNCTION("""COMPUTED_VALUE"""),"NO")</f>
        <v>NO</v>
      </c>
      <c r="AQ345" s="228" t="str">
        <f>IFERROR(__xludf.DUMMYFUNCTION("""COMPUTED_VALUE"""),"Resigned/Terminated")</f>
        <v>Resigned/Terminated</v>
      </c>
    </row>
    <row r="346">
      <c r="A346" s="228">
        <f>IFERROR(__xludf.DUMMYFUNCTION("""COMPUTED_VALUE"""),5266.0)</f>
        <v>5266</v>
      </c>
      <c r="B346" s="228" t="str">
        <f>IFERROR(__xludf.DUMMYFUNCTION("""COMPUTED_VALUE"""),"Hamza Mughal")</f>
        <v>Hamza Mughal</v>
      </c>
      <c r="C346" s="228" t="str">
        <f>IFERROR(__xludf.DUMMYFUNCTION("""COMPUTED_VALUE"""),"hamzamughal.k98@gmail.com")</f>
        <v>hamzamughal.k98@gmail.com</v>
      </c>
      <c r="D346" s="228" t="str">
        <f>IFERROR(__xludf.DUMMYFUNCTION("""COMPUTED_VALUE"""),"hamza.mughal@vyro.ai")</f>
        <v>hamza.mughal@vyro.ai</v>
      </c>
      <c r="E346" s="730">
        <f>IFERROR(__xludf.DUMMYFUNCTION("""COMPUTED_VALUE"""),45418.0)</f>
        <v>45418</v>
      </c>
      <c r="F346" s="228" t="str">
        <f>IFERROR(__xludf.DUMMYFUNCTION("""COMPUTED_VALUE"""),"Motion Graphics Designer")</f>
        <v>Motion Graphics Designer</v>
      </c>
      <c r="G346" s="228" t="str">
        <f>IFERROR(__xludf.DUMMYFUNCTION("""COMPUTED_VALUE"""),"Creatives")</f>
        <v>Creatives</v>
      </c>
      <c r="H346" s="228" t="str">
        <f>IFERROR(__xludf.DUMMYFUNCTION("""COMPUTED_VALUE"""),"Hassan Shakeel")</f>
        <v>Hassan Shakeel</v>
      </c>
      <c r="I346" s="228" t="str">
        <f>IFERROR(__xludf.DUMMYFUNCTION("""COMPUTED_VALUE"""),"Probation")</f>
        <v>Probation</v>
      </c>
      <c r="J346" s="228" t="str">
        <f>IFERROR(__xludf.DUMMYFUNCTION("""COMPUTED_VALUE"""),"Active")</f>
        <v>Active</v>
      </c>
      <c r="K346" s="228" t="str">
        <f>IFERROR(__xludf.DUMMYFUNCTION("""COMPUTED_VALUE"""),"3M")</f>
        <v>3M</v>
      </c>
      <c r="L346" s="732">
        <f>IFERROR(__xludf.DUMMYFUNCTION("""COMPUTED_VALUE"""),45510.0)</f>
        <v>45510</v>
      </c>
      <c r="M346" s="228"/>
      <c r="N346" s="228"/>
      <c r="O346" s="228"/>
      <c r="P346" s="228" t="str">
        <f>IFERROR(__xludf.DUMMYFUNCTION("""COMPUTED_VALUE"""),"03105557127")</f>
        <v>03105557127</v>
      </c>
      <c r="Q346" s="228" t="str">
        <f>IFERROR(__xludf.DUMMYFUNCTION("""COMPUTED_VALUE"""),"13501-9345271-1")</f>
        <v>13501-9345271-1</v>
      </c>
      <c r="R346" s="228" t="str">
        <f>IFERROR(__xludf.DUMMYFUNCTION("""COMPUTED_VALUE"""),"Male")</f>
        <v>Male</v>
      </c>
      <c r="S346" s="228" t="str">
        <f>IFERROR(__xludf.DUMMYFUNCTION("""COMPUTED_VALUE"""),"Habib Metropolitan Bank")</f>
        <v>Habib Metropolitan Bank</v>
      </c>
      <c r="T346" s="228" t="str">
        <f>IFERROR(__xludf.DUMMYFUNCTION("""COMPUTED_VALUE"""),"Hamza")</f>
        <v>Hamza</v>
      </c>
      <c r="U346" s="228" t="str">
        <f>IFERROR(__xludf.DUMMYFUNCTION("""COMPUTED_VALUE"""),"PK6991029308714124161")</f>
        <v>PK6991029308714124161</v>
      </c>
      <c r="V346" s="228" t="str">
        <f>IFERROR(__xludf.DUMMYFUNCTION("""COMPUTED_VALUE"""),"MPBLPKKA")</f>
        <v>MPBLPKKA</v>
      </c>
      <c r="W346" s="228"/>
      <c r="X346" s="228" t="str">
        <f>IFERROR(__xludf.DUMMYFUNCTION("""COMPUTED_VALUE"""),"Islamabad")</f>
        <v>Islamabad</v>
      </c>
      <c r="Y346" s="730">
        <f>IFERROR(__xludf.DUMMYFUNCTION("""COMPUTED_VALUE"""),36111.0)</f>
        <v>36111</v>
      </c>
      <c r="Z346" s="228" t="str">
        <f>IFERROR(__xludf.DUMMYFUNCTION("""COMPUTED_VALUE"""),"26 Years")</f>
        <v>26 Years</v>
      </c>
      <c r="AA346" s="228" t="str">
        <f>IFERROR(__xludf.DUMMYFUNCTION("""COMPUTED_VALUE"""),"Ghouri town phase 4")</f>
        <v>Ghouri town phase 4</v>
      </c>
      <c r="AB346" s="228" t="str">
        <f>IFERROR(__xludf.DUMMYFUNCTION("""COMPUTED_VALUE"""),"Pakistani")</f>
        <v>Pakistani</v>
      </c>
      <c r="AC346" s="228" t="str">
        <f>IFERROR(__xludf.DUMMYFUNCTION("""COMPUTED_VALUE"""),"Married")</f>
        <v>Married</v>
      </c>
      <c r="AD346" s="228"/>
      <c r="AE346" s="228"/>
      <c r="AF346" s="228"/>
      <c r="AG346" s="228" t="str">
        <f>IFERROR(__xludf.DUMMYFUNCTION("""COMPUTED_VALUE"""),"Awais")</f>
        <v>Awais</v>
      </c>
      <c r="AH346" s="228" t="str">
        <f>IFERROR(__xludf.DUMMYFUNCTION("""COMPUTED_VALUE"""),"Brother")</f>
        <v>Brother</v>
      </c>
      <c r="AI346" s="228" t="str">
        <f>IFERROR(__xludf.DUMMYFUNCTION("""COMPUTED_VALUE"""),"03000511832")</f>
        <v>03000511832</v>
      </c>
      <c r="AJ346" s="228" t="str">
        <f>IFERROR(__xludf.DUMMYFUNCTION("""COMPUTED_VALUE"""),"B+")</f>
        <v>B+</v>
      </c>
      <c r="AK346" s="731" t="str">
        <f>IFERROR(__xludf.DUMMYFUNCTION("""COMPUTED_VALUE"""),"https://www.linkedin.com/in/hamza-mughal-3b2510276")</f>
        <v>https://www.linkedin.com/in/hamza-mughal-3b2510276</v>
      </c>
      <c r="AL346" s="228"/>
      <c r="AM346" s="228"/>
      <c r="AN346" s="228"/>
      <c r="AO346" s="228"/>
      <c r="AP346" s="228" t="str">
        <f>IFERROR(__xludf.DUMMYFUNCTION("""COMPUTED_VALUE"""),"NO")</f>
        <v>NO</v>
      </c>
      <c r="AQ346" s="228" t="str">
        <f>IFERROR(__xludf.DUMMYFUNCTION("""COMPUTED_VALUE"""),"Resigned/Terminated")</f>
        <v>Resigned/Terminated</v>
      </c>
    </row>
    <row r="347">
      <c r="A347" s="228">
        <f>IFERROR(__xludf.DUMMYFUNCTION("""COMPUTED_VALUE"""),5103.0)</f>
        <v>5103</v>
      </c>
      <c r="B347" s="228" t="str">
        <f>IFERROR(__xludf.DUMMYFUNCTION("""COMPUTED_VALUE"""),"Hira Farooq")</f>
        <v>Hira Farooq</v>
      </c>
      <c r="C347" s="228" t="str">
        <f>IFERROR(__xludf.DUMMYFUNCTION("""COMPUTED_VALUE"""),"hira.farooq@vyro.ai")</f>
        <v>hira.farooq@vyro.ai</v>
      </c>
      <c r="D347" s="228" t="str">
        <f>IFERROR(__xludf.DUMMYFUNCTION("""COMPUTED_VALUE"""),"hira.farooq@vyro.ai")</f>
        <v>hira.farooq@vyro.ai</v>
      </c>
      <c r="E347" s="730">
        <f>IFERROR(__xludf.DUMMYFUNCTION("""COMPUTED_VALUE"""),44986.0)</f>
        <v>44986</v>
      </c>
      <c r="F347" s="228" t="str">
        <f>IFERROR(__xludf.DUMMYFUNCTION("""COMPUTED_VALUE"""),"Product &amp; Growth Manager")</f>
        <v>Product &amp; Growth Manager</v>
      </c>
      <c r="G347" s="228" t="str">
        <f>IFERROR(__xludf.DUMMYFUNCTION("""COMPUTED_VALUE"""),"Product")</f>
        <v>Product</v>
      </c>
      <c r="H347" s="228" t="str">
        <f>IFERROR(__xludf.DUMMYFUNCTION("""COMPUTED_VALUE"""),"Zain Ul Abedien, CPO")</f>
        <v>Zain Ul Abedien, CPO</v>
      </c>
      <c r="I347" s="228" t="str">
        <f>IFERROR(__xludf.DUMMYFUNCTION("""COMPUTED_VALUE"""),"Permanent")</f>
        <v>Permanent</v>
      </c>
      <c r="J347" s="228" t="str">
        <f>IFERROR(__xludf.DUMMYFUNCTION("""COMPUTED_VALUE"""),"Active")</f>
        <v>Active</v>
      </c>
      <c r="K347" s="228" t="str">
        <f>IFERROR(__xludf.DUMMYFUNCTION("""COMPUTED_VALUE"""),"3M")</f>
        <v>3M</v>
      </c>
      <c r="L347" s="732">
        <f>IFERROR(__xludf.DUMMYFUNCTION("""COMPUTED_VALUE"""),45078.0)</f>
        <v>45078</v>
      </c>
      <c r="M347" s="228"/>
      <c r="N347" s="228"/>
      <c r="O347" s="228"/>
      <c r="P347" s="228" t="str">
        <f>IFERROR(__xludf.DUMMYFUNCTION("""COMPUTED_VALUE"""),"03340809425")</f>
        <v>03340809425</v>
      </c>
      <c r="Q347" s="228" t="str">
        <f>IFERROR(__xludf.DUMMYFUNCTION("""COMPUTED_VALUE"""),"61101-2625195-8")</f>
        <v>61101-2625195-8</v>
      </c>
      <c r="R347" s="228" t="str">
        <f>IFERROR(__xludf.DUMMYFUNCTION("""COMPUTED_VALUE"""),"Female")</f>
        <v>Female</v>
      </c>
      <c r="S347" s="228" t="str">
        <f>IFERROR(__xludf.DUMMYFUNCTION("""COMPUTED_VALUE"""),"Standard Chartered")</f>
        <v>Standard Chartered</v>
      </c>
      <c r="T347" s="228"/>
      <c r="U347" s="228" t="str">
        <f>IFERROR(__xludf.DUMMYFUNCTION("""COMPUTED_VALUE"""),"PK45SCBL0000001009317901")</f>
        <v>PK45SCBL0000001009317901</v>
      </c>
      <c r="V347" s="228"/>
      <c r="W347" s="228"/>
      <c r="X347" s="228" t="str">
        <f>IFERROR(__xludf.DUMMYFUNCTION("""COMPUTED_VALUE"""),"Islamabad")</f>
        <v>Islamabad</v>
      </c>
      <c r="Y347" s="730">
        <f>IFERROR(__xludf.DUMMYFUNCTION("""COMPUTED_VALUE"""),34973.0)</f>
        <v>34973</v>
      </c>
      <c r="Z347" s="228" t="str">
        <f>IFERROR(__xludf.DUMMYFUNCTION("""COMPUTED_VALUE"""),"29 Years")</f>
        <v>29 Years</v>
      </c>
      <c r="AA347" s="228" t="str">
        <f>IFERROR(__xludf.DUMMYFUNCTION("""COMPUTED_VALUE"""),"House 157 St, 33, I8/2, Islamabad")</f>
        <v>House 157 St, 33, I8/2, Islamabad</v>
      </c>
      <c r="AB347" s="228" t="str">
        <f>IFERROR(__xludf.DUMMYFUNCTION("""COMPUTED_VALUE"""),"Pakistani")</f>
        <v>Pakistani</v>
      </c>
      <c r="AC347" s="228" t="str">
        <f>IFERROR(__xludf.DUMMYFUNCTION("""COMPUTED_VALUE"""),"Single")</f>
        <v>Single</v>
      </c>
      <c r="AD347" s="228"/>
      <c r="AE347" s="228"/>
      <c r="AF347" s="228"/>
      <c r="AG347" s="228" t="str">
        <f>IFERROR(__xludf.DUMMYFUNCTION("""COMPUTED_VALUE"""),"Farooq Nawaz")</f>
        <v>Farooq Nawaz</v>
      </c>
      <c r="AH347" s="228" t="str">
        <f>IFERROR(__xludf.DUMMYFUNCTION("""COMPUTED_VALUE"""),"Father")</f>
        <v>Father</v>
      </c>
      <c r="AI347" s="228" t="str">
        <f>IFERROR(__xludf.DUMMYFUNCTION("""COMPUTED_VALUE"""),"3111444403")</f>
        <v>3111444403</v>
      </c>
      <c r="AJ347" s="228" t="str">
        <f>IFERROR(__xludf.DUMMYFUNCTION("""COMPUTED_VALUE"""),"B+")</f>
        <v>B+</v>
      </c>
      <c r="AK347" s="228"/>
      <c r="AL347" s="228"/>
      <c r="AM347" s="228"/>
      <c r="AN347" s="228"/>
      <c r="AO347" s="228"/>
      <c r="AP347" s="228" t="str">
        <f>IFERROR(__xludf.DUMMYFUNCTION("""COMPUTED_VALUE"""),"NO")</f>
        <v>NO</v>
      </c>
      <c r="AQ347" s="228" t="str">
        <f>IFERROR(__xludf.DUMMYFUNCTION("""COMPUTED_VALUE"""),"Resigned/Terminated")</f>
        <v>Resigned/Terminated</v>
      </c>
    </row>
    <row r="348">
      <c r="A348" s="228">
        <f>IFERROR(__xludf.DUMMYFUNCTION("""COMPUTED_VALUE"""),5246.0)</f>
        <v>5246</v>
      </c>
      <c r="B348" s="228" t="str">
        <f>IFERROR(__xludf.DUMMYFUNCTION("""COMPUTED_VALUE"""),"Muhammad Umair Nasar")</f>
        <v>Muhammad Umair Nasar</v>
      </c>
      <c r="C348" s="228" t="str">
        <f>IFERROR(__xludf.DUMMYFUNCTION("""COMPUTED_VALUE"""),"umairnasar4@gmail.com")</f>
        <v>umairnasar4@gmail.com</v>
      </c>
      <c r="D348" s="228" t="str">
        <f>IFERROR(__xludf.DUMMYFUNCTION("""COMPUTED_VALUE"""),"umair.nasar@vyro.ai")</f>
        <v>umair.nasar@vyro.ai</v>
      </c>
      <c r="E348" s="730">
        <f>IFERROR(__xludf.DUMMYFUNCTION("""COMPUTED_VALUE"""),45369.0)</f>
        <v>45369</v>
      </c>
      <c r="F348" s="228" t="str">
        <f>IFERROR(__xludf.DUMMYFUNCTION("""COMPUTED_VALUE"""),"Software Engineer I")</f>
        <v>Software Engineer I</v>
      </c>
      <c r="G348" s="228" t="str">
        <f>IFERROR(__xludf.DUMMYFUNCTION("""COMPUTED_VALUE"""),"Tech")</f>
        <v>Tech</v>
      </c>
      <c r="H348" s="228" t="str">
        <f>IFERROR(__xludf.DUMMYFUNCTION("""COMPUTED_VALUE"""),"Shariq Arif")</f>
        <v>Shariq Arif</v>
      </c>
      <c r="I348" s="228" t="str">
        <f>IFERROR(__xludf.DUMMYFUNCTION("""COMPUTED_VALUE"""),"Permanent")</f>
        <v>Permanent</v>
      </c>
      <c r="J348" s="228" t="str">
        <f>IFERROR(__xludf.DUMMYFUNCTION("""COMPUTED_VALUE"""),"Active")</f>
        <v>Active</v>
      </c>
      <c r="K348" s="228" t="str">
        <f>IFERROR(__xludf.DUMMYFUNCTION("""COMPUTED_VALUE"""),"2M")</f>
        <v>2M</v>
      </c>
      <c r="L348" s="732">
        <f>IFERROR(__xludf.DUMMYFUNCTION("""COMPUTED_VALUE"""),45430.0)</f>
        <v>45430</v>
      </c>
      <c r="M348" s="228"/>
      <c r="N348" s="228"/>
      <c r="O348" s="228"/>
      <c r="P348" s="228" t="str">
        <f>IFERROR(__xludf.DUMMYFUNCTION("""COMPUTED_VALUE"""),"03158975200")</f>
        <v>03158975200</v>
      </c>
      <c r="Q348" s="228" t="str">
        <f>IFERROR(__xludf.DUMMYFUNCTION("""COMPUTED_VALUE"""),"35202-7433048-7")</f>
        <v>35202-7433048-7</v>
      </c>
      <c r="R348" s="228" t="str">
        <f>IFERROR(__xludf.DUMMYFUNCTION("""COMPUTED_VALUE"""),"Male")</f>
        <v>Male</v>
      </c>
      <c r="S348" s="228" t="str">
        <f>IFERROR(__xludf.DUMMYFUNCTION("""COMPUTED_VALUE"""),"Habib Bank Limited")</f>
        <v>Habib Bank Limited</v>
      </c>
      <c r="T348" s="228" t="str">
        <f>IFERROR(__xludf.DUMMYFUNCTION("""COMPUTED_VALUE"""),"Muhammad Umair")</f>
        <v>Muhammad Umair</v>
      </c>
      <c r="U348" s="228" t="str">
        <f>IFERROR(__xludf.DUMMYFUNCTION("""COMPUTED_VALUE"""),"PK48HABB3622927917052203")</f>
        <v>PK48HABB3622927917052203</v>
      </c>
      <c r="V348" s="228"/>
      <c r="W348" s="228"/>
      <c r="X348" s="228" t="str">
        <f>IFERROR(__xludf.DUMMYFUNCTION("""COMPUTED_VALUE"""),"Islamabad")</f>
        <v>Islamabad</v>
      </c>
      <c r="Y348" s="730">
        <f>IFERROR(__xludf.DUMMYFUNCTION("""COMPUTED_VALUE"""),36778.0)</f>
        <v>36778</v>
      </c>
      <c r="Z348" s="228" t="str">
        <f>IFERROR(__xludf.DUMMYFUNCTION("""COMPUTED_VALUE"""),"24 Years")</f>
        <v>24 Years</v>
      </c>
      <c r="AA348" s="228" t="str">
        <f>IFERROR(__xludf.DUMMYFUNCTION("""COMPUTED_VALUE"""),"Landmark 3, H-13, Islamabad")</f>
        <v>Landmark 3, H-13, Islamabad</v>
      </c>
      <c r="AB348" s="228" t="str">
        <f>IFERROR(__xludf.DUMMYFUNCTION("""COMPUTED_VALUE"""),"Pakistani")</f>
        <v>Pakistani</v>
      </c>
      <c r="AC348" s="228" t="str">
        <f>IFERROR(__xludf.DUMMYFUNCTION("""COMPUTED_VALUE"""),"Single")</f>
        <v>Single</v>
      </c>
      <c r="AD348" s="228"/>
      <c r="AE348" s="228"/>
      <c r="AF348" s="228"/>
      <c r="AG348" s="228" t="str">
        <f>IFERROR(__xludf.DUMMYFUNCTION("""COMPUTED_VALUE"""),"Mian Nasarullah")</f>
        <v>Mian Nasarullah</v>
      </c>
      <c r="AH348" s="228" t="str">
        <f>IFERROR(__xludf.DUMMYFUNCTION("""COMPUTED_VALUE"""),"Father")</f>
        <v>Father</v>
      </c>
      <c r="AI348" s="228" t="str">
        <f>IFERROR(__xludf.DUMMYFUNCTION("""COMPUTED_VALUE"""),"3004896868")</f>
        <v>3004896868</v>
      </c>
      <c r="AJ348" s="228" t="str">
        <f>IFERROR(__xludf.DUMMYFUNCTION("""COMPUTED_VALUE"""),"O+")</f>
        <v>O+</v>
      </c>
      <c r="AK348" s="731" t="str">
        <f>IFERROR(__xludf.DUMMYFUNCTION("""COMPUTED_VALUE"""),"https://www.linkedin.com/in/umair-nasar")</f>
        <v>https://www.linkedin.com/in/umair-nasar</v>
      </c>
      <c r="AL348" s="228"/>
      <c r="AM348" s="730">
        <f>IFERROR(__xludf.DUMMYFUNCTION("""COMPUTED_VALUE"""),45565.0)</f>
        <v>45565</v>
      </c>
      <c r="AN348" s="228"/>
      <c r="AO348" s="228"/>
      <c r="AP348" s="228" t="str">
        <f>IFERROR(__xludf.DUMMYFUNCTION("""COMPUTED_VALUE"""),"NO")</f>
        <v>NO</v>
      </c>
      <c r="AQ348" s="228" t="str">
        <f>IFERROR(__xludf.DUMMYFUNCTION("""COMPUTED_VALUE"""),"Resigned/Terminated")</f>
        <v>Resigned/Terminated</v>
      </c>
    </row>
    <row r="349">
      <c r="A349" s="228">
        <f>IFERROR(__xludf.DUMMYFUNCTION("""COMPUTED_VALUE"""),5178.0)</f>
        <v>5178</v>
      </c>
      <c r="B349" s="228" t="str">
        <f>IFERROR(__xludf.DUMMYFUNCTION("""COMPUTED_VALUE"""),"Muhammad Zahab Ahmad Khan")</f>
        <v>Muhammad Zahab Ahmad Khan</v>
      </c>
      <c r="C349" s="228" t="str">
        <f>IFERROR(__xludf.DUMMYFUNCTION("""COMPUTED_VALUE"""),"zabiirana27@gmail.com")</f>
        <v>zabiirana27@gmail.com</v>
      </c>
      <c r="D349" s="228" t="str">
        <f>IFERROR(__xludf.DUMMYFUNCTION("""COMPUTED_VALUE"""),"muhammad.zahab@vyro.ai")</f>
        <v>muhammad.zahab@vyro.ai</v>
      </c>
      <c r="E349" s="730">
        <f>IFERROR(__xludf.DUMMYFUNCTION("""COMPUTED_VALUE"""),45183.0)</f>
        <v>45183</v>
      </c>
      <c r="F349" s="228" t="str">
        <f>IFERROR(__xludf.DUMMYFUNCTION("""COMPUTED_VALUE"""),"Principal Software Engineer Android")</f>
        <v>Principal Software Engineer Android</v>
      </c>
      <c r="G349" s="228" t="str">
        <f>IFERROR(__xludf.DUMMYFUNCTION("""COMPUTED_VALUE"""),"Mobile")</f>
        <v>Mobile</v>
      </c>
      <c r="H349" s="228" t="str">
        <f>IFERROR(__xludf.DUMMYFUNCTION("""COMPUTED_VALUE"""),"Saad Aziz")</f>
        <v>Saad Aziz</v>
      </c>
      <c r="I349" s="228" t="str">
        <f>IFERROR(__xludf.DUMMYFUNCTION("""COMPUTED_VALUE"""),"Permanent")</f>
        <v>Permanent</v>
      </c>
      <c r="J349" s="228" t="str">
        <f>IFERROR(__xludf.DUMMYFUNCTION("""COMPUTED_VALUE"""),"Active")</f>
        <v>Active</v>
      </c>
      <c r="K349" s="228" t="str">
        <f>IFERROR(__xludf.DUMMYFUNCTION("""COMPUTED_VALUE"""),"3M")</f>
        <v>3M</v>
      </c>
      <c r="L349" s="732">
        <f>IFERROR(__xludf.DUMMYFUNCTION("""COMPUTED_VALUE"""),45274.0)</f>
        <v>45274</v>
      </c>
      <c r="M349" s="228"/>
      <c r="N349" s="228"/>
      <c r="O349" s="228"/>
      <c r="P349" s="228" t="str">
        <f>IFERROR(__xludf.DUMMYFUNCTION("""COMPUTED_VALUE"""),"033327102939")</f>
        <v>033327102939</v>
      </c>
      <c r="Q349" s="228" t="str">
        <f>IFERROR(__xludf.DUMMYFUNCTION("""COMPUTED_VALUE"""),"31102-2135283-9")</f>
        <v>31102-2135283-9</v>
      </c>
      <c r="R349" s="228" t="str">
        <f>IFERROR(__xludf.DUMMYFUNCTION("""COMPUTED_VALUE"""),"Male")</f>
        <v>Male</v>
      </c>
      <c r="S349" s="228" t="str">
        <f>IFERROR(__xludf.DUMMYFUNCTION("""COMPUTED_VALUE"""),"Meezan Bank")</f>
        <v>Meezan Bank</v>
      </c>
      <c r="T349" s="228" t="str">
        <f>IFERROR(__xludf.DUMMYFUNCTION("""COMPUTED_VALUE"""),"Muhammad Zahab Ahmad Khan")</f>
        <v>Muhammad Zahab Ahmad Khan</v>
      </c>
      <c r="U349" s="228" t="str">
        <f>IFERROR(__xludf.DUMMYFUNCTION("""COMPUTED_VALUE"""),"PK87MEZN0065010100905911")</f>
        <v>PK87MEZN0065010100905911</v>
      </c>
      <c r="V349" s="228" t="str">
        <f>IFERROR(__xludf.DUMMYFUNCTION("""COMPUTED_VALUE"""),"MEZNPKKA")</f>
        <v>MEZNPKKA</v>
      </c>
      <c r="W349" s="228"/>
      <c r="X349" s="228" t="str">
        <f>IFERROR(__xludf.DUMMYFUNCTION("""COMPUTED_VALUE"""),"Lahore")</f>
        <v>Lahore</v>
      </c>
      <c r="Y349" s="730">
        <f>IFERROR(__xludf.DUMMYFUNCTION("""COMPUTED_VALUE"""),34300.0)</f>
        <v>34300</v>
      </c>
      <c r="Z349" s="228" t="str">
        <f>IFERROR(__xludf.DUMMYFUNCTION("""COMPUTED_VALUE"""),"31 Years")</f>
        <v>31 Years</v>
      </c>
      <c r="AA349" s="228" t="str">
        <f>IFERROR(__xludf.DUMMYFUNCTION("""COMPUTED_VALUE"""),"137-B Nasheema e Iqbal phase 2")</f>
        <v>137-B Nasheema e Iqbal phase 2</v>
      </c>
      <c r="AB349" s="228" t="str">
        <f>IFERROR(__xludf.DUMMYFUNCTION("""COMPUTED_VALUE"""),"Pakistani")</f>
        <v>Pakistani</v>
      </c>
      <c r="AC349" s="228" t="str">
        <f>IFERROR(__xludf.DUMMYFUNCTION("""COMPUTED_VALUE"""),"Married")</f>
        <v>Married</v>
      </c>
      <c r="AD349" s="228"/>
      <c r="AE349" s="228"/>
      <c r="AF349" s="228"/>
      <c r="AG349" s="228" t="str">
        <f>IFERROR(__xludf.DUMMYFUNCTION("""COMPUTED_VALUE"""),"Rana Ijaz Ahmed Khan")</f>
        <v>Rana Ijaz Ahmed Khan</v>
      </c>
      <c r="AH349" s="228" t="str">
        <f>IFERROR(__xludf.DUMMYFUNCTION("""COMPUTED_VALUE"""),"Mother")</f>
        <v>Mother</v>
      </c>
      <c r="AI349" s="228" t="str">
        <f>IFERROR(__xludf.DUMMYFUNCTION("""COMPUTED_VALUE"""),"03322500395")</f>
        <v>03322500395</v>
      </c>
      <c r="AJ349" s="228" t="str">
        <f>IFERROR(__xludf.DUMMYFUNCTION("""COMPUTED_VALUE"""),"A-")</f>
        <v>A-</v>
      </c>
      <c r="AK349" s="731" t="str">
        <f>IFERROR(__xludf.DUMMYFUNCTION("""COMPUTED_VALUE"""),"https://www.linkedin.com/in/muhammad-zahab-ahmad-11624889")</f>
        <v>https://www.linkedin.com/in/muhammad-zahab-ahmad-11624889</v>
      </c>
      <c r="AL349" s="228"/>
      <c r="AM349" s="228"/>
      <c r="AN349" s="228"/>
      <c r="AO349" s="228"/>
      <c r="AP349" s="228" t="str">
        <f>IFERROR(__xludf.DUMMYFUNCTION("""COMPUTED_VALUE"""),"NO")</f>
        <v>NO</v>
      </c>
      <c r="AQ349" s="228" t="str">
        <f>IFERROR(__xludf.DUMMYFUNCTION("""COMPUTED_VALUE"""),"Resigned/Terminated")</f>
        <v>Resigned/Terminated</v>
      </c>
    </row>
    <row r="350">
      <c r="A350" s="228">
        <f>IFERROR(__xludf.DUMMYFUNCTION("""COMPUTED_VALUE"""),5275.0)</f>
        <v>5275</v>
      </c>
      <c r="B350" s="228" t="str">
        <f>IFERROR(__xludf.DUMMYFUNCTION("""COMPUTED_VALUE"""),"Qazi Maaz Sajjad")</f>
        <v>Qazi Maaz Sajjad</v>
      </c>
      <c r="C350" s="228" t="str">
        <f>IFERROR(__xludf.DUMMYFUNCTION("""COMPUTED_VALUE"""),"qazimaazsajjad1@gmail.com")</f>
        <v>qazimaazsajjad1@gmail.com</v>
      </c>
      <c r="D350" s="228" t="str">
        <f>IFERROR(__xludf.DUMMYFUNCTION("""COMPUTED_VALUE"""),"maaz.sajjad@vyro.ai")</f>
        <v>maaz.sajjad@vyro.ai</v>
      </c>
      <c r="E350" s="730">
        <f>IFERROR(__xludf.DUMMYFUNCTION("""COMPUTED_VALUE"""),45441.0)</f>
        <v>45441</v>
      </c>
      <c r="F350" s="228" t="str">
        <f>IFERROR(__xludf.DUMMYFUNCTION("""COMPUTED_VALUE"""),"Software Engineer I")</f>
        <v>Software Engineer I</v>
      </c>
      <c r="G350" s="228" t="str">
        <f>IFERROR(__xludf.DUMMYFUNCTION("""COMPUTED_VALUE"""),"Mobile Engineering")</f>
        <v>Mobile Engineering</v>
      </c>
      <c r="H350" s="228" t="str">
        <f>IFERROR(__xludf.DUMMYFUNCTION("""COMPUTED_VALUE"""),"Saad Aziz")</f>
        <v>Saad Aziz</v>
      </c>
      <c r="I350" s="228" t="str">
        <f>IFERROR(__xludf.DUMMYFUNCTION("""COMPUTED_VALUE"""),"Probation")</f>
        <v>Probation</v>
      </c>
      <c r="J350" s="228" t="str">
        <f>IFERROR(__xludf.DUMMYFUNCTION("""COMPUTED_VALUE"""),"Active")</f>
        <v>Active</v>
      </c>
      <c r="K350" s="228" t="str">
        <f>IFERROR(__xludf.DUMMYFUNCTION("""COMPUTED_VALUE"""),"3M")</f>
        <v>3M</v>
      </c>
      <c r="L350" s="732">
        <f>IFERROR(__xludf.DUMMYFUNCTION("""COMPUTED_VALUE"""),45533.0)</f>
        <v>45533</v>
      </c>
      <c r="M350" s="228"/>
      <c r="N350" s="228"/>
      <c r="O350" s="228"/>
      <c r="P350" s="228" t="str">
        <f>IFERROR(__xludf.DUMMYFUNCTION("""COMPUTED_VALUE"""),"03216589855")</f>
        <v>03216589855</v>
      </c>
      <c r="Q350" s="228" t="str">
        <f>IFERROR(__xludf.DUMMYFUNCTION("""COMPUTED_VALUE"""),"35102-2075551-3")</f>
        <v>35102-2075551-3</v>
      </c>
      <c r="R350" s="228" t="str">
        <f>IFERROR(__xludf.DUMMYFUNCTION("""COMPUTED_VALUE"""),"Male")</f>
        <v>Male</v>
      </c>
      <c r="S350" s="228" t="str">
        <f>IFERROR(__xludf.DUMMYFUNCTION("""COMPUTED_VALUE"""),"United Bank Limited")</f>
        <v>United Bank Limited</v>
      </c>
      <c r="T350" s="228" t="str">
        <f>IFERROR(__xludf.DUMMYFUNCTION("""COMPUTED_VALUE"""),"Qazi Maaz Sajjad")</f>
        <v>Qazi Maaz Sajjad</v>
      </c>
      <c r="U350" s="228" t="str">
        <f>IFERROR(__xludf.DUMMYFUNCTION("""COMPUTED_VALUE"""),"PK93UNIL0109000304593471")</f>
        <v>PK93UNIL0109000304593471</v>
      </c>
      <c r="V350" s="228" t="str">
        <f>IFERROR(__xludf.DUMMYFUNCTION("""COMPUTED_VALUE"""),"0645")</f>
        <v>0645</v>
      </c>
      <c r="W350" s="228"/>
      <c r="X350" s="228" t="str">
        <f>IFERROR(__xludf.DUMMYFUNCTION("""COMPUTED_VALUE"""),"Lahore")</f>
        <v>Lahore</v>
      </c>
      <c r="Y350" s="730">
        <f>IFERROR(__xludf.DUMMYFUNCTION("""COMPUTED_VALUE"""),37415.0)</f>
        <v>37415</v>
      </c>
      <c r="Z350" s="228" t="str">
        <f>IFERROR(__xludf.DUMMYFUNCTION("""COMPUTED_VALUE"""),"23 Years")</f>
        <v>23 Years</v>
      </c>
      <c r="AA350" s="228" t="str">
        <f>IFERROR(__xludf.DUMMYFUNCTION("""COMPUTED_VALUE"""),"House 76, Street 3, Abdul Khaliq Colony, Kasur")</f>
        <v>House 76, Street 3, Abdul Khaliq Colony, Kasur</v>
      </c>
      <c r="AB350" s="228" t="str">
        <f>IFERROR(__xludf.DUMMYFUNCTION("""COMPUTED_VALUE"""),"Pakistani")</f>
        <v>Pakistani</v>
      </c>
      <c r="AC350" s="228" t="str">
        <f>IFERROR(__xludf.DUMMYFUNCTION("""COMPUTED_VALUE"""),"Single")</f>
        <v>Single</v>
      </c>
      <c r="AD350" s="228"/>
      <c r="AE350" s="228"/>
      <c r="AF350" s="228"/>
      <c r="AG350" s="228" t="str">
        <f>IFERROR(__xludf.DUMMYFUNCTION("""COMPUTED_VALUE"""),"Sajjad Ahmad")</f>
        <v>Sajjad Ahmad</v>
      </c>
      <c r="AH350" s="228" t="str">
        <f>IFERROR(__xludf.DUMMYFUNCTION("""COMPUTED_VALUE"""),"Father")</f>
        <v>Father</v>
      </c>
      <c r="AI350" s="228" t="str">
        <f>IFERROR(__xludf.DUMMYFUNCTION("""COMPUTED_VALUE"""),"03016816612")</f>
        <v>03016816612</v>
      </c>
      <c r="AJ350" s="228" t="str">
        <f>IFERROR(__xludf.DUMMYFUNCTION("""COMPUTED_VALUE"""),"A+")</f>
        <v>A+</v>
      </c>
      <c r="AK350" s="731" t="str">
        <f>IFERROR(__xludf.DUMMYFUNCTION("""COMPUTED_VALUE"""),"https://www.linkedin.com/in/maaz-sajjad-75a70b219/")</f>
        <v>https://www.linkedin.com/in/maaz-sajjad-75a70b219/</v>
      </c>
      <c r="AL350" s="228"/>
      <c r="AM350" s="730">
        <f>IFERROR(__xludf.DUMMYFUNCTION("""COMPUTED_VALUE"""),45568.0)</f>
        <v>45568</v>
      </c>
      <c r="AN350" s="228"/>
      <c r="AO350" s="228"/>
      <c r="AP350" s="228" t="str">
        <f>IFERROR(__xludf.DUMMYFUNCTION("""COMPUTED_VALUE"""),"NO")</f>
        <v>NO</v>
      </c>
      <c r="AQ350" s="228" t="str">
        <f>IFERROR(__xludf.DUMMYFUNCTION("""COMPUTED_VALUE"""),"Resigned/Terminated")</f>
        <v>Resigned/Terminated</v>
      </c>
    </row>
    <row r="351">
      <c r="A351" s="228">
        <f>IFERROR(__xludf.DUMMYFUNCTION("""COMPUTED_VALUE"""),5211.0)</f>
        <v>5211</v>
      </c>
      <c r="B351" s="228" t="str">
        <f>IFERROR(__xludf.DUMMYFUNCTION("""COMPUTED_VALUE"""),"Shan Ahmad")</f>
        <v>Shan Ahmad</v>
      </c>
      <c r="C351" s="228" t="str">
        <f>IFERROR(__xludf.DUMMYFUNCTION("""COMPUTED_VALUE"""),"shanahmad.connect@gmail.com")</f>
        <v>shanahmad.connect@gmail.com</v>
      </c>
      <c r="D351" s="228" t="str">
        <f>IFERROR(__xludf.DUMMYFUNCTION("""COMPUTED_VALUE"""),"shan.ahmad@vyro.ai")</f>
        <v>shan.ahmad@vyro.ai</v>
      </c>
      <c r="E351" s="730">
        <f>IFERROR(__xludf.DUMMYFUNCTION("""COMPUTED_VALUE"""),45273.0)</f>
        <v>45273</v>
      </c>
      <c r="F351" s="228" t="str">
        <f>IFERROR(__xludf.DUMMYFUNCTION("""COMPUTED_VALUE"""),"Senior Software Engineer")</f>
        <v>Senior Software Engineer</v>
      </c>
      <c r="G351" s="228" t="str">
        <f>IFERROR(__xludf.DUMMYFUNCTION("""COMPUTED_VALUE"""),"Android")</f>
        <v>Android</v>
      </c>
      <c r="H351" s="228" t="str">
        <f>IFERROR(__xludf.DUMMYFUNCTION("""COMPUTED_VALUE"""),"Hira/ Saad Aziz")</f>
        <v>Hira/ Saad Aziz</v>
      </c>
      <c r="I351" s="228" t="str">
        <f>IFERROR(__xludf.DUMMYFUNCTION("""COMPUTED_VALUE"""),"Permanent")</f>
        <v>Permanent</v>
      </c>
      <c r="J351" s="228" t="str">
        <f>IFERROR(__xludf.DUMMYFUNCTION("""COMPUTED_VALUE"""),"Active")</f>
        <v>Active</v>
      </c>
      <c r="K351" s="228" t="str">
        <f>IFERROR(__xludf.DUMMYFUNCTION("""COMPUTED_VALUE"""),"3M")</f>
        <v>3M</v>
      </c>
      <c r="L351" s="732">
        <f>IFERROR(__xludf.DUMMYFUNCTION("""COMPUTED_VALUE"""),45364.0)</f>
        <v>45364</v>
      </c>
      <c r="M351" s="228"/>
      <c r="N351" s="228"/>
      <c r="O351" s="228"/>
      <c r="P351" s="228" t="str">
        <f>IFERROR(__xludf.DUMMYFUNCTION("""COMPUTED_VALUE"""),"03241042800")</f>
        <v>03241042800</v>
      </c>
      <c r="Q351" s="228" t="str">
        <f>IFERROR(__xludf.DUMMYFUNCTION("""COMPUTED_VALUE"""),"35202-9717455-5")</f>
        <v>35202-9717455-5</v>
      </c>
      <c r="R351" s="228" t="str">
        <f>IFERROR(__xludf.DUMMYFUNCTION("""COMPUTED_VALUE"""),"Male")</f>
        <v>Male</v>
      </c>
      <c r="S351" s="228" t="str">
        <f>IFERROR(__xludf.DUMMYFUNCTION("""COMPUTED_VALUE"""),"Bank Alfalah Islamic")</f>
        <v>Bank Alfalah Islamic</v>
      </c>
      <c r="T351" s="228" t="str">
        <f>IFERROR(__xludf.DUMMYFUNCTION("""COMPUTED_VALUE"""),"Shan Ahmad")</f>
        <v>Shan Ahmad</v>
      </c>
      <c r="U351" s="228" t="str">
        <f>IFERROR(__xludf.DUMMYFUNCTION("""COMPUTED_VALUE"""),"PK16ALFH5706005001209719")</f>
        <v>PK16ALFH5706005001209719</v>
      </c>
      <c r="V351" s="228"/>
      <c r="W351" s="228"/>
      <c r="X351" s="228" t="str">
        <f>IFERROR(__xludf.DUMMYFUNCTION("""COMPUTED_VALUE"""),"Lahore")</f>
        <v>Lahore</v>
      </c>
      <c r="Y351" s="730">
        <f>IFERROR(__xludf.DUMMYFUNCTION("""COMPUTED_VALUE"""),35447.0)</f>
        <v>35447</v>
      </c>
      <c r="Z351" s="228" t="str">
        <f>IFERROR(__xludf.DUMMYFUNCTION("""COMPUTED_VALUE"""),"28 Years")</f>
        <v>28 Years</v>
      </c>
      <c r="AA351" s="228" t="str">
        <f>IFERROR(__xludf.DUMMYFUNCTION("""COMPUTED_VALUE"""),"House no. 50C, Block A1, Board of revenue, Johar Town, Lahore")</f>
        <v>House no. 50C, Block A1, Board of revenue, Johar Town, Lahore</v>
      </c>
      <c r="AB351" s="228" t="str">
        <f>IFERROR(__xludf.DUMMYFUNCTION("""COMPUTED_VALUE"""),"Pakistani")</f>
        <v>Pakistani</v>
      </c>
      <c r="AC351" s="228" t="str">
        <f>IFERROR(__xludf.DUMMYFUNCTION("""COMPUTED_VALUE"""),"Single")</f>
        <v>Single</v>
      </c>
      <c r="AD351" s="228"/>
      <c r="AE351" s="228"/>
      <c r="AF351" s="228"/>
      <c r="AG351" s="228" t="str">
        <f>IFERROR(__xludf.DUMMYFUNCTION("""COMPUTED_VALUE"""),"Ghulam Ahmad")</f>
        <v>Ghulam Ahmad</v>
      </c>
      <c r="AH351" s="228" t="str">
        <f>IFERROR(__xludf.DUMMYFUNCTION("""COMPUTED_VALUE"""),"Brother")</f>
        <v>Brother</v>
      </c>
      <c r="AI351" s="228" t="str">
        <f>IFERROR(__xludf.DUMMYFUNCTION("""COMPUTED_VALUE"""),"3234554549")</f>
        <v>3234554549</v>
      </c>
      <c r="AJ351" s="228" t="str">
        <f>IFERROR(__xludf.DUMMYFUNCTION("""COMPUTED_VALUE"""),"O+")</f>
        <v>O+</v>
      </c>
      <c r="AK351" s="228" t="str">
        <f>IFERROR(__xludf.DUMMYFUNCTION("""COMPUTED_VALUE"""),"www.linkedin.com/in/ shan-ahmad")</f>
        <v>www.linkedin.com/in/ shan-ahmad</v>
      </c>
      <c r="AL351" s="228"/>
      <c r="AM351" s="228"/>
      <c r="AN351" s="228"/>
      <c r="AO351" s="228"/>
      <c r="AP351" s="228" t="str">
        <f>IFERROR(__xludf.DUMMYFUNCTION("""COMPUTED_VALUE"""),"NO")</f>
        <v>NO</v>
      </c>
      <c r="AQ351" s="228" t="str">
        <f>IFERROR(__xludf.DUMMYFUNCTION("""COMPUTED_VALUE"""),"Resigned/Terminated")</f>
        <v>Resigned/Terminated</v>
      </c>
    </row>
    <row r="352">
      <c r="A352" s="228">
        <f>IFERROR(__xludf.DUMMYFUNCTION("""COMPUTED_VALUE"""),5220.0)</f>
        <v>5220</v>
      </c>
      <c r="B352" s="228" t="str">
        <f>IFERROR(__xludf.DUMMYFUNCTION("""COMPUTED_VALUE"""),"Zeeshan Nasir")</f>
        <v>Zeeshan Nasir</v>
      </c>
      <c r="C352" s="228" t="str">
        <f>IFERROR(__xludf.DUMMYFUNCTION("""COMPUTED_VALUE"""),"zeeshanasir.42@gmail.com")</f>
        <v>zeeshanasir.42@gmail.com</v>
      </c>
      <c r="D352" s="228" t="str">
        <f>IFERROR(__xludf.DUMMYFUNCTION("""COMPUTED_VALUE"""),"zeeshan.nasir@vyro.ai")</f>
        <v>zeeshan.nasir@vyro.ai</v>
      </c>
      <c r="E352" s="730">
        <f>IFERROR(__xludf.DUMMYFUNCTION("""COMPUTED_VALUE"""),45328.0)</f>
        <v>45328</v>
      </c>
      <c r="F352" s="228" t="str">
        <f>IFERROR(__xludf.DUMMYFUNCTION("""COMPUTED_VALUE"""),"Social Media Executive")</f>
        <v>Social Media Executive</v>
      </c>
      <c r="G352" s="228" t="str">
        <f>IFERROR(__xludf.DUMMYFUNCTION("""COMPUTED_VALUE"""),"Social Media")</f>
        <v>Social Media</v>
      </c>
      <c r="H352" s="228" t="str">
        <f>IFERROR(__xludf.DUMMYFUNCTION("""COMPUTED_VALUE"""),"Zain Ul Abedien, CPO")</f>
        <v>Zain Ul Abedien, CPO</v>
      </c>
      <c r="I352" s="228" t="str">
        <f>IFERROR(__xludf.DUMMYFUNCTION("""COMPUTED_VALUE"""),"Permanent")</f>
        <v>Permanent</v>
      </c>
      <c r="J352" s="228" t="str">
        <f>IFERROR(__xludf.DUMMYFUNCTION("""COMPUTED_VALUE"""),"Active")</f>
        <v>Active</v>
      </c>
      <c r="K352" s="228" t="str">
        <f>IFERROR(__xludf.DUMMYFUNCTION("""COMPUTED_VALUE"""),"3M")</f>
        <v>3M</v>
      </c>
      <c r="L352" s="732">
        <f>IFERROR(__xludf.DUMMYFUNCTION("""COMPUTED_VALUE"""),45418.0)</f>
        <v>45418</v>
      </c>
      <c r="M352" s="228"/>
      <c r="N352" s="228"/>
      <c r="O352" s="228"/>
      <c r="P352" s="228" t="str">
        <f>IFERROR(__xludf.DUMMYFUNCTION("""COMPUTED_VALUE"""),"3091551886")</f>
        <v>3091551886</v>
      </c>
      <c r="Q352" s="228" t="str">
        <f>IFERROR(__xludf.DUMMYFUNCTION("""COMPUTED_VALUE"""),"37405-3360545-9")</f>
        <v>37405-3360545-9</v>
      </c>
      <c r="R352" s="228" t="str">
        <f>IFERROR(__xludf.DUMMYFUNCTION("""COMPUTED_VALUE"""),"Male")</f>
        <v>Male</v>
      </c>
      <c r="S352" s="228" t="str">
        <f>IFERROR(__xludf.DUMMYFUNCTION("""COMPUTED_VALUE"""),"Bank Alfalah")</f>
        <v>Bank Alfalah</v>
      </c>
      <c r="T352" s="228" t="str">
        <f>IFERROR(__xludf.DUMMYFUNCTION("""COMPUTED_VALUE"""),"Zeeshan Nasir")</f>
        <v>Zeeshan Nasir</v>
      </c>
      <c r="U352" s="228" t="str">
        <f>IFERROR(__xludf.DUMMYFUNCTION("""COMPUTED_VALUE"""),"PK62ALFH0404001007778739")</f>
        <v>PK62ALFH0404001007778739</v>
      </c>
      <c r="V352" s="228"/>
      <c r="W352" s="228"/>
      <c r="X352" s="228" t="str">
        <f>IFERROR(__xludf.DUMMYFUNCTION("""COMPUTED_VALUE"""),"Islamabad")</f>
        <v>Islamabad</v>
      </c>
      <c r="Y352" s="730">
        <f>IFERROR(__xludf.DUMMYFUNCTION("""COMPUTED_VALUE"""),36522.0)</f>
        <v>36522</v>
      </c>
      <c r="Z352" s="228" t="str">
        <f>IFERROR(__xludf.DUMMYFUNCTION("""COMPUTED_VALUE"""),"25 Years")</f>
        <v>25 Years</v>
      </c>
      <c r="AA352" s="228" t="str">
        <f>IFERROR(__xludf.DUMMYFUNCTION("""COMPUTED_VALUE"""),"H 1292, ST 63, Sector 2, Gulshanabad, Rawalpindi")</f>
        <v>H 1292, ST 63, Sector 2, Gulshanabad, Rawalpindi</v>
      </c>
      <c r="AB352" s="228" t="str">
        <f>IFERROR(__xludf.DUMMYFUNCTION("""COMPUTED_VALUE"""),"Pakistani")</f>
        <v>Pakistani</v>
      </c>
      <c r="AC352" s="228" t="str">
        <f>IFERROR(__xludf.DUMMYFUNCTION("""COMPUTED_VALUE"""),"Single")</f>
        <v>Single</v>
      </c>
      <c r="AD352" s="228"/>
      <c r="AE352" s="228"/>
      <c r="AF352" s="228"/>
      <c r="AG352" s="228" t="str">
        <f>IFERROR(__xludf.DUMMYFUNCTION("""COMPUTED_VALUE"""),"Nasir Saleem")</f>
        <v>Nasir Saleem</v>
      </c>
      <c r="AH352" s="228" t="str">
        <f>IFERROR(__xludf.DUMMYFUNCTION("""COMPUTED_VALUE"""),"Father")</f>
        <v>Father</v>
      </c>
      <c r="AI352" s="228" t="str">
        <f>IFERROR(__xludf.DUMMYFUNCTION("""COMPUTED_VALUE"""),"03335233140")</f>
        <v>03335233140</v>
      </c>
      <c r="AJ352" s="228" t="str">
        <f>IFERROR(__xludf.DUMMYFUNCTION("""COMPUTED_VALUE"""),"B+")</f>
        <v>B+</v>
      </c>
      <c r="AK352" s="731" t="str">
        <f>IFERROR(__xludf.DUMMYFUNCTION("""COMPUTED_VALUE"""),"https://www.linkedin.com/in/zeeshanasir")</f>
        <v>https://www.linkedin.com/in/zeeshanasir</v>
      </c>
      <c r="AL352" s="228"/>
      <c r="AM352" s="730">
        <f>IFERROR(__xludf.DUMMYFUNCTION("""COMPUTED_VALUE"""),45572.0)</f>
        <v>45572</v>
      </c>
      <c r="AN352" s="228"/>
      <c r="AO352" s="228"/>
      <c r="AP352" s="228" t="str">
        <f>IFERROR(__xludf.DUMMYFUNCTION("""COMPUTED_VALUE"""),"NO")</f>
        <v>NO</v>
      </c>
      <c r="AQ352" s="228" t="str">
        <f>IFERROR(__xludf.DUMMYFUNCTION("""COMPUTED_VALUE"""),"Resigned/Terminated")</f>
        <v>Resigned/Terminated</v>
      </c>
    </row>
    <row r="353">
      <c r="A353" s="228">
        <f>IFERROR(__xludf.DUMMYFUNCTION("""COMPUTED_VALUE"""),5303.0)</f>
        <v>5303</v>
      </c>
      <c r="B353" s="228" t="str">
        <f>IFERROR(__xludf.DUMMYFUNCTION("""COMPUTED_VALUE"""),"Hashir Ahmed")</f>
        <v>Hashir Ahmed</v>
      </c>
      <c r="C353" s="228" t="str">
        <f>IFERROR(__xludf.DUMMYFUNCTION("""COMPUTED_VALUE"""),"cshashir1997@gmail.com")</f>
        <v>cshashir1997@gmail.com</v>
      </c>
      <c r="D353" s="228" t="str">
        <f>IFERROR(__xludf.DUMMYFUNCTION("""COMPUTED_VALUE"""),"hashir.ahmed@vyro.ai")</f>
        <v>hashir.ahmed@vyro.ai</v>
      </c>
      <c r="E353" s="730">
        <f>IFERROR(__xludf.DUMMYFUNCTION("""COMPUTED_VALUE"""),45558.0)</f>
        <v>45558</v>
      </c>
      <c r="F353" s="228" t="str">
        <f>IFERROR(__xludf.DUMMYFUNCTION("""COMPUTED_VALUE"""),"Sr. Frontend Developer")</f>
        <v>Sr. Frontend Developer</v>
      </c>
      <c r="G353" s="228" t="str">
        <f>IFERROR(__xludf.DUMMYFUNCTION("""COMPUTED_VALUE"""),"Web Engineering")</f>
        <v>Web Engineering</v>
      </c>
      <c r="H353" s="228" t="str">
        <f>IFERROR(__xludf.DUMMYFUNCTION("""COMPUTED_VALUE"""),"Saad Ahmed")</f>
        <v>Saad Ahmed</v>
      </c>
      <c r="I353" s="228" t="str">
        <f>IFERROR(__xludf.DUMMYFUNCTION("""COMPUTED_VALUE"""),"Probation")</f>
        <v>Probation</v>
      </c>
      <c r="J353" s="228" t="str">
        <f>IFERROR(__xludf.DUMMYFUNCTION("""COMPUTED_VALUE"""),"Active")</f>
        <v>Active</v>
      </c>
      <c r="K353" s="228" t="str">
        <f>IFERROR(__xludf.DUMMYFUNCTION("""COMPUTED_VALUE"""),"3M")</f>
        <v>3M</v>
      </c>
      <c r="L353" s="732">
        <f>IFERROR(__xludf.DUMMYFUNCTION("""COMPUTED_VALUE"""),45649.0)</f>
        <v>45649</v>
      </c>
      <c r="M353" s="228"/>
      <c r="N353" s="228"/>
      <c r="O353" s="228"/>
      <c r="P353" s="228" t="str">
        <f>IFERROR(__xludf.DUMMYFUNCTION("""COMPUTED_VALUE"""),"03319828020")</f>
        <v>03319828020</v>
      </c>
      <c r="Q353" s="228" t="str">
        <f>IFERROR(__xludf.DUMMYFUNCTION("""COMPUTED_VALUE"""),"33303-8706681-3")</f>
        <v>33303-8706681-3</v>
      </c>
      <c r="R353" s="228" t="str">
        <f>IFERROR(__xludf.DUMMYFUNCTION("""COMPUTED_VALUE"""),"Male")</f>
        <v>Male</v>
      </c>
      <c r="S353" s="228" t="str">
        <f>IFERROR(__xludf.DUMMYFUNCTION("""COMPUTED_VALUE"""),"Allied Bank")</f>
        <v>Allied Bank</v>
      </c>
      <c r="T353" s="228" t="str">
        <f>IFERROR(__xludf.DUMMYFUNCTION("""COMPUTED_VALUE"""),"Hashir Ahmed")</f>
        <v>Hashir Ahmed</v>
      </c>
      <c r="U353" s="228" t="str">
        <f>IFERROR(__xludf.DUMMYFUNCTION("""COMPUTED_VALUE"""),"PK66ABPA0010073327100017")</f>
        <v>PK66ABPA0010073327100017</v>
      </c>
      <c r="V353" s="228"/>
      <c r="W353" s="228"/>
      <c r="X353" s="228" t="str">
        <f>IFERROR(__xludf.DUMMYFUNCTION("""COMPUTED_VALUE"""),"Islamabad")</f>
        <v>Islamabad</v>
      </c>
      <c r="Y353" s="730">
        <f>IFERROR(__xludf.DUMMYFUNCTION("""COMPUTED_VALUE"""),35688.0)</f>
        <v>35688</v>
      </c>
      <c r="Z353" s="228" t="str">
        <f>IFERROR(__xludf.DUMMYFUNCTION("""COMPUTED_VALUE"""),"27 Years")</f>
        <v>27 Years</v>
      </c>
      <c r="AA353" s="228" t="str">
        <f>IFERROR(__xludf.DUMMYFUNCTION("""COMPUTED_VALUE"""),"H-165, Block-D, Street-19, Pak PWD Housing Society Islamabad")</f>
        <v>H-165, Block-D, Street-19, Pak PWD Housing Society Islamabad</v>
      </c>
      <c r="AB353" s="228" t="str">
        <f>IFERROR(__xludf.DUMMYFUNCTION("""COMPUTED_VALUE"""),"Pakistani")</f>
        <v>Pakistani</v>
      </c>
      <c r="AC353" s="228" t="str">
        <f>IFERROR(__xludf.DUMMYFUNCTION("""COMPUTED_VALUE"""),"Single")</f>
        <v>Single</v>
      </c>
      <c r="AD353" s="228"/>
      <c r="AE353" s="228"/>
      <c r="AF353" s="228"/>
      <c r="AG353" s="228" t="str">
        <f>IFERROR(__xludf.DUMMYFUNCTION("""COMPUTED_VALUE"""),"Muhammad Naseem")</f>
        <v>Muhammad Naseem</v>
      </c>
      <c r="AH353" s="228" t="str">
        <f>IFERROR(__xludf.DUMMYFUNCTION("""COMPUTED_VALUE"""),"Father")</f>
        <v>Father</v>
      </c>
      <c r="AI353" s="228" t="str">
        <f>IFERROR(__xludf.DUMMYFUNCTION("""COMPUTED_VALUE"""),"03345169709")</f>
        <v>03345169709</v>
      </c>
      <c r="AJ353" s="228" t="str">
        <f>IFERROR(__xludf.DUMMYFUNCTION("""COMPUTED_VALUE"""),"B+")</f>
        <v>B+</v>
      </c>
      <c r="AK353" s="228"/>
      <c r="AL353" s="228"/>
      <c r="AM353" s="228"/>
      <c r="AN353" s="228"/>
      <c r="AO353" s="228"/>
      <c r="AP353" s="228" t="str">
        <f>IFERROR(__xludf.DUMMYFUNCTION("""COMPUTED_VALUE"""),"NO")</f>
        <v>NO</v>
      </c>
      <c r="AQ353" s="228" t="str">
        <f>IFERROR(__xludf.DUMMYFUNCTION("""COMPUTED_VALUE"""),"Resigned/Terminated")</f>
        <v>Resigned/Terminated</v>
      </c>
    </row>
    <row r="354">
      <c r="A354" s="228">
        <f>IFERROR(__xludf.DUMMYFUNCTION("""COMPUTED_VALUE"""),5166.0)</f>
        <v>5166</v>
      </c>
      <c r="B354" s="228" t="str">
        <f>IFERROR(__xludf.DUMMYFUNCTION("""COMPUTED_VALUE"""),"Mohsen Abbas")</f>
        <v>Mohsen Abbas</v>
      </c>
      <c r="C354" s="228" t="str">
        <f>IFERROR(__xludf.DUMMYFUNCTION("""COMPUTED_VALUE"""),"mohsinchandia@gmail.com")</f>
        <v>mohsinchandia@gmail.com</v>
      </c>
      <c r="D354" s="228" t="str">
        <f>IFERROR(__xludf.DUMMYFUNCTION("""COMPUTED_VALUE"""),"mohsen.abbas@vyro.ai")</f>
        <v>mohsen.abbas@vyro.ai</v>
      </c>
      <c r="E354" s="730">
        <f>IFERROR(__xludf.DUMMYFUNCTION("""COMPUTED_VALUE"""),45170.0)</f>
        <v>45170</v>
      </c>
      <c r="F354" s="228" t="str">
        <f>IFERROR(__xludf.DUMMYFUNCTION("""COMPUTED_VALUE"""),"Principal Software Engineer DevOps")</f>
        <v>Principal Software Engineer DevOps</v>
      </c>
      <c r="G354" s="228" t="str">
        <f>IFERROR(__xludf.DUMMYFUNCTION("""COMPUTED_VALUE"""),"DevOps")</f>
        <v>DevOps</v>
      </c>
      <c r="H354" s="228" t="str">
        <f>IFERROR(__xludf.DUMMYFUNCTION("""COMPUTED_VALUE"""),"Nabeel")</f>
        <v>Nabeel</v>
      </c>
      <c r="I354" s="228" t="str">
        <f>IFERROR(__xludf.DUMMYFUNCTION("""COMPUTED_VALUE"""),"Permanent")</f>
        <v>Permanent</v>
      </c>
      <c r="J354" s="228" t="str">
        <f>IFERROR(__xludf.DUMMYFUNCTION("""COMPUTED_VALUE"""),"Active")</f>
        <v>Active</v>
      </c>
      <c r="K354" s="228" t="str">
        <f>IFERROR(__xludf.DUMMYFUNCTION("""COMPUTED_VALUE"""),"3M")</f>
        <v>3M</v>
      </c>
      <c r="L354" s="732">
        <f>IFERROR(__xludf.DUMMYFUNCTION("""COMPUTED_VALUE"""),45261.0)</f>
        <v>45261</v>
      </c>
      <c r="M354" s="228"/>
      <c r="N354" s="228"/>
      <c r="O354" s="228"/>
      <c r="P354" s="228" t="str">
        <f>IFERROR(__xludf.DUMMYFUNCTION("""COMPUTED_VALUE"""),"03027790173")</f>
        <v>03027790173</v>
      </c>
      <c r="Q354" s="228" t="str">
        <f>IFERROR(__xludf.DUMMYFUNCTION("""COMPUTED_VALUE"""),"32304-0840441-5")</f>
        <v>32304-0840441-5</v>
      </c>
      <c r="R354" s="228" t="str">
        <f>IFERROR(__xludf.DUMMYFUNCTION("""COMPUTED_VALUE"""),"Male")</f>
        <v>Male</v>
      </c>
      <c r="S354" s="228" t="str">
        <f>IFERROR(__xludf.DUMMYFUNCTION("""COMPUTED_VALUE"""),"Standard Chartered Bank")</f>
        <v>Standard Chartered Bank</v>
      </c>
      <c r="T354" s="228" t="str">
        <f>IFERROR(__xludf.DUMMYFUNCTION("""COMPUTED_VALUE"""),"Mohsen Abbas")</f>
        <v>Mohsen Abbas</v>
      </c>
      <c r="U354" s="228" t="str">
        <f>IFERROR(__xludf.DUMMYFUNCTION("""COMPUTED_VALUE"""),"PK76SCBL0000001309456101")</f>
        <v>PK76SCBL0000001309456101</v>
      </c>
      <c r="V354" s="228" t="str">
        <f>IFERROR(__xludf.DUMMYFUNCTION("""COMPUTED_VALUE"""),"SCBLPKKXXXX")</f>
        <v>SCBLPKKXXXX</v>
      </c>
      <c r="W354" s="228"/>
      <c r="X354" s="228" t="str">
        <f>IFERROR(__xludf.DUMMYFUNCTION("""COMPUTED_VALUE"""),"Lahore")</f>
        <v>Lahore</v>
      </c>
      <c r="Y354" s="730">
        <f>IFERROR(__xludf.DUMMYFUNCTION("""COMPUTED_VALUE"""),35796.0)</f>
        <v>35796</v>
      </c>
      <c r="Z354" s="228" t="str">
        <f>IFERROR(__xludf.DUMMYFUNCTION("""COMPUTED_VALUE"""),"27 Years")</f>
        <v>27 Years</v>
      </c>
      <c r="AA354" s="228" t="str">
        <f>IFERROR(__xludf.DUMMYFUNCTION("""COMPUTED_VALUE"""),"House 442, E-Block Canal Gardens, PTCHS, Lahore.")</f>
        <v>House 442, E-Block Canal Gardens, PTCHS, Lahore.</v>
      </c>
      <c r="AB354" s="228" t="str">
        <f>IFERROR(__xludf.DUMMYFUNCTION("""COMPUTED_VALUE"""),"Pakistani")</f>
        <v>Pakistani</v>
      </c>
      <c r="AC354" s="228" t="str">
        <f>IFERROR(__xludf.DUMMYFUNCTION("""COMPUTED_VALUE"""),"Married")</f>
        <v>Married</v>
      </c>
      <c r="AD354" s="228"/>
      <c r="AE354" s="228"/>
      <c r="AF354" s="228"/>
      <c r="AG354" s="228" t="str">
        <f>IFERROR(__xludf.DUMMYFUNCTION("""COMPUTED_VALUE"""),"Qalab Abbas")</f>
        <v>Qalab Abbas</v>
      </c>
      <c r="AH354" s="228" t="str">
        <f>IFERROR(__xludf.DUMMYFUNCTION("""COMPUTED_VALUE"""),"Brother")</f>
        <v>Brother</v>
      </c>
      <c r="AI354" s="228" t="str">
        <f>IFERROR(__xludf.DUMMYFUNCTION("""COMPUTED_VALUE"""),"03055578692")</f>
        <v>03055578692</v>
      </c>
      <c r="AJ354" s="228" t="str">
        <f>IFERROR(__xludf.DUMMYFUNCTION("""COMPUTED_VALUE"""),"B+")</f>
        <v>B+</v>
      </c>
      <c r="AK354" s="731" t="str">
        <f>IFERROR(__xludf.DUMMYFUNCTION("""COMPUTED_VALUE"""),"https://www.linkedin.com/in/mohsen-abbas-933aa438/")</f>
        <v>https://www.linkedin.com/in/mohsen-abbas-933aa438/</v>
      </c>
      <c r="AL354" s="228"/>
      <c r="AM354" s="228"/>
      <c r="AN354" s="228"/>
      <c r="AO354" s="228"/>
      <c r="AP354" s="228" t="str">
        <f>IFERROR(__xludf.DUMMYFUNCTION("""COMPUTED_VALUE"""),"NO")</f>
        <v>NO</v>
      </c>
      <c r="AQ354" s="228" t="str">
        <f>IFERROR(__xludf.DUMMYFUNCTION("""COMPUTED_VALUE"""),"Resigned/Terminated")</f>
        <v>Resigned/Terminated</v>
      </c>
    </row>
    <row r="355">
      <c r="A355" s="228">
        <f>IFERROR(__xludf.DUMMYFUNCTION("""COMPUTED_VALUE"""),5190.0)</f>
        <v>5190</v>
      </c>
      <c r="B355" s="228" t="str">
        <f>IFERROR(__xludf.DUMMYFUNCTION("""COMPUTED_VALUE"""),"Muhammad Asadullah Shahid")</f>
        <v>Muhammad Asadullah Shahid</v>
      </c>
      <c r="C355" s="228" t="str">
        <f>IFERROR(__xludf.DUMMYFUNCTION("""COMPUTED_VALUE"""),"ullahasad610@gmail.com")</f>
        <v>ullahasad610@gmail.com</v>
      </c>
      <c r="D355" s="228" t="str">
        <f>IFERROR(__xludf.DUMMYFUNCTION("""COMPUTED_VALUE"""),"asadullah.shahid@vyro.ai")</f>
        <v>asadullah.shahid@vyro.ai</v>
      </c>
      <c r="E355" s="730">
        <f>IFERROR(__xludf.DUMMYFUNCTION("""COMPUTED_VALUE"""),45215.0)</f>
        <v>45215</v>
      </c>
      <c r="F355" s="228" t="str">
        <f>IFERROR(__xludf.DUMMYFUNCTION("""COMPUTED_VALUE"""),"WebGL Engineer")</f>
        <v>WebGL Engineer</v>
      </c>
      <c r="G355" s="228" t="str">
        <f>IFERROR(__xludf.DUMMYFUNCTION("""COMPUTED_VALUE"""),"Web Engineering/ FE")</f>
        <v>Web Engineering/ FE</v>
      </c>
      <c r="H355" s="228" t="str">
        <f>IFERROR(__xludf.DUMMYFUNCTION("""COMPUTED_VALUE"""),"Saad Ahmed")</f>
        <v>Saad Ahmed</v>
      </c>
      <c r="I355" s="228" t="str">
        <f>IFERROR(__xludf.DUMMYFUNCTION("""COMPUTED_VALUE"""),"Permanent")</f>
        <v>Permanent</v>
      </c>
      <c r="J355" s="228" t="str">
        <f>IFERROR(__xludf.DUMMYFUNCTION("""COMPUTED_VALUE"""),"Active")</f>
        <v>Active</v>
      </c>
      <c r="K355" s="228" t="str">
        <f>IFERROR(__xludf.DUMMYFUNCTION("""COMPUTED_VALUE"""),"3M")</f>
        <v>3M</v>
      </c>
      <c r="L355" s="732">
        <f>IFERROR(__xludf.DUMMYFUNCTION("""COMPUTED_VALUE"""),45307.0)</f>
        <v>45307</v>
      </c>
      <c r="M355" s="228"/>
      <c r="N355" s="228"/>
      <c r="O355" s="228"/>
      <c r="P355" s="228" t="str">
        <f>IFERROR(__xludf.DUMMYFUNCTION("""COMPUTED_VALUE"""),"03060043628")</f>
        <v>03060043628</v>
      </c>
      <c r="Q355" s="228" t="str">
        <f>IFERROR(__xludf.DUMMYFUNCTION("""COMPUTED_VALUE"""),"36603-1234883-1")</f>
        <v>36603-1234883-1</v>
      </c>
      <c r="R355" s="228" t="str">
        <f>IFERROR(__xludf.DUMMYFUNCTION("""COMPUTED_VALUE"""),"Male")</f>
        <v>Male</v>
      </c>
      <c r="S355" s="228" t="str">
        <f>IFERROR(__xludf.DUMMYFUNCTION("""COMPUTED_VALUE"""),"HBL")</f>
        <v>HBL</v>
      </c>
      <c r="T355" s="228" t="str">
        <f>IFERROR(__xludf.DUMMYFUNCTION("""COMPUTED_VALUE"""),"ASADULLAH")</f>
        <v>ASADULLAH</v>
      </c>
      <c r="U355" s="228" t="str">
        <f>IFERROR(__xludf.DUMMYFUNCTION("""COMPUTED_VALUE"""),"PK16HABB0053367000175603")</f>
        <v>PK16HABB0053367000175603</v>
      </c>
      <c r="V355" s="228" t="str">
        <f>IFERROR(__xludf.DUMMYFUNCTION("""COMPUTED_VALUE"""),"HABBPKKA")</f>
        <v>HABBPKKA</v>
      </c>
      <c r="W355" s="228"/>
      <c r="X355" s="228" t="str">
        <f>IFERROR(__xludf.DUMMYFUNCTION("""COMPUTED_VALUE"""),"Remote")</f>
        <v>Remote</v>
      </c>
      <c r="Y355" s="730">
        <f>IFERROR(__xludf.DUMMYFUNCTION("""COMPUTED_VALUE"""),35943.0)</f>
        <v>35943</v>
      </c>
      <c r="Z355" s="228" t="str">
        <f>IFERROR(__xludf.DUMMYFUNCTION("""COMPUTED_VALUE"""),"27 Years")</f>
        <v>27 Years</v>
      </c>
      <c r="AA355" s="228" t="str">
        <f>IFERROR(__xludf.DUMMYFUNCTION("""COMPUTED_VALUE"""),"Flat#C1 Habib plaza street#1 H-13 Islamabad")</f>
        <v>Flat#C1 Habib plaza street#1 H-13 Islamabad</v>
      </c>
      <c r="AB355" s="228" t="str">
        <f>IFERROR(__xludf.DUMMYFUNCTION("""COMPUTED_VALUE"""),"Pakistani")</f>
        <v>Pakistani</v>
      </c>
      <c r="AC355" s="228" t="str">
        <f>IFERROR(__xludf.DUMMYFUNCTION("""COMPUTED_VALUE"""),"Single")</f>
        <v>Single</v>
      </c>
      <c r="AD355" s="228"/>
      <c r="AE355" s="228"/>
      <c r="AF355" s="228"/>
      <c r="AG355" s="228" t="str">
        <f>IFERROR(__xludf.DUMMYFUNCTION("""COMPUTED_VALUE"""),"Muhammad Mansha Shahid")</f>
        <v>Muhammad Mansha Shahid</v>
      </c>
      <c r="AH355" s="228" t="str">
        <f>IFERROR(__xludf.DUMMYFUNCTION("""COMPUTED_VALUE"""),"Brother")</f>
        <v>Brother</v>
      </c>
      <c r="AI355" s="228" t="str">
        <f>IFERROR(__xludf.DUMMYFUNCTION("""COMPUTED_VALUE"""),"3060043627")</f>
        <v>3060043627</v>
      </c>
      <c r="AJ355" s="228" t="str">
        <f>IFERROR(__xludf.DUMMYFUNCTION("""COMPUTED_VALUE"""),"AB-")</f>
        <v>AB-</v>
      </c>
      <c r="AK355" s="731" t="str">
        <f>IFERROR(__xludf.DUMMYFUNCTION("""COMPUTED_VALUE"""),"https://pk.linkedin.com/in/muhammad-asadullah-shahid")</f>
        <v>https://pk.linkedin.com/in/muhammad-asadullah-shahid</v>
      </c>
      <c r="AL355" s="228"/>
      <c r="AM355" s="228"/>
      <c r="AN355" s="228"/>
      <c r="AO355" s="228"/>
      <c r="AP355" s="228" t="str">
        <f>IFERROR(__xludf.DUMMYFUNCTION("""COMPUTED_VALUE"""),"NO")</f>
        <v>NO</v>
      </c>
      <c r="AQ355" s="228" t="str">
        <f>IFERROR(__xludf.DUMMYFUNCTION("""COMPUTED_VALUE"""),"Resigned/Terminated")</f>
        <v>Resigned/Terminated</v>
      </c>
    </row>
    <row r="356">
      <c r="A356" s="228">
        <f>IFERROR(__xludf.DUMMYFUNCTION("""COMPUTED_VALUE"""),5305.0)</f>
        <v>5305</v>
      </c>
      <c r="B356" s="228" t="str">
        <f>IFERROR(__xludf.DUMMYFUNCTION("""COMPUTED_VALUE"""),"David Hoang")</f>
        <v>David Hoang</v>
      </c>
      <c r="C356" s="228" t="str">
        <f>IFERROR(__xludf.DUMMYFUNCTION("""COMPUTED_VALUE"""),"hoangtiendat240899@gmail.com")</f>
        <v>hoangtiendat240899@gmail.com</v>
      </c>
      <c r="D356" s="228" t="str">
        <f>IFERROR(__xludf.DUMMYFUNCTION("""COMPUTED_VALUE"""),"hoangtiendat240899@gmail.com")</f>
        <v>hoangtiendat240899@gmail.com</v>
      </c>
      <c r="E356" s="228"/>
      <c r="F356" s="228" t="str">
        <f>IFERROR(__xludf.DUMMYFUNCTION("""COMPUTED_VALUE"""),"Ads Monetization Optimizer Consultant")</f>
        <v>Ads Monetization Optimizer Consultant</v>
      </c>
      <c r="G356" s="228" t="str">
        <f>IFERROR(__xludf.DUMMYFUNCTION("""COMPUTED_VALUE"""),"Business &amp; Growth")</f>
        <v>Business &amp; Growth</v>
      </c>
      <c r="H356" s="228" t="str">
        <f>IFERROR(__xludf.DUMMYFUNCTION("""COMPUTED_VALUE"""),"Ehtisham Balland")</f>
        <v>Ehtisham Balland</v>
      </c>
      <c r="I356" s="228" t="str">
        <f>IFERROR(__xludf.DUMMYFUNCTION("""COMPUTED_VALUE"""),"Consultant")</f>
        <v>Consultant</v>
      </c>
      <c r="J356" s="228" t="str">
        <f>IFERROR(__xludf.DUMMYFUNCTION("""COMPUTED_VALUE"""),"Active")</f>
        <v>Active</v>
      </c>
      <c r="K356" s="228" t="str">
        <f>IFERROR(__xludf.DUMMYFUNCTION("""COMPUTED_VALUE"""),"NA")</f>
        <v>NA</v>
      </c>
      <c r="L356" s="228"/>
      <c r="M356" s="228"/>
      <c r="N356" s="228"/>
      <c r="O356" s="228"/>
      <c r="P356" s="228"/>
      <c r="Q356" s="228"/>
      <c r="R356" s="228" t="str">
        <f>IFERROR(__xludf.DUMMYFUNCTION("""COMPUTED_VALUE"""),"Male")</f>
        <v>Male</v>
      </c>
      <c r="S356" s="228" t="str">
        <f>IFERROR(__xludf.DUMMYFUNCTION("""COMPUTED_VALUE"""),"ASIA COMMERCIAL JOINT STOCK BANK")</f>
        <v>ASIA COMMERCIAL JOINT STOCK BANK</v>
      </c>
      <c r="T356" s="228" t="str">
        <f>IFERROR(__xludf.DUMMYFUNCTION("""COMPUTED_VALUE"""),"HOANG TIEN DAT")</f>
        <v>HOANG TIEN DAT</v>
      </c>
      <c r="U356" s="228" t="str">
        <f>IFERROR(__xludf.DUMMYFUNCTION("""COMPUTED_VALUE"""),"28192907")</f>
        <v>28192907</v>
      </c>
      <c r="V356" s="228" t="str">
        <f>IFERROR(__xludf.DUMMYFUNCTION("""COMPUTED_VALUE"""),"ASCBVNVX")</f>
        <v>ASCBVNVX</v>
      </c>
      <c r="W356" s="228"/>
      <c r="X356" s="228" t="str">
        <f>IFERROR(__xludf.DUMMYFUNCTION("""COMPUTED_VALUE"""),"Remote")</f>
        <v>Remote</v>
      </c>
      <c r="Y356" s="228"/>
      <c r="Z356" s="228" t="str">
        <f>IFERROR(__xludf.DUMMYFUNCTION("""COMPUTED_VALUE"""),"-")</f>
        <v>-</v>
      </c>
      <c r="AA356" s="228" t="str">
        <f>IFERROR(__xludf.DUMMYFUNCTION("""COMPUTED_VALUE"""),"Trung Van, Nam Tu Liem, Ha Noi, Viet Nam")</f>
        <v>Trung Van, Nam Tu Liem, Ha Noi, Viet Nam</v>
      </c>
      <c r="AB356" s="228"/>
      <c r="AC356" s="228"/>
      <c r="AD356" s="228"/>
      <c r="AE356" s="228"/>
      <c r="AF356" s="228"/>
      <c r="AG356" s="228"/>
      <c r="AH356" s="228"/>
      <c r="AI356" s="228"/>
      <c r="AJ356" s="228"/>
      <c r="AK356" s="228"/>
      <c r="AL356" s="228"/>
      <c r="AM356" s="228"/>
      <c r="AN356" s="228"/>
      <c r="AO356" s="228"/>
      <c r="AP356" s="228" t="str">
        <f>IFERROR(__xludf.DUMMYFUNCTION("""COMPUTED_VALUE"""),"NO")</f>
        <v>NO</v>
      </c>
      <c r="AQ356" s="228" t="str">
        <f>IFERROR(__xludf.DUMMYFUNCTION("""COMPUTED_VALUE"""),"Resigned/Terminated")</f>
        <v>Resigned/Terminated</v>
      </c>
    </row>
    <row r="357">
      <c r="A357" s="228">
        <f>IFERROR(__xludf.DUMMYFUNCTION("""COMPUTED_VALUE"""),5217.0)</f>
        <v>5217</v>
      </c>
      <c r="B357" s="228" t="str">
        <f>IFERROR(__xludf.DUMMYFUNCTION("""COMPUTED_VALUE"""),"Abdul Hameed")</f>
        <v>Abdul Hameed</v>
      </c>
      <c r="C357" s="228" t="str">
        <f>IFERROR(__xludf.DUMMYFUNCTION("""COMPUTED_VALUE"""),"abdulhmd11@gmail.com")</f>
        <v>abdulhmd11@gmail.com</v>
      </c>
      <c r="D357" s="228" t="str">
        <f>IFERROR(__xludf.DUMMYFUNCTION("""COMPUTED_VALUE"""),"abdul.hameed@vyro.ai")</f>
        <v>abdul.hameed@vyro.ai</v>
      </c>
      <c r="E357" s="730">
        <f>IFERROR(__xludf.DUMMYFUNCTION("""COMPUTED_VALUE"""),45299.0)</f>
        <v>45299</v>
      </c>
      <c r="F357" s="228" t="str">
        <f>IFERROR(__xludf.DUMMYFUNCTION("""COMPUTED_VALUE"""),"Motion Graphics Designer")</f>
        <v>Motion Graphics Designer</v>
      </c>
      <c r="G357" s="228" t="str">
        <f>IFERROR(__xludf.DUMMYFUNCTION("""COMPUTED_VALUE"""),"Creatives")</f>
        <v>Creatives</v>
      </c>
      <c r="H357" s="228" t="str">
        <f>IFERROR(__xludf.DUMMYFUNCTION("""COMPUTED_VALUE"""),"Hassan Shakeel")</f>
        <v>Hassan Shakeel</v>
      </c>
      <c r="I357" s="228" t="str">
        <f>IFERROR(__xludf.DUMMYFUNCTION("""COMPUTED_VALUE"""),"Permanent")</f>
        <v>Permanent</v>
      </c>
      <c r="J357" s="228" t="str">
        <f>IFERROR(__xludf.DUMMYFUNCTION("""COMPUTED_VALUE"""),"Active")</f>
        <v>Active</v>
      </c>
      <c r="K357" s="228" t="str">
        <f>IFERROR(__xludf.DUMMYFUNCTION("""COMPUTED_VALUE"""),"3M")</f>
        <v>3M</v>
      </c>
      <c r="L357" s="732">
        <f>IFERROR(__xludf.DUMMYFUNCTION("""COMPUTED_VALUE"""),45390.0)</f>
        <v>45390</v>
      </c>
      <c r="M357" s="228"/>
      <c r="N357" s="228"/>
      <c r="O357" s="228"/>
      <c r="P357" s="228" t="str">
        <f>IFERROR(__xludf.DUMMYFUNCTION("""COMPUTED_VALUE"""),"03359929217")</f>
        <v>03359929217</v>
      </c>
      <c r="Q357" s="228" t="str">
        <f>IFERROR(__xludf.DUMMYFUNCTION("""COMPUTED_VALUE"""),"17301-6508006-1")</f>
        <v>17301-6508006-1</v>
      </c>
      <c r="R357" s="228" t="str">
        <f>IFERROR(__xludf.DUMMYFUNCTION("""COMPUTED_VALUE"""),"Male")</f>
        <v>Male</v>
      </c>
      <c r="S357" s="228" t="str">
        <f>IFERROR(__xludf.DUMMYFUNCTION("""COMPUTED_VALUE"""),"Habib Bank Limited")</f>
        <v>Habib Bank Limited</v>
      </c>
      <c r="T357" s="228" t="str">
        <f>IFERROR(__xludf.DUMMYFUNCTION("""COMPUTED_VALUE"""),"ABDUL HAMEED")</f>
        <v>ABDUL HAMEED</v>
      </c>
      <c r="U357" s="228" t="str">
        <f>IFERROR(__xludf.DUMMYFUNCTION("""COMPUTED_VALUE"""),"PK37HABB0004637900839103")</f>
        <v>PK37HABB0004637900839103</v>
      </c>
      <c r="V357" s="228"/>
      <c r="W357" s="228"/>
      <c r="X357" s="228" t="str">
        <f>IFERROR(__xludf.DUMMYFUNCTION("""COMPUTED_VALUE"""),"Remote")</f>
        <v>Remote</v>
      </c>
      <c r="Y357" s="730">
        <f>IFERROR(__xludf.DUMMYFUNCTION("""COMPUTED_VALUE"""),36617.0)</f>
        <v>36617</v>
      </c>
      <c r="Z357" s="228" t="str">
        <f>IFERROR(__xludf.DUMMYFUNCTION("""COMPUTED_VALUE"""),"25 Years")</f>
        <v>25 Years</v>
      </c>
      <c r="AA357" s="228" t="str">
        <f>IFERROR(__xludf.DUMMYFUNCTION("""COMPUTED_VALUE"""),"Royal avenue chak shehzad")</f>
        <v>Royal avenue chak shehzad</v>
      </c>
      <c r="AB357" s="228" t="str">
        <f>IFERROR(__xludf.DUMMYFUNCTION("""COMPUTED_VALUE"""),"Pakistani")</f>
        <v>Pakistani</v>
      </c>
      <c r="AC357" s="228" t="str">
        <f>IFERROR(__xludf.DUMMYFUNCTION("""COMPUTED_VALUE"""),"Single")</f>
        <v>Single</v>
      </c>
      <c r="AD357" s="228"/>
      <c r="AE357" s="228"/>
      <c r="AF357" s="228"/>
      <c r="AG357" s="228" t="str">
        <f>IFERROR(__xludf.DUMMYFUNCTION("""COMPUTED_VALUE"""),"Muhammad Ibrahim")</f>
        <v>Muhammad Ibrahim</v>
      </c>
      <c r="AH357" s="228" t="str">
        <f>IFERROR(__xludf.DUMMYFUNCTION("""COMPUTED_VALUE"""),"Brother")</f>
        <v>Brother</v>
      </c>
      <c r="AI357" s="228" t="str">
        <f>IFERROR(__xludf.DUMMYFUNCTION("""COMPUTED_VALUE"""),"0331 9016744")</f>
        <v>0331 9016744</v>
      </c>
      <c r="AJ357" s="228" t="str">
        <f>IFERROR(__xludf.DUMMYFUNCTION("""COMPUTED_VALUE"""),"A-")</f>
        <v>A-</v>
      </c>
      <c r="AK357" s="731" t="str">
        <f>IFERROR(__xludf.DUMMYFUNCTION("""COMPUTED_VALUE"""),"https://pk.linkedin.com/in/abdul-hameed-030480241")</f>
        <v>https://pk.linkedin.com/in/abdul-hameed-030480241</v>
      </c>
      <c r="AL357" s="228"/>
      <c r="AM357" s="730">
        <f>IFERROR(__xludf.DUMMYFUNCTION("""COMPUTED_VALUE"""),45604.0)</f>
        <v>45604</v>
      </c>
      <c r="AN357" s="228"/>
      <c r="AO357" s="228"/>
      <c r="AP357" s="228" t="str">
        <f>IFERROR(__xludf.DUMMYFUNCTION("""COMPUTED_VALUE"""),"NO")</f>
        <v>NO</v>
      </c>
      <c r="AQ357" s="228" t="str">
        <f>IFERROR(__xludf.DUMMYFUNCTION("""COMPUTED_VALUE"""),"Resigned/Terminated")</f>
        <v>Resigned/Terminated</v>
      </c>
    </row>
    <row r="358">
      <c r="A358" s="228">
        <f>IFERROR(__xludf.DUMMYFUNCTION("""COMPUTED_VALUE"""),5118.0)</f>
        <v>5118</v>
      </c>
      <c r="B358" s="228" t="str">
        <f>IFERROR(__xludf.DUMMYFUNCTION("""COMPUTED_VALUE"""),"Abdullah Bin Rashid")</f>
        <v>Abdullah Bin Rashid</v>
      </c>
      <c r="C358" s="228" t="str">
        <f>IFERROR(__xludf.DUMMYFUNCTION("""COMPUTED_VALUE"""),"abdullahrashid17@hotmail.com")</f>
        <v>abdullahrashid17@hotmail.com</v>
      </c>
      <c r="D358" s="228" t="str">
        <f>IFERROR(__xludf.DUMMYFUNCTION("""COMPUTED_VALUE"""),"abdullah.rashid@vyro.ai")</f>
        <v>abdullah.rashid@vyro.ai</v>
      </c>
      <c r="E358" s="730">
        <f>IFERROR(__xludf.DUMMYFUNCTION("""COMPUTED_VALUE"""),45027.0)</f>
        <v>45027</v>
      </c>
      <c r="F358" s="228" t="str">
        <f>IFERROR(__xludf.DUMMYFUNCTION("""COMPUTED_VALUE"""),"Associate Data Analyst")</f>
        <v>Associate Data Analyst</v>
      </c>
      <c r="G358" s="228" t="str">
        <f>IFERROR(__xludf.DUMMYFUNCTION("""COMPUTED_VALUE"""),"Product")</f>
        <v>Product</v>
      </c>
      <c r="H358" s="228" t="str">
        <f>IFERROR(__xludf.DUMMYFUNCTION("""COMPUTED_VALUE"""),"Ali Ayub")</f>
        <v>Ali Ayub</v>
      </c>
      <c r="I358" s="228" t="str">
        <f>IFERROR(__xludf.DUMMYFUNCTION("""COMPUTED_VALUE"""),"Permanent")</f>
        <v>Permanent</v>
      </c>
      <c r="J358" s="228" t="str">
        <f>IFERROR(__xludf.DUMMYFUNCTION("""COMPUTED_VALUE"""),"Active")</f>
        <v>Active</v>
      </c>
      <c r="K358" s="228" t="str">
        <f>IFERROR(__xludf.DUMMYFUNCTION("""COMPUTED_VALUE"""),"2M")</f>
        <v>2M</v>
      </c>
      <c r="L358" s="732">
        <f>IFERROR(__xludf.DUMMYFUNCTION("""COMPUTED_VALUE"""),45088.0)</f>
        <v>45088</v>
      </c>
      <c r="M358" s="228"/>
      <c r="N358" s="228"/>
      <c r="O358" s="228"/>
      <c r="P358" s="228" t="str">
        <f>IFERROR(__xludf.DUMMYFUNCTION("""COMPUTED_VALUE"""),"3470008698")</f>
        <v>3470008698</v>
      </c>
      <c r="Q358" s="228" t="str">
        <f>IFERROR(__xludf.DUMMYFUNCTION("""COMPUTED_VALUE"""),"61101-3101618-7")</f>
        <v>61101-3101618-7</v>
      </c>
      <c r="R358" s="228" t="str">
        <f>IFERROR(__xludf.DUMMYFUNCTION("""COMPUTED_VALUE"""),"Male")</f>
        <v>Male</v>
      </c>
      <c r="S358" s="228" t="str">
        <f>IFERROR(__xludf.DUMMYFUNCTION("""COMPUTED_VALUE"""),"Standard Chartered")</f>
        <v>Standard Chartered</v>
      </c>
      <c r="T358" s="228"/>
      <c r="U358" s="228" t="str">
        <f>IFERROR(__xludf.DUMMYFUNCTION("""COMPUTED_VALUE"""),"PK31SCBL0000001026805701")</f>
        <v>PK31SCBL0000001026805701</v>
      </c>
      <c r="V358" s="228"/>
      <c r="W358" s="228"/>
      <c r="X358" s="228" t="str">
        <f>IFERROR(__xludf.DUMMYFUNCTION("""COMPUTED_VALUE"""),"Islamabad")</f>
        <v>Islamabad</v>
      </c>
      <c r="Y358" s="730">
        <f>IFERROR(__xludf.DUMMYFUNCTION("""COMPUTED_VALUE"""),36358.0)</f>
        <v>36358</v>
      </c>
      <c r="Z358" s="228" t="str">
        <f>IFERROR(__xludf.DUMMYFUNCTION("""COMPUTED_VALUE"""),"25 Years")</f>
        <v>25 Years</v>
      </c>
      <c r="AA358" s="228" t="str">
        <f>IFERROR(__xludf.DUMMYFUNCTION("""COMPUTED_VALUE"""),"house 81, st 2, block B, CBR Town, Islamabad")</f>
        <v>house 81, st 2, block B, CBR Town, Islamabad</v>
      </c>
      <c r="AB358" s="228" t="str">
        <f>IFERROR(__xludf.DUMMYFUNCTION("""COMPUTED_VALUE"""),"Pakistani")</f>
        <v>Pakistani</v>
      </c>
      <c r="AC358" s="228" t="str">
        <f>IFERROR(__xludf.DUMMYFUNCTION("""COMPUTED_VALUE"""),"Single")</f>
        <v>Single</v>
      </c>
      <c r="AD358" s="228"/>
      <c r="AE358" s="228"/>
      <c r="AF358" s="228"/>
      <c r="AG358" s="228" t="str">
        <f>IFERROR(__xludf.DUMMYFUNCTION("""COMPUTED_VALUE"""),"Rashid Aziz")</f>
        <v>Rashid Aziz</v>
      </c>
      <c r="AH358" s="228" t="str">
        <f>IFERROR(__xludf.DUMMYFUNCTION("""COMPUTED_VALUE"""),"Father")</f>
        <v>Father</v>
      </c>
      <c r="AI358" s="228" t="str">
        <f>IFERROR(__xludf.DUMMYFUNCTION("""COMPUTED_VALUE"""),"3325077593")</f>
        <v>3325077593</v>
      </c>
      <c r="AJ358" s="228" t="str">
        <f>IFERROR(__xludf.DUMMYFUNCTION("""COMPUTED_VALUE"""),"O+")</f>
        <v>O+</v>
      </c>
      <c r="AK358" s="228"/>
      <c r="AL358" s="228"/>
      <c r="AM358" s="730">
        <f>IFERROR(__xludf.DUMMYFUNCTION("""COMPUTED_VALUE"""),45603.0)</f>
        <v>45603</v>
      </c>
      <c r="AN358" s="228" t="str">
        <f>IFERROR(__xludf.DUMMYFUNCTION("""COMPUTED_VALUE"""),"Data")</f>
        <v>Data</v>
      </c>
      <c r="AO358" s="228" t="str">
        <f>IFERROR(__xludf.DUMMYFUNCTION("""COMPUTED_VALUE"""),"data.team@vyro.ai")</f>
        <v>data.team@vyro.ai</v>
      </c>
      <c r="AP358" s="228" t="str">
        <f>IFERROR(__xludf.DUMMYFUNCTION("""COMPUTED_VALUE"""),"NO")</f>
        <v>NO</v>
      </c>
      <c r="AQ358" s="228" t="str">
        <f>IFERROR(__xludf.DUMMYFUNCTION("""COMPUTED_VALUE"""),"Resigned/Terminated")</f>
        <v>Resigned/Terminated</v>
      </c>
    </row>
    <row r="359">
      <c r="A359" s="228">
        <f>IFERROR(__xludf.DUMMYFUNCTION("""COMPUTED_VALUE"""),1127.0)</f>
        <v>1127</v>
      </c>
      <c r="B359" s="228" t="str">
        <f>IFERROR(__xludf.DUMMYFUNCTION("""COMPUTED_VALUE"""),"Ali Ayub Khan")</f>
        <v>Ali Ayub Khan</v>
      </c>
      <c r="C359" s="228" t="str">
        <f>IFERROR(__xludf.DUMMYFUNCTION("""COMPUTED_VALUE"""),"aliayubkhan.work@gmail.com")</f>
        <v>aliayubkhan.work@gmail.com</v>
      </c>
      <c r="D359" s="228" t="str">
        <f>IFERROR(__xludf.DUMMYFUNCTION("""COMPUTED_VALUE"""),"ali.ayub@vyro.ai")</f>
        <v>ali.ayub@vyro.ai</v>
      </c>
      <c r="E359" s="228"/>
      <c r="F359" s="228" t="str">
        <f>IFERROR(__xludf.DUMMYFUNCTION("""COMPUTED_VALUE"""),"Product Analytics Manager (Consultant)")</f>
        <v>Product Analytics Manager (Consultant)</v>
      </c>
      <c r="G359" s="228" t="str">
        <f>IFERROR(__xludf.DUMMYFUNCTION("""COMPUTED_VALUE"""),"Product")</f>
        <v>Product</v>
      </c>
      <c r="H359" s="228" t="str">
        <f>IFERROR(__xludf.DUMMYFUNCTION("""COMPUTED_VALUE"""),"M. Abdullah Rafique, CTO")</f>
        <v>M. Abdullah Rafique, CTO</v>
      </c>
      <c r="I359" s="228" t="str">
        <f>IFERROR(__xludf.DUMMYFUNCTION("""COMPUTED_VALUE"""),"Permanent")</f>
        <v>Permanent</v>
      </c>
      <c r="J359" s="228" t="str">
        <f>IFERROR(__xludf.DUMMYFUNCTION("""COMPUTED_VALUE"""),"Active")</f>
        <v>Active</v>
      </c>
      <c r="K359" s="228" t="str">
        <f>IFERROR(__xludf.DUMMYFUNCTION("""COMPUTED_VALUE"""),"3M")</f>
        <v>3M</v>
      </c>
      <c r="L359" s="732">
        <f>IFERROR(__xludf.DUMMYFUNCTION("""COMPUTED_VALUE"""),45153.0)</f>
        <v>45153</v>
      </c>
      <c r="M359" s="228"/>
      <c r="N359" s="228"/>
      <c r="O359" s="228"/>
      <c r="P359" s="228" t="str">
        <f>IFERROR(__xludf.DUMMYFUNCTION("""COMPUTED_VALUE"""),"0301 2010198")</f>
        <v>0301 2010198</v>
      </c>
      <c r="Q359" s="228" t="str">
        <f>IFERROR(__xludf.DUMMYFUNCTION("""COMPUTED_VALUE"""),"37201-9867608-9")</f>
        <v>37201-9867608-9</v>
      </c>
      <c r="R359" s="228" t="str">
        <f>IFERROR(__xludf.DUMMYFUNCTION("""COMPUTED_VALUE"""),"Male")</f>
        <v>Male</v>
      </c>
      <c r="S359" s="228" t="str">
        <f>IFERROR(__xludf.DUMMYFUNCTION("""COMPUTED_VALUE"""),"1. \Wise, United States                                              2.  First Century Bank")</f>
        <v>1. \Wise, United States                                              2.  First Century Bank</v>
      </c>
      <c r="T359" s="228" t="str">
        <f>IFERROR(__xludf.DUMMYFUNCTION("""COMPUTED_VALUE"""),"Ali Ayub Khan")</f>
        <v>Ali Ayub Khan</v>
      </c>
      <c r="U359" s="228" t="str">
        <f>IFERROR(__xludf.DUMMYFUNCTION("""COMPUTED_VALUE"""),"1. ACH Routing Number: 026073150, Account number: 8312165415,                                                                 2. Routing (ABA): 061120084, Account number: 4018975549069")</f>
        <v>1. ACH Routing Number: 026073150, Account number: 8312165415,                                                                 2. Routing (ABA): 061120084, Account number: 4018975549069</v>
      </c>
      <c r="V359" s="228"/>
      <c r="W359" s="228"/>
      <c r="X359" s="228" t="str">
        <f>IFERROR(__xludf.DUMMYFUNCTION("""COMPUTED_VALUE"""),"Islamabad")</f>
        <v>Islamabad</v>
      </c>
      <c r="Y359" s="730">
        <f>IFERROR(__xludf.DUMMYFUNCTION("""COMPUTED_VALUE"""),35400.0)</f>
        <v>35400</v>
      </c>
      <c r="Z359" s="228" t="str">
        <f>IFERROR(__xludf.DUMMYFUNCTION("""COMPUTED_VALUE"""),"28 Years")</f>
        <v>28 Years</v>
      </c>
      <c r="AA359" s="228" t="str">
        <f>IFERROR(__xludf.DUMMYFUNCTION("""COMPUTED_VALUE"""),"House no. 458, Street no. 22, Sector E, Bahria Town Phase 8")</f>
        <v>House no. 458, Street no. 22, Sector E, Bahria Town Phase 8</v>
      </c>
      <c r="AB359" s="228" t="str">
        <f>IFERROR(__xludf.DUMMYFUNCTION("""COMPUTED_VALUE"""),"Pakistani")</f>
        <v>Pakistani</v>
      </c>
      <c r="AC359" s="228" t="str">
        <f>IFERROR(__xludf.DUMMYFUNCTION("""COMPUTED_VALUE"""),"Married")</f>
        <v>Married</v>
      </c>
      <c r="AD359" s="228"/>
      <c r="AE359" s="228"/>
      <c r="AF359" s="228"/>
      <c r="AG359" s="228" t="str">
        <f>IFERROR(__xludf.DUMMYFUNCTION("""COMPUTED_VALUE"""),"Khalid Mahmood")</f>
        <v>Khalid Mahmood</v>
      </c>
      <c r="AH359" s="228" t="str">
        <f>IFERROR(__xludf.DUMMYFUNCTION("""COMPUTED_VALUE"""),"Father")</f>
        <v>Father</v>
      </c>
      <c r="AI359" s="228" t="str">
        <f>IFERROR(__xludf.DUMMYFUNCTION("""COMPUTED_VALUE"""),"0302 8281863")</f>
        <v>0302 8281863</v>
      </c>
      <c r="AJ359" s="228" t="str">
        <f>IFERROR(__xludf.DUMMYFUNCTION("""COMPUTED_VALUE"""),"A+")</f>
        <v>A+</v>
      </c>
      <c r="AK359" s="228"/>
      <c r="AL359" s="228"/>
      <c r="AM359" s="228"/>
      <c r="AN359" s="228" t="str">
        <f>IFERROR(__xludf.DUMMYFUNCTION("""COMPUTED_VALUE"""),"Data, Imagine Web, Product")</f>
        <v>Data, Imagine Web, Product</v>
      </c>
      <c r="AO359" s="228" t="str">
        <f>IFERROR(__xludf.DUMMYFUNCTION("""COMPUTED_VALUE"""),"data.team@vyro.ai, imagine.web.team@vyro.ai, product.team@vyro.ai")</f>
        <v>data.team@vyro.ai, imagine.web.team@vyro.ai, product.team@vyro.ai</v>
      </c>
      <c r="AP359" s="228" t="str">
        <f>IFERROR(__xludf.DUMMYFUNCTION("""COMPUTED_VALUE"""),"NO")</f>
        <v>NO</v>
      </c>
      <c r="AQ359" s="228" t="str">
        <f>IFERROR(__xludf.DUMMYFUNCTION("""COMPUTED_VALUE"""),"Resigned/Terminated")</f>
        <v>Resigned/Terminated</v>
      </c>
    </row>
    <row r="360">
      <c r="A360" s="228">
        <f>IFERROR(__xludf.DUMMYFUNCTION("""COMPUTED_VALUE"""),5273.0)</f>
        <v>5273</v>
      </c>
      <c r="B360" s="228" t="str">
        <f>IFERROR(__xludf.DUMMYFUNCTION("""COMPUTED_VALUE"""),"Ali Dhanani")</f>
        <v>Ali Dhanani</v>
      </c>
      <c r="C360" s="228" t="str">
        <f>IFERROR(__xludf.DUMMYFUNCTION("""COMPUTED_VALUE"""),"alishandhanani@yahoo.com")</f>
        <v>alishandhanani@yahoo.com</v>
      </c>
      <c r="D360" s="228" t="str">
        <f>IFERROR(__xludf.DUMMYFUNCTION("""COMPUTED_VALUE"""),"ali.dhanani@vyro.ai")</f>
        <v>ali.dhanani@vyro.ai</v>
      </c>
      <c r="E360" s="730">
        <f>IFERROR(__xludf.DUMMYFUNCTION("""COMPUTED_VALUE"""),45433.0)</f>
        <v>45433</v>
      </c>
      <c r="F360" s="228" t="str">
        <f>IFERROR(__xludf.DUMMYFUNCTION("""COMPUTED_VALUE"""),"Growth Consultant")</f>
        <v>Growth Consultant</v>
      </c>
      <c r="G360" s="228" t="str">
        <f>IFERROR(__xludf.DUMMYFUNCTION("""COMPUTED_VALUE"""),"Growth")</f>
        <v>Growth</v>
      </c>
      <c r="H360" s="228" t="str">
        <f>IFERROR(__xludf.DUMMYFUNCTION("""COMPUTED_VALUE"""),"Ahmed Abubakar, CEO")</f>
        <v>Ahmed Abubakar, CEO</v>
      </c>
      <c r="I360" s="228" t="str">
        <f>IFERROR(__xludf.DUMMYFUNCTION("""COMPUTED_VALUE"""),"Contract")</f>
        <v>Contract</v>
      </c>
      <c r="J360" s="228" t="str">
        <f>IFERROR(__xludf.DUMMYFUNCTION("""COMPUTED_VALUE"""),"Active")</f>
        <v>Active</v>
      </c>
      <c r="K360" s="228"/>
      <c r="L360" s="228"/>
      <c r="M360" s="228"/>
      <c r="N360" s="228"/>
      <c r="O360" s="228"/>
      <c r="P360" s="228"/>
      <c r="Q360" s="228"/>
      <c r="R360" s="228" t="str">
        <f>IFERROR(__xludf.DUMMYFUNCTION("""COMPUTED_VALUE"""),"Male")</f>
        <v>Male</v>
      </c>
      <c r="S360" s="228" t="str">
        <f>IFERROR(__xludf.DUMMYFUNCTION("""COMPUTED_VALUE"""),"4")</f>
        <v>4</v>
      </c>
      <c r="T360" s="228" t="str">
        <f>IFERROR(__xludf.DUMMYFUNCTION("""COMPUTED_VALUE"""),"ALISHAN DHANANI")</f>
        <v>ALISHAN DHANANI</v>
      </c>
      <c r="U360" s="228" t="str">
        <f>IFERROR(__xludf.DUMMYFUNCTION("""COMPUTED_VALUE"""),"7178829")</f>
        <v>7178829</v>
      </c>
      <c r="V360" s="228" t="str">
        <f>IFERROR(__xludf.DUMMYFUNCTION("""COMPUTED_VALUE"""),"TDOMCATTTOR")</f>
        <v>TDOMCATTTOR</v>
      </c>
      <c r="W360" s="228" t="str">
        <f>IFERROR(__xludf.DUMMYFUNCTION("""COMPUTED_VALUE"""),"11042")</f>
        <v>11042</v>
      </c>
      <c r="X360" s="228" t="str">
        <f>IFERROR(__xludf.DUMMYFUNCTION("""COMPUTED_VALUE"""),"Remote")</f>
        <v>Remote</v>
      </c>
      <c r="Y360" s="228"/>
      <c r="Z360" s="228" t="str">
        <f>IFERROR(__xludf.DUMMYFUNCTION("""COMPUTED_VALUE"""),"-")</f>
        <v>-</v>
      </c>
      <c r="AA360" s="228" t="str">
        <f>IFERROR(__xludf.DUMMYFUNCTION("""COMPUTED_VALUE"""),"40 ASQUITH AVE SUITE 1311, TORONTO, ON, M4W 1J6")</f>
        <v>40 ASQUITH AVE SUITE 1311, TORONTO, ON, M4W 1J6</v>
      </c>
      <c r="AB360" s="228" t="str">
        <f>IFERROR(__xludf.DUMMYFUNCTION("""COMPUTED_VALUE"""),"Canadian")</f>
        <v>Canadian</v>
      </c>
      <c r="AC360" s="228"/>
      <c r="AD360" s="228"/>
      <c r="AE360" s="228"/>
      <c r="AF360" s="228"/>
      <c r="AG360" s="228"/>
      <c r="AH360" s="228"/>
      <c r="AI360" s="228"/>
      <c r="AJ360" s="228"/>
      <c r="AK360" s="228"/>
      <c r="AL360" s="228"/>
      <c r="AM360" s="228"/>
      <c r="AN360" s="228" t="str">
        <f>IFERROR(__xludf.DUMMYFUNCTION("""COMPUTED_VALUE"""),"NOT FOUND")</f>
        <v>NOT FOUND</v>
      </c>
      <c r="AO360" s="228" t="str">
        <f>IFERROR(__xludf.DUMMYFUNCTION("""COMPUTED_VALUE"""),"NOT FOUND")</f>
        <v>NOT FOUND</v>
      </c>
      <c r="AP360" s="228" t="str">
        <f>IFERROR(__xludf.DUMMYFUNCTION("""COMPUTED_VALUE"""),"NO")</f>
        <v>NO</v>
      </c>
      <c r="AQ360" s="228" t="str">
        <f>IFERROR(__xludf.DUMMYFUNCTION("""COMPUTED_VALUE"""),"Resigned/Terminated")</f>
        <v>Resigned/Terminated</v>
      </c>
    </row>
    <row r="361">
      <c r="A361" s="228">
        <f>IFERROR(__xludf.DUMMYFUNCTION("""COMPUTED_VALUE"""),5191.0)</f>
        <v>5191</v>
      </c>
      <c r="B361" s="228" t="str">
        <f>IFERROR(__xludf.DUMMYFUNCTION("""COMPUTED_VALUE"""),"Zoha Munir")</f>
        <v>Zoha Munir</v>
      </c>
      <c r="C361" s="228" t="str">
        <f>IFERROR(__xludf.DUMMYFUNCTION("""COMPUTED_VALUE"""),"zohamunir@outlook.com")</f>
        <v>zohamunir@outlook.com</v>
      </c>
      <c r="D361" s="228" t="str">
        <f>IFERROR(__xludf.DUMMYFUNCTION("""COMPUTED_VALUE"""),"zoha.munir@vyro.ai")</f>
        <v>zoha.munir@vyro.ai</v>
      </c>
      <c r="E361" s="730">
        <f>IFERROR(__xludf.DUMMYFUNCTION("""COMPUTED_VALUE"""),45222.0)</f>
        <v>45222</v>
      </c>
      <c r="F361" s="228" t="str">
        <f>IFERROR(__xludf.DUMMYFUNCTION("""COMPUTED_VALUE"""),"Senior Data Analyst")</f>
        <v>Senior Data Analyst</v>
      </c>
      <c r="G361" s="228" t="str">
        <f>IFERROR(__xludf.DUMMYFUNCTION("""COMPUTED_VALUE"""),"Business &amp; Growth")</f>
        <v>Business &amp; Growth</v>
      </c>
      <c r="H361" s="228" t="str">
        <f>IFERROR(__xludf.DUMMYFUNCTION("""COMPUTED_VALUE"""),"Ahmed Abubakar, CEO")</f>
        <v>Ahmed Abubakar, CEO</v>
      </c>
      <c r="I361" s="228" t="str">
        <f>IFERROR(__xludf.DUMMYFUNCTION("""COMPUTED_VALUE"""),"Permanent")</f>
        <v>Permanent</v>
      </c>
      <c r="J361" s="228" t="str">
        <f>IFERROR(__xludf.DUMMYFUNCTION("""COMPUTED_VALUE"""),"Active")</f>
        <v>Active</v>
      </c>
      <c r="K361" s="228" t="str">
        <f>IFERROR(__xludf.DUMMYFUNCTION("""COMPUTED_VALUE"""),"3M")</f>
        <v>3M</v>
      </c>
      <c r="L361" s="732">
        <f>IFERROR(__xludf.DUMMYFUNCTION("""COMPUTED_VALUE"""),45314.0)</f>
        <v>45314</v>
      </c>
      <c r="M361" s="228"/>
      <c r="N361" s="228"/>
      <c r="O361" s="228"/>
      <c r="P361" s="228" t="str">
        <f>IFERROR(__xludf.DUMMYFUNCTION("""COMPUTED_VALUE"""),"03324392038")</f>
        <v>03324392038</v>
      </c>
      <c r="Q361" s="228" t="str">
        <f>IFERROR(__xludf.DUMMYFUNCTION("""COMPUTED_VALUE"""),"35202-9887337-8")</f>
        <v>35202-9887337-8</v>
      </c>
      <c r="R361" s="228" t="str">
        <f>IFERROR(__xludf.DUMMYFUNCTION("""COMPUTED_VALUE"""),"Female")</f>
        <v>Female</v>
      </c>
      <c r="S361" s="228" t="str">
        <f>IFERROR(__xludf.DUMMYFUNCTION("""COMPUTED_VALUE"""),"HBL - UET Branch")</f>
        <v>HBL - UET Branch</v>
      </c>
      <c r="T361" s="228" t="str">
        <f>IFERROR(__xludf.DUMMYFUNCTION("""COMPUTED_VALUE"""),"Zoha Munir")</f>
        <v>Zoha Munir</v>
      </c>
      <c r="U361" s="228" t="str">
        <f>IFERROR(__xludf.DUMMYFUNCTION("""COMPUTED_VALUE"""),"PK25HABB0001287902599503")</f>
        <v>PK25HABB0001287902599503</v>
      </c>
      <c r="V361" s="228"/>
      <c r="W361" s="228"/>
      <c r="X361" s="228" t="str">
        <f>IFERROR(__xludf.DUMMYFUNCTION("""COMPUTED_VALUE"""),"Lahore")</f>
        <v>Lahore</v>
      </c>
      <c r="Y361" s="730">
        <f>IFERROR(__xludf.DUMMYFUNCTION("""COMPUTED_VALUE"""),35743.0)</f>
        <v>35743</v>
      </c>
      <c r="Z361" s="228" t="str">
        <f>IFERROR(__xludf.DUMMYFUNCTION("""COMPUTED_VALUE"""),"27 Years")</f>
        <v>27 Years</v>
      </c>
      <c r="AA361" s="228" t="str">
        <f>IFERROR(__xludf.DUMMYFUNCTION("""COMPUTED_VALUE"""),"House No. 532, Karim Block, Allama Iqbal Town, Lahore")</f>
        <v>House No. 532, Karim Block, Allama Iqbal Town, Lahore</v>
      </c>
      <c r="AB361" s="228" t="str">
        <f>IFERROR(__xludf.DUMMYFUNCTION("""COMPUTED_VALUE"""),"Pakistani")</f>
        <v>Pakistani</v>
      </c>
      <c r="AC361" s="228" t="str">
        <f>IFERROR(__xludf.DUMMYFUNCTION("""COMPUTED_VALUE"""),"Married")</f>
        <v>Married</v>
      </c>
      <c r="AD361" s="228"/>
      <c r="AE361" s="228"/>
      <c r="AF361" s="228"/>
      <c r="AG361" s="228" t="str">
        <f>IFERROR(__xludf.DUMMYFUNCTION("""COMPUTED_VALUE"""),"Munir Iqbal")</f>
        <v>Munir Iqbal</v>
      </c>
      <c r="AH361" s="228" t="str">
        <f>IFERROR(__xludf.DUMMYFUNCTION("""COMPUTED_VALUE"""),"Husband")</f>
        <v>Husband</v>
      </c>
      <c r="AI361" s="228" t="str">
        <f>IFERROR(__xludf.DUMMYFUNCTION("""COMPUTED_VALUE"""),"3331048003")</f>
        <v>3331048003</v>
      </c>
      <c r="AJ361" s="228" t="str">
        <f>IFERROR(__xludf.DUMMYFUNCTION("""COMPUTED_VALUE"""),"AB+")</f>
        <v>AB+</v>
      </c>
      <c r="AK361" s="731" t="str">
        <f>IFERROR(__xludf.DUMMYFUNCTION("""COMPUTED_VALUE"""),"www.linkedin.com/in/zohamunir")</f>
        <v>www.linkedin.com/in/zohamunir</v>
      </c>
      <c r="AL361" s="228"/>
      <c r="AM361" s="228"/>
      <c r="AN361" s="228" t="str">
        <f>IFERROR(__xludf.DUMMYFUNCTION("""COMPUTED_VALUE"""),"Data")</f>
        <v>Data</v>
      </c>
      <c r="AO361" s="228" t="str">
        <f>IFERROR(__xludf.DUMMYFUNCTION("""COMPUTED_VALUE"""),"data.team@vyro.ai")</f>
        <v>data.team@vyro.ai</v>
      </c>
      <c r="AP361" s="228" t="str">
        <f>IFERROR(__xludf.DUMMYFUNCTION("""COMPUTED_VALUE"""),"NO")</f>
        <v>NO</v>
      </c>
      <c r="AQ361" s="228" t="str">
        <f>IFERROR(__xludf.DUMMYFUNCTION("""COMPUTED_VALUE"""),"Resigned/Terminated")</f>
        <v>Resigned/Terminated</v>
      </c>
    </row>
    <row r="362">
      <c r="A362" s="228">
        <f>IFERROR(__xludf.DUMMYFUNCTION("""COMPUTED_VALUE"""),5308.0)</f>
        <v>5308</v>
      </c>
      <c r="B362" s="228" t="str">
        <f>IFERROR(__xludf.DUMMYFUNCTION("""COMPUTED_VALUE"""),"Elisenda Domenjó Fernández")</f>
        <v>Elisenda Domenjó Fernández</v>
      </c>
      <c r="C362" s="228" t="str">
        <f>IFERROR(__xludf.DUMMYFUNCTION("""COMPUTED_VALUE"""),"elisendaugc@gmail.com")</f>
        <v>elisendaugc@gmail.com</v>
      </c>
      <c r="D362" s="228" t="str">
        <f>IFERROR(__xludf.DUMMYFUNCTION("""COMPUTED_VALUE"""),"elisendaugc@gmail.com")</f>
        <v>elisendaugc@gmail.com</v>
      </c>
      <c r="E362" s="730">
        <f>IFERROR(__xludf.DUMMYFUNCTION("""COMPUTED_VALUE"""),45567.0)</f>
        <v>45567</v>
      </c>
      <c r="F362" s="228" t="str">
        <f>IFERROR(__xludf.DUMMYFUNCTION("""COMPUTED_VALUE"""),"UGC Creator")</f>
        <v>UGC Creator</v>
      </c>
      <c r="G362" s="228" t="str">
        <f>IFERROR(__xludf.DUMMYFUNCTION("""COMPUTED_VALUE"""),"Creatives")</f>
        <v>Creatives</v>
      </c>
      <c r="H362" s="228" t="str">
        <f>IFERROR(__xludf.DUMMYFUNCTION("""COMPUTED_VALUE"""),"Hassan Shakeel")</f>
        <v>Hassan Shakeel</v>
      </c>
      <c r="I362" s="228" t="str">
        <f>IFERROR(__xludf.DUMMYFUNCTION("""COMPUTED_VALUE"""),"Consultant")</f>
        <v>Consultant</v>
      </c>
      <c r="J362" s="228" t="str">
        <f>IFERROR(__xludf.DUMMYFUNCTION("""COMPUTED_VALUE"""),"Active")</f>
        <v>Active</v>
      </c>
      <c r="K362" s="228" t="str">
        <f>IFERROR(__xludf.DUMMYFUNCTION("""COMPUTED_VALUE"""),"NA")</f>
        <v>NA</v>
      </c>
      <c r="L362" s="228"/>
      <c r="M362" s="228"/>
      <c r="N362" s="228"/>
      <c r="O362" s="228"/>
      <c r="P362" s="228" t="str">
        <f>IFERROR(__xludf.DUMMYFUNCTION("""COMPUTED_VALUE"""),"NA")</f>
        <v>NA</v>
      </c>
      <c r="Q362" s="228" t="str">
        <f>IFERROR(__xludf.DUMMYFUNCTION("""COMPUTED_VALUE"""),"NA")</f>
        <v>NA</v>
      </c>
      <c r="R362" s="228" t="str">
        <f>IFERROR(__xludf.DUMMYFUNCTION("""COMPUTED_VALUE"""),"Female")</f>
        <v>Female</v>
      </c>
      <c r="S362" s="228" t="str">
        <f>IFERROR(__xludf.DUMMYFUNCTION("""COMPUTED_VALUE"""),"CaixaBank")</f>
        <v>CaixaBank</v>
      </c>
      <c r="T362" s="228" t="str">
        <f>IFERROR(__xludf.DUMMYFUNCTION("""COMPUTED_VALUE"""),"Elisenda Domenjó Fernández")</f>
        <v>Elisenda Domenjó Fernández</v>
      </c>
      <c r="U362" s="228" t="str">
        <f>IFERROR(__xludf.DUMMYFUNCTION("""COMPUTED_VALUE"""),"ES2821003603752100603448")</f>
        <v>ES2821003603752100603448</v>
      </c>
      <c r="V362" s="228" t="str">
        <f>IFERROR(__xludf.DUMMYFUNCTION("""COMPUTED_VALUE"""),"CAIXESBBXXX")</f>
        <v>CAIXESBBXXX</v>
      </c>
      <c r="W362" s="228"/>
      <c r="X362" s="228" t="str">
        <f>IFERROR(__xludf.DUMMYFUNCTION("""COMPUTED_VALUE"""),"Remote")</f>
        <v>Remote</v>
      </c>
      <c r="Y362" s="730">
        <f>IFERROR(__xludf.DUMMYFUNCTION("""COMPUTED_VALUE"""),36874.0)</f>
        <v>36874</v>
      </c>
      <c r="Z362" s="228" t="str">
        <f>IFERROR(__xludf.DUMMYFUNCTION("""COMPUTED_VALUE"""),"24 Years")</f>
        <v>24 Years</v>
      </c>
      <c r="AA362" s="228" t="str">
        <f>IFERROR(__xludf.DUMMYFUNCTION("""COMPUTED_VALUE"""),"Åboulevard 59B, 3. 342, 1960 Frederiksberg C, Denmark")</f>
        <v>Åboulevard 59B, 3. 342, 1960 Frederiksberg C, Denmark</v>
      </c>
      <c r="AB362" s="228" t="str">
        <f>IFERROR(__xludf.DUMMYFUNCTION("""COMPUTED_VALUE"""),"Spanish")</f>
        <v>Spanish</v>
      </c>
      <c r="AC362" s="228" t="str">
        <f>IFERROR(__xludf.DUMMYFUNCTION("""COMPUTED_VALUE"""),"Single")</f>
        <v>Single</v>
      </c>
      <c r="AD362" s="228"/>
      <c r="AE362" s="228"/>
      <c r="AF362" s="228"/>
      <c r="AG362" s="228"/>
      <c r="AH362" s="228"/>
      <c r="AI362" s="228"/>
      <c r="AJ362" s="228"/>
      <c r="AK362" s="228"/>
      <c r="AL362" s="228"/>
      <c r="AM362" s="228"/>
      <c r="AN362" s="228" t="str">
        <f>IFERROR(__xludf.DUMMYFUNCTION("""COMPUTED_VALUE"""),"NOT FOUND")</f>
        <v>NOT FOUND</v>
      </c>
      <c r="AO362" s="228" t="str">
        <f>IFERROR(__xludf.DUMMYFUNCTION("""COMPUTED_VALUE"""),"NOT FOUND")</f>
        <v>NOT FOUND</v>
      </c>
      <c r="AP362" s="228" t="str">
        <f>IFERROR(__xludf.DUMMYFUNCTION("""COMPUTED_VALUE"""),"NO")</f>
        <v>NO</v>
      </c>
      <c r="AQ362" s="228" t="str">
        <f>IFERROR(__xludf.DUMMYFUNCTION("""COMPUTED_VALUE"""),"Resigned/Terminated")</f>
        <v>Resigned/Terminated</v>
      </c>
    </row>
    <row r="363">
      <c r="A363" s="228">
        <f>IFERROR(__xludf.DUMMYFUNCTION("""COMPUTED_VALUE"""),5306.0)</f>
        <v>5306</v>
      </c>
      <c r="B363" s="228" t="str">
        <f>IFERROR(__xludf.DUMMYFUNCTION("""COMPUTED_VALUE"""),"Zorob Anjum Khokhar")</f>
        <v>Zorob Anjum Khokhar</v>
      </c>
      <c r="C363" s="228" t="str">
        <f>IFERROR(__xludf.DUMMYFUNCTION("""COMPUTED_VALUE"""),"zorobanjum@hotmail.com")</f>
        <v>zorobanjum@hotmail.com</v>
      </c>
      <c r="D363" s="228" t="str">
        <f>IFERROR(__xludf.DUMMYFUNCTION("""COMPUTED_VALUE"""),"zorob.anjum@vyro.ai")</f>
        <v>zorob.anjum@vyro.ai</v>
      </c>
      <c r="E363" s="730">
        <f>IFERROR(__xludf.DUMMYFUNCTION("""COMPUTED_VALUE"""),45565.0)</f>
        <v>45565</v>
      </c>
      <c r="F363" s="228" t="str">
        <f>IFERROR(__xludf.DUMMYFUNCTION("""COMPUTED_VALUE"""),"Customer Support Executive")</f>
        <v>Customer Support Executive</v>
      </c>
      <c r="G363" s="228" t="str">
        <f>IFERROR(__xludf.DUMMYFUNCTION("""COMPUTED_VALUE"""),"Customer Experience")</f>
        <v>Customer Experience</v>
      </c>
      <c r="H363" s="228" t="str">
        <f>IFERROR(__xludf.DUMMYFUNCTION("""COMPUTED_VALUE"""),"Saad Ahmed")</f>
        <v>Saad Ahmed</v>
      </c>
      <c r="I363" s="228" t="str">
        <f>IFERROR(__xludf.DUMMYFUNCTION("""COMPUTED_VALUE"""),"Probation")</f>
        <v>Probation</v>
      </c>
      <c r="J363" s="228" t="str">
        <f>IFERROR(__xludf.DUMMYFUNCTION("""COMPUTED_VALUE"""),"Active")</f>
        <v>Active</v>
      </c>
      <c r="K363" s="228" t="str">
        <f>IFERROR(__xludf.DUMMYFUNCTION("""COMPUTED_VALUE"""),"3M")</f>
        <v>3M</v>
      </c>
      <c r="L363" s="732">
        <f>IFERROR(__xludf.DUMMYFUNCTION("""COMPUTED_VALUE"""),45656.0)</f>
        <v>45656</v>
      </c>
      <c r="M363" s="228"/>
      <c r="N363" s="228"/>
      <c r="O363" s="228"/>
      <c r="P363" s="228" t="str">
        <f>IFERROR(__xludf.DUMMYFUNCTION("""COMPUTED_VALUE"""),"03355154839")</f>
        <v>03355154839</v>
      </c>
      <c r="Q363" s="228" t="str">
        <f>IFERROR(__xludf.DUMMYFUNCTION("""COMPUTED_VALUE"""),"37405-2684175-3")</f>
        <v>37405-2684175-3</v>
      </c>
      <c r="R363" s="228" t="str">
        <f>IFERROR(__xludf.DUMMYFUNCTION("""COMPUTED_VALUE"""),"Male")</f>
        <v>Male</v>
      </c>
      <c r="S363" s="228" t="str">
        <f>IFERROR(__xludf.DUMMYFUNCTION("""COMPUTED_VALUE"""),"Bank Alfalah")</f>
        <v>Bank Alfalah</v>
      </c>
      <c r="T363" s="228" t="str">
        <f>IFERROR(__xludf.DUMMYFUNCTION("""COMPUTED_VALUE"""),"Zorob Anjum Khokhar")</f>
        <v>Zorob Anjum Khokhar</v>
      </c>
      <c r="U363" s="228" t="str">
        <f>IFERROR(__xludf.DUMMYFUNCTION("""COMPUTED_VALUE"""),"PK12ALFH0148001008021650")</f>
        <v>PK12ALFH0148001008021650</v>
      </c>
      <c r="V363" s="228" t="str">
        <f>IFERROR(__xludf.DUMMYFUNCTION("""COMPUTED_VALUE"""),"01481008021650")</f>
        <v>01481008021650</v>
      </c>
      <c r="W363" s="228"/>
      <c r="X363" s="228" t="str">
        <f>IFERROR(__xludf.DUMMYFUNCTION("""COMPUTED_VALUE"""),"Islamabad")</f>
        <v>Islamabad</v>
      </c>
      <c r="Y363" s="730">
        <f>IFERROR(__xludf.DUMMYFUNCTION("""COMPUTED_VALUE"""),36544.0)</f>
        <v>36544</v>
      </c>
      <c r="Z363" s="228" t="str">
        <f>IFERROR(__xludf.DUMMYFUNCTION("""COMPUTED_VALUE"""),"25 Years")</f>
        <v>25 Years</v>
      </c>
      <c r="AA363" s="228" t="str">
        <f>IFERROR(__xludf.DUMMYFUNCTION("""COMPUTED_VALUE"""),"H.618, St.24. Ghori Town Phase 4A, Islamabad")</f>
        <v>H.618, St.24. Ghori Town Phase 4A, Islamabad</v>
      </c>
      <c r="AB363" s="228" t="str">
        <f>IFERROR(__xludf.DUMMYFUNCTION("""COMPUTED_VALUE"""),"Pakistani")</f>
        <v>Pakistani</v>
      </c>
      <c r="AC363" s="228" t="str">
        <f>IFERROR(__xludf.DUMMYFUNCTION("""COMPUTED_VALUE"""),"Single")</f>
        <v>Single</v>
      </c>
      <c r="AD363" s="228"/>
      <c r="AE363" s="228"/>
      <c r="AF363" s="228"/>
      <c r="AG363" s="228" t="str">
        <f>IFERROR(__xludf.DUMMYFUNCTION("""COMPUTED_VALUE"""),"Mehboob Anjum Khokhar")</f>
        <v>Mehboob Anjum Khokhar</v>
      </c>
      <c r="AH363" s="228" t="str">
        <f>IFERROR(__xludf.DUMMYFUNCTION("""COMPUTED_VALUE"""),"Father")</f>
        <v>Father</v>
      </c>
      <c r="AI363" s="228" t="str">
        <f>IFERROR(__xludf.DUMMYFUNCTION("""COMPUTED_VALUE"""),"03340012065")</f>
        <v>03340012065</v>
      </c>
      <c r="AJ363" s="228" t="str">
        <f>IFERROR(__xludf.DUMMYFUNCTION("""COMPUTED_VALUE"""),"O+")</f>
        <v>O+</v>
      </c>
      <c r="AK363" s="228"/>
      <c r="AL363" s="228"/>
      <c r="AM363" s="228"/>
      <c r="AN363" s="228" t="str">
        <f>IFERROR(__xludf.DUMMYFUNCTION("""COMPUTED_VALUE"""),"Customer Support")</f>
        <v>Customer Support</v>
      </c>
      <c r="AO363" s="228" t="str">
        <f>IFERROR(__xludf.DUMMYFUNCTION("""COMPUTED_VALUE"""),"cx.team@vyro.ai")</f>
        <v>cx.team@vyro.ai</v>
      </c>
      <c r="AP363" s="228" t="str">
        <f>IFERROR(__xludf.DUMMYFUNCTION("""COMPUTED_VALUE"""),"NO")</f>
        <v>NO</v>
      </c>
      <c r="AQ363" s="228" t="str">
        <f>IFERROR(__xludf.DUMMYFUNCTION("""COMPUTED_VALUE"""),"Resigned/Terminated")</f>
        <v>Resigned/Terminated</v>
      </c>
    </row>
    <row r="364">
      <c r="A364" s="228">
        <f>IFERROR(__xludf.DUMMYFUNCTION("""COMPUTED_VALUE"""),5065.0)</f>
        <v>5065</v>
      </c>
      <c r="B364" s="228" t="str">
        <f>IFERROR(__xludf.DUMMYFUNCTION("""COMPUTED_VALUE"""),"Faizan Khan")</f>
        <v>Faizan Khan</v>
      </c>
      <c r="C364" s="228" t="str">
        <f>IFERROR(__xludf.DUMMYFUNCTION("""COMPUTED_VALUE"""),"faizzan16@gmail.com")</f>
        <v>faizzan16@gmail.com</v>
      </c>
      <c r="D364" s="228" t="str">
        <f>IFERROR(__xludf.DUMMYFUNCTION("""COMPUTED_VALUE"""),"faizan.khan@vyro.ai")</f>
        <v>faizan.khan@vyro.ai</v>
      </c>
      <c r="E364" s="730">
        <f>IFERROR(__xludf.DUMMYFUNCTION("""COMPUTED_VALUE"""),44760.0)</f>
        <v>44760</v>
      </c>
      <c r="F364" s="228" t="str">
        <f>IFERROR(__xludf.DUMMYFUNCTION("""COMPUTED_VALUE"""),"Senior Visual Designer")</f>
        <v>Senior Visual Designer</v>
      </c>
      <c r="G364" s="228" t="str">
        <f>IFERROR(__xludf.DUMMYFUNCTION("""COMPUTED_VALUE"""),"Creatives")</f>
        <v>Creatives</v>
      </c>
      <c r="H364" s="228" t="str">
        <f>IFERROR(__xludf.DUMMYFUNCTION("""COMPUTED_VALUE"""),"Abdullah Munir")</f>
        <v>Abdullah Munir</v>
      </c>
      <c r="I364" s="228" t="str">
        <f>IFERROR(__xludf.DUMMYFUNCTION("""COMPUTED_VALUE"""),"Permanent")</f>
        <v>Permanent</v>
      </c>
      <c r="J364" s="228" t="str">
        <f>IFERROR(__xludf.DUMMYFUNCTION("""COMPUTED_VALUE"""),"Active")</f>
        <v>Active</v>
      </c>
      <c r="K364" s="228" t="str">
        <f>IFERROR(__xludf.DUMMYFUNCTION("""COMPUTED_VALUE"""),"3M")</f>
        <v>3M</v>
      </c>
      <c r="L364" s="732">
        <f>IFERROR(__xludf.DUMMYFUNCTION("""COMPUTED_VALUE"""),44852.0)</f>
        <v>44852</v>
      </c>
      <c r="M364" s="228"/>
      <c r="N364" s="228"/>
      <c r="O364" s="228"/>
      <c r="P364" s="228" t="str">
        <f>IFERROR(__xludf.DUMMYFUNCTION("""COMPUTED_VALUE"""),"0342 0570256")</f>
        <v>0342 0570256</v>
      </c>
      <c r="Q364" s="228" t="str">
        <f>IFERROR(__xludf.DUMMYFUNCTION("""COMPUTED_VALUE"""),"16204-0388636-3")</f>
        <v>16204-0388636-3</v>
      </c>
      <c r="R364" s="228" t="str">
        <f>IFERROR(__xludf.DUMMYFUNCTION("""COMPUTED_VALUE"""),"Male")</f>
        <v>Male</v>
      </c>
      <c r="S364" s="228" t="str">
        <f>IFERROR(__xludf.DUMMYFUNCTION("""COMPUTED_VALUE"""),"HBL")</f>
        <v>HBL</v>
      </c>
      <c r="T364" s="228" t="str">
        <f>IFERROR(__xludf.DUMMYFUNCTION("""COMPUTED_VALUE"""),"MUHAMMAD ADA")</f>
        <v>MUHAMMAD ADA</v>
      </c>
      <c r="U364" s="228" t="str">
        <f>IFERROR(__xludf.DUMMYFUNCTION("""COMPUTED_VALUE"""),"PK84HABB0002887901226199")</f>
        <v>PK84HABB0002887901226199</v>
      </c>
      <c r="V364" s="228"/>
      <c r="W364" s="228"/>
      <c r="X364" s="228" t="str">
        <f>IFERROR(__xludf.DUMMYFUNCTION("""COMPUTED_VALUE"""),"Islamabad")</f>
        <v>Islamabad</v>
      </c>
      <c r="Y364" s="730">
        <f>IFERROR(__xludf.DUMMYFUNCTION("""COMPUTED_VALUE"""),35704.0)</f>
        <v>35704</v>
      </c>
      <c r="Z364" s="228" t="str">
        <f>IFERROR(__xludf.DUMMYFUNCTION("""COMPUTED_VALUE"""),"27 Years")</f>
        <v>27 Years</v>
      </c>
      <c r="AA364" s="228" t="str">
        <f>IFERROR(__xludf.DUMMYFUNCTION("""COMPUTED_VALUE"""),"Golden Era , Boys Hostel, H-13, Islamabad")</f>
        <v>Golden Era , Boys Hostel, H-13, Islamabad</v>
      </c>
      <c r="AB364" s="228" t="str">
        <f>IFERROR(__xludf.DUMMYFUNCTION("""COMPUTED_VALUE"""),"Pakistani")</f>
        <v>Pakistani</v>
      </c>
      <c r="AC364" s="228" t="str">
        <f>IFERROR(__xludf.DUMMYFUNCTION("""COMPUTED_VALUE"""),"Single")</f>
        <v>Single</v>
      </c>
      <c r="AD364" s="228"/>
      <c r="AE364" s="228"/>
      <c r="AF364" s="228"/>
      <c r="AG364" s="228" t="str">
        <f>IFERROR(__xludf.DUMMYFUNCTION("""COMPUTED_VALUE"""),"Javed Afsar")</f>
        <v>Javed Afsar</v>
      </c>
      <c r="AH364" s="228" t="str">
        <f>IFERROR(__xludf.DUMMYFUNCTION("""COMPUTED_VALUE"""),"Father")</f>
        <v>Father</v>
      </c>
      <c r="AI364" s="228" t="str">
        <f>IFERROR(__xludf.DUMMYFUNCTION("""COMPUTED_VALUE"""),"0335 5270818")</f>
        <v>0335 5270818</v>
      </c>
      <c r="AJ364" s="228"/>
      <c r="AK364" s="731" t="str">
        <f>IFERROR(__xludf.DUMMYFUNCTION("""COMPUTED_VALUE"""),"https://www.linkedin.com/in/faizan-khan-164068230/")</f>
        <v>https://www.linkedin.com/in/faizan-khan-164068230/</v>
      </c>
      <c r="AL364" s="228"/>
      <c r="AM364" s="730">
        <f>IFERROR(__xludf.DUMMYFUNCTION("""COMPUTED_VALUE"""),45632.0)</f>
        <v>45632</v>
      </c>
      <c r="AN364" s="228" t="str">
        <f>IFERROR(__xludf.DUMMYFUNCTION("""COMPUTED_VALUE"""),"Content, Imagine Web")</f>
        <v>Content, Imagine Web</v>
      </c>
      <c r="AO364" s="228" t="str">
        <f>IFERROR(__xludf.DUMMYFUNCTION("""COMPUTED_VALUE"""),"content.team@vyro.ai, imagine.web.team@vyro.ai")</f>
        <v>content.team@vyro.ai, imagine.web.team@vyro.ai</v>
      </c>
      <c r="AP364" s="228" t="str">
        <f>IFERROR(__xludf.DUMMYFUNCTION("""COMPUTED_VALUE"""),"NO")</f>
        <v>NO</v>
      </c>
      <c r="AQ364" s="228" t="str">
        <f>IFERROR(__xludf.DUMMYFUNCTION("""COMPUTED_VALUE"""),"Resigned/Terminated")</f>
        <v>Resigned/Terminated</v>
      </c>
    </row>
    <row r="365">
      <c r="A365" s="228">
        <f>IFERROR(__xludf.DUMMYFUNCTION("""COMPUTED_VALUE"""),5239.0)</f>
        <v>5239</v>
      </c>
      <c r="B365" s="228" t="str">
        <f>IFERROR(__xludf.DUMMYFUNCTION("""COMPUTED_VALUE"""),"Mohsin Ali Anjum")</f>
        <v>Mohsin Ali Anjum</v>
      </c>
      <c r="C365" s="228" t="str">
        <f>IFERROR(__xludf.DUMMYFUNCTION("""COMPUTED_VALUE"""),"mohsinali199612@gmail.com")</f>
        <v>mohsinali199612@gmail.com</v>
      </c>
      <c r="D365" s="228" t="str">
        <f>IFERROR(__xludf.DUMMYFUNCTION("""COMPUTED_VALUE"""),"mohsin.ali@vyro.ai")</f>
        <v>mohsin.ali@vyro.ai</v>
      </c>
      <c r="E365" s="730">
        <f>IFERROR(__xludf.DUMMYFUNCTION("""COMPUTED_VALUE"""),45355.0)</f>
        <v>45355</v>
      </c>
      <c r="F365" s="228" t="str">
        <f>IFERROR(__xludf.DUMMYFUNCTION("""COMPUTED_VALUE"""),"Motion Graphics Designer")</f>
        <v>Motion Graphics Designer</v>
      </c>
      <c r="G365" s="228" t="str">
        <f>IFERROR(__xludf.DUMMYFUNCTION("""COMPUTED_VALUE"""),"Marketing &amp; Creatives")</f>
        <v>Marketing &amp; Creatives</v>
      </c>
      <c r="H365" s="228" t="str">
        <f>IFERROR(__xludf.DUMMYFUNCTION("""COMPUTED_VALUE"""),"Abdullah Munir")</f>
        <v>Abdullah Munir</v>
      </c>
      <c r="I365" s="228" t="str">
        <f>IFERROR(__xludf.DUMMYFUNCTION("""COMPUTED_VALUE"""),"Permanent")</f>
        <v>Permanent</v>
      </c>
      <c r="J365" s="228" t="str">
        <f>IFERROR(__xludf.DUMMYFUNCTION("""COMPUTED_VALUE"""),"Active")</f>
        <v>Active</v>
      </c>
      <c r="K365" s="228" t="str">
        <f>IFERROR(__xludf.DUMMYFUNCTION("""COMPUTED_VALUE"""),"3M")</f>
        <v>3M</v>
      </c>
      <c r="L365" s="732">
        <f>IFERROR(__xludf.DUMMYFUNCTION("""COMPUTED_VALUE"""),45438.0)</f>
        <v>45438</v>
      </c>
      <c r="M365" s="228"/>
      <c r="N365" s="228"/>
      <c r="O365" s="228"/>
      <c r="P365" s="228" t="str">
        <f>IFERROR(__xludf.DUMMYFUNCTION("""COMPUTED_VALUE"""),"03359032352")</f>
        <v>03359032352</v>
      </c>
      <c r="Q365" s="228" t="str">
        <f>IFERROR(__xludf.DUMMYFUNCTION("""COMPUTED_VALUE"""),"37402-3744622-3")</f>
        <v>37402-3744622-3</v>
      </c>
      <c r="R365" s="228" t="str">
        <f>IFERROR(__xludf.DUMMYFUNCTION("""COMPUTED_VALUE"""),"Male")</f>
        <v>Male</v>
      </c>
      <c r="S365" s="228" t="str">
        <f>IFERROR(__xludf.DUMMYFUNCTION("""COMPUTED_VALUE"""),"Meezan Bank")</f>
        <v>Meezan Bank</v>
      </c>
      <c r="T365" s="228" t="str">
        <f>IFERROR(__xludf.DUMMYFUNCTION("""COMPUTED_VALUE"""),"Mohsin Ali Anjum")</f>
        <v>Mohsin Ali Anjum</v>
      </c>
      <c r="U365" s="228" t="str">
        <f>IFERROR(__xludf.DUMMYFUNCTION("""COMPUTED_VALUE"""),"PK98MEZN0003150104213111")</f>
        <v>PK98MEZN0003150104213111</v>
      </c>
      <c r="V365" s="228" t="str">
        <f>IFERROR(__xludf.DUMMYFUNCTION("""COMPUTED_VALUE"""),"MEZNPKKAISD")</f>
        <v>MEZNPKKAISD</v>
      </c>
      <c r="W365" s="228"/>
      <c r="X365" s="228" t="str">
        <f>IFERROR(__xludf.DUMMYFUNCTION("""COMPUTED_VALUE"""),"Islamabad")</f>
        <v>Islamabad</v>
      </c>
      <c r="Y365" s="730">
        <f>IFERROR(__xludf.DUMMYFUNCTION("""COMPUTED_VALUE"""),35272.0)</f>
        <v>35272</v>
      </c>
      <c r="Z365" s="228" t="str">
        <f>IFERROR(__xludf.DUMMYFUNCTION("""COMPUTED_VALUE"""),"28 Years")</f>
        <v>28 Years</v>
      </c>
      <c r="AA365" s="228" t="str">
        <f>IFERROR(__xludf.DUMMYFUNCTION("""COMPUTED_VALUE"""),"House No 284, Street No 15, Bahria town phase 1, Rawalpindi")</f>
        <v>House No 284, Street No 15, Bahria town phase 1, Rawalpindi</v>
      </c>
      <c r="AB365" s="228" t="str">
        <f>IFERROR(__xludf.DUMMYFUNCTION("""COMPUTED_VALUE"""),"Pakistani")</f>
        <v>Pakistani</v>
      </c>
      <c r="AC365" s="228" t="str">
        <f>IFERROR(__xludf.DUMMYFUNCTION("""COMPUTED_VALUE"""),"Married")</f>
        <v>Married</v>
      </c>
      <c r="AD365" s="228"/>
      <c r="AE365" s="228"/>
      <c r="AF365" s="228"/>
      <c r="AG365" s="228" t="str">
        <f>IFERROR(__xludf.DUMMYFUNCTION("""COMPUTED_VALUE"""),"Amjad Ali")</f>
        <v>Amjad Ali</v>
      </c>
      <c r="AH365" s="228" t="str">
        <f>IFERROR(__xludf.DUMMYFUNCTION("""COMPUTED_VALUE"""),"Brother")</f>
        <v>Brother</v>
      </c>
      <c r="AI365" s="228" t="str">
        <f>IFERROR(__xludf.DUMMYFUNCTION("""COMPUTED_VALUE"""),"3165294125")</f>
        <v>3165294125</v>
      </c>
      <c r="AJ365" s="228" t="str">
        <f>IFERROR(__xludf.DUMMYFUNCTION("""COMPUTED_VALUE"""),"AB+")</f>
        <v>AB+</v>
      </c>
      <c r="AK365" s="731" t="str">
        <f>IFERROR(__xludf.DUMMYFUNCTION("""COMPUTED_VALUE"""),"https://www.linkedin.com/in/mohsin-ali-8a330b189")</f>
        <v>https://www.linkedin.com/in/mohsin-ali-8a330b189</v>
      </c>
      <c r="AL365" s="228"/>
      <c r="AM365" s="228"/>
      <c r="AN365" s="228" t="str">
        <f>IFERROR(__xludf.DUMMYFUNCTION("""COMPUTED_VALUE"""),"Creatives")</f>
        <v>Creatives</v>
      </c>
      <c r="AO365" s="228" t="str">
        <f>IFERROR(__xludf.DUMMYFUNCTION("""COMPUTED_VALUE"""),"Creatives.team@vyro.ai")</f>
        <v>Creatives.team@vyro.ai</v>
      </c>
      <c r="AP365" s="228" t="str">
        <f>IFERROR(__xludf.DUMMYFUNCTION("""COMPUTED_VALUE"""),"NO")</f>
        <v>NO</v>
      </c>
      <c r="AQ365" s="228" t="str">
        <f>IFERROR(__xludf.DUMMYFUNCTION("""COMPUTED_VALUE"""),"Resigned/Terminated")</f>
        <v>Resigned/Terminated</v>
      </c>
    </row>
    <row r="366">
      <c r="A366" s="228">
        <f>IFERROR(__xludf.DUMMYFUNCTION("""COMPUTED_VALUE"""),5075.0)</f>
        <v>5075</v>
      </c>
      <c r="B366" s="228" t="str">
        <f>IFERROR(__xludf.DUMMYFUNCTION("""COMPUTED_VALUE"""),"Umaira Jabeen")</f>
        <v>Umaira Jabeen</v>
      </c>
      <c r="C366" s="228" t="str">
        <f>IFERROR(__xludf.DUMMYFUNCTION("""COMPUTED_VALUE"""),"umaira.jabeen@vyro.ai")</f>
        <v>umaira.jabeen@vyro.ai</v>
      </c>
      <c r="D366" s="228" t="str">
        <f>IFERROR(__xludf.DUMMYFUNCTION("""COMPUTED_VALUE"""),"umaira.jabeen@vyro.ai")</f>
        <v>umaira.jabeen@vyro.ai</v>
      </c>
      <c r="E366" s="730">
        <f>IFERROR(__xludf.DUMMYFUNCTION("""COMPUTED_VALUE"""),44816.0)</f>
        <v>44816</v>
      </c>
      <c r="F366" s="228" t="str">
        <f>IFERROR(__xludf.DUMMYFUNCTION("""COMPUTED_VALUE"""),"Product Manager")</f>
        <v>Product Manager</v>
      </c>
      <c r="G366" s="228" t="str">
        <f>IFERROR(__xludf.DUMMYFUNCTION("""COMPUTED_VALUE"""),"Product")</f>
        <v>Product</v>
      </c>
      <c r="H366" s="228" t="str">
        <f>IFERROR(__xludf.DUMMYFUNCTION("""COMPUTED_VALUE"""),"Zain ul Abideen")</f>
        <v>Zain ul Abideen</v>
      </c>
      <c r="I366" s="228" t="str">
        <f>IFERROR(__xludf.DUMMYFUNCTION("""COMPUTED_VALUE"""),"Permanent")</f>
        <v>Permanent</v>
      </c>
      <c r="J366" s="228" t="str">
        <f>IFERROR(__xludf.DUMMYFUNCTION("""COMPUTED_VALUE"""),"Active")</f>
        <v>Active</v>
      </c>
      <c r="K366" s="228" t="str">
        <f>IFERROR(__xludf.DUMMYFUNCTION("""COMPUTED_VALUE"""),"3M")</f>
        <v>3M</v>
      </c>
      <c r="L366" s="732">
        <f>IFERROR(__xludf.DUMMYFUNCTION("""COMPUTED_VALUE"""),44907.0)</f>
        <v>44907</v>
      </c>
      <c r="M366" s="228"/>
      <c r="N366" s="228"/>
      <c r="O366" s="228"/>
      <c r="P366" s="228" t="str">
        <f>IFERROR(__xludf.DUMMYFUNCTION("""COMPUTED_VALUE"""),"0333-8633742")</f>
        <v>0333-8633742</v>
      </c>
      <c r="Q366" s="228" t="str">
        <f>IFERROR(__xludf.DUMMYFUNCTION("""COMPUTED_VALUE"""),"37104-5371430-8")</f>
        <v>37104-5371430-8</v>
      </c>
      <c r="R366" s="228" t="str">
        <f>IFERROR(__xludf.DUMMYFUNCTION("""COMPUTED_VALUE"""),"Female")</f>
        <v>Female</v>
      </c>
      <c r="S366" s="228" t="str">
        <f>IFERROR(__xludf.DUMMYFUNCTION("""COMPUTED_VALUE"""),"Askari")</f>
        <v>Askari</v>
      </c>
      <c r="T366" s="228"/>
      <c r="U366" s="228" t="str">
        <f>IFERROR(__xludf.DUMMYFUNCTION("""COMPUTED_VALUE"""),"PK27ASCM0002570100005326")</f>
        <v>PK27ASCM0002570100005326</v>
      </c>
      <c r="V366" s="228"/>
      <c r="W366" s="228"/>
      <c r="X366" s="228" t="str">
        <f>IFERROR(__xludf.DUMMYFUNCTION("""COMPUTED_VALUE"""),"Islamabad")</f>
        <v>Islamabad</v>
      </c>
      <c r="Y366" s="730">
        <f>IFERROR(__xludf.DUMMYFUNCTION("""COMPUTED_VALUE"""),33769.0)</f>
        <v>33769</v>
      </c>
      <c r="Z366" s="228" t="str">
        <f>IFERROR(__xludf.DUMMYFUNCTION("""COMPUTED_VALUE"""),"33 Years")</f>
        <v>33 Years</v>
      </c>
      <c r="AA366" s="228" t="str">
        <f>IFERROR(__xludf.DUMMYFUNCTION("""COMPUTED_VALUE"""),"House 1574/F, st. 72, MR 8, Block C, Multi Gardens, B-17")</f>
        <v>House 1574/F, st. 72, MR 8, Block C, Multi Gardens, B-17</v>
      </c>
      <c r="AB366" s="228" t="str">
        <f>IFERROR(__xludf.DUMMYFUNCTION("""COMPUTED_VALUE"""),"Pakistani")</f>
        <v>Pakistani</v>
      </c>
      <c r="AC366" s="228" t="str">
        <f>IFERROR(__xludf.DUMMYFUNCTION("""COMPUTED_VALUE"""),"Married")</f>
        <v>Married</v>
      </c>
      <c r="AD366" s="228"/>
      <c r="AE366" s="228"/>
      <c r="AF366" s="228"/>
      <c r="AG366" s="228" t="str">
        <f>IFERROR(__xludf.DUMMYFUNCTION("""COMPUTED_VALUE"""),"Umar Ishaq")</f>
        <v>Umar Ishaq</v>
      </c>
      <c r="AH366" s="228" t="str">
        <f>IFERROR(__xludf.DUMMYFUNCTION("""COMPUTED_VALUE"""),"Father")</f>
        <v>Father</v>
      </c>
      <c r="AI366" s="228" t="str">
        <f>IFERROR(__xludf.DUMMYFUNCTION("""COMPUTED_VALUE"""),"0334-8531003")</f>
        <v>0334-8531003</v>
      </c>
      <c r="AJ366" s="228"/>
      <c r="AK366" s="731" t="str">
        <f>IFERROR(__xludf.DUMMYFUNCTION("""COMPUTED_VALUE"""),"https://www.linkedin.com/in/umaira-jabeen-0a2337aa/")</f>
        <v>https://www.linkedin.com/in/umaira-jabeen-0a2337aa/</v>
      </c>
      <c r="AL366" s="228"/>
      <c r="AM366" s="228"/>
      <c r="AN366" s="228" t="str">
        <f>IFERROR(__xludf.DUMMYFUNCTION("""COMPUTED_VALUE"""),"Product")</f>
        <v>Product</v>
      </c>
      <c r="AO366" s="228" t="str">
        <f>IFERROR(__xludf.DUMMYFUNCTION("""COMPUTED_VALUE"""),"product.team@vyro.ai")</f>
        <v>product.team@vyro.ai</v>
      </c>
      <c r="AP366" s="228" t="str">
        <f>IFERROR(__xludf.DUMMYFUNCTION("""COMPUTED_VALUE"""),"NO")</f>
        <v>NO</v>
      </c>
      <c r="AQ366" s="228" t="str">
        <f>IFERROR(__xludf.DUMMYFUNCTION("""COMPUTED_VALUE"""),"Resigned/Terminated")</f>
        <v>Resigned/Terminated</v>
      </c>
    </row>
    <row r="367">
      <c r="A367" s="228">
        <f>IFERROR(__xludf.DUMMYFUNCTION("""COMPUTED_VALUE"""),5141.0)</f>
        <v>5141</v>
      </c>
      <c r="B367" s="228" t="str">
        <f>IFERROR(__xludf.DUMMYFUNCTION("""COMPUTED_VALUE"""),"Daniel Gonçalves")</f>
        <v>Daniel Gonçalves</v>
      </c>
      <c r="C367" s="228" t="str">
        <f>IFERROR(__xludf.DUMMYFUNCTION("""COMPUTED_VALUE"""),"daniel5984ai@gmail.com")</f>
        <v>daniel5984ai@gmail.com</v>
      </c>
      <c r="D367" s="228" t="str">
        <f>IFERROR(__xludf.DUMMYFUNCTION("""COMPUTED_VALUE"""),"daniel.goncalves@vyro.ai")</f>
        <v>daniel.goncalves@vyro.ai</v>
      </c>
      <c r="E367" s="730">
        <f>IFERROR(__xludf.DUMMYFUNCTION("""COMPUTED_VALUE"""),45096.0)</f>
        <v>45096</v>
      </c>
      <c r="F367" s="228" t="str">
        <f>IFERROR(__xludf.DUMMYFUNCTION("""COMPUTED_VALUE"""),"Machine Learning Engineeer")</f>
        <v>Machine Learning Engineeer</v>
      </c>
      <c r="G367" s="228" t="str">
        <f>IFERROR(__xludf.DUMMYFUNCTION("""COMPUTED_VALUE"""),"Machine Learning")</f>
        <v>Machine Learning</v>
      </c>
      <c r="H367" s="228" t="str">
        <f>IFERROR(__xludf.DUMMYFUNCTION("""COMPUTED_VALUE"""),"M. Abdullah Rafique, CTO")</f>
        <v>M. Abdullah Rafique, CTO</v>
      </c>
      <c r="I367" s="228" t="str">
        <f>IFERROR(__xludf.DUMMYFUNCTION("""COMPUTED_VALUE"""),"Permanent")</f>
        <v>Permanent</v>
      </c>
      <c r="J367" s="228" t="str">
        <f>IFERROR(__xludf.DUMMYFUNCTION("""COMPUTED_VALUE"""),"Active")</f>
        <v>Active</v>
      </c>
      <c r="K367" s="228" t="str">
        <f>IFERROR(__xludf.DUMMYFUNCTION("""COMPUTED_VALUE"""),"1.5M")</f>
        <v>1.5M</v>
      </c>
      <c r="L367" s="732">
        <f>IFERROR(__xludf.DUMMYFUNCTION("""COMPUTED_VALUE"""),45139.0)</f>
        <v>45139</v>
      </c>
      <c r="M367" s="228"/>
      <c r="N367" s="228"/>
      <c r="O367" s="228"/>
      <c r="P367" s="228" t="str">
        <f>IFERROR(__xludf.DUMMYFUNCTION("""COMPUTED_VALUE"""),"=+351926321109")</f>
        <v>=+351926321109</v>
      </c>
      <c r="Q367" s="228" t="str">
        <f>IFERROR(__xludf.DUMMYFUNCTION("""COMPUTED_VALUE"""),"30045472")</f>
        <v>30045472</v>
      </c>
      <c r="R367" s="228" t="str">
        <f>IFERROR(__xludf.DUMMYFUNCTION("""COMPUTED_VALUE"""),"Male")</f>
        <v>Male</v>
      </c>
      <c r="S367" s="228" t="str">
        <f>IFERROR(__xludf.DUMMYFUNCTION("""COMPUTED_VALUE"""),"Wise, United States")</f>
        <v>Wise, United States</v>
      </c>
      <c r="T367" s="228" t="str">
        <f>IFERROR(__xludf.DUMMYFUNCTION("""COMPUTED_VALUE"""),"DANIEL GONÇALVES")</f>
        <v>DANIEL GONÇALVES</v>
      </c>
      <c r="U367" s="228" t="str">
        <f>IFERROR(__xludf.DUMMYFUNCTION("""COMPUTED_VALUE"""),"8313755663")</f>
        <v>8313755663</v>
      </c>
      <c r="V367" s="228"/>
      <c r="W367" s="228" t="str">
        <f>IFERROR(__xludf.DUMMYFUNCTION("""COMPUTED_VALUE"""),"26073150")</f>
        <v>26073150</v>
      </c>
      <c r="X367" s="228" t="str">
        <f>IFERROR(__xludf.DUMMYFUNCTION("""COMPUTED_VALUE"""),"Remote")</f>
        <v>Remote</v>
      </c>
      <c r="Y367" s="730">
        <f>IFERROR(__xludf.DUMMYFUNCTION("""COMPUTED_VALUE"""),36270.0)</f>
        <v>36270</v>
      </c>
      <c r="Z367" s="228" t="str">
        <f>IFERROR(__xludf.DUMMYFUNCTION("""COMPUTED_VALUE"""),"26 Years")</f>
        <v>26 Years</v>
      </c>
      <c r="AA367" s="228" t="str">
        <f>IFERROR(__xludf.DUMMYFUNCTION("""COMPUTED_VALUE"""),"Rua do Faval 31, Cepões, Ponte de Lima, Viana do Castelo, Portugal")</f>
        <v>Rua do Faval 31, Cepões, Ponte de Lima, Viana do Castelo, Portugal</v>
      </c>
      <c r="AB367" s="228" t="str">
        <f>IFERROR(__xludf.DUMMYFUNCTION("""COMPUTED_VALUE"""),"Portuguese")</f>
        <v>Portuguese</v>
      </c>
      <c r="AC367" s="228" t="str">
        <f>IFERROR(__xludf.DUMMYFUNCTION("""COMPUTED_VALUE"""),"Single")</f>
        <v>Single</v>
      </c>
      <c r="AD367" s="228"/>
      <c r="AE367" s="228"/>
      <c r="AF367" s="228"/>
      <c r="AG367" s="228" t="str">
        <f>IFERROR(__xludf.DUMMYFUNCTION("""COMPUTED_VALUE"""),"Isabel Silva")</f>
        <v>Isabel Silva</v>
      </c>
      <c r="AH367" s="228" t="str">
        <f>IFERROR(__xludf.DUMMYFUNCTION("""COMPUTED_VALUE"""),"Mother")</f>
        <v>Mother</v>
      </c>
      <c r="AI367" s="228" t="str">
        <f>IFERROR(__xludf.DUMMYFUNCTION("""COMPUTED_VALUE"""),"962643788")</f>
        <v>962643788</v>
      </c>
      <c r="AJ367" s="228" t="str">
        <f>IFERROR(__xludf.DUMMYFUNCTION("""COMPUTED_VALUE"""),"A+")</f>
        <v>A+</v>
      </c>
      <c r="AK367" s="731" t="str">
        <f>IFERROR(__xludf.DUMMYFUNCTION("""COMPUTED_VALUE"""),"https://www.linkedin.com/in/daniel-gon%C3%A7alves-681919250/")</f>
        <v>https://www.linkedin.com/in/daniel-gon%C3%A7alves-681919250/</v>
      </c>
      <c r="AL367" s="228"/>
      <c r="AM367" s="730">
        <f>IFERROR(__xludf.DUMMYFUNCTION("""COMPUTED_VALUE"""),45668.0)</f>
        <v>45668</v>
      </c>
      <c r="AN367" s="228" t="str">
        <f>IFERROR(__xludf.DUMMYFUNCTION("""COMPUTED_VALUE"""),"Machine Learning")</f>
        <v>Machine Learning</v>
      </c>
      <c r="AO367" s="228" t="str">
        <f>IFERROR(__xludf.DUMMYFUNCTION("""COMPUTED_VALUE"""),"ml.team@vyro.ai")</f>
        <v>ml.team@vyro.ai</v>
      </c>
      <c r="AP367" s="228" t="str">
        <f>IFERROR(__xludf.DUMMYFUNCTION("""COMPUTED_VALUE"""),"NO")</f>
        <v>NO</v>
      </c>
      <c r="AQ367" s="228" t="str">
        <f>IFERROR(__xludf.DUMMYFUNCTION("""COMPUTED_VALUE"""),"Resigned/Terminated")</f>
        <v>Resigned/Terminated</v>
      </c>
    </row>
    <row r="368">
      <c r="A368" s="228">
        <f>IFERROR(__xludf.DUMMYFUNCTION("""COMPUTED_VALUE"""),5290.0)</f>
        <v>5290</v>
      </c>
      <c r="B368" s="228" t="str">
        <f>IFERROR(__xludf.DUMMYFUNCTION("""COMPUTED_VALUE"""),"Muhammad Abeel Khan")</f>
        <v>Muhammad Abeel Khan</v>
      </c>
      <c r="C368" s="228" t="str">
        <f>IFERROR(__xludf.DUMMYFUNCTION("""COMPUTED_VALUE"""),"abeelkhan1144@gmail.com")</f>
        <v>abeelkhan1144@gmail.com</v>
      </c>
      <c r="D368" s="228" t="str">
        <f>IFERROR(__xludf.DUMMYFUNCTION("""COMPUTED_VALUE"""),"abeel.khan@vyro.ai")</f>
        <v>abeel.khan@vyro.ai</v>
      </c>
      <c r="E368" s="730">
        <f>IFERROR(__xludf.DUMMYFUNCTION("""COMPUTED_VALUE"""),45495.0)</f>
        <v>45495</v>
      </c>
      <c r="F368" s="228" t="str">
        <f>IFERROR(__xludf.DUMMYFUNCTION("""COMPUTED_VALUE"""),"Content Creator Associate")</f>
        <v>Content Creator Associate</v>
      </c>
      <c r="G368" s="228" t="str">
        <f>IFERROR(__xludf.DUMMYFUNCTION("""COMPUTED_VALUE"""),"Creatives")</f>
        <v>Creatives</v>
      </c>
      <c r="H368" s="228" t="str">
        <f>IFERROR(__xludf.DUMMYFUNCTION("""COMPUTED_VALUE"""),"Abdullah Munir")</f>
        <v>Abdullah Munir</v>
      </c>
      <c r="I368" s="228" t="str">
        <f>IFERROR(__xludf.DUMMYFUNCTION("""COMPUTED_VALUE"""),"Probation")</f>
        <v>Probation</v>
      </c>
      <c r="J368" s="228" t="str">
        <f>IFERROR(__xludf.DUMMYFUNCTION("""COMPUTED_VALUE"""),"Active")</f>
        <v>Active</v>
      </c>
      <c r="K368" s="228" t="str">
        <f>IFERROR(__xludf.DUMMYFUNCTION("""COMPUTED_VALUE"""),"3M")</f>
        <v>3M</v>
      </c>
      <c r="L368" s="732">
        <f>IFERROR(__xludf.DUMMYFUNCTION("""COMPUTED_VALUE"""),45587.0)</f>
        <v>45587</v>
      </c>
      <c r="M368" s="228"/>
      <c r="N368" s="228"/>
      <c r="O368" s="228"/>
      <c r="P368" s="228" t="str">
        <f>IFERROR(__xludf.DUMMYFUNCTION("""COMPUTED_VALUE"""),"03316405788")</f>
        <v>03316405788</v>
      </c>
      <c r="Q368" s="228" t="str">
        <f>IFERROR(__xludf.DUMMYFUNCTION("""COMPUTED_VALUE"""),"36302-2475816-5")</f>
        <v>36302-2475816-5</v>
      </c>
      <c r="R368" s="228" t="str">
        <f>IFERROR(__xludf.DUMMYFUNCTION("""COMPUTED_VALUE"""),"Male")</f>
        <v>Male</v>
      </c>
      <c r="S368" s="228" t="str">
        <f>IFERROR(__xludf.DUMMYFUNCTION("""COMPUTED_VALUE"""),"Allied bank")</f>
        <v>Allied bank</v>
      </c>
      <c r="T368" s="228" t="str">
        <f>IFERROR(__xludf.DUMMYFUNCTION("""COMPUTED_VALUE"""),"Muhammad Abeel Khan")</f>
        <v>Muhammad Abeel Khan</v>
      </c>
      <c r="U368" s="228" t="str">
        <f>IFERROR(__xludf.DUMMYFUNCTION("""COMPUTED_VALUE"""),"PK93ABPA0010086783270010")</f>
        <v>PK93ABPA0010086783270010</v>
      </c>
      <c r="V368" s="228" t="str">
        <f>IFERROR(__xludf.DUMMYFUNCTION("""COMPUTED_VALUE"""),"-")</f>
        <v>-</v>
      </c>
      <c r="W368" s="228"/>
      <c r="X368" s="228" t="str">
        <f>IFERROR(__xludf.DUMMYFUNCTION("""COMPUTED_VALUE"""),"Islamabad")</f>
        <v>Islamabad</v>
      </c>
      <c r="Y368" s="730">
        <f>IFERROR(__xludf.DUMMYFUNCTION("""COMPUTED_VALUE"""),37834.0)</f>
        <v>37834</v>
      </c>
      <c r="Z368" s="228" t="str">
        <f>IFERROR(__xludf.DUMMYFUNCTION("""COMPUTED_VALUE"""),"21 Years")</f>
        <v>21 Years</v>
      </c>
      <c r="AA368" s="228" t="str">
        <f>IFERROR(__xludf.DUMMYFUNCTION("""COMPUTED_VALUE"""),"Wapda Town phase 2, House number 1063, R block, Multan")</f>
        <v>Wapda Town phase 2, House number 1063, R block, Multan</v>
      </c>
      <c r="AB368" s="228" t="str">
        <f>IFERROR(__xludf.DUMMYFUNCTION("""COMPUTED_VALUE"""),"Pakistani")</f>
        <v>Pakistani</v>
      </c>
      <c r="AC368" s="228" t="str">
        <f>IFERROR(__xludf.DUMMYFUNCTION("""COMPUTED_VALUE"""),"Single")</f>
        <v>Single</v>
      </c>
      <c r="AD368" s="228"/>
      <c r="AE368" s="228"/>
      <c r="AF368" s="228"/>
      <c r="AG368" s="228" t="str">
        <f>IFERROR(__xludf.DUMMYFUNCTION("""COMPUTED_VALUE"""),"Muhammad Iqbal Khan")</f>
        <v>Muhammad Iqbal Khan</v>
      </c>
      <c r="AH368" s="228" t="str">
        <f>IFERROR(__xludf.DUMMYFUNCTION("""COMPUTED_VALUE"""),"Father")</f>
        <v>Father</v>
      </c>
      <c r="AI368" s="228" t="str">
        <f>IFERROR(__xludf.DUMMYFUNCTION("""COMPUTED_VALUE"""),"3347445451")</f>
        <v>3347445451</v>
      </c>
      <c r="AJ368" s="228" t="str">
        <f>IFERROR(__xludf.DUMMYFUNCTION("""COMPUTED_VALUE"""),"O+")</f>
        <v>O+</v>
      </c>
      <c r="AK368" s="228"/>
      <c r="AL368" s="228"/>
      <c r="AM368" s="730">
        <f>IFERROR(__xludf.DUMMYFUNCTION("""COMPUTED_VALUE"""),45667.0)</f>
        <v>45667</v>
      </c>
      <c r="AN368" s="228" t="str">
        <f>IFERROR(__xludf.DUMMYFUNCTION("""COMPUTED_VALUE"""),"Creatives, Content")</f>
        <v>Creatives, Content</v>
      </c>
      <c r="AO368" s="228" t="str">
        <f>IFERROR(__xludf.DUMMYFUNCTION("""COMPUTED_VALUE"""),"Creatives.team@vyro.ai, content.team@vyro.ai")</f>
        <v>Creatives.team@vyro.ai, content.team@vyro.ai</v>
      </c>
      <c r="AP368" s="228" t="str">
        <f>IFERROR(__xludf.DUMMYFUNCTION("""COMPUTED_VALUE"""),"NO")</f>
        <v>NO</v>
      </c>
      <c r="AQ368" s="228" t="str">
        <f>IFERROR(__xludf.DUMMYFUNCTION("""COMPUTED_VALUE"""),"Resigned/Terminated")</f>
        <v>Resigned/Terminated</v>
      </c>
    </row>
    <row r="369">
      <c r="A369" s="228">
        <f>IFERROR(__xludf.DUMMYFUNCTION("""COMPUTED_VALUE"""),5299.0)</f>
        <v>5299</v>
      </c>
      <c r="B369" s="228" t="str">
        <f>IFERROR(__xludf.DUMMYFUNCTION("""COMPUTED_VALUE"""),"Abdullah Munir")</f>
        <v>Abdullah Munir</v>
      </c>
      <c r="C369" s="228" t="str">
        <f>IFERROR(__xludf.DUMMYFUNCTION("""COMPUTED_VALUE"""),"abdolamunir@gmail.com")</f>
        <v>abdolamunir@gmail.com</v>
      </c>
      <c r="D369" s="228" t="str">
        <f>IFERROR(__xludf.DUMMYFUNCTION("""COMPUTED_VALUE"""),"abdola.munir@vyro.ai")</f>
        <v>abdola.munir@vyro.ai</v>
      </c>
      <c r="E369" s="730">
        <f>IFERROR(__xludf.DUMMYFUNCTION("""COMPUTED_VALUE"""),45544.0)</f>
        <v>45544</v>
      </c>
      <c r="F369" s="228" t="str">
        <f>IFERROR(__xludf.DUMMYFUNCTION("""COMPUTED_VALUE"""),"Visual designer")</f>
        <v>Visual designer</v>
      </c>
      <c r="G369" s="228" t="str">
        <f>IFERROR(__xludf.DUMMYFUNCTION("""COMPUTED_VALUE"""),"Creatives")</f>
        <v>Creatives</v>
      </c>
      <c r="H369" s="228" t="str">
        <f>IFERROR(__xludf.DUMMYFUNCTION("""COMPUTED_VALUE"""),"Abdullah Rafique")</f>
        <v>Abdullah Rafique</v>
      </c>
      <c r="I369" s="228" t="str">
        <f>IFERROR(__xludf.DUMMYFUNCTION("""COMPUTED_VALUE"""),"Probation")</f>
        <v>Probation</v>
      </c>
      <c r="J369" s="228" t="str">
        <f>IFERROR(__xludf.DUMMYFUNCTION("""COMPUTED_VALUE"""),"Active")</f>
        <v>Active</v>
      </c>
      <c r="K369" s="228" t="str">
        <f>IFERROR(__xludf.DUMMYFUNCTION("""COMPUTED_VALUE"""),"3M")</f>
        <v>3M</v>
      </c>
      <c r="L369" s="732">
        <f>IFERROR(__xludf.DUMMYFUNCTION("""COMPUTED_VALUE"""),45635.0)</f>
        <v>45635</v>
      </c>
      <c r="M369" s="228"/>
      <c r="N369" s="228"/>
      <c r="O369" s="228"/>
      <c r="P369" s="228" t="str">
        <f>IFERROR(__xludf.DUMMYFUNCTION("""COMPUTED_VALUE"""),"03004405599")</f>
        <v>03004405599</v>
      </c>
      <c r="Q369" s="228" t="str">
        <f>IFERROR(__xludf.DUMMYFUNCTION("""COMPUTED_VALUE"""),"35201-2013612-5")</f>
        <v>35201-2013612-5</v>
      </c>
      <c r="R369" s="228" t="str">
        <f>IFERROR(__xludf.DUMMYFUNCTION("""COMPUTED_VALUE"""),"Male")</f>
        <v>Male</v>
      </c>
      <c r="S369" s="228" t="str">
        <f>IFERROR(__xludf.DUMMYFUNCTION("""COMPUTED_VALUE"""),"Bank Alfalah")</f>
        <v>Bank Alfalah</v>
      </c>
      <c r="T369" s="228" t="str">
        <f>IFERROR(__xludf.DUMMYFUNCTION("""COMPUTED_VALUE"""),"ABDULLAH MUNIR")</f>
        <v>ABDULLAH MUNIR</v>
      </c>
      <c r="U369" s="228" t="str">
        <f>IFERROR(__xludf.DUMMYFUNCTION("""COMPUTED_VALUE"""),"PK13ALFH0035001007879745")</f>
        <v>PK13ALFH0035001007879745</v>
      </c>
      <c r="V369" s="228" t="str">
        <f>IFERROR(__xludf.DUMMYFUNCTION("""COMPUTED_VALUE"""),"ALFHPKKA131")</f>
        <v>ALFHPKKA131</v>
      </c>
      <c r="W369" s="228"/>
      <c r="X369" s="228" t="str">
        <f>IFERROR(__xludf.DUMMYFUNCTION("""COMPUTED_VALUE"""),"Islamabad")</f>
        <v>Islamabad</v>
      </c>
      <c r="Y369" s="730">
        <f>IFERROR(__xludf.DUMMYFUNCTION("""COMPUTED_VALUE"""),33552.0)</f>
        <v>33552</v>
      </c>
      <c r="Z369" s="228" t="str">
        <f>IFERROR(__xludf.DUMMYFUNCTION("""COMPUTED_VALUE"""),"33 Years")</f>
        <v>33 Years</v>
      </c>
      <c r="AA369" s="228" t="str">
        <f>IFERROR(__xludf.DUMMYFUNCTION("""COMPUTED_VALUE"""),"H. No 109/D, Judicial Town, Near Chattar, Murree Road, Islamabad")</f>
        <v>H. No 109/D, Judicial Town, Near Chattar, Murree Road, Islamabad</v>
      </c>
      <c r="AB369" s="228" t="str">
        <f>IFERROR(__xludf.DUMMYFUNCTION("""COMPUTED_VALUE"""),"Pakistani")</f>
        <v>Pakistani</v>
      </c>
      <c r="AC369" s="228" t="str">
        <f>IFERROR(__xludf.DUMMYFUNCTION("""COMPUTED_VALUE"""),"Married")</f>
        <v>Married</v>
      </c>
      <c r="AD369" s="228"/>
      <c r="AE369" s="228"/>
      <c r="AF369" s="228"/>
      <c r="AG369" s="228" t="str">
        <f>IFERROR(__xludf.DUMMYFUNCTION("""COMPUTED_VALUE"""),"Muhammad Munir")</f>
        <v>Muhammad Munir</v>
      </c>
      <c r="AH369" s="228" t="str">
        <f>IFERROR(__xludf.DUMMYFUNCTION("""COMPUTED_VALUE"""),"Wife")</f>
        <v>Wife</v>
      </c>
      <c r="AI369" s="228" t="str">
        <f>IFERROR(__xludf.DUMMYFUNCTION("""COMPUTED_VALUE"""),"03345555375")</f>
        <v>03345555375</v>
      </c>
      <c r="AJ369" s="228" t="str">
        <f>IFERROR(__xludf.DUMMYFUNCTION("""COMPUTED_VALUE"""),"O-")</f>
        <v>O-</v>
      </c>
      <c r="AK369" s="228"/>
      <c r="AL369" s="228"/>
      <c r="AM369" s="730">
        <f>IFERROR(__xludf.DUMMYFUNCTION("""COMPUTED_VALUE"""),45656.0)</f>
        <v>45656</v>
      </c>
      <c r="AN369" s="228" t="str">
        <f>IFERROR(__xludf.DUMMYFUNCTION("""COMPUTED_VALUE"""),"Creatives")</f>
        <v>Creatives</v>
      </c>
      <c r="AO369" s="228" t="str">
        <f>IFERROR(__xludf.DUMMYFUNCTION("""COMPUTED_VALUE"""),"Creatives.team@vyro.ai")</f>
        <v>Creatives.team@vyro.ai</v>
      </c>
      <c r="AP369" s="228" t="str">
        <f>IFERROR(__xludf.DUMMYFUNCTION("""COMPUTED_VALUE"""),"NO")</f>
        <v>NO</v>
      </c>
      <c r="AQ369" s="228" t="str">
        <f>IFERROR(__xludf.DUMMYFUNCTION("""COMPUTED_VALUE"""),"Resigned/Terminated")</f>
        <v>Resigned/Terminated</v>
      </c>
    </row>
    <row r="370">
      <c r="A370" s="228">
        <f>IFERROR(__xludf.DUMMYFUNCTION("""COMPUTED_VALUE"""),5307.0)</f>
        <v>5307</v>
      </c>
      <c r="B370" s="228" t="str">
        <f>IFERROR(__xludf.DUMMYFUNCTION("""COMPUTED_VALUE"""),"Mohsin Ali")</f>
        <v>Mohsin Ali</v>
      </c>
      <c r="C370" s="228" t="str">
        <f>IFERROR(__xludf.DUMMYFUNCTION("""COMPUTED_VALUE"""),"alimohsin9983@gmail.com")</f>
        <v>alimohsin9983@gmail.com</v>
      </c>
      <c r="D370" s="228" t="str">
        <f>IFERROR(__xludf.DUMMYFUNCTION("""COMPUTED_VALUE"""),"mohsin.ali1@vyro.ai")</f>
        <v>mohsin.ali1@vyro.ai</v>
      </c>
      <c r="E370" s="730">
        <f>IFERROR(__xludf.DUMMYFUNCTION("""COMPUTED_VALUE"""),45565.0)</f>
        <v>45565</v>
      </c>
      <c r="F370" s="228" t="str">
        <f>IFERROR(__xludf.DUMMYFUNCTION("""COMPUTED_VALUE"""),"Senior SEO Specialist")</f>
        <v>Senior SEO Specialist</v>
      </c>
      <c r="G370" s="228" t="str">
        <f>IFERROR(__xludf.DUMMYFUNCTION("""COMPUTED_VALUE"""),"Growth &amp; Marketing")</f>
        <v>Growth &amp; Marketing</v>
      </c>
      <c r="H370" s="228" t="str">
        <f>IFERROR(__xludf.DUMMYFUNCTION("""COMPUTED_VALUE"""),"Shehak Raza")</f>
        <v>Shehak Raza</v>
      </c>
      <c r="I370" s="228" t="str">
        <f>IFERROR(__xludf.DUMMYFUNCTION("""COMPUTED_VALUE"""),"Probation")</f>
        <v>Probation</v>
      </c>
      <c r="J370" s="228" t="str">
        <f>IFERROR(__xludf.DUMMYFUNCTION("""COMPUTED_VALUE"""),"Active")</f>
        <v>Active</v>
      </c>
      <c r="K370" s="228" t="str">
        <f>IFERROR(__xludf.DUMMYFUNCTION("""COMPUTED_VALUE"""),"3M")</f>
        <v>3M</v>
      </c>
      <c r="L370" s="732">
        <f>IFERROR(__xludf.DUMMYFUNCTION("""COMPUTED_VALUE"""),45656.0)</f>
        <v>45656</v>
      </c>
      <c r="M370" s="228"/>
      <c r="N370" s="228"/>
      <c r="O370" s="228"/>
      <c r="P370" s="228" t="str">
        <f>IFERROR(__xludf.DUMMYFUNCTION("""COMPUTED_VALUE"""),"03035086664")</f>
        <v>03035086664</v>
      </c>
      <c r="Q370" s="228" t="str">
        <f>IFERROR(__xludf.DUMMYFUNCTION("""COMPUTED_VALUE"""),"42301-9100441-1")</f>
        <v>42301-9100441-1</v>
      </c>
      <c r="R370" s="228" t="str">
        <f>IFERROR(__xludf.DUMMYFUNCTION("""COMPUTED_VALUE"""),"Male")</f>
        <v>Male</v>
      </c>
      <c r="S370" s="228" t="str">
        <f>IFERROR(__xludf.DUMMYFUNCTION("""COMPUTED_VALUE"""),"HBL")</f>
        <v>HBL</v>
      </c>
      <c r="T370" s="228" t="str">
        <f>IFERROR(__xludf.DUMMYFUNCTION("""COMPUTED_VALUE"""),"Mohsin Ali")</f>
        <v>Mohsin Ali</v>
      </c>
      <c r="U370" s="228" t="str">
        <f>IFERROR(__xludf.DUMMYFUNCTION("""COMPUTED_VALUE"""),"PK42HABB0011557947649703")</f>
        <v>PK42HABB0011557947649703</v>
      </c>
      <c r="V370" s="228" t="str">
        <f>IFERROR(__xludf.DUMMYFUNCTION("""COMPUTED_VALUE"""),"HABBPKKA")</f>
        <v>HABBPKKA</v>
      </c>
      <c r="W370" s="228"/>
      <c r="X370" s="228" t="str">
        <f>IFERROR(__xludf.DUMMYFUNCTION("""COMPUTED_VALUE"""),"islamabad")</f>
        <v>islamabad</v>
      </c>
      <c r="Y370" s="730">
        <f>IFERROR(__xludf.DUMMYFUNCTION("""COMPUTED_VALUE"""),33517.0)</f>
        <v>33517</v>
      </c>
      <c r="Z370" s="228" t="str">
        <f>IFERROR(__xludf.DUMMYFUNCTION("""COMPUTED_VALUE"""),"33 Years")</f>
        <v>33 Years</v>
      </c>
      <c r="AA370" s="228" t="str">
        <f>IFERROR(__xludf.DUMMYFUNCTION("""COMPUTED_VALUE"""),"House No. S-84 4th street Khayaban-e-Zafar Shaheed, DHA Phase VII Ext")</f>
        <v>House No. S-84 4th street Khayaban-e-Zafar Shaheed, DHA Phase VII Ext</v>
      </c>
      <c r="AB370" s="228" t="str">
        <f>IFERROR(__xludf.DUMMYFUNCTION("""COMPUTED_VALUE"""),"Pakistani")</f>
        <v>Pakistani</v>
      </c>
      <c r="AC370" s="228" t="str">
        <f>IFERROR(__xludf.DUMMYFUNCTION("""COMPUTED_VALUE"""),"Married")</f>
        <v>Married</v>
      </c>
      <c r="AD370" s="228"/>
      <c r="AE370" s="228"/>
      <c r="AF370" s="228"/>
      <c r="AG370" s="228" t="str">
        <f>IFERROR(__xludf.DUMMYFUNCTION("""COMPUTED_VALUE"""),"Raza Ali")</f>
        <v>Raza Ali</v>
      </c>
      <c r="AH370" s="228" t="str">
        <f>IFERROR(__xludf.DUMMYFUNCTION("""COMPUTED_VALUE"""),"Aunty (Phuppi)")</f>
        <v>Aunty (Phuppi)</v>
      </c>
      <c r="AI370" s="228" t="str">
        <f>IFERROR(__xludf.DUMMYFUNCTION("""COMPUTED_VALUE"""),"03462557393")</f>
        <v>03462557393</v>
      </c>
      <c r="AJ370" s="228" t="str">
        <f>IFERROR(__xludf.DUMMYFUNCTION("""COMPUTED_VALUE"""),"B+")</f>
        <v>B+</v>
      </c>
      <c r="AK370" s="228"/>
      <c r="AL370" s="228"/>
      <c r="AM370" s="730">
        <f>IFERROR(__xludf.DUMMYFUNCTION("""COMPUTED_VALUE"""),45667.0)</f>
        <v>45667</v>
      </c>
      <c r="AN370" s="228" t="str">
        <f>IFERROR(__xludf.DUMMYFUNCTION("""COMPUTED_VALUE"""),"Search Engine Optimization")</f>
        <v>Search Engine Optimization</v>
      </c>
      <c r="AO370" s="228" t="str">
        <f>IFERROR(__xludf.DUMMYFUNCTION("""COMPUTED_VALUE"""),"seo.team@vyro.ai")</f>
        <v>seo.team@vyro.ai</v>
      </c>
      <c r="AP370" s="228" t="str">
        <f>IFERROR(__xludf.DUMMYFUNCTION("""COMPUTED_VALUE"""),"NO")</f>
        <v>NO</v>
      </c>
      <c r="AQ370" s="228" t="str">
        <f>IFERROR(__xludf.DUMMYFUNCTION("""COMPUTED_VALUE"""),"Resigned/Terminated")</f>
        <v>Resigned/Terminated</v>
      </c>
    </row>
    <row r="371">
      <c r="A371" s="228">
        <f>IFERROR(__xludf.DUMMYFUNCTION("""COMPUTED_VALUE"""),5313.0)</f>
        <v>5313</v>
      </c>
      <c r="B371" s="228" t="str">
        <f>IFERROR(__xludf.DUMMYFUNCTION("""COMPUTED_VALUE"""),"Insha Wamiq")</f>
        <v>Insha Wamiq</v>
      </c>
      <c r="C371" s="228" t="str">
        <f>IFERROR(__xludf.DUMMYFUNCTION("""COMPUTED_VALUE"""),"inshawamiq1@gmail.com")</f>
        <v>inshawamiq1@gmail.com</v>
      </c>
      <c r="D371" s="228" t="str">
        <f>IFERROR(__xludf.DUMMYFUNCTION("""COMPUTED_VALUE"""),"insha.wamiq@vyro.ai")</f>
        <v>insha.wamiq@vyro.ai</v>
      </c>
      <c r="E371" s="730">
        <f>IFERROR(__xludf.DUMMYFUNCTION("""COMPUTED_VALUE"""),45593.0)</f>
        <v>45593</v>
      </c>
      <c r="F371" s="228" t="str">
        <f>IFERROR(__xludf.DUMMYFUNCTION("""COMPUTED_VALUE"""),"Sr. PM")</f>
        <v>Sr. PM</v>
      </c>
      <c r="G371" s="228" t="str">
        <f>IFERROR(__xludf.DUMMYFUNCTION("""COMPUTED_VALUE"""),"Product")</f>
        <v>Product</v>
      </c>
      <c r="H371" s="228" t="str">
        <f>IFERROR(__xludf.DUMMYFUNCTION("""COMPUTED_VALUE"""),"Saad Ahmed")</f>
        <v>Saad Ahmed</v>
      </c>
      <c r="I371" s="228" t="str">
        <f>IFERROR(__xludf.DUMMYFUNCTION("""COMPUTED_VALUE"""),"Probation")</f>
        <v>Probation</v>
      </c>
      <c r="J371" s="228" t="str">
        <f>IFERROR(__xludf.DUMMYFUNCTION("""COMPUTED_VALUE"""),"Active")</f>
        <v>Active</v>
      </c>
      <c r="K371" s="228" t="str">
        <f>IFERROR(__xludf.DUMMYFUNCTION("""COMPUTED_VALUE"""),"3M")</f>
        <v>3M</v>
      </c>
      <c r="L371" s="732">
        <f>IFERROR(__xludf.DUMMYFUNCTION("""COMPUTED_VALUE"""),45685.0)</f>
        <v>45685</v>
      </c>
      <c r="M371" s="228"/>
      <c r="N371" s="228"/>
      <c r="O371" s="228"/>
      <c r="P371" s="228" t="str">
        <f>IFERROR(__xludf.DUMMYFUNCTION("""COMPUTED_VALUE"""),"03344674292")</f>
        <v>03344674292</v>
      </c>
      <c r="Q371" s="228" t="str">
        <f>IFERROR(__xludf.DUMMYFUNCTION("""COMPUTED_VALUE"""),"42101-1236032-0")</f>
        <v>42101-1236032-0</v>
      </c>
      <c r="R371" s="228" t="str">
        <f>IFERROR(__xludf.DUMMYFUNCTION("""COMPUTED_VALUE"""),"Female")</f>
        <v>Female</v>
      </c>
      <c r="S371" s="228" t="str">
        <f>IFERROR(__xludf.DUMMYFUNCTION("""COMPUTED_VALUE"""),"HBL")</f>
        <v>HBL</v>
      </c>
      <c r="T371" s="228" t="str">
        <f>IFERROR(__xludf.DUMMYFUNCTION("""COMPUTED_VALUE"""),"Insha Wamiq")</f>
        <v>Insha Wamiq</v>
      </c>
      <c r="U371" s="228" t="str">
        <f>IFERROR(__xludf.DUMMYFUNCTION("""COMPUTED_VALUE"""),"PK29HABB0024867000225003")</f>
        <v>PK29HABB0024867000225003</v>
      </c>
      <c r="V371" s="228" t="str">
        <f>IFERROR(__xludf.DUMMYFUNCTION("""COMPUTED_VALUE"""),"HABBPKKA")</f>
        <v>HABBPKKA</v>
      </c>
      <c r="W371" s="228"/>
      <c r="X371" s="228" t="str">
        <f>IFERROR(__xludf.DUMMYFUNCTION("""COMPUTED_VALUE"""),"Islamabad")</f>
        <v>Islamabad</v>
      </c>
      <c r="Y371" s="730">
        <f>IFERROR(__xludf.DUMMYFUNCTION("""COMPUTED_VALUE"""),35662.0)</f>
        <v>35662</v>
      </c>
      <c r="Z371" s="228" t="str">
        <f>IFERROR(__xludf.DUMMYFUNCTION("""COMPUTED_VALUE"""),"27 Years")</f>
        <v>27 Years</v>
      </c>
      <c r="AA371" s="228" t="str">
        <f>IFERROR(__xludf.DUMMYFUNCTION("""COMPUTED_VALUE"""),"HOUSE 281, STREET 14, SECTOR F-10/2")</f>
        <v>HOUSE 281, STREET 14, SECTOR F-10/2</v>
      </c>
      <c r="AB371" s="228" t="str">
        <f>IFERROR(__xludf.DUMMYFUNCTION("""COMPUTED_VALUE"""),"Pakistani")</f>
        <v>Pakistani</v>
      </c>
      <c r="AC371" s="228" t="str">
        <f>IFERROR(__xludf.DUMMYFUNCTION("""COMPUTED_VALUE"""),"Single")</f>
        <v>Single</v>
      </c>
      <c r="AD371" s="228"/>
      <c r="AE371" s="228"/>
      <c r="AF371" s="228"/>
      <c r="AG371" s="228" t="str">
        <f>IFERROR(__xludf.DUMMYFUNCTION("""COMPUTED_VALUE"""),"Wamiq Saeed")</f>
        <v>Wamiq Saeed</v>
      </c>
      <c r="AH371" s="228" t="str">
        <f>IFERROR(__xludf.DUMMYFUNCTION("""COMPUTED_VALUE"""),"Father")</f>
        <v>Father</v>
      </c>
      <c r="AI371" s="228" t="str">
        <f>IFERROR(__xludf.DUMMYFUNCTION("""COMPUTED_VALUE"""),"03332109064")</f>
        <v>03332109064</v>
      </c>
      <c r="AJ371" s="228" t="str">
        <f>IFERROR(__xludf.DUMMYFUNCTION("""COMPUTED_VALUE"""),"A+")</f>
        <v>A+</v>
      </c>
      <c r="AK371" s="228"/>
      <c r="AL371" s="228"/>
      <c r="AM371" s="730">
        <f>IFERROR(__xludf.DUMMYFUNCTION("""COMPUTED_VALUE"""),45660.0)</f>
        <v>45660</v>
      </c>
      <c r="AN371" s="228" t="str">
        <f>IFERROR(__xludf.DUMMYFUNCTION("""COMPUTED_VALUE"""),"Product")</f>
        <v>Product</v>
      </c>
      <c r="AO371" s="228" t="str">
        <f>IFERROR(__xludf.DUMMYFUNCTION("""COMPUTED_VALUE"""),"product.team@vyro.ai")</f>
        <v>product.team@vyro.ai</v>
      </c>
      <c r="AP371" s="228" t="str">
        <f>IFERROR(__xludf.DUMMYFUNCTION("""COMPUTED_VALUE"""),"NO")</f>
        <v>NO</v>
      </c>
      <c r="AQ371" s="228" t="str">
        <f>IFERROR(__xludf.DUMMYFUNCTION("""COMPUTED_VALUE"""),"Resigned/Terminated")</f>
        <v>Resigned/Terminated</v>
      </c>
    </row>
    <row r="372">
      <c r="A372" s="228">
        <f>IFERROR(__xludf.DUMMYFUNCTION("""COMPUTED_VALUE"""),5333.0)</f>
        <v>5333</v>
      </c>
      <c r="B372" s="228" t="str">
        <f>IFERROR(__xludf.DUMMYFUNCTION("""COMPUTED_VALUE"""),"Umar Farooq Waheed")</f>
        <v>Umar Farooq Waheed</v>
      </c>
      <c r="C372" s="228" t="str">
        <f>IFERROR(__xludf.DUMMYFUNCTION("""COMPUTED_VALUE"""),"umarfarooq.waheed@gmail.com")</f>
        <v>umarfarooq.waheed@gmail.com</v>
      </c>
      <c r="D372" s="228" t="str">
        <f>IFERROR(__xludf.DUMMYFUNCTION("""COMPUTED_VALUE"""),"umarfarooq.waheed@vyro.ai")</f>
        <v>umarfarooq.waheed@vyro.ai</v>
      </c>
      <c r="E372" s="730">
        <f>IFERROR(__xludf.DUMMYFUNCTION("""COMPUTED_VALUE"""),45629.0)</f>
        <v>45629</v>
      </c>
      <c r="F372" s="228" t="str">
        <f>IFERROR(__xludf.DUMMYFUNCTION("""COMPUTED_VALUE"""),"Sr backend Engineer")</f>
        <v>Sr backend Engineer</v>
      </c>
      <c r="G372" s="228" t="str">
        <f>IFERROR(__xludf.DUMMYFUNCTION("""COMPUTED_VALUE"""),"Backend")</f>
        <v>Backend</v>
      </c>
      <c r="H372" s="228" t="str">
        <f>IFERROR(__xludf.DUMMYFUNCTION("""COMPUTED_VALUE"""),"Shariq Arif")</f>
        <v>Shariq Arif</v>
      </c>
      <c r="I372" s="228" t="str">
        <f>IFERROR(__xludf.DUMMYFUNCTION("""COMPUTED_VALUE"""),"Probation")</f>
        <v>Probation</v>
      </c>
      <c r="J372" s="228" t="str">
        <f>IFERROR(__xludf.DUMMYFUNCTION("""COMPUTED_VALUE"""),"Active")</f>
        <v>Active</v>
      </c>
      <c r="K372" s="228" t="str">
        <f>IFERROR(__xludf.DUMMYFUNCTION("""COMPUTED_VALUE"""),"3M")</f>
        <v>3M</v>
      </c>
      <c r="L372" s="732">
        <f>IFERROR(__xludf.DUMMYFUNCTION("""COMPUTED_VALUE"""),45718.0)</f>
        <v>45718</v>
      </c>
      <c r="M372" s="228"/>
      <c r="N372" s="228"/>
      <c r="O372" s="228"/>
      <c r="P372" s="228" t="str">
        <f>IFERROR(__xludf.DUMMYFUNCTION("""COMPUTED_VALUE"""),"03354255333")</f>
        <v>03354255333</v>
      </c>
      <c r="Q372" s="228" t="str">
        <f>IFERROR(__xludf.DUMMYFUNCTION("""COMPUTED_VALUE"""),"31101-8020967-5")</f>
        <v>31101-8020967-5</v>
      </c>
      <c r="R372" s="228" t="str">
        <f>IFERROR(__xludf.DUMMYFUNCTION("""COMPUTED_VALUE"""),"Male")</f>
        <v>Male</v>
      </c>
      <c r="S372" s="228" t="str">
        <f>IFERROR(__xludf.DUMMYFUNCTION("""COMPUTED_VALUE"""),"Bank Alflah")</f>
        <v>Bank Alflah</v>
      </c>
      <c r="T372" s="228" t="str">
        <f>IFERROR(__xludf.DUMMYFUNCTION("""COMPUTED_VALUE"""),"Umar Farooq Waheed")</f>
        <v>Umar Farooq Waheed</v>
      </c>
      <c r="U372" s="228" t="str">
        <f>IFERROR(__xludf.DUMMYFUNCTION("""COMPUTED_VALUE"""),"PK98ALFH5530005000661524")</f>
        <v>PK98ALFH5530005000661524</v>
      </c>
      <c r="V372" s="228" t="str">
        <f>IFERROR(__xludf.DUMMYFUNCTION("""COMPUTED_VALUE"""),"ALFHPKKAXXX")</f>
        <v>ALFHPKKAXXX</v>
      </c>
      <c r="W372" s="228"/>
      <c r="X372" s="228" t="str">
        <f>IFERROR(__xludf.DUMMYFUNCTION("""COMPUTED_VALUE"""),"Islamabad")</f>
        <v>Islamabad</v>
      </c>
      <c r="Y372" s="730">
        <f>IFERROR(__xludf.DUMMYFUNCTION("""COMPUTED_VALUE"""),35541.0)</f>
        <v>35541</v>
      </c>
      <c r="Z372" s="228" t="str">
        <f>IFERROR(__xludf.DUMMYFUNCTION("""COMPUTED_VALUE"""),"28 Years")</f>
        <v>28 Years</v>
      </c>
      <c r="AA372" s="228" t="str">
        <f>IFERROR(__xludf.DUMMYFUNCTION("""COMPUTED_VALUE"""),"H#654 Street#75 G10/4 Islamabad")</f>
        <v>H#654 Street#75 G10/4 Islamabad</v>
      </c>
      <c r="AB372" s="228" t="str">
        <f>IFERROR(__xludf.DUMMYFUNCTION("""COMPUTED_VALUE"""),"Pakistani")</f>
        <v>Pakistani</v>
      </c>
      <c r="AC372" s="228" t="str">
        <f>IFERROR(__xludf.DUMMYFUNCTION("""COMPUTED_VALUE"""),"Single")</f>
        <v>Single</v>
      </c>
      <c r="AD372" s="228"/>
      <c r="AE372" s="228"/>
      <c r="AF372" s="228"/>
      <c r="AG372" s="228" t="str">
        <f>IFERROR(__xludf.DUMMYFUNCTION("""COMPUTED_VALUE"""),"Abdul Waheed")</f>
        <v>Abdul Waheed</v>
      </c>
      <c r="AH372" s="228" t="str">
        <f>IFERROR(__xludf.DUMMYFUNCTION("""COMPUTED_VALUE"""),"Father")</f>
        <v>Father</v>
      </c>
      <c r="AI372" s="228" t="str">
        <f>IFERROR(__xludf.DUMMYFUNCTION("""COMPUTED_VALUE"""),"3336314330")</f>
        <v>3336314330</v>
      </c>
      <c r="AJ372" s="228" t="str">
        <f>IFERROR(__xludf.DUMMYFUNCTION("""COMPUTED_VALUE"""),"AB+")</f>
        <v>AB+</v>
      </c>
      <c r="AK372" s="228"/>
      <c r="AL372" s="228"/>
      <c r="AM372" s="730">
        <f>IFERROR(__xludf.DUMMYFUNCTION("""COMPUTED_VALUE"""),45660.0)</f>
        <v>45660</v>
      </c>
      <c r="AN372" s="228"/>
      <c r="AO372" s="228"/>
      <c r="AP372" s="228" t="str">
        <f>IFERROR(__xludf.DUMMYFUNCTION("""COMPUTED_VALUE"""),"NO")</f>
        <v>NO</v>
      </c>
      <c r="AQ372" s="228" t="str">
        <f>IFERROR(__xludf.DUMMYFUNCTION("""COMPUTED_VALUE"""),"Resigned/Terminated")</f>
        <v>Resigned/Terminated</v>
      </c>
    </row>
    <row r="373">
      <c r="A373" s="228">
        <f>IFERROR(__xludf.DUMMYFUNCTION("""COMPUTED_VALUE"""),5347.0)</f>
        <v>5347</v>
      </c>
      <c r="B373" s="228" t="str">
        <f>IFERROR(__xludf.DUMMYFUNCTION("""COMPUTED_VALUE"""),"Osama Khan")</f>
        <v>Osama Khan</v>
      </c>
      <c r="C373" s="228" t="str">
        <f>IFERROR(__xludf.DUMMYFUNCTION("""COMPUTED_VALUE"""),"osamathedesigner@gmail.com")</f>
        <v>osamathedesigner@gmail.com</v>
      </c>
      <c r="D373" s="228" t="str">
        <f>IFERROR(__xludf.DUMMYFUNCTION("""COMPUTED_VALUE"""),"osama.khan@vyro.ai")</f>
        <v>osama.khan@vyro.ai</v>
      </c>
      <c r="E373" s="730">
        <f>IFERROR(__xludf.DUMMYFUNCTION("""COMPUTED_VALUE"""),45663.0)</f>
        <v>45663</v>
      </c>
      <c r="F373" s="228" t="str">
        <f>IFERROR(__xludf.DUMMYFUNCTION("""COMPUTED_VALUE"""),"Motion Graphics Designer")</f>
        <v>Motion Graphics Designer</v>
      </c>
      <c r="G373" s="228" t="str">
        <f>IFERROR(__xludf.DUMMYFUNCTION("""COMPUTED_VALUE"""),"Creatives")</f>
        <v>Creatives</v>
      </c>
      <c r="H373" s="228" t="str">
        <f>IFERROR(__xludf.DUMMYFUNCTION("""COMPUTED_VALUE"""),"Kamran Khalid")</f>
        <v>Kamran Khalid</v>
      </c>
      <c r="I373" s="228" t="str">
        <f>IFERROR(__xludf.DUMMYFUNCTION("""COMPUTED_VALUE"""),"Probation")</f>
        <v>Probation</v>
      </c>
      <c r="J373" s="228" t="str">
        <f>IFERROR(__xludf.DUMMYFUNCTION("""COMPUTED_VALUE"""),"Active")</f>
        <v>Active</v>
      </c>
      <c r="K373" s="228" t="str">
        <f>IFERROR(__xludf.DUMMYFUNCTION("""COMPUTED_VALUE"""),"3M")</f>
        <v>3M</v>
      </c>
      <c r="L373" s="732">
        <f>IFERROR(__xludf.DUMMYFUNCTION("""COMPUTED_VALUE"""),45753.0)</f>
        <v>45753</v>
      </c>
      <c r="M373" s="228"/>
      <c r="N373" s="228"/>
      <c r="O373" s="228"/>
      <c r="P373" s="228" t="str">
        <f>IFERROR(__xludf.DUMMYFUNCTION("""COMPUTED_VALUE"""),"03159639977")</f>
        <v>03159639977</v>
      </c>
      <c r="Q373" s="228" t="str">
        <f>IFERROR(__xludf.DUMMYFUNCTION("""COMPUTED_VALUE"""),"13101-3514537-5")</f>
        <v>13101-3514537-5</v>
      </c>
      <c r="R373" s="228" t="str">
        <f>IFERROR(__xludf.DUMMYFUNCTION("""COMPUTED_VALUE"""),"Male")</f>
        <v>Male</v>
      </c>
      <c r="S373" s="228" t="str">
        <f>IFERROR(__xludf.DUMMYFUNCTION("""COMPUTED_VALUE"""),"Allied Bank")</f>
        <v>Allied Bank</v>
      </c>
      <c r="T373" s="228" t="str">
        <f>IFERROR(__xludf.DUMMYFUNCTION("""COMPUTED_VALUE"""),"Osama Sharif")</f>
        <v>Osama Sharif</v>
      </c>
      <c r="U373" s="228" t="str">
        <f>IFERROR(__xludf.DUMMYFUNCTION("""COMPUTED_VALUE"""),"PK20ABPA0010070197080013
Osama Sharif
Allied Bank")</f>
        <v>PK20ABPA0010070197080013
Osama Sharif
Allied Bank</v>
      </c>
      <c r="V373" s="228"/>
      <c r="W373" s="228"/>
      <c r="X373" s="228" t="str">
        <f>IFERROR(__xludf.DUMMYFUNCTION("""COMPUTED_VALUE"""),"Islamabad")</f>
        <v>Islamabad</v>
      </c>
      <c r="Y373" s="730">
        <f>IFERROR(__xludf.DUMMYFUNCTION("""COMPUTED_VALUE"""),33811.0)</f>
        <v>33811</v>
      </c>
      <c r="Z373" s="228" t="str">
        <f>IFERROR(__xludf.DUMMYFUNCTION("""COMPUTED_VALUE"""),"32 Years")</f>
        <v>32 Years</v>
      </c>
      <c r="AA373" s="228" t="str">
        <f>IFERROR(__xludf.DUMMYFUNCTION("""COMPUTED_VALUE"""),"House 576 Street 20, Sector 4 VIP affiliation Rawalpindi")</f>
        <v>House 576 Street 20, Sector 4 VIP affiliation Rawalpindi</v>
      </c>
      <c r="AB373" s="228" t="str">
        <f>IFERROR(__xludf.DUMMYFUNCTION("""COMPUTED_VALUE"""),"Pakistani")</f>
        <v>Pakistani</v>
      </c>
      <c r="AC373" s="228" t="str">
        <f>IFERROR(__xludf.DUMMYFUNCTION("""COMPUTED_VALUE"""),"Married")</f>
        <v>Married</v>
      </c>
      <c r="AD373" s="228"/>
      <c r="AE373" s="228"/>
      <c r="AF373" s="228"/>
      <c r="AG373" s="228"/>
      <c r="AH373" s="228"/>
      <c r="AI373" s="228"/>
      <c r="AJ373" s="228"/>
      <c r="AK373" s="228"/>
      <c r="AL373" s="228"/>
      <c r="AM373" s="730">
        <f>IFERROR(__xludf.DUMMYFUNCTION("""COMPUTED_VALUE"""),45667.0)</f>
        <v>45667</v>
      </c>
      <c r="AN373" s="228"/>
      <c r="AO373" s="228"/>
      <c r="AP373" s="228" t="str">
        <f>IFERROR(__xludf.DUMMYFUNCTION("""COMPUTED_VALUE"""),"NO")</f>
        <v>NO</v>
      </c>
      <c r="AQ373" s="228" t="str">
        <f>IFERROR(__xludf.DUMMYFUNCTION("""COMPUTED_VALUE"""),"Resigned/Terminated")</f>
        <v>Resigned/Terminated</v>
      </c>
    </row>
    <row r="374">
      <c r="A374" s="228">
        <f>IFERROR(__xludf.DUMMYFUNCTION("""COMPUTED_VALUE"""),5338.0)</f>
        <v>5338</v>
      </c>
      <c r="B374" s="228" t="str">
        <f>IFERROR(__xludf.DUMMYFUNCTION("""COMPUTED_VALUE"""),"Qazi Umer Jamil")</f>
        <v>Qazi Umer Jamil</v>
      </c>
      <c r="C374" s="228" t="str">
        <f>IFERROR(__xludf.DUMMYFUNCTION("""COMPUTED_VALUE"""),"umer1694@gmail.com")</f>
        <v>umer1694@gmail.com</v>
      </c>
      <c r="D374" s="228" t="str">
        <f>IFERROR(__xludf.DUMMYFUNCTION("""COMPUTED_VALUE"""),"qazi.umer.jamil@vyro.ai")</f>
        <v>qazi.umer.jamil@vyro.ai</v>
      </c>
      <c r="E374" s="730">
        <f>IFERROR(__xludf.DUMMYFUNCTION("""COMPUTED_VALUE"""),45642.0)</f>
        <v>45642</v>
      </c>
      <c r="F374" s="228" t="str">
        <f>IFERROR(__xludf.DUMMYFUNCTION("""COMPUTED_VALUE"""),"Senior DevOps Engineer")</f>
        <v>Senior DevOps Engineer</v>
      </c>
      <c r="G374" s="228" t="str">
        <f>IFERROR(__xludf.DUMMYFUNCTION("""COMPUTED_VALUE"""),"Devops")</f>
        <v>Devops</v>
      </c>
      <c r="H374" s="228" t="str">
        <f>IFERROR(__xludf.DUMMYFUNCTION("""COMPUTED_VALUE"""),"Abdullah Rafique")</f>
        <v>Abdullah Rafique</v>
      </c>
      <c r="I374" s="228" t="str">
        <f>IFERROR(__xludf.DUMMYFUNCTION("""COMPUTED_VALUE"""),"Probation")</f>
        <v>Probation</v>
      </c>
      <c r="J374" s="228" t="str">
        <f>IFERROR(__xludf.DUMMYFUNCTION("""COMPUTED_VALUE"""),"Active")</f>
        <v>Active</v>
      </c>
      <c r="K374" s="228" t="str">
        <f>IFERROR(__xludf.DUMMYFUNCTION("""COMPUTED_VALUE"""),"3M")</f>
        <v>3M</v>
      </c>
      <c r="L374" s="732">
        <f>IFERROR(__xludf.DUMMYFUNCTION("""COMPUTED_VALUE"""),45732.0)</f>
        <v>45732</v>
      </c>
      <c r="M374" s="228"/>
      <c r="N374" s="228"/>
      <c r="O374" s="228"/>
      <c r="P374" s="228" t="str">
        <f>IFERROR(__xludf.DUMMYFUNCTION("""COMPUTED_VALUE"""),"03335760832")</f>
        <v>03335760832</v>
      </c>
      <c r="Q374" s="228" t="str">
        <f>IFERROR(__xludf.DUMMYFUNCTION("""COMPUTED_VALUE"""),"12101-2620278-9")</f>
        <v>12101-2620278-9</v>
      </c>
      <c r="R374" s="228" t="str">
        <f>IFERROR(__xludf.DUMMYFUNCTION("""COMPUTED_VALUE"""),"Male")</f>
        <v>Male</v>
      </c>
      <c r="S374" s="228" t="str">
        <f>IFERROR(__xludf.DUMMYFUNCTION("""COMPUTED_VALUE"""),"Meezan Bank")</f>
        <v>Meezan Bank</v>
      </c>
      <c r="T374" s="228" t="str">
        <f>IFERROR(__xludf.DUMMYFUNCTION("""COMPUTED_VALUE"""),"QAZI UMER JAMIL")</f>
        <v>QAZI UMER JAMIL</v>
      </c>
      <c r="U374" s="228" t="str">
        <f>IFERROR(__xludf.DUMMYFUNCTION("""COMPUTED_VALUE"""),"PK60MEZN0003070110324702")</f>
        <v>PK60MEZN0003070110324702</v>
      </c>
      <c r="V374" s="228" t="str">
        <f>IFERROR(__xludf.DUMMYFUNCTION("""COMPUTED_VALUE"""),"MEZNPKKAIS2")</f>
        <v>MEZNPKKAIS2</v>
      </c>
      <c r="W374" s="228"/>
      <c r="X374" s="228" t="str">
        <f>IFERROR(__xludf.DUMMYFUNCTION("""COMPUTED_VALUE"""),"Islamabad")</f>
        <v>Islamabad</v>
      </c>
      <c r="Y374" s="730">
        <f>IFERROR(__xludf.DUMMYFUNCTION("""COMPUTED_VALUE"""),34684.0)</f>
        <v>34684</v>
      </c>
      <c r="Z374" s="228" t="str">
        <f>IFERROR(__xludf.DUMMYFUNCTION("""COMPUTED_VALUE"""),"30 Years")</f>
        <v>30 Years</v>
      </c>
      <c r="AA374" s="228" t="str">
        <f>IFERROR(__xludf.DUMMYFUNCTION("""COMPUTED_VALUE"""),"House 1275-O, Street 93, Sector I-10/1, Islamabad")</f>
        <v>House 1275-O, Street 93, Sector I-10/1, Islamabad</v>
      </c>
      <c r="AB374" s="228" t="str">
        <f>IFERROR(__xludf.DUMMYFUNCTION("""COMPUTED_VALUE"""),"Pakistani")</f>
        <v>Pakistani</v>
      </c>
      <c r="AC374" s="228" t="str">
        <f>IFERROR(__xludf.DUMMYFUNCTION("""COMPUTED_VALUE"""),"Married")</f>
        <v>Married</v>
      </c>
      <c r="AD374" s="228"/>
      <c r="AE374" s="228"/>
      <c r="AF374" s="228"/>
      <c r="AG374" s="228" t="str">
        <f>IFERROR(__xludf.DUMMYFUNCTION("""COMPUTED_VALUE"""),"Noor ul Ain")</f>
        <v>Noor ul Ain</v>
      </c>
      <c r="AH374" s="228" t="str">
        <f>IFERROR(__xludf.DUMMYFUNCTION("""COMPUTED_VALUE"""),"Wife")</f>
        <v>Wife</v>
      </c>
      <c r="AI374" s="228" t="str">
        <f>IFERROR(__xludf.DUMMYFUNCTION("""COMPUTED_VALUE"""),"3335760832")</f>
        <v>3335760832</v>
      </c>
      <c r="AJ374" s="228" t="str">
        <f>IFERROR(__xludf.DUMMYFUNCTION("""COMPUTED_VALUE"""),"B+")</f>
        <v>B+</v>
      </c>
      <c r="AK374" s="228"/>
      <c r="AL374" s="228"/>
      <c r="AM374" s="228"/>
      <c r="AN374" s="228"/>
      <c r="AO374" s="228"/>
      <c r="AP374" s="228" t="str">
        <f>IFERROR(__xludf.DUMMYFUNCTION("""COMPUTED_VALUE"""),"NO")</f>
        <v>NO</v>
      </c>
      <c r="AQ374" s="228" t="str">
        <f>IFERROR(__xludf.DUMMYFUNCTION("""COMPUTED_VALUE"""),"Resigned/Terminated")</f>
        <v>Resigned/Terminated</v>
      </c>
    </row>
    <row r="375">
      <c r="A375" s="228">
        <f>IFERROR(__xludf.DUMMYFUNCTION("""COMPUTED_VALUE"""),5278.0)</f>
        <v>5278</v>
      </c>
      <c r="B375" s="228" t="str">
        <f>IFERROR(__xludf.DUMMYFUNCTION("""COMPUTED_VALUE"""),"Musa Chughtai")</f>
        <v>Musa Chughtai</v>
      </c>
      <c r="C375" s="228" t="str">
        <f>IFERROR(__xludf.DUMMYFUNCTION("""COMPUTED_VALUE"""),"mmchughtai9@gmail.com")</f>
        <v>mmchughtai9@gmail.com</v>
      </c>
      <c r="D375" s="228" t="str">
        <f>IFERROR(__xludf.DUMMYFUNCTION("""COMPUTED_VALUE"""),"musa.chughtai@vyro.ai")</f>
        <v>musa.chughtai@vyro.ai</v>
      </c>
      <c r="E375" s="730">
        <f>IFERROR(__xludf.DUMMYFUNCTION("""COMPUTED_VALUE"""),45446.0)</f>
        <v>45446</v>
      </c>
      <c r="F375" s="228" t="str">
        <f>IFERROR(__xludf.DUMMYFUNCTION("""COMPUTED_VALUE"""),"Jr Backend Engineer")</f>
        <v>Jr Backend Engineer</v>
      </c>
      <c r="G375" s="228" t="str">
        <f>IFERROR(__xludf.DUMMYFUNCTION("""COMPUTED_VALUE"""),"Software Engineering")</f>
        <v>Software Engineering</v>
      </c>
      <c r="H375" s="228" t="str">
        <f>IFERROR(__xludf.DUMMYFUNCTION("""COMPUTED_VALUE"""),"Shariq Arif")</f>
        <v>Shariq Arif</v>
      </c>
      <c r="I375" s="228" t="str">
        <f>IFERROR(__xludf.DUMMYFUNCTION("""COMPUTED_VALUE"""),"Probation")</f>
        <v>Probation</v>
      </c>
      <c r="J375" s="228" t="str">
        <f>IFERROR(__xludf.DUMMYFUNCTION("""COMPUTED_VALUE"""),"Active")</f>
        <v>Active</v>
      </c>
      <c r="K375" s="228" t="str">
        <f>IFERROR(__xludf.DUMMYFUNCTION("""COMPUTED_VALUE"""),"3M")</f>
        <v>3M</v>
      </c>
      <c r="L375" s="732">
        <f>IFERROR(__xludf.DUMMYFUNCTION("""COMPUTED_VALUE"""),45538.0)</f>
        <v>45538</v>
      </c>
      <c r="M375" s="228"/>
      <c r="N375" s="228"/>
      <c r="O375" s="228"/>
      <c r="P375" s="228" t="str">
        <f>IFERROR(__xludf.DUMMYFUNCTION("""COMPUTED_VALUE"""),"03335165431")</f>
        <v>03335165431</v>
      </c>
      <c r="Q375" s="228" t="str">
        <f>IFERROR(__xludf.DUMMYFUNCTION("""COMPUTED_VALUE"""),"37405-0493023-7")</f>
        <v>37405-0493023-7</v>
      </c>
      <c r="R375" s="228" t="str">
        <f>IFERROR(__xludf.DUMMYFUNCTION("""COMPUTED_VALUE"""),"Male")</f>
        <v>Male</v>
      </c>
      <c r="S375" s="228" t="str">
        <f>IFERROR(__xludf.DUMMYFUNCTION("""COMPUTED_VALUE"""),"Meezan Bank")</f>
        <v>Meezan Bank</v>
      </c>
      <c r="T375" s="228" t="str">
        <f>IFERROR(__xludf.DUMMYFUNCTION("""COMPUTED_VALUE"""),"Muhammad Musa Chughtai")</f>
        <v>Muhammad Musa Chughtai</v>
      </c>
      <c r="U375" s="228" t="str">
        <f>IFERROR(__xludf.DUMMYFUNCTION("""COMPUTED_VALUE"""),"PK96MEZN0003070108330316")</f>
        <v>PK96MEZN0003070108330316</v>
      </c>
      <c r="V375" s="228" t="str">
        <f>IFERROR(__xludf.DUMMYFUNCTION("""COMPUTED_VALUE"""),"MEZNPKKAGRD")</f>
        <v>MEZNPKKAGRD</v>
      </c>
      <c r="W375" s="228"/>
      <c r="X375" s="228" t="str">
        <f>IFERROR(__xludf.DUMMYFUNCTION("""COMPUTED_VALUE"""),"Islamabad")</f>
        <v>Islamabad</v>
      </c>
      <c r="Y375" s="730">
        <f>IFERROR(__xludf.DUMMYFUNCTION("""COMPUTED_VALUE"""),36907.0)</f>
        <v>36907</v>
      </c>
      <c r="Z375" s="228" t="str">
        <f>IFERROR(__xludf.DUMMYFUNCTION("""COMPUTED_VALUE"""),"24 Years")</f>
        <v>24 Years</v>
      </c>
      <c r="AA375" s="228" t="str">
        <f>IFERROR(__xludf.DUMMYFUNCTION("""COMPUTED_VALUE"""),"H # 57, St 12, Sector E, DHA Phase 1, Islamabad")</f>
        <v>H # 57, St 12, Sector E, DHA Phase 1, Islamabad</v>
      </c>
      <c r="AB375" s="228" t="str">
        <f>IFERROR(__xludf.DUMMYFUNCTION("""COMPUTED_VALUE"""),"Pakistani")</f>
        <v>Pakistani</v>
      </c>
      <c r="AC375" s="228" t="str">
        <f>IFERROR(__xludf.DUMMYFUNCTION("""COMPUTED_VALUE"""),"Single")</f>
        <v>Single</v>
      </c>
      <c r="AD375" s="228"/>
      <c r="AE375" s="228"/>
      <c r="AF375" s="228"/>
      <c r="AG375" s="228" t="str">
        <f>IFERROR(__xludf.DUMMYFUNCTION("""COMPUTED_VALUE"""),"Humaira Imran")</f>
        <v>Humaira Imran</v>
      </c>
      <c r="AH375" s="228" t="str">
        <f>IFERROR(__xludf.DUMMYFUNCTION("""COMPUTED_VALUE"""),"Mother")</f>
        <v>Mother</v>
      </c>
      <c r="AI375" s="228" t="str">
        <f>IFERROR(__xludf.DUMMYFUNCTION("""COMPUTED_VALUE"""),"3345269309")</f>
        <v>3345269309</v>
      </c>
      <c r="AJ375" s="228" t="str">
        <f>IFERROR(__xludf.DUMMYFUNCTION("""COMPUTED_VALUE"""),"AB+")</f>
        <v>AB+</v>
      </c>
      <c r="AK375" s="731" t="str">
        <f>IFERROR(__xludf.DUMMYFUNCTION("""COMPUTED_VALUE"""),"https://www.linkedin.com/in/mmchughtai")</f>
        <v>https://www.linkedin.com/in/mmchughtai</v>
      </c>
      <c r="AL375" s="228"/>
      <c r="AM375" s="228"/>
      <c r="AN375" s="228" t="str">
        <f>IFERROR(__xludf.DUMMYFUNCTION("""COMPUTED_VALUE"""),"Back-End")</f>
        <v>Back-End</v>
      </c>
      <c r="AO375" s="228" t="str">
        <f>IFERROR(__xludf.DUMMYFUNCTION("""COMPUTED_VALUE"""),"backend.team@vyro.ai")</f>
        <v>backend.team@vyro.ai</v>
      </c>
      <c r="AP375" s="228" t="str">
        <f>IFERROR(__xludf.DUMMYFUNCTION("""COMPUTED_VALUE"""),"NO")</f>
        <v>NO</v>
      </c>
      <c r="AQ375" s="228" t="str">
        <f>IFERROR(__xludf.DUMMYFUNCTION("""COMPUTED_VALUE"""),"Resigned/Terminated")</f>
        <v>Resigned/Terminated</v>
      </c>
    </row>
    <row r="376">
      <c r="A376" s="228">
        <f>IFERROR(__xludf.DUMMYFUNCTION("""COMPUTED_VALUE"""),5124.0)</f>
        <v>5124</v>
      </c>
      <c r="B376" s="228" t="str">
        <f>IFERROR(__xludf.DUMMYFUNCTION("""COMPUTED_VALUE"""),"Nabeel Ur Rehman")</f>
        <v>Nabeel Ur Rehman</v>
      </c>
      <c r="C376" s="228" t="str">
        <f>IFERROR(__xludf.DUMMYFUNCTION("""COMPUTED_VALUE"""),"nabeel.rehman2@gmail.com")</f>
        <v>nabeel.rehman2@gmail.com</v>
      </c>
      <c r="D376" s="228" t="str">
        <f>IFERROR(__xludf.DUMMYFUNCTION("""COMPUTED_VALUE"""),"nabeel.rehman@vyro.ai")</f>
        <v>nabeel.rehman@vyro.ai</v>
      </c>
      <c r="E376" s="730">
        <f>IFERROR(__xludf.DUMMYFUNCTION("""COMPUTED_VALUE"""),45048.0)</f>
        <v>45048</v>
      </c>
      <c r="F376" s="228" t="str">
        <f>IFERROR(__xludf.DUMMYFUNCTION("""COMPUTED_VALUE"""),"DevOps Lead (Consultant)")</f>
        <v>DevOps Lead (Consultant)</v>
      </c>
      <c r="G376" s="228" t="str">
        <f>IFERROR(__xludf.DUMMYFUNCTION("""COMPUTED_VALUE"""),"Research &amp; Development")</f>
        <v>Research &amp; Development</v>
      </c>
      <c r="H376" s="228" t="str">
        <f>IFERROR(__xludf.DUMMYFUNCTION("""COMPUTED_VALUE"""),"M. Abdullah Rafique, CTO")</f>
        <v>M. Abdullah Rafique, CTO</v>
      </c>
      <c r="I376" s="228" t="str">
        <f>IFERROR(__xludf.DUMMYFUNCTION("""COMPUTED_VALUE"""),"Permanent")</f>
        <v>Permanent</v>
      </c>
      <c r="J376" s="228" t="str">
        <f>IFERROR(__xludf.DUMMYFUNCTION("""COMPUTED_VALUE"""),"Active")</f>
        <v>Active</v>
      </c>
      <c r="K376" s="228" t="str">
        <f>IFERROR(__xludf.DUMMYFUNCTION("""COMPUTED_VALUE"""),"3M")</f>
        <v>3M</v>
      </c>
      <c r="L376" s="732">
        <f>IFERROR(__xludf.DUMMYFUNCTION("""COMPUTED_VALUE"""),45140.0)</f>
        <v>45140</v>
      </c>
      <c r="M376" s="228"/>
      <c r="N376" s="228"/>
      <c r="O376" s="228"/>
      <c r="P376" s="228" t="str">
        <f>IFERROR(__xludf.DUMMYFUNCTION("""COMPUTED_VALUE"""),"3311354556")</f>
        <v>3311354556</v>
      </c>
      <c r="Q376" s="228" t="str">
        <f>IFERROR(__xludf.DUMMYFUNCTION("""COMPUTED_VALUE"""),"42101-5528376-5")</f>
        <v>42101-5528376-5</v>
      </c>
      <c r="R376" s="228" t="str">
        <f>IFERROR(__xludf.DUMMYFUNCTION("""COMPUTED_VALUE"""),"Male")</f>
        <v>Male</v>
      </c>
      <c r="S376" s="228" t="str">
        <f>IFERROR(__xludf.DUMMYFUNCTION("""COMPUTED_VALUE"""),"Meezan")</f>
        <v>Meezan</v>
      </c>
      <c r="T376" s="228"/>
      <c r="U376" s="228" t="str">
        <f>IFERROR(__xludf.DUMMYFUNCTION("""COMPUTED_VALUE"""),"PK52MEZN0001980102500832")</f>
        <v>PK52MEZN0001980102500832</v>
      </c>
      <c r="V376" s="228" t="str">
        <f>IFERROR(__xludf.DUMMYFUNCTION("""COMPUTED_VALUE"""),"MEZNPKKA")</f>
        <v>MEZNPKKA</v>
      </c>
      <c r="W376" s="228"/>
      <c r="X376" s="228" t="str">
        <f>IFERROR(__xludf.DUMMYFUNCTION("""COMPUTED_VALUE"""),"Islamabad")</f>
        <v>Islamabad</v>
      </c>
      <c r="Y376" s="730">
        <f>IFERROR(__xludf.DUMMYFUNCTION("""COMPUTED_VALUE"""),31263.0)</f>
        <v>31263</v>
      </c>
      <c r="Z376" s="228" t="str">
        <f>IFERROR(__xludf.DUMMYFUNCTION("""COMPUTED_VALUE"""),"39 Years")</f>
        <v>39 Years</v>
      </c>
      <c r="AA376" s="228"/>
      <c r="AB376" s="228" t="str">
        <f>IFERROR(__xludf.DUMMYFUNCTION("""COMPUTED_VALUE"""),"Pakistani")</f>
        <v>Pakistani</v>
      </c>
      <c r="AC376" s="228" t="str">
        <f>IFERROR(__xludf.DUMMYFUNCTION("""COMPUTED_VALUE"""),"Married")</f>
        <v>Married</v>
      </c>
      <c r="AD376" s="228"/>
      <c r="AE376" s="228"/>
      <c r="AF376" s="228"/>
      <c r="AG376" s="228" t="str">
        <f>IFERROR(__xludf.DUMMYFUNCTION("""COMPUTED_VALUE"""),"Aziz ur Rehman")</f>
        <v>Aziz ur Rehman</v>
      </c>
      <c r="AH376" s="228" t="str">
        <f>IFERROR(__xludf.DUMMYFUNCTION("""COMPUTED_VALUE"""),"Father")</f>
        <v>Father</v>
      </c>
      <c r="AI376" s="228" t="str">
        <f>IFERROR(__xludf.DUMMYFUNCTION("""COMPUTED_VALUE"""),"3343396131")</f>
        <v>3343396131</v>
      </c>
      <c r="AJ376" s="228"/>
      <c r="AK376" s="228"/>
      <c r="AL376" s="228"/>
      <c r="AM376" s="730">
        <f>IFERROR(__xludf.DUMMYFUNCTION("""COMPUTED_VALUE"""),45576.0)</f>
        <v>45576</v>
      </c>
      <c r="AN376" s="228" t="str">
        <f>IFERROR(__xludf.DUMMYFUNCTION("""COMPUTED_VALUE"""),"DevOps, Imagine Alerts")</f>
        <v>DevOps, Imagine Alerts</v>
      </c>
      <c r="AO376" s="228" t="str">
        <f>IFERROR(__xludf.DUMMYFUNCTION("""COMPUTED_VALUE"""),"devops.team@vyro.ai, imagine-alerts@vyro.ai")</f>
        <v>devops.team@vyro.ai, imagine-alerts@vyro.ai</v>
      </c>
      <c r="AP376" s="228" t="str">
        <f>IFERROR(__xludf.DUMMYFUNCTION("""COMPUTED_VALUE"""),"NO")</f>
        <v>NO</v>
      </c>
      <c r="AQ376" s="228" t="str">
        <f>IFERROR(__xludf.DUMMYFUNCTION("""COMPUTED_VALUE"""),"Resigned/Terminated")</f>
        <v>Resigned/Terminated</v>
      </c>
    </row>
    <row r="377">
      <c r="A377" s="228">
        <f>IFERROR(__xludf.DUMMYFUNCTION("""COMPUTED_VALUE"""),5240.0)</f>
        <v>5240</v>
      </c>
      <c r="B377" s="228" t="str">
        <f>IFERROR(__xludf.DUMMYFUNCTION("""COMPUTED_VALUE"""),"Shahek Raza")</f>
        <v>Shahek Raza</v>
      </c>
      <c r="C377" s="228" t="str">
        <f>IFERROR(__xludf.DUMMYFUNCTION("""COMPUTED_VALUE"""),"shahek77raza@gmail.com")</f>
        <v>shahek77raza@gmail.com</v>
      </c>
      <c r="D377" s="228" t="str">
        <f>IFERROR(__xludf.DUMMYFUNCTION("""COMPUTED_VALUE"""),"shehak.raza@vyro.ai")</f>
        <v>shehak.raza@vyro.ai</v>
      </c>
      <c r="E377" s="730">
        <f>IFERROR(__xludf.DUMMYFUNCTION("""COMPUTED_VALUE"""),45362.0)</f>
        <v>45362</v>
      </c>
      <c r="F377" s="228" t="str">
        <f>IFERROR(__xludf.DUMMYFUNCTION("""COMPUTED_VALUE"""),"Senior Growth Executive")</f>
        <v>Senior Growth Executive</v>
      </c>
      <c r="G377" s="228" t="str">
        <f>IFERROR(__xludf.DUMMYFUNCTION("""COMPUTED_VALUE"""),"Growth and Marketing")</f>
        <v>Growth and Marketing</v>
      </c>
      <c r="H377" s="228" t="str">
        <f>IFERROR(__xludf.DUMMYFUNCTION("""COMPUTED_VALUE"""),"Ahmed Abubakar, CEO")</f>
        <v>Ahmed Abubakar, CEO</v>
      </c>
      <c r="I377" s="228" t="str">
        <f>IFERROR(__xludf.DUMMYFUNCTION("""COMPUTED_VALUE"""),"Permanent")</f>
        <v>Permanent</v>
      </c>
      <c r="J377" s="228" t="str">
        <f>IFERROR(__xludf.DUMMYFUNCTION("""COMPUTED_VALUE"""),"Active")</f>
        <v>Active</v>
      </c>
      <c r="K377" s="228" t="str">
        <f>IFERROR(__xludf.DUMMYFUNCTION("""COMPUTED_VALUE"""),"3M")</f>
        <v>3M</v>
      </c>
      <c r="L377" s="732">
        <f>IFERROR(__xludf.DUMMYFUNCTION("""COMPUTED_VALUE"""),45454.0)</f>
        <v>45454</v>
      </c>
      <c r="M377" s="228"/>
      <c r="N377" s="228"/>
      <c r="O377" s="228"/>
      <c r="P377" s="228" t="str">
        <f>IFERROR(__xludf.DUMMYFUNCTION("""COMPUTED_VALUE"""),"3333069510")</f>
        <v>3333069510</v>
      </c>
      <c r="Q377" s="228" t="str">
        <f>IFERROR(__xludf.DUMMYFUNCTION("""COMPUTED_VALUE"""),"42301-9085890-9")</f>
        <v>42301-9085890-9</v>
      </c>
      <c r="R377" s="228" t="str">
        <f>IFERROR(__xludf.DUMMYFUNCTION("""COMPUTED_VALUE"""),"Male")</f>
        <v>Male</v>
      </c>
      <c r="S377" s="228" t="str">
        <f>IFERROR(__xludf.DUMMYFUNCTION("""COMPUTED_VALUE"""),"Citibank, US")</f>
        <v>Citibank, US</v>
      </c>
      <c r="T377" s="228" t="str">
        <f>IFERROR(__xludf.DUMMYFUNCTION("""COMPUTED_VALUE"""),"Shehak Raza")</f>
        <v>Shehak Raza</v>
      </c>
      <c r="U377" s="228" t="str">
        <f>IFERROR(__xludf.DUMMYFUNCTION("""COMPUTED_VALUE"""),"70586650000986822")</f>
        <v>70586650000986822</v>
      </c>
      <c r="V377" s="228" t="str">
        <f>IFERROR(__xludf.DUMMYFUNCTION("""COMPUTED_VALUE"""),"CITIUS33")</f>
        <v>CITIUS33</v>
      </c>
      <c r="W377" s="228" t="str">
        <f>IFERROR(__xludf.DUMMYFUNCTION("""COMPUTED_VALUE"""),"031100209")</f>
        <v>031100209</v>
      </c>
      <c r="X377" s="228" t="str">
        <f>IFERROR(__xludf.DUMMYFUNCTION("""COMPUTED_VALUE"""),"Islamabad")</f>
        <v>Islamabad</v>
      </c>
      <c r="Y377" s="730">
        <f>IFERROR(__xludf.DUMMYFUNCTION("""COMPUTED_VALUE"""),35759.0)</f>
        <v>35759</v>
      </c>
      <c r="Z377" s="228" t="str">
        <f>IFERROR(__xludf.DUMMYFUNCTION("""COMPUTED_VALUE"""),"27 Years")</f>
        <v>27 Years</v>
      </c>
      <c r="AA377" s="228" t="str">
        <f>IFERROR(__xludf.DUMMYFUNCTION("""COMPUTED_VALUE"""),"Mehl-e-Mashad - Penthouse # 2 - Opposite Bhojani Hall, near Nishtar Park, Karachi, Pakistan")</f>
        <v>Mehl-e-Mashad - Penthouse # 2 - Opposite Bhojani Hall, near Nishtar Park, Karachi, Pakistan</v>
      </c>
      <c r="AB377" s="228" t="str">
        <f>IFERROR(__xludf.DUMMYFUNCTION("""COMPUTED_VALUE"""),"Pakistani")</f>
        <v>Pakistani</v>
      </c>
      <c r="AC377" s="228" t="str">
        <f>IFERROR(__xludf.DUMMYFUNCTION("""COMPUTED_VALUE"""),"Married")</f>
        <v>Married</v>
      </c>
      <c r="AD377" s="228"/>
      <c r="AE377" s="228"/>
      <c r="AF377" s="228"/>
      <c r="AG377" s="228" t="str">
        <f>IFERROR(__xludf.DUMMYFUNCTION("""COMPUTED_VALUE"""),"Ghulam Abbas")</f>
        <v>Ghulam Abbas</v>
      </c>
      <c r="AH377" s="228" t="str">
        <f>IFERROR(__xludf.DUMMYFUNCTION("""COMPUTED_VALUE"""),"Elder Brother")</f>
        <v>Elder Brother</v>
      </c>
      <c r="AI377" s="228" t="str">
        <f>IFERROR(__xludf.DUMMYFUNCTION("""COMPUTED_VALUE"""),"03072489886")</f>
        <v>03072489886</v>
      </c>
      <c r="AJ377" s="228" t="str">
        <f>IFERROR(__xludf.DUMMYFUNCTION("""COMPUTED_VALUE"""),"AB+")</f>
        <v>AB+</v>
      </c>
      <c r="AK377" s="731" t="str">
        <f>IFERROR(__xludf.DUMMYFUNCTION("""COMPUTED_VALUE"""),"https://www.linkedin.com/in/shahek-raza-195065164/")</f>
        <v>https://www.linkedin.com/in/shahek-raza-195065164/</v>
      </c>
      <c r="AL377" s="228"/>
      <c r="AM377" s="228"/>
      <c r="AN377" s="228" t="str">
        <f>IFERROR(__xludf.DUMMYFUNCTION("""COMPUTED_VALUE"""),"Affiliates, Search Engine Optimization")</f>
        <v>Affiliates, Search Engine Optimization</v>
      </c>
      <c r="AO377" s="228" t="str">
        <f>IFERROR(__xludf.DUMMYFUNCTION("""COMPUTED_VALUE"""),"affiliates.team@vyro.ai, seo.team@vyro.ai")</f>
        <v>affiliates.team@vyro.ai, seo.team@vyro.ai</v>
      </c>
      <c r="AP377" s="228" t="str">
        <f>IFERROR(__xludf.DUMMYFUNCTION("""COMPUTED_VALUE"""),"NO")</f>
        <v>NO</v>
      </c>
      <c r="AQ377" s="228" t="str">
        <f>IFERROR(__xludf.DUMMYFUNCTION("""COMPUTED_VALUE"""),"Resigned/Terminated")</f>
        <v>Resigned/Terminated</v>
      </c>
    </row>
    <row r="378">
      <c r="A378" s="228">
        <f>IFERROR(__xludf.DUMMYFUNCTION("""COMPUTED_VALUE"""),5183.0)</f>
        <v>5183</v>
      </c>
      <c r="B378" s="228" t="str">
        <f>IFERROR(__xludf.DUMMYFUNCTION("""COMPUTED_VALUE"""),"Omeir Ahmed")</f>
        <v>Omeir Ahmed</v>
      </c>
      <c r="C378" s="228" t="str">
        <f>IFERROR(__xludf.DUMMYFUNCTION("""COMPUTED_VALUE"""),"omair_315@yahoo.com")</f>
        <v>omair_315@yahoo.com</v>
      </c>
      <c r="D378" s="228" t="str">
        <f>IFERROR(__xludf.DUMMYFUNCTION("""COMPUTED_VALUE"""),"omair.ahmed@vyro.ai")</f>
        <v>omair.ahmed@vyro.ai</v>
      </c>
      <c r="E378" s="730">
        <f>IFERROR(__xludf.DUMMYFUNCTION("""COMPUTED_VALUE"""),45194.0)</f>
        <v>45194</v>
      </c>
      <c r="F378" s="228" t="str">
        <f>IFERROR(__xludf.DUMMYFUNCTION("""COMPUTED_VALUE"""),"Senior iOS Engineer")</f>
        <v>Senior iOS Engineer</v>
      </c>
      <c r="G378" s="228" t="str">
        <f>IFERROR(__xludf.DUMMYFUNCTION("""COMPUTED_VALUE"""),"Mobile Engineering")</f>
        <v>Mobile Engineering</v>
      </c>
      <c r="H378" s="228" t="str">
        <f>IFERROR(__xludf.DUMMYFUNCTION("""COMPUTED_VALUE"""),"Muhammad Wajahat Sohail")</f>
        <v>Muhammad Wajahat Sohail</v>
      </c>
      <c r="I378" s="228" t="str">
        <f>IFERROR(__xludf.DUMMYFUNCTION("""COMPUTED_VALUE"""),"Permanent")</f>
        <v>Permanent</v>
      </c>
      <c r="J378" s="228" t="str">
        <f>IFERROR(__xludf.DUMMYFUNCTION("""COMPUTED_VALUE"""),"Active")</f>
        <v>Active</v>
      </c>
      <c r="K378" s="228" t="str">
        <f>IFERROR(__xludf.DUMMYFUNCTION("""COMPUTED_VALUE"""),"3M")</f>
        <v>3M</v>
      </c>
      <c r="L378" s="732">
        <f>IFERROR(__xludf.DUMMYFUNCTION("""COMPUTED_VALUE"""),45285.0)</f>
        <v>45285</v>
      </c>
      <c r="M378" s="228"/>
      <c r="N378" s="228"/>
      <c r="O378" s="228"/>
      <c r="P378" s="228" t="str">
        <f>IFERROR(__xludf.DUMMYFUNCTION("""COMPUTED_VALUE"""),"03368923472")</f>
        <v>03368923472</v>
      </c>
      <c r="Q378" s="228" t="str">
        <f>IFERROR(__xludf.DUMMYFUNCTION("""COMPUTED_VALUE"""),"42201-7722571-7")</f>
        <v>42201-7722571-7</v>
      </c>
      <c r="R378" s="228" t="str">
        <f>IFERROR(__xludf.DUMMYFUNCTION("""COMPUTED_VALUE"""),"Male")</f>
        <v>Male</v>
      </c>
      <c r="S378" s="228" t="str">
        <f>IFERROR(__xludf.DUMMYFUNCTION("""COMPUTED_VALUE"""),"Meezan Bank Ltd.")</f>
        <v>Meezan Bank Ltd.</v>
      </c>
      <c r="T378" s="228" t="str">
        <f>IFERROR(__xludf.DUMMYFUNCTION("""COMPUTED_VALUE"""),"OMEIR AHMED KHAN")</f>
        <v>OMEIR AHMED KHAN</v>
      </c>
      <c r="U378" s="228" t="str">
        <f>IFERROR(__xludf.DUMMYFUNCTION("""COMPUTED_VALUE"""),"PK90MEZN0001200103615978")</f>
        <v>PK90MEZN0001200103615978</v>
      </c>
      <c r="V378" s="228" t="str">
        <f>IFERROR(__xludf.DUMMYFUNCTION("""COMPUTED_VALUE"""),"MEZNPKKA")</f>
        <v>MEZNPKKA</v>
      </c>
      <c r="W378" s="228"/>
      <c r="X378" s="228" t="str">
        <f>IFERROR(__xludf.DUMMYFUNCTION("""COMPUTED_VALUE"""),"Remote")</f>
        <v>Remote</v>
      </c>
      <c r="Y378" s="730">
        <f>IFERROR(__xludf.DUMMYFUNCTION("""COMPUTED_VALUE"""),35216.0)</f>
        <v>35216</v>
      </c>
      <c r="Z378" s="228" t="str">
        <f>IFERROR(__xludf.DUMMYFUNCTION("""COMPUTED_VALUE"""),"29 Years")</f>
        <v>29 Years</v>
      </c>
      <c r="AA378" s="228" t="str">
        <f>IFERROR(__xludf.DUMMYFUNCTION("""COMPUTED_VALUE"""),"A-138, Gulistan-e-Johar, Block-14, Karachi")</f>
        <v>A-138, Gulistan-e-Johar, Block-14, Karachi</v>
      </c>
      <c r="AB378" s="228" t="str">
        <f>IFERROR(__xludf.DUMMYFUNCTION("""COMPUTED_VALUE"""),"Pakistani")</f>
        <v>Pakistani</v>
      </c>
      <c r="AC378" s="228" t="str">
        <f>IFERROR(__xludf.DUMMYFUNCTION("""COMPUTED_VALUE"""),"Single")</f>
        <v>Single</v>
      </c>
      <c r="AD378" s="228"/>
      <c r="AE378" s="228"/>
      <c r="AF378" s="228"/>
      <c r="AG378" s="228" t="str">
        <f>IFERROR(__xludf.DUMMYFUNCTION("""COMPUTED_VALUE"""),"Nasir Ahmed Khan")</f>
        <v>Nasir Ahmed Khan</v>
      </c>
      <c r="AH378" s="228" t="str">
        <f>IFERROR(__xludf.DUMMYFUNCTION("""COMPUTED_VALUE"""),"Brother")</f>
        <v>Brother</v>
      </c>
      <c r="AI378" s="228" t="str">
        <f>IFERROR(__xludf.DUMMYFUNCTION("""COMPUTED_VALUE"""),"03325128494")</f>
        <v>03325128494</v>
      </c>
      <c r="AJ378" s="228" t="str">
        <f>IFERROR(__xludf.DUMMYFUNCTION("""COMPUTED_VALUE"""),"B+")</f>
        <v>B+</v>
      </c>
      <c r="AK378" s="731" t="str">
        <f>IFERROR(__xludf.DUMMYFUNCTION("""COMPUTED_VALUE"""),"https://www.linkedin.com/in/omeir-ahmed-91150916a/")</f>
        <v>https://www.linkedin.com/in/omeir-ahmed-91150916a/</v>
      </c>
      <c r="AL378" s="228"/>
      <c r="AM378" s="228"/>
      <c r="AN378" s="228" t="str">
        <f>IFERROR(__xludf.DUMMYFUNCTION("""COMPUTED_VALUE"""),"iOS Dev")</f>
        <v>iOS Dev</v>
      </c>
      <c r="AO378" s="228" t="str">
        <f>IFERROR(__xludf.DUMMYFUNCTION("""COMPUTED_VALUE"""),"ios.dev.team@vyro.ai")</f>
        <v>ios.dev.team@vyro.ai</v>
      </c>
      <c r="AP378" s="228" t="str">
        <f>IFERROR(__xludf.DUMMYFUNCTION("""COMPUTED_VALUE"""),"NO")</f>
        <v>NO</v>
      </c>
      <c r="AQ378" s="228" t="str">
        <f>IFERROR(__xludf.DUMMYFUNCTION("""COMPUTED_VALUE"""),"Resigned/Terminated")</f>
        <v>Resigned/Terminated</v>
      </c>
    </row>
    <row r="379">
      <c r="A379" s="228">
        <f>IFERROR(__xludf.DUMMYFUNCTION("""COMPUTED_VALUE"""),5231.0)</f>
        <v>5231</v>
      </c>
      <c r="B379" s="228" t="str">
        <f>IFERROR(__xludf.DUMMYFUNCTION("""COMPUTED_VALUE"""),"Tauqeer Ahmed")</f>
        <v>Tauqeer Ahmed</v>
      </c>
      <c r="C379" s="228" t="str">
        <f>IFERROR(__xludf.DUMMYFUNCTION("""COMPUTED_VALUE"""),"chishty.tauqeer@gmail.com")</f>
        <v>chishty.tauqeer@gmail.com</v>
      </c>
      <c r="D379" s="228" t="str">
        <f>IFERROR(__xludf.DUMMYFUNCTION("""COMPUTED_VALUE"""),"tauqeer.ahmad@vyro.ai")</f>
        <v>tauqeer.ahmad@vyro.ai</v>
      </c>
      <c r="E379" s="730">
        <f>IFERROR(__xludf.DUMMYFUNCTION("""COMPUTED_VALUE"""),45348.0)</f>
        <v>45348</v>
      </c>
      <c r="F379" s="228" t="str">
        <f>IFERROR(__xludf.DUMMYFUNCTION("""COMPUTED_VALUE"""),"Software Engineer I")</f>
        <v>Software Engineer I</v>
      </c>
      <c r="G379" s="228" t="str">
        <f>IFERROR(__xludf.DUMMYFUNCTION("""COMPUTED_VALUE"""),"Mobile Engineering")</f>
        <v>Mobile Engineering</v>
      </c>
      <c r="H379" s="228" t="str">
        <f>IFERROR(__xludf.DUMMYFUNCTION("""COMPUTED_VALUE"""),"Saad Aziz")</f>
        <v>Saad Aziz</v>
      </c>
      <c r="I379" s="228" t="str">
        <f>IFERROR(__xludf.DUMMYFUNCTION("""COMPUTED_VALUE"""),"Permanent")</f>
        <v>Permanent</v>
      </c>
      <c r="J379" s="228" t="str">
        <f>IFERROR(__xludf.DUMMYFUNCTION("""COMPUTED_VALUE"""),"Active")</f>
        <v>Active</v>
      </c>
      <c r="K379" s="228" t="str">
        <f>IFERROR(__xludf.DUMMYFUNCTION("""COMPUTED_VALUE"""),"3M")</f>
        <v>3M</v>
      </c>
      <c r="L379" s="732">
        <f>IFERROR(__xludf.DUMMYFUNCTION("""COMPUTED_VALUE"""),45438.0)</f>
        <v>45438</v>
      </c>
      <c r="M379" s="228"/>
      <c r="N379" s="228"/>
      <c r="O379" s="228"/>
      <c r="P379" s="228" t="str">
        <f>IFERROR(__xludf.DUMMYFUNCTION("""COMPUTED_VALUE"""),"3474897724")</f>
        <v>3474897724</v>
      </c>
      <c r="Q379" s="228" t="str">
        <f>IFERROR(__xludf.DUMMYFUNCTION("""COMPUTED_VALUE"""),"35201-5043196-1")</f>
        <v>35201-5043196-1</v>
      </c>
      <c r="R379" s="228" t="str">
        <f>IFERROR(__xludf.DUMMYFUNCTION("""COMPUTED_VALUE"""),"Male")</f>
        <v>Male</v>
      </c>
      <c r="S379" s="228" t="str">
        <f>IFERROR(__xludf.DUMMYFUNCTION("""COMPUTED_VALUE"""),"United Bank Limited")</f>
        <v>United Bank Limited</v>
      </c>
      <c r="T379" s="228" t="str">
        <f>IFERROR(__xludf.DUMMYFUNCTION("""COMPUTED_VALUE"""),"Tauqeer Ahmad")</f>
        <v>Tauqeer Ahmad</v>
      </c>
      <c r="U379" s="228" t="str">
        <f>IFERROR(__xludf.DUMMYFUNCTION("""COMPUTED_VALUE"""),"PK35UNIL0109000284511926")</f>
        <v>PK35UNIL0109000284511926</v>
      </c>
      <c r="V379" s="228" t="str">
        <f>IFERROR(__xludf.DUMMYFUNCTION("""COMPUTED_VALUE"""),"UNILPKKA028")</f>
        <v>UNILPKKA028</v>
      </c>
      <c r="W379" s="228"/>
      <c r="X379" s="228" t="str">
        <f>IFERROR(__xludf.DUMMYFUNCTION("""COMPUTED_VALUE"""),"Lahore")</f>
        <v>Lahore</v>
      </c>
      <c r="Y379" s="730">
        <f>IFERROR(__xludf.DUMMYFUNCTION("""COMPUTED_VALUE"""),35697.0)</f>
        <v>35697</v>
      </c>
      <c r="Z379" s="228" t="str">
        <f>IFERROR(__xludf.DUMMYFUNCTION("""COMPUTED_VALUE"""),"27 Years")</f>
        <v>27 Years</v>
      </c>
      <c r="AA379" s="228" t="str">
        <f>IFERROR(__xludf.DUMMYFUNCTION("""COMPUTED_VALUE"""),"H#207, R Block, Model Town, Lahore")</f>
        <v>H#207, R Block, Model Town, Lahore</v>
      </c>
      <c r="AB379" s="228" t="str">
        <f>IFERROR(__xludf.DUMMYFUNCTION("""COMPUTED_VALUE"""),"Pakistani")</f>
        <v>Pakistani</v>
      </c>
      <c r="AC379" s="228" t="str">
        <f>IFERROR(__xludf.DUMMYFUNCTION("""COMPUTED_VALUE"""),"Single")</f>
        <v>Single</v>
      </c>
      <c r="AD379" s="228"/>
      <c r="AE379" s="228"/>
      <c r="AF379" s="228"/>
      <c r="AG379" s="228" t="str">
        <f>IFERROR(__xludf.DUMMYFUNCTION("""COMPUTED_VALUE"""),"Muhammad Afzal")</f>
        <v>Muhammad Afzal</v>
      </c>
      <c r="AH379" s="228" t="str">
        <f>IFERROR(__xludf.DUMMYFUNCTION("""COMPUTED_VALUE"""),"Father")</f>
        <v>Father</v>
      </c>
      <c r="AI379" s="228" t="str">
        <f>IFERROR(__xludf.DUMMYFUNCTION("""COMPUTED_VALUE"""),"03464891029")</f>
        <v>03464891029</v>
      </c>
      <c r="AJ379" s="228" t="str">
        <f>IFERROR(__xludf.DUMMYFUNCTION("""COMPUTED_VALUE"""),"B+")</f>
        <v>B+</v>
      </c>
      <c r="AK379" s="731" t="str">
        <f>IFERROR(__xludf.DUMMYFUNCTION("""COMPUTED_VALUE"""),"https://www.linkedin.com/in/ahmedtauqeer16")</f>
        <v>https://www.linkedin.com/in/ahmedtauqeer16</v>
      </c>
      <c r="AL379" s="228"/>
      <c r="AM379" s="730">
        <f>IFERROR(__xludf.DUMMYFUNCTION("""COMPUTED_VALUE"""),45568.0)</f>
        <v>45568</v>
      </c>
      <c r="AN379" s="228" t="str">
        <f>IFERROR(__xludf.DUMMYFUNCTION("""COMPUTED_VALUE"""),"Android")</f>
        <v>Android</v>
      </c>
      <c r="AO379" s="228" t="str">
        <f>IFERROR(__xludf.DUMMYFUNCTION("""COMPUTED_VALUE"""),"android.team@vyro.ai")</f>
        <v>android.team@vyro.ai</v>
      </c>
      <c r="AP379" s="228" t="str">
        <f>IFERROR(__xludf.DUMMYFUNCTION("""COMPUTED_VALUE"""),"NO")</f>
        <v>NO</v>
      </c>
      <c r="AQ379" s="228" t="str">
        <f>IFERROR(__xludf.DUMMYFUNCTION("""COMPUTED_VALUE"""),"Resigned/Terminated")</f>
        <v>Resigned/Terminated</v>
      </c>
    </row>
    <row r="380">
      <c r="A380" s="228">
        <f>IFERROR(__xludf.DUMMYFUNCTION("""COMPUTED_VALUE"""),5089.0)</f>
        <v>5089</v>
      </c>
      <c r="B380" s="228" t="str">
        <f>IFERROR(__xludf.DUMMYFUNCTION("""COMPUTED_VALUE"""),"Muhammad Hassan Shakeel")</f>
        <v>Muhammad Hassan Shakeel</v>
      </c>
      <c r="C380" s="228" t="str">
        <f>IFERROR(__xludf.DUMMYFUNCTION("""COMPUTED_VALUE"""),"haxsanshakeel@gmail.com")</f>
        <v>haxsanshakeel@gmail.com</v>
      </c>
      <c r="D380" s="228" t="str">
        <f>IFERROR(__xludf.DUMMYFUNCTION("""COMPUTED_VALUE"""),"hassan.shakeel@vyro.ai")</f>
        <v>hassan.shakeel@vyro.ai</v>
      </c>
      <c r="E380" s="730">
        <f>IFERROR(__xludf.DUMMYFUNCTION("""COMPUTED_VALUE"""),44915.0)</f>
        <v>44915</v>
      </c>
      <c r="F380" s="228" t="str">
        <f>IFERROR(__xludf.DUMMYFUNCTION("""COMPUTED_VALUE"""),"Interim Creative Team Lead")</f>
        <v>Interim Creative Team Lead</v>
      </c>
      <c r="G380" s="228" t="str">
        <f>IFERROR(__xludf.DUMMYFUNCTION("""COMPUTED_VALUE"""),"Creatives")</f>
        <v>Creatives</v>
      </c>
      <c r="H380" s="228" t="str">
        <f>IFERROR(__xludf.DUMMYFUNCTION("""COMPUTED_VALUE"""),"Zain ul Abideen")</f>
        <v>Zain ul Abideen</v>
      </c>
      <c r="I380" s="228" t="str">
        <f>IFERROR(__xludf.DUMMYFUNCTION("""COMPUTED_VALUE"""),"Permanent")</f>
        <v>Permanent</v>
      </c>
      <c r="J380" s="228" t="str">
        <f>IFERROR(__xludf.DUMMYFUNCTION("""COMPUTED_VALUE"""),"Active")</f>
        <v>Active</v>
      </c>
      <c r="K380" s="228" t="str">
        <f>IFERROR(__xludf.DUMMYFUNCTION("""COMPUTED_VALUE"""),"3M")</f>
        <v>3M</v>
      </c>
      <c r="L380" s="732">
        <f>IFERROR(__xludf.DUMMYFUNCTION("""COMPUTED_VALUE"""),45005.0)</f>
        <v>45005</v>
      </c>
      <c r="M380" s="228"/>
      <c r="N380" s="228"/>
      <c r="O380" s="228"/>
      <c r="P380" s="228" t="str">
        <f>IFERROR(__xludf.DUMMYFUNCTION("""COMPUTED_VALUE"""),"03156629395")</f>
        <v>03156629395</v>
      </c>
      <c r="Q380" s="228" t="str">
        <f>IFERROR(__xludf.DUMMYFUNCTION("""COMPUTED_VALUE"""),"35402-2593513-5")</f>
        <v>35402-2593513-5</v>
      </c>
      <c r="R380" s="228" t="str">
        <f>IFERROR(__xludf.DUMMYFUNCTION("""COMPUTED_VALUE"""),"Male")</f>
        <v>Male</v>
      </c>
      <c r="S380" s="228" t="str">
        <f>IFERROR(__xludf.DUMMYFUNCTION("""COMPUTED_VALUE"""),"Meezan")</f>
        <v>Meezan</v>
      </c>
      <c r="T380" s="228" t="str">
        <f>IFERROR(__xludf.DUMMYFUNCTION("""COMPUTED_VALUE"""),"MUHAMMAD HASSAN")</f>
        <v>MUHAMMAD HASSAN</v>
      </c>
      <c r="U380" s="228" t="str">
        <f>IFERROR(__xludf.DUMMYFUNCTION("""COMPUTED_VALUE"""),"PK03MEZN0003350107305716")</f>
        <v>PK03MEZN0003350107305716</v>
      </c>
      <c r="V380" s="228"/>
      <c r="W380" s="228"/>
      <c r="X380" s="228" t="str">
        <f>IFERROR(__xludf.DUMMYFUNCTION("""COMPUTED_VALUE"""),"Islamabad")</f>
        <v>Islamabad</v>
      </c>
      <c r="Y380" s="730">
        <f>IFERROR(__xludf.DUMMYFUNCTION("""COMPUTED_VALUE"""),36794.0)</f>
        <v>36794</v>
      </c>
      <c r="Z380" s="228" t="str">
        <f>IFERROR(__xludf.DUMMYFUNCTION("""COMPUTED_VALUE"""),"24 Years")</f>
        <v>24 Years</v>
      </c>
      <c r="AA380" s="228" t="str">
        <f>IFERROR(__xludf.DUMMYFUNCTION("""COMPUTED_VALUE"""),"Apartment # 1010, Landmark III, H-13")</f>
        <v>Apartment # 1010, Landmark III, H-13</v>
      </c>
      <c r="AB380" s="228" t="str">
        <f>IFERROR(__xludf.DUMMYFUNCTION("""COMPUTED_VALUE"""),"Pakistani")</f>
        <v>Pakistani</v>
      </c>
      <c r="AC380" s="228" t="str">
        <f>IFERROR(__xludf.DUMMYFUNCTION("""COMPUTED_VALUE"""),"Single")</f>
        <v>Single</v>
      </c>
      <c r="AD380" s="228"/>
      <c r="AE380" s="228"/>
      <c r="AF380" s="228"/>
      <c r="AG380" s="228" t="str">
        <f>IFERROR(__xludf.DUMMYFUNCTION("""COMPUTED_VALUE"""),"Shakeel Ahmad")</f>
        <v>Shakeel Ahmad</v>
      </c>
      <c r="AH380" s="228" t="str">
        <f>IFERROR(__xludf.DUMMYFUNCTION("""COMPUTED_VALUE"""),"Father")</f>
        <v>Father</v>
      </c>
      <c r="AI380" s="228" t="str">
        <f>IFERROR(__xludf.DUMMYFUNCTION("""COMPUTED_VALUE"""),"3334530665")</f>
        <v>3334530665</v>
      </c>
      <c r="AJ380" s="228" t="str">
        <f>IFERROR(__xludf.DUMMYFUNCTION("""COMPUTED_VALUE"""),"B+")</f>
        <v>B+</v>
      </c>
      <c r="AK380" s="228" t="str">
        <f>IFERROR(__xludf.DUMMYFUNCTION("""COMPUTED_VALUE"""),"(50) Muhammad Hassan | LinkedIn")</f>
        <v>(50) Muhammad Hassan | LinkedIn</v>
      </c>
      <c r="AL380" s="228"/>
      <c r="AM380" s="228"/>
      <c r="AN380" s="228" t="str">
        <f>IFERROR(__xludf.DUMMYFUNCTION("""COMPUTED_VALUE"""),"branding.team@vyro.ai")</f>
        <v>branding.team@vyro.ai</v>
      </c>
      <c r="AO380" s="228"/>
      <c r="AP380" s="228" t="str">
        <f>IFERROR(__xludf.DUMMYFUNCTION("""COMPUTED_VALUE"""),"NO")</f>
        <v>NO</v>
      </c>
      <c r="AQ380" s="228" t="str">
        <f>IFERROR(__xludf.DUMMYFUNCTION("""COMPUTED_VALUE"""),"Resigned/Terminated")</f>
        <v>Resigned/Terminated</v>
      </c>
    </row>
    <row r="381">
      <c r="A381" s="228">
        <f>IFERROR(__xludf.DUMMYFUNCTION("""COMPUTED_VALUE"""),5323.0)</f>
        <v>5323</v>
      </c>
      <c r="B381" s="228" t="str">
        <f>IFERROR(__xludf.DUMMYFUNCTION("""COMPUTED_VALUE"""),"Muhammad Usman")</f>
        <v>Muhammad Usman</v>
      </c>
      <c r="C381" s="228" t="str">
        <f>IFERROR(__xludf.DUMMYFUNCTION("""COMPUTED_VALUE"""),"muhammadusman.ceme@gmail.com")</f>
        <v>muhammadusman.ceme@gmail.com</v>
      </c>
      <c r="D381" s="228" t="str">
        <f>IFERROR(__xludf.DUMMYFUNCTION("""COMPUTED_VALUE"""),"muhammad.usman2@vyro.ai")</f>
        <v>muhammad.usman2@vyro.ai</v>
      </c>
      <c r="E381" s="730">
        <f>IFERROR(__xludf.DUMMYFUNCTION("""COMPUTED_VALUE"""),45602.0)</f>
        <v>45602</v>
      </c>
      <c r="F381" s="228" t="str">
        <f>IFERROR(__xludf.DUMMYFUNCTION("""COMPUTED_VALUE"""),"jr Backend Developer")</f>
        <v>jr Backend Developer</v>
      </c>
      <c r="G381" s="228" t="str">
        <f>IFERROR(__xludf.DUMMYFUNCTION("""COMPUTED_VALUE"""),"Backend")</f>
        <v>Backend</v>
      </c>
      <c r="H381" s="228" t="str">
        <f>IFERROR(__xludf.DUMMYFUNCTION("""COMPUTED_VALUE"""),"Shariq Arif")</f>
        <v>Shariq Arif</v>
      </c>
      <c r="I381" s="228" t="str">
        <f>IFERROR(__xludf.DUMMYFUNCTION("""COMPUTED_VALUE"""),"Probation")</f>
        <v>Probation</v>
      </c>
      <c r="J381" s="228" t="str">
        <f>IFERROR(__xludf.DUMMYFUNCTION("""COMPUTED_VALUE"""),"Active")</f>
        <v>Active</v>
      </c>
      <c r="K381" s="228" t="str">
        <f>IFERROR(__xludf.DUMMYFUNCTION("""COMPUTED_VALUE"""),"3M")</f>
        <v>3M</v>
      </c>
      <c r="L381" s="732">
        <f>IFERROR(__xludf.DUMMYFUNCTION("""COMPUTED_VALUE"""),45694.0)</f>
        <v>45694</v>
      </c>
      <c r="M381" s="228"/>
      <c r="N381" s="228"/>
      <c r="O381" s="228"/>
      <c r="P381" s="228" t="str">
        <f>IFERROR(__xludf.DUMMYFUNCTION("""COMPUTED_VALUE"""),"03095259950")</f>
        <v>03095259950</v>
      </c>
      <c r="Q381" s="228" t="str">
        <f>IFERROR(__xludf.DUMMYFUNCTION("""COMPUTED_VALUE"""),"37405-1764059-5")</f>
        <v>37405-1764059-5</v>
      </c>
      <c r="R381" s="228" t="str">
        <f>IFERROR(__xludf.DUMMYFUNCTION("""COMPUTED_VALUE"""),"Male")</f>
        <v>Male</v>
      </c>
      <c r="S381" s="228" t="str">
        <f>IFERROR(__xludf.DUMMYFUNCTION("""COMPUTED_VALUE"""),"Habib Bank Limited")</f>
        <v>Habib Bank Limited</v>
      </c>
      <c r="T381" s="228" t="str">
        <f>IFERROR(__xludf.DUMMYFUNCTION("""COMPUTED_VALUE"""),"Muhammad Usman")</f>
        <v>Muhammad Usman</v>
      </c>
      <c r="U381" s="228" t="str">
        <f>IFERROR(__xludf.DUMMYFUNCTION("""COMPUTED_VALUE"""),"PK11HABB0013227901511303")</f>
        <v>PK11HABB0013227901511303</v>
      </c>
      <c r="V381" s="228" t="str">
        <f>IFERROR(__xludf.DUMMYFUNCTION("""COMPUTED_VALUE"""),"HABBPKKA155")</f>
        <v>HABBPKKA155</v>
      </c>
      <c r="W381" s="228"/>
      <c r="X381" s="228" t="str">
        <f>IFERROR(__xludf.DUMMYFUNCTION("""COMPUTED_VALUE"""),"Islamabad")</f>
        <v>Islamabad</v>
      </c>
      <c r="Y381" s="730">
        <f>IFERROR(__xludf.DUMMYFUNCTION("""COMPUTED_VALUE"""),36849.0)</f>
        <v>36849</v>
      </c>
      <c r="Z381" s="228" t="str">
        <f>IFERROR(__xludf.DUMMYFUNCTION("""COMPUTED_VALUE"""),"24 Years")</f>
        <v>24 Years</v>
      </c>
      <c r="AA381" s="228" t="str">
        <f>IFERROR(__xludf.DUMMYFUNCTION("""COMPUTED_VALUE"""),"Lane#3 , Quaid-e-Azam Colony, Dhamial Camp, Rawalpindi Cantt")</f>
        <v>Lane#3 , Quaid-e-Azam Colony, Dhamial Camp, Rawalpindi Cantt</v>
      </c>
      <c r="AB381" s="228" t="str">
        <f>IFERROR(__xludf.DUMMYFUNCTION("""COMPUTED_VALUE"""),"Pakistani")</f>
        <v>Pakistani</v>
      </c>
      <c r="AC381" s="228" t="str">
        <f>IFERROR(__xludf.DUMMYFUNCTION("""COMPUTED_VALUE"""),"Single")</f>
        <v>Single</v>
      </c>
      <c r="AD381" s="228"/>
      <c r="AE381" s="228"/>
      <c r="AF381" s="228"/>
      <c r="AG381" s="228" t="str">
        <f>IFERROR(__xludf.DUMMYFUNCTION("""COMPUTED_VALUE"""),"Ghulam Muhammad")</f>
        <v>Ghulam Muhammad</v>
      </c>
      <c r="AH381" s="228" t="str">
        <f>IFERROR(__xludf.DUMMYFUNCTION("""COMPUTED_VALUE"""),"Father")</f>
        <v>Father</v>
      </c>
      <c r="AI381" s="228" t="str">
        <f>IFERROR(__xludf.DUMMYFUNCTION("""COMPUTED_VALUE"""),"03009771209")</f>
        <v>03009771209</v>
      </c>
      <c r="AJ381" s="228" t="str">
        <f>IFERROR(__xludf.DUMMYFUNCTION("""COMPUTED_VALUE"""),"AB+")</f>
        <v>AB+</v>
      </c>
      <c r="AK381" s="228"/>
      <c r="AL381" s="228"/>
      <c r="AM381" s="228"/>
      <c r="AN381" s="228" t="str">
        <f>IFERROR(__xludf.DUMMYFUNCTION("""COMPUTED_VALUE"""),"Back-End")</f>
        <v>Back-End</v>
      </c>
      <c r="AO381" s="228" t="str">
        <f>IFERROR(__xludf.DUMMYFUNCTION("""COMPUTED_VALUE"""),"backend.team@vyro.ai")</f>
        <v>backend.team@vyro.ai</v>
      </c>
      <c r="AP381" s="228"/>
      <c r="AQ381" s="228" t="str">
        <f>IFERROR(__xludf.DUMMYFUNCTION("""COMPUTED_VALUE"""),"Resigned/Terminated")</f>
        <v>Resigned/Terminated</v>
      </c>
    </row>
    <row r="382">
      <c r="A382" s="228">
        <f>IFERROR(__xludf.DUMMYFUNCTION("""COMPUTED_VALUE"""),5343.0)</f>
        <v>5343</v>
      </c>
      <c r="B382" s="228" t="str">
        <f>IFERROR(__xludf.DUMMYFUNCTION("""COMPUTED_VALUE"""),"Seemab Latif")</f>
        <v>Seemab Latif</v>
      </c>
      <c r="C382" s="228" t="str">
        <f>IFERROR(__xludf.DUMMYFUNCTION("""COMPUTED_VALUE"""),"seemab.shahid@gmail.com")</f>
        <v>seemab.shahid@gmail.com</v>
      </c>
      <c r="D382" s="228" t="str">
        <f>IFERROR(__xludf.DUMMYFUNCTION("""COMPUTED_VALUE"""),"seemab.latif@seecs.edu.pk")</f>
        <v>seemab.latif@seecs.edu.pk</v>
      </c>
      <c r="E382" s="730">
        <f>IFERROR(__xludf.DUMMYFUNCTION("""COMPUTED_VALUE"""),45658.0)</f>
        <v>45658</v>
      </c>
      <c r="F382" s="228" t="str">
        <f>IFERROR(__xludf.DUMMYFUNCTION("""COMPUTED_VALUE"""),"Faculty Lead | Vyro Lab")</f>
        <v>Faculty Lead | Vyro Lab</v>
      </c>
      <c r="G382" s="228" t="str">
        <f>IFERROR(__xludf.DUMMYFUNCTION("""COMPUTED_VALUE"""),"Vyro Lab")</f>
        <v>Vyro Lab</v>
      </c>
      <c r="H382" s="228" t="str">
        <f>IFERROR(__xludf.DUMMYFUNCTION("""COMPUTED_VALUE"""),"Sheharyar Ehsan")</f>
        <v>Sheharyar Ehsan</v>
      </c>
      <c r="I382" s="228" t="str">
        <f>IFERROR(__xludf.DUMMYFUNCTION("""COMPUTED_VALUE"""),"NA")</f>
        <v>NA</v>
      </c>
      <c r="J382" s="228" t="str">
        <f>IFERROR(__xludf.DUMMYFUNCTION("""COMPUTED_VALUE"""),"Active")</f>
        <v>Active</v>
      </c>
      <c r="K382" s="228" t="str">
        <f>IFERROR(__xludf.DUMMYFUNCTION("""COMPUTED_VALUE"""),"NA")</f>
        <v>NA</v>
      </c>
      <c r="L382" s="228"/>
      <c r="M382" s="228"/>
      <c r="N382" s="228"/>
      <c r="O382" s="228"/>
      <c r="P382" s="228" t="str">
        <f>IFERROR(__xludf.DUMMYFUNCTION("""COMPUTED_VALUE"""),"03235555451")</f>
        <v>03235555451</v>
      </c>
      <c r="Q382" s="228" t="str">
        <f>IFERROR(__xludf.DUMMYFUNCTION("""COMPUTED_VALUE"""),"37405-8703265-4")</f>
        <v>37405-8703265-4</v>
      </c>
      <c r="R382" s="228" t="str">
        <f>IFERROR(__xludf.DUMMYFUNCTION("""COMPUTED_VALUE"""),"Female")</f>
        <v>Female</v>
      </c>
      <c r="S382" s="228" t="str">
        <f>IFERROR(__xludf.DUMMYFUNCTION("""COMPUTED_VALUE"""),"Bank Al Habib")</f>
        <v>Bank Al Habib</v>
      </c>
      <c r="T382" s="228" t="str">
        <f>IFERROR(__xludf.DUMMYFUNCTION("""COMPUTED_VALUE"""),"Seemab Latif")</f>
        <v>Seemab Latif</v>
      </c>
      <c r="U382" s="228" t="str">
        <f>IFERROR(__xludf.DUMMYFUNCTION("""COMPUTED_VALUE"""),"PK18BAHL0061185701291501")</f>
        <v>PK18BAHL0061185701291501</v>
      </c>
      <c r="V382" s="228" t="str">
        <f>IFERROR(__xludf.DUMMYFUNCTION("""COMPUTED_VALUE"""),"BAHLPKKAISL")</f>
        <v>BAHLPKKAISL</v>
      </c>
      <c r="W382" s="228"/>
      <c r="X382" s="228" t="str">
        <f>IFERROR(__xludf.DUMMYFUNCTION("""COMPUTED_VALUE"""),"Islamabad")</f>
        <v>Islamabad</v>
      </c>
      <c r="Y382" s="228"/>
      <c r="Z382" s="228" t="str">
        <f>IFERROR(__xludf.DUMMYFUNCTION("""COMPUTED_VALUE"""),"-")</f>
        <v>-</v>
      </c>
      <c r="AA382" s="228"/>
      <c r="AB382" s="228"/>
      <c r="AC382" s="228"/>
      <c r="AD382" s="228"/>
      <c r="AE382" s="228"/>
      <c r="AF382" s="228"/>
      <c r="AG382" s="228" t="str">
        <f>IFERROR(__xludf.DUMMYFUNCTION("""COMPUTED_VALUE"""),"Shahid Aziz")</f>
        <v>Shahid Aziz</v>
      </c>
      <c r="AH382" s="228" t="str">
        <f>IFERROR(__xludf.DUMMYFUNCTION("""COMPUTED_VALUE"""),"Husband")</f>
        <v>Husband</v>
      </c>
      <c r="AI382" s="228" t="str">
        <f>IFERROR(__xludf.DUMMYFUNCTION("""COMPUTED_VALUE"""),"03225555451")</f>
        <v>03225555451</v>
      </c>
      <c r="AJ382" s="228" t="str">
        <f>IFERROR(__xludf.DUMMYFUNCTION("""COMPUTED_VALUE"""),"O+")</f>
        <v>O+</v>
      </c>
      <c r="AK382" s="228"/>
      <c r="AL382" s="228"/>
      <c r="AM382" s="228"/>
      <c r="AN382" s="228"/>
      <c r="AO382" s="228"/>
      <c r="AP382" s="228"/>
      <c r="AQ382" s="228" t="str">
        <f>IFERROR(__xludf.DUMMYFUNCTION("""COMPUTED_VALUE"""),"Resigned/Terminated")</f>
        <v>Resigned/Terminated</v>
      </c>
    </row>
    <row r="383">
      <c r="A383" s="228">
        <f>IFERROR(__xludf.DUMMYFUNCTION("""COMPUTED_VALUE"""),5321.0)</f>
        <v>5321</v>
      </c>
      <c r="B383" s="228" t="str">
        <f>IFERROR(__xludf.DUMMYFUNCTION("""COMPUTED_VALUE"""),"Fatima Bashir")</f>
        <v>Fatima Bashir</v>
      </c>
      <c r="C383" s="228" t="str">
        <f>IFERROR(__xludf.DUMMYFUNCTION("""COMPUTED_VALUE"""),"fatimakhanbashir@gmail.com")</f>
        <v>fatimakhanbashir@gmail.com</v>
      </c>
      <c r="D383" s="228" t="str">
        <f>IFERROR(__xludf.DUMMYFUNCTION("""COMPUTED_VALUE"""),"fatima.bashir@vyro.ai")</f>
        <v>fatima.bashir@vyro.ai</v>
      </c>
      <c r="E383" s="730">
        <f>IFERROR(__xludf.DUMMYFUNCTION("""COMPUTED_VALUE"""),45602.0)</f>
        <v>45602</v>
      </c>
      <c r="F383" s="228" t="str">
        <f>IFERROR(__xludf.DUMMYFUNCTION("""COMPUTED_VALUE"""),"Assistant Manager Talent Acquisition")</f>
        <v>Assistant Manager Talent Acquisition</v>
      </c>
      <c r="G383" s="228" t="str">
        <f>IFERROR(__xludf.DUMMYFUNCTION("""COMPUTED_VALUE"""),"People &amp; Talent")</f>
        <v>People &amp; Talent</v>
      </c>
      <c r="H383" s="228" t="str">
        <f>IFERROR(__xludf.DUMMYFUNCTION("""COMPUTED_VALUE"""),"Ahmed Abubakar")</f>
        <v>Ahmed Abubakar</v>
      </c>
      <c r="I383" s="228" t="str">
        <f>IFERROR(__xludf.DUMMYFUNCTION("""COMPUTED_VALUE"""),"Probation")</f>
        <v>Probation</v>
      </c>
      <c r="J383" s="228" t="str">
        <f>IFERROR(__xludf.DUMMYFUNCTION("""COMPUTED_VALUE"""),"Active")</f>
        <v>Active</v>
      </c>
      <c r="K383" s="228" t="str">
        <f>IFERROR(__xludf.DUMMYFUNCTION("""COMPUTED_VALUE"""),"3M")</f>
        <v>3M</v>
      </c>
      <c r="L383" s="732">
        <f>IFERROR(__xludf.DUMMYFUNCTION("""COMPUTED_VALUE"""),45694.0)</f>
        <v>45694</v>
      </c>
      <c r="M383" s="228"/>
      <c r="N383" s="228"/>
      <c r="O383" s="228"/>
      <c r="P383" s="228" t="str">
        <f>IFERROR(__xludf.DUMMYFUNCTION("""COMPUTED_VALUE"""),"03347855637")</f>
        <v>03347855637</v>
      </c>
      <c r="Q383" s="228" t="str">
        <f>IFERROR(__xludf.DUMMYFUNCTION("""COMPUTED_VALUE"""),"37406-8584109-2")</f>
        <v>37406-8584109-2</v>
      </c>
      <c r="R383" s="228" t="str">
        <f>IFERROR(__xludf.DUMMYFUNCTION("""COMPUTED_VALUE"""),"Female")</f>
        <v>Female</v>
      </c>
      <c r="S383" s="228" t="str">
        <f>IFERROR(__xludf.DUMMYFUNCTION("""COMPUTED_VALUE"""),"Al Habib Bank")</f>
        <v>Al Habib Bank</v>
      </c>
      <c r="T383" s="228" t="str">
        <f>IFERROR(__xludf.DUMMYFUNCTION("""COMPUTED_VALUE"""),"Fatima Bashir")</f>
        <v>Fatima Bashir</v>
      </c>
      <c r="U383" s="228" t="str">
        <f>IFERROR(__xludf.DUMMYFUNCTION("""COMPUTED_VALUE"""),"PK62BAHL0062009500808701")</f>
        <v>PK62BAHL0062009500808701</v>
      </c>
      <c r="V383" s="228" t="str">
        <f>IFERROR(__xludf.DUMMYFUNCTION("""COMPUTED_VALUE"""),"BAHLPKKA")</f>
        <v>BAHLPKKA</v>
      </c>
      <c r="W383" s="228"/>
      <c r="X383" s="228" t="str">
        <f>IFERROR(__xludf.DUMMYFUNCTION("""COMPUTED_VALUE"""),"Islamabad")</f>
        <v>Islamabad</v>
      </c>
      <c r="Y383" s="730">
        <f>IFERROR(__xludf.DUMMYFUNCTION("""COMPUTED_VALUE"""),35504.0)</f>
        <v>35504</v>
      </c>
      <c r="Z383" s="228" t="str">
        <f>IFERROR(__xludf.DUMMYFUNCTION("""COMPUTED_VALUE"""),"28 Years")</f>
        <v>28 Years</v>
      </c>
      <c r="AA383" s="228" t="str">
        <f>IFERROR(__xludf.DUMMYFUNCTION("""COMPUTED_VALUE"""),"A 59/16 near CB ground Lala rukh wah cantt (CNIC not updated with current address)")</f>
        <v>A 59/16 near CB ground Lala rukh wah cantt (CNIC not updated with current address)</v>
      </c>
      <c r="AB383" s="228" t="str">
        <f>IFERROR(__xludf.DUMMYFUNCTION("""COMPUTED_VALUE"""),"Pakistani")</f>
        <v>Pakistani</v>
      </c>
      <c r="AC383" s="228" t="str">
        <f>IFERROR(__xludf.DUMMYFUNCTION("""COMPUTED_VALUE"""),"Single")</f>
        <v>Single</v>
      </c>
      <c r="AD383" s="228"/>
      <c r="AE383" s="228"/>
      <c r="AF383" s="228"/>
      <c r="AG383" s="228" t="str">
        <f>IFERROR(__xludf.DUMMYFUNCTION("""COMPUTED_VALUE"""),"Zarqa Iftikhar")</f>
        <v>Zarqa Iftikhar</v>
      </c>
      <c r="AH383" s="228" t="str">
        <f>IFERROR(__xludf.DUMMYFUNCTION("""COMPUTED_VALUE"""),"Aunt")</f>
        <v>Aunt</v>
      </c>
      <c r="AI383" s="228" t="str">
        <f>IFERROR(__xludf.DUMMYFUNCTION("""COMPUTED_VALUE"""),"3151539539")</f>
        <v>3151539539</v>
      </c>
      <c r="AJ383" s="228" t="str">
        <f>IFERROR(__xludf.DUMMYFUNCTION("""COMPUTED_VALUE"""),"A+")</f>
        <v>A+</v>
      </c>
      <c r="AK383" s="228"/>
      <c r="AL383" s="228"/>
      <c r="AM383" s="228"/>
      <c r="AN383" s="228" t="str">
        <f>IFERROR(__xludf.DUMMYFUNCTION("""COMPUTED_VALUE"""),"Talent")</f>
        <v>Talent</v>
      </c>
      <c r="AO383" s="228" t="str">
        <f>IFERROR(__xludf.DUMMYFUNCTION("""COMPUTED_VALUE"""),"talent.team@vyro.ai")</f>
        <v>talent.team@vyro.ai</v>
      </c>
      <c r="AP383" s="228"/>
      <c r="AQ383" s="228" t="str">
        <f>IFERROR(__xludf.DUMMYFUNCTION("""COMPUTED_VALUE"""),"Resigned/Terminated")</f>
        <v>Resigned/Terminated</v>
      </c>
    </row>
    <row r="384">
      <c r="A384" s="228">
        <f>IFERROR(__xludf.DUMMYFUNCTION("""COMPUTED_VALUE"""),5326.0)</f>
        <v>5326</v>
      </c>
      <c r="B384" s="228" t="str">
        <f>IFERROR(__xludf.DUMMYFUNCTION("""COMPUTED_VALUE"""),"Kinza Touseef")</f>
        <v>Kinza Touseef</v>
      </c>
      <c r="C384" s="228" t="str">
        <f>IFERROR(__xludf.DUMMYFUNCTION("""COMPUTED_VALUE"""),"kinza.lz711@gmail.com")</f>
        <v>kinza.lz711@gmail.com</v>
      </c>
      <c r="D384" s="228" t="str">
        <f>IFERROR(__xludf.DUMMYFUNCTION("""COMPUTED_VALUE"""),"kinza.touseef@vyro.ai")</f>
        <v>kinza.touseef@vyro.ai</v>
      </c>
      <c r="E384" s="730">
        <f>IFERROR(__xludf.DUMMYFUNCTION("""COMPUTED_VALUE"""),45602.0)</f>
        <v>45602</v>
      </c>
      <c r="F384" s="228" t="str">
        <f>IFERROR(__xludf.DUMMYFUNCTION("""COMPUTED_VALUE"""),"Finance Executive")</f>
        <v>Finance Executive</v>
      </c>
      <c r="G384" s="228" t="str">
        <f>IFERROR(__xludf.DUMMYFUNCTION("""COMPUTED_VALUE"""),"Finance")</f>
        <v>Finance</v>
      </c>
      <c r="H384" s="228" t="str">
        <f>IFERROR(__xludf.DUMMYFUNCTION("""COMPUTED_VALUE"""),"Aun Ishfaq")</f>
        <v>Aun Ishfaq</v>
      </c>
      <c r="I384" s="228" t="str">
        <f>IFERROR(__xludf.DUMMYFUNCTION("""COMPUTED_VALUE"""),"Probation")</f>
        <v>Probation</v>
      </c>
      <c r="J384" s="228" t="str">
        <f>IFERROR(__xludf.DUMMYFUNCTION("""COMPUTED_VALUE"""),"Active")</f>
        <v>Active</v>
      </c>
      <c r="K384" s="228" t="str">
        <f>IFERROR(__xludf.DUMMYFUNCTION("""COMPUTED_VALUE"""),"3M")</f>
        <v>3M</v>
      </c>
      <c r="L384" s="732">
        <f>IFERROR(__xludf.DUMMYFUNCTION("""COMPUTED_VALUE"""),45694.0)</f>
        <v>45694</v>
      </c>
      <c r="M384" s="228"/>
      <c r="N384" s="228"/>
      <c r="O384" s="228"/>
      <c r="P384" s="228" t="str">
        <f>IFERROR(__xludf.DUMMYFUNCTION("""COMPUTED_VALUE"""),"03005210220")</f>
        <v>03005210220</v>
      </c>
      <c r="Q384" s="228" t="str">
        <f>IFERROR(__xludf.DUMMYFUNCTION("""COMPUTED_VALUE"""),"37405-7899297-6")</f>
        <v>37405-7899297-6</v>
      </c>
      <c r="R384" s="228" t="str">
        <f>IFERROR(__xludf.DUMMYFUNCTION("""COMPUTED_VALUE"""),"Female")</f>
        <v>Female</v>
      </c>
      <c r="S384" s="228" t="str">
        <f>IFERROR(__xludf.DUMMYFUNCTION("""COMPUTED_VALUE"""),"Bank Al Habib Limited")</f>
        <v>Bank Al Habib Limited</v>
      </c>
      <c r="T384" s="228" t="str">
        <f>IFERROR(__xludf.DUMMYFUNCTION("""COMPUTED_VALUE"""),"Kinza Touseef")</f>
        <v>Kinza Touseef</v>
      </c>
      <c r="U384" s="228" t="str">
        <f>IFERROR(__xludf.DUMMYFUNCTION("""COMPUTED_VALUE"""),"PK98BAHL0049009501083601")</f>
        <v>PK98BAHL0049009501083601</v>
      </c>
      <c r="V384" s="228" t="str">
        <f>IFERROR(__xludf.DUMMYFUNCTION("""COMPUTED_VALUE"""),"BAHLPKKAISL")</f>
        <v>BAHLPKKAISL</v>
      </c>
      <c r="W384" s="228"/>
      <c r="X384" s="228" t="str">
        <f>IFERROR(__xludf.DUMMYFUNCTION("""COMPUTED_VALUE"""),"Islamabad")</f>
        <v>Islamabad</v>
      </c>
      <c r="Y384" s="730">
        <f>IFERROR(__xludf.DUMMYFUNCTION("""COMPUTED_VALUE"""),36286.0)</f>
        <v>36286</v>
      </c>
      <c r="Z384" s="228" t="str">
        <f>IFERROR(__xludf.DUMMYFUNCTION("""COMPUTED_VALUE"""),"25 Years")</f>
        <v>25 Years</v>
      </c>
      <c r="AA384" s="228" t="str">
        <f>IFERROR(__xludf.DUMMYFUNCTION("""COMPUTED_VALUE"""),"House 15, Street 15, Col. Amanullah Road, Bharakahu, Islamabad")</f>
        <v>House 15, Street 15, Col. Amanullah Road, Bharakahu, Islamabad</v>
      </c>
      <c r="AB384" s="228" t="str">
        <f>IFERROR(__xludf.DUMMYFUNCTION("""COMPUTED_VALUE"""),"Pakistani")</f>
        <v>Pakistani</v>
      </c>
      <c r="AC384" s="228" t="str">
        <f>IFERROR(__xludf.DUMMYFUNCTION("""COMPUTED_VALUE"""),"Single")</f>
        <v>Single</v>
      </c>
      <c r="AD384" s="228"/>
      <c r="AE384" s="228"/>
      <c r="AF384" s="228"/>
      <c r="AG384" s="228" t="str">
        <f>IFERROR(__xludf.DUMMYFUNCTION("""COMPUTED_VALUE"""),"Touseef")</f>
        <v>Touseef</v>
      </c>
      <c r="AH384" s="228" t="str">
        <f>IFERROR(__xludf.DUMMYFUNCTION("""COMPUTED_VALUE"""),"Father")</f>
        <v>Father</v>
      </c>
      <c r="AI384" s="228" t="str">
        <f>IFERROR(__xludf.DUMMYFUNCTION("""COMPUTED_VALUE"""),"03305003003")</f>
        <v>03305003003</v>
      </c>
      <c r="AJ384" s="228" t="str">
        <f>IFERROR(__xludf.DUMMYFUNCTION("""COMPUTED_VALUE"""),"O+")</f>
        <v>O+</v>
      </c>
      <c r="AK384" s="731" t="str">
        <f>IFERROR(__xludf.DUMMYFUNCTION("""COMPUTED_VALUE"""),"www.linkedin.com/in/kinza-touseef-a449a51b1/")</f>
        <v>www.linkedin.com/in/kinza-touseef-a449a51b1/</v>
      </c>
      <c r="AL384" s="228"/>
      <c r="AM384" s="730">
        <f>IFERROR(__xludf.DUMMYFUNCTION("""COMPUTED_VALUE"""),45723.0)</f>
        <v>45723</v>
      </c>
      <c r="AN384" s="228" t="str">
        <f>IFERROR(__xludf.DUMMYFUNCTION("""COMPUTED_VALUE"""),"NOT FOUND")</f>
        <v>NOT FOUND</v>
      </c>
      <c r="AO384" s="228" t="str">
        <f>IFERROR(__xludf.DUMMYFUNCTION("""COMPUTED_VALUE"""),"NOT FOUND")</f>
        <v>NOT FOUND</v>
      </c>
      <c r="AP384" s="228" t="str">
        <f>IFERROR(__xludf.DUMMYFUNCTION("""COMPUTED_VALUE"""),"NO")</f>
        <v>NO</v>
      </c>
      <c r="AQ384" s="228" t="str">
        <f>IFERROR(__xludf.DUMMYFUNCTION("""COMPUTED_VALUE"""),"Resigned/Terminated")</f>
        <v>Resigned/Terminated</v>
      </c>
    </row>
    <row r="385">
      <c r="A385" s="228">
        <f>IFERROR(__xludf.DUMMYFUNCTION("""COMPUTED_VALUE"""),5295.0)</f>
        <v>5295</v>
      </c>
      <c r="B385" s="228" t="str">
        <f>IFERROR(__xludf.DUMMYFUNCTION("""COMPUTED_VALUE"""),"Zainab Malik")</f>
        <v>Zainab Malik</v>
      </c>
      <c r="C385" s="228" t="str">
        <f>IFERROR(__xludf.DUMMYFUNCTION("""COMPUTED_VALUE"""),"zbmkwork@gmail.com")</f>
        <v>zbmkwork@gmail.com</v>
      </c>
      <c r="D385" s="228" t="str">
        <f>IFERROR(__xludf.DUMMYFUNCTION("""COMPUTED_VALUE"""),"zainab.malik@vyro.ai")</f>
        <v>zainab.malik@vyro.ai</v>
      </c>
      <c r="E385" s="730">
        <f>IFERROR(__xludf.DUMMYFUNCTION("""COMPUTED_VALUE"""),45523.0)</f>
        <v>45523</v>
      </c>
      <c r="F385" s="228" t="str">
        <f>IFERROR(__xludf.DUMMYFUNCTION("""COMPUTED_VALUE"""),"Content Marketing Lead")</f>
        <v>Content Marketing Lead</v>
      </c>
      <c r="G385" s="228" t="str">
        <f>IFERROR(__xludf.DUMMYFUNCTION("""COMPUTED_VALUE"""),"Creatives")</f>
        <v>Creatives</v>
      </c>
      <c r="H385" s="228" t="str">
        <f>IFERROR(__xludf.DUMMYFUNCTION("""COMPUTED_VALUE"""),"Hassan Shakeel")</f>
        <v>Hassan Shakeel</v>
      </c>
      <c r="I385" s="228" t="str">
        <f>IFERROR(__xludf.DUMMYFUNCTION("""COMPUTED_VALUE"""),"Probation")</f>
        <v>Probation</v>
      </c>
      <c r="J385" s="228" t="str">
        <f>IFERROR(__xludf.DUMMYFUNCTION("""COMPUTED_VALUE"""),"Active")</f>
        <v>Active</v>
      </c>
      <c r="K385" s="228" t="str">
        <f>IFERROR(__xludf.DUMMYFUNCTION("""COMPUTED_VALUE"""),"3M")</f>
        <v>3M</v>
      </c>
      <c r="L385" s="732">
        <f>IFERROR(__xludf.DUMMYFUNCTION("""COMPUTED_VALUE"""),45615.0)</f>
        <v>45615</v>
      </c>
      <c r="M385" s="228"/>
      <c r="N385" s="228"/>
      <c r="O385" s="228"/>
      <c r="P385" s="228" t="str">
        <f>IFERROR(__xludf.DUMMYFUNCTION("""COMPUTED_VALUE"""),"03015004924")</f>
        <v>03015004924</v>
      </c>
      <c r="Q385" s="228" t="str">
        <f>IFERROR(__xludf.DUMMYFUNCTION("""COMPUTED_VALUE"""),"37406-8789293-4")</f>
        <v>37406-8789293-4</v>
      </c>
      <c r="R385" s="228" t="str">
        <f>IFERROR(__xludf.DUMMYFUNCTION("""COMPUTED_VALUE"""),"Male")</f>
        <v>Male</v>
      </c>
      <c r="S385" s="228" t="str">
        <f>IFERROR(__xludf.DUMMYFUNCTION("""COMPUTED_VALUE"""),"HBL")</f>
        <v>HBL</v>
      </c>
      <c r="T385" s="228" t="str">
        <f>IFERROR(__xludf.DUMMYFUNCTION("""COMPUTED_VALUE"""),"Zainab Malik")</f>
        <v>Zainab Malik</v>
      </c>
      <c r="U385" s="228" t="str">
        <f>IFERROR(__xludf.DUMMYFUNCTION("""COMPUTED_VALUE"""),"PK11HABB0008147915332699")</f>
        <v>PK11HABB0008147915332699</v>
      </c>
      <c r="V385" s="228" t="str">
        <f>IFERROR(__xludf.DUMMYFUNCTION("""COMPUTED_VALUE"""),"HABBPKKA814")</f>
        <v>HABBPKKA814</v>
      </c>
      <c r="W385" s="228"/>
      <c r="X385" s="228" t="str">
        <f>IFERROR(__xludf.DUMMYFUNCTION("""COMPUTED_VALUE"""),"Islamabad")</f>
        <v>Islamabad</v>
      </c>
      <c r="Y385" s="730">
        <f>IFERROR(__xludf.DUMMYFUNCTION("""COMPUTED_VALUE"""),36881.0)</f>
        <v>36881</v>
      </c>
      <c r="Z385" s="228" t="str">
        <f>IFERROR(__xludf.DUMMYFUNCTION("""COMPUTED_VALUE"""),"24 Years")</f>
        <v>24 Years</v>
      </c>
      <c r="AA385" s="228" t="str">
        <f>IFERROR(__xludf.DUMMYFUNCTION("""COMPUTED_VALUE"""),"House 208, DCI, Islamabad")</f>
        <v>House 208, DCI, Islamabad</v>
      </c>
      <c r="AB385" s="228" t="str">
        <f>IFERROR(__xludf.DUMMYFUNCTION("""COMPUTED_VALUE"""),"Pakistani")</f>
        <v>Pakistani</v>
      </c>
      <c r="AC385" s="228" t="str">
        <f>IFERROR(__xludf.DUMMYFUNCTION("""COMPUTED_VALUE"""),"Single")</f>
        <v>Single</v>
      </c>
      <c r="AD385" s="228"/>
      <c r="AE385" s="228"/>
      <c r="AF385" s="228"/>
      <c r="AG385" s="228" t="str">
        <f>IFERROR(__xludf.DUMMYFUNCTION("""COMPUTED_VALUE"""),"Malik Muhammad Shahzad")</f>
        <v>Malik Muhammad Shahzad</v>
      </c>
      <c r="AH385" s="228" t="str">
        <f>IFERROR(__xludf.DUMMYFUNCTION("""COMPUTED_VALUE"""),"father")</f>
        <v>father</v>
      </c>
      <c r="AI385" s="228" t="str">
        <f>IFERROR(__xludf.DUMMYFUNCTION("""COMPUTED_VALUE"""),"03215303733")</f>
        <v>03215303733</v>
      </c>
      <c r="AJ385" s="228" t="str">
        <f>IFERROR(__xludf.DUMMYFUNCTION("""COMPUTED_VALUE"""),"B+")</f>
        <v>B+</v>
      </c>
      <c r="AK385" s="731" t="str">
        <f>IFERROR(__xludf.DUMMYFUNCTION("""COMPUTED_VALUE"""),"https://www.linkedin.com/in/zbmk?utm_source=share&amp;utm_campaign=share_via&amp;utm_content=profile&amp;utm_medium=ios_app")</f>
        <v>https://www.linkedin.com/in/zbmk?utm_source=share&amp;utm_campaign=share_via&amp;utm_content=profile&amp;utm_medium=ios_app</v>
      </c>
      <c r="AL385" s="228"/>
      <c r="AM385" s="730">
        <f>IFERROR(__xludf.DUMMYFUNCTION("""COMPUTED_VALUE"""),45734.0)</f>
        <v>45734</v>
      </c>
      <c r="AN385" s="228" t="str">
        <f>IFERROR(__xludf.DUMMYFUNCTION("""COMPUTED_VALUE"""),"Creatives, Marketing")</f>
        <v>Creatives, Marketing</v>
      </c>
      <c r="AO385" s="228" t="str">
        <f>IFERROR(__xludf.DUMMYFUNCTION("""COMPUTED_VALUE"""),"Creatives.team@vyro.ai, marketing.team@vyro.ai")</f>
        <v>Creatives.team@vyro.ai, marketing.team@vyro.ai</v>
      </c>
      <c r="AP385" s="228" t="str">
        <f>IFERROR(__xludf.DUMMYFUNCTION("""COMPUTED_VALUE"""),"NO")</f>
        <v>NO</v>
      </c>
      <c r="AQ385" s="228" t="str">
        <f>IFERROR(__xludf.DUMMYFUNCTION("""COMPUTED_VALUE"""),"Resigned/Terminated")</f>
        <v>Resigned/Terminated</v>
      </c>
    </row>
    <row r="386">
      <c r="A386" s="228">
        <f>IFERROR(__xludf.DUMMYFUNCTION("""COMPUTED_VALUE"""),5149.0)</f>
        <v>5149</v>
      </c>
      <c r="B386" s="228" t="str">
        <f>IFERROR(__xludf.DUMMYFUNCTION("""COMPUTED_VALUE"""),"Mohammad Ehtasham Balland")</f>
        <v>Mohammad Ehtasham Balland</v>
      </c>
      <c r="C386" s="228" t="str">
        <f>IFERROR(__xludf.DUMMYFUNCTION("""COMPUTED_VALUE"""),"ehtasham.balland@gmail.com")</f>
        <v>ehtasham.balland@gmail.com</v>
      </c>
      <c r="D386" s="228" t="str">
        <f>IFERROR(__xludf.DUMMYFUNCTION("""COMPUTED_VALUE"""),"ehtasham.balland@vyro.ai")</f>
        <v>ehtasham.balland@vyro.ai</v>
      </c>
      <c r="E386" s="730">
        <f>IFERROR(__xludf.DUMMYFUNCTION("""COMPUTED_VALUE"""),45139.0)</f>
        <v>45139</v>
      </c>
      <c r="F386" s="228" t="str">
        <f>IFERROR(__xludf.DUMMYFUNCTION("""COMPUTED_VALUE"""),"Interim Marketing Lead")</f>
        <v>Interim Marketing Lead</v>
      </c>
      <c r="G386" s="228" t="str">
        <f>IFERROR(__xludf.DUMMYFUNCTION("""COMPUTED_VALUE"""),"Marketing")</f>
        <v>Marketing</v>
      </c>
      <c r="H386" s="228" t="str">
        <f>IFERROR(__xludf.DUMMYFUNCTION("""COMPUTED_VALUE"""),"Ahmed Abubakar, CEO")</f>
        <v>Ahmed Abubakar, CEO</v>
      </c>
      <c r="I386" s="228" t="str">
        <f>IFERROR(__xludf.DUMMYFUNCTION("""COMPUTED_VALUE"""),"Permanent")</f>
        <v>Permanent</v>
      </c>
      <c r="J386" s="228" t="str">
        <f>IFERROR(__xludf.DUMMYFUNCTION("""COMPUTED_VALUE"""),"Active")</f>
        <v>Active</v>
      </c>
      <c r="K386" s="228" t="str">
        <f>IFERROR(__xludf.DUMMYFUNCTION("""COMPUTED_VALUE"""),"3M")</f>
        <v>3M</v>
      </c>
      <c r="L386" s="732">
        <f>IFERROR(__xludf.DUMMYFUNCTION("""COMPUTED_VALUE"""),45231.0)</f>
        <v>45231</v>
      </c>
      <c r="M386" s="228"/>
      <c r="N386" s="228"/>
      <c r="O386" s="228"/>
      <c r="P386" s="228" t="str">
        <f>IFERROR(__xludf.DUMMYFUNCTION("""COMPUTED_VALUE"""),"03156450213")</f>
        <v>03156450213</v>
      </c>
      <c r="Q386" s="228" t="str">
        <f>IFERROR(__xludf.DUMMYFUNCTION("""COMPUTED_VALUE"""),"36302-5494206-1")</f>
        <v>36302-5494206-1</v>
      </c>
      <c r="R386" s="228" t="str">
        <f>IFERROR(__xludf.DUMMYFUNCTION("""COMPUTED_VALUE"""),"Male")</f>
        <v>Male</v>
      </c>
      <c r="S386" s="228" t="str">
        <f>IFERROR(__xludf.DUMMYFUNCTION("""COMPUTED_VALUE"""),"Meezan Bank")</f>
        <v>Meezan Bank</v>
      </c>
      <c r="T386" s="228" t="str">
        <f>IFERROR(__xludf.DUMMYFUNCTION("""COMPUTED_VALUE"""),"Mohammad Ehtasham Balland")</f>
        <v>Mohammad Ehtasham Balland</v>
      </c>
      <c r="U386" s="228" t="str">
        <f>IFERROR(__xludf.DUMMYFUNCTION("""COMPUTED_VALUE"""),"PK81MEZN0003030103294930")</f>
        <v>PK81MEZN0003030103294930</v>
      </c>
      <c r="V386" s="228"/>
      <c r="W386" s="228"/>
      <c r="X386" s="228" t="str">
        <f>IFERROR(__xludf.DUMMYFUNCTION("""COMPUTED_VALUE"""),"Islamabad")</f>
        <v>Islamabad</v>
      </c>
      <c r="Y386" s="730">
        <f>IFERROR(__xludf.DUMMYFUNCTION("""COMPUTED_VALUE"""),33737.0)</f>
        <v>33737</v>
      </c>
      <c r="Z386" s="228" t="str">
        <f>IFERROR(__xludf.DUMMYFUNCTION("""COMPUTED_VALUE"""),"32 Years")</f>
        <v>32 Years</v>
      </c>
      <c r="AA386" s="228" t="str">
        <f>IFERROR(__xludf.DUMMYFUNCTION("""COMPUTED_VALUE"""),"House # 7-A, Street # 1, Block C Soan Gardens Islamabad")</f>
        <v>House # 7-A, Street # 1, Block C Soan Gardens Islamabad</v>
      </c>
      <c r="AB386" s="228" t="str">
        <f>IFERROR(__xludf.DUMMYFUNCTION("""COMPUTED_VALUE"""),"Pakistani")</f>
        <v>Pakistani</v>
      </c>
      <c r="AC386" s="228" t="str">
        <f>IFERROR(__xludf.DUMMYFUNCTION("""COMPUTED_VALUE"""),"Married")</f>
        <v>Married</v>
      </c>
      <c r="AD386" s="228"/>
      <c r="AE386" s="228"/>
      <c r="AF386" s="228"/>
      <c r="AG386" s="228" t="str">
        <f>IFERROR(__xludf.DUMMYFUNCTION("""COMPUTED_VALUE"""),"Sar Balland Khan")</f>
        <v>Sar Balland Khan</v>
      </c>
      <c r="AH386" s="228" t="str">
        <f>IFERROR(__xludf.DUMMYFUNCTION("""COMPUTED_VALUE"""),"Wife")</f>
        <v>Wife</v>
      </c>
      <c r="AI386" s="228" t="str">
        <f>IFERROR(__xludf.DUMMYFUNCTION("""COMPUTED_VALUE"""),"03156442940")</f>
        <v>03156442940</v>
      </c>
      <c r="AJ386" s="228" t="str">
        <f>IFERROR(__xludf.DUMMYFUNCTION("""COMPUTED_VALUE"""),"B+")</f>
        <v>B+</v>
      </c>
      <c r="AK386" s="731" t="str">
        <f>IFERROR(__xludf.DUMMYFUNCTION("""COMPUTED_VALUE"""),"https://pk.linkedin.com/in/ehtasham-balland-04701a104")</f>
        <v>https://pk.linkedin.com/in/ehtasham-balland-04701a104</v>
      </c>
      <c r="AL386" s="228"/>
      <c r="AM386" s="730">
        <f>IFERROR(__xludf.DUMMYFUNCTION("""COMPUTED_VALUE"""),45734.0)</f>
        <v>45734</v>
      </c>
      <c r="AN386" s="228" t="str">
        <f>IFERROR(__xludf.DUMMYFUNCTION("""COMPUTED_VALUE"""),"Marketing")</f>
        <v>Marketing</v>
      </c>
      <c r="AO386" s="228" t="str">
        <f>IFERROR(__xludf.DUMMYFUNCTION("""COMPUTED_VALUE"""),"marketing.team@vyro.ai")</f>
        <v>marketing.team@vyro.ai</v>
      </c>
      <c r="AP386" s="228" t="str">
        <f>IFERROR(__xludf.DUMMYFUNCTION("""COMPUTED_VALUE"""),"NO")</f>
        <v>NO</v>
      </c>
      <c r="AQ386" s="228" t="str">
        <f>IFERROR(__xludf.DUMMYFUNCTION("""COMPUTED_VALUE"""),"Resigned/Terminated")</f>
        <v>Resigned/Terminated</v>
      </c>
    </row>
    <row r="387">
      <c r="A387" s="228">
        <f>IFERROR(__xludf.DUMMYFUNCTION("""COMPUTED_VALUE"""),5138.0)</f>
        <v>5138</v>
      </c>
      <c r="B387" s="228" t="str">
        <f>IFERROR(__xludf.DUMMYFUNCTION("""COMPUTED_VALUE"""),"Waleed Sadiq")</f>
        <v>Waleed Sadiq</v>
      </c>
      <c r="C387" s="228" t="str">
        <f>IFERROR(__xludf.DUMMYFUNCTION("""COMPUTED_VALUE"""),"shakawali1511@gmail.com")</f>
        <v>shakawali1511@gmail.com</v>
      </c>
      <c r="D387" s="228" t="str">
        <f>IFERROR(__xludf.DUMMYFUNCTION("""COMPUTED_VALUE"""),"waleed.sadiq@vyro.ai")</f>
        <v>waleed.sadiq@vyro.ai</v>
      </c>
      <c r="E387" s="730">
        <f>IFERROR(__xludf.DUMMYFUNCTION("""COMPUTED_VALUE"""),45089.0)</f>
        <v>45089</v>
      </c>
      <c r="F387" s="228" t="str">
        <f>IFERROR(__xludf.DUMMYFUNCTION("""COMPUTED_VALUE"""),"Content Writer &amp; SEO Specialist")</f>
        <v>Content Writer &amp; SEO Specialist</v>
      </c>
      <c r="G387" s="228" t="str">
        <f>IFERROR(__xludf.DUMMYFUNCTION("""COMPUTED_VALUE"""),"SEO")</f>
        <v>SEO</v>
      </c>
      <c r="H387" s="228" t="str">
        <f>IFERROR(__xludf.DUMMYFUNCTION("""COMPUTED_VALUE"""),"Shehak Raza")</f>
        <v>Shehak Raza</v>
      </c>
      <c r="I387" s="228" t="str">
        <f>IFERROR(__xludf.DUMMYFUNCTION("""COMPUTED_VALUE"""),"Permanent")</f>
        <v>Permanent</v>
      </c>
      <c r="J387" s="228" t="str">
        <f>IFERROR(__xludf.DUMMYFUNCTION("""COMPUTED_VALUE"""),"Active")</f>
        <v>Active</v>
      </c>
      <c r="K387" s="228" t="str">
        <f>IFERROR(__xludf.DUMMYFUNCTION("""COMPUTED_VALUE"""),"3M")</f>
        <v>3M</v>
      </c>
      <c r="L387" s="732">
        <f>IFERROR(__xludf.DUMMYFUNCTION("""COMPUTED_VALUE"""),45181.0)</f>
        <v>45181</v>
      </c>
      <c r="M387" s="228"/>
      <c r="N387" s="228"/>
      <c r="O387" s="228"/>
      <c r="P387" s="228" t="str">
        <f>IFERROR(__xludf.DUMMYFUNCTION("""COMPUTED_VALUE"""),"3557155254")</f>
        <v>3557155254</v>
      </c>
      <c r="Q387" s="228" t="str">
        <f>IFERROR(__xludf.DUMMYFUNCTION("""COMPUTED_VALUE"""),"82101-6085499-3")</f>
        <v>82101-6085499-3</v>
      </c>
      <c r="R387" s="228" t="str">
        <f>IFERROR(__xludf.DUMMYFUNCTION("""COMPUTED_VALUE"""),"Male")</f>
        <v>Male</v>
      </c>
      <c r="S387" s="228" t="str">
        <f>IFERROR(__xludf.DUMMYFUNCTION("""COMPUTED_VALUE"""),"Bank Al Falah")</f>
        <v>Bank Al Falah</v>
      </c>
      <c r="T387" s="228" t="str">
        <f>IFERROR(__xludf.DUMMYFUNCTION("""COMPUTED_VALUE"""),"Waleed Sadiq")</f>
        <v>Waleed Sadiq</v>
      </c>
      <c r="U387" s="228" t="str">
        <f>IFERROR(__xludf.DUMMYFUNCTION("""COMPUTED_VALUE"""),"PK42ALFH0008001008106001")</f>
        <v>PK42ALFH0008001008106001</v>
      </c>
      <c r="V387" s="228"/>
      <c r="W387" s="228"/>
      <c r="X387" s="228" t="str">
        <f>IFERROR(__xludf.DUMMYFUNCTION("""COMPUTED_VALUE"""),"Islamabad")</f>
        <v>Islamabad</v>
      </c>
      <c r="Y387" s="730">
        <f>IFERROR(__xludf.DUMMYFUNCTION("""COMPUTED_VALUE"""),35818.0)</f>
        <v>35818</v>
      </c>
      <c r="Z387" s="228" t="str">
        <f>IFERROR(__xludf.DUMMYFUNCTION("""COMPUTED_VALUE"""),"27 Years")</f>
        <v>27 Years</v>
      </c>
      <c r="AA387" s="228" t="str">
        <f>IFERROR(__xludf.DUMMYFUNCTION("""COMPUTED_VALUE"""),"Near Shani Fast Food Seventh Road Rawalpindi.")</f>
        <v>Near Shani Fast Food Seventh Road Rawalpindi.</v>
      </c>
      <c r="AB387" s="228" t="str">
        <f>IFERROR(__xludf.DUMMYFUNCTION("""COMPUTED_VALUE"""),"Pakistani")</f>
        <v>Pakistani</v>
      </c>
      <c r="AC387" s="228" t="str">
        <f>IFERROR(__xludf.DUMMYFUNCTION("""COMPUTED_VALUE"""),"Single")</f>
        <v>Single</v>
      </c>
      <c r="AD387" s="228"/>
      <c r="AE387" s="228"/>
      <c r="AF387" s="228"/>
      <c r="AG387" s="228" t="str">
        <f>IFERROR(__xludf.DUMMYFUNCTION("""COMPUTED_VALUE"""),"Muhammad Sadiq")</f>
        <v>Muhammad Sadiq</v>
      </c>
      <c r="AH387" s="228" t="str">
        <f>IFERROR(__xludf.DUMMYFUNCTION("""COMPUTED_VALUE"""),"Brother")</f>
        <v>Brother</v>
      </c>
      <c r="AI387" s="228" t="str">
        <f>IFERROR(__xludf.DUMMYFUNCTION("""COMPUTED_VALUE"""),"=+92 344 5379332")</f>
        <v>=+92 344 5379332</v>
      </c>
      <c r="AJ387" s="228" t="str">
        <f>IFERROR(__xludf.DUMMYFUNCTION("""COMPUTED_VALUE"""),"A+")</f>
        <v>A+</v>
      </c>
      <c r="AK387" s="731" t="str">
        <f>IFERROR(__xludf.DUMMYFUNCTION("""COMPUTED_VALUE"""),"www.linkedin.com/in/iWaleeeedd")</f>
        <v>www.linkedin.com/in/iWaleeeedd</v>
      </c>
      <c r="AL387" s="228"/>
      <c r="AM387" s="730">
        <f>IFERROR(__xludf.DUMMYFUNCTION("""COMPUTED_VALUE"""),45747.0)</f>
        <v>45747</v>
      </c>
      <c r="AN387" s="228" t="str">
        <f>IFERROR(__xludf.DUMMYFUNCTION("""COMPUTED_VALUE"""),"Imagine Web, Search Engine Optimization")</f>
        <v>Imagine Web, Search Engine Optimization</v>
      </c>
      <c r="AO387" s="228" t="str">
        <f>IFERROR(__xludf.DUMMYFUNCTION("""COMPUTED_VALUE"""),"imagine.web.team@vyro.ai, seo.team@vyro.ai")</f>
        <v>imagine.web.team@vyro.ai, seo.team@vyro.ai</v>
      </c>
      <c r="AP387" s="228" t="str">
        <f>IFERROR(__xludf.DUMMYFUNCTION("""COMPUTED_VALUE"""),"NO")</f>
        <v>NO</v>
      </c>
      <c r="AQ387" s="228" t="str">
        <f>IFERROR(__xludf.DUMMYFUNCTION("""COMPUTED_VALUE"""),"Resigned/Terminated")</f>
        <v>Resigned/Terminated</v>
      </c>
    </row>
    <row r="388">
      <c r="A388" s="228">
        <f>IFERROR(__xludf.DUMMYFUNCTION("""COMPUTED_VALUE"""),5328.0)</f>
        <v>5328</v>
      </c>
      <c r="B388" s="228" t="str">
        <f>IFERROR(__xludf.DUMMYFUNCTION("""COMPUTED_VALUE"""),"Shah Jahan")</f>
        <v>Shah Jahan</v>
      </c>
      <c r="C388" s="228"/>
      <c r="D388" s="228"/>
      <c r="E388" s="228"/>
      <c r="F388" s="228" t="str">
        <f>IFERROR(__xludf.DUMMYFUNCTION("""COMPUTED_VALUE"""),"Office Assistant")</f>
        <v>Office Assistant</v>
      </c>
      <c r="G388" s="228" t="str">
        <f>IFERROR(__xludf.DUMMYFUNCTION("""COMPUTED_VALUE"""),"Office Assistant")</f>
        <v>Office Assistant</v>
      </c>
      <c r="H388" s="228"/>
      <c r="I388" s="228"/>
      <c r="J388" s="228" t="str">
        <f>IFERROR(__xludf.DUMMYFUNCTION("""COMPUTED_VALUE"""),"Active")</f>
        <v>Active</v>
      </c>
      <c r="K388" s="228" t="str">
        <f>IFERROR(__xludf.DUMMYFUNCTION("""COMPUTED_VALUE"""),"3M")</f>
        <v>3M</v>
      </c>
      <c r="L388" s="228"/>
      <c r="M388" s="228"/>
      <c r="N388" s="228"/>
      <c r="O388" s="228"/>
      <c r="P388" s="228"/>
      <c r="Q388" s="228"/>
      <c r="R388" s="228" t="str">
        <f>IFERROR(__xludf.DUMMYFUNCTION("""COMPUTED_VALUE"""),"Male")</f>
        <v>Male</v>
      </c>
      <c r="S388" s="228"/>
      <c r="T388" s="228"/>
      <c r="U388" s="228"/>
      <c r="V388" s="228"/>
      <c r="W388" s="228"/>
      <c r="X388" s="228"/>
      <c r="Y388" s="228"/>
      <c r="Z388" s="228"/>
      <c r="AA388" s="228"/>
      <c r="AB388" s="228"/>
      <c r="AC388" s="228"/>
      <c r="AD388" s="228"/>
      <c r="AE388" s="228"/>
      <c r="AF388" s="228"/>
      <c r="AG388" s="228"/>
      <c r="AH388" s="228"/>
      <c r="AI388" s="228"/>
      <c r="AJ388" s="228"/>
      <c r="AK388" s="228"/>
      <c r="AL388" s="228"/>
      <c r="AM388" s="228"/>
      <c r="AN388" s="228"/>
      <c r="AO388" s="228"/>
      <c r="AP388" s="228" t="str">
        <f>IFERROR(__xludf.DUMMYFUNCTION("""COMPUTED_VALUE"""),"NO")</f>
        <v>NO</v>
      </c>
      <c r="AQ388" s="228" t="str">
        <f>IFERROR(__xludf.DUMMYFUNCTION("""COMPUTED_VALUE"""),"Active")</f>
        <v>Active</v>
      </c>
    </row>
    <row r="389">
      <c r="A389" s="228">
        <f>IFERROR(__xludf.DUMMYFUNCTION("""COMPUTED_VALUE"""),5365.0)</f>
        <v>5365</v>
      </c>
      <c r="B389" s="228" t="str">
        <f>IFERROR(__xludf.DUMMYFUNCTION("""COMPUTED_VALUE"""),"Hock Ng")</f>
        <v>Hock Ng</v>
      </c>
      <c r="C389" s="228"/>
      <c r="D389" s="228"/>
      <c r="E389" s="730">
        <f>IFERROR(__xludf.DUMMYFUNCTION("""COMPUTED_VALUE"""),45679.0)</f>
        <v>45679</v>
      </c>
      <c r="F389" s="228" t="str">
        <f>IFERROR(__xludf.DUMMYFUNCTION("""COMPUTED_VALUE"""),"unkown")</f>
        <v>unkown</v>
      </c>
      <c r="G389" s="228"/>
      <c r="H389" s="228"/>
      <c r="I389" s="228"/>
      <c r="J389" s="228" t="str">
        <f>IFERROR(__xludf.DUMMYFUNCTION("""COMPUTED_VALUE"""),"Active")</f>
        <v>Active</v>
      </c>
      <c r="K389" s="228" t="str">
        <f>IFERROR(__xludf.DUMMYFUNCTION("""COMPUTED_VALUE"""),"3M")</f>
        <v>3M</v>
      </c>
      <c r="L389" s="228"/>
      <c r="M389" s="228"/>
      <c r="N389" s="228"/>
      <c r="O389" s="228"/>
      <c r="P389" s="228"/>
      <c r="Q389" s="228"/>
      <c r="R389" s="228" t="str">
        <f>IFERROR(__xludf.DUMMYFUNCTION("""COMPUTED_VALUE"""),"Male")</f>
        <v>Male</v>
      </c>
      <c r="S389" s="228"/>
      <c r="T389" s="228" t="str">
        <f>IFERROR(__xludf.DUMMYFUNCTION("""COMPUTED_VALUE"""),"Bank Name: Bluevine
Bank Country: USA
Bank Account Title: OCTOPUS INNOVATION PARTNERS LLC
Swift Code: BLVNUS32
Bank Account #: 875105520865
Routing (ACH) #: 125109019")</f>
        <v>Bank Name: Bluevine
Bank Country: USA
Bank Account Title: OCTOPUS INNOVATION PARTNERS LLC
Swift Code: BLVNUS32
Bank Account #: 875105520865
Routing (ACH) #: 125109019</v>
      </c>
      <c r="U389" s="228" t="str">
        <f>IFERROR(__xludf.DUMMYFUNCTION("""COMPUTED_VALUE"""),"875105520865")</f>
        <v>875105520865</v>
      </c>
      <c r="V389" s="228" t="str">
        <f>IFERROR(__xludf.DUMMYFUNCTION("""COMPUTED_VALUE"""),"125109019")</f>
        <v>125109019</v>
      </c>
      <c r="W389" s="228"/>
      <c r="X389" s="228"/>
      <c r="Y389" s="228"/>
      <c r="Z389" s="228" t="str">
        <f>IFERROR(__xludf.DUMMYFUNCTION("""COMPUTED_VALUE"""),"-")</f>
        <v>-</v>
      </c>
      <c r="AA389" s="228"/>
      <c r="AB389" s="228"/>
      <c r="AC389" s="228"/>
      <c r="AD389" s="228"/>
      <c r="AE389" s="228"/>
      <c r="AF389" s="228"/>
      <c r="AG389" s="228"/>
      <c r="AH389" s="228"/>
      <c r="AI389" s="228"/>
      <c r="AJ389" s="228"/>
      <c r="AK389" s="228"/>
      <c r="AL389" s="228"/>
      <c r="AM389" s="730">
        <f>IFERROR(__xludf.DUMMYFUNCTION("""COMPUTED_VALUE"""),45708.0)</f>
        <v>45708</v>
      </c>
      <c r="AN389" s="228"/>
      <c r="AO389" s="228"/>
      <c r="AP389" s="228" t="str">
        <f>IFERROR(__xludf.DUMMYFUNCTION("""COMPUTED_VALUE"""),"NO")</f>
        <v>NO</v>
      </c>
      <c r="AQ389" s="228" t="str">
        <f>IFERROR(__xludf.DUMMYFUNCTION("""COMPUTED_VALUE"""),"Resigned/Terminated")</f>
        <v>Resigned/Terminated</v>
      </c>
    </row>
    <row r="390">
      <c r="A390" s="228">
        <f>IFERROR(__xludf.DUMMYFUNCTION("""COMPUTED_VALUE"""),5304.0)</f>
        <v>5304</v>
      </c>
      <c r="B390" s="228" t="str">
        <f>IFERROR(__xludf.DUMMYFUNCTION("""COMPUTED_VALUE"""),"Mustafa Kamal")</f>
        <v>Mustafa Kamal</v>
      </c>
      <c r="C390" s="228" t="str">
        <f>IFERROR(__xludf.DUMMYFUNCTION("""COMPUTED_VALUE"""),"Mustafakamalwasti@gmail.com")</f>
        <v>Mustafakamalwasti@gmail.com</v>
      </c>
      <c r="D390" s="228" t="str">
        <f>IFERROR(__xludf.DUMMYFUNCTION("""COMPUTED_VALUE"""),"mustafa.kamal@vyro.ai")</f>
        <v>mustafa.kamal@vyro.ai</v>
      </c>
      <c r="E390" s="730">
        <f>IFERROR(__xludf.DUMMYFUNCTION("""COMPUTED_VALUE"""),45536.0)</f>
        <v>45536</v>
      </c>
      <c r="F390" s="228" t="str">
        <f>IFERROR(__xludf.DUMMYFUNCTION("""COMPUTED_VALUE"""),"Affiliate Advisor")</f>
        <v>Affiliate Advisor</v>
      </c>
      <c r="G390" s="228" t="str">
        <f>IFERROR(__xludf.DUMMYFUNCTION("""COMPUTED_VALUE"""),"Business &amp; Growth")</f>
        <v>Business &amp; Growth</v>
      </c>
      <c r="H390" s="228" t="str">
        <f>IFERROR(__xludf.DUMMYFUNCTION("""COMPUTED_VALUE"""),"Ahmed Abubakar, CEO")</f>
        <v>Ahmed Abubakar, CEO</v>
      </c>
      <c r="I390" s="228" t="str">
        <f>IFERROR(__xludf.DUMMYFUNCTION("""COMPUTED_VALUE"""),"NA")</f>
        <v>NA</v>
      </c>
      <c r="J390" s="228" t="str">
        <f>IFERROR(__xludf.DUMMYFUNCTION("""COMPUTED_VALUE"""),"Active")</f>
        <v>Active</v>
      </c>
      <c r="K390" s="228" t="str">
        <f>IFERROR(__xludf.DUMMYFUNCTION("""COMPUTED_VALUE"""),"NA")</f>
        <v>NA</v>
      </c>
      <c r="L390" s="228"/>
      <c r="M390" s="228"/>
      <c r="N390" s="228"/>
      <c r="O390" s="228"/>
      <c r="P390" s="228" t="str">
        <f>IFERROR(__xludf.DUMMYFUNCTION("""COMPUTED_VALUE"""),"3339998921")</f>
        <v>3339998921</v>
      </c>
      <c r="Q390" s="228" t="str">
        <f>IFERROR(__xludf.DUMMYFUNCTION("""COMPUTED_VALUE"""),"42301-0998349-7")</f>
        <v>42301-0998349-7</v>
      </c>
      <c r="R390" s="228" t="str">
        <f>IFERROR(__xludf.DUMMYFUNCTION("""COMPUTED_VALUE"""),"Male")</f>
        <v>Male</v>
      </c>
      <c r="S390" s="228" t="str">
        <f>IFERROR(__xludf.DUMMYFUNCTION("""COMPUTED_VALUE"""),"Banking Circle S.A. (2nd account Bank name
Citibank
Transfer type
Local transfer
ACH
Bank Address
111 Wall Street New York, NY 10043 USA
Routing (ABA)
031100209
SWIFT Code
CITIUS33
Account number
70586920001375364
Account type
CHECKING
Beneficiary name
Mu"&amp;"stafa Kamal)")</f>
        <v>Banking Circle S.A. (2nd account Bank name
Citibank
Transfer type
Local transfer
ACH
Bank Address
111 Wall Street New York, NY 10043 USA
Routing (ABA)
031100209
SWIFT Code
CITIUS33
Account number
70586920001375364
Account type
CHECKING
Beneficiary name
Mustafa Kamal)</v>
      </c>
      <c r="T390" s="228" t="str">
        <f>IFERROR(__xludf.DUMMYFUNCTION("""COMPUTED_VALUE"""),"Mustafa Kamal")</f>
        <v>Mustafa Kamal</v>
      </c>
      <c r="U390" s="228" t="str">
        <f>IFERROR(__xludf.DUMMYFUNCTION("""COMPUTED_VALUE"""),"LU354080000024512562")</f>
        <v>LU354080000024512562</v>
      </c>
      <c r="V390" s="228" t="str">
        <f>IFERROR(__xludf.DUMMYFUNCTION("""COMPUTED_VALUE"""),"BCIRLULL")</f>
        <v>BCIRLULL</v>
      </c>
      <c r="W390" s="228"/>
      <c r="X390" s="228" t="str">
        <f>IFERROR(__xludf.DUMMYFUNCTION("""COMPUTED_VALUE"""),"Remote")</f>
        <v>Remote</v>
      </c>
      <c r="Y390" s="730">
        <f>IFERROR(__xludf.DUMMYFUNCTION("""COMPUTED_VALUE"""),33350.0)</f>
        <v>33350</v>
      </c>
      <c r="Z390" s="228" t="str">
        <f>IFERROR(__xludf.DUMMYFUNCTION("""COMPUTED_VALUE"""),"33 Years")</f>
        <v>33 Years</v>
      </c>
      <c r="AA390" s="228" t="str">
        <f>IFERROR(__xludf.DUMMYFUNCTION("""COMPUTED_VALUE"""),"D-113, Clifton View Apartments, near Teen Talwar, Karachi")</f>
        <v>D-113, Clifton View Apartments, near Teen Talwar, Karachi</v>
      </c>
      <c r="AB390" s="228" t="str">
        <f>IFERROR(__xludf.DUMMYFUNCTION("""COMPUTED_VALUE"""),"Pakistani")</f>
        <v>Pakistani</v>
      </c>
      <c r="AC390" s="228" t="str">
        <f>IFERROR(__xludf.DUMMYFUNCTION("""COMPUTED_VALUE"""),"Single")</f>
        <v>Single</v>
      </c>
      <c r="AD390" s="228"/>
      <c r="AE390" s="228"/>
      <c r="AF390" s="228"/>
      <c r="AG390" s="228" t="str">
        <f>IFERROR(__xludf.DUMMYFUNCTION("""COMPUTED_VALUE"""),"Haider Kamal")</f>
        <v>Haider Kamal</v>
      </c>
      <c r="AH390" s="228" t="str">
        <f>IFERROR(__xludf.DUMMYFUNCTION("""COMPUTED_VALUE"""),"Brother")</f>
        <v>Brother</v>
      </c>
      <c r="AI390" s="228" t="str">
        <f>IFERROR(__xludf.DUMMYFUNCTION("""COMPUTED_VALUE"""),"3123085815")</f>
        <v>3123085815</v>
      </c>
      <c r="AJ390" s="228" t="str">
        <f>IFERROR(__xludf.DUMMYFUNCTION("""COMPUTED_VALUE"""),"B+")</f>
        <v>B+</v>
      </c>
      <c r="AK390" s="731" t="str">
        <f>IFERROR(__xludf.DUMMYFUNCTION("""COMPUTED_VALUE"""),"https://www.linkedin.com/in/mustafakamalwasti/")</f>
        <v>https://www.linkedin.com/in/mustafakamalwasti/</v>
      </c>
      <c r="AL390" s="228"/>
      <c r="AM390" s="730">
        <f>IFERROR(__xludf.DUMMYFUNCTION("""COMPUTED_VALUE"""),45716.0)</f>
        <v>45716</v>
      </c>
      <c r="AN390" s="228" t="str">
        <f>IFERROR(__xludf.DUMMYFUNCTION("""COMPUTED_VALUE"""),"Affiliates")</f>
        <v>Affiliates</v>
      </c>
      <c r="AO390" s="228" t="str">
        <f>IFERROR(__xludf.DUMMYFUNCTION("""COMPUTED_VALUE"""),"affiliates.team@vyro.ai")</f>
        <v>affiliates.team@vyro.ai</v>
      </c>
      <c r="AP390" s="228" t="str">
        <f>IFERROR(__xludf.DUMMYFUNCTION("""COMPUTED_VALUE"""),"NO")</f>
        <v>NO</v>
      </c>
      <c r="AQ390" s="228" t="str">
        <f>IFERROR(__xludf.DUMMYFUNCTION("""COMPUTED_VALUE"""),"Resigned/Terminated")</f>
        <v>Resigned/Terminated</v>
      </c>
    </row>
    <row r="391">
      <c r="A391" s="228">
        <f>IFERROR(__xludf.DUMMYFUNCTION("""COMPUTED_VALUE"""),5298.0)</f>
        <v>5298</v>
      </c>
      <c r="B391" s="228" t="str">
        <f>IFERROR(__xludf.DUMMYFUNCTION("""COMPUTED_VALUE"""),"Sebastian Luedke")</f>
        <v>Sebastian Luedke</v>
      </c>
      <c r="C391" s="228" t="str">
        <f>IFERROR(__xludf.DUMMYFUNCTION("""COMPUTED_VALUE"""),"sluedke.sl@gmail.com")</f>
        <v>sluedke.sl@gmail.com</v>
      </c>
      <c r="D391" s="228" t="str">
        <f>IFERROR(__xludf.DUMMYFUNCTION("""COMPUTED_VALUE"""),"sebastian.ludke@vyro.ai")</f>
        <v>sebastian.ludke@vyro.ai</v>
      </c>
      <c r="E391" s="730">
        <f>IFERROR(__xludf.DUMMYFUNCTION("""COMPUTED_VALUE"""),45537.0)</f>
        <v>45537</v>
      </c>
      <c r="F391" s="228" t="str">
        <f>IFERROR(__xludf.DUMMYFUNCTION("""COMPUTED_VALUE"""),"Creative Advisor")</f>
        <v>Creative Advisor</v>
      </c>
      <c r="G391" s="228" t="str">
        <f>IFERROR(__xludf.DUMMYFUNCTION("""COMPUTED_VALUE"""),"Marketing")</f>
        <v>Marketing</v>
      </c>
      <c r="H391" s="228" t="str">
        <f>IFERROR(__xludf.DUMMYFUNCTION("""COMPUTED_VALUE"""),"Abdullah Rafique")</f>
        <v>Abdullah Rafique</v>
      </c>
      <c r="I391" s="228" t="str">
        <f>IFERROR(__xludf.DUMMYFUNCTION("""COMPUTED_VALUE"""),"Consultant")</f>
        <v>Consultant</v>
      </c>
      <c r="J391" s="228" t="str">
        <f>IFERROR(__xludf.DUMMYFUNCTION("""COMPUTED_VALUE"""),"Active")</f>
        <v>Active</v>
      </c>
      <c r="K391" s="228" t="str">
        <f>IFERROR(__xludf.DUMMYFUNCTION("""COMPUTED_VALUE"""),"_")</f>
        <v>_</v>
      </c>
      <c r="L391" s="228"/>
      <c r="M391" s="228"/>
      <c r="N391" s="228"/>
      <c r="O391" s="228"/>
      <c r="P391" s="228"/>
      <c r="Q391" s="228" t="str">
        <f>IFERROR(__xludf.DUMMYFUNCTION("""COMPUTED_VALUE"""),"_")</f>
        <v>_</v>
      </c>
      <c r="R391" s="228" t="str">
        <f>IFERROR(__xludf.DUMMYFUNCTION("""COMPUTED_VALUE"""),"Male")</f>
        <v>Male</v>
      </c>
      <c r="S391" s="228" t="str">
        <f>IFERROR(__xludf.DUMMYFUNCTION("""COMPUTED_VALUE"""),"Postbank")</f>
        <v>Postbank</v>
      </c>
      <c r="T391" s="228" t="str">
        <f>IFERROR(__xludf.DUMMYFUNCTION("""COMPUTED_VALUE"""),"Sebastian Luedke")</f>
        <v>Sebastian Luedke</v>
      </c>
      <c r="U391" s="228" t="str">
        <f>IFERROR(__xludf.DUMMYFUNCTION("""COMPUTED_VALUE"""),"DE04440100460325704469...............................USA: Community Federal Savings Bank, 89-16 Jamaica Ave, Woodhaven NY 11421, United States  ,Account type: Checking | Account number: 8310617535 | ACH and Wire routing number: 026073150")</f>
        <v>DE04440100460325704469...............................USA: Community Federal Savings Bank, 89-16 Jamaica Ave, Woodhaven NY 11421, United States  ,Account type: Checking | Account number: 8310617535 | ACH and Wire routing number: 026073150</v>
      </c>
      <c r="V391" s="228" t="str">
        <f>IFERROR(__xludf.DUMMYFUNCTION("""COMPUTED_VALUE"""),"PBNKDEFF")</f>
        <v>PBNKDEFF</v>
      </c>
      <c r="W391" s="228"/>
      <c r="X391" s="228" t="str">
        <f>IFERROR(__xludf.DUMMYFUNCTION("""COMPUTED_VALUE"""),"Germany")</f>
        <v>Germany</v>
      </c>
      <c r="Y391" s="730">
        <f>IFERROR(__xludf.DUMMYFUNCTION("""COMPUTED_VALUE"""),30166.0)</f>
        <v>30166</v>
      </c>
      <c r="Z391" s="228" t="str">
        <f>IFERROR(__xludf.DUMMYFUNCTION("""COMPUTED_VALUE"""),"42 Years")</f>
        <v>42 Years</v>
      </c>
      <c r="AA391" s="228" t="str">
        <f>IFERROR(__xludf.DUMMYFUNCTION("""COMPUTED_VALUE"""),"Spangenbergstr. 16 , 21337 Lueneburg, Germany")</f>
        <v>Spangenbergstr. 16 , 21337 Lueneburg, Germany</v>
      </c>
      <c r="AB391" s="228" t="str">
        <f>IFERROR(__xludf.DUMMYFUNCTION("""COMPUTED_VALUE"""),"German")</f>
        <v>German</v>
      </c>
      <c r="AC391" s="228" t="str">
        <f>IFERROR(__xludf.DUMMYFUNCTION("""COMPUTED_VALUE"""),"Married")</f>
        <v>Married</v>
      </c>
      <c r="AD391" s="228"/>
      <c r="AE391" s="228"/>
      <c r="AF391" s="228"/>
      <c r="AG391" s="228" t="str">
        <f>IFERROR(__xludf.DUMMYFUNCTION("""COMPUTED_VALUE"""),"_")</f>
        <v>_</v>
      </c>
      <c r="AH391" s="228" t="str">
        <f>IFERROR(__xludf.DUMMYFUNCTION("""COMPUTED_VALUE"""),"_")</f>
        <v>_</v>
      </c>
      <c r="AI391" s="228" t="str">
        <f>IFERROR(__xludf.DUMMYFUNCTION("""COMPUTED_VALUE"""),"_")</f>
        <v>_</v>
      </c>
      <c r="AJ391" s="228" t="str">
        <f>IFERROR(__xludf.DUMMYFUNCTION("""COMPUTED_VALUE"""),"0+")</f>
        <v>0+</v>
      </c>
      <c r="AK391" s="228"/>
      <c r="AL391" s="228"/>
      <c r="AM391" s="730">
        <f>IFERROR(__xludf.DUMMYFUNCTION("""COMPUTED_VALUE"""),45716.0)</f>
        <v>45716</v>
      </c>
      <c r="AN391" s="228" t="str">
        <f>IFERROR(__xludf.DUMMYFUNCTION("""COMPUTED_VALUE"""),"NOT FOUND")</f>
        <v>NOT FOUND</v>
      </c>
      <c r="AO391" s="228" t="str">
        <f>IFERROR(__xludf.DUMMYFUNCTION("""COMPUTED_VALUE"""),"NOT FOUND")</f>
        <v>NOT FOUND</v>
      </c>
      <c r="AP391" s="228" t="str">
        <f>IFERROR(__xludf.DUMMYFUNCTION("""COMPUTED_VALUE"""),"NO")</f>
        <v>NO</v>
      </c>
      <c r="AQ391" s="228" t="str">
        <f>IFERROR(__xludf.DUMMYFUNCTION("""COMPUTED_VALUE"""),"Resigned/Terminated")</f>
        <v>Resigned/Terminated</v>
      </c>
    </row>
    <row r="392">
      <c r="A392" s="228">
        <f>IFERROR(__xludf.DUMMYFUNCTION("""COMPUTED_VALUE"""),5412.0)</f>
        <v>5412</v>
      </c>
      <c r="B392" s="228" t="str">
        <f>IFERROR(__xludf.DUMMYFUNCTION("""COMPUTED_VALUE"""),"Muhammad Usman")</f>
        <v>Muhammad Usman</v>
      </c>
      <c r="C392" s="228" t="str">
        <f>IFERROR(__xludf.DUMMYFUNCTION("""COMPUTED_VALUE"""),"m.usman1216.mu@gmail.com")</f>
        <v>m.usman1216.mu@gmail.com</v>
      </c>
      <c r="D392" s="228" t="str">
        <f>IFERROR(__xludf.DUMMYFUNCTION("""COMPUTED_VALUE"""),"muhammad.usman@vyro.ai")</f>
        <v>muhammad.usman@vyro.ai</v>
      </c>
      <c r="E392" s="730">
        <f>IFERROR(__xludf.DUMMYFUNCTION("""COMPUTED_VALUE"""),45571.0)</f>
        <v>45571</v>
      </c>
      <c r="F392" s="228" t="str">
        <f>IFERROR(__xludf.DUMMYFUNCTION("""COMPUTED_VALUE"""),"Devops Consultant")</f>
        <v>Devops Consultant</v>
      </c>
      <c r="G392" s="228" t="str">
        <f>IFERROR(__xludf.DUMMYFUNCTION("""COMPUTED_VALUE"""),"Devops")</f>
        <v>Devops</v>
      </c>
      <c r="H392" s="228" t="str">
        <f>IFERROR(__xludf.DUMMYFUNCTION("""COMPUTED_VALUE"""),"Abdullah Rafique")</f>
        <v>Abdullah Rafique</v>
      </c>
      <c r="I392" s="228" t="str">
        <f>IFERROR(__xludf.DUMMYFUNCTION("""COMPUTED_VALUE"""),"NA")</f>
        <v>NA</v>
      </c>
      <c r="J392" s="228" t="str">
        <f>IFERROR(__xludf.DUMMYFUNCTION("""COMPUTED_VALUE"""),"Active")</f>
        <v>Active</v>
      </c>
      <c r="K392" s="228" t="str">
        <f>IFERROR(__xludf.DUMMYFUNCTION("""COMPUTED_VALUE"""),"NA")</f>
        <v>NA</v>
      </c>
      <c r="L392" s="228"/>
      <c r="M392" s="228"/>
      <c r="N392" s="228"/>
      <c r="O392" s="228"/>
      <c r="P392" s="228" t="str">
        <f>IFERROR(__xludf.DUMMYFUNCTION("""COMPUTED_VALUE"""),"03350576727")</f>
        <v>03350576727</v>
      </c>
      <c r="Q392" s="228" t="str">
        <f>IFERROR(__xludf.DUMMYFUNCTION("""COMPUTED_VALUE"""),"54401-4066985-5")</f>
        <v>54401-4066985-5</v>
      </c>
      <c r="R392" s="228" t="str">
        <f>IFERROR(__xludf.DUMMYFUNCTION("""COMPUTED_VALUE"""),"Male")</f>
        <v>Male</v>
      </c>
      <c r="S392" s="228" t="str">
        <f>IFERROR(__xludf.DUMMYFUNCTION("""COMPUTED_VALUE"""),"Meezan Bank")</f>
        <v>Meezan Bank</v>
      </c>
      <c r="T392" s="228" t="str">
        <f>IFERROR(__xludf.DUMMYFUNCTION("""COMPUTED_VALUE"""),"MUHAMMAD USMAN")</f>
        <v>MUHAMMAD USMAN</v>
      </c>
      <c r="U392" s="228" t="str">
        <f>IFERROR(__xludf.DUMMYFUNCTION("""COMPUTED_VALUE"""),"PK09MEZN0008170108392737")</f>
        <v>PK09MEZN0008170108392737</v>
      </c>
      <c r="V392" s="228" t="str">
        <f>IFERROR(__xludf.DUMMYFUNCTION("""COMPUTED_VALUE"""),"MEZNPKKARWP")</f>
        <v>MEZNPKKARWP</v>
      </c>
      <c r="W392" s="228"/>
      <c r="X392" s="228" t="str">
        <f>IFERROR(__xludf.DUMMYFUNCTION("""COMPUTED_VALUE"""),"Remote")</f>
        <v>Remote</v>
      </c>
      <c r="Y392" s="730">
        <f>IFERROR(__xludf.DUMMYFUNCTION("""COMPUTED_VALUE"""),34748.0)</f>
        <v>34748</v>
      </c>
      <c r="Z392" s="228" t="str">
        <f>IFERROR(__xludf.DUMMYFUNCTION("""COMPUTED_VALUE"""),"30 Years")</f>
        <v>30 Years</v>
      </c>
      <c r="AA392" s="228" t="str">
        <f>IFERROR(__xludf.DUMMYFUNCTION("""COMPUTED_VALUE"""),"Kili Tarkha, Kansi , Deeba Road Quetta")</f>
        <v>Kili Tarkha, Kansi , Deeba Road Quetta</v>
      </c>
      <c r="AB392" s="228" t="str">
        <f>IFERROR(__xludf.DUMMYFUNCTION("""COMPUTED_VALUE"""),"Pakistani")</f>
        <v>Pakistani</v>
      </c>
      <c r="AC392" s="228" t="str">
        <f>IFERROR(__xludf.DUMMYFUNCTION("""COMPUTED_VALUE"""),"Single")</f>
        <v>Single</v>
      </c>
      <c r="AD392" s="228"/>
      <c r="AE392" s="228"/>
      <c r="AF392" s="228"/>
      <c r="AG392" s="228" t="str">
        <f>IFERROR(__xludf.DUMMYFUNCTION("""COMPUTED_VALUE"""),"Muhammad Umar")</f>
        <v>Muhammad Umar</v>
      </c>
      <c r="AH392" s="228" t="str">
        <f>IFERROR(__xludf.DUMMYFUNCTION("""COMPUTED_VALUE"""),"Brother")</f>
        <v>Brother</v>
      </c>
      <c r="AI392" s="228" t="str">
        <f>IFERROR(__xludf.DUMMYFUNCTION("""COMPUTED_VALUE"""),"3350576727")</f>
        <v>3350576727</v>
      </c>
      <c r="AJ392" s="228" t="str">
        <f>IFERROR(__xludf.DUMMYFUNCTION("""COMPUTED_VALUE"""),"O+")</f>
        <v>O+</v>
      </c>
      <c r="AK392" s="228"/>
      <c r="AL392" s="228"/>
      <c r="AM392" s="730">
        <f>IFERROR(__xludf.DUMMYFUNCTION("""COMPUTED_VALUE"""),45716.0)</f>
        <v>45716</v>
      </c>
      <c r="AN392" s="228" t="str">
        <f>IFERROR(__xludf.DUMMYFUNCTION("""COMPUTED_VALUE"""),"DevOps")</f>
        <v>DevOps</v>
      </c>
      <c r="AO392" s="228" t="str">
        <f>IFERROR(__xludf.DUMMYFUNCTION("""COMPUTED_VALUE"""),"devops.team@vyro.ai")</f>
        <v>devops.team@vyro.ai</v>
      </c>
      <c r="AP392" s="228" t="str">
        <f>IFERROR(__xludf.DUMMYFUNCTION("""COMPUTED_VALUE"""),"YES")</f>
        <v>YES</v>
      </c>
      <c r="AQ392" s="228" t="str">
        <f>IFERROR(__xludf.DUMMYFUNCTION("""COMPUTED_VALUE"""),"Resigned/Terminated")</f>
        <v>Resigned/Terminated</v>
      </c>
    </row>
    <row r="393">
      <c r="A393" s="228">
        <f>IFERROR(__xludf.DUMMYFUNCTION("""COMPUTED_VALUE"""),5286.0)</f>
        <v>5286</v>
      </c>
      <c r="B393" s="228" t="str">
        <f>IFERROR(__xludf.DUMMYFUNCTION("""COMPUTED_VALUE"""),"Muhammad Umair")</f>
        <v>Muhammad Umair</v>
      </c>
      <c r="C393" s="228" t="str">
        <f>IFERROR(__xludf.DUMMYFUNCTION("""COMPUTED_VALUE"""),"umairsohail108@gmail.com")</f>
        <v>umairsohail108@gmail.com</v>
      </c>
      <c r="D393" s="228" t="str">
        <f>IFERROR(__xludf.DUMMYFUNCTION("""COMPUTED_VALUE"""),"muhammad.umair1@vyro.ai")</f>
        <v>muhammad.umair1@vyro.ai</v>
      </c>
      <c r="E393" s="730">
        <f>IFERROR(__xludf.DUMMYFUNCTION("""COMPUTED_VALUE"""),45467.0)</f>
        <v>45467</v>
      </c>
      <c r="F393" s="228" t="str">
        <f>IFERROR(__xludf.DUMMYFUNCTION("""COMPUTED_VALUE"""),"Customer Support Associate")</f>
        <v>Customer Support Associate</v>
      </c>
      <c r="G393" s="228" t="str">
        <f>IFERROR(__xludf.DUMMYFUNCTION("""COMPUTED_VALUE"""),"Customer Experience")</f>
        <v>Customer Experience</v>
      </c>
      <c r="H393" s="228" t="str">
        <f>IFERROR(__xludf.DUMMYFUNCTION("""COMPUTED_VALUE"""),"Saad Ahmed")</f>
        <v>Saad Ahmed</v>
      </c>
      <c r="I393" s="228" t="str">
        <f>IFERROR(__xludf.DUMMYFUNCTION("""COMPUTED_VALUE"""),"Probation")</f>
        <v>Probation</v>
      </c>
      <c r="J393" s="228" t="str">
        <f>IFERROR(__xludf.DUMMYFUNCTION("""COMPUTED_VALUE"""),"Active")</f>
        <v>Active</v>
      </c>
      <c r="K393" s="228" t="str">
        <f>IFERROR(__xludf.DUMMYFUNCTION("""COMPUTED_VALUE"""),"3M")</f>
        <v>3M</v>
      </c>
      <c r="L393" s="732">
        <f>IFERROR(__xludf.DUMMYFUNCTION("""COMPUTED_VALUE"""),45559.0)</f>
        <v>45559</v>
      </c>
      <c r="M393" s="228"/>
      <c r="N393" s="228"/>
      <c r="O393" s="228"/>
      <c r="P393" s="228" t="str">
        <f>IFERROR(__xludf.DUMMYFUNCTION("""COMPUTED_VALUE"""),"03335963655")</f>
        <v>03335963655</v>
      </c>
      <c r="Q393" s="228" t="str">
        <f>IFERROR(__xludf.DUMMYFUNCTION("""COMPUTED_VALUE"""),"37405-5832738-5")</f>
        <v>37405-5832738-5</v>
      </c>
      <c r="R393" s="228" t="str">
        <f>IFERROR(__xludf.DUMMYFUNCTION("""COMPUTED_VALUE"""),"Male")</f>
        <v>Male</v>
      </c>
      <c r="S393" s="228" t="str">
        <f>IFERROR(__xludf.DUMMYFUNCTION("""COMPUTED_VALUE"""),"Meezan Bank")</f>
        <v>Meezan Bank</v>
      </c>
      <c r="T393" s="228" t="str">
        <f>IFERROR(__xludf.DUMMYFUNCTION("""COMPUTED_VALUE"""),"MUHAMMAD UMAIR")</f>
        <v>MUHAMMAD UMAIR</v>
      </c>
      <c r="U393" s="228" t="str">
        <f>IFERROR(__xludf.DUMMYFUNCTION("""COMPUTED_VALUE"""),"PK16MEZN0008100105718470")</f>
        <v>PK16MEZN0008100105718470</v>
      </c>
      <c r="V393" s="228"/>
      <c r="W393" s="228"/>
      <c r="X393" s="228" t="str">
        <f>IFERROR(__xludf.DUMMYFUNCTION("""COMPUTED_VALUE"""),"Islamabad")</f>
        <v>Islamabad</v>
      </c>
      <c r="Y393" s="730">
        <f>IFERROR(__xludf.DUMMYFUNCTION("""COMPUTED_VALUE"""),37494.0)</f>
        <v>37494</v>
      </c>
      <c r="Z393" s="228" t="str">
        <f>IFERROR(__xludf.DUMMYFUNCTION("""COMPUTED_VALUE"""),"22 Years")</f>
        <v>22 Years</v>
      </c>
      <c r="AA393" s="228" t="str">
        <f>IFERROR(__xludf.DUMMYFUNCTION("""COMPUTED_VALUE"""),"House No MCB-9/34 Quaid abad Bhon Road Chakwal")</f>
        <v>House No MCB-9/34 Quaid abad Bhon Road Chakwal</v>
      </c>
      <c r="AB393" s="228" t="str">
        <f>IFERROR(__xludf.DUMMYFUNCTION("""COMPUTED_VALUE"""),"Pakistani")</f>
        <v>Pakistani</v>
      </c>
      <c r="AC393" s="228" t="str">
        <f>IFERROR(__xludf.DUMMYFUNCTION("""COMPUTED_VALUE"""),"Single")</f>
        <v>Single</v>
      </c>
      <c r="AD393" s="228"/>
      <c r="AE393" s="228"/>
      <c r="AF393" s="228"/>
      <c r="AG393" s="228" t="str">
        <f>IFERROR(__xludf.DUMMYFUNCTION("""COMPUTED_VALUE"""),"Sohail Nisar Sheikh")</f>
        <v>Sohail Nisar Sheikh</v>
      </c>
      <c r="AH393" s="228" t="str">
        <f>IFERROR(__xludf.DUMMYFUNCTION("""COMPUTED_VALUE"""),"Father")</f>
        <v>Father</v>
      </c>
      <c r="AI393" s="228" t="str">
        <f>IFERROR(__xludf.DUMMYFUNCTION("""COMPUTED_VALUE"""),"03335468889")</f>
        <v>03335468889</v>
      </c>
      <c r="AJ393" s="228" t="str">
        <f>IFERROR(__xludf.DUMMYFUNCTION("""COMPUTED_VALUE"""),"A+")</f>
        <v>A+</v>
      </c>
      <c r="AK393" s="731" t="str">
        <f>IFERROR(__xludf.DUMMYFUNCTION("""COMPUTED_VALUE"""),"linkedin.com/in/umairs26")</f>
        <v>linkedin.com/in/umairs26</v>
      </c>
      <c r="AL393" s="228"/>
      <c r="AM393" s="730">
        <f>IFERROR(__xludf.DUMMYFUNCTION("""COMPUTED_VALUE"""),45723.0)</f>
        <v>45723</v>
      </c>
      <c r="AN393" s="228" t="str">
        <f>IFERROR(__xludf.DUMMYFUNCTION("""COMPUTED_VALUE"""),"Customer Support")</f>
        <v>Customer Support</v>
      </c>
      <c r="AO393" s="228" t="str">
        <f>IFERROR(__xludf.DUMMYFUNCTION("""COMPUTED_VALUE"""),"cx.team@vyro.ai")</f>
        <v>cx.team@vyro.ai</v>
      </c>
      <c r="AP393" s="228" t="str">
        <f>IFERROR(__xludf.DUMMYFUNCTION("""COMPUTED_VALUE"""),"NO")</f>
        <v>NO</v>
      </c>
      <c r="AQ393" s="228" t="str">
        <f>IFERROR(__xludf.DUMMYFUNCTION("""COMPUTED_VALUE"""),"Resigned/Terminated")</f>
        <v>Resigned/Terminated</v>
      </c>
    </row>
    <row r="394">
      <c r="A394" s="228">
        <f>IFERROR(__xludf.DUMMYFUNCTION("""COMPUTED_VALUE"""),5330.0)</f>
        <v>5330</v>
      </c>
      <c r="B394" s="228" t="str">
        <f>IFERROR(__xludf.DUMMYFUNCTION("""COMPUTED_VALUE"""),"Rabail Ishtiaq Khan")</f>
        <v>Rabail Ishtiaq Khan</v>
      </c>
      <c r="C394" s="228" t="str">
        <f>IFERROR(__xludf.DUMMYFUNCTION("""COMPUTED_VALUE"""),"rabailk222@gmail.com")</f>
        <v>rabailk222@gmail.com</v>
      </c>
      <c r="D394" s="228" t="str">
        <f>IFERROR(__xludf.DUMMYFUNCTION("""COMPUTED_VALUE"""),"rabail.khan@vyro.ai")</f>
        <v>rabail.khan@vyro.ai</v>
      </c>
      <c r="E394" s="730">
        <f>IFERROR(__xludf.DUMMYFUNCTION("""COMPUTED_VALUE"""),45628.0)</f>
        <v>45628</v>
      </c>
      <c r="F394" s="228" t="str">
        <f>IFERROR(__xludf.DUMMYFUNCTION("""COMPUTED_VALUE"""),"Product Manager")</f>
        <v>Product Manager</v>
      </c>
      <c r="G394" s="228" t="str">
        <f>IFERROR(__xludf.DUMMYFUNCTION("""COMPUTED_VALUE"""),"Product")</f>
        <v>Product</v>
      </c>
      <c r="H394" s="228" t="str">
        <f>IFERROR(__xludf.DUMMYFUNCTION("""COMPUTED_VALUE"""),"Abdullah Rafique")</f>
        <v>Abdullah Rafique</v>
      </c>
      <c r="I394" s="228"/>
      <c r="J394" s="228" t="str">
        <f>IFERROR(__xludf.DUMMYFUNCTION("""COMPUTED_VALUE"""),"Active")</f>
        <v>Active</v>
      </c>
      <c r="K394" s="228" t="str">
        <f>IFERROR(__xludf.DUMMYFUNCTION("""COMPUTED_VALUE"""),"3M")</f>
        <v>3M</v>
      </c>
      <c r="L394" s="732">
        <f>IFERROR(__xludf.DUMMYFUNCTION("""COMPUTED_VALUE"""),45718.0)</f>
        <v>45718</v>
      </c>
      <c r="M394" s="228"/>
      <c r="N394" s="228"/>
      <c r="O394" s="228"/>
      <c r="P394" s="228" t="str">
        <f>IFERROR(__xludf.DUMMYFUNCTION("""COMPUTED_VALUE"""),"03366787861")</f>
        <v>03366787861</v>
      </c>
      <c r="Q394" s="228" t="str">
        <f>IFERROR(__xludf.DUMMYFUNCTION("""COMPUTED_VALUE"""),"35201-6737594-2")</f>
        <v>35201-6737594-2</v>
      </c>
      <c r="R394" s="228" t="str">
        <f>IFERROR(__xludf.DUMMYFUNCTION("""COMPUTED_VALUE"""),"Female")</f>
        <v>Female</v>
      </c>
      <c r="S394" s="228" t="str">
        <f>IFERROR(__xludf.DUMMYFUNCTION("""COMPUTED_VALUE"""),"Bank Alfalah")</f>
        <v>Bank Alfalah</v>
      </c>
      <c r="T394" s="228" t="str">
        <f>IFERROR(__xludf.DUMMYFUNCTION("""COMPUTED_VALUE"""),"RABAIL ISHTIAQ KHAN")</f>
        <v>RABAIL ISHTIAQ KHAN</v>
      </c>
      <c r="U394" s="228" t="str">
        <f>IFERROR(__xludf.DUMMYFUNCTION("""COMPUTED_VALUE"""),"PK26ALFH0035001007881451")</f>
        <v>PK26ALFH0035001007881451</v>
      </c>
      <c r="V394" s="228" t="str">
        <f>IFERROR(__xludf.DUMMYFUNCTION("""COMPUTED_VALUE"""),"ALFHPKKAXXX")</f>
        <v>ALFHPKKAXXX</v>
      </c>
      <c r="W394" s="228"/>
      <c r="X394" s="228" t="str">
        <f>IFERROR(__xludf.DUMMYFUNCTION("""COMPUTED_VALUE"""),"Islamabad")</f>
        <v>Islamabad</v>
      </c>
      <c r="Y394" s="730">
        <f>IFERROR(__xludf.DUMMYFUNCTION("""COMPUTED_VALUE"""),33452.0)</f>
        <v>33452</v>
      </c>
      <c r="Z394" s="228" t="str">
        <f>IFERROR(__xludf.DUMMYFUNCTION("""COMPUTED_VALUE"""),"33 Years")</f>
        <v>33 Years</v>
      </c>
      <c r="AA394" s="228" t="str">
        <f>IFERROR(__xludf.DUMMYFUNCTION("""COMPUTED_VALUE"""),"Villa no.6, NUST residential colony, H-12, Islamabad")</f>
        <v>Villa no.6, NUST residential colony, H-12, Islamabad</v>
      </c>
      <c r="AB394" s="228" t="str">
        <f>IFERROR(__xludf.DUMMYFUNCTION("""COMPUTED_VALUE"""),"Pakistani")</f>
        <v>Pakistani</v>
      </c>
      <c r="AC394" s="228" t="str">
        <f>IFERROR(__xludf.DUMMYFUNCTION("""COMPUTED_VALUE"""),"Single")</f>
        <v>Single</v>
      </c>
      <c r="AD394" s="228"/>
      <c r="AE394" s="228"/>
      <c r="AF394" s="228"/>
      <c r="AG394" s="228" t="str">
        <f>IFERROR(__xludf.DUMMYFUNCTION("""COMPUTED_VALUE"""),"Rtd. Col Muhammad Ishtiaq Khan")</f>
        <v>Rtd. Col Muhammad Ishtiaq Khan</v>
      </c>
      <c r="AH394" s="228" t="str">
        <f>IFERROR(__xludf.DUMMYFUNCTION("""COMPUTED_VALUE"""),"Father")</f>
        <v>Father</v>
      </c>
      <c r="AI394" s="228" t="str">
        <f>IFERROR(__xludf.DUMMYFUNCTION("""COMPUTED_VALUE"""),"03334249402")</f>
        <v>03334249402</v>
      </c>
      <c r="AJ394" s="228" t="str">
        <f>IFERROR(__xludf.DUMMYFUNCTION("""COMPUTED_VALUE"""),"B+")</f>
        <v>B+</v>
      </c>
      <c r="AK394" s="731" t="str">
        <f>IFERROR(__xludf.DUMMYFUNCTION("""COMPUTED_VALUE"""),"https://www.linkedin.com/in/rabail-khan-701719248?utm_source=share&amp;utm_campaign=share_via&amp;utm_content=profile&amp;utm_medium=ios_app")</f>
        <v>https://www.linkedin.com/in/rabail-khan-701719248?utm_source=share&amp;utm_campaign=share_via&amp;utm_content=profile&amp;utm_medium=ios_app</v>
      </c>
      <c r="AL394" s="228"/>
      <c r="AM394" s="730">
        <f>IFERROR(__xludf.DUMMYFUNCTION("""COMPUTED_VALUE"""),45728.0)</f>
        <v>45728</v>
      </c>
      <c r="AN394" s="228" t="str">
        <f>IFERROR(__xludf.DUMMYFUNCTION("""COMPUTED_VALUE"""),"Product")</f>
        <v>Product</v>
      </c>
      <c r="AO394" s="228" t="str">
        <f>IFERROR(__xludf.DUMMYFUNCTION("""COMPUTED_VALUE"""),"product.team@vyro.ai")</f>
        <v>product.team@vyro.ai</v>
      </c>
      <c r="AP394" s="228" t="str">
        <f>IFERROR(__xludf.DUMMYFUNCTION("""COMPUTED_VALUE"""),"NO")</f>
        <v>NO</v>
      </c>
      <c r="AQ394" s="228" t="str">
        <f>IFERROR(__xludf.DUMMYFUNCTION("""COMPUTED_VALUE"""),"Resigned/Terminated")</f>
        <v>Resigned/Terminated</v>
      </c>
    </row>
    <row r="395">
      <c r="A395" s="228">
        <f>IFERROR(__xludf.DUMMYFUNCTION("""COMPUTED_VALUE"""),5104.0)</f>
        <v>5104</v>
      </c>
      <c r="B395" s="228" t="str">
        <f>IFERROR(__xludf.DUMMYFUNCTION("""COMPUTED_VALUE"""),"Basit Afraz")</f>
        <v>Basit Afraz</v>
      </c>
      <c r="C395" s="228" t="str">
        <f>IFERROR(__xludf.DUMMYFUNCTION("""COMPUTED_VALUE"""),"basitafraz8@gmail.com")</f>
        <v>basitafraz8@gmail.com</v>
      </c>
      <c r="D395" s="228" t="str">
        <f>IFERROR(__xludf.DUMMYFUNCTION("""COMPUTED_VALUE"""),"basit.afraz@vyro.ai")</f>
        <v>basit.afraz@vyro.ai</v>
      </c>
      <c r="E395" s="730">
        <f>IFERROR(__xludf.DUMMYFUNCTION("""COMPUTED_VALUE"""),44986.0)</f>
        <v>44986</v>
      </c>
      <c r="F395" s="228" t="str">
        <f>IFERROR(__xludf.DUMMYFUNCTION("""COMPUTED_VALUE"""),"Associate Product Manager")</f>
        <v>Associate Product Manager</v>
      </c>
      <c r="G395" s="228" t="str">
        <f>IFERROR(__xludf.DUMMYFUNCTION("""COMPUTED_VALUE"""),"Product")</f>
        <v>Product</v>
      </c>
      <c r="H395" s="228" t="str">
        <f>IFERROR(__xludf.DUMMYFUNCTION("""COMPUTED_VALUE"""),"Ehtasham Balland")</f>
        <v>Ehtasham Balland</v>
      </c>
      <c r="I395" s="228" t="str">
        <f>IFERROR(__xludf.DUMMYFUNCTION("""COMPUTED_VALUE"""),"Permanent")</f>
        <v>Permanent</v>
      </c>
      <c r="J395" s="228" t="str">
        <f>IFERROR(__xludf.DUMMYFUNCTION("""COMPUTED_VALUE"""),"Active")</f>
        <v>Active</v>
      </c>
      <c r="K395" s="228" t="str">
        <f>IFERROR(__xludf.DUMMYFUNCTION("""COMPUTED_VALUE"""),"3M")</f>
        <v>3M</v>
      </c>
      <c r="L395" s="732">
        <f>IFERROR(__xludf.DUMMYFUNCTION("""COMPUTED_VALUE"""),45078.0)</f>
        <v>45078</v>
      </c>
      <c r="M395" s="228"/>
      <c r="N395" s="228"/>
      <c r="O395" s="228"/>
      <c r="P395" s="228" t="str">
        <f>IFERROR(__xludf.DUMMYFUNCTION("""COMPUTED_VALUE"""),"3405342860")</f>
        <v>3405342860</v>
      </c>
      <c r="Q395" s="228" t="str">
        <f>IFERROR(__xludf.DUMMYFUNCTION("""COMPUTED_VALUE"""),"37405-8019865-5")</f>
        <v>37405-8019865-5</v>
      </c>
      <c r="R395" s="228" t="str">
        <f>IFERROR(__xludf.DUMMYFUNCTION("""COMPUTED_VALUE"""),"Male")</f>
        <v>Male</v>
      </c>
      <c r="S395" s="228" t="str">
        <f>IFERROR(__xludf.DUMMYFUNCTION("""COMPUTED_VALUE"""),"Meezan Bank")</f>
        <v>Meezan Bank</v>
      </c>
      <c r="T395" s="228" t="str">
        <f>IFERROR(__xludf.DUMMYFUNCTION("""COMPUTED_VALUE"""),"BASIT AFRAZ")</f>
        <v>BASIT AFRAZ</v>
      </c>
      <c r="U395" s="228" t="str">
        <f>IFERROR(__xludf.DUMMYFUNCTION("""COMPUTED_VALUE"""),"PK57MEZN0008070109962987")</f>
        <v>PK57MEZN0008070109962987</v>
      </c>
      <c r="V395" s="228"/>
      <c r="W395" s="228"/>
      <c r="X395" s="228" t="str">
        <f>IFERROR(__xludf.DUMMYFUNCTION("""COMPUTED_VALUE"""),"Islamabad")</f>
        <v>Islamabad</v>
      </c>
      <c r="Y395" s="730">
        <f>IFERROR(__xludf.DUMMYFUNCTION("""COMPUTED_VALUE"""),34601.0)</f>
        <v>34601</v>
      </c>
      <c r="Z395" s="228" t="str">
        <f>IFERROR(__xludf.DUMMYFUNCTION("""COMPUTED_VALUE"""),"30 Years")</f>
        <v>30 Years</v>
      </c>
      <c r="AA395" s="228" t="str">
        <f>IFERROR(__xludf.DUMMYFUNCTION("""COMPUTED_VALUE"""),"Dhoke Chaudrian, Chaklala Scheme 3, House BR35")</f>
        <v>Dhoke Chaudrian, Chaklala Scheme 3, House BR35</v>
      </c>
      <c r="AB395" s="228" t="str">
        <f>IFERROR(__xludf.DUMMYFUNCTION("""COMPUTED_VALUE"""),"Pakistani")</f>
        <v>Pakistani</v>
      </c>
      <c r="AC395" s="228" t="str">
        <f>IFERROR(__xludf.DUMMYFUNCTION("""COMPUTED_VALUE"""),"Single")</f>
        <v>Single</v>
      </c>
      <c r="AD395" s="228"/>
      <c r="AE395" s="228"/>
      <c r="AF395" s="228"/>
      <c r="AG395" s="228" t="str">
        <f>IFERROR(__xludf.DUMMYFUNCTION("""COMPUTED_VALUE"""),"Muhammad Afraz")</f>
        <v>Muhammad Afraz</v>
      </c>
      <c r="AH395" s="228" t="str">
        <f>IFERROR(__xludf.DUMMYFUNCTION("""COMPUTED_VALUE"""),"Father")</f>
        <v>Father</v>
      </c>
      <c r="AI395" s="228" t="str">
        <f>IFERROR(__xludf.DUMMYFUNCTION("""COMPUTED_VALUE"""),"3405997682")</f>
        <v>3405997682</v>
      </c>
      <c r="AJ395" s="228" t="str">
        <f>IFERROR(__xludf.DUMMYFUNCTION("""COMPUTED_VALUE"""),"O+")</f>
        <v>O+</v>
      </c>
      <c r="AK395" s="228"/>
      <c r="AL395" s="228"/>
      <c r="AM395" s="730">
        <f>IFERROR(__xludf.DUMMYFUNCTION("""COMPUTED_VALUE"""),45758.0)</f>
        <v>45758</v>
      </c>
      <c r="AN395" s="228" t="str">
        <f>IFERROR(__xludf.DUMMYFUNCTION("""COMPUTED_VALUE"""),"Product")</f>
        <v>Product</v>
      </c>
      <c r="AO395" s="228" t="str">
        <f>IFERROR(__xludf.DUMMYFUNCTION("""COMPUTED_VALUE"""),"product.team@vyro.ai")</f>
        <v>product.team@vyro.ai</v>
      </c>
      <c r="AP395" s="228" t="str">
        <f>IFERROR(__xludf.DUMMYFUNCTION("""COMPUTED_VALUE"""),"NO")</f>
        <v>NO</v>
      </c>
      <c r="AQ395" s="228" t="str">
        <f>IFERROR(__xludf.DUMMYFUNCTION("""COMPUTED_VALUE"""),"Resigned/Terminated")</f>
        <v>Resigned/Terminated</v>
      </c>
    </row>
    <row r="396">
      <c r="A396" s="228">
        <f>IFERROR(__xludf.DUMMYFUNCTION("""COMPUTED_VALUE"""),5331.0)</f>
        <v>5331</v>
      </c>
      <c r="B396" s="228" t="str">
        <f>IFERROR(__xludf.DUMMYFUNCTION("""COMPUTED_VALUE"""),"Faisal Amin")</f>
        <v>Faisal Amin</v>
      </c>
      <c r="C396" s="228" t="str">
        <f>IFERROR(__xludf.DUMMYFUNCTION("""COMPUTED_VALUE"""),"faysalamin001@gmail.com")</f>
        <v>faysalamin001@gmail.com</v>
      </c>
      <c r="D396" s="228" t="str">
        <f>IFERROR(__xludf.DUMMYFUNCTION("""COMPUTED_VALUE"""),"faisal.amin@vyro.ai")</f>
        <v>faisal.amin@vyro.ai</v>
      </c>
      <c r="E396" s="730">
        <f>IFERROR(__xludf.DUMMYFUNCTION("""COMPUTED_VALUE"""),45628.0)</f>
        <v>45628</v>
      </c>
      <c r="F396" s="228" t="str">
        <f>IFERROR(__xludf.DUMMYFUNCTION("""COMPUTED_VALUE"""),"FrontEnd Developer")</f>
        <v>FrontEnd Developer</v>
      </c>
      <c r="G396" s="228" t="str">
        <f>IFERROR(__xludf.DUMMYFUNCTION("""COMPUTED_VALUE"""),"Web Engineering")</f>
        <v>Web Engineering</v>
      </c>
      <c r="H396" s="228"/>
      <c r="I396" s="228" t="str">
        <f>IFERROR(__xludf.DUMMYFUNCTION("""COMPUTED_VALUE"""),"Probation")</f>
        <v>Probation</v>
      </c>
      <c r="J396" s="228" t="str">
        <f>IFERROR(__xludf.DUMMYFUNCTION("""COMPUTED_VALUE"""),"Active")</f>
        <v>Active</v>
      </c>
      <c r="K396" s="228" t="str">
        <f>IFERROR(__xludf.DUMMYFUNCTION("""COMPUTED_VALUE"""),"3M")</f>
        <v>3M</v>
      </c>
      <c r="L396" s="732">
        <f>IFERROR(__xludf.DUMMYFUNCTION("""COMPUTED_VALUE"""),45718.0)</f>
        <v>45718</v>
      </c>
      <c r="M396" s="228"/>
      <c r="N396" s="228"/>
      <c r="O396" s="228"/>
      <c r="P396" s="228" t="str">
        <f>IFERROR(__xludf.DUMMYFUNCTION("""COMPUTED_VALUE"""),"03145866627")</f>
        <v>03145866627</v>
      </c>
      <c r="Q396" s="228" t="str">
        <f>IFERROR(__xludf.DUMMYFUNCTION("""COMPUTED_VALUE"""),"17301-4151031-9")</f>
        <v>17301-4151031-9</v>
      </c>
      <c r="R396" s="228" t="str">
        <f>IFERROR(__xludf.DUMMYFUNCTION("""COMPUTED_VALUE"""),"Male")</f>
        <v>Male</v>
      </c>
      <c r="S396" s="228" t="str">
        <f>IFERROR(__xludf.DUMMYFUNCTION("""COMPUTED_VALUE"""),"Meezan Bank")</f>
        <v>Meezan Bank</v>
      </c>
      <c r="T396" s="228" t="str">
        <f>IFERROR(__xludf.DUMMYFUNCTION("""COMPUTED_VALUE"""),"Faisal Amin")</f>
        <v>Faisal Amin</v>
      </c>
      <c r="U396" s="228" t="str">
        <f>IFERROR(__xludf.DUMMYFUNCTION("""COMPUTED_VALUE"""),"PK50MEZN0007090108663071")</f>
        <v>PK50MEZN0007090108663071</v>
      </c>
      <c r="V396" s="228" t="str">
        <f>IFERROR(__xludf.DUMMYFUNCTION("""COMPUTED_VALUE"""),"MEZNPKKAPEW")</f>
        <v>MEZNPKKAPEW</v>
      </c>
      <c r="W396" s="228"/>
      <c r="X396" s="228" t="str">
        <f>IFERROR(__xludf.DUMMYFUNCTION("""COMPUTED_VALUE"""),"Islamabad")</f>
        <v>Islamabad</v>
      </c>
      <c r="Y396" s="730">
        <f>IFERROR(__xludf.DUMMYFUNCTION("""COMPUTED_VALUE"""),37026.0)</f>
        <v>37026</v>
      </c>
      <c r="Z396" s="228" t="str">
        <f>IFERROR(__xludf.DUMMYFUNCTION("""COMPUTED_VALUE"""),"23 Years")</f>
        <v>23 Years</v>
      </c>
      <c r="AA396" s="228" t="str">
        <f>IFERROR(__xludf.DUMMYFUNCTION("""COMPUTED_VALUE"""),"Warsak Road Pir Bala Peshawar")</f>
        <v>Warsak Road Pir Bala Peshawar</v>
      </c>
      <c r="AB396" s="228" t="str">
        <f>IFERROR(__xludf.DUMMYFUNCTION("""COMPUTED_VALUE"""),"Pakistani")</f>
        <v>Pakistani</v>
      </c>
      <c r="AC396" s="228" t="str">
        <f>IFERROR(__xludf.DUMMYFUNCTION("""COMPUTED_VALUE"""),"Single")</f>
        <v>Single</v>
      </c>
      <c r="AD396" s="228"/>
      <c r="AE396" s="228"/>
      <c r="AF396" s="228"/>
      <c r="AG396" s="228" t="str">
        <f>IFERROR(__xludf.DUMMYFUNCTION("""COMPUTED_VALUE"""),"3149091083")</f>
        <v>3149091083</v>
      </c>
      <c r="AH396" s="228" t="str">
        <f>IFERROR(__xludf.DUMMYFUNCTION("""COMPUTED_VALUE"""),"Elder Brother")</f>
        <v>Elder Brother</v>
      </c>
      <c r="AI396" s="228" t="str">
        <f>IFERROR(__xludf.DUMMYFUNCTION("""COMPUTED_VALUE"""),"03149091083")</f>
        <v>03149091083</v>
      </c>
      <c r="AJ396" s="228" t="str">
        <f>IFERROR(__xludf.DUMMYFUNCTION("""COMPUTED_VALUE"""),"O+")</f>
        <v>O+</v>
      </c>
      <c r="AK396" s="731" t="str">
        <f>IFERROR(__xludf.DUMMYFUNCTION("""COMPUTED_VALUE"""),"https://www.linkedin.com/in/faisalamin001")</f>
        <v>https://www.linkedin.com/in/faisalamin001</v>
      </c>
      <c r="AL396" s="228"/>
      <c r="AM396" s="730">
        <f>IFERROR(__xludf.DUMMYFUNCTION("""COMPUTED_VALUE"""),45758.0)</f>
        <v>45758</v>
      </c>
      <c r="AN396" s="228" t="str">
        <f>IFERROR(__xludf.DUMMYFUNCTION("""COMPUTED_VALUE"""),"Web Front-End")</f>
        <v>Web Front-End</v>
      </c>
      <c r="AO396" s="228" t="str">
        <f>IFERROR(__xludf.DUMMYFUNCTION("""COMPUTED_VALUE"""),"web.front.end@vyro.ai")</f>
        <v>web.front.end@vyro.ai</v>
      </c>
      <c r="AP396" s="228" t="str">
        <f>IFERROR(__xludf.DUMMYFUNCTION("""COMPUTED_VALUE"""),"NO")</f>
        <v>NO</v>
      </c>
      <c r="AQ396" s="228" t="str">
        <f>IFERROR(__xludf.DUMMYFUNCTION("""COMPUTED_VALUE"""),"Resigned/Terminated")</f>
        <v>Resigned/Terminated</v>
      </c>
    </row>
    <row r="397">
      <c r="A397" s="228"/>
      <c r="B397" s="228" t="str">
        <f>IFERROR(__xludf.DUMMYFUNCTION("""COMPUTED_VALUE"""),"Ameerullah")</f>
        <v>Ameerullah</v>
      </c>
      <c r="C397" s="228"/>
      <c r="D397" s="228"/>
      <c r="E397" s="730">
        <f>IFERROR(__xludf.DUMMYFUNCTION("""COMPUTED_VALUE"""),45089.0)</f>
        <v>45089</v>
      </c>
      <c r="F397" s="228" t="str">
        <f>IFERROR(__xludf.DUMMYFUNCTION("""COMPUTED_VALUE"""),"Office Assistant")</f>
        <v>Office Assistant</v>
      </c>
      <c r="G397" s="228"/>
      <c r="H397" s="228"/>
      <c r="I397" s="228"/>
      <c r="J397" s="228"/>
      <c r="K397" s="228"/>
      <c r="L397" s="228"/>
      <c r="M397" s="228"/>
      <c r="N397" s="228"/>
      <c r="O397" s="228"/>
      <c r="P397" s="228"/>
      <c r="Q397" s="228"/>
      <c r="R397" s="228"/>
      <c r="S397" s="228"/>
      <c r="T397" s="228"/>
      <c r="U397" s="228"/>
      <c r="V397" s="228"/>
      <c r="W397" s="228"/>
      <c r="X397" s="228"/>
      <c r="Y397" s="228"/>
      <c r="Z397" s="228"/>
      <c r="AA397" s="228"/>
      <c r="AB397" s="228"/>
      <c r="AC397" s="228"/>
      <c r="AD397" s="228"/>
      <c r="AE397" s="228"/>
      <c r="AF397" s="228"/>
      <c r="AG397" s="228"/>
      <c r="AH397" s="228"/>
      <c r="AI397" s="228"/>
      <c r="AJ397" s="228"/>
      <c r="AK397" s="228"/>
      <c r="AL397" s="228"/>
      <c r="AM397" s="228"/>
      <c r="AN397" s="228"/>
      <c r="AO397" s="228"/>
      <c r="AP397" s="228"/>
      <c r="AQ397" s="228" t="str">
        <f>IFERROR(__xludf.DUMMYFUNCTION("""COMPUTED_VALUE"""),"Resigned/Terminated")</f>
        <v>Resigned/Terminated</v>
      </c>
    </row>
    <row r="398">
      <c r="A398" s="228"/>
      <c r="B398" s="228" t="str">
        <f>IFERROR(__xludf.DUMMYFUNCTION("""COMPUTED_VALUE"""),"Nasir")</f>
        <v>Nasir</v>
      </c>
      <c r="C398" s="228"/>
      <c r="D398" s="228"/>
      <c r="E398" s="730">
        <f>IFERROR(__xludf.DUMMYFUNCTION("""COMPUTED_VALUE"""),45083.0)</f>
        <v>45083</v>
      </c>
      <c r="F398" s="228" t="str">
        <f>IFERROR(__xludf.DUMMYFUNCTION("""COMPUTED_VALUE"""),"Office Assistant")</f>
        <v>Office Assistant</v>
      </c>
      <c r="G398" s="228"/>
      <c r="H398" s="228"/>
      <c r="I398" s="228"/>
      <c r="J398" s="228"/>
      <c r="K398" s="228"/>
      <c r="L398" s="228"/>
      <c r="M398" s="228"/>
      <c r="N398" s="228"/>
      <c r="O398" s="228"/>
      <c r="P398" s="228"/>
      <c r="Q398" s="228"/>
      <c r="R398" s="228"/>
      <c r="S398" s="228"/>
      <c r="T398" s="228"/>
      <c r="U398" s="228"/>
      <c r="V398" s="228"/>
      <c r="W398" s="228"/>
      <c r="X398" s="228"/>
      <c r="Y398" s="228"/>
      <c r="Z398" s="228"/>
      <c r="AA398" s="228"/>
      <c r="AB398" s="228"/>
      <c r="AC398" s="228"/>
      <c r="AD398" s="228"/>
      <c r="AE398" s="228"/>
      <c r="AF398" s="228"/>
      <c r="AG398" s="228"/>
      <c r="AH398" s="228"/>
      <c r="AI398" s="228"/>
      <c r="AJ398" s="228"/>
      <c r="AK398" s="228"/>
      <c r="AL398" s="228"/>
      <c r="AM398" s="228"/>
      <c r="AN398" s="228"/>
      <c r="AO398" s="228"/>
      <c r="AP398" s="228"/>
      <c r="AQ398" s="228" t="str">
        <f>IFERROR(__xludf.DUMMYFUNCTION("""COMPUTED_VALUE"""),"Resigned/Terminated")</f>
        <v>Resigned/Terminated</v>
      </c>
    </row>
    <row r="399">
      <c r="A399" s="228">
        <f>IFERROR(__xludf.DUMMYFUNCTION("""COMPUTED_VALUE"""),1.0)</f>
        <v>1</v>
      </c>
      <c r="B399" s="228" t="str">
        <f>IFERROR(__xludf.DUMMYFUNCTION("""COMPUTED_VALUE"""),"Mukhtar Ahmed")</f>
        <v>Mukhtar Ahmed</v>
      </c>
      <c r="C399" s="228"/>
      <c r="D399" s="228"/>
      <c r="E399" s="730">
        <f>IFERROR(__xludf.DUMMYFUNCTION("""COMPUTED_VALUE"""),44415.0)</f>
        <v>44415</v>
      </c>
      <c r="F399" s="228" t="str">
        <f>IFERROR(__xludf.DUMMYFUNCTION("""COMPUTED_VALUE"""),"Office Assistant")</f>
        <v>Office Assistant</v>
      </c>
      <c r="G399" s="228"/>
      <c r="H399" s="228"/>
      <c r="I399" s="228"/>
      <c r="J399" s="228"/>
      <c r="K399" s="228"/>
      <c r="L399" s="228"/>
      <c r="M399" s="228"/>
      <c r="N399" s="228"/>
      <c r="O399" s="228"/>
      <c r="P399" s="228" t="str">
        <f>IFERROR(__xludf.DUMMYFUNCTION("""COMPUTED_VALUE"""),"03318640803")</f>
        <v>03318640803</v>
      </c>
      <c r="Q399" s="228" t="str">
        <f>IFERROR(__xludf.DUMMYFUNCTION("""COMPUTED_VALUE"""),"33201-5658059-5")</f>
        <v>33201-5658059-5</v>
      </c>
      <c r="R399" s="228"/>
      <c r="S399" s="228"/>
      <c r="T399" s="228"/>
      <c r="U399" s="228"/>
      <c r="V399" s="228"/>
      <c r="W399" s="228"/>
      <c r="X399" s="228"/>
      <c r="Y399" s="730">
        <f>IFERROR(__xludf.DUMMYFUNCTION("""COMPUTED_VALUE"""),25569.0)</f>
        <v>25569</v>
      </c>
      <c r="Z399" s="228" t="str">
        <f>IFERROR(__xludf.DUMMYFUNCTION("""COMPUTED_VALUE"""),"55 Years")</f>
        <v>55 Years</v>
      </c>
      <c r="AA399" s="228"/>
      <c r="AB399" s="228" t="str">
        <f>IFERROR(__xludf.DUMMYFUNCTION("""COMPUTED_VALUE"""),"Pakistani")</f>
        <v>Pakistani</v>
      </c>
      <c r="AC399" s="228"/>
      <c r="AD399" s="228"/>
      <c r="AE399" s="228"/>
      <c r="AF399" s="228"/>
      <c r="AG399" s="228" t="str">
        <f>IFERROR(__xludf.DUMMYFUNCTION("""COMPUTED_VALUE"""),"Iftikhar Ahmed")</f>
        <v>Iftikhar Ahmed</v>
      </c>
      <c r="AH399" s="228" t="str">
        <f>IFERROR(__xludf.DUMMYFUNCTION("""COMPUTED_VALUE"""),"Son")</f>
        <v>Son</v>
      </c>
      <c r="AI399" s="228" t="str">
        <f>IFERROR(__xludf.DUMMYFUNCTION("""COMPUTED_VALUE"""),"0341 1472688")</f>
        <v>0341 1472688</v>
      </c>
      <c r="AJ399" s="228"/>
      <c r="AK399" s="228"/>
      <c r="AL399" s="228"/>
      <c r="AM399" s="228"/>
      <c r="AN399" s="228"/>
      <c r="AO399" s="228"/>
      <c r="AP399" s="228"/>
      <c r="AQ399" s="228" t="str">
        <f>IFERROR(__xludf.DUMMYFUNCTION("""COMPUTED_VALUE"""),"Resigned/Terminated")</f>
        <v>Resigned/Terminated</v>
      </c>
    </row>
    <row r="400">
      <c r="A400" s="228">
        <f>IFERROR(__xludf.DUMMYFUNCTION("""COMPUTED_VALUE"""),5042.0)</f>
        <v>5042</v>
      </c>
      <c r="B400" s="228" t="str">
        <f>IFERROR(__xludf.DUMMYFUNCTION("""COMPUTED_VALUE"""),"Zahid")</f>
        <v>Zahid</v>
      </c>
      <c r="C400" s="228"/>
      <c r="D400" s="228"/>
      <c r="E400" s="228"/>
      <c r="F400" s="228" t="str">
        <f>IFERROR(__xludf.DUMMYFUNCTION("""COMPUTED_VALUE"""),"Office Assistant")</f>
        <v>Office Assistant</v>
      </c>
      <c r="G400" s="228"/>
      <c r="H400" s="228"/>
      <c r="I400" s="228"/>
      <c r="J400" s="228"/>
      <c r="K400" s="228"/>
      <c r="L400" s="228"/>
      <c r="M400" s="228"/>
      <c r="N400" s="228"/>
      <c r="O400" s="228"/>
      <c r="P400" s="228"/>
      <c r="Q400" s="228"/>
      <c r="R400" s="228"/>
      <c r="S400" s="228"/>
      <c r="T400" s="228"/>
      <c r="U400" s="228"/>
      <c r="V400" s="228"/>
      <c r="W400" s="228"/>
      <c r="X400" s="228"/>
      <c r="Y400" s="228"/>
      <c r="Z400" s="228"/>
      <c r="AA400" s="228"/>
      <c r="AB400" s="228"/>
      <c r="AC400" s="228"/>
      <c r="AD400" s="228"/>
      <c r="AE400" s="228"/>
      <c r="AF400" s="228"/>
      <c r="AG400" s="228"/>
      <c r="AH400" s="228"/>
      <c r="AI400" s="228"/>
      <c r="AJ400" s="228"/>
      <c r="AK400" s="228"/>
      <c r="AL400" s="228"/>
      <c r="AM400" s="228"/>
      <c r="AN400" s="228"/>
      <c r="AO400" s="228"/>
      <c r="AP400" s="228"/>
      <c r="AQ400" s="228" t="str">
        <f>IFERROR(__xludf.DUMMYFUNCTION("""COMPUTED_VALUE"""),"Resigned/Terminated")</f>
        <v>Resigned/Terminated</v>
      </c>
    </row>
    <row r="401">
      <c r="A401" s="228">
        <f>IFERROR(__xludf.DUMMYFUNCTION("""COMPUTED_VALUE"""),5389.0)</f>
        <v>5389</v>
      </c>
      <c r="B401" s="228" t="str">
        <f>IFERROR(__xludf.DUMMYFUNCTION("""COMPUTED_VALUE"""),"syed sajjad ahmed rizvi")</f>
        <v>syed sajjad ahmed rizvi</v>
      </c>
      <c r="C401" s="228" t="str">
        <f>IFERROR(__xludf.DUMMYFUNCTION("""COMPUTED_VALUE"""),"sajjad.rizvi7@gmail.com")</f>
        <v>sajjad.rizvi7@gmail.com</v>
      </c>
      <c r="D401" s="228" t="str">
        <f>IFERROR(__xludf.DUMMYFUNCTION("""COMPUTED_VALUE"""),"sajjad.rizvi@vyro.ai")</f>
        <v>sajjad.rizvi@vyro.ai</v>
      </c>
      <c r="E401" s="730">
        <f>IFERROR(__xludf.DUMMYFUNCTION("""COMPUTED_VALUE"""),45761.0)</f>
        <v>45761</v>
      </c>
      <c r="F401" s="228" t="str">
        <f>IFERROR(__xludf.DUMMYFUNCTION("""COMPUTED_VALUE"""),"Manager IT and Admin")</f>
        <v>Manager IT and Admin</v>
      </c>
      <c r="G401" s="228" t="str">
        <f>IFERROR(__xludf.DUMMYFUNCTION("""COMPUTED_VALUE"""),"IT and Admin")</f>
        <v>IT and Admin</v>
      </c>
      <c r="H401" s="228" t="str">
        <f>IFERROR(__xludf.DUMMYFUNCTION("""COMPUTED_VALUE"""),"CEO")</f>
        <v>CEO</v>
      </c>
      <c r="I401" s="228" t="str">
        <f>IFERROR(__xludf.DUMMYFUNCTION("""COMPUTED_VALUE"""),"Onsite")</f>
        <v>Onsite</v>
      </c>
      <c r="J401" s="228" t="str">
        <f>IFERROR(__xludf.DUMMYFUNCTION("""COMPUTED_VALUE"""),"Active")</f>
        <v>Active</v>
      </c>
      <c r="K401" s="228"/>
      <c r="L401" s="732">
        <f>IFERROR(__xludf.DUMMYFUNCTION("""COMPUTED_VALUE"""),45852.0)</f>
        <v>45852</v>
      </c>
      <c r="M401" s="228"/>
      <c r="N401" s="228"/>
      <c r="O401" s="228"/>
      <c r="P401" s="228" t="str">
        <f>IFERROR(__xludf.DUMMYFUNCTION("""COMPUTED_VALUE"""),"03445507032")</f>
        <v>03445507032</v>
      </c>
      <c r="Q401" s="228" t="str">
        <f>IFERROR(__xludf.DUMMYFUNCTION("""COMPUTED_VALUE"""),"37405-5585599-9")</f>
        <v>37405-5585599-9</v>
      </c>
      <c r="R401" s="228" t="str">
        <f>IFERROR(__xludf.DUMMYFUNCTION("""COMPUTED_VALUE"""),"Male")</f>
        <v>Male</v>
      </c>
      <c r="S401" s="228" t="str">
        <f>IFERROR(__xludf.DUMMYFUNCTION("""COMPUTED_VALUE"""),"HBL")</f>
        <v>HBL</v>
      </c>
      <c r="T401" s="228" t="str">
        <f>IFERROR(__xludf.DUMMYFUNCTION("""COMPUTED_VALUE"""),"Syed Sajjad")</f>
        <v>Syed Sajjad</v>
      </c>
      <c r="U401" s="228" t="str">
        <f>IFERROR(__xludf.DUMMYFUNCTION("""COMPUTED_VALUE"""),"PK29HABB0023397901992803")</f>
        <v>PK29HABB0023397901992803</v>
      </c>
      <c r="V401" s="228" t="str">
        <f>IFERROR(__xludf.DUMMYFUNCTION("""COMPUTED_VALUE"""),"HABBPKKA")</f>
        <v>HABBPKKA</v>
      </c>
      <c r="W401" s="228"/>
      <c r="X401" s="228"/>
      <c r="Y401" s="730">
        <f>IFERROR(__xludf.DUMMYFUNCTION("""COMPUTED_VALUE"""),32257.0)</f>
        <v>32257</v>
      </c>
      <c r="Z401" s="228" t="str">
        <f>IFERROR(__xludf.DUMMYFUNCTION("""COMPUTED_VALUE"""),"36 Years")</f>
        <v>36 Years</v>
      </c>
      <c r="AA401" s="228" t="str">
        <f>IFERROR(__xludf.DUMMYFUNCTION("""COMPUTED_VALUE"""),"House 201 street 8 Block A PWD Islamabad")</f>
        <v>House 201 street 8 Block A PWD Islamabad</v>
      </c>
      <c r="AB401" s="228" t="str">
        <f>IFERROR(__xludf.DUMMYFUNCTION("""COMPUTED_VALUE"""),"pakistani")</f>
        <v>pakistani</v>
      </c>
      <c r="AC401" s="228" t="str">
        <f>IFERROR(__xludf.DUMMYFUNCTION("""COMPUTED_VALUE"""),"Married")</f>
        <v>Married</v>
      </c>
      <c r="AD401" s="228"/>
      <c r="AE401" s="228"/>
      <c r="AF401" s="228"/>
      <c r="AG401" s="228" t="str">
        <f>IFERROR(__xludf.DUMMYFUNCTION("""COMPUTED_VALUE"""),"Shakeel Ahmad")</f>
        <v>Shakeel Ahmad</v>
      </c>
      <c r="AH401" s="228" t="str">
        <f>IFERROR(__xludf.DUMMYFUNCTION("""COMPUTED_VALUE"""),"Wife")</f>
        <v>Wife</v>
      </c>
      <c r="AI401" s="228" t="str">
        <f>IFERROR(__xludf.DUMMYFUNCTION("""COMPUTED_VALUE"""),"03311209478")</f>
        <v>03311209478</v>
      </c>
      <c r="AJ401" s="228" t="str">
        <f>IFERROR(__xludf.DUMMYFUNCTION("""COMPUTED_VALUE"""),"B+")</f>
        <v>B+</v>
      </c>
      <c r="AK401" s="731" t="str">
        <f>IFERROR(__xludf.DUMMYFUNCTION("""COMPUTED_VALUE"""),"https://www.linkedin.com/in/sajjad-ahmed-81070960/")</f>
        <v>https://www.linkedin.com/in/sajjad-ahmed-81070960/</v>
      </c>
      <c r="AL401" s="228"/>
      <c r="AM401" s="730">
        <f>IFERROR(__xludf.DUMMYFUNCTION("""COMPUTED_VALUE"""),45761.0)</f>
        <v>45761</v>
      </c>
      <c r="AN401" s="228"/>
      <c r="AO401" s="228"/>
      <c r="AP401" s="228" t="str">
        <f>IFERROR(__xludf.DUMMYFUNCTION("""COMPUTED_VALUE"""),"NO")</f>
        <v>NO</v>
      </c>
      <c r="AQ401" s="228" t="str">
        <f>IFERROR(__xludf.DUMMYFUNCTION("""COMPUTED_VALUE"""),"Resigned/Terminated")</f>
        <v>Resigned/Terminated</v>
      </c>
    </row>
    <row r="402">
      <c r="A402" s="228">
        <f>IFERROR(__xludf.DUMMYFUNCTION("""COMPUTED_VALUE"""),5348.0)</f>
        <v>5348</v>
      </c>
      <c r="B402" s="228" t="str">
        <f>IFERROR(__xludf.DUMMYFUNCTION("""COMPUTED_VALUE"""),"Abdullah Kashif")</f>
        <v>Abdullah Kashif</v>
      </c>
      <c r="C402" s="228" t="str">
        <f>IFERROR(__xludf.DUMMYFUNCTION("""COMPUTED_VALUE"""),"abdullahkhanabk10@gmail.com")</f>
        <v>abdullahkhanabk10@gmail.com</v>
      </c>
      <c r="D402" s="228" t="str">
        <f>IFERROR(__xludf.DUMMYFUNCTION("""COMPUTED_VALUE"""),"abdullah.khan@vyro.ai")</f>
        <v>abdullah.khan@vyro.ai</v>
      </c>
      <c r="E402" s="730">
        <f>IFERROR(__xludf.DUMMYFUNCTION("""COMPUTED_VALUE"""),45670.0)</f>
        <v>45670</v>
      </c>
      <c r="F402" s="228" t="str">
        <f>IFERROR(__xludf.DUMMYFUNCTION("""COMPUTED_VALUE"""),"Visual Designer")</f>
        <v>Visual Designer</v>
      </c>
      <c r="G402" s="228" t="str">
        <f>IFERROR(__xludf.DUMMYFUNCTION("""COMPUTED_VALUE"""),"Creatives")</f>
        <v>Creatives</v>
      </c>
      <c r="H402" s="228" t="str">
        <f>IFERROR(__xludf.DUMMYFUNCTION("""COMPUTED_VALUE"""),"Shawal Fida")</f>
        <v>Shawal Fida</v>
      </c>
      <c r="I402" s="228" t="str">
        <f>IFERROR(__xludf.DUMMYFUNCTION("""COMPUTED_VALUE"""),"Probation")</f>
        <v>Probation</v>
      </c>
      <c r="J402" s="228" t="str">
        <f>IFERROR(__xludf.DUMMYFUNCTION("""COMPUTED_VALUE"""),"Active")</f>
        <v>Active</v>
      </c>
      <c r="K402" s="228" t="str">
        <f>IFERROR(__xludf.DUMMYFUNCTION("""COMPUTED_VALUE"""),"3M")</f>
        <v>3M</v>
      </c>
      <c r="L402" s="732">
        <f>IFERROR(__xludf.DUMMYFUNCTION("""COMPUTED_VALUE"""),45760.0)</f>
        <v>45760</v>
      </c>
      <c r="M402" s="228"/>
      <c r="N402" s="228"/>
      <c r="O402" s="228"/>
      <c r="P402" s="228" t="str">
        <f>IFERROR(__xludf.DUMMYFUNCTION("""COMPUTED_VALUE"""),"03082862597")</f>
        <v>03082862597</v>
      </c>
      <c r="Q402" s="228" t="str">
        <f>IFERROR(__xludf.DUMMYFUNCTION("""COMPUTED_VALUE"""),"42501-6614539-9")</f>
        <v>42501-6614539-9</v>
      </c>
      <c r="R402" s="228" t="str">
        <f>IFERROR(__xludf.DUMMYFUNCTION("""COMPUTED_VALUE"""),"Male")</f>
        <v>Male</v>
      </c>
      <c r="S402" s="228" t="str">
        <f>IFERROR(__xludf.DUMMYFUNCTION("""COMPUTED_VALUE"""),"Meezan Bank")</f>
        <v>Meezan Bank</v>
      </c>
      <c r="T402" s="228" t="str">
        <f>IFERROR(__xludf.DUMMYFUNCTION("""COMPUTED_VALUE"""),"ABDULLAH KASHIF
Meezan Bank-G-10 Markaz Branch Islamabad
Account Number: 03270105533400
IBAN: PK21MEZN0003270105533400")</f>
        <v>ABDULLAH KASHIF
Meezan Bank-G-10 Markaz Branch Islamabad
Account Number: 03270105533400
IBAN: PK21MEZN0003270105533400</v>
      </c>
      <c r="U402" s="228"/>
      <c r="V402" s="228"/>
      <c r="W402" s="228"/>
      <c r="X402" s="228" t="str">
        <f>IFERROR(__xludf.DUMMYFUNCTION("""COMPUTED_VALUE"""),"Islamabad")</f>
        <v>Islamabad</v>
      </c>
      <c r="Y402" s="730">
        <f>IFERROR(__xludf.DUMMYFUNCTION("""COMPUTED_VALUE"""),36879.0)</f>
        <v>36879</v>
      </c>
      <c r="Z402" s="228" t="str">
        <f>IFERROR(__xludf.DUMMYFUNCTION("""COMPUTED_VALUE"""),"24 Years")</f>
        <v>24 Years</v>
      </c>
      <c r="AA402" s="228" t="str">
        <f>IFERROR(__xludf.DUMMYFUNCTION("""COMPUTED_VALUE"""),"House #H-131, Sector G10/3, Street 54 Islamabad")</f>
        <v>House #H-131, Sector G10/3, Street 54 Islamabad</v>
      </c>
      <c r="AB402" s="228" t="str">
        <f>IFERROR(__xludf.DUMMYFUNCTION("""COMPUTED_VALUE"""),"Pakistani")</f>
        <v>Pakistani</v>
      </c>
      <c r="AC402" s="228" t="str">
        <f>IFERROR(__xludf.DUMMYFUNCTION("""COMPUTED_VALUE"""),"Single")</f>
        <v>Single</v>
      </c>
      <c r="AD402" s="228"/>
      <c r="AE402" s="228"/>
      <c r="AF402" s="228"/>
      <c r="AG402" s="228" t="str">
        <f>IFERROR(__xludf.DUMMYFUNCTION("""COMPUTED_VALUE"""),"Farhan Ali Khan")</f>
        <v>Farhan Ali Khan</v>
      </c>
      <c r="AH402" s="228" t="str">
        <f>IFERROR(__xludf.DUMMYFUNCTION("""COMPUTED_VALUE"""),"Father")</f>
        <v>Father</v>
      </c>
      <c r="AI402" s="228" t="str">
        <f>IFERROR(__xludf.DUMMYFUNCTION("""COMPUTED_VALUE"""),"03212596482")</f>
        <v>03212596482</v>
      </c>
      <c r="AJ402" s="228" t="str">
        <f>IFERROR(__xludf.DUMMYFUNCTION("""COMPUTED_VALUE"""),"B+")</f>
        <v>B+</v>
      </c>
      <c r="AK402" s="731" t="str">
        <f>IFERROR(__xludf.DUMMYFUNCTION("""COMPUTED_VALUE"""),"https://www.linkedin.com/me?trk=p_mwlite_feed-secondary_nav")</f>
        <v>https://www.linkedin.com/me?trk=p_mwlite_feed-secondary_nav</v>
      </c>
      <c r="AL402" s="228"/>
      <c r="AM402" s="730">
        <f>IFERROR(__xludf.DUMMYFUNCTION("""COMPUTED_VALUE"""),45762.0)</f>
        <v>45762</v>
      </c>
      <c r="AN402" s="228"/>
      <c r="AO402" s="228"/>
      <c r="AP402" s="228" t="str">
        <f>IFERROR(__xludf.DUMMYFUNCTION("""COMPUTED_VALUE"""),"NO")</f>
        <v>NO</v>
      </c>
      <c r="AQ402" s="228" t="str">
        <f>IFERROR(__xludf.DUMMYFUNCTION("""COMPUTED_VALUE"""),"Resigned/Terminated")</f>
        <v>Resigned/Terminated</v>
      </c>
    </row>
    <row r="403">
      <c r="A403" s="228">
        <f>IFERROR(__xludf.DUMMYFUNCTION("""COMPUTED_VALUE"""),5272.0)</f>
        <v>5272</v>
      </c>
      <c r="B403" s="228" t="str">
        <f>IFERROR(__xludf.DUMMYFUNCTION("""COMPUTED_VALUE"""),"Syed Maaz Ahmed")</f>
        <v>Syed Maaz Ahmed</v>
      </c>
      <c r="C403" s="228" t="str">
        <f>IFERROR(__xludf.DUMMYFUNCTION("""COMPUTED_VALUE"""),"smaazahmed78@gmail.com")</f>
        <v>smaazahmed78@gmail.com</v>
      </c>
      <c r="D403" s="228" t="str">
        <f>IFERROR(__xludf.DUMMYFUNCTION("""COMPUTED_VALUE"""),"maaz.ahmed@vyro.ai")</f>
        <v>maaz.ahmed@vyro.ai</v>
      </c>
      <c r="E403" s="730">
        <f>IFERROR(__xludf.DUMMYFUNCTION("""COMPUTED_VALUE"""),45432.0)</f>
        <v>45432</v>
      </c>
      <c r="F403" s="228" t="str">
        <f>IFERROR(__xludf.DUMMYFUNCTION("""COMPUTED_VALUE"""),"Senior Marketing Executive")</f>
        <v>Senior Marketing Executive</v>
      </c>
      <c r="G403" s="228" t="str">
        <f>IFERROR(__xludf.DUMMYFUNCTION("""COMPUTED_VALUE"""),"Marketing")</f>
        <v>Marketing</v>
      </c>
      <c r="H403" s="228" t="str">
        <f>IFERROR(__xludf.DUMMYFUNCTION("""COMPUTED_VALUE"""),"Ahmed Abubakar, CEO")</f>
        <v>Ahmed Abubakar, CEO</v>
      </c>
      <c r="I403" s="228" t="str">
        <f>IFERROR(__xludf.DUMMYFUNCTION("""COMPUTED_VALUE"""),"Probation")</f>
        <v>Probation</v>
      </c>
      <c r="J403" s="228" t="str">
        <f>IFERROR(__xludf.DUMMYFUNCTION("""COMPUTED_VALUE"""),"Active")</f>
        <v>Active</v>
      </c>
      <c r="K403" s="228" t="str">
        <f>IFERROR(__xludf.DUMMYFUNCTION("""COMPUTED_VALUE"""),"3M")</f>
        <v>3M</v>
      </c>
      <c r="L403" s="732">
        <f>IFERROR(__xludf.DUMMYFUNCTION("""COMPUTED_VALUE"""),45524.0)</f>
        <v>45524</v>
      </c>
      <c r="M403" s="228"/>
      <c r="N403" s="228"/>
      <c r="O403" s="228"/>
      <c r="P403" s="228" t="str">
        <f>IFERROR(__xludf.DUMMYFUNCTION("""COMPUTED_VALUE"""),"03142344556")</f>
        <v>03142344556</v>
      </c>
      <c r="Q403" s="228" t="str">
        <f>IFERROR(__xludf.DUMMYFUNCTION("""COMPUTED_VALUE"""),"42101-8025278-5")</f>
        <v>42101-8025278-5</v>
      </c>
      <c r="R403" s="228" t="str">
        <f>IFERROR(__xludf.DUMMYFUNCTION("""COMPUTED_VALUE"""),"Male")</f>
        <v>Male</v>
      </c>
      <c r="S403" s="228" t="str">
        <f>IFERROR(__xludf.DUMMYFUNCTION("""COMPUTED_VALUE"""),"Bank Alfalah")</f>
        <v>Bank Alfalah</v>
      </c>
      <c r="T403" s="228" t="str">
        <f>IFERROR(__xludf.DUMMYFUNCTION("""COMPUTED_VALUE"""),"SYED MAAZ AHMED")</f>
        <v>SYED MAAZ AHMED</v>
      </c>
      <c r="U403" s="228" t="str">
        <f>IFERROR(__xludf.DUMMYFUNCTION("""COMPUTED_VALUE"""),"PK30ALFH0012001008621669")</f>
        <v>PK30ALFH0012001008621669</v>
      </c>
      <c r="V403" s="228" t="str">
        <f>IFERROR(__xludf.DUMMYFUNCTION("""COMPUTED_VALUE"""),"ALFHPKKACIT")</f>
        <v>ALFHPKKACIT</v>
      </c>
      <c r="W403" s="228"/>
      <c r="X403" s="228" t="str">
        <f>IFERROR(__xludf.DUMMYFUNCTION("""COMPUTED_VALUE"""),"Islamabad")</f>
        <v>Islamabad</v>
      </c>
      <c r="Y403" s="730">
        <f>IFERROR(__xludf.DUMMYFUNCTION("""COMPUTED_VALUE"""),36433.0)</f>
        <v>36433</v>
      </c>
      <c r="Z403" s="228" t="str">
        <f>IFERROR(__xludf.DUMMYFUNCTION("""COMPUTED_VALUE"""),"25 Years")</f>
        <v>25 Years</v>
      </c>
      <c r="AA403" s="228" t="str">
        <f>IFERROR(__xludf.DUMMYFUNCTION("""COMPUTED_VALUE"""),"5-C-B/28, Nazimabad, Karachi")</f>
        <v>5-C-B/28, Nazimabad, Karachi</v>
      </c>
      <c r="AB403" s="228" t="str">
        <f>IFERROR(__xludf.DUMMYFUNCTION("""COMPUTED_VALUE"""),"Pakistani")</f>
        <v>Pakistani</v>
      </c>
      <c r="AC403" s="228" t="str">
        <f>IFERROR(__xludf.DUMMYFUNCTION("""COMPUTED_VALUE"""),"Single")</f>
        <v>Single</v>
      </c>
      <c r="AD403" s="228"/>
      <c r="AE403" s="228"/>
      <c r="AF403" s="228"/>
      <c r="AG403" s="228" t="str">
        <f>IFERROR(__xludf.DUMMYFUNCTION("""COMPUTED_VALUE"""),"Syed Fawad Ahsen")</f>
        <v>Syed Fawad Ahsen</v>
      </c>
      <c r="AH403" s="228" t="str">
        <f>IFERROR(__xludf.DUMMYFUNCTION("""COMPUTED_VALUE"""),"Father")</f>
        <v>Father</v>
      </c>
      <c r="AI403" s="228" t="str">
        <f>IFERROR(__xludf.DUMMYFUNCTION("""COMPUTED_VALUE"""),"03131235671")</f>
        <v>03131235671</v>
      </c>
      <c r="AJ403" s="228" t="str">
        <f>IFERROR(__xludf.DUMMYFUNCTION("""COMPUTED_VALUE"""),"AB+")</f>
        <v>AB+</v>
      </c>
      <c r="AK403" s="731" t="str">
        <f>IFERROR(__xludf.DUMMYFUNCTION("""COMPUTED_VALUE"""),"https://www.linkedin.com/in/syedmaazahmed1/")</f>
        <v>https://www.linkedin.com/in/syedmaazahmed1/</v>
      </c>
      <c r="AL403" s="228"/>
      <c r="AM403" s="730">
        <f>IFERROR(__xludf.DUMMYFUNCTION("""COMPUTED_VALUE"""),45758.0)</f>
        <v>45758</v>
      </c>
      <c r="AN403" s="228" t="str">
        <f>IFERROR(__xludf.DUMMYFUNCTION("""COMPUTED_VALUE"""),"iOS Growth, Marketing")</f>
        <v>iOS Growth, Marketing</v>
      </c>
      <c r="AO403" s="228" t="str">
        <f>IFERROR(__xludf.DUMMYFUNCTION("""COMPUTED_VALUE"""),"ios.growth.team@vyro.ai, marketing.team@vyro.ai")</f>
        <v>ios.growth.team@vyro.ai, marketing.team@vyro.ai</v>
      </c>
      <c r="AP403" s="228"/>
      <c r="AQ403" s="228" t="str">
        <f>IFERROR(__xludf.DUMMYFUNCTION("""COMPUTED_VALUE"""),"Resigned/Terminated")</f>
        <v>Resigned/Terminated</v>
      </c>
    </row>
    <row r="404">
      <c r="A404" s="228">
        <f>IFERROR(__xludf.DUMMYFUNCTION("""COMPUTED_VALUE"""),5356.0)</f>
        <v>5356</v>
      </c>
      <c r="B404" s="228" t="str">
        <f>IFERROR(__xludf.DUMMYFUNCTION("""COMPUTED_VALUE"""),"Atif Ali ( Office boy )")</f>
        <v>Atif Ali ( Office boy )</v>
      </c>
      <c r="C404" s="228"/>
      <c r="D404" s="228"/>
      <c r="E404" s="730">
        <f>IFERROR(__xludf.DUMMYFUNCTION("""COMPUTED_VALUE"""),45656.0)</f>
        <v>45656</v>
      </c>
      <c r="F404" s="228" t="str">
        <f>IFERROR(__xludf.DUMMYFUNCTION("""COMPUTED_VALUE"""),"Office Assistant")</f>
        <v>Office Assistant</v>
      </c>
      <c r="G404" s="228" t="str">
        <f>IFERROR(__xludf.DUMMYFUNCTION("""COMPUTED_VALUE"""),"Office Assistant")</f>
        <v>Office Assistant</v>
      </c>
      <c r="H404" s="228"/>
      <c r="I404" s="228"/>
      <c r="J404" s="228" t="str">
        <f>IFERROR(__xludf.DUMMYFUNCTION("""COMPUTED_VALUE"""),"Active")</f>
        <v>Active</v>
      </c>
      <c r="K404" s="228" t="str">
        <f>IFERROR(__xludf.DUMMYFUNCTION("""COMPUTED_VALUE"""),"3M")</f>
        <v>3M</v>
      </c>
      <c r="L404" s="228"/>
      <c r="M404" s="228"/>
      <c r="N404" s="228"/>
      <c r="O404" s="228"/>
      <c r="P404" s="228"/>
      <c r="Q404" s="228"/>
      <c r="R404" s="228" t="str">
        <f>IFERROR(__xludf.DUMMYFUNCTION("""COMPUTED_VALUE"""),"Male")</f>
        <v>Male</v>
      </c>
      <c r="S404" s="228"/>
      <c r="T404" s="228"/>
      <c r="U404" s="228"/>
      <c r="V404" s="228"/>
      <c r="W404" s="228"/>
      <c r="X404" s="228"/>
      <c r="Y404" s="228"/>
      <c r="Z404" s="228"/>
      <c r="AA404" s="228"/>
      <c r="AB404" s="228"/>
      <c r="AC404" s="228"/>
      <c r="AD404" s="228"/>
      <c r="AE404" s="228"/>
      <c r="AF404" s="228"/>
      <c r="AG404" s="228"/>
      <c r="AH404" s="228"/>
      <c r="AI404" s="228"/>
      <c r="AJ404" s="228"/>
      <c r="AK404" s="228"/>
      <c r="AL404" s="228"/>
      <c r="AM404" s="228"/>
      <c r="AN404" s="228"/>
      <c r="AO404" s="228"/>
      <c r="AP404" s="228" t="str">
        <f>IFERROR(__xludf.DUMMYFUNCTION("""COMPUTED_VALUE"""),"NO")</f>
        <v>NO</v>
      </c>
      <c r="AQ404" s="228" t="str">
        <f>IFERROR(__xludf.DUMMYFUNCTION("""COMPUTED_VALUE"""),"Resigned/Terminated")</f>
        <v>Resigned/Terminated</v>
      </c>
    </row>
    <row r="405">
      <c r="A405" s="228">
        <f>IFERROR(__xludf.DUMMYFUNCTION("""COMPUTED_VALUE"""),5345.0)</f>
        <v>5345</v>
      </c>
      <c r="B405" s="228" t="str">
        <f>IFERROR(__xludf.DUMMYFUNCTION("""COMPUTED_VALUE"""),"Ali Hassan")</f>
        <v>Ali Hassan</v>
      </c>
      <c r="C405" s="228" t="str">
        <f>IFERROR(__xludf.DUMMYFUNCTION("""COMPUTED_VALUE"""),"alihassankips5@gmail.com")</f>
        <v>alihassankips5@gmail.com</v>
      </c>
      <c r="D405" s="228" t="str">
        <f>IFERROR(__xludf.DUMMYFUNCTION("""COMPUTED_VALUE"""),"ali.hassan@vyro.ai")</f>
        <v>ali.hassan@vyro.ai</v>
      </c>
      <c r="E405" s="730">
        <f>IFERROR(__xludf.DUMMYFUNCTION("""COMPUTED_VALUE"""),45663.0)</f>
        <v>45663</v>
      </c>
      <c r="F405" s="228" t="str">
        <f>IFERROR(__xludf.DUMMYFUNCTION("""COMPUTED_VALUE"""),"Motion Graphics Designer")</f>
        <v>Motion Graphics Designer</v>
      </c>
      <c r="G405" s="228" t="str">
        <f>IFERROR(__xludf.DUMMYFUNCTION("""COMPUTED_VALUE"""),"Creatives")</f>
        <v>Creatives</v>
      </c>
      <c r="H405" s="228" t="str">
        <f>IFERROR(__xludf.DUMMYFUNCTION("""COMPUTED_VALUE"""),"Zain Ul Abideen")</f>
        <v>Zain Ul Abideen</v>
      </c>
      <c r="I405" s="228" t="str">
        <f>IFERROR(__xludf.DUMMYFUNCTION("""COMPUTED_VALUE"""),"Probation")</f>
        <v>Probation</v>
      </c>
      <c r="J405" s="228" t="str">
        <f>IFERROR(__xludf.DUMMYFUNCTION("""COMPUTED_VALUE"""),"Active")</f>
        <v>Active</v>
      </c>
      <c r="K405" s="228" t="str">
        <f>IFERROR(__xludf.DUMMYFUNCTION("""COMPUTED_VALUE"""),"3M")</f>
        <v>3M</v>
      </c>
      <c r="L405" s="732">
        <f>IFERROR(__xludf.DUMMYFUNCTION("""COMPUTED_VALUE"""),45753.0)</f>
        <v>45753</v>
      </c>
      <c r="M405" s="228"/>
      <c r="N405" s="228"/>
      <c r="O405" s="228"/>
      <c r="P405" s="228" t="str">
        <f>IFERROR(__xludf.DUMMYFUNCTION("""COMPUTED_VALUE"""),"03173705805")</f>
        <v>03173705805</v>
      </c>
      <c r="Q405" s="228" t="str">
        <f>IFERROR(__xludf.DUMMYFUNCTION("""COMPUTED_VALUE"""),"34202-5366041-5")</f>
        <v>34202-5366041-5</v>
      </c>
      <c r="R405" s="228" t="str">
        <f>IFERROR(__xludf.DUMMYFUNCTION("""COMPUTED_VALUE"""),"Male")</f>
        <v>Male</v>
      </c>
      <c r="S405" s="228" t="str">
        <f>IFERROR(__xludf.DUMMYFUNCTION("""COMPUTED_VALUE"""),"Askari Bank")</f>
        <v>Askari Bank</v>
      </c>
      <c r="T405" s="228" t="str">
        <f>IFERROR(__xludf.DUMMYFUNCTION("""COMPUTED_VALUE"""),"Ali Hassan")</f>
        <v>Ali Hassan</v>
      </c>
      <c r="U405" s="228" t="str">
        <f>IFERROR(__xludf.DUMMYFUNCTION("""COMPUTED_VALUE"""),"PK71ASCM0007230200014890")</f>
        <v>PK71ASCM0007230200014890</v>
      </c>
      <c r="V405" s="228" t="str">
        <f>IFERROR(__xludf.DUMMYFUNCTION("""COMPUTED_VALUE"""),"ASCMPKKA037")</f>
        <v>ASCMPKKA037</v>
      </c>
      <c r="W405" s="228"/>
      <c r="X405" s="228" t="str">
        <f>IFERROR(__xludf.DUMMYFUNCTION("""COMPUTED_VALUE"""),"Islamabad")</f>
        <v>Islamabad</v>
      </c>
      <c r="Y405" s="730">
        <f>IFERROR(__xludf.DUMMYFUNCTION("""COMPUTED_VALUE"""),36922.0)</f>
        <v>36922</v>
      </c>
      <c r="Z405" s="228" t="str">
        <f>IFERROR(__xludf.DUMMYFUNCTION("""COMPUTED_VALUE"""),"24 Years")</f>
        <v>24 Years</v>
      </c>
      <c r="AA405" s="228" t="str">
        <f>IFERROR(__xludf.DUMMYFUNCTION("""COMPUTED_VALUE"""),"Khurshid Colony, Street 04, Bhimber Road, Gujrat")</f>
        <v>Khurshid Colony, Street 04, Bhimber Road, Gujrat</v>
      </c>
      <c r="AB405" s="228" t="str">
        <f>IFERROR(__xludf.DUMMYFUNCTION("""COMPUTED_VALUE"""),"Pakistani")</f>
        <v>Pakistani</v>
      </c>
      <c r="AC405" s="228" t="str">
        <f>IFERROR(__xludf.DUMMYFUNCTION("""COMPUTED_VALUE"""),"Single")</f>
        <v>Single</v>
      </c>
      <c r="AD405" s="228"/>
      <c r="AE405" s="228"/>
      <c r="AF405" s="228"/>
      <c r="AG405" s="228" t="str">
        <f>IFERROR(__xludf.DUMMYFUNCTION("""COMPUTED_VALUE"""),"Riffat Shaheen")</f>
        <v>Riffat Shaheen</v>
      </c>
      <c r="AH405" s="228" t="str">
        <f>IFERROR(__xludf.DUMMYFUNCTION("""COMPUTED_VALUE"""),"Mother")</f>
        <v>Mother</v>
      </c>
      <c r="AI405" s="228" t="str">
        <f>IFERROR(__xludf.DUMMYFUNCTION("""COMPUTED_VALUE"""),"3227344142")</f>
        <v>3227344142</v>
      </c>
      <c r="AJ405" s="228" t="str">
        <f>IFERROR(__xludf.DUMMYFUNCTION("""COMPUTED_VALUE"""),"A+")</f>
        <v>A+</v>
      </c>
      <c r="AK405" s="731" t="str">
        <f>IFERROR(__xludf.DUMMYFUNCTION("""COMPUTED_VALUE"""),"https://www.linkedin.com/in/ali-hassan-983861258/")</f>
        <v>https://www.linkedin.com/in/ali-hassan-983861258/</v>
      </c>
      <c r="AL405" s="228"/>
      <c r="AM405" s="730">
        <f>IFERROR(__xludf.DUMMYFUNCTION("""COMPUTED_VALUE"""),45777.0)</f>
        <v>45777</v>
      </c>
      <c r="AN405" s="228"/>
      <c r="AO405" s="228"/>
      <c r="AP405" s="228" t="str">
        <f>IFERROR(__xludf.DUMMYFUNCTION("""COMPUTED_VALUE"""),"NO")</f>
        <v>NO</v>
      </c>
      <c r="AQ405" s="228" t="str">
        <f>IFERROR(__xludf.DUMMYFUNCTION("""COMPUTED_VALUE"""),"Resigned/Terminated")</f>
        <v>Resigned/Terminated</v>
      </c>
    </row>
    <row r="406">
      <c r="A406" s="228">
        <f>IFERROR(__xludf.DUMMYFUNCTION("""COMPUTED_VALUE"""),5352.0)</f>
        <v>5352</v>
      </c>
      <c r="B406" s="228" t="str">
        <f>IFERROR(__xludf.DUMMYFUNCTION("""COMPUTED_VALUE"""),"Momina Khan")</f>
        <v>Momina Khan</v>
      </c>
      <c r="C406" s="228" t="str">
        <f>IFERROR(__xludf.DUMMYFUNCTION("""COMPUTED_VALUE"""),"mominakhan231998@gmail.com")</f>
        <v>mominakhan231998@gmail.com</v>
      </c>
      <c r="D406" s="228" t="str">
        <f>IFERROR(__xludf.DUMMYFUNCTION("""COMPUTED_VALUE"""),"momina.khan@vyro.ai")</f>
        <v>momina.khan@vyro.ai</v>
      </c>
      <c r="E406" s="730">
        <f>IFERROR(__xludf.DUMMYFUNCTION("""COMPUTED_VALUE"""),45677.0)</f>
        <v>45677</v>
      </c>
      <c r="F406" s="228" t="str">
        <f>IFERROR(__xludf.DUMMYFUNCTION("""COMPUTED_VALUE"""),"Business Operations Associate")</f>
        <v>Business Operations Associate</v>
      </c>
      <c r="G406" s="228" t="str">
        <f>IFERROR(__xludf.DUMMYFUNCTION("""COMPUTED_VALUE"""),"Business")</f>
        <v>Business</v>
      </c>
      <c r="H406" s="228" t="str">
        <f>IFERROR(__xludf.DUMMYFUNCTION("""COMPUTED_VALUE"""),"Talha Arshad")</f>
        <v>Talha Arshad</v>
      </c>
      <c r="I406" s="228" t="str">
        <f>IFERROR(__xludf.DUMMYFUNCTION("""COMPUTED_VALUE"""),"Probation")</f>
        <v>Probation</v>
      </c>
      <c r="J406" s="228" t="str">
        <f>IFERROR(__xludf.DUMMYFUNCTION("""COMPUTED_VALUE"""),"Active")</f>
        <v>Active</v>
      </c>
      <c r="K406" s="228" t="str">
        <f>IFERROR(__xludf.DUMMYFUNCTION("""COMPUTED_VALUE"""),"3M")</f>
        <v>3M</v>
      </c>
      <c r="L406" s="732">
        <f>IFERROR(__xludf.DUMMYFUNCTION("""COMPUTED_VALUE"""),45767.0)</f>
        <v>45767</v>
      </c>
      <c r="M406" s="228"/>
      <c r="N406" s="228"/>
      <c r="O406" s="228"/>
      <c r="P406" s="228" t="str">
        <f>IFERROR(__xludf.DUMMYFUNCTION("""COMPUTED_VALUE"""),"3351716222")</f>
        <v>3351716222</v>
      </c>
      <c r="Q406" s="228" t="str">
        <f>IFERROR(__xludf.DUMMYFUNCTION("""COMPUTED_VALUE"""),"13101-9011845-4")</f>
        <v>13101-9011845-4</v>
      </c>
      <c r="R406" s="228" t="str">
        <f>IFERROR(__xludf.DUMMYFUNCTION("""COMPUTED_VALUE"""),"Female")</f>
        <v>Female</v>
      </c>
      <c r="S406" s="228" t="str">
        <f>IFERROR(__xludf.DUMMYFUNCTION("""COMPUTED_VALUE"""),"Bank: HBL")</f>
        <v>Bank: HBL</v>
      </c>
      <c r="T406" s="228" t="str">
        <f>IFERROR(__xludf.DUMMYFUNCTION("""COMPUTED_VALUE"""),"Name: Nusrat Alamgir")</f>
        <v>Name: Nusrat Alamgir</v>
      </c>
      <c r="U406" s="228" t="str">
        <f>IFERROR(__xludf.DUMMYFUNCTION("""COMPUTED_VALUE"""),"Account number: 18537901536303")</f>
        <v>Account number: 18537901536303</v>
      </c>
      <c r="V406" s="228" t="str">
        <f>IFERROR(__xludf.DUMMYFUNCTION("""COMPUTED_VALUE"""),"BOFSGBS1139")</f>
        <v>BOFSGBS1139</v>
      </c>
      <c r="W406" s="228"/>
      <c r="X406" s="228" t="str">
        <f>IFERROR(__xludf.DUMMYFUNCTION("""COMPUTED_VALUE"""),"Islamabad")</f>
        <v>Islamabad</v>
      </c>
      <c r="Y406" s="730">
        <f>IFERROR(__xludf.DUMMYFUNCTION("""COMPUTED_VALUE"""),36061.0)</f>
        <v>36061</v>
      </c>
      <c r="Z406" s="228" t="str">
        <f>IFERROR(__xludf.DUMMYFUNCTION("""COMPUTED_VALUE"""),"26 Years")</f>
        <v>26 Years</v>
      </c>
      <c r="AA406" s="228" t="str">
        <f>IFERROR(__xludf.DUMMYFUNCTION("""COMPUTED_VALUE"""),"I8/2 Street 39 House#67")</f>
        <v>I8/2 Street 39 House#67</v>
      </c>
      <c r="AB406" s="228" t="str">
        <f>IFERROR(__xludf.DUMMYFUNCTION("""COMPUTED_VALUE"""),"Pakistani")</f>
        <v>Pakistani</v>
      </c>
      <c r="AC406" s="228" t="str">
        <f>IFERROR(__xludf.DUMMYFUNCTION("""COMPUTED_VALUE"""),"Single")</f>
        <v>Single</v>
      </c>
      <c r="AD406" s="228"/>
      <c r="AE406" s="228"/>
      <c r="AF406" s="228"/>
      <c r="AG406" s="228" t="str">
        <f>IFERROR(__xludf.DUMMYFUNCTION("""COMPUTED_VALUE"""),"Muhammad Omar Khan")</f>
        <v>Muhammad Omar Khan</v>
      </c>
      <c r="AH406" s="228" t="str">
        <f>IFERROR(__xludf.DUMMYFUNCTION("""COMPUTED_VALUE"""),"Elder Brother")</f>
        <v>Elder Brother</v>
      </c>
      <c r="AI406" s="228" t="str">
        <f>IFERROR(__xludf.DUMMYFUNCTION("""COMPUTED_VALUE"""),"3351716222")</f>
        <v>3351716222</v>
      </c>
      <c r="AJ406" s="228" t="str">
        <f>IFERROR(__xludf.DUMMYFUNCTION("""COMPUTED_VALUE"""),"O+")</f>
        <v>O+</v>
      </c>
      <c r="AK406" s="731" t="str">
        <f>IFERROR(__xludf.DUMMYFUNCTION("""COMPUTED_VALUE"""),"https://www.linkedin.com/in/mominaalamgir/")</f>
        <v>https://www.linkedin.com/in/mominaalamgir/</v>
      </c>
      <c r="AL406" s="228"/>
      <c r="AM406" s="730">
        <f>IFERROR(__xludf.DUMMYFUNCTION("""COMPUTED_VALUE"""),45778.0)</f>
        <v>45778</v>
      </c>
      <c r="AN406" s="228"/>
      <c r="AO406" s="228"/>
      <c r="AP406" s="228" t="str">
        <f>IFERROR(__xludf.DUMMYFUNCTION("""COMPUTED_VALUE"""),"NO")</f>
        <v>NO</v>
      </c>
      <c r="AQ406" s="228" t="str">
        <f>IFERROR(__xludf.DUMMYFUNCTION("""COMPUTED_VALUE"""),"Resigned/Terminated")</f>
        <v>Resigned/Terminated</v>
      </c>
    </row>
    <row r="407">
      <c r="A407" s="228">
        <f>IFERROR(__xludf.DUMMYFUNCTION("""COMPUTED_VALUE"""),5350.0)</f>
        <v>5350</v>
      </c>
      <c r="B407" s="228" t="str">
        <f>IFERROR(__xludf.DUMMYFUNCTION("""COMPUTED_VALUE"""),"Azka Basit")</f>
        <v>Azka Basit</v>
      </c>
      <c r="C407" s="228" t="str">
        <f>IFERROR(__xludf.DUMMYFUNCTION("""COMPUTED_VALUE"""),"azkabasit2003@gmail.com")</f>
        <v>azkabasit2003@gmail.com</v>
      </c>
      <c r="D407" s="228" t="str">
        <f>IFERROR(__xludf.DUMMYFUNCTION("""COMPUTED_VALUE"""),"azka.basit@vyro.ai")</f>
        <v>azka.basit@vyro.ai</v>
      </c>
      <c r="E407" s="730">
        <f>IFERROR(__xludf.DUMMYFUNCTION("""COMPUTED_VALUE"""),45677.0)</f>
        <v>45677</v>
      </c>
      <c r="F407" s="228" t="str">
        <f>IFERROR(__xludf.DUMMYFUNCTION("""COMPUTED_VALUE"""),"Associate Machine Learning Engineer")</f>
        <v>Associate Machine Learning Engineer</v>
      </c>
      <c r="G407" s="228" t="str">
        <f>IFERROR(__xludf.DUMMYFUNCTION("""COMPUTED_VALUE"""),"Vyro Lab")</f>
        <v>Vyro Lab</v>
      </c>
      <c r="H407" s="228" t="str">
        <f>IFERROR(__xludf.DUMMYFUNCTION("""COMPUTED_VALUE"""),"M. Ahmed")</f>
        <v>M. Ahmed</v>
      </c>
      <c r="I407" s="228" t="str">
        <f>IFERROR(__xludf.DUMMYFUNCTION("""COMPUTED_VALUE"""),"Probation")</f>
        <v>Probation</v>
      </c>
      <c r="J407" s="228" t="str">
        <f>IFERROR(__xludf.DUMMYFUNCTION("""COMPUTED_VALUE"""),"Active")</f>
        <v>Active</v>
      </c>
      <c r="K407" s="228" t="str">
        <f>IFERROR(__xludf.DUMMYFUNCTION("""COMPUTED_VALUE"""),"3M")</f>
        <v>3M</v>
      </c>
      <c r="L407" s="732">
        <f>IFERROR(__xludf.DUMMYFUNCTION("""COMPUTED_VALUE"""),45767.0)</f>
        <v>45767</v>
      </c>
      <c r="M407" s="228"/>
      <c r="N407" s="228"/>
      <c r="O407" s="228"/>
      <c r="P407" s="228" t="str">
        <f>IFERROR(__xludf.DUMMYFUNCTION("""COMPUTED_VALUE"""),"3332646765")</f>
        <v>3332646765</v>
      </c>
      <c r="Q407" s="228" t="str">
        <f>IFERROR(__xludf.DUMMYFUNCTION("""COMPUTED_VALUE"""),"37405-8191241-2")</f>
        <v>37405-8191241-2</v>
      </c>
      <c r="R407" s="228" t="str">
        <f>IFERROR(__xludf.DUMMYFUNCTION("""COMPUTED_VALUE"""),"Female")</f>
        <v>Female</v>
      </c>
      <c r="S407" s="228" t="str">
        <f>IFERROR(__xludf.DUMMYFUNCTION("""COMPUTED_VALUE"""),"Bank AlHabib")</f>
        <v>Bank AlHabib</v>
      </c>
      <c r="T407" s="228" t="str">
        <f>IFERROR(__xludf.DUMMYFUNCTION("""COMPUTED_VALUE"""),"AZKA BASIT")</f>
        <v>AZKA BASIT</v>
      </c>
      <c r="U407" s="228" t="str">
        <f>IFERROR(__xludf.DUMMYFUNCTION("""COMPUTED_VALUE"""),"PK20BAHL0061182501202101")</f>
        <v>PK20BAHL0061182501202101</v>
      </c>
      <c r="V407" s="228" t="str">
        <f>IFERROR(__xludf.DUMMYFUNCTION("""COMPUTED_VALUE"""),"BAHLPKKA")</f>
        <v>BAHLPKKA</v>
      </c>
      <c r="W407" s="228"/>
      <c r="X407" s="228" t="str">
        <f>IFERROR(__xludf.DUMMYFUNCTION("""COMPUTED_VALUE"""),"Islamabad")</f>
        <v>Islamabad</v>
      </c>
      <c r="Y407" s="730">
        <f>IFERROR(__xludf.DUMMYFUNCTION("""COMPUTED_VALUE"""),37962.0)</f>
        <v>37962</v>
      </c>
      <c r="Z407" s="228" t="str">
        <f>IFERROR(__xludf.DUMMYFUNCTION("""COMPUTED_VALUE"""),"21 Years")</f>
        <v>21 Years</v>
      </c>
      <c r="AA407" s="228" t="str">
        <f>IFERROR(__xludf.DUMMYFUNCTION("""COMPUTED_VALUE"""),"House 121, Chaklala Scheme 1,Lane 3, Street 3 Rawalpindi")</f>
        <v>House 121, Chaklala Scheme 1,Lane 3, Street 3 Rawalpindi</v>
      </c>
      <c r="AB407" s="228" t="str">
        <f>IFERROR(__xludf.DUMMYFUNCTION("""COMPUTED_VALUE"""),"Pakistani")</f>
        <v>Pakistani</v>
      </c>
      <c r="AC407" s="228" t="str">
        <f>IFERROR(__xludf.DUMMYFUNCTION("""COMPUTED_VALUE"""),"Single")</f>
        <v>Single</v>
      </c>
      <c r="AD407" s="228"/>
      <c r="AE407" s="228"/>
      <c r="AF407" s="228"/>
      <c r="AG407" s="228" t="str">
        <f>IFERROR(__xludf.DUMMYFUNCTION("""COMPUTED_VALUE"""),"Basit Saleem")</f>
        <v>Basit Saleem</v>
      </c>
      <c r="AH407" s="228" t="str">
        <f>IFERROR(__xludf.DUMMYFUNCTION("""COMPUTED_VALUE"""),"Daughter")</f>
        <v>Daughter</v>
      </c>
      <c r="AI407" s="228" t="str">
        <f>IFERROR(__xludf.DUMMYFUNCTION("""COMPUTED_VALUE"""),"03335637558")</f>
        <v>03335637558</v>
      </c>
      <c r="AJ407" s="228" t="str">
        <f>IFERROR(__xludf.DUMMYFUNCTION("""COMPUTED_VALUE"""),"A+")</f>
        <v>A+</v>
      </c>
      <c r="AK407" s="731" t="str">
        <f>IFERROR(__xludf.DUMMYFUNCTION("""COMPUTED_VALUE"""),"https://www.linkedin.com/in/azkabasit")</f>
        <v>https://www.linkedin.com/in/azkabasit</v>
      </c>
      <c r="AL407" s="228"/>
      <c r="AM407" s="730">
        <f>IFERROR(__xludf.DUMMYFUNCTION("""COMPUTED_VALUE"""),45779.0)</f>
        <v>45779</v>
      </c>
      <c r="AN407" s="228"/>
      <c r="AO407" s="228"/>
      <c r="AP407" s="228" t="str">
        <f>IFERROR(__xludf.DUMMYFUNCTION("""COMPUTED_VALUE"""),"NO")</f>
        <v>NO</v>
      </c>
      <c r="AQ407" s="228" t="str">
        <f>IFERROR(__xludf.DUMMYFUNCTION("""COMPUTED_VALUE"""),"Resigned/Terminated")</f>
        <v>Resigned/Terminated</v>
      </c>
    </row>
    <row r="408">
      <c r="A408" s="228">
        <f>IFERROR(__xludf.DUMMYFUNCTION("""COMPUTED_VALUE"""),5324.0)</f>
        <v>5324</v>
      </c>
      <c r="B408" s="228" t="str">
        <f>IFERROR(__xludf.DUMMYFUNCTION("""COMPUTED_VALUE"""),"Laiba Khattak")</f>
        <v>Laiba Khattak</v>
      </c>
      <c r="C408" s="228" t="str">
        <f>IFERROR(__xludf.DUMMYFUNCTION("""COMPUTED_VALUE"""),"Laibakhattak13@gmail.com")</f>
        <v>Laibakhattak13@gmail.com</v>
      </c>
      <c r="D408" s="228" t="str">
        <f>IFERROR(__xludf.DUMMYFUNCTION("""COMPUTED_VALUE"""),"laiba.khattak@vyro.ai")</f>
        <v>laiba.khattak@vyro.ai</v>
      </c>
      <c r="E408" s="730">
        <f>IFERROR(__xludf.DUMMYFUNCTION("""COMPUTED_VALUE"""),45602.0)</f>
        <v>45602</v>
      </c>
      <c r="F408" s="228" t="str">
        <f>IFERROR(__xludf.DUMMYFUNCTION("""COMPUTED_VALUE"""),"Affiliate Marketing Associate")</f>
        <v>Affiliate Marketing Associate</v>
      </c>
      <c r="G408" s="228" t="str">
        <f>IFERROR(__xludf.DUMMYFUNCTION("""COMPUTED_VALUE"""),"Business &amp; Growth")</f>
        <v>Business &amp; Growth</v>
      </c>
      <c r="H408" s="228" t="str">
        <f>IFERROR(__xludf.DUMMYFUNCTION("""COMPUTED_VALUE"""),"Zakria Amir")</f>
        <v>Zakria Amir</v>
      </c>
      <c r="I408" s="228" t="str">
        <f>IFERROR(__xludf.DUMMYFUNCTION("""COMPUTED_VALUE"""),"Probation")</f>
        <v>Probation</v>
      </c>
      <c r="J408" s="228" t="str">
        <f>IFERROR(__xludf.DUMMYFUNCTION("""COMPUTED_VALUE"""),"Active")</f>
        <v>Active</v>
      </c>
      <c r="K408" s="228" t="str">
        <f>IFERROR(__xludf.DUMMYFUNCTION("""COMPUTED_VALUE"""),"3M")</f>
        <v>3M</v>
      </c>
      <c r="L408" s="732">
        <f>IFERROR(__xludf.DUMMYFUNCTION("""COMPUTED_VALUE"""),45694.0)</f>
        <v>45694</v>
      </c>
      <c r="M408" s="228"/>
      <c r="N408" s="228"/>
      <c r="O408" s="228"/>
      <c r="P408" s="228" t="str">
        <f>IFERROR(__xludf.DUMMYFUNCTION("""COMPUTED_VALUE"""),"03335551650")</f>
        <v>03335551650</v>
      </c>
      <c r="Q408" s="228" t="str">
        <f>IFERROR(__xludf.DUMMYFUNCTION("""COMPUTED_VALUE"""),"61101-8441737-0")</f>
        <v>61101-8441737-0</v>
      </c>
      <c r="R408" s="228" t="str">
        <f>IFERROR(__xludf.DUMMYFUNCTION("""COMPUTED_VALUE"""),"Female")</f>
        <v>Female</v>
      </c>
      <c r="S408" s="228" t="str">
        <f>IFERROR(__xludf.DUMMYFUNCTION("""COMPUTED_VALUE"""),"HBL")</f>
        <v>HBL</v>
      </c>
      <c r="T408" s="228" t="str">
        <f>IFERROR(__xludf.DUMMYFUNCTION("""COMPUTED_VALUE"""),"LAIBA")</f>
        <v>LAIBA</v>
      </c>
      <c r="U408" s="228" t="str">
        <f>IFERROR(__xludf.DUMMYFUNCTION("""COMPUTED_VALUE"""),"PK06HABB0022737981295503")</f>
        <v>PK06HABB0022737981295503</v>
      </c>
      <c r="V408" s="228" t="str">
        <f>IFERROR(__xludf.DUMMYFUNCTION("""COMPUTED_VALUE"""),"0")</f>
        <v>0</v>
      </c>
      <c r="W408" s="228"/>
      <c r="X408" s="228" t="str">
        <f>IFERROR(__xludf.DUMMYFUNCTION("""COMPUTED_VALUE"""),"Islamabad")</f>
        <v>Islamabad</v>
      </c>
      <c r="Y408" s="730">
        <f>IFERROR(__xludf.DUMMYFUNCTION("""COMPUTED_VALUE"""),36994.0)</f>
        <v>36994</v>
      </c>
      <c r="Z408" s="228" t="str">
        <f>IFERROR(__xludf.DUMMYFUNCTION("""COMPUTED_VALUE"""),"23 Years")</f>
        <v>23 Years</v>
      </c>
      <c r="AA408" s="228" t="str">
        <f>IFERROR(__xludf.DUMMYFUNCTION("""COMPUTED_VALUE"""),"House 6, Block 80 G-10/2 Islamabad")</f>
        <v>House 6, Block 80 G-10/2 Islamabad</v>
      </c>
      <c r="AB408" s="228" t="str">
        <f>IFERROR(__xludf.DUMMYFUNCTION("""COMPUTED_VALUE"""),"Pakistani")</f>
        <v>Pakistani</v>
      </c>
      <c r="AC408" s="228" t="str">
        <f>IFERROR(__xludf.DUMMYFUNCTION("""COMPUTED_VALUE"""),"Single")</f>
        <v>Single</v>
      </c>
      <c r="AD408" s="228"/>
      <c r="AE408" s="228"/>
      <c r="AF408" s="228"/>
      <c r="AG408" s="228" t="str">
        <f>IFERROR(__xludf.DUMMYFUNCTION("""COMPUTED_VALUE"""),"Rubab Fatima")</f>
        <v>Rubab Fatima</v>
      </c>
      <c r="AH408" s="228" t="str">
        <f>IFERROR(__xludf.DUMMYFUNCTION("""COMPUTED_VALUE"""),"Sister")</f>
        <v>Sister</v>
      </c>
      <c r="AI408" s="228" t="str">
        <f>IFERROR(__xludf.DUMMYFUNCTION("""COMPUTED_VALUE"""),"3305217185")</f>
        <v>3305217185</v>
      </c>
      <c r="AJ408" s="228" t="str">
        <f>IFERROR(__xludf.DUMMYFUNCTION("""COMPUTED_VALUE"""),"B+")</f>
        <v>B+</v>
      </c>
      <c r="AK408" s="228"/>
      <c r="AL408" s="228"/>
      <c r="AM408" s="730">
        <f>IFERROR(__xludf.DUMMYFUNCTION("""COMPUTED_VALUE"""),45786.0)</f>
        <v>45786</v>
      </c>
      <c r="AN408" s="228" t="str">
        <f>IFERROR(__xludf.DUMMYFUNCTION("""COMPUTED_VALUE"""),"Affiliates")</f>
        <v>Affiliates</v>
      </c>
      <c r="AO408" s="228" t="str">
        <f>IFERROR(__xludf.DUMMYFUNCTION("""COMPUTED_VALUE"""),"affiliates.team@vyro.ai")</f>
        <v>affiliates.team@vyro.ai</v>
      </c>
      <c r="AP408" s="228" t="str">
        <f>IFERROR(__xludf.DUMMYFUNCTION("""COMPUTED_VALUE"""),"NO")</f>
        <v>NO</v>
      </c>
      <c r="AQ408" s="228" t="str">
        <f>IFERROR(__xludf.DUMMYFUNCTION("""COMPUTED_VALUE"""),"Resigned/Terminated")</f>
        <v>Resigned/Terminated</v>
      </c>
    </row>
    <row r="409">
      <c r="A409" s="228">
        <f>IFERROR(__xludf.DUMMYFUNCTION("""COMPUTED_VALUE"""),5417.0)</f>
        <v>5417</v>
      </c>
      <c r="B409" s="228" t="str">
        <f>IFERROR(__xludf.DUMMYFUNCTION("""COMPUTED_VALUE"""),"Seemab Latif")</f>
        <v>Seemab Latif</v>
      </c>
      <c r="C409" s="228" t="str">
        <f>IFERROR(__xludf.DUMMYFUNCTION("""COMPUTED_VALUE"""),"seemab.shahid@gmail.com")</f>
        <v>seemab.shahid@gmail.com</v>
      </c>
      <c r="D409" s="228" t="str">
        <f>IFERROR(__xludf.DUMMYFUNCTION("""COMPUTED_VALUE"""),"seemab.latif@vyro.ai")</f>
        <v>seemab.latif@vyro.ai</v>
      </c>
      <c r="E409" s="730">
        <f>IFERROR(__xludf.DUMMYFUNCTION("""COMPUTED_VALUE"""),45658.0)</f>
        <v>45658</v>
      </c>
      <c r="F409" s="228" t="str">
        <f>IFERROR(__xludf.DUMMYFUNCTION("""COMPUTED_VALUE"""),"Faculty Lead | Vyro Lab")</f>
        <v>Faculty Lead | Vyro Lab</v>
      </c>
      <c r="G409" s="228" t="str">
        <f>IFERROR(__xludf.DUMMYFUNCTION("""COMPUTED_VALUE"""),"Vyro Lab")</f>
        <v>Vyro Lab</v>
      </c>
      <c r="H409" s="228" t="str">
        <f>IFERROR(__xludf.DUMMYFUNCTION("""COMPUTED_VALUE"""),"Sheharyar Ehsan")</f>
        <v>Sheharyar Ehsan</v>
      </c>
      <c r="I409" s="228"/>
      <c r="J409" s="228" t="str">
        <f>IFERROR(__xludf.DUMMYFUNCTION("""COMPUTED_VALUE"""),"Active")</f>
        <v>Active</v>
      </c>
      <c r="K409" s="228" t="str">
        <f>IFERROR(__xludf.DUMMYFUNCTION("""COMPUTED_VALUE"""),"3M")</f>
        <v>3M</v>
      </c>
      <c r="L409" s="732">
        <f>IFERROR(__xludf.DUMMYFUNCTION("""COMPUTED_VALUE"""),45748.0)</f>
        <v>45748</v>
      </c>
      <c r="M409" s="228"/>
      <c r="N409" s="228"/>
      <c r="O409" s="228"/>
      <c r="P409" s="228" t="str">
        <f>IFERROR(__xludf.DUMMYFUNCTION("""COMPUTED_VALUE"""),"03235555451")</f>
        <v>03235555451</v>
      </c>
      <c r="Q409" s="228" t="str">
        <f>IFERROR(__xludf.DUMMYFUNCTION("""COMPUTED_VALUE"""),"37405-8703265-4")</f>
        <v>37405-8703265-4</v>
      </c>
      <c r="R409" s="228" t="str">
        <f>IFERROR(__xludf.DUMMYFUNCTION("""COMPUTED_VALUE"""),"Female")</f>
        <v>Female</v>
      </c>
      <c r="S409" s="228" t="str">
        <f>IFERROR(__xludf.DUMMYFUNCTION("""COMPUTED_VALUE"""),"Bank Al Habib")</f>
        <v>Bank Al Habib</v>
      </c>
      <c r="T409" s="228" t="str">
        <f>IFERROR(__xludf.DUMMYFUNCTION("""COMPUTED_VALUE"""),"Seemab Latif")</f>
        <v>Seemab Latif</v>
      </c>
      <c r="U409" s="228" t="str">
        <f>IFERROR(__xludf.DUMMYFUNCTION("""COMPUTED_VALUE"""),"PK18BAHL0061185701291501")</f>
        <v>PK18BAHL0061185701291501</v>
      </c>
      <c r="V409" s="228" t="str">
        <f>IFERROR(__xludf.DUMMYFUNCTION("""COMPUTED_VALUE"""),"BAHLPKKAISL")</f>
        <v>BAHLPKKAISL</v>
      </c>
      <c r="W409" s="228"/>
      <c r="X409" s="228" t="str">
        <f>IFERROR(__xludf.DUMMYFUNCTION("""COMPUTED_VALUE"""),"Islamabad")</f>
        <v>Islamabad</v>
      </c>
      <c r="Y409" s="730">
        <f>IFERROR(__xludf.DUMMYFUNCTION("""COMPUTED_VALUE"""),29741.0)</f>
        <v>29741</v>
      </c>
      <c r="Z409" s="228" t="str">
        <f>IFERROR(__xludf.DUMMYFUNCTION("""COMPUTED_VALUE"""),"43 Years")</f>
        <v>43 Years</v>
      </c>
      <c r="AA409" s="228" t="str">
        <f>IFERROR(__xludf.DUMMYFUNCTION("""COMPUTED_VALUE"""),"House 558 Street 20 Chaklala Scheme 3 Rawalpindi")</f>
        <v>House 558 Street 20 Chaklala Scheme 3 Rawalpindi</v>
      </c>
      <c r="AB409" s="228" t="str">
        <f>IFERROR(__xludf.DUMMYFUNCTION("""COMPUTED_VALUE"""),"Pakistani")</f>
        <v>Pakistani</v>
      </c>
      <c r="AC409" s="228" t="str">
        <f>IFERROR(__xludf.DUMMYFUNCTION("""COMPUTED_VALUE"""),"Married")</f>
        <v>Married</v>
      </c>
      <c r="AD409" s="228"/>
      <c r="AE409" s="228"/>
      <c r="AF409" s="228"/>
      <c r="AG409" s="228" t="str">
        <f>IFERROR(__xludf.DUMMYFUNCTION("""COMPUTED_VALUE"""),"Shahid Aziz")</f>
        <v>Shahid Aziz</v>
      </c>
      <c r="AH409" s="228" t="str">
        <f>IFERROR(__xludf.DUMMYFUNCTION("""COMPUTED_VALUE"""),"Husband")</f>
        <v>Husband</v>
      </c>
      <c r="AI409" s="228" t="str">
        <f>IFERROR(__xludf.DUMMYFUNCTION("""COMPUTED_VALUE"""),"3225555451")</f>
        <v>3225555451</v>
      </c>
      <c r="AJ409" s="228" t="str">
        <f>IFERROR(__xludf.DUMMYFUNCTION("""COMPUTED_VALUE"""),"O+")</f>
        <v>O+</v>
      </c>
      <c r="AK409" s="731" t="str">
        <f>IFERROR(__xludf.DUMMYFUNCTION("""COMPUTED_VALUE"""),"https://www.linkedin.com/in/seemab-latif")</f>
        <v>https://www.linkedin.com/in/seemab-latif</v>
      </c>
      <c r="AL409" s="228"/>
      <c r="AM409" s="730">
        <f>IFERROR(__xludf.DUMMYFUNCTION("""COMPUTED_VALUE"""),45823.0)</f>
        <v>45823</v>
      </c>
      <c r="AN409" s="228"/>
      <c r="AO409" s="228"/>
      <c r="AP409" s="228" t="str">
        <f>IFERROR(__xludf.DUMMYFUNCTION("""COMPUTED_VALUE"""),"YES")</f>
        <v>YES</v>
      </c>
      <c r="AQ409" s="228" t="str">
        <f>IFERROR(__xludf.DUMMYFUNCTION("""COMPUTED_VALUE"""),"Resigned/Terminated")</f>
        <v>Resigned/Terminated</v>
      </c>
    </row>
    <row r="410">
      <c r="A410" s="228">
        <f>IFERROR(__xludf.DUMMYFUNCTION("""COMPUTED_VALUE"""),5383.0)</f>
        <v>5383</v>
      </c>
      <c r="B410" s="228" t="str">
        <f>IFERROR(__xludf.DUMMYFUNCTION("""COMPUTED_VALUE"""),"Manahil Ashfaq")</f>
        <v>Manahil Ashfaq</v>
      </c>
      <c r="C410" s="228" t="str">
        <f>IFERROR(__xludf.DUMMYFUNCTION("""COMPUTED_VALUE"""),"manahilashfaq2002@gmail.com")</f>
        <v>manahilashfaq2002@gmail.com</v>
      </c>
      <c r="D410" s="228" t="str">
        <f>IFERROR(__xludf.DUMMYFUNCTION("""COMPUTED_VALUE"""),"manahil.ashfaq@vyro.ai")</f>
        <v>manahil.ashfaq@vyro.ai</v>
      </c>
      <c r="E410" s="730">
        <f>IFERROR(__xludf.DUMMYFUNCTION("""COMPUTED_VALUE"""),45719.0)</f>
        <v>45719</v>
      </c>
      <c r="F410" s="228" t="str">
        <f>IFERROR(__xludf.DUMMYFUNCTION("""COMPUTED_VALUE"""),"Product Manager Associate")</f>
        <v>Product Manager Associate</v>
      </c>
      <c r="G410" s="228" t="str">
        <f>IFERROR(__xludf.DUMMYFUNCTION("""COMPUTED_VALUE"""),"Management")</f>
        <v>Management</v>
      </c>
      <c r="H410" s="228" t="str">
        <f>IFERROR(__xludf.DUMMYFUNCTION("""COMPUTED_VALUE"""),"Awais Chaudhary")</f>
        <v>Awais Chaudhary</v>
      </c>
      <c r="I410" s="228" t="str">
        <f>IFERROR(__xludf.DUMMYFUNCTION("""COMPUTED_VALUE"""),"Onsite")</f>
        <v>Onsite</v>
      </c>
      <c r="J410" s="228" t="str">
        <f>IFERROR(__xludf.DUMMYFUNCTION("""COMPUTED_VALUE"""),"Active")</f>
        <v>Active</v>
      </c>
      <c r="K410" s="228" t="str">
        <f>IFERROR(__xludf.DUMMYFUNCTION("""COMPUTED_VALUE"""),"3M")</f>
        <v>3M</v>
      </c>
      <c r="L410" s="732">
        <f>IFERROR(__xludf.DUMMYFUNCTION("""COMPUTED_VALUE"""),45811.0)</f>
        <v>45811</v>
      </c>
      <c r="M410" s="228"/>
      <c r="N410" s="228"/>
      <c r="O410" s="228"/>
      <c r="P410" s="228" t="str">
        <f>IFERROR(__xludf.DUMMYFUNCTION("""COMPUTED_VALUE"""),"3485068239")</f>
        <v>3485068239</v>
      </c>
      <c r="Q410" s="228" t="str">
        <f>IFERROR(__xludf.DUMMYFUNCTION("""COMPUTED_VALUE"""),"37405-0487665-2")</f>
        <v>37405-0487665-2</v>
      </c>
      <c r="R410" s="228" t="str">
        <f>IFERROR(__xludf.DUMMYFUNCTION("""COMPUTED_VALUE"""),"Female")</f>
        <v>Female</v>
      </c>
      <c r="S410" s="228" t="str">
        <f>IFERROR(__xludf.DUMMYFUNCTION("""COMPUTED_VALUE"""),"Meezan Bank")</f>
        <v>Meezan Bank</v>
      </c>
      <c r="T410" s="228" t="str">
        <f>IFERROR(__xludf.DUMMYFUNCTION("""COMPUTED_VALUE"""),"MANAHIL ASHFAQ")</f>
        <v>MANAHIL ASHFAQ</v>
      </c>
      <c r="U410" s="228" t="str">
        <f>IFERROR(__xludf.DUMMYFUNCTION("""COMPUTED_VALUE"""),"PK40MEZN0011600108484788")</f>
        <v>PK40MEZN0011600108484788</v>
      </c>
      <c r="V410" s="228" t="str">
        <f>IFERROR(__xludf.DUMMYFUNCTION("""COMPUTED_VALUE"""),"11600108484788")</f>
        <v>11600108484788</v>
      </c>
      <c r="W410" s="228"/>
      <c r="X410" s="228" t="str">
        <f>IFERROR(__xludf.DUMMYFUNCTION("""COMPUTED_VALUE"""),"Islamabad")</f>
        <v>Islamabad</v>
      </c>
      <c r="Y410" s="730">
        <f>IFERROR(__xludf.DUMMYFUNCTION("""COMPUTED_VALUE"""),37329.0)</f>
        <v>37329</v>
      </c>
      <c r="Z410" s="228" t="str">
        <f>IFERROR(__xludf.DUMMYFUNCTION("""COMPUTED_VALUE"""),"23 Years")</f>
        <v>23 Years</v>
      </c>
      <c r="AA410" s="228" t="str">
        <f>IFERROR(__xludf.DUMMYFUNCTION("""COMPUTED_VALUE"""),"Village Badasam Kamal Abad, Shakardara Post Office, Shakardara No. 1, Tehsil Lachi, District Kohat")</f>
        <v>Village Badasam Kamal Abad, Shakardara Post Office, Shakardara No. 1, Tehsil Lachi, District Kohat</v>
      </c>
      <c r="AB410" s="228" t="str">
        <f>IFERROR(__xludf.DUMMYFUNCTION("""COMPUTED_VALUE"""),"Pakistani")</f>
        <v>Pakistani</v>
      </c>
      <c r="AC410" s="228" t="str">
        <f>IFERROR(__xludf.DUMMYFUNCTION("""COMPUTED_VALUE"""),"Married")</f>
        <v>Married</v>
      </c>
      <c r="AD410" s="228"/>
      <c r="AE410" s="228"/>
      <c r="AF410" s="228"/>
      <c r="AG410" s="228" t="str">
        <f>IFERROR(__xludf.DUMMYFUNCTION("""COMPUTED_VALUE"""),"Muhammad Sadiq")</f>
        <v>Muhammad Sadiq</v>
      </c>
      <c r="AH410" s="228" t="str">
        <f>IFERROR(__xludf.DUMMYFUNCTION("""COMPUTED_VALUE"""),"Father in law")</f>
        <v>Father in law</v>
      </c>
      <c r="AI410" s="228" t="str">
        <f>IFERROR(__xludf.DUMMYFUNCTION("""COMPUTED_VALUE"""),"3465565869")</f>
        <v>3465565869</v>
      </c>
      <c r="AJ410" s="228" t="str">
        <f>IFERROR(__xludf.DUMMYFUNCTION("""COMPUTED_VALUE"""),"B+")</f>
        <v>B+</v>
      </c>
      <c r="AK410" s="731" t="str">
        <f>IFERROR(__xludf.DUMMYFUNCTION("""COMPUTED_VALUE"""),"https://www.linkedin.com/in/manahil-ashfaq")</f>
        <v>https://www.linkedin.com/in/manahil-ashfaq</v>
      </c>
      <c r="AL410" s="228" t="str">
        <f>IFERROR(__xludf.DUMMYFUNCTION("""COMPUTED_VALUE"""),"Annum Inam")</f>
        <v>Annum Inam</v>
      </c>
      <c r="AM410" s="730">
        <f>IFERROR(__xludf.DUMMYFUNCTION("""COMPUTED_VALUE"""),45786.0)</f>
        <v>45786</v>
      </c>
      <c r="AN410" s="228"/>
      <c r="AO410" s="228"/>
      <c r="AP410" s="228" t="str">
        <f>IFERROR(__xludf.DUMMYFUNCTION("""COMPUTED_VALUE"""),"NO")</f>
        <v>NO</v>
      </c>
      <c r="AQ410" s="228" t="str">
        <f>IFERROR(__xludf.DUMMYFUNCTION("""COMPUTED_VALUE"""),"Resigned/Terminated")</f>
        <v>Resigned/Terminated</v>
      </c>
    </row>
    <row r="411">
      <c r="A411" s="228">
        <f>IFERROR(__xludf.DUMMYFUNCTION("""COMPUTED_VALUE"""),5271.0)</f>
        <v>5271</v>
      </c>
      <c r="B411" s="228" t="str">
        <f>IFERROR(__xludf.DUMMYFUNCTION("""COMPUTED_VALUE"""),"Muhammad Ayan Baig")</f>
        <v>Muhammad Ayan Baig</v>
      </c>
      <c r="C411" s="228" t="str">
        <f>IFERROR(__xludf.DUMMYFUNCTION("""COMPUTED_VALUE"""),"mm.ayan.baig@gmail.com")</f>
        <v>mm.ayan.baig@gmail.com</v>
      </c>
      <c r="D411" s="228" t="str">
        <f>IFERROR(__xludf.DUMMYFUNCTION("""COMPUTED_VALUE"""),"ayan.baig@vyro.ai")</f>
        <v>ayan.baig@vyro.ai</v>
      </c>
      <c r="E411" s="730">
        <f>IFERROR(__xludf.DUMMYFUNCTION("""COMPUTED_VALUE"""),45432.0)</f>
        <v>45432</v>
      </c>
      <c r="F411" s="228" t="str">
        <f>IFERROR(__xludf.DUMMYFUNCTION("""COMPUTED_VALUE"""),"Marketing Executive")</f>
        <v>Marketing Executive</v>
      </c>
      <c r="G411" s="228" t="str">
        <f>IFERROR(__xludf.DUMMYFUNCTION("""COMPUTED_VALUE"""),"Marketing")</f>
        <v>Marketing</v>
      </c>
      <c r="H411" s="228" t="str">
        <f>IFERROR(__xludf.DUMMYFUNCTION("""COMPUTED_VALUE"""),"Ehtsham Balland")</f>
        <v>Ehtsham Balland</v>
      </c>
      <c r="I411" s="228" t="str">
        <f>IFERROR(__xludf.DUMMYFUNCTION("""COMPUTED_VALUE"""),"Probation")</f>
        <v>Probation</v>
      </c>
      <c r="J411" s="228" t="str">
        <f>IFERROR(__xludf.DUMMYFUNCTION("""COMPUTED_VALUE"""),"Active")</f>
        <v>Active</v>
      </c>
      <c r="K411" s="228" t="str">
        <f>IFERROR(__xludf.DUMMYFUNCTION("""COMPUTED_VALUE"""),"3M")</f>
        <v>3M</v>
      </c>
      <c r="L411" s="732">
        <f>IFERROR(__xludf.DUMMYFUNCTION("""COMPUTED_VALUE"""),45524.0)</f>
        <v>45524</v>
      </c>
      <c r="M411" s="228"/>
      <c r="N411" s="228"/>
      <c r="O411" s="228"/>
      <c r="P411" s="228" t="str">
        <f>IFERROR(__xludf.DUMMYFUNCTION("""COMPUTED_VALUE"""),"3330263156")</f>
        <v>3330263156</v>
      </c>
      <c r="Q411" s="228" t="str">
        <f>IFERROR(__xludf.DUMMYFUNCTION("""COMPUTED_VALUE"""),"36302-5170382-5")</f>
        <v>36302-5170382-5</v>
      </c>
      <c r="R411" s="228" t="str">
        <f>IFERROR(__xludf.DUMMYFUNCTION("""COMPUTED_VALUE"""),"Male")</f>
        <v>Male</v>
      </c>
      <c r="S411" s="228" t="str">
        <f>IFERROR(__xludf.DUMMYFUNCTION("""COMPUTED_VALUE"""),"Standard Chartered")</f>
        <v>Standard Chartered</v>
      </c>
      <c r="T411" s="228" t="str">
        <f>IFERROR(__xludf.DUMMYFUNCTION("""COMPUTED_VALUE"""),"Muhammad Ayan Baig")</f>
        <v>Muhammad Ayan Baig</v>
      </c>
      <c r="U411" s="228" t="str">
        <f>IFERROR(__xludf.DUMMYFUNCTION("""COMPUTED_VALUE"""),"PK13SCBL0000001017068001")</f>
        <v>PK13SCBL0000001017068001</v>
      </c>
      <c r="V411" s="228" t="str">
        <f>IFERROR(__xludf.DUMMYFUNCTION("""COMPUTED_VALUE"""),"SCBL")</f>
        <v>SCBL</v>
      </c>
      <c r="W411" s="228"/>
      <c r="X411" s="228" t="str">
        <f>IFERROR(__xludf.DUMMYFUNCTION("""COMPUTED_VALUE"""),"Islamabad")</f>
        <v>Islamabad</v>
      </c>
      <c r="Y411" s="730">
        <f>IFERROR(__xludf.DUMMYFUNCTION("""COMPUTED_VALUE"""),36557.0)</f>
        <v>36557</v>
      </c>
      <c r="Z411" s="228" t="str">
        <f>IFERROR(__xludf.DUMMYFUNCTION("""COMPUTED_VALUE"""),"25 Years")</f>
        <v>25 Years</v>
      </c>
      <c r="AA411" s="228" t="str">
        <f>IFERROR(__xludf.DUMMYFUNCTION("""COMPUTED_VALUE"""),"Flat 7A, Askari towers 1, block 10, DHA 2")</f>
        <v>Flat 7A, Askari towers 1, block 10, DHA 2</v>
      </c>
      <c r="AB411" s="228" t="str">
        <f>IFERROR(__xludf.DUMMYFUNCTION("""COMPUTED_VALUE"""),"Pakistani")</f>
        <v>Pakistani</v>
      </c>
      <c r="AC411" s="228" t="str">
        <f>IFERROR(__xludf.DUMMYFUNCTION("""COMPUTED_VALUE"""),"Single")</f>
        <v>Single</v>
      </c>
      <c r="AD411" s="228"/>
      <c r="AE411" s="228"/>
      <c r="AF411" s="228"/>
      <c r="AG411" s="228" t="str">
        <f>IFERROR(__xludf.DUMMYFUNCTION("""COMPUTED_VALUE"""),"Farrukh Baig")</f>
        <v>Farrukh Baig</v>
      </c>
      <c r="AH411" s="228" t="str">
        <f>IFERROR(__xludf.DUMMYFUNCTION("""COMPUTED_VALUE"""),"Mother")</f>
        <v>Mother</v>
      </c>
      <c r="AI411" s="228" t="str">
        <f>IFERROR(__xludf.DUMMYFUNCTION("""COMPUTED_VALUE"""),"3332301195")</f>
        <v>3332301195</v>
      </c>
      <c r="AJ411" s="228" t="str">
        <f>IFERROR(__xludf.DUMMYFUNCTION("""COMPUTED_VALUE"""),"A+")</f>
        <v>A+</v>
      </c>
      <c r="AK411" s="731" t="str">
        <f>IFERROR(__xludf.DUMMYFUNCTION("""COMPUTED_VALUE"""),"https://www.linkedin.com/in/ayan-baig/")</f>
        <v>https://www.linkedin.com/in/ayan-baig/</v>
      </c>
      <c r="AL411" s="228"/>
      <c r="AM411" s="730">
        <f>IFERROR(__xludf.DUMMYFUNCTION("""COMPUTED_VALUE"""),45807.0)</f>
        <v>45807</v>
      </c>
      <c r="AN411" s="228" t="str">
        <f>IFERROR(__xludf.DUMMYFUNCTION("""COMPUTED_VALUE"""),"Marketing")</f>
        <v>Marketing</v>
      </c>
      <c r="AO411" s="228" t="str">
        <f>IFERROR(__xludf.DUMMYFUNCTION("""COMPUTED_VALUE"""),"marketing.team@vyro.ai")</f>
        <v>marketing.team@vyro.ai</v>
      </c>
      <c r="AP411" s="228" t="str">
        <f>IFERROR(__xludf.DUMMYFUNCTION("""COMPUTED_VALUE"""),"NO")</f>
        <v>NO</v>
      </c>
      <c r="AQ411" s="228" t="str">
        <f>IFERROR(__xludf.DUMMYFUNCTION("""COMPUTED_VALUE"""),"Resigned/Terminated")</f>
        <v>Resigned/Terminated</v>
      </c>
    </row>
    <row r="412">
      <c r="A412" s="228">
        <f>IFERROR(__xludf.DUMMYFUNCTION("""COMPUTED_VALUE"""),5244.0)</f>
        <v>5244</v>
      </c>
      <c r="B412" s="228" t="str">
        <f>IFERROR(__xludf.DUMMYFUNCTION("""COMPUTED_VALUE"""),"Amish Tufail")</f>
        <v>Amish Tufail</v>
      </c>
      <c r="C412" s="228" t="str">
        <f>IFERROR(__xludf.DUMMYFUNCTION("""COMPUTED_VALUE"""),"amish.tufail2002@gmail.com")</f>
        <v>amish.tufail2002@gmail.com</v>
      </c>
      <c r="D412" s="228" t="str">
        <f>IFERROR(__xludf.DUMMYFUNCTION("""COMPUTED_VALUE"""),"amish.tufail@vyro.ai")</f>
        <v>amish.tufail@vyro.ai</v>
      </c>
      <c r="E412" s="730">
        <f>IFERROR(__xludf.DUMMYFUNCTION("""COMPUTED_VALUE"""),45362.0)</f>
        <v>45362</v>
      </c>
      <c r="F412" s="228" t="str">
        <f>IFERROR(__xludf.DUMMYFUNCTION("""COMPUTED_VALUE"""),"Software Engineer I")</f>
        <v>Software Engineer I</v>
      </c>
      <c r="G412" s="228" t="str">
        <f>IFERROR(__xludf.DUMMYFUNCTION("""COMPUTED_VALUE"""),"IOS Mobile")</f>
        <v>IOS Mobile</v>
      </c>
      <c r="H412" s="228" t="str">
        <f>IFERROR(__xludf.DUMMYFUNCTION("""COMPUTED_VALUE"""),"Wajahat/ Umaira")</f>
        <v>Wajahat/ Umaira</v>
      </c>
      <c r="I412" s="228" t="str">
        <f>IFERROR(__xludf.DUMMYFUNCTION("""COMPUTED_VALUE"""),"Permanent")</f>
        <v>Permanent</v>
      </c>
      <c r="J412" s="228" t="str">
        <f>IFERROR(__xludf.DUMMYFUNCTION("""COMPUTED_VALUE"""),"Active")</f>
        <v>Active</v>
      </c>
      <c r="K412" s="228" t="str">
        <f>IFERROR(__xludf.DUMMYFUNCTION("""COMPUTED_VALUE"""),"3M")</f>
        <v>3M</v>
      </c>
      <c r="L412" s="732">
        <f>IFERROR(__xludf.DUMMYFUNCTION("""COMPUTED_VALUE"""),45454.0)</f>
        <v>45454</v>
      </c>
      <c r="M412" s="228"/>
      <c r="N412" s="228"/>
      <c r="O412" s="228"/>
      <c r="P412" s="228" t="str">
        <f>IFERROR(__xludf.DUMMYFUNCTION("""COMPUTED_VALUE"""),"3105500217")</f>
        <v>3105500217</v>
      </c>
      <c r="Q412" s="228" t="str">
        <f>IFERROR(__xludf.DUMMYFUNCTION("""COMPUTED_VALUE"""),"13302-2902324-3")</f>
        <v>13302-2902324-3</v>
      </c>
      <c r="R412" s="228" t="str">
        <f>IFERROR(__xludf.DUMMYFUNCTION("""COMPUTED_VALUE"""),"Male")</f>
        <v>Male</v>
      </c>
      <c r="S412" s="228" t="str">
        <f>IFERROR(__xludf.DUMMYFUNCTION("""COMPUTED_VALUE"""),"UBL-United Bank Limited")</f>
        <v>UBL-United Bank Limited</v>
      </c>
      <c r="T412" s="228" t="str">
        <f>IFERROR(__xludf.DUMMYFUNCTION("""COMPUTED_VALUE"""),"Amish Tufail")</f>
        <v>Amish Tufail</v>
      </c>
      <c r="U412" s="228" t="str">
        <f>IFERROR(__xludf.DUMMYFUNCTION("""COMPUTED_VALUE"""),"PK40UNIL0109000277068929")</f>
        <v>PK40UNIL0109000277068929</v>
      </c>
      <c r="V412" s="228" t="str">
        <f>IFERROR(__xludf.DUMMYFUNCTION("""COMPUTED_VALUE"""),"UNILPKKA")</f>
        <v>UNILPKKA</v>
      </c>
      <c r="W412" s="228"/>
      <c r="X412" s="228" t="str">
        <f>IFERROR(__xludf.DUMMYFUNCTION("""COMPUTED_VALUE"""),"Islamabad")</f>
        <v>Islamabad</v>
      </c>
      <c r="Y412" s="730">
        <f>IFERROR(__xludf.DUMMYFUNCTION("""COMPUTED_VALUE"""),37274.0)</f>
        <v>37274</v>
      </c>
      <c r="Z412" s="228" t="str">
        <f>IFERROR(__xludf.DUMMYFUNCTION("""COMPUTED_VALUE"""),"23 Years")</f>
        <v>23 Years</v>
      </c>
      <c r="AA412" s="228" t="str">
        <f>IFERROR(__xludf.DUMMYFUNCTION("""COMPUTED_VALUE"""),"E11/4 Street No 1, House No 1086, Near Roots Millennium School")</f>
        <v>E11/4 Street No 1, House No 1086, Near Roots Millennium School</v>
      </c>
      <c r="AB412" s="228" t="str">
        <f>IFERROR(__xludf.DUMMYFUNCTION("""COMPUTED_VALUE"""),"Pakistani")</f>
        <v>Pakistani</v>
      </c>
      <c r="AC412" s="228" t="str">
        <f>IFERROR(__xludf.DUMMYFUNCTION("""COMPUTED_VALUE"""),"Single")</f>
        <v>Single</v>
      </c>
      <c r="AD412" s="228"/>
      <c r="AE412" s="228"/>
      <c r="AF412" s="228"/>
      <c r="AG412" s="228" t="str">
        <f>IFERROR(__xludf.DUMMYFUNCTION("""COMPUTED_VALUE"""),"Muhammad Asghar")</f>
        <v>Muhammad Asghar</v>
      </c>
      <c r="AH412" s="228" t="str">
        <f>IFERROR(__xludf.DUMMYFUNCTION("""COMPUTED_VALUE"""),"Mother")</f>
        <v>Mother</v>
      </c>
      <c r="AI412" s="228" t="str">
        <f>IFERROR(__xludf.DUMMYFUNCTION("""COMPUTED_VALUE"""),"3225047792")</f>
        <v>3225047792</v>
      </c>
      <c r="AJ412" s="228" t="str">
        <f>IFERROR(__xludf.DUMMYFUNCTION("""COMPUTED_VALUE"""),"A+")</f>
        <v>A+</v>
      </c>
      <c r="AK412" s="731" t="str">
        <f>IFERROR(__xludf.DUMMYFUNCTION("""COMPUTED_VALUE"""),"https://www.linkedin.com/in/amish-tufail")</f>
        <v>https://www.linkedin.com/in/amish-tufail</v>
      </c>
      <c r="AL412" s="228"/>
      <c r="AM412" s="730">
        <f>IFERROR(__xludf.DUMMYFUNCTION("""COMPUTED_VALUE"""),45802.0)</f>
        <v>45802</v>
      </c>
      <c r="AN412" s="228" t="str">
        <f>IFERROR(__xludf.DUMMYFUNCTION("""COMPUTED_VALUE"""),"iOS Dev")</f>
        <v>iOS Dev</v>
      </c>
      <c r="AO412" s="228" t="str">
        <f>IFERROR(__xludf.DUMMYFUNCTION("""COMPUTED_VALUE"""),"ios.dev.team@vyro.ai")</f>
        <v>ios.dev.team@vyro.ai</v>
      </c>
      <c r="AP412" s="228" t="str">
        <f>IFERROR(__xludf.DUMMYFUNCTION("""COMPUTED_VALUE"""),"NO")</f>
        <v>NO</v>
      </c>
      <c r="AQ412" s="228" t="str">
        <f>IFERROR(__xludf.DUMMYFUNCTION("""COMPUTED_VALUE"""),"Resigned/Terminated")</f>
        <v>Resigned/Terminated</v>
      </c>
    </row>
    <row r="413">
      <c r="A413" s="228">
        <f>IFERROR(__xludf.DUMMYFUNCTION("""COMPUTED_VALUE"""),5364.0)</f>
        <v>5364</v>
      </c>
      <c r="B413" s="228" t="str">
        <f>IFERROR(__xludf.DUMMYFUNCTION("""COMPUTED_VALUE"""),"Maaz Ullah Khan Warsi")</f>
        <v>Maaz Ullah Khan Warsi</v>
      </c>
      <c r="C413" s="228" t="str">
        <f>IFERROR(__xludf.DUMMYFUNCTION("""COMPUTED_VALUE"""),"maazullahkhanwarsi123@gmail.com")</f>
        <v>maazullahkhanwarsi123@gmail.com</v>
      </c>
      <c r="D413" s="228" t="str">
        <f>IFERROR(__xludf.DUMMYFUNCTION("""COMPUTED_VALUE"""),"maazullah.khan@vyro.ai")</f>
        <v>maazullah.khan@vyro.ai</v>
      </c>
      <c r="E413" s="730">
        <f>IFERROR(__xludf.DUMMYFUNCTION("""COMPUTED_VALUE"""),45684.0)</f>
        <v>45684</v>
      </c>
      <c r="F413" s="228" t="str">
        <f>IFERROR(__xludf.DUMMYFUNCTION("""COMPUTED_VALUE"""),"DevOps Engineer")</f>
        <v>DevOps Engineer</v>
      </c>
      <c r="G413" s="228" t="str">
        <f>IFERROR(__xludf.DUMMYFUNCTION("""COMPUTED_VALUE"""),"Devops")</f>
        <v>Devops</v>
      </c>
      <c r="H413" s="228" t="str">
        <f>IFERROR(__xludf.DUMMYFUNCTION("""COMPUTED_VALUE"""),"Abdullah Rafique")</f>
        <v>Abdullah Rafique</v>
      </c>
      <c r="I413" s="228" t="str">
        <f>IFERROR(__xludf.DUMMYFUNCTION("""COMPUTED_VALUE"""),"Probation")</f>
        <v>Probation</v>
      </c>
      <c r="J413" s="228" t="str">
        <f>IFERROR(__xludf.DUMMYFUNCTION("""COMPUTED_VALUE"""),"Active")</f>
        <v>Active</v>
      </c>
      <c r="K413" s="228" t="str">
        <f>IFERROR(__xludf.DUMMYFUNCTION("""COMPUTED_VALUE"""),"3M")</f>
        <v>3M</v>
      </c>
      <c r="L413" s="732">
        <f>IFERROR(__xludf.DUMMYFUNCTION("""COMPUTED_VALUE"""),45774.0)</f>
        <v>45774</v>
      </c>
      <c r="M413" s="228"/>
      <c r="N413" s="228"/>
      <c r="O413" s="228"/>
      <c r="P413" s="228" t="str">
        <f>IFERROR(__xludf.DUMMYFUNCTION("""COMPUTED_VALUE"""),"3131102810")</f>
        <v>3131102810</v>
      </c>
      <c r="Q413" s="228" t="str">
        <f>IFERROR(__xludf.DUMMYFUNCTION("""COMPUTED_VALUE"""),"42101-9510054-9")</f>
        <v>42101-9510054-9</v>
      </c>
      <c r="R413" s="228" t="str">
        <f>IFERROR(__xludf.DUMMYFUNCTION("""COMPUTED_VALUE"""),"Male")</f>
        <v>Male</v>
      </c>
      <c r="S413" s="228" t="str">
        <f>IFERROR(__xludf.DUMMYFUNCTION("""COMPUTED_VALUE"""),"Meezan bank")</f>
        <v>Meezan bank</v>
      </c>
      <c r="T413" s="228" t="str">
        <f>IFERROR(__xludf.DUMMYFUNCTION("""COMPUTED_VALUE"""),"Maaz Ullah khan Warsi")</f>
        <v>Maaz Ullah khan Warsi</v>
      </c>
      <c r="U413" s="228" t="str">
        <f>IFERROR(__xludf.DUMMYFUNCTION("""COMPUTED_VALUE"""),"PK44MEZN0001330104922953")</f>
        <v>PK44MEZN0001330104922953</v>
      </c>
      <c r="V413" s="228" t="str">
        <f>IFERROR(__xludf.DUMMYFUNCTION("""COMPUTED_VALUE"""),"MEZNPKKA044")</f>
        <v>MEZNPKKA044</v>
      </c>
      <c r="W413" s="228"/>
      <c r="X413" s="228" t="str">
        <f>IFERROR(__xludf.DUMMYFUNCTION("""COMPUTED_VALUE"""),"Islamabad")</f>
        <v>Islamabad</v>
      </c>
      <c r="Y413" s="730">
        <f>IFERROR(__xludf.DUMMYFUNCTION("""COMPUTED_VALUE"""),37188.0)</f>
        <v>37188</v>
      </c>
      <c r="Z413" s="228" t="str">
        <f>IFERROR(__xludf.DUMMYFUNCTION("""COMPUTED_VALUE"""),"23 Years")</f>
        <v>23 Years</v>
      </c>
      <c r="AA413" s="228" t="str">
        <f>IFERROR(__xludf.DUMMYFUNCTION("""COMPUTED_VALUE"""),"R-946 Block 16 Federal B b Area Karachi")</f>
        <v>R-946 Block 16 Federal B b Area Karachi</v>
      </c>
      <c r="AB413" s="228" t="str">
        <f>IFERROR(__xludf.DUMMYFUNCTION("""COMPUTED_VALUE"""),"Pakistani")</f>
        <v>Pakistani</v>
      </c>
      <c r="AC413" s="228" t="str">
        <f>IFERROR(__xludf.DUMMYFUNCTION("""COMPUTED_VALUE"""),"Married")</f>
        <v>Married</v>
      </c>
      <c r="AD413" s="228"/>
      <c r="AE413" s="228"/>
      <c r="AF413" s="228"/>
      <c r="AG413" s="228" t="str">
        <f>IFERROR(__xludf.DUMMYFUNCTION("""COMPUTED_VALUE"""),"Zia Ullah khan Warsi")</f>
        <v>Zia Ullah khan Warsi</v>
      </c>
      <c r="AH413" s="228" t="str">
        <f>IFERROR(__xludf.DUMMYFUNCTION("""COMPUTED_VALUE"""),"Father")</f>
        <v>Father</v>
      </c>
      <c r="AI413" s="228" t="str">
        <f>IFERROR(__xludf.DUMMYFUNCTION("""COMPUTED_VALUE"""),"3082883520")</f>
        <v>3082883520</v>
      </c>
      <c r="AJ413" s="228" t="str">
        <f>IFERROR(__xludf.DUMMYFUNCTION("""COMPUTED_VALUE"""),"A+")</f>
        <v>A+</v>
      </c>
      <c r="AK413" s="731" t="str">
        <f>IFERROR(__xludf.DUMMYFUNCTION("""COMPUTED_VALUE"""),"https://www.linkedin.com/in/maaz-ullah-khan-warsi")</f>
        <v>https://www.linkedin.com/in/maaz-ullah-khan-warsi</v>
      </c>
      <c r="AL413" s="228"/>
      <c r="AM413" s="730">
        <f>IFERROR(__xludf.DUMMYFUNCTION("""COMPUTED_VALUE"""),45784.0)</f>
        <v>45784</v>
      </c>
      <c r="AN413" s="228"/>
      <c r="AO413" s="228"/>
      <c r="AP413" s="228" t="str">
        <f>IFERROR(__xludf.DUMMYFUNCTION("""COMPUTED_VALUE"""),"NO")</f>
        <v>NO</v>
      </c>
      <c r="AQ413" s="228" t="str">
        <f>IFERROR(__xludf.DUMMYFUNCTION("""COMPUTED_VALUE"""),"Resigned/Terminated")</f>
        <v>Resigned/Terminated</v>
      </c>
    </row>
    <row r="414">
      <c r="A414" s="228">
        <f>IFERROR(__xludf.DUMMYFUNCTION("""COMPUTED_VALUE"""),5363.0)</f>
        <v>5363</v>
      </c>
      <c r="B414" s="228" t="str">
        <f>IFERROR(__xludf.DUMMYFUNCTION("""COMPUTED_VALUE"""),"Umm e Saleet Akhter")</f>
        <v>Umm e Saleet Akhter</v>
      </c>
      <c r="C414" s="228" t="str">
        <f>IFERROR(__xludf.DUMMYFUNCTION("""COMPUTED_VALUE"""),"umme_saleet@hotmail.com")</f>
        <v>umme_saleet@hotmail.com</v>
      </c>
      <c r="D414" s="228" t="str">
        <f>IFERROR(__xludf.DUMMYFUNCTION("""COMPUTED_VALUE"""),"umme.saleet@vyro.ai")</f>
        <v>umme.saleet@vyro.ai</v>
      </c>
      <c r="E414" s="730">
        <f>IFERROR(__xludf.DUMMYFUNCTION("""COMPUTED_VALUE"""),45684.0)</f>
        <v>45684</v>
      </c>
      <c r="F414" s="228" t="str">
        <f>IFERROR(__xludf.DUMMYFUNCTION("""COMPUTED_VALUE"""),"Assistant Manager Business Solutions")</f>
        <v>Assistant Manager Business Solutions</v>
      </c>
      <c r="G414" s="228" t="str">
        <f>IFERROR(__xludf.DUMMYFUNCTION("""COMPUTED_VALUE"""),"Affiliates")</f>
        <v>Affiliates</v>
      </c>
      <c r="H414" s="228" t="str">
        <f>IFERROR(__xludf.DUMMYFUNCTION("""COMPUTED_VALUE"""),"Zakria Aamir")</f>
        <v>Zakria Aamir</v>
      </c>
      <c r="I414" s="228" t="str">
        <f>IFERROR(__xludf.DUMMYFUNCTION("""COMPUTED_VALUE"""),"Probation")</f>
        <v>Probation</v>
      </c>
      <c r="J414" s="228" t="str">
        <f>IFERROR(__xludf.DUMMYFUNCTION("""COMPUTED_VALUE"""),"Active")</f>
        <v>Active</v>
      </c>
      <c r="K414" s="228" t="str">
        <f>IFERROR(__xludf.DUMMYFUNCTION("""COMPUTED_VALUE"""),"3M")</f>
        <v>3M</v>
      </c>
      <c r="L414" s="732">
        <f>IFERROR(__xludf.DUMMYFUNCTION("""COMPUTED_VALUE"""),45774.0)</f>
        <v>45774</v>
      </c>
      <c r="M414" s="228"/>
      <c r="N414" s="228"/>
      <c r="O414" s="228"/>
      <c r="P414" s="228" t="str">
        <f>IFERROR(__xludf.DUMMYFUNCTION("""COMPUTED_VALUE"""),"3344512386")</f>
        <v>3344512386</v>
      </c>
      <c r="Q414" s="228" t="str">
        <f>IFERROR(__xludf.DUMMYFUNCTION("""COMPUTED_VALUE"""),"61101-6469145-4")</f>
        <v>61101-6469145-4</v>
      </c>
      <c r="R414" s="228" t="str">
        <f>IFERROR(__xludf.DUMMYFUNCTION("""COMPUTED_VALUE"""),"Female")</f>
        <v>Female</v>
      </c>
      <c r="S414" s="228" t="str">
        <f>IFERROR(__xludf.DUMMYFUNCTION("""COMPUTED_VALUE"""),"Bank Alfalah")</f>
        <v>Bank Alfalah</v>
      </c>
      <c r="T414" s="228" t="str">
        <f>IFERROR(__xludf.DUMMYFUNCTION("""COMPUTED_VALUE"""),"Umm-e-Saleet Akhter")</f>
        <v>Umm-e-Saleet Akhter</v>
      </c>
      <c r="U414" s="228" t="str">
        <f>IFERROR(__xludf.DUMMYFUNCTION("""COMPUTED_VALUE"""),"PK27ALFH00071007358354")</f>
        <v>PK27ALFH00071007358354</v>
      </c>
      <c r="V414" s="228" t="str">
        <f>IFERROR(__xludf.DUMMYFUNCTION("""COMPUTED_VALUE"""),"ALFHPKKA")</f>
        <v>ALFHPKKA</v>
      </c>
      <c r="W414" s="228"/>
      <c r="X414" s="228" t="str">
        <f>IFERROR(__xludf.DUMMYFUNCTION("""COMPUTED_VALUE"""),"Islamabad")</f>
        <v>Islamabad</v>
      </c>
      <c r="Y414" s="730">
        <f>IFERROR(__xludf.DUMMYFUNCTION("""COMPUTED_VALUE"""),34190.0)</f>
        <v>34190</v>
      </c>
      <c r="Z414" s="228" t="str">
        <f>IFERROR(__xludf.DUMMYFUNCTION("""COMPUTED_VALUE"""),"31 Years")</f>
        <v>31 Years</v>
      </c>
      <c r="AA414" s="228" t="str">
        <f>IFERROR(__xludf.DUMMYFUNCTION("""COMPUTED_VALUE"""),"House 53 Street 34 G-14/4, Kashmir Highway, Islamabad")</f>
        <v>House 53 Street 34 G-14/4, Kashmir Highway, Islamabad</v>
      </c>
      <c r="AB414" s="228" t="str">
        <f>IFERROR(__xludf.DUMMYFUNCTION("""COMPUTED_VALUE"""),"Pakistani")</f>
        <v>Pakistani</v>
      </c>
      <c r="AC414" s="228" t="str">
        <f>IFERROR(__xludf.DUMMYFUNCTION("""COMPUTED_VALUE"""),"Single")</f>
        <v>Single</v>
      </c>
      <c r="AD414" s="228"/>
      <c r="AE414" s="228"/>
      <c r="AF414" s="228"/>
      <c r="AG414" s="228" t="str">
        <f>IFERROR(__xludf.DUMMYFUNCTION("""COMPUTED_VALUE"""),"Dr. M. Gulraiz Akhter")</f>
        <v>Dr. M. Gulraiz Akhter</v>
      </c>
      <c r="AH414" s="228" t="str">
        <f>IFERROR(__xludf.DUMMYFUNCTION("""COMPUTED_VALUE"""),"Spouse")</f>
        <v>Spouse</v>
      </c>
      <c r="AI414" s="228" t="str">
        <f>IFERROR(__xludf.DUMMYFUNCTION("""COMPUTED_VALUE"""),"3455123862")</f>
        <v>3455123862</v>
      </c>
      <c r="AJ414" s="228" t="str">
        <f>IFERROR(__xludf.DUMMYFUNCTION("""COMPUTED_VALUE"""),"O+")</f>
        <v>O+</v>
      </c>
      <c r="AK414" s="228"/>
      <c r="AL414" s="228"/>
      <c r="AM414" s="730">
        <f>IFERROR(__xludf.DUMMYFUNCTION("""COMPUTED_VALUE"""),45812.0)</f>
        <v>45812</v>
      </c>
      <c r="AN414" s="228"/>
      <c r="AO414" s="228"/>
      <c r="AP414" s="228" t="str">
        <f>IFERROR(__xludf.DUMMYFUNCTION("""COMPUTED_VALUE"""),"NO")</f>
        <v>NO</v>
      </c>
      <c r="AQ414" s="228" t="str">
        <f>IFERROR(__xludf.DUMMYFUNCTION("""COMPUTED_VALUE"""),"Resigned/Terminated")</f>
        <v>Resigned/Terminated</v>
      </c>
    </row>
    <row r="415">
      <c r="A415" s="228">
        <f>IFERROR(__xludf.DUMMYFUNCTION("""COMPUTED_VALUE"""),5373.0)</f>
        <v>5373</v>
      </c>
      <c r="B415" s="228" t="str">
        <f>IFERROR(__xludf.DUMMYFUNCTION("""COMPUTED_VALUE"""),"Aisha Noor")</f>
        <v>Aisha Noor</v>
      </c>
      <c r="C415" s="228" t="str">
        <f>IFERROR(__xludf.DUMMYFUNCTION("""COMPUTED_VALUE"""),"aishanoor26081992@gmail.com")</f>
        <v>aishanoor26081992@gmail.com</v>
      </c>
      <c r="D415" s="228" t="str">
        <f>IFERROR(__xludf.DUMMYFUNCTION("""COMPUTED_VALUE"""),"aisha.noor@vyro.ai")</f>
        <v>aisha.noor@vyro.ai</v>
      </c>
      <c r="E415" s="730">
        <f>IFERROR(__xludf.DUMMYFUNCTION("""COMPUTED_VALUE"""),45698.0)</f>
        <v>45698</v>
      </c>
      <c r="F415" s="228" t="str">
        <f>IFERROR(__xludf.DUMMYFUNCTION("""COMPUTED_VALUE"""),"Senior Content Writer")</f>
        <v>Senior Content Writer</v>
      </c>
      <c r="G415" s="228" t="str">
        <f>IFERROR(__xludf.DUMMYFUNCTION("""COMPUTED_VALUE"""),"Content")</f>
        <v>Content</v>
      </c>
      <c r="H415" s="228" t="str">
        <f>IFERROR(__xludf.DUMMYFUNCTION("""COMPUTED_VALUE"""),"Zain")</f>
        <v>Zain</v>
      </c>
      <c r="I415" s="228" t="str">
        <f>IFERROR(__xludf.DUMMYFUNCTION("""COMPUTED_VALUE"""),"Probation")</f>
        <v>Probation</v>
      </c>
      <c r="J415" s="228" t="str">
        <f>IFERROR(__xludf.DUMMYFUNCTION("""COMPUTED_VALUE"""),"Active")</f>
        <v>Active</v>
      </c>
      <c r="K415" s="228" t="str">
        <f>IFERROR(__xludf.DUMMYFUNCTION("""COMPUTED_VALUE"""),"3M")</f>
        <v>3M</v>
      </c>
      <c r="L415" s="732">
        <f>IFERROR(__xludf.DUMMYFUNCTION("""COMPUTED_VALUE"""),45787.0)</f>
        <v>45787</v>
      </c>
      <c r="M415" s="228"/>
      <c r="N415" s="228"/>
      <c r="O415" s="228"/>
      <c r="P415" s="228" t="str">
        <f>IFERROR(__xludf.DUMMYFUNCTION("""COMPUTED_VALUE"""),"3322572042")</f>
        <v>3322572042</v>
      </c>
      <c r="Q415" s="228" t="str">
        <f>IFERROR(__xludf.DUMMYFUNCTION("""COMPUTED_VALUE"""),"42301-6199673-8")</f>
        <v>42301-6199673-8</v>
      </c>
      <c r="R415" s="228" t="str">
        <f>IFERROR(__xludf.DUMMYFUNCTION("""COMPUTED_VALUE"""),"Female")</f>
        <v>Female</v>
      </c>
      <c r="S415" s="228" t="str">
        <f>IFERROR(__xludf.DUMMYFUNCTION("""COMPUTED_VALUE"""),"Meezan Bank")</f>
        <v>Meezan Bank</v>
      </c>
      <c r="T415" s="228" t="str">
        <f>IFERROR(__xludf.DUMMYFUNCTION("""COMPUTED_VALUE"""),"Aisha Noor")</f>
        <v>Aisha Noor</v>
      </c>
      <c r="U415" s="228" t="str">
        <f>IFERROR(__xludf.DUMMYFUNCTION("""COMPUTED_VALUE"""),"PK37MEZN0011600108088306")</f>
        <v>PK37MEZN0011600108088306</v>
      </c>
      <c r="V415" s="228" t="str">
        <f>IFERROR(__xludf.DUMMYFUNCTION("""COMPUTED_VALUE"""),"MEZNPKKALHR")</f>
        <v>MEZNPKKALHR</v>
      </c>
      <c r="W415" s="228"/>
      <c r="X415" s="228" t="str">
        <f>IFERROR(__xludf.DUMMYFUNCTION("""COMPUTED_VALUE"""),"Islamabad")</f>
        <v>Islamabad</v>
      </c>
      <c r="Y415" s="730">
        <f>IFERROR(__xludf.DUMMYFUNCTION("""COMPUTED_VALUE"""),33842.0)</f>
        <v>33842</v>
      </c>
      <c r="Z415" s="228" t="str">
        <f>IFERROR(__xludf.DUMMYFUNCTION("""COMPUTED_VALUE"""),"32 Years")</f>
        <v>32 Years</v>
      </c>
      <c r="AA415" s="228" t="str">
        <f>IFERROR(__xludf.DUMMYFUNCTION("""COMPUTED_VALUE"""),"1873, Corniche Road, Bahria Town Phase 3, Islamabad")</f>
        <v>1873, Corniche Road, Bahria Town Phase 3, Islamabad</v>
      </c>
      <c r="AB415" s="228" t="str">
        <f>IFERROR(__xludf.DUMMYFUNCTION("""COMPUTED_VALUE"""),"Pakistani")</f>
        <v>Pakistani</v>
      </c>
      <c r="AC415" s="228" t="str">
        <f>IFERROR(__xludf.DUMMYFUNCTION("""COMPUTED_VALUE"""),"Single")</f>
        <v>Single</v>
      </c>
      <c r="AD415" s="228"/>
      <c r="AE415" s="228"/>
      <c r="AF415" s="228"/>
      <c r="AG415" s="228" t="str">
        <f>IFERROR(__xludf.DUMMYFUNCTION("""COMPUTED_VALUE"""),"Muhammad Akmal")</f>
        <v>Muhammad Akmal</v>
      </c>
      <c r="AH415" s="228" t="str">
        <f>IFERROR(__xludf.DUMMYFUNCTION("""COMPUTED_VALUE"""),"Fathee")</f>
        <v>Fathee</v>
      </c>
      <c r="AI415" s="228" t="str">
        <f>IFERROR(__xludf.DUMMYFUNCTION("""COMPUTED_VALUE"""),"3007037852")</f>
        <v>3007037852</v>
      </c>
      <c r="AJ415" s="228" t="str">
        <f>IFERROR(__xludf.DUMMYFUNCTION("""COMPUTED_VALUE"""),"AB-")</f>
        <v>AB-</v>
      </c>
      <c r="AK415" s="731" t="str">
        <f>IFERROR(__xludf.DUMMYFUNCTION("""COMPUTED_VALUE"""),"https://www.linkedin.com/in/aisha-noor-535b02252")</f>
        <v>https://www.linkedin.com/in/aisha-noor-535b02252</v>
      </c>
      <c r="AL415" s="228"/>
      <c r="AM415" s="730">
        <f>IFERROR(__xludf.DUMMYFUNCTION("""COMPUTED_VALUE"""),45813.0)</f>
        <v>45813</v>
      </c>
      <c r="AN415" s="228"/>
      <c r="AO415" s="228"/>
      <c r="AP415" s="228" t="str">
        <f>IFERROR(__xludf.DUMMYFUNCTION("""COMPUTED_VALUE"""),"NO")</f>
        <v>NO</v>
      </c>
      <c r="AQ415" s="228" t="str">
        <f>IFERROR(__xludf.DUMMYFUNCTION("""COMPUTED_VALUE"""),"Resigned/Terminated")</f>
        <v>Resigned/Terminated</v>
      </c>
    </row>
    <row r="416">
      <c r="A416" s="228">
        <f>IFERROR(__xludf.DUMMYFUNCTION("""COMPUTED_VALUE"""),5378.0)</f>
        <v>5378</v>
      </c>
      <c r="B416" s="228" t="str">
        <f>IFERROR(__xludf.DUMMYFUNCTION("""COMPUTED_VALUE"""),"Muhammad Mehdi")</f>
        <v>Muhammad Mehdi</v>
      </c>
      <c r="C416" s="228" t="str">
        <f>IFERROR(__xludf.DUMMYFUNCTION("""COMPUTED_VALUE"""),"muhammad.roohani@gmail.com")</f>
        <v>muhammad.roohani@gmail.com</v>
      </c>
      <c r="D416" s="228" t="str">
        <f>IFERROR(__xludf.DUMMYFUNCTION("""COMPUTED_VALUE"""),"muhammad.mehdi@vyro.ai")</f>
        <v>muhammad.mehdi@vyro.ai</v>
      </c>
      <c r="E416" s="730">
        <f>IFERROR(__xludf.DUMMYFUNCTION("""COMPUTED_VALUE"""),45705.0)</f>
        <v>45705</v>
      </c>
      <c r="F416" s="228" t="str">
        <f>IFERROR(__xludf.DUMMYFUNCTION("""COMPUTED_VALUE"""),"Product Manager")</f>
        <v>Product Manager</v>
      </c>
      <c r="G416" s="228" t="str">
        <f>IFERROR(__xludf.DUMMYFUNCTION("""COMPUTED_VALUE"""),"Product")</f>
        <v>Product</v>
      </c>
      <c r="H416" s="228" t="str">
        <f>IFERROR(__xludf.DUMMYFUNCTION("""COMPUTED_VALUE"""),"M. Abdullah")</f>
        <v>M. Abdullah</v>
      </c>
      <c r="I416" s="228" t="str">
        <f>IFERROR(__xludf.DUMMYFUNCTION("""COMPUTED_VALUE"""),"Probation")</f>
        <v>Probation</v>
      </c>
      <c r="J416" s="228" t="str">
        <f>IFERROR(__xludf.DUMMYFUNCTION("""COMPUTED_VALUE"""),"Active")</f>
        <v>Active</v>
      </c>
      <c r="K416" s="228" t="str">
        <f>IFERROR(__xludf.DUMMYFUNCTION("""COMPUTED_VALUE"""),"3M")</f>
        <v>3M</v>
      </c>
      <c r="L416" s="732">
        <f>IFERROR(__xludf.DUMMYFUNCTION("""COMPUTED_VALUE"""),45794.0)</f>
        <v>45794</v>
      </c>
      <c r="M416" s="228"/>
      <c r="N416" s="228"/>
      <c r="O416" s="228"/>
      <c r="P416" s="228" t="str">
        <f>IFERROR(__xludf.DUMMYFUNCTION("""COMPUTED_VALUE"""),"3332397563")</f>
        <v>3332397563</v>
      </c>
      <c r="Q416" s="228" t="str">
        <f>IFERROR(__xludf.DUMMYFUNCTION("""COMPUTED_VALUE"""),"42000-3437534-7")</f>
        <v>42000-3437534-7</v>
      </c>
      <c r="R416" s="228" t="str">
        <f>IFERROR(__xludf.DUMMYFUNCTION("""COMPUTED_VALUE"""),"Male")</f>
        <v>Male</v>
      </c>
      <c r="S416" s="228" t="str">
        <f>IFERROR(__xludf.DUMMYFUNCTION("""COMPUTED_VALUE"""),"Habib Bank Limited")</f>
        <v>Habib Bank Limited</v>
      </c>
      <c r="T416" s="228" t="str">
        <f>IFERROR(__xludf.DUMMYFUNCTION("""COMPUTED_VALUE"""),"Muhammad Mehdi")</f>
        <v>Muhammad Mehdi</v>
      </c>
      <c r="U416" s="228" t="str">
        <f>IFERROR(__xludf.DUMMYFUNCTION("""COMPUTED_VALUE"""),"PK95HABB0005437901074699")</f>
        <v>PK95HABB0005437901074699</v>
      </c>
      <c r="V416" s="228" t="str">
        <f>IFERROR(__xludf.DUMMYFUNCTION("""COMPUTED_VALUE"""),"HABBPKKA")</f>
        <v>HABBPKKA</v>
      </c>
      <c r="W416" s="228"/>
      <c r="X416" s="228" t="str">
        <f>IFERROR(__xludf.DUMMYFUNCTION("""COMPUTED_VALUE"""),"Islamabad")</f>
        <v>Islamabad</v>
      </c>
      <c r="Y416" s="228"/>
      <c r="Z416" s="228" t="str">
        <f>IFERROR(__xludf.DUMMYFUNCTION("""COMPUTED_VALUE"""),"27 Years")</f>
        <v>27 Years</v>
      </c>
      <c r="AA416" s="228" t="str">
        <f>IFERROR(__xludf.DUMMYFUNCTION("""COMPUTED_VALUE"""),"Flat 3, zulekha manzil, karimjee street, Soldier bazar, karachi")</f>
        <v>Flat 3, zulekha manzil, karimjee street, Soldier bazar, karachi</v>
      </c>
      <c r="AB416" s="228" t="str">
        <f>IFERROR(__xludf.DUMMYFUNCTION("""COMPUTED_VALUE"""),"Pakistani")</f>
        <v>Pakistani</v>
      </c>
      <c r="AC416" s="228" t="str">
        <f>IFERROR(__xludf.DUMMYFUNCTION("""COMPUTED_VALUE"""),"Single")</f>
        <v>Single</v>
      </c>
      <c r="AD416" s="228"/>
      <c r="AE416" s="228"/>
      <c r="AF416" s="228"/>
      <c r="AG416" s="228" t="str">
        <f>IFERROR(__xludf.DUMMYFUNCTION("""COMPUTED_VALUE"""),"Raza Hussain")</f>
        <v>Raza Hussain</v>
      </c>
      <c r="AH416" s="228" t="str">
        <f>IFERROR(__xludf.DUMMYFUNCTION("""COMPUTED_VALUE"""),"Father")</f>
        <v>Father</v>
      </c>
      <c r="AI416" s="228" t="str">
        <f>IFERROR(__xludf.DUMMYFUNCTION("""COMPUTED_VALUE"""),"3352590407")</f>
        <v>3352590407</v>
      </c>
      <c r="AJ416" s="228" t="str">
        <f>IFERROR(__xludf.DUMMYFUNCTION("""COMPUTED_VALUE"""),"B+")</f>
        <v>B+</v>
      </c>
      <c r="AK416" s="731" t="str">
        <f>IFERROR(__xludf.DUMMYFUNCTION("""COMPUTED_VALUE"""),"Linkedin.com/in/mehdiroohani")</f>
        <v>Linkedin.com/in/mehdiroohani</v>
      </c>
      <c r="AL416" s="228"/>
      <c r="AM416" s="730">
        <f>IFERROR(__xludf.DUMMYFUNCTION("""COMPUTED_VALUE"""),45807.0)</f>
        <v>45807</v>
      </c>
      <c r="AN416" s="228"/>
      <c r="AO416" s="228"/>
      <c r="AP416" s="228" t="str">
        <f>IFERROR(__xludf.DUMMYFUNCTION("""COMPUTED_VALUE"""),"YES")</f>
        <v>YES</v>
      </c>
      <c r="AQ416" s="228" t="str">
        <f>IFERROR(__xludf.DUMMYFUNCTION("""COMPUTED_VALUE"""),"Resigned/Terminated")</f>
        <v>Resigned/Terminated</v>
      </c>
    </row>
    <row r="417">
      <c r="A417" s="228">
        <f>IFERROR(__xludf.DUMMYFUNCTION("""COMPUTED_VALUE"""),5282.0)</f>
        <v>5282</v>
      </c>
      <c r="B417" s="228" t="str">
        <f>IFERROR(__xludf.DUMMYFUNCTION("""COMPUTED_VALUE"""),"Adil Ali Tariq")</f>
        <v>Adil Ali Tariq</v>
      </c>
      <c r="C417" s="228" t="str">
        <f>IFERROR(__xludf.DUMMYFUNCTION("""COMPUTED_VALUE"""),"adilalitariq100@gmail.com")</f>
        <v>adilalitariq100@gmail.com</v>
      </c>
      <c r="D417" s="228" t="str">
        <f>IFERROR(__xludf.DUMMYFUNCTION("""COMPUTED_VALUE"""),"adil.ali@vyro.ai")</f>
        <v>adil.ali@vyro.ai</v>
      </c>
      <c r="E417" s="730">
        <f>IFERROR(__xludf.DUMMYFUNCTION("""COMPUTED_VALUE"""),45453.0)</f>
        <v>45453</v>
      </c>
      <c r="F417" s="228" t="str">
        <f>IFERROR(__xludf.DUMMYFUNCTION("""COMPUTED_VALUE"""),"Marketing Executive Consultant")</f>
        <v>Marketing Executive Consultant</v>
      </c>
      <c r="G417" s="228" t="str">
        <f>IFERROR(__xludf.DUMMYFUNCTION("""COMPUTED_VALUE"""),"Product")</f>
        <v>Product</v>
      </c>
      <c r="H417" s="228" t="str">
        <f>IFERROR(__xludf.DUMMYFUNCTION("""COMPUTED_VALUE"""),"Shaiq Habib")</f>
        <v>Shaiq Habib</v>
      </c>
      <c r="I417" s="228" t="str">
        <f>IFERROR(__xludf.DUMMYFUNCTION("""COMPUTED_VALUE"""),"Permanent")</f>
        <v>Permanent</v>
      </c>
      <c r="J417" s="228" t="str">
        <f>IFERROR(__xludf.DUMMYFUNCTION("""COMPUTED_VALUE"""),"Active")</f>
        <v>Active</v>
      </c>
      <c r="K417" s="228" t="str">
        <f>IFERROR(__xludf.DUMMYFUNCTION("""COMPUTED_VALUE"""),"3M")</f>
        <v>3M</v>
      </c>
      <c r="L417" s="732">
        <f>IFERROR(__xludf.DUMMYFUNCTION("""COMPUTED_VALUE"""),45545.0)</f>
        <v>45545</v>
      </c>
      <c r="M417" s="228"/>
      <c r="N417" s="228"/>
      <c r="O417" s="228"/>
      <c r="P417" s="228" t="str">
        <f>IFERROR(__xludf.DUMMYFUNCTION("""COMPUTED_VALUE"""),"3315004402")</f>
        <v>3315004402</v>
      </c>
      <c r="Q417" s="228" t="str">
        <f>IFERROR(__xludf.DUMMYFUNCTION("""COMPUTED_VALUE"""),"37405-7507683-3")</f>
        <v>37405-7507683-3</v>
      </c>
      <c r="R417" s="228" t="str">
        <f>IFERROR(__xludf.DUMMYFUNCTION("""COMPUTED_VALUE"""),"Male")</f>
        <v>Male</v>
      </c>
      <c r="S417" s="228" t="str">
        <f>IFERROR(__xludf.DUMMYFUNCTION("""COMPUTED_VALUE"""),"HBL")</f>
        <v>HBL</v>
      </c>
      <c r="T417" s="228" t="str">
        <f>IFERROR(__xludf.DUMMYFUNCTION("""COMPUTED_VALUE"""),"Adil Ali Tariq")</f>
        <v>Adil Ali Tariq</v>
      </c>
      <c r="U417" s="228" t="str">
        <f>IFERROR(__xludf.DUMMYFUNCTION("""COMPUTED_VALUE"""),"PK60HABB0011247948753303")</f>
        <v>PK60HABB0011247948753303</v>
      </c>
      <c r="V417" s="228" t="str">
        <f>IFERROR(__xludf.DUMMYFUNCTION("""COMPUTED_VALUE"""),"HABBPKKA")</f>
        <v>HABBPKKA</v>
      </c>
      <c r="W417" s="228"/>
      <c r="X417" s="228" t="str">
        <f>IFERROR(__xludf.DUMMYFUNCTION("""COMPUTED_VALUE"""),"remote")</f>
        <v>remote</v>
      </c>
      <c r="Y417" s="228"/>
      <c r="Z417" s="228" t="str">
        <f>IFERROR(__xludf.DUMMYFUNCTION("""COMPUTED_VALUE"""),"21 Years")</f>
        <v>21 Years</v>
      </c>
      <c r="AA417" s="228" t="str">
        <f>IFERROR(__xludf.DUMMYFUNCTION("""COMPUTED_VALUE"""),"F-557, Satellite Town, Rawalpindi")</f>
        <v>F-557, Satellite Town, Rawalpindi</v>
      </c>
      <c r="AB417" s="228" t="str">
        <f>IFERROR(__xludf.DUMMYFUNCTION("""COMPUTED_VALUE"""),"Pakistani")</f>
        <v>Pakistani</v>
      </c>
      <c r="AC417" s="228" t="str">
        <f>IFERROR(__xludf.DUMMYFUNCTION("""COMPUTED_VALUE"""),"Single")</f>
        <v>Single</v>
      </c>
      <c r="AD417" s="228"/>
      <c r="AE417" s="228"/>
      <c r="AF417" s="228"/>
      <c r="AG417" s="228" t="str">
        <f>IFERROR(__xludf.DUMMYFUNCTION("""COMPUTED_VALUE"""),"Tariq Mahmood")</f>
        <v>Tariq Mahmood</v>
      </c>
      <c r="AH417" s="228" t="str">
        <f>IFERROR(__xludf.DUMMYFUNCTION("""COMPUTED_VALUE"""),"Father")</f>
        <v>Father</v>
      </c>
      <c r="AI417" s="228" t="str">
        <f>IFERROR(__xludf.DUMMYFUNCTION("""COMPUTED_VALUE"""),"3219519814")</f>
        <v>3219519814</v>
      </c>
      <c r="AJ417" s="228" t="str">
        <f>IFERROR(__xludf.DUMMYFUNCTION("""COMPUTED_VALUE"""),"A+")</f>
        <v>A+</v>
      </c>
      <c r="AK417" s="731" t="str">
        <f>IFERROR(__xludf.DUMMYFUNCTION("""COMPUTED_VALUE"""),"https://pk.linkedin.com/in/adil-ali-tariq-02154a209")</f>
        <v>https://pk.linkedin.com/in/adil-ali-tariq-02154a209</v>
      </c>
      <c r="AL417" s="228"/>
      <c r="AM417" s="730">
        <f>IFERROR(__xludf.DUMMYFUNCTION("""COMPUTED_VALUE"""),45821.0)</f>
        <v>45821</v>
      </c>
      <c r="AN417" s="228" t="str">
        <f>IFERROR(__xludf.DUMMYFUNCTION("""COMPUTED_VALUE"""),"Product")</f>
        <v>Product</v>
      </c>
      <c r="AO417" s="228" t="str">
        <f>IFERROR(__xludf.DUMMYFUNCTION("""COMPUTED_VALUE"""),"product.team@vyro.ai")</f>
        <v>product.team@vyro.ai</v>
      </c>
      <c r="AP417" s="228" t="str">
        <f>IFERROR(__xludf.DUMMYFUNCTION("""COMPUTED_VALUE"""),"NO")</f>
        <v>NO</v>
      </c>
      <c r="AQ417" s="228" t="str">
        <f>IFERROR(__xludf.DUMMYFUNCTION("""COMPUTED_VALUE"""),"Resigned/Terminated")</f>
        <v>Resigned/Terminated</v>
      </c>
    </row>
    <row r="418">
      <c r="A418" s="228">
        <f>IFERROR(__xludf.DUMMYFUNCTION("""COMPUTED_VALUE"""),5416.0)</f>
        <v>5416</v>
      </c>
      <c r="B418" s="228" t="str">
        <f>IFERROR(__xludf.DUMMYFUNCTION("""COMPUTED_VALUE"""),"Shaheryar Ehsan")</f>
        <v>Shaheryar Ehsan</v>
      </c>
      <c r="C418" s="228" t="str">
        <f>IFERROR(__xludf.DUMMYFUNCTION("""COMPUTED_VALUE"""),"Shaheryarehsanihaque@gmail.com")</f>
        <v>Shaheryarehsanihaque@gmail.com</v>
      </c>
      <c r="D418" s="228" t="str">
        <f>IFERROR(__xludf.DUMMYFUNCTION("""COMPUTED_VALUE"""),"shaheryar.ehsan@vyro.ai")</f>
        <v>shaheryar.ehsan@vyro.ai</v>
      </c>
      <c r="E418" s="730">
        <f>IFERROR(__xludf.DUMMYFUNCTION("""COMPUTED_VALUE"""),45476.0)</f>
        <v>45476</v>
      </c>
      <c r="F418" s="228" t="str">
        <f>IFERROR(__xludf.DUMMYFUNCTION("""COMPUTED_VALUE"""),"Recruitment Consultant")</f>
        <v>Recruitment Consultant</v>
      </c>
      <c r="G418" s="228" t="str">
        <f>IFERROR(__xludf.DUMMYFUNCTION("""COMPUTED_VALUE"""),"People &amp; Talent")</f>
        <v>People &amp; Talent</v>
      </c>
      <c r="H418" s="228" t="str">
        <f>IFERROR(__xludf.DUMMYFUNCTION("""COMPUTED_VALUE"""),"Ahmed Abubakar, CEO")</f>
        <v>Ahmed Abubakar, CEO</v>
      </c>
      <c r="I418" s="228" t="str">
        <f>IFERROR(__xludf.DUMMYFUNCTION("""COMPUTED_VALUE"""),"Permanent")</f>
        <v>Permanent</v>
      </c>
      <c r="J418" s="228" t="str">
        <f>IFERROR(__xludf.DUMMYFUNCTION("""COMPUTED_VALUE"""),"Active")</f>
        <v>Active</v>
      </c>
      <c r="K418" s="228" t="str">
        <f>IFERROR(__xludf.DUMMYFUNCTION("""COMPUTED_VALUE"""),"3M")</f>
        <v>3M</v>
      </c>
      <c r="L418" s="732">
        <f>IFERROR(__xludf.DUMMYFUNCTION("""COMPUTED_VALUE"""),45568.0)</f>
        <v>45568</v>
      </c>
      <c r="M418" s="228"/>
      <c r="N418" s="228"/>
      <c r="O418" s="228"/>
      <c r="P418" s="228" t="str">
        <f>IFERROR(__xludf.DUMMYFUNCTION("""COMPUTED_VALUE"""),"0336-5545394")</f>
        <v>0336-5545394</v>
      </c>
      <c r="Q418" s="228" t="str">
        <f>IFERROR(__xludf.DUMMYFUNCTION("""COMPUTED_VALUE"""),"37405-6028477-3")</f>
        <v>37405-6028477-3</v>
      </c>
      <c r="R418" s="228" t="str">
        <f>IFERROR(__xludf.DUMMYFUNCTION("""COMPUTED_VALUE"""),"Male")</f>
        <v>Male</v>
      </c>
      <c r="S418" s="228" t="str">
        <f>IFERROR(__xludf.DUMMYFUNCTION("""COMPUTED_VALUE"""),"UBL")</f>
        <v>UBL</v>
      </c>
      <c r="T418" s="228"/>
      <c r="U418" s="228" t="str">
        <f>IFERROR(__xludf.DUMMYFUNCTION("""COMPUTED_VALUE"""),"PK60UNIL0109000277304182")</f>
        <v>PK60UNIL0109000277304182</v>
      </c>
      <c r="V418" s="228"/>
      <c r="W418" s="228"/>
      <c r="X418" s="228" t="str">
        <f>IFERROR(__xludf.DUMMYFUNCTION("""COMPUTED_VALUE"""),"Remote")</f>
        <v>Remote</v>
      </c>
      <c r="Y418" s="228"/>
      <c r="Z418" s="228" t="str">
        <f>IFERROR(__xludf.DUMMYFUNCTION("""COMPUTED_VALUE"""),"25 Years")</f>
        <v>25 Years</v>
      </c>
      <c r="AA418" s="228" t="str">
        <f>IFERROR(__xludf.DUMMYFUNCTION("""COMPUTED_VALUE"""),"House no. 81 A, Zakaria Road, Westridge 2, Rawalpindi")</f>
        <v>House no. 81 A, Zakaria Road, Westridge 2, Rawalpindi</v>
      </c>
      <c r="AB418" s="228"/>
      <c r="AC418" s="228" t="str">
        <f>IFERROR(__xludf.DUMMYFUNCTION("""COMPUTED_VALUE"""),"Engaged")</f>
        <v>Engaged</v>
      </c>
      <c r="AD418" s="228"/>
      <c r="AE418" s="228"/>
      <c r="AF418" s="228"/>
      <c r="AG418" s="228" t="str">
        <f>IFERROR(__xludf.DUMMYFUNCTION("""COMPUTED_VALUE"""),"Waqar Ehsan")</f>
        <v>Waqar Ehsan</v>
      </c>
      <c r="AH418" s="228" t="str">
        <f>IFERROR(__xludf.DUMMYFUNCTION("""COMPUTED_VALUE"""),"Father")</f>
        <v>Father</v>
      </c>
      <c r="AI418" s="228" t="str">
        <f>IFERROR(__xludf.DUMMYFUNCTION("""COMPUTED_VALUE"""),"3335301474")</f>
        <v>3335301474</v>
      </c>
      <c r="AJ418" s="228" t="str">
        <f>IFERROR(__xludf.DUMMYFUNCTION("""COMPUTED_VALUE"""),"A+")</f>
        <v>A+</v>
      </c>
      <c r="AK418" s="731" t="str">
        <f>IFERROR(__xludf.DUMMYFUNCTION("""COMPUTED_VALUE"""),"https://www.linkedin.com/in/shaheryar-ehsan/")</f>
        <v>https://www.linkedin.com/in/shaheryar-ehsan/</v>
      </c>
      <c r="AL418" s="228"/>
      <c r="AM418" s="730">
        <f>IFERROR(__xludf.DUMMYFUNCTION("""COMPUTED_VALUE"""),45808.0)</f>
        <v>45808</v>
      </c>
      <c r="AN418" s="228" t="str">
        <f>IFERROR(__xludf.DUMMYFUNCTION("""COMPUTED_VALUE"""),"Talent")</f>
        <v>Talent</v>
      </c>
      <c r="AO418" s="228" t="str">
        <f>IFERROR(__xludf.DUMMYFUNCTION("""COMPUTED_VALUE"""),"talent.team@vyro.ai")</f>
        <v>talent.team@vyro.ai</v>
      </c>
      <c r="AP418" s="228" t="str">
        <f>IFERROR(__xludf.DUMMYFUNCTION("""COMPUTED_VALUE"""),"YES")</f>
        <v>YES</v>
      </c>
      <c r="AQ418" s="228" t="str">
        <f>IFERROR(__xludf.DUMMYFUNCTION("""COMPUTED_VALUE"""),"Resigned/Terminated")</f>
        <v>Resigned/Terminated</v>
      </c>
    </row>
    <row r="419">
      <c r="A419" s="228">
        <f>IFERROR(__xludf.DUMMYFUNCTION("""COMPUTED_VALUE"""),5388.0)</f>
        <v>5388</v>
      </c>
      <c r="B419" s="228" t="str">
        <f>IFERROR(__xludf.DUMMYFUNCTION("""COMPUTED_VALUE"""),"Muhammad Usman Aslam Mian")</f>
        <v>Muhammad Usman Aslam Mian</v>
      </c>
      <c r="C419" s="228" t="str">
        <f>IFERROR(__xludf.DUMMYFUNCTION("""COMPUTED_VALUE"""),"m.usmanaslam712@gmail.com")</f>
        <v>m.usmanaslam712@gmail.com</v>
      </c>
      <c r="D419" s="228" t="str">
        <f>IFERROR(__xludf.DUMMYFUNCTION("""COMPUTED_VALUE"""),"usman.aslam@vyro.ai")</f>
        <v>usman.aslam@vyro.ai</v>
      </c>
      <c r="E419" s="730">
        <f>IFERROR(__xludf.DUMMYFUNCTION("""COMPUTED_VALUE"""),45754.0)</f>
        <v>45754</v>
      </c>
      <c r="F419" s="228" t="str">
        <f>IFERROR(__xludf.DUMMYFUNCTION("""COMPUTED_VALUE"""),"Associate Program Manager")</f>
        <v>Associate Program Manager</v>
      </c>
      <c r="G419" s="228" t="str">
        <f>IFERROR(__xludf.DUMMYFUNCTION("""COMPUTED_VALUE"""),"Growth &amp; Partnerships")</f>
        <v>Growth &amp; Partnerships</v>
      </c>
      <c r="H419" s="228" t="str">
        <f>IFERROR(__xludf.DUMMYFUNCTION("""COMPUTED_VALUE"""),"Zain Ul Abedein")</f>
        <v>Zain Ul Abedein</v>
      </c>
      <c r="I419" s="228" t="str">
        <f>IFERROR(__xludf.DUMMYFUNCTION("""COMPUTED_VALUE"""),"Probation")</f>
        <v>Probation</v>
      </c>
      <c r="J419" s="228" t="str">
        <f>IFERROR(__xludf.DUMMYFUNCTION("""COMPUTED_VALUE"""),"Active")</f>
        <v>Active</v>
      </c>
      <c r="K419" s="228" t="str">
        <f>IFERROR(__xludf.DUMMYFUNCTION("""COMPUTED_VALUE"""),"3M")</f>
        <v>3M</v>
      </c>
      <c r="L419" s="732">
        <f>IFERROR(__xludf.DUMMYFUNCTION("""COMPUTED_VALUE"""),45845.0)</f>
        <v>45845</v>
      </c>
      <c r="M419" s="228"/>
      <c r="N419" s="228"/>
      <c r="O419" s="228"/>
      <c r="P419" s="228" t="str">
        <f>IFERROR(__xludf.DUMMYFUNCTION("""COMPUTED_VALUE"""),"3455343590")</f>
        <v>3455343590</v>
      </c>
      <c r="Q419" s="228" t="str">
        <f>IFERROR(__xludf.DUMMYFUNCTION("""COMPUTED_VALUE"""),"37405-6744647-7")</f>
        <v>37405-6744647-7</v>
      </c>
      <c r="R419" s="228" t="str">
        <f>IFERROR(__xludf.DUMMYFUNCTION("""COMPUTED_VALUE"""),"Male")</f>
        <v>Male</v>
      </c>
      <c r="S419" s="228" t="str">
        <f>IFERROR(__xludf.DUMMYFUNCTION("""COMPUTED_VALUE"""),"Standard Chartered")</f>
        <v>Standard Chartered</v>
      </c>
      <c r="T419" s="228" t="str">
        <f>IFERROR(__xludf.DUMMYFUNCTION("""COMPUTED_VALUE"""),"MUHAMMAD USMAN ASLAM MIAN")</f>
        <v>MUHAMMAD USMAN ASLAM MIAN</v>
      </c>
      <c r="U419" s="228" t="str">
        <f>IFERROR(__xludf.DUMMYFUNCTION("""COMPUTED_VALUE"""),"PK23SCBL0000001021475501")</f>
        <v>PK23SCBL0000001021475501</v>
      </c>
      <c r="V419" s="228" t="str">
        <f>IFERROR(__xludf.DUMMYFUNCTION("""COMPUTED_VALUE"""),"SCBLPKKXLHR")</f>
        <v>SCBLPKKXLHR</v>
      </c>
      <c r="W419" s="228"/>
      <c r="X419" s="228" t="str">
        <f>IFERROR(__xludf.DUMMYFUNCTION("""COMPUTED_VALUE"""),"Islamabad")</f>
        <v>Islamabad</v>
      </c>
      <c r="Y419" s="228"/>
      <c r="Z419" s="228" t="str">
        <f>IFERROR(__xludf.DUMMYFUNCTION("""COMPUTED_VALUE"""),"27 Years")</f>
        <v>27 Years</v>
      </c>
      <c r="AA419" s="228" t="str">
        <f>IFERROR(__xludf.DUMMYFUNCTION("""COMPUTED_VALUE"""),"House Number 112, Street number 3, Sector F-8/3, Bahria Phase 8")</f>
        <v>House Number 112, Street number 3, Sector F-8/3, Bahria Phase 8</v>
      </c>
      <c r="AB419" s="228" t="str">
        <f>IFERROR(__xludf.DUMMYFUNCTION("""COMPUTED_VALUE"""),"Pakistani")</f>
        <v>Pakistani</v>
      </c>
      <c r="AC419" s="228" t="str">
        <f>IFERROR(__xludf.DUMMYFUNCTION("""COMPUTED_VALUE"""),"Single")</f>
        <v>Single</v>
      </c>
      <c r="AD419" s="228"/>
      <c r="AE419" s="228"/>
      <c r="AF419" s="228"/>
      <c r="AG419" s="228" t="str">
        <f>IFERROR(__xludf.DUMMYFUNCTION("""COMPUTED_VALUE"""),"Dr. Muhammad Aslam Mian")</f>
        <v>Dr. Muhammad Aslam Mian</v>
      </c>
      <c r="AH419" s="228" t="str">
        <f>IFERROR(__xludf.DUMMYFUNCTION("""COMPUTED_VALUE"""),"Fiance")</f>
        <v>Fiance</v>
      </c>
      <c r="AI419" s="228" t="str">
        <f>IFERROR(__xludf.DUMMYFUNCTION("""COMPUTED_VALUE"""),"3102549273")</f>
        <v>3102549273</v>
      </c>
      <c r="AJ419" s="228" t="str">
        <f>IFERROR(__xludf.DUMMYFUNCTION("""COMPUTED_VALUE"""),"A+")</f>
        <v>A+</v>
      </c>
      <c r="AK419" s="731" t="str">
        <f>IFERROR(__xludf.DUMMYFUNCTION("""COMPUTED_VALUE"""),"https://www.linkedin.com/in/usmanaslam712/")</f>
        <v>https://www.linkedin.com/in/usmanaslam712/</v>
      </c>
      <c r="AL419" s="228" t="str">
        <f>IFERROR(__xludf.DUMMYFUNCTION("""COMPUTED_VALUE"""),"Shahreyar Ehsan")</f>
        <v>Shahreyar Ehsan</v>
      </c>
      <c r="AM419" s="730">
        <f>IFERROR(__xludf.DUMMYFUNCTION("""COMPUTED_VALUE"""),45819.0)</f>
        <v>45819</v>
      </c>
      <c r="AN419" s="228"/>
      <c r="AO419" s="228"/>
      <c r="AP419" s="228" t="str">
        <f>IFERROR(__xludf.DUMMYFUNCTION("""COMPUTED_VALUE"""),"NO")</f>
        <v>NO</v>
      </c>
      <c r="AQ419" s="228" t="str">
        <f>IFERROR(__xludf.DUMMYFUNCTION("""COMPUTED_VALUE"""),"Resigned/Terminated")</f>
        <v>Resigned/Terminated</v>
      </c>
    </row>
    <row r="420">
      <c r="A420" s="228">
        <f>IFERROR(__xludf.DUMMYFUNCTION("""COMPUTED_VALUE"""),5210.0)</f>
        <v>5210</v>
      </c>
      <c r="B420" s="228" t="str">
        <f>IFERROR(__xludf.DUMMYFUNCTION("""COMPUTED_VALUE"""),"Muhammad Ali Kiyani")</f>
        <v>Muhammad Ali Kiyani</v>
      </c>
      <c r="C420" s="228" t="str">
        <f>IFERROR(__xludf.DUMMYFUNCTION("""COMPUTED_VALUE"""),"kiyanimuhammadali@gmail.com")</f>
        <v>kiyanimuhammadali@gmail.com</v>
      </c>
      <c r="D420" s="228" t="str">
        <f>IFERROR(__xludf.DUMMYFUNCTION("""COMPUTED_VALUE"""),"ali.kiyani@vyro.ai")</f>
        <v>ali.kiyani@vyro.ai</v>
      </c>
      <c r="E420" s="730">
        <f>IFERROR(__xludf.DUMMYFUNCTION("""COMPUTED_VALUE"""),45264.0)</f>
        <v>45264</v>
      </c>
      <c r="F420" s="228" t="str">
        <f>IFERROR(__xludf.DUMMYFUNCTION("""COMPUTED_VALUE"""),"Customer Experience Executive")</f>
        <v>Customer Experience Executive</v>
      </c>
      <c r="G420" s="228" t="str">
        <f>IFERROR(__xludf.DUMMYFUNCTION("""COMPUTED_VALUE"""),"Customer Success")</f>
        <v>Customer Success</v>
      </c>
      <c r="H420" s="228" t="str">
        <f>IFERROR(__xludf.DUMMYFUNCTION("""COMPUTED_VALUE"""),"Saad Ahmed")</f>
        <v>Saad Ahmed</v>
      </c>
      <c r="I420" s="228" t="str">
        <f>IFERROR(__xludf.DUMMYFUNCTION("""COMPUTED_VALUE"""),"Permanent")</f>
        <v>Permanent</v>
      </c>
      <c r="J420" s="228" t="str">
        <f>IFERROR(__xludf.DUMMYFUNCTION("""COMPUTED_VALUE"""),"Active")</f>
        <v>Active</v>
      </c>
      <c r="K420" s="228" t="str">
        <f>IFERROR(__xludf.DUMMYFUNCTION("""COMPUTED_VALUE"""),"3M")</f>
        <v>3M</v>
      </c>
      <c r="L420" s="732">
        <f>IFERROR(__xludf.DUMMYFUNCTION("""COMPUTED_VALUE"""),45355.0)</f>
        <v>45355</v>
      </c>
      <c r="M420" s="228"/>
      <c r="N420" s="228"/>
      <c r="O420" s="228"/>
      <c r="P420" s="228" t="str">
        <f>IFERROR(__xludf.DUMMYFUNCTION("""COMPUTED_VALUE"""),"3335332347")</f>
        <v>3335332347</v>
      </c>
      <c r="Q420" s="228" t="str">
        <f>IFERROR(__xludf.DUMMYFUNCTION("""COMPUTED_VALUE"""),"61101-7478749-3")</f>
        <v>61101-7478749-3</v>
      </c>
      <c r="R420" s="228" t="str">
        <f>IFERROR(__xludf.DUMMYFUNCTION("""COMPUTED_VALUE"""),"Male")</f>
        <v>Male</v>
      </c>
      <c r="S420" s="228" t="str">
        <f>IFERROR(__xludf.DUMMYFUNCTION("""COMPUTED_VALUE"""),"Standard Chartered")</f>
        <v>Standard Chartered</v>
      </c>
      <c r="T420" s="228" t="str">
        <f>IFERROR(__xludf.DUMMYFUNCTION("""COMPUTED_VALUE"""),"Muhammad Ali")</f>
        <v>Muhammad Ali</v>
      </c>
      <c r="U420" s="228" t="str">
        <f>IFERROR(__xludf.DUMMYFUNCTION("""COMPUTED_VALUE"""),"PK76SCBL0000001725809201")</f>
        <v>PK76SCBL0000001725809201</v>
      </c>
      <c r="V420" s="228"/>
      <c r="W420" s="228"/>
      <c r="X420" s="228" t="str">
        <f>IFERROR(__xludf.DUMMYFUNCTION("""COMPUTED_VALUE"""),"Islamabad")</f>
        <v>Islamabad</v>
      </c>
      <c r="Y420" s="228"/>
      <c r="Z420" s="228" t="str">
        <f>IFERROR(__xludf.DUMMYFUNCTION("""COMPUTED_VALUE"""),"28 Years")</f>
        <v>28 Years</v>
      </c>
      <c r="AA420" s="228" t="str">
        <f>IFERROR(__xludf.DUMMYFUNCTION("""COMPUTED_VALUE"""),"House 360, Street 143, D-12/4, Islamabad.")</f>
        <v>House 360, Street 143, D-12/4, Islamabad.</v>
      </c>
      <c r="AB420" s="228" t="str">
        <f>IFERROR(__xludf.DUMMYFUNCTION("""COMPUTED_VALUE"""),"Pakistani")</f>
        <v>Pakistani</v>
      </c>
      <c r="AC420" s="228" t="str">
        <f>IFERROR(__xludf.DUMMYFUNCTION("""COMPUTED_VALUE"""),"Single")</f>
        <v>Single</v>
      </c>
      <c r="AD420" s="228"/>
      <c r="AE420" s="228"/>
      <c r="AF420" s="228"/>
      <c r="AG420" s="228" t="str">
        <f>IFERROR(__xludf.DUMMYFUNCTION("""COMPUTED_VALUE"""),"Mosaddaq Hussain Kiyani")</f>
        <v>Mosaddaq Hussain Kiyani</v>
      </c>
      <c r="AH420" s="228" t="str">
        <f>IFERROR(__xludf.DUMMYFUNCTION("""COMPUTED_VALUE"""),"Brother")</f>
        <v>Brother</v>
      </c>
      <c r="AI420" s="228" t="str">
        <f>IFERROR(__xludf.DUMMYFUNCTION("""COMPUTED_VALUE"""),"3100666593")</f>
        <v>3100666593</v>
      </c>
      <c r="AJ420" s="228" t="str">
        <f>IFERROR(__xludf.DUMMYFUNCTION("""COMPUTED_VALUE"""),"A-")</f>
        <v>A-</v>
      </c>
      <c r="AK420" s="731" t="str">
        <f>IFERROR(__xludf.DUMMYFUNCTION("""COMPUTED_VALUE"""),"https://pk.linkedin.com/in/muhammad-ali-kiyani-1466ba16a")</f>
        <v>https://pk.linkedin.com/in/muhammad-ali-kiyani-1466ba16a</v>
      </c>
      <c r="AL420" s="228"/>
      <c r="AM420" s="730">
        <f>IFERROR(__xludf.DUMMYFUNCTION("""COMPUTED_VALUE"""),45833.0)</f>
        <v>45833</v>
      </c>
      <c r="AN420" s="228" t="str">
        <f>IFERROR(__xludf.DUMMYFUNCTION("""COMPUTED_VALUE"""),"Customer Support")</f>
        <v>Customer Support</v>
      </c>
      <c r="AO420" s="228" t="str">
        <f>IFERROR(__xludf.DUMMYFUNCTION("""COMPUTED_VALUE"""),"cx.team@vyro.ai")</f>
        <v>cx.team@vyro.ai</v>
      </c>
      <c r="AP420" s="228" t="str">
        <f>IFERROR(__xludf.DUMMYFUNCTION("""COMPUTED_VALUE"""),"NO")</f>
        <v>NO</v>
      </c>
      <c r="AQ420" s="228" t="str">
        <f>IFERROR(__xludf.DUMMYFUNCTION("""COMPUTED_VALUE"""),"Resigned/Terminated")</f>
        <v>Resigned/Terminated</v>
      </c>
    </row>
    <row r="421">
      <c r="A421" s="228">
        <f>IFERROR(__xludf.DUMMYFUNCTION("""COMPUTED_VALUE"""),5414.0)</f>
        <v>5414</v>
      </c>
      <c r="B421" s="228" t="str">
        <f>IFERROR(__xludf.DUMMYFUNCTION("""COMPUTED_VALUE"""),"Zain Shahid")</f>
        <v>Zain Shahid</v>
      </c>
      <c r="C421" s="228" t="str">
        <f>IFERROR(__xludf.DUMMYFUNCTION("""COMPUTED_VALUE"""),"zainshahidbuttt@gmail.com")</f>
        <v>zainshahidbuttt@gmail.com</v>
      </c>
      <c r="D421" s="228" t="str">
        <f>IFERROR(__xludf.DUMMYFUNCTION("""COMPUTED_VALUE"""),"zain.shahid@vyro.ai")</f>
        <v>zain.shahid@vyro.ai</v>
      </c>
      <c r="E421" s="730">
        <f>IFERROR(__xludf.DUMMYFUNCTION("""COMPUTED_VALUE"""),45320.0)</f>
        <v>45320</v>
      </c>
      <c r="F421" s="228" t="str">
        <f>IFERROR(__xludf.DUMMYFUNCTION("""COMPUTED_VALUE"""),"Android Developer")</f>
        <v>Android Developer</v>
      </c>
      <c r="G421" s="228" t="str">
        <f>IFERROR(__xludf.DUMMYFUNCTION("""COMPUTED_VALUE"""),"Android")</f>
        <v>Android</v>
      </c>
      <c r="H421" s="228" t="str">
        <f>IFERROR(__xludf.DUMMYFUNCTION("""COMPUTED_VALUE"""),"Saad Aziz")</f>
        <v>Saad Aziz</v>
      </c>
      <c r="I421" s="228" t="str">
        <f>IFERROR(__xludf.DUMMYFUNCTION("""COMPUTED_VALUE"""),"Permanent")</f>
        <v>Permanent</v>
      </c>
      <c r="J421" s="228" t="str">
        <f>IFERROR(__xludf.DUMMYFUNCTION("""COMPUTED_VALUE"""),"Active")</f>
        <v>Active</v>
      </c>
      <c r="K421" s="228" t="str">
        <f>IFERROR(__xludf.DUMMYFUNCTION("""COMPUTED_VALUE"""),"3M")</f>
        <v>3M</v>
      </c>
      <c r="L421" s="732">
        <f>IFERROR(__xludf.DUMMYFUNCTION("""COMPUTED_VALUE"""),45411.0)</f>
        <v>45411</v>
      </c>
      <c r="M421" s="228"/>
      <c r="N421" s="228"/>
      <c r="O421" s="228"/>
      <c r="P421" s="228" t="str">
        <f>IFERROR(__xludf.DUMMYFUNCTION("""COMPUTED_VALUE"""),"03033009802")</f>
        <v>03033009802</v>
      </c>
      <c r="Q421" s="228" t="str">
        <f>IFERROR(__xludf.DUMMYFUNCTION("""COMPUTED_VALUE"""),"36401-6591078-1")</f>
        <v>36401-6591078-1</v>
      </c>
      <c r="R421" s="228" t="str">
        <f>IFERROR(__xludf.DUMMYFUNCTION("""COMPUTED_VALUE"""),"Male")</f>
        <v>Male</v>
      </c>
      <c r="S421" s="228" t="str">
        <f>IFERROR(__xludf.DUMMYFUNCTION("""COMPUTED_VALUE"""),"UBL")</f>
        <v>UBL</v>
      </c>
      <c r="T421" s="228"/>
      <c r="U421" s="228" t="str">
        <f>IFERROR(__xludf.DUMMYFUNCTION("""COMPUTED_VALUE"""),"PK24UNIL0109000290954573")</f>
        <v>PK24UNIL0109000290954573</v>
      </c>
      <c r="V421" s="228"/>
      <c r="W421" s="228"/>
      <c r="X421" s="228" t="str">
        <f>IFERROR(__xludf.DUMMYFUNCTION("""COMPUTED_VALUE"""),"remote")</f>
        <v>remote</v>
      </c>
      <c r="Y421" s="730">
        <f>IFERROR(__xludf.DUMMYFUNCTION("""COMPUTED_VALUE"""),36177.0)</f>
        <v>36177</v>
      </c>
      <c r="Z421" s="228" t="str">
        <f>IFERROR(__xludf.DUMMYFUNCTION("""COMPUTED_VALUE"""),"26 Years")</f>
        <v>26 Years</v>
      </c>
      <c r="AA421" s="228" t="str">
        <f>IFERROR(__xludf.DUMMYFUNCTION("""COMPUTED_VALUE"""),"Flat no# D34,  E-11/1")</f>
        <v>Flat no# D34,  E-11/1</v>
      </c>
      <c r="AB421" s="228" t="str">
        <f>IFERROR(__xludf.DUMMYFUNCTION("""COMPUTED_VALUE"""),"Pakistani")</f>
        <v>Pakistani</v>
      </c>
      <c r="AC421" s="228" t="str">
        <f>IFERROR(__xludf.DUMMYFUNCTION("""COMPUTED_VALUE"""),"Single")</f>
        <v>Single</v>
      </c>
      <c r="AD421" s="228"/>
      <c r="AE421" s="228"/>
      <c r="AF421" s="228"/>
      <c r="AG421" s="228" t="str">
        <f>IFERROR(__xludf.DUMMYFUNCTION("""COMPUTED_VALUE"""),"Shahid Mahmood")</f>
        <v>Shahid Mahmood</v>
      </c>
      <c r="AH421" s="228" t="str">
        <f>IFERROR(__xludf.DUMMYFUNCTION("""COMPUTED_VALUE"""),"Father")</f>
        <v>Father</v>
      </c>
      <c r="AI421" s="228" t="str">
        <f>IFERROR(__xludf.DUMMYFUNCTION("""COMPUTED_VALUE"""),"03220683868")</f>
        <v>03220683868</v>
      </c>
      <c r="AJ421" s="228"/>
      <c r="AK421" s="228"/>
      <c r="AL421" s="228"/>
      <c r="AM421" s="730">
        <f>IFERROR(__xludf.DUMMYFUNCTION("""COMPUTED_VALUE"""),45826.0)</f>
        <v>45826</v>
      </c>
      <c r="AN421" s="228" t="str">
        <f>IFERROR(__xludf.DUMMYFUNCTION("""COMPUTED_VALUE"""),"Android")</f>
        <v>Android</v>
      </c>
      <c r="AO421" s="228" t="str">
        <f>IFERROR(__xludf.DUMMYFUNCTION("""COMPUTED_VALUE"""),"android.team@vyro.ai")</f>
        <v>android.team@vyro.ai</v>
      </c>
      <c r="AP421" s="228" t="str">
        <f>IFERROR(__xludf.DUMMYFUNCTION("""COMPUTED_VALUE"""),"YES")</f>
        <v>YES</v>
      </c>
      <c r="AQ421" s="228" t="str">
        <f>IFERROR(__xludf.DUMMYFUNCTION("""COMPUTED_VALUE"""),"Resigned/Terminated")</f>
        <v>Resigned/Terminated</v>
      </c>
    </row>
    <row r="422">
      <c r="A422" s="228">
        <f>IFERROR(__xludf.DUMMYFUNCTION("""COMPUTED_VALUE"""),5078.0)</f>
        <v>5078</v>
      </c>
      <c r="B422" s="228" t="str">
        <f>IFERROR(__xludf.DUMMYFUNCTION("""COMPUTED_VALUE"""),"Hamza Ahmad")</f>
        <v>Hamza Ahmad</v>
      </c>
      <c r="C422" s="228" t="str">
        <f>IFERROR(__xludf.DUMMYFUNCTION("""COMPUTED_VALUE"""),"hz.zahoor@gmail.com")</f>
        <v>hz.zahoor@gmail.com</v>
      </c>
      <c r="D422" s="228" t="str">
        <f>IFERROR(__xludf.DUMMYFUNCTION("""COMPUTED_VALUE"""),"hamza.ahmad@vyro.ai")</f>
        <v>hamza.ahmad@vyro.ai</v>
      </c>
      <c r="E422" s="730">
        <f>IFERROR(__xludf.DUMMYFUNCTION("""COMPUTED_VALUE"""),44851.0)</f>
        <v>44851</v>
      </c>
      <c r="F422" s="228" t="str">
        <f>IFERROR(__xludf.DUMMYFUNCTION("""COMPUTED_VALUE"""),"Motion Graphic Designer")</f>
        <v>Motion Graphic Designer</v>
      </c>
      <c r="G422" s="228" t="str">
        <f>IFERROR(__xludf.DUMMYFUNCTION("""COMPUTED_VALUE"""),"Product Design")</f>
        <v>Product Design</v>
      </c>
      <c r="H422" s="228" t="str">
        <f>IFERROR(__xludf.DUMMYFUNCTION("""COMPUTED_VALUE"""),"Adullah Munir")</f>
        <v>Adullah Munir</v>
      </c>
      <c r="I422" s="228" t="str">
        <f>IFERROR(__xludf.DUMMYFUNCTION("""COMPUTED_VALUE"""),"Permanent")</f>
        <v>Permanent</v>
      </c>
      <c r="J422" s="228" t="str">
        <f>IFERROR(__xludf.DUMMYFUNCTION("""COMPUTED_VALUE"""),"Active")</f>
        <v>Active</v>
      </c>
      <c r="K422" s="228" t="str">
        <f>IFERROR(__xludf.DUMMYFUNCTION("""COMPUTED_VALUE"""),"3M")</f>
        <v>3M</v>
      </c>
      <c r="L422" s="732">
        <f>IFERROR(__xludf.DUMMYFUNCTION("""COMPUTED_VALUE"""),44943.0)</f>
        <v>44943</v>
      </c>
      <c r="M422" s="228"/>
      <c r="N422" s="228"/>
      <c r="O422" s="228"/>
      <c r="P422" s="228" t="str">
        <f>IFERROR(__xludf.DUMMYFUNCTION("""COMPUTED_VALUE"""),"03125786080")</f>
        <v>03125786080</v>
      </c>
      <c r="Q422" s="228" t="str">
        <f>IFERROR(__xludf.DUMMYFUNCTION("""COMPUTED_VALUE"""),"37405-6689341-9")</f>
        <v>37405-6689341-9</v>
      </c>
      <c r="R422" s="228" t="str">
        <f>IFERROR(__xludf.DUMMYFUNCTION("""COMPUTED_VALUE"""),"Male")</f>
        <v>Male</v>
      </c>
      <c r="S422" s="228" t="str">
        <f>IFERROR(__xludf.DUMMYFUNCTION("""COMPUTED_VALUE"""),"Allied")</f>
        <v>Allied</v>
      </c>
      <c r="T422" s="228"/>
      <c r="U422" s="228" t="str">
        <f>IFERROR(__xludf.DUMMYFUNCTION("""COMPUTED_VALUE"""),"PK79ABPA0010071283160015")</f>
        <v>PK79ABPA0010071283160015</v>
      </c>
      <c r="V422" s="228"/>
      <c r="W422" s="228"/>
      <c r="X422" s="228" t="str">
        <f>IFERROR(__xludf.DUMMYFUNCTION("""COMPUTED_VALUE"""),"Islamabad")</f>
        <v>Islamabad</v>
      </c>
      <c r="Y422" s="730">
        <f>IFERROR(__xludf.DUMMYFUNCTION("""COMPUTED_VALUE"""),36246.0)</f>
        <v>36246</v>
      </c>
      <c r="Z422" s="228" t="str">
        <f>IFERROR(__xludf.DUMMYFUNCTION("""COMPUTED_VALUE"""),"25 Years")</f>
        <v>25 Years</v>
      </c>
      <c r="AA422" s="228" t="str">
        <f>IFERROR(__xludf.DUMMYFUNCTION("""COMPUTED_VALUE"""),"House 60/2D, Agha khan road, F6/1, Islamabad")</f>
        <v>House 60/2D, Agha khan road, F6/1, Islamabad</v>
      </c>
      <c r="AB422" s="228" t="str">
        <f>IFERROR(__xludf.DUMMYFUNCTION("""COMPUTED_VALUE"""),"Pakistani")</f>
        <v>Pakistani</v>
      </c>
      <c r="AC422" s="228" t="str">
        <f>IFERROR(__xludf.DUMMYFUNCTION("""COMPUTED_VALUE"""),"Single")</f>
        <v>Single</v>
      </c>
      <c r="AD422" s="228"/>
      <c r="AE422" s="228"/>
      <c r="AF422" s="228"/>
      <c r="AG422" s="228" t="str">
        <f>IFERROR(__xludf.DUMMYFUNCTION("""COMPUTED_VALUE"""),"Zahoor Ahmed")</f>
        <v>Zahoor Ahmed</v>
      </c>
      <c r="AH422" s="228" t="str">
        <f>IFERROR(__xludf.DUMMYFUNCTION("""COMPUTED_VALUE"""),"Father")</f>
        <v>Father</v>
      </c>
      <c r="AI422" s="228" t="str">
        <f>IFERROR(__xludf.DUMMYFUNCTION("""COMPUTED_VALUE"""),"03215074129")</f>
        <v>03215074129</v>
      </c>
      <c r="AJ422" s="228" t="str">
        <f>IFERROR(__xludf.DUMMYFUNCTION("""COMPUTED_VALUE"""),"O+")</f>
        <v>O+</v>
      </c>
      <c r="AK422" s="731" t="str">
        <f>IFERROR(__xludf.DUMMYFUNCTION("""COMPUTED_VALUE"""),"https://www.linkedin.com/in/hamzaahmad33/")</f>
        <v>https://www.linkedin.com/in/hamzaahmad33/</v>
      </c>
      <c r="AL422" s="228"/>
      <c r="AM422" s="228"/>
      <c r="AN422" s="228" t="str">
        <f>IFERROR(__xludf.DUMMYFUNCTION("""COMPUTED_VALUE"""),"Product Design")</f>
        <v>Product Design</v>
      </c>
      <c r="AO422" s="228" t="str">
        <f>IFERROR(__xludf.DUMMYFUNCTION("""COMPUTED_VALUE"""),"product.design.team@vyro.ai")</f>
        <v>product.design.team@vyro.ai</v>
      </c>
      <c r="AP422" s="228" t="str">
        <f>IFERROR(__xludf.DUMMYFUNCTION("""COMPUTED_VALUE"""),"NO")</f>
        <v>NO</v>
      </c>
      <c r="AQ422" s="228" t="str">
        <f>IFERROR(__xludf.DUMMYFUNCTION("""COMPUTED_VALUE"""),"Resigned/Terminated")</f>
        <v>Resigned/Terminated</v>
      </c>
    </row>
    <row r="423">
      <c r="A423" s="228">
        <f>IFERROR(__xludf.DUMMYFUNCTION("""COMPUTED_VALUE"""),5274.0)</f>
        <v>5274</v>
      </c>
      <c r="B423" s="228" t="str">
        <f>IFERROR(__xludf.DUMMYFUNCTION("""COMPUTED_VALUE"""),"Awais Chaudhry ")</f>
        <v>Awais Chaudhry </v>
      </c>
      <c r="C423" s="228" t="str">
        <f>IFERROR(__xludf.DUMMYFUNCTION("""COMPUTED_VALUE"""),"awais.chaudhry36@me.ceme.edu.pk")</f>
        <v>awais.chaudhry36@me.ceme.edu.pk</v>
      </c>
      <c r="D423" s="228" t="str">
        <f>IFERROR(__xludf.DUMMYFUNCTION("""COMPUTED_VALUE"""),"awais.chaudhry@vyro.ai")</f>
        <v>awais.chaudhry@vyro.ai</v>
      </c>
      <c r="E423" s="730">
        <f>IFERROR(__xludf.DUMMYFUNCTION("""COMPUTED_VALUE"""),45439.0)</f>
        <v>45439</v>
      </c>
      <c r="F423" s="228" t="str">
        <f>IFERROR(__xludf.DUMMYFUNCTION("""COMPUTED_VALUE"""),"Sr Product Manager")</f>
        <v>Sr Product Manager</v>
      </c>
      <c r="G423" s="228" t="str">
        <f>IFERROR(__xludf.DUMMYFUNCTION("""COMPUTED_VALUE"""),"Product")</f>
        <v>Product</v>
      </c>
      <c r="H423" s="228" t="str">
        <f>IFERROR(__xludf.DUMMYFUNCTION("""COMPUTED_VALUE"""),"Abdullah Rafique")</f>
        <v>Abdullah Rafique</v>
      </c>
      <c r="I423" s="228" t="str">
        <f>IFERROR(__xludf.DUMMYFUNCTION("""COMPUTED_VALUE"""),"Probation")</f>
        <v>Probation</v>
      </c>
      <c r="J423" s="228" t="str">
        <f>IFERROR(__xludf.DUMMYFUNCTION("""COMPUTED_VALUE"""),"Active")</f>
        <v>Active</v>
      </c>
      <c r="K423" s="228" t="str">
        <f>IFERROR(__xludf.DUMMYFUNCTION("""COMPUTED_VALUE"""),"3M")</f>
        <v>3M</v>
      </c>
      <c r="L423" s="732">
        <f>IFERROR(__xludf.DUMMYFUNCTION("""COMPUTED_VALUE"""),45531.0)</f>
        <v>45531</v>
      </c>
      <c r="M423" s="228"/>
      <c r="N423" s="228"/>
      <c r="O423" s="228"/>
      <c r="P423" s="228" t="str">
        <f>IFERROR(__xludf.DUMMYFUNCTION("""COMPUTED_VALUE"""),"03125678903")</f>
        <v>03125678903</v>
      </c>
      <c r="Q423" s="228" t="str">
        <f>IFERROR(__xludf.DUMMYFUNCTION("""COMPUTED_VALUE"""),"61101-2587375-5")</f>
        <v>61101-2587375-5</v>
      </c>
      <c r="R423" s="228" t="str">
        <f>IFERROR(__xludf.DUMMYFUNCTION("""COMPUTED_VALUE"""),"Male")</f>
        <v>Male</v>
      </c>
      <c r="S423" s="228" t="str">
        <f>IFERROR(__xludf.DUMMYFUNCTION("""COMPUTED_VALUE"""),"United Bank Limited ")</f>
        <v>United Bank Limited </v>
      </c>
      <c r="T423" s="228" t="str">
        <f>IFERROR(__xludf.DUMMYFUNCTION("""COMPUTED_VALUE"""),"Awais Chaudhry")</f>
        <v>Awais Chaudhry</v>
      </c>
      <c r="U423" s="228" t="str">
        <f>IFERROR(__xludf.DUMMYFUNCTION("""COMPUTED_VALUE"""),"PK35UNIL0109000295037299")</f>
        <v>PK35UNIL0109000295037299</v>
      </c>
      <c r="V423" s="228" t="str">
        <f>IFERROR(__xludf.DUMMYFUNCTION("""COMPUTED_VALUE"""),"UNILPKKA028")</f>
        <v>UNILPKKA028</v>
      </c>
      <c r="W423" s="228"/>
      <c r="X423" s="228" t="str">
        <f>IFERROR(__xludf.DUMMYFUNCTION("""COMPUTED_VALUE"""),"Islamabad")</f>
        <v>Islamabad</v>
      </c>
      <c r="Y423" s="730">
        <f>IFERROR(__xludf.DUMMYFUNCTION("""COMPUTED_VALUE"""),35069.0)</f>
        <v>35069</v>
      </c>
      <c r="Z423" s="228" t="str">
        <f>IFERROR(__xludf.DUMMYFUNCTION("""COMPUTED_VALUE"""),"29 Years")</f>
        <v>29 Years</v>
      </c>
      <c r="AA423" s="228" t="str">
        <f>IFERROR(__xludf.DUMMYFUNCTION("""COMPUTED_VALUE"""),"House #14, Road #3, Sector-H, Bahria Enclave, Islamabad, 45620")</f>
        <v>House #14, Road #3, Sector-H, Bahria Enclave, Islamabad, 45620</v>
      </c>
      <c r="AB423" s="228" t="str">
        <f>IFERROR(__xludf.DUMMYFUNCTION("""COMPUTED_VALUE"""),"Pakistani")</f>
        <v>Pakistani</v>
      </c>
      <c r="AC423" s="228" t="str">
        <f>IFERROR(__xludf.DUMMYFUNCTION("""COMPUTED_VALUE"""),"Single")</f>
        <v>Single</v>
      </c>
      <c r="AD423" s="228"/>
      <c r="AE423" s="228"/>
      <c r="AF423" s="228"/>
      <c r="AG423" s="228" t="str">
        <f>IFERROR(__xludf.DUMMYFUNCTION("""COMPUTED_VALUE"""),"Shaista Jahanghir ")</f>
        <v>Shaista Jahanghir </v>
      </c>
      <c r="AH423" s="228" t="str">
        <f>IFERROR(__xludf.DUMMYFUNCTION("""COMPUTED_VALUE"""),"Mother")</f>
        <v>Mother</v>
      </c>
      <c r="AI423" s="228" t="str">
        <f>IFERROR(__xludf.DUMMYFUNCTION("""COMPUTED_VALUE"""),"03009760062")</f>
        <v>03009760062</v>
      </c>
      <c r="AJ423" s="228" t="str">
        <f>IFERROR(__xludf.DUMMYFUNCTION("""COMPUTED_VALUE"""),"B+")</f>
        <v>B+</v>
      </c>
      <c r="AK423" s="731" t="str">
        <f>IFERROR(__xludf.DUMMYFUNCTION("""COMPUTED_VALUE"""),"https://www.linkedin.com/in/awaischaudhry1/")</f>
        <v>https://www.linkedin.com/in/awaischaudhry1/</v>
      </c>
      <c r="AL423" s="228"/>
      <c r="AM423" s="730">
        <f>IFERROR(__xludf.DUMMYFUNCTION("""COMPUTED_VALUE"""),45838.0)</f>
        <v>45838</v>
      </c>
      <c r="AN423" s="228" t="str">
        <f>IFERROR(__xludf.DUMMYFUNCTION("""COMPUTED_VALUE"""),"Product")</f>
        <v>Product</v>
      </c>
      <c r="AO423" s="228" t="str">
        <f>IFERROR(__xludf.DUMMYFUNCTION("""COMPUTED_VALUE"""),"product.team@vyro.ai")</f>
        <v>product.team@vyro.ai</v>
      </c>
      <c r="AP423" s="228" t="str">
        <f>IFERROR(__xludf.DUMMYFUNCTION("""COMPUTED_VALUE"""),"NO")</f>
        <v>NO</v>
      </c>
      <c r="AQ423" s="228" t="str">
        <f>IFERROR(__xludf.DUMMYFUNCTION("""COMPUTED_VALUE"""),"Resigned/Terminated")</f>
        <v>Resigned/Terminated</v>
      </c>
    </row>
    <row r="424">
      <c r="A424" s="228">
        <f>IFERROR(__xludf.DUMMYFUNCTION("""COMPUTED_VALUE"""),5310.0)</f>
        <v>5310</v>
      </c>
      <c r="B424" s="228" t="str">
        <f>IFERROR(__xludf.DUMMYFUNCTION("""COMPUTED_VALUE"""),"Muhammad Haris Khan")</f>
        <v>Muhammad Haris Khan</v>
      </c>
      <c r="C424" s="228" t="str">
        <f>IFERROR(__xludf.DUMMYFUNCTION("""COMPUTED_VALUE"""),"mhariskh25@gmail.com")</f>
        <v>mhariskh25@gmail.com</v>
      </c>
      <c r="D424" s="228" t="str">
        <f>IFERROR(__xludf.DUMMYFUNCTION("""COMPUTED_VALUE"""),"muhammad.haris@vyro.ai")</f>
        <v>muhammad.haris@vyro.ai</v>
      </c>
      <c r="E424" s="730">
        <f>IFERROR(__xludf.DUMMYFUNCTION("""COMPUTED_VALUE"""),45572.0)</f>
        <v>45572</v>
      </c>
      <c r="F424" s="228" t="str">
        <f>IFERROR(__xludf.DUMMYFUNCTION("""COMPUTED_VALUE"""),"Frontend Developer")</f>
        <v>Frontend Developer</v>
      </c>
      <c r="G424" s="228" t="str">
        <f>IFERROR(__xludf.DUMMYFUNCTION("""COMPUTED_VALUE"""),"Web Engineering")</f>
        <v>Web Engineering</v>
      </c>
      <c r="H424" s="228"/>
      <c r="I424" s="228" t="str">
        <f>IFERROR(__xludf.DUMMYFUNCTION("""COMPUTED_VALUE"""),"Probation")</f>
        <v>Probation</v>
      </c>
      <c r="J424" s="228" t="str">
        <f>IFERROR(__xludf.DUMMYFUNCTION("""COMPUTED_VALUE"""),"Active")</f>
        <v>Active</v>
      </c>
      <c r="K424" s="228" t="str">
        <f>IFERROR(__xludf.DUMMYFUNCTION("""COMPUTED_VALUE"""),"3M")</f>
        <v>3M</v>
      </c>
      <c r="L424" s="732">
        <f>IFERROR(__xludf.DUMMYFUNCTION("""COMPUTED_VALUE"""),45664.0)</f>
        <v>45664</v>
      </c>
      <c r="M424" s="228"/>
      <c r="N424" s="228"/>
      <c r="O424" s="228"/>
      <c r="P424" s="228" t="str">
        <f>IFERROR(__xludf.DUMMYFUNCTION("""COMPUTED_VALUE"""),"03457163448")</f>
        <v>03457163448</v>
      </c>
      <c r="Q424" s="228" t="str">
        <f>IFERROR(__xludf.DUMMYFUNCTION("""COMPUTED_VALUE"""),"32303-2881026-7")</f>
        <v>32303-2881026-7</v>
      </c>
      <c r="R424" s="228" t="str">
        <f>IFERROR(__xludf.DUMMYFUNCTION("""COMPUTED_VALUE"""),"Male")</f>
        <v>Male</v>
      </c>
      <c r="S424" s="228" t="str">
        <f>IFERROR(__xludf.DUMMYFUNCTION("""COMPUTED_VALUE"""),"Standard Chartered")</f>
        <v>Standard Chartered</v>
      </c>
      <c r="T424" s="228" t="str">
        <f>IFERROR(__xludf.DUMMYFUNCTION("""COMPUTED_VALUE"""),"Muhammad Haris Khan")</f>
        <v>Muhammad Haris Khan</v>
      </c>
      <c r="U424" s="228" t="str">
        <f>IFERROR(__xludf.DUMMYFUNCTION("""COMPUTED_VALUE"""),"PK76SCBL0000001027729301")</f>
        <v>PK76SCBL0000001027729301</v>
      </c>
      <c r="V424" s="228" t="str">
        <f>IFERROR(__xludf.DUMMYFUNCTION("""COMPUTED_VALUE"""),"SCBLPKKXXXX")</f>
        <v>SCBLPKKXXXX</v>
      </c>
      <c r="W424" s="228"/>
      <c r="X424" s="228" t="str">
        <f>IFERROR(__xludf.DUMMYFUNCTION("""COMPUTED_VALUE"""),"Islamabad")</f>
        <v>Islamabad</v>
      </c>
      <c r="Y424" s="730">
        <f>IFERROR(__xludf.DUMMYFUNCTION("""COMPUTED_VALUE"""),37315.0)</f>
        <v>37315</v>
      </c>
      <c r="Z424" s="228" t="str">
        <f>IFERROR(__xludf.DUMMYFUNCTION("""COMPUTED_VALUE"""),"23 Years")</f>
        <v>23 Years</v>
      </c>
      <c r="AA424" s="228" t="str">
        <f>IFERROR(__xludf.DUMMYFUNCTION("""COMPUTED_VALUE"""),"J7/003 - Parco housing complex, Qasba gujrat, Tehsil kot Addu , District Muzaffargarh, Punjab, Pakistan")</f>
        <v>J7/003 - Parco housing complex, Qasba gujrat, Tehsil kot Addu , District Muzaffargarh, Punjab, Pakistan</v>
      </c>
      <c r="AB424" s="228" t="str">
        <f>IFERROR(__xludf.DUMMYFUNCTION("""COMPUTED_VALUE"""),"Pakistani")</f>
        <v>Pakistani</v>
      </c>
      <c r="AC424" s="228" t="str">
        <f>IFERROR(__xludf.DUMMYFUNCTION("""COMPUTED_VALUE"""),"Single")</f>
        <v>Single</v>
      </c>
      <c r="AD424" s="228"/>
      <c r="AE424" s="228"/>
      <c r="AF424" s="228"/>
      <c r="AG424" s="228" t="str">
        <f>IFERROR(__xludf.DUMMYFUNCTION("""COMPUTED_VALUE"""),"Imtiaz Ali Khan")</f>
        <v>Imtiaz Ali Khan</v>
      </c>
      <c r="AH424" s="228" t="str">
        <f>IFERROR(__xludf.DUMMYFUNCTION("""COMPUTED_VALUE"""),"Brother")</f>
        <v>Brother</v>
      </c>
      <c r="AI424" s="228" t="str">
        <f>IFERROR(__xludf.DUMMYFUNCTION("""COMPUTED_VALUE"""),"03355762451")</f>
        <v>03355762451</v>
      </c>
      <c r="AJ424" s="228" t="str">
        <f>IFERROR(__xludf.DUMMYFUNCTION("""COMPUTED_VALUE"""),"B+")</f>
        <v>B+</v>
      </c>
      <c r="AK424" s="731" t="str">
        <f>IFERROR(__xludf.DUMMYFUNCTION("""COMPUTED_VALUE"""),"https://www.linkedin.com/in/mharis-kh/")</f>
        <v>https://www.linkedin.com/in/mharis-kh/</v>
      </c>
      <c r="AL424" s="228"/>
      <c r="AM424" s="228"/>
      <c r="AN424" s="228" t="str">
        <f>IFERROR(__xludf.DUMMYFUNCTION("""COMPUTED_VALUE"""),"Web Front-End")</f>
        <v>Web Front-End</v>
      </c>
      <c r="AO424" s="228" t="str">
        <f>IFERROR(__xludf.DUMMYFUNCTION("""COMPUTED_VALUE"""),"web.front.end@vyro.ai")</f>
        <v>web.front.end@vyro.ai</v>
      </c>
      <c r="AP424" s="228" t="str">
        <f>IFERROR(__xludf.DUMMYFUNCTION("""COMPUTED_VALUE"""),"NO")</f>
        <v>NO</v>
      </c>
      <c r="AQ424" s="228" t="str">
        <f>IFERROR(__xludf.DUMMYFUNCTION("""COMPUTED_VALUE"""),"Resigned/Terminated")</f>
        <v>Resigned/Terminated</v>
      </c>
    </row>
    <row r="425">
      <c r="A425" s="228">
        <f>IFERROR(__xludf.DUMMYFUNCTION("""COMPUTED_VALUE"""),5342.0)</f>
        <v>5342</v>
      </c>
      <c r="B425" s="228" t="str">
        <f>IFERROR(__xludf.DUMMYFUNCTION("""COMPUTED_VALUE"""),"Javokhir Akramjonov")</f>
        <v>Javokhir Akramjonov</v>
      </c>
      <c r="C425" s="228" t="str">
        <f>IFERROR(__xludf.DUMMYFUNCTION("""COMPUTED_VALUE"""),"javokhir.akramjonov@gmail.com")</f>
        <v>javokhir.akramjonov@gmail.com</v>
      </c>
      <c r="D425" s="228" t="str">
        <f>IFERROR(__xludf.DUMMYFUNCTION("""COMPUTED_VALUE"""),"javokhir.akramjonov@vyro.ai")</f>
        <v>javokhir.akramjonov@vyro.ai</v>
      </c>
      <c r="E425" s="730">
        <f>IFERROR(__xludf.DUMMYFUNCTION("""COMPUTED_VALUE"""),45658.0)</f>
        <v>45658</v>
      </c>
      <c r="F425" s="228" t="str">
        <f>IFERROR(__xludf.DUMMYFUNCTION("""COMPUTED_VALUE"""),"Backend Engineer")</f>
        <v>Backend Engineer</v>
      </c>
      <c r="G425" s="228" t="str">
        <f>IFERROR(__xludf.DUMMYFUNCTION("""COMPUTED_VALUE"""),"Backend")</f>
        <v>Backend</v>
      </c>
      <c r="H425" s="228" t="str">
        <f>IFERROR(__xludf.DUMMYFUNCTION("""COMPUTED_VALUE"""),"Shariq Arif")</f>
        <v>Shariq Arif</v>
      </c>
      <c r="I425" s="228" t="str">
        <f>IFERROR(__xludf.DUMMYFUNCTION("""COMPUTED_VALUE"""),"Probation")</f>
        <v>Probation</v>
      </c>
      <c r="J425" s="228" t="str">
        <f>IFERROR(__xludf.DUMMYFUNCTION("""COMPUTED_VALUE"""),"Active")</f>
        <v>Active</v>
      </c>
      <c r="K425" s="228" t="str">
        <f>IFERROR(__xludf.DUMMYFUNCTION("""COMPUTED_VALUE"""),"NA")</f>
        <v>NA</v>
      </c>
      <c r="L425" s="228"/>
      <c r="M425" s="228"/>
      <c r="N425" s="228"/>
      <c r="O425" s="228"/>
      <c r="P425" s="228"/>
      <c r="Q425" s="228"/>
      <c r="R425" s="228" t="str">
        <f>IFERROR(__xludf.DUMMYFUNCTION("""COMPUTED_VALUE"""),"Male")</f>
        <v>Male</v>
      </c>
      <c r="S425" s="228" t="str">
        <f>IFERROR(__xludf.DUMMYFUNCTION("""COMPUTED_VALUE"""),"Kapitalbank, Uzbekistan")</f>
        <v>Kapitalbank, Uzbekistan</v>
      </c>
      <c r="T425" s="228" t="str">
        <f>IFERROR(__xludf.DUMMYFUNCTION("""COMPUTED_VALUE"""),"JAVOKHIR AKRAMJONOV")</f>
        <v>JAVOKHIR AKRAMJONOV</v>
      </c>
      <c r="U425" s="228" t="str">
        <f>IFERROR(__xludf.DUMMYFUNCTION("""COMPUTED_VALUE"""),"2261 8840 0918 1106 7001")</f>
        <v>2261 8840 0918 1106 7001</v>
      </c>
      <c r="V425" s="228" t="str">
        <f>IFERROR(__xludf.DUMMYFUNCTION("""COMPUTED_VALUE"""),"KACHUZ22")</f>
        <v>KACHUZ22</v>
      </c>
      <c r="W425" s="228"/>
      <c r="X425" s="228" t="str">
        <f>IFERROR(__xludf.DUMMYFUNCTION("""COMPUTED_VALUE"""),"Remote")</f>
        <v>Remote</v>
      </c>
      <c r="Y425" s="730">
        <f>IFERROR(__xludf.DUMMYFUNCTION("""COMPUTED_VALUE"""),37804.0)</f>
        <v>37804</v>
      </c>
      <c r="Z425" s="228" t="str">
        <f>IFERROR(__xludf.DUMMYFUNCTION("""COMPUTED_VALUE"""),"21 Years")</f>
        <v>21 Years</v>
      </c>
      <c r="AA425" s="228" t="str">
        <f>IFERROR(__xludf.DUMMYFUNCTION("""COMPUTED_VALUE"""),"Soglom 91, Angren, Tashkent region, Uzbekistan")</f>
        <v>Soglom 91, Angren, Tashkent region, Uzbekistan</v>
      </c>
      <c r="AB425" s="228" t="str">
        <f>IFERROR(__xludf.DUMMYFUNCTION("""COMPUTED_VALUE"""),"Uzbek")</f>
        <v>Uzbek</v>
      </c>
      <c r="AC425" s="228" t="str">
        <f>IFERROR(__xludf.DUMMYFUNCTION("""COMPUTED_VALUE"""),"Single")</f>
        <v>Single</v>
      </c>
      <c r="AD425" s="228"/>
      <c r="AE425" s="228"/>
      <c r="AF425" s="228"/>
      <c r="AG425" s="228" t="str">
        <f>IFERROR(__xludf.DUMMYFUNCTION("""COMPUTED_VALUE"""),"Akramjon")</f>
        <v>Akramjon</v>
      </c>
      <c r="AH425" s="228" t="str">
        <f>IFERROR(__xludf.DUMMYFUNCTION("""COMPUTED_VALUE"""),"Friend")</f>
        <v>Friend</v>
      </c>
      <c r="AI425" s="228" t="str">
        <f>IFERROR(__xludf.DUMMYFUNCTION("""COMPUTED_VALUE"""),"03333333333")</f>
        <v>03333333333</v>
      </c>
      <c r="AJ425" s="228" t="str">
        <f>IFERROR(__xludf.DUMMYFUNCTION("""COMPUTED_VALUE"""),"O-")</f>
        <v>O-</v>
      </c>
      <c r="AK425" s="731" t="str">
        <f>IFERROR(__xludf.DUMMYFUNCTION("""COMPUTED_VALUE"""),"https://linkedin.com/in/javokhirakramjonov")</f>
        <v>https://linkedin.com/in/javokhirakramjonov</v>
      </c>
      <c r="AL425" s="228"/>
      <c r="AM425" s="228"/>
      <c r="AN425" s="228"/>
      <c r="AO425" s="228"/>
      <c r="AP425" s="228" t="str">
        <f>IFERROR(__xludf.DUMMYFUNCTION("""COMPUTED_VALUE"""),"NO")</f>
        <v>NO</v>
      </c>
      <c r="AQ425" s="228" t="str">
        <f>IFERROR(__xludf.DUMMYFUNCTION("""COMPUTED_VALUE"""),"Resigned/Terminated")</f>
        <v>Resigned/Terminated</v>
      </c>
    </row>
    <row r="426">
      <c r="A426" s="228">
        <f>IFERROR(__xludf.DUMMYFUNCTION("""COMPUTED_VALUE"""),5366.0)</f>
        <v>5366</v>
      </c>
      <c r="B426" s="228" t="str">
        <f>IFERROR(__xludf.DUMMYFUNCTION("""COMPUTED_VALUE"""),"Charlotte Norman")</f>
        <v>Charlotte Norman</v>
      </c>
      <c r="C426" s="228" t="str">
        <f>IFERROR(__xludf.DUMMYFUNCTION("""COMPUTED_VALUE"""),"charlottenorman@yahoo.com")</f>
        <v>charlottenorman@yahoo.com</v>
      </c>
      <c r="D426" s="228" t="str">
        <f>IFERROR(__xludf.DUMMYFUNCTION("""COMPUTED_VALUE"""),"charlottenorman@yahoo.com")</f>
        <v>charlottenorman@yahoo.com</v>
      </c>
      <c r="E426" s="730">
        <f>IFERROR(__xludf.DUMMYFUNCTION("""COMPUTED_VALUE"""),45684.0)</f>
        <v>45684</v>
      </c>
      <c r="F426" s="228" t="str">
        <f>IFERROR(__xludf.DUMMYFUNCTION("""COMPUTED_VALUE"""),"Product Marketing Consultant")</f>
        <v>Product Marketing Consultant</v>
      </c>
      <c r="G426" s="228" t="str">
        <f>IFERROR(__xludf.DUMMYFUNCTION("""COMPUTED_VALUE"""),"Marketing")</f>
        <v>Marketing</v>
      </c>
      <c r="H426" s="228" t="str">
        <f>IFERROR(__xludf.DUMMYFUNCTION("""COMPUTED_VALUE"""),"Zain")</f>
        <v>Zain</v>
      </c>
      <c r="I426" s="228" t="str">
        <f>IFERROR(__xludf.DUMMYFUNCTION("""COMPUTED_VALUE"""),"NA")</f>
        <v>NA</v>
      </c>
      <c r="J426" s="228" t="str">
        <f>IFERROR(__xludf.DUMMYFUNCTION("""COMPUTED_VALUE"""),"Active")</f>
        <v>Active</v>
      </c>
      <c r="K426" s="228" t="str">
        <f>IFERROR(__xludf.DUMMYFUNCTION("""COMPUTED_VALUE"""),"NA")</f>
        <v>NA</v>
      </c>
      <c r="L426" s="228"/>
      <c r="M426" s="228"/>
      <c r="N426" s="228"/>
      <c r="O426" s="228"/>
      <c r="P426" s="228"/>
      <c r="Q426" s="228"/>
      <c r="R426" s="228"/>
      <c r="S426" s="228" t="str">
        <f>IFERROR(__xludf.DUMMYFUNCTION("""COMPUTED_VALUE"""),"Commonwealth Bank of Australia")</f>
        <v>Commonwealth Bank of Australia</v>
      </c>
      <c r="T426" s="228" t="str">
        <f>IFERROR(__xludf.DUMMYFUNCTION("""COMPUTED_VALUE"""),"Country: Australia
Bank Name: Commonwealth Bank of Australia
Bank Account Title: Charlotte Norman
Bank Account Number: 10051476
BSB: 062173
Swift Code: CTBAAU2S")</f>
        <v>Country: Australia
Bank Name: Commonwealth Bank of Australia
Bank Account Title: Charlotte Norman
Bank Account Number: 10051476
BSB: 062173
Swift Code: CTBAAU2S</v>
      </c>
      <c r="U426" s="228" t="str">
        <f>IFERROR(__xludf.DUMMYFUNCTION("""COMPUTED_VALUE"""),"10051476")</f>
        <v>10051476</v>
      </c>
      <c r="V426" s="228" t="str">
        <f>IFERROR(__xludf.DUMMYFUNCTION("""COMPUTED_VALUE"""),"CTBAAU2S")</f>
        <v>CTBAAU2S</v>
      </c>
      <c r="W426" s="228"/>
      <c r="X426" s="228"/>
      <c r="Y426" s="228"/>
      <c r="Z426" s="228" t="str">
        <f>IFERROR(__xludf.DUMMYFUNCTION("""COMPUTED_VALUE"""),"-")</f>
        <v>-</v>
      </c>
      <c r="AA426" s="228"/>
      <c r="AB426" s="228"/>
      <c r="AC426" s="228"/>
      <c r="AD426" s="228"/>
      <c r="AE426" s="228"/>
      <c r="AF426" s="228"/>
      <c r="AG426" s="228"/>
      <c r="AH426" s="228"/>
      <c r="AI426" s="228"/>
      <c r="AJ426" s="228"/>
      <c r="AK426" s="731" t="str">
        <f>IFERROR(__xludf.DUMMYFUNCTION("""COMPUTED_VALUE"""),"https://www.linkedin.com/in/charlotte-norman/")</f>
        <v>https://www.linkedin.com/in/charlotte-norman/</v>
      </c>
      <c r="AL426" s="228"/>
      <c r="AM426" s="228"/>
      <c r="AN426" s="228"/>
      <c r="AO426" s="228"/>
      <c r="AP426" s="228" t="str">
        <f>IFERROR(__xludf.DUMMYFUNCTION("""COMPUTED_VALUE"""),"NO")</f>
        <v>NO</v>
      </c>
      <c r="AQ426" s="228" t="str">
        <f>IFERROR(__xludf.DUMMYFUNCTION("""COMPUTED_VALUE"""),"Resigned/Terminated")</f>
        <v>Resigned/Terminated</v>
      </c>
    </row>
    <row r="427">
      <c r="A427" s="228">
        <f>IFERROR(__xludf.DUMMYFUNCTION("""COMPUTED_VALUE"""),5276.0)</f>
        <v>5276</v>
      </c>
      <c r="B427" s="228" t="str">
        <f>IFERROR(__xludf.DUMMYFUNCTION("""COMPUTED_VALUE"""),"Timothy John House")</f>
        <v>Timothy John House</v>
      </c>
      <c r="C427" s="228" t="str">
        <f>IFERROR(__xludf.DUMMYFUNCTION("""COMPUTED_VALUE"""),"timothyjohnhouse@gmail.com")</f>
        <v>timothyjohnhouse@gmail.com</v>
      </c>
      <c r="D427" s="228" t="str">
        <f>IFERROR(__xludf.DUMMYFUNCTION("""COMPUTED_VALUE"""),"timothy.house@vyro.ai")</f>
        <v>timothy.house@vyro.ai</v>
      </c>
      <c r="E427" s="730">
        <f>IFERROR(__xludf.DUMMYFUNCTION("""COMPUTED_VALUE"""),45439.0)</f>
        <v>45439</v>
      </c>
      <c r="F427" s="228" t="str">
        <f>IFERROR(__xludf.DUMMYFUNCTION("""COMPUTED_VALUE"""),"Product Consultant")</f>
        <v>Product Consultant</v>
      </c>
      <c r="G427" s="228" t="str">
        <f>IFERROR(__xludf.DUMMYFUNCTION("""COMPUTED_VALUE"""),"Product")</f>
        <v>Product</v>
      </c>
      <c r="H427" s="228" t="str">
        <f>IFERROR(__xludf.DUMMYFUNCTION("""COMPUTED_VALUE"""),"Ahmed Abubakar, CEO")</f>
        <v>Ahmed Abubakar, CEO</v>
      </c>
      <c r="I427" s="228" t="str">
        <f>IFERROR(__xludf.DUMMYFUNCTION("""COMPUTED_VALUE"""),"Contract")</f>
        <v>Contract</v>
      </c>
      <c r="J427" s="228" t="str">
        <f>IFERROR(__xludf.DUMMYFUNCTION("""COMPUTED_VALUE"""),"Active")</f>
        <v>Active</v>
      </c>
      <c r="K427" s="228"/>
      <c r="L427" s="228"/>
      <c r="M427" s="228"/>
      <c r="N427" s="228"/>
      <c r="O427" s="228"/>
      <c r="P427" s="228"/>
      <c r="Q427" s="228"/>
      <c r="R427" s="228" t="str">
        <f>IFERROR(__xludf.DUMMYFUNCTION("""COMPUTED_VALUE"""),"Male")</f>
        <v>Male</v>
      </c>
      <c r="S427" s="228" t="str">
        <f>IFERROR(__xludf.DUMMYFUNCTION("""COMPUTED_VALUE"""),"Wise")</f>
        <v>Wise</v>
      </c>
      <c r="T427" s="228" t="str">
        <f>IFERROR(__xludf.DUMMYFUNCTION("""COMPUTED_VALUE"""),"Timothy John House")</f>
        <v>Timothy John House</v>
      </c>
      <c r="U427" s="228" t="str">
        <f>IFERROR(__xludf.DUMMYFUNCTION("""COMPUTED_VALUE"""),"8310164843")</f>
        <v>8310164843</v>
      </c>
      <c r="V427" s="228"/>
      <c r="W427" s="228" t="str">
        <f>IFERROR(__xludf.DUMMYFUNCTION("""COMPUTED_VALUE"""),"026073150")</f>
        <v>026073150</v>
      </c>
      <c r="X427" s="228" t="str">
        <f>IFERROR(__xludf.DUMMYFUNCTION("""COMPUTED_VALUE"""),"Remote")</f>
        <v>Remote</v>
      </c>
      <c r="Y427" s="228"/>
      <c r="Z427" s="228" t="str">
        <f>IFERROR(__xludf.DUMMYFUNCTION("""COMPUTED_VALUE"""),"-")</f>
        <v>-</v>
      </c>
      <c r="AA427" s="228" t="str">
        <f>IFERROR(__xludf.DUMMYFUNCTION("""COMPUTED_VALUE"""),"Australia")</f>
        <v>Australia</v>
      </c>
      <c r="AB427" s="228" t="str">
        <f>IFERROR(__xludf.DUMMYFUNCTION("""COMPUTED_VALUE"""),"Australian")</f>
        <v>Australian</v>
      </c>
      <c r="AC427" s="228"/>
      <c r="AD427" s="228"/>
      <c r="AE427" s="228"/>
      <c r="AF427" s="228"/>
      <c r="AG427" s="228"/>
      <c r="AH427" s="228"/>
      <c r="AI427" s="228"/>
      <c r="AJ427" s="228"/>
      <c r="AK427" s="228"/>
      <c r="AL427" s="228"/>
      <c r="AM427" s="228"/>
      <c r="AN427" s="228" t="str">
        <f>IFERROR(__xludf.DUMMYFUNCTION("""COMPUTED_VALUE"""),"NOT FOUND")</f>
        <v>NOT FOUND</v>
      </c>
      <c r="AO427" s="228" t="str">
        <f>IFERROR(__xludf.DUMMYFUNCTION("""COMPUTED_VALUE"""),"NOT FOUND")</f>
        <v>NOT FOUND</v>
      </c>
      <c r="AP427" s="228" t="str">
        <f>IFERROR(__xludf.DUMMYFUNCTION("""COMPUTED_VALUE"""),"NO")</f>
        <v>NO</v>
      </c>
      <c r="AQ427" s="228" t="str">
        <f>IFERROR(__xludf.DUMMYFUNCTION("""COMPUTED_VALUE"""),"Resigned/Terminated")</f>
        <v>Resigned/Terminated</v>
      </c>
    </row>
    <row r="428">
      <c r="A428" s="228">
        <f>IFERROR(__xludf.DUMMYFUNCTION("""COMPUTED_VALUE"""),5289.0)</f>
        <v>5289</v>
      </c>
      <c r="B428" s="228" t="str">
        <f>IFERROR(__xludf.DUMMYFUNCTION("""COMPUTED_VALUE"""),"Syed Hamza Ali Shah")</f>
        <v>Syed Hamza Ali Shah</v>
      </c>
      <c r="C428" s="228" t="str">
        <f>IFERROR(__xludf.DUMMYFUNCTION("""COMPUTED_VALUE"""),"syedhamzaali0319@gmail.com")</f>
        <v>syedhamzaali0319@gmail.com</v>
      </c>
      <c r="D428" s="228" t="str">
        <f>IFERROR(__xludf.DUMMYFUNCTION("""COMPUTED_VALUE"""),"hamza.ali1@vyro.ai")</f>
        <v>hamza.ali1@vyro.ai</v>
      </c>
      <c r="E428" s="730">
        <f>IFERROR(__xludf.DUMMYFUNCTION("""COMPUTED_VALUE"""),45495.0)</f>
        <v>45495</v>
      </c>
      <c r="F428" s="228" t="str">
        <f>IFERROR(__xludf.DUMMYFUNCTION("""COMPUTED_VALUE"""),"Associate Machine Learning Engineer")</f>
        <v>Associate Machine Learning Engineer</v>
      </c>
      <c r="G428" s="228" t="str">
        <f>IFERROR(__xludf.DUMMYFUNCTION("""COMPUTED_VALUE"""),"Machine Learning")</f>
        <v>Machine Learning</v>
      </c>
      <c r="H428" s="228" t="str">
        <f>IFERROR(__xludf.DUMMYFUNCTION("""COMPUTED_VALUE"""),"Ameer Hamza")</f>
        <v>Ameer Hamza</v>
      </c>
      <c r="I428" s="228" t="str">
        <f>IFERROR(__xludf.DUMMYFUNCTION("""COMPUTED_VALUE"""),"Probation")</f>
        <v>Probation</v>
      </c>
      <c r="J428" s="228" t="str">
        <f>IFERROR(__xludf.DUMMYFUNCTION("""COMPUTED_VALUE"""),"Active")</f>
        <v>Active</v>
      </c>
      <c r="K428" s="228" t="str">
        <f>IFERROR(__xludf.DUMMYFUNCTION("""COMPUTED_VALUE"""),"3M")</f>
        <v>3M</v>
      </c>
      <c r="L428" s="732">
        <f>IFERROR(__xludf.DUMMYFUNCTION("""COMPUTED_VALUE"""),45587.0)</f>
        <v>45587</v>
      </c>
      <c r="M428" s="228"/>
      <c r="N428" s="228"/>
      <c r="O428" s="228"/>
      <c r="P428" s="228" t="str">
        <f>IFERROR(__xludf.DUMMYFUNCTION("""COMPUTED_VALUE"""),"03195025095")</f>
        <v>03195025095</v>
      </c>
      <c r="Q428" s="228" t="str">
        <f>IFERROR(__xludf.DUMMYFUNCTION("""COMPUTED_VALUE"""),"37406-0599193-7")</f>
        <v>37406-0599193-7</v>
      </c>
      <c r="R428" s="228" t="str">
        <f>IFERROR(__xludf.DUMMYFUNCTION("""COMPUTED_VALUE"""),"Male")</f>
        <v>Male</v>
      </c>
      <c r="S428" s="228" t="str">
        <f>IFERROR(__xludf.DUMMYFUNCTION("""COMPUTED_VALUE"""),"HBL")</f>
        <v>HBL</v>
      </c>
      <c r="T428" s="228" t="str">
        <f>IFERROR(__xludf.DUMMYFUNCTION("""COMPUTED_VALUE"""),"Syed Hussam")</f>
        <v>Syed Hussam</v>
      </c>
      <c r="U428" s="228" t="str">
        <f>IFERROR(__xludf.DUMMYFUNCTION("""COMPUTED_VALUE"""),"PK43HABB0010067900520903")</f>
        <v>PK43HABB0010067900520903</v>
      </c>
      <c r="V428" s="228" t="str">
        <f>IFERROR(__xludf.DUMMYFUNCTION("""COMPUTED_VALUE"""),"HABBPKKA1006")</f>
        <v>HABBPKKA1006</v>
      </c>
      <c r="W428" s="228"/>
      <c r="X428" s="228" t="str">
        <f>IFERROR(__xludf.DUMMYFUNCTION("""COMPUTED_VALUE"""),"Islamabad")</f>
        <v>Islamabad</v>
      </c>
      <c r="Y428" s="730">
        <f>IFERROR(__xludf.DUMMYFUNCTION("""COMPUTED_VALUE"""),37446.0)</f>
        <v>37446</v>
      </c>
      <c r="Z428" s="228" t="str">
        <f>IFERROR(__xludf.DUMMYFUNCTION("""COMPUTED_VALUE"""),"22 Years")</f>
        <v>22 Years</v>
      </c>
      <c r="AA428" s="228" t="str">
        <f>IFERROR(__xludf.DUMMYFUNCTION("""COMPUTED_VALUE"""),"Ahya ul Aloom, Mohalla Moeen Abad, Wah Cantt")</f>
        <v>Ahya ul Aloom, Mohalla Moeen Abad, Wah Cantt</v>
      </c>
      <c r="AB428" s="228" t="str">
        <f>IFERROR(__xludf.DUMMYFUNCTION("""COMPUTED_VALUE"""),"Pakistani")</f>
        <v>Pakistani</v>
      </c>
      <c r="AC428" s="228" t="str">
        <f>IFERROR(__xludf.DUMMYFUNCTION("""COMPUTED_VALUE"""),"Single")</f>
        <v>Single</v>
      </c>
      <c r="AD428" s="228"/>
      <c r="AE428" s="228"/>
      <c r="AF428" s="228"/>
      <c r="AG428" s="228" t="str">
        <f>IFERROR(__xludf.DUMMYFUNCTION("""COMPUTED_VALUE"""),"Syeda Khadija Bibi")</f>
        <v>Syeda Khadija Bibi</v>
      </c>
      <c r="AH428" s="228" t="str">
        <f>IFERROR(__xludf.DUMMYFUNCTION("""COMPUTED_VALUE"""),"Brother")</f>
        <v>Brother</v>
      </c>
      <c r="AI428" s="228" t="str">
        <f>IFERROR(__xludf.DUMMYFUNCTION("""COMPUTED_VALUE"""),"3060579566")</f>
        <v>3060579566</v>
      </c>
      <c r="AJ428" s="228" t="str">
        <f>IFERROR(__xludf.DUMMYFUNCTION("""COMPUTED_VALUE"""),"A+")</f>
        <v>A+</v>
      </c>
      <c r="AK428" s="731" t="str">
        <f>IFERROR(__xludf.DUMMYFUNCTION("""COMPUTED_VALUE"""),"https://www.linkedin.com/in/syed-hamza-ali-63ba31275/7")</f>
        <v>https://www.linkedin.com/in/syed-hamza-ali-63ba31275/7</v>
      </c>
      <c r="AL428" s="228"/>
      <c r="AM428" s="730">
        <f>IFERROR(__xludf.DUMMYFUNCTION("""COMPUTED_VALUE"""),45840.0)</f>
        <v>45840</v>
      </c>
      <c r="AN428" s="228" t="str">
        <f>IFERROR(__xludf.DUMMYFUNCTION("""COMPUTED_VALUE"""),"Machine Learning")</f>
        <v>Machine Learning</v>
      </c>
      <c r="AO428" s="228" t="str">
        <f>IFERROR(__xludf.DUMMYFUNCTION("""COMPUTED_VALUE"""),"ml.team@vyro.ai")</f>
        <v>ml.team@vyro.ai</v>
      </c>
      <c r="AP428" s="228" t="str">
        <f>IFERROR(__xludf.DUMMYFUNCTION("""COMPUTED_VALUE"""),"NO")</f>
        <v>NO</v>
      </c>
      <c r="AQ428" s="228" t="str">
        <f>IFERROR(__xludf.DUMMYFUNCTION("""COMPUTED_VALUE"""),"Resigned/Terminated")</f>
        <v>Resigned/Terminated</v>
      </c>
    </row>
    <row r="429">
      <c r="A429" s="228">
        <f>IFERROR(__xludf.DUMMYFUNCTION("""COMPUTED_VALUE"""),5355.0)</f>
        <v>5355</v>
      </c>
      <c r="B429" s="228" t="str">
        <f>IFERROR(__xludf.DUMMYFUNCTION("""COMPUTED_VALUE"""),"Muhammad Taha Mukhtar")</f>
        <v>Muhammad Taha Mukhtar</v>
      </c>
      <c r="C429" s="228" t="str">
        <f>IFERROR(__xludf.DUMMYFUNCTION("""COMPUTED_VALUE"""),"tahamukhtar20@gmail.com")</f>
        <v>tahamukhtar20@gmail.com</v>
      </c>
      <c r="D429" s="228" t="str">
        <f>IFERROR(__xludf.DUMMYFUNCTION("""COMPUTED_VALUE"""),"taha.mukhtar@vyro.ai")</f>
        <v>taha.mukhtar@vyro.ai</v>
      </c>
      <c r="E429" s="730">
        <f>IFERROR(__xludf.DUMMYFUNCTION("""COMPUTED_VALUE"""),45677.0)</f>
        <v>45677</v>
      </c>
      <c r="F429" s="228" t="str">
        <f>IFERROR(__xludf.DUMMYFUNCTION("""COMPUTED_VALUE"""),"Associate Backend Engineer")</f>
        <v>Associate Backend Engineer</v>
      </c>
      <c r="G429" s="228" t="str">
        <f>IFERROR(__xludf.DUMMYFUNCTION("""COMPUTED_VALUE"""),"Backend")</f>
        <v>Backend</v>
      </c>
      <c r="H429" s="228" t="str">
        <f>IFERROR(__xludf.DUMMYFUNCTION("""COMPUTED_VALUE"""),"Shariq Arif")</f>
        <v>Shariq Arif</v>
      </c>
      <c r="I429" s="228" t="str">
        <f>IFERROR(__xludf.DUMMYFUNCTION("""COMPUTED_VALUE"""),"Probation")</f>
        <v>Probation</v>
      </c>
      <c r="J429" s="228" t="str">
        <f>IFERROR(__xludf.DUMMYFUNCTION("""COMPUTED_VALUE"""),"Active")</f>
        <v>Active</v>
      </c>
      <c r="K429" s="228" t="str">
        <f>IFERROR(__xludf.DUMMYFUNCTION("""COMPUTED_VALUE"""),"3M")</f>
        <v>3M</v>
      </c>
      <c r="L429" s="732">
        <f>IFERROR(__xludf.DUMMYFUNCTION("""COMPUTED_VALUE"""),45767.0)</f>
        <v>45767</v>
      </c>
      <c r="M429" s="228"/>
      <c r="N429" s="228"/>
      <c r="O429" s="228"/>
      <c r="P429" s="228" t="str">
        <f>IFERROR(__xludf.DUMMYFUNCTION("""COMPUTED_VALUE"""),"03310148548")</f>
        <v>03310148548</v>
      </c>
      <c r="Q429" s="228" t="str">
        <f>IFERROR(__xludf.DUMMYFUNCTION("""COMPUTED_VALUE"""),"34101-7415527-9")</f>
        <v>34101-7415527-9</v>
      </c>
      <c r="R429" s="228" t="str">
        <f>IFERROR(__xludf.DUMMYFUNCTION("""COMPUTED_VALUE"""),"Male")</f>
        <v>Male</v>
      </c>
      <c r="S429" s="228" t="str">
        <f>IFERROR(__xludf.DUMMYFUNCTION("""COMPUTED_VALUE"""),"Habib Bank Limited")</f>
        <v>Habib Bank Limited</v>
      </c>
      <c r="T429" s="228" t="str">
        <f>IFERROR(__xludf.DUMMYFUNCTION("""COMPUTED_VALUE"""),"Muhammad Taha Mukhtar")</f>
        <v>Muhammad Taha Mukhtar</v>
      </c>
      <c r="U429" s="228" t="str">
        <f>IFERROR(__xludf.DUMMYFUNCTION("""COMPUTED_VALUE"""),"PK19HABB0005187916719803")</f>
        <v>PK19HABB0005187916719803</v>
      </c>
      <c r="V429" s="228" t="str">
        <f>IFERROR(__xludf.DUMMYFUNCTION("""COMPUTED_VALUE"""),"HABBPKKA518")</f>
        <v>HABBPKKA518</v>
      </c>
      <c r="W429" s="228"/>
      <c r="X429" s="228" t="str">
        <f>IFERROR(__xludf.DUMMYFUNCTION("""COMPUTED_VALUE"""),"Islamabad")</f>
        <v>Islamabad</v>
      </c>
      <c r="Y429" s="730">
        <f>IFERROR(__xludf.DUMMYFUNCTION("""COMPUTED_VALUE"""),37880.0)</f>
        <v>37880</v>
      </c>
      <c r="Z429" s="228" t="str">
        <f>IFERROR(__xludf.DUMMYFUNCTION("""COMPUTED_VALUE"""),"21 Years")</f>
        <v>21 Years</v>
      </c>
      <c r="AA429" s="228" t="str">
        <f>IFERROR(__xludf.DUMMYFUNCTION("""COMPUTED_VALUE"""),"CB-679, Kashmir Colony, Gujranwala Cantt, Gujranwala")</f>
        <v>CB-679, Kashmir Colony, Gujranwala Cantt, Gujranwala</v>
      </c>
      <c r="AB429" s="228" t="str">
        <f>IFERROR(__xludf.DUMMYFUNCTION("""COMPUTED_VALUE"""),"Pakistani")</f>
        <v>Pakistani</v>
      </c>
      <c r="AC429" s="228" t="str">
        <f>IFERROR(__xludf.DUMMYFUNCTION("""COMPUTED_VALUE"""),"Single")</f>
        <v>Single</v>
      </c>
      <c r="AD429" s="228"/>
      <c r="AE429" s="228"/>
      <c r="AF429" s="228"/>
      <c r="AG429" s="228" t="str">
        <f>IFERROR(__xludf.DUMMYFUNCTION("""COMPUTED_VALUE"""),"Mukhtar Hussain")</f>
        <v>Mukhtar Hussain</v>
      </c>
      <c r="AH429" s="228" t="str">
        <f>IFERROR(__xludf.DUMMYFUNCTION("""COMPUTED_VALUE"""),"His Son")</f>
        <v>His Son</v>
      </c>
      <c r="AI429" s="228" t="str">
        <f>IFERROR(__xludf.DUMMYFUNCTION("""COMPUTED_VALUE"""),"03338164326")</f>
        <v>03338164326</v>
      </c>
      <c r="AJ429" s="228" t="str">
        <f>IFERROR(__xludf.DUMMYFUNCTION("""COMPUTED_VALUE"""),"B+")</f>
        <v>B+</v>
      </c>
      <c r="AK429" s="731" t="str">
        <f>IFERROR(__xludf.DUMMYFUNCTION("""COMPUTED_VALUE"""),"https://linkedin.com/in/tahamukhtar20")</f>
        <v>https://linkedin.com/in/tahamukhtar20</v>
      </c>
      <c r="AL429" s="228"/>
      <c r="AM429" s="730">
        <f>IFERROR(__xludf.DUMMYFUNCTION("""COMPUTED_VALUE"""),45800.0)</f>
        <v>45800</v>
      </c>
      <c r="AN429" s="228"/>
      <c r="AO429" s="228"/>
      <c r="AP429" s="228" t="str">
        <f>IFERROR(__xludf.DUMMYFUNCTION("""COMPUTED_VALUE"""),"NO")</f>
        <v>NO</v>
      </c>
      <c r="AQ429" s="228" t="str">
        <f>IFERROR(__xludf.DUMMYFUNCTION("""COMPUTED_VALUE"""),"Resigned/Terminated")</f>
        <v>Resigned/Terminated</v>
      </c>
    </row>
    <row r="430">
      <c r="A430" s="228">
        <f>IFERROR(__xludf.DUMMYFUNCTION("""COMPUTED_VALUE"""),5369.0)</f>
        <v>5369</v>
      </c>
      <c r="B430" s="228" t="str">
        <f>IFERROR(__xludf.DUMMYFUNCTION("""COMPUTED_VALUE"""),"Abdul Nafae")</f>
        <v>Abdul Nafae</v>
      </c>
      <c r="C430" s="228" t="str">
        <f>IFERROR(__xludf.DUMMYFUNCTION("""COMPUTED_VALUE"""),"nafaearr@icloud.com")</f>
        <v>nafaearr@icloud.com</v>
      </c>
      <c r="D430" s="228" t="str">
        <f>IFERROR(__xludf.DUMMYFUNCTION("""COMPUTED_VALUE"""),"abdul.nafae@vyro.ai")</f>
        <v>abdul.nafae@vyro.ai</v>
      </c>
      <c r="E430" s="730">
        <f>IFERROR(__xludf.DUMMYFUNCTION("""COMPUTED_VALUE"""),45691.0)</f>
        <v>45691</v>
      </c>
      <c r="F430" s="228" t="str">
        <f>IFERROR(__xludf.DUMMYFUNCTION("""COMPUTED_VALUE"""),"Business Operations Associate")</f>
        <v>Business Operations Associate</v>
      </c>
      <c r="G430" s="228" t="str">
        <f>IFERROR(__xludf.DUMMYFUNCTION("""COMPUTED_VALUE"""),"Marketing")</f>
        <v>Marketing</v>
      </c>
      <c r="H430" s="228" t="str">
        <f>IFERROR(__xludf.DUMMYFUNCTION("""COMPUTED_VALUE"""),"Talha Arshad")</f>
        <v>Talha Arshad</v>
      </c>
      <c r="I430" s="228" t="str">
        <f>IFERROR(__xludf.DUMMYFUNCTION("""COMPUTED_VALUE"""),"Probation")</f>
        <v>Probation</v>
      </c>
      <c r="J430" s="228" t="str">
        <f>IFERROR(__xludf.DUMMYFUNCTION("""COMPUTED_VALUE"""),"Active")</f>
        <v>Active</v>
      </c>
      <c r="K430" s="228" t="str">
        <f>IFERROR(__xludf.DUMMYFUNCTION("""COMPUTED_VALUE"""),"3M")</f>
        <v>3M</v>
      </c>
      <c r="L430" s="732">
        <f>IFERROR(__xludf.DUMMYFUNCTION("""COMPUTED_VALUE"""),45780.0)</f>
        <v>45780</v>
      </c>
      <c r="M430" s="228"/>
      <c r="N430" s="228"/>
      <c r="O430" s="228"/>
      <c r="P430" s="228" t="str">
        <f>IFERROR(__xludf.DUMMYFUNCTION("""COMPUTED_VALUE"""),"3359270791")</f>
        <v>3359270791</v>
      </c>
      <c r="Q430" s="228" t="str">
        <f>IFERROR(__xludf.DUMMYFUNCTION("""COMPUTED_VALUE"""),"35200-8514923-5")</f>
        <v>35200-8514923-5</v>
      </c>
      <c r="R430" s="228" t="str">
        <f>IFERROR(__xludf.DUMMYFUNCTION("""COMPUTED_VALUE"""),"Male")</f>
        <v>Male</v>
      </c>
      <c r="S430" s="228" t="str">
        <f>IFERROR(__xludf.DUMMYFUNCTION("""COMPUTED_VALUE"""),"Meezan Bank")</f>
        <v>Meezan Bank</v>
      </c>
      <c r="T430" s="228" t="str">
        <f>IFERROR(__xludf.DUMMYFUNCTION("""COMPUTED_VALUE"""),"Abdul Nafae")</f>
        <v>Abdul Nafae</v>
      </c>
      <c r="U430" s="228" t="str">
        <f>IFERROR(__xludf.DUMMYFUNCTION("""COMPUTED_VALUE"""),"PK12MEZN0008310104237972")</f>
        <v>PK12MEZN0008310104237972</v>
      </c>
      <c r="V430" s="228" t="str">
        <f>IFERROR(__xludf.DUMMYFUNCTION("""COMPUTED_VALUE"""),"MEZNPKKAISD")</f>
        <v>MEZNPKKAISD</v>
      </c>
      <c r="W430" s="228"/>
      <c r="X430" s="228" t="str">
        <f>IFERROR(__xludf.DUMMYFUNCTION("""COMPUTED_VALUE"""),"Islamabad")</f>
        <v>Islamabad</v>
      </c>
      <c r="Y430" s="730">
        <f>IFERROR(__xludf.DUMMYFUNCTION("""COMPUTED_VALUE"""),37214.0)</f>
        <v>37214</v>
      </c>
      <c r="Z430" s="228" t="str">
        <f>IFERROR(__xludf.DUMMYFUNCTION("""COMPUTED_VALUE"""),"23 Years")</f>
        <v>23 Years</v>
      </c>
      <c r="AA430" s="228" t="str">
        <f>IFERROR(__xludf.DUMMYFUNCTION("""COMPUTED_VALUE"""),"House 24, Street 6, Sector D, DHA Phase 1, Islamabad, Pakistan")</f>
        <v>House 24, Street 6, Sector D, DHA Phase 1, Islamabad, Pakistan</v>
      </c>
      <c r="AB430" s="228" t="str">
        <f>IFERROR(__xludf.DUMMYFUNCTION("""COMPUTED_VALUE"""),"Pakistani")</f>
        <v>Pakistani</v>
      </c>
      <c r="AC430" s="228" t="str">
        <f>IFERROR(__xludf.DUMMYFUNCTION("""COMPUTED_VALUE"""),"Single")</f>
        <v>Single</v>
      </c>
      <c r="AD430" s="228"/>
      <c r="AE430" s="228"/>
      <c r="AF430" s="228"/>
      <c r="AG430" s="228" t="str">
        <f>IFERROR(__xludf.DUMMYFUNCTION("""COMPUTED_VALUE"""),"Arshad Yaqub")</f>
        <v>Arshad Yaqub</v>
      </c>
      <c r="AH430" s="228" t="str">
        <f>IFERROR(__xludf.DUMMYFUNCTION("""COMPUTED_VALUE"""),"Father")</f>
        <v>Father</v>
      </c>
      <c r="AI430" s="228" t="str">
        <f>IFERROR(__xludf.DUMMYFUNCTION("""COMPUTED_VALUE"""),"03225477881")</f>
        <v>03225477881</v>
      </c>
      <c r="AJ430" s="228" t="str">
        <f>IFERROR(__xludf.DUMMYFUNCTION("""COMPUTED_VALUE"""),"B+")</f>
        <v>B+</v>
      </c>
      <c r="AK430" s="731" t="str">
        <f>IFERROR(__xludf.DUMMYFUNCTION("""COMPUTED_VALUE"""),"https://www.linkedin.com/in/abdulnafae/")</f>
        <v>https://www.linkedin.com/in/abdulnafae/</v>
      </c>
      <c r="AL430" s="228"/>
      <c r="AM430" s="730">
        <f>IFERROR(__xludf.DUMMYFUNCTION("""COMPUTED_VALUE"""),45848.0)</f>
        <v>45848</v>
      </c>
      <c r="AN430" s="228"/>
      <c r="AO430" s="228"/>
      <c r="AP430" s="228" t="str">
        <f>IFERROR(__xludf.DUMMYFUNCTION("""COMPUTED_VALUE"""),"NO")</f>
        <v>NO</v>
      </c>
      <c r="AQ430" s="228" t="str">
        <f>IFERROR(__xludf.DUMMYFUNCTION("""COMPUTED_VALUE"""),"Resigned/Terminated")</f>
        <v>Resigned/Terminated</v>
      </c>
    </row>
    <row r="431">
      <c r="A431" s="228">
        <f>IFERROR(__xludf.DUMMYFUNCTION("""COMPUTED_VALUE"""),5422.0)</f>
        <v>5422</v>
      </c>
      <c r="B431" s="228" t="str">
        <f>IFERROR(__xludf.DUMMYFUNCTION("""COMPUTED_VALUE"""),"Muhammad Haseeb Ghaffar")</f>
        <v>Muhammad Haseeb Ghaffar</v>
      </c>
      <c r="C431" s="228" t="str">
        <f>IFERROR(__xludf.DUMMYFUNCTION("""COMPUTED_VALUE"""),"hbghaffar01@gmail.com")</f>
        <v>hbghaffar01@gmail.com</v>
      </c>
      <c r="D431" s="228" t="str">
        <f>IFERROR(__xludf.DUMMYFUNCTION("""COMPUTED_VALUE"""),"muhammad.haseeb@vyro.ai")</f>
        <v>muhammad.haseeb@vyro.ai</v>
      </c>
      <c r="E431" s="730">
        <f>IFERROR(__xludf.DUMMYFUNCTION("""COMPUTED_VALUE"""),45810.0)</f>
        <v>45810</v>
      </c>
      <c r="F431" s="228" t="str">
        <f>IFERROR(__xludf.DUMMYFUNCTION("""COMPUTED_VALUE"""),"Senior Frontend Developer")</f>
        <v>Senior Frontend Developer</v>
      </c>
      <c r="G431" s="228" t="str">
        <f>IFERROR(__xludf.DUMMYFUNCTION("""COMPUTED_VALUE"""),"Frontend")</f>
        <v>Frontend</v>
      </c>
      <c r="H431" s="228" t="str">
        <f>IFERROR(__xludf.DUMMYFUNCTION("""COMPUTED_VALUE"""),"Muhammad Abdullah Rafiq")</f>
        <v>Muhammad Abdullah Rafiq</v>
      </c>
      <c r="I431" s="228" t="str">
        <f>IFERROR(__xludf.DUMMYFUNCTION("""COMPUTED_VALUE"""),"Remote")</f>
        <v>Remote</v>
      </c>
      <c r="J431" s="228" t="str">
        <f>IFERROR(__xludf.DUMMYFUNCTION("""COMPUTED_VALUE"""),"Active")</f>
        <v>Active</v>
      </c>
      <c r="K431" s="228"/>
      <c r="L431" s="732">
        <f>IFERROR(__xludf.DUMMYFUNCTION("""COMPUTED_VALUE"""),45902.0)</f>
        <v>45902</v>
      </c>
      <c r="M431" s="228"/>
      <c r="N431" s="228"/>
      <c r="O431" s="228"/>
      <c r="P431" s="228" t="str">
        <f>IFERROR(__xludf.DUMMYFUNCTION("""COMPUTED_VALUE"""),"3000971007")</f>
        <v>3000971007</v>
      </c>
      <c r="Q431" s="228" t="str">
        <f>IFERROR(__xludf.DUMMYFUNCTION("""COMPUTED_VALUE"""),"33303-6464805-3")</f>
        <v>33303-6464805-3</v>
      </c>
      <c r="R431" s="228" t="str">
        <f>IFERROR(__xludf.DUMMYFUNCTION("""COMPUTED_VALUE"""),"Male")</f>
        <v>Male</v>
      </c>
      <c r="S431" s="228" t="str">
        <f>IFERROR(__xludf.DUMMYFUNCTION("""COMPUTED_VALUE"""),"HBL")</f>
        <v>HBL</v>
      </c>
      <c r="T431" s="228" t="str">
        <f>IFERROR(__xludf.DUMMYFUNCTION("""COMPUTED_VALUE"""),"Muhammad Haseeb Ghaffar")</f>
        <v>Muhammad Haseeb Ghaffar</v>
      </c>
      <c r="U431" s="228" t="str">
        <f>IFERROR(__xludf.DUMMYFUNCTION("""COMPUTED_VALUE"""),"PK48HABB00016979440509031004044D")</f>
        <v>PK48HABB00016979440509031004044D</v>
      </c>
      <c r="V431" s="228" t="str">
        <f>IFERROR(__xludf.DUMMYFUNCTION("""COMPUTED_VALUE"""),"HABBPKKA007")</f>
        <v>HABBPKKA007</v>
      </c>
      <c r="W431" s="228"/>
      <c r="X431" s="228"/>
      <c r="Y431" s="730">
        <f>IFERROR(__xludf.DUMMYFUNCTION("""COMPUTED_VALUE"""),36087.0)</f>
        <v>36087</v>
      </c>
      <c r="Z431" s="228" t="str">
        <f>IFERROR(__xludf.DUMMYFUNCTION("""COMPUTED_VALUE"""),"26 Years")</f>
        <v>26 Years</v>
      </c>
      <c r="AA431" s="228" t="str">
        <f>IFERROR(__xludf.DUMMYFUNCTION("""COMPUTED_VALUE"""),"Lakar Mandi near Shorkot road Toba Tek Singh")</f>
        <v>Lakar Mandi near Shorkot road Toba Tek Singh</v>
      </c>
      <c r="AB431" s="228" t="str">
        <f>IFERROR(__xludf.DUMMYFUNCTION("""COMPUTED_VALUE"""),"Pakistani")</f>
        <v>Pakistani</v>
      </c>
      <c r="AC431" s="228" t="str">
        <f>IFERROR(__xludf.DUMMYFUNCTION("""COMPUTED_VALUE"""),"Single")</f>
        <v>Single</v>
      </c>
      <c r="AD431" s="228"/>
      <c r="AE431" s="228"/>
      <c r="AF431" s="228"/>
      <c r="AG431" s="228" t="str">
        <f>IFERROR(__xludf.DUMMYFUNCTION("""COMPUTED_VALUE"""),"Abdul Ghaffar")</f>
        <v>Abdul Ghaffar</v>
      </c>
      <c r="AH431" s="228" t="str">
        <f>IFERROR(__xludf.DUMMYFUNCTION("""COMPUTED_VALUE"""),"Brother")</f>
        <v>Brother</v>
      </c>
      <c r="AI431" s="228" t="str">
        <f>IFERROR(__xludf.DUMMYFUNCTION("""COMPUTED_VALUE"""),"3006564277")</f>
        <v>3006564277</v>
      </c>
      <c r="AJ431" s="228" t="str">
        <f>IFERROR(__xludf.DUMMYFUNCTION("""COMPUTED_VALUE"""),"O+")</f>
        <v>O+</v>
      </c>
      <c r="AK431" s="731" t="str">
        <f>IFERROR(__xludf.DUMMYFUNCTION("""COMPUTED_VALUE"""),"https://www.linkedin.com/in/haseeb-ghaffar-a3417021a/")</f>
        <v>https://www.linkedin.com/in/haseeb-ghaffar-a3417021a/</v>
      </c>
      <c r="AL431" s="228" t="str">
        <f>IFERROR(__xludf.DUMMYFUNCTION("""COMPUTED_VALUE"""),"Annum")</f>
        <v>Annum</v>
      </c>
      <c r="AM431" s="228"/>
      <c r="AN431" s="228"/>
      <c r="AO431" s="228"/>
      <c r="AP431" s="228" t="str">
        <f>IFERROR(__xludf.DUMMYFUNCTION("""COMPUTED_VALUE"""),"NO")</f>
        <v>NO</v>
      </c>
      <c r="AQ431" s="228" t="str">
        <f>IFERROR(__xludf.DUMMYFUNCTION("""COMPUTED_VALUE"""),"Resigned/Terminated")</f>
        <v>Resigned/Terminated</v>
      </c>
    </row>
    <row r="432">
      <c r="A432" s="228">
        <f>IFERROR(__xludf.DUMMYFUNCTION("""COMPUTED_VALUE"""),5360.0)</f>
        <v>5360</v>
      </c>
      <c r="B432" s="228" t="str">
        <f>IFERROR(__xludf.DUMMYFUNCTION("""COMPUTED_VALUE"""),"Hashim Saleem")</f>
        <v>Hashim Saleem</v>
      </c>
      <c r="C432" s="228" t="str">
        <f>IFERROR(__xludf.DUMMYFUNCTION("""COMPUTED_VALUE"""),"hashimsaleem2001@gmail.com")</f>
        <v>hashimsaleem2001@gmail.com</v>
      </c>
      <c r="D432" s="228" t="str">
        <f>IFERROR(__xludf.DUMMYFUNCTION("""COMPUTED_VALUE"""),"hashim.saleem@vyro.ai")</f>
        <v>hashim.saleem@vyro.ai</v>
      </c>
      <c r="E432" s="730">
        <f>IFERROR(__xludf.DUMMYFUNCTION("""COMPUTED_VALUE"""),45684.0)</f>
        <v>45684</v>
      </c>
      <c r="F432" s="228" t="str">
        <f>IFERROR(__xludf.DUMMYFUNCTION("""COMPUTED_VALUE"""),"Finance Associate")</f>
        <v>Finance Associate</v>
      </c>
      <c r="G432" s="228" t="str">
        <f>IFERROR(__xludf.DUMMYFUNCTION("""COMPUTED_VALUE"""),"Finance")</f>
        <v>Finance</v>
      </c>
      <c r="H432" s="228" t="str">
        <f>IFERROR(__xludf.DUMMYFUNCTION("""COMPUTED_VALUE"""),"Talha Arshad")</f>
        <v>Talha Arshad</v>
      </c>
      <c r="I432" s="228" t="str">
        <f>IFERROR(__xludf.DUMMYFUNCTION("""COMPUTED_VALUE"""),"Probation")</f>
        <v>Probation</v>
      </c>
      <c r="J432" s="228" t="str">
        <f>IFERROR(__xludf.DUMMYFUNCTION("""COMPUTED_VALUE"""),"Active")</f>
        <v>Active</v>
      </c>
      <c r="K432" s="228" t="str">
        <f>IFERROR(__xludf.DUMMYFUNCTION("""COMPUTED_VALUE"""),"3M")</f>
        <v>3M</v>
      </c>
      <c r="L432" s="732">
        <f>IFERROR(__xludf.DUMMYFUNCTION("""COMPUTED_VALUE"""),45774.0)</f>
        <v>45774</v>
      </c>
      <c r="M432" s="228"/>
      <c r="N432" s="228"/>
      <c r="O432" s="228"/>
      <c r="P432" s="228" t="str">
        <f>IFERROR(__xludf.DUMMYFUNCTION("""COMPUTED_VALUE"""),"03145292776")</f>
        <v>03145292776</v>
      </c>
      <c r="Q432" s="228" t="str">
        <f>IFERROR(__xludf.DUMMYFUNCTION("""COMPUTED_VALUE"""),"37405-6982134-1")</f>
        <v>37405-6982134-1</v>
      </c>
      <c r="R432" s="228" t="str">
        <f>IFERROR(__xludf.DUMMYFUNCTION("""COMPUTED_VALUE"""),"Male")</f>
        <v>Male</v>
      </c>
      <c r="S432" s="228" t="str">
        <f>IFERROR(__xludf.DUMMYFUNCTION("""COMPUTED_VALUE"""),"Meezan Bank")</f>
        <v>Meezan Bank</v>
      </c>
      <c r="T432" s="228" t="str">
        <f>IFERROR(__xludf.DUMMYFUNCTION("""COMPUTED_VALUE"""),"Hashim Saleem")</f>
        <v>Hashim Saleem</v>
      </c>
      <c r="U432" s="228" t="str">
        <f>IFERROR(__xludf.DUMMYFUNCTION("""COMPUTED_VALUE"""),"PK77MEZN0008070105530600")</f>
        <v>PK77MEZN0008070105530600</v>
      </c>
      <c r="V432" s="228" t="str">
        <f>IFERROR(__xludf.DUMMYFUNCTION("""COMPUTED_VALUE"""),"MEZNPKKA")</f>
        <v>MEZNPKKA</v>
      </c>
      <c r="W432" s="228"/>
      <c r="X432" s="228" t="str">
        <f>IFERROR(__xludf.DUMMYFUNCTION("""COMPUTED_VALUE"""),"Islamabad")</f>
        <v>Islamabad</v>
      </c>
      <c r="Y432" s="730">
        <f>IFERROR(__xludf.DUMMYFUNCTION("""COMPUTED_VALUE"""),37265.0)</f>
        <v>37265</v>
      </c>
      <c r="Z432" s="228" t="str">
        <f>IFERROR(__xludf.DUMMYFUNCTION("""COMPUTED_VALUE"""),"23 Years")</f>
        <v>23 Years</v>
      </c>
      <c r="AA432" s="228" t="str">
        <f>IFERROR(__xludf.DUMMYFUNCTION("""COMPUTED_VALUE"""),"Block 7/5D, Sector D, Askari 14, Rawalpindi")</f>
        <v>Block 7/5D, Sector D, Askari 14, Rawalpindi</v>
      </c>
      <c r="AB432" s="228" t="str">
        <f>IFERROR(__xludf.DUMMYFUNCTION("""COMPUTED_VALUE"""),"Pakistani")</f>
        <v>Pakistani</v>
      </c>
      <c r="AC432" s="228" t="str">
        <f>IFERROR(__xludf.DUMMYFUNCTION("""COMPUTED_VALUE"""),"Single")</f>
        <v>Single</v>
      </c>
      <c r="AD432" s="228"/>
      <c r="AE432" s="228"/>
      <c r="AF432" s="228"/>
      <c r="AG432" s="228" t="str">
        <f>IFERROR(__xludf.DUMMYFUNCTION("""COMPUTED_VALUE"""),"Faisal Butt")</f>
        <v>Faisal Butt</v>
      </c>
      <c r="AH432" s="228" t="str">
        <f>IFERROR(__xludf.DUMMYFUNCTION("""COMPUTED_VALUE"""),"Father")</f>
        <v>Father</v>
      </c>
      <c r="AI432" s="228" t="str">
        <f>IFERROR(__xludf.DUMMYFUNCTION("""COMPUTED_VALUE"""),"03454815493")</f>
        <v>03454815493</v>
      </c>
      <c r="AJ432" s="228" t="str">
        <f>IFERROR(__xludf.DUMMYFUNCTION("""COMPUTED_VALUE"""),"B+")</f>
        <v>B+</v>
      </c>
      <c r="AK432" s="731" t="str">
        <f>IFERROR(__xludf.DUMMYFUNCTION("""COMPUTED_VALUE"""),"https://www.linkedin.com/in/hashim-saleem-215576211")</f>
        <v>https://www.linkedin.com/in/hashim-saleem-215576211</v>
      </c>
      <c r="AL432" s="228"/>
      <c r="AM432" s="730">
        <f>IFERROR(__xludf.DUMMYFUNCTION("""COMPUTED_VALUE"""),45853.0)</f>
        <v>45853</v>
      </c>
      <c r="AN432" s="228"/>
      <c r="AO432" s="228"/>
      <c r="AP432" s="228" t="str">
        <f>IFERROR(__xludf.DUMMYFUNCTION("""COMPUTED_VALUE"""),"NO")</f>
        <v>NO</v>
      </c>
      <c r="AQ432" s="228" t="str">
        <f>IFERROR(__xludf.DUMMYFUNCTION("""COMPUTED_VALUE"""),"Resigned/Terminated")</f>
        <v>Resigned/Terminated</v>
      </c>
    </row>
    <row r="433">
      <c r="A433" s="228">
        <f>IFERROR(__xludf.DUMMYFUNCTION("""COMPUTED_VALUE"""),5433.0)</f>
        <v>5433</v>
      </c>
      <c r="B433" s="228" t="str">
        <f>IFERROR(__xludf.DUMMYFUNCTION("""COMPUTED_VALUE"""),"Bikram Parmar")</f>
        <v>Bikram Parmar</v>
      </c>
      <c r="C433" s="228" t="str">
        <f>IFERROR(__xludf.DUMMYFUNCTION("""COMPUTED_VALUE"""),"bikram.parmar@hotmail.com")</f>
        <v>bikram.parmar@hotmail.com</v>
      </c>
      <c r="D433" s="228"/>
      <c r="E433" s="730">
        <f>IFERROR(__xludf.DUMMYFUNCTION("""COMPUTED_VALUE"""),45831.0)</f>
        <v>45831</v>
      </c>
      <c r="F433" s="228" t="str">
        <f>IFERROR(__xludf.DUMMYFUNCTION("""COMPUTED_VALUE"""),"Influencer Marketing Consultant")</f>
        <v>Influencer Marketing Consultant</v>
      </c>
      <c r="G433" s="228" t="str">
        <f>IFERROR(__xludf.DUMMYFUNCTION("""COMPUTED_VALUE"""),"Marketing")</f>
        <v>Marketing</v>
      </c>
      <c r="H433" s="228"/>
      <c r="I433" s="228" t="str">
        <f>IFERROR(__xludf.DUMMYFUNCTION("""COMPUTED_VALUE"""),"Remote")</f>
        <v>Remote</v>
      </c>
      <c r="J433" s="228" t="str">
        <f>IFERROR(__xludf.DUMMYFUNCTION("""COMPUTED_VALUE"""),"Active")</f>
        <v>Active</v>
      </c>
      <c r="K433" s="228"/>
      <c r="L433" s="732">
        <f>IFERROR(__xludf.DUMMYFUNCTION("""COMPUTED_VALUE"""),45923.0)</f>
        <v>45923</v>
      </c>
      <c r="M433" s="228"/>
      <c r="N433" s="228"/>
      <c r="O433" s="228"/>
      <c r="P433" s="228" t="str">
        <f>IFERROR(__xludf.DUMMYFUNCTION("""COMPUTED_VALUE"""),"1 (250) 465-0800")</f>
        <v>1 (250) 465-0800</v>
      </c>
      <c r="Q433" s="228"/>
      <c r="R433" s="228" t="str">
        <f>IFERROR(__xludf.DUMMYFUNCTION("""COMPUTED_VALUE"""),"Male")</f>
        <v>Male</v>
      </c>
      <c r="S433" s="228" t="str">
        <f>IFERROR(__xludf.DUMMYFUNCTION("""COMPUTED_VALUE"""),"TD Canada Trust")</f>
        <v>TD Canada Trust</v>
      </c>
      <c r="T433" s="228" t="str">
        <f>IFERROR(__xludf.DUMMYFUNCTION("""COMPUTED_VALUE"""),"Bikram Singh Parmar")</f>
        <v>Bikram Singh Parmar</v>
      </c>
      <c r="U433" s="228" t="str">
        <f>IFERROR(__xludf.DUMMYFUNCTION("""COMPUTED_VALUE"""),"90386289489")</f>
        <v>90386289489</v>
      </c>
      <c r="V433" s="228" t="str">
        <f>IFERROR(__xludf.DUMMYFUNCTION("""COMPUTED_VALUE"""),"TDOMCATTTOR")</f>
        <v>TDOMCATTTOR</v>
      </c>
      <c r="W433" s="228"/>
      <c r="X433" s="228"/>
      <c r="Y433" s="228"/>
      <c r="Z433" s="228"/>
      <c r="AA433" s="228"/>
      <c r="AB433" s="228"/>
      <c r="AC433" s="228"/>
      <c r="AD433" s="228"/>
      <c r="AE433" s="228"/>
      <c r="AF433" s="228"/>
      <c r="AG433" s="228"/>
      <c r="AH433" s="228"/>
      <c r="AI433" s="228"/>
      <c r="AJ433" s="228"/>
      <c r="AK433" s="228"/>
      <c r="AL433" s="228"/>
      <c r="AM433" s="228"/>
      <c r="AN433" s="228"/>
      <c r="AO433" s="228"/>
      <c r="AP433" s="228" t="str">
        <f>IFERROR(__xludf.DUMMYFUNCTION("""COMPUTED_VALUE"""),"NO")</f>
        <v>NO</v>
      </c>
      <c r="AQ433" s="228" t="str">
        <f>IFERROR(__xludf.DUMMYFUNCTION("""COMPUTED_VALUE"""),"Resigned/Terminated")</f>
        <v>Resigned/Terminated</v>
      </c>
    </row>
    <row r="434">
      <c r="A434" s="228">
        <f>IFERROR(__xludf.DUMMYFUNCTION("""COMPUTED_VALUE"""),5310.0)</f>
        <v>5310</v>
      </c>
      <c r="B434" s="228" t="str">
        <f>IFERROR(__xludf.DUMMYFUNCTION("""COMPUTED_VALUE"""),"Muhammad Haris Khan")</f>
        <v>Muhammad Haris Khan</v>
      </c>
      <c r="C434" s="228" t="str">
        <f>IFERROR(__xludf.DUMMYFUNCTION("""COMPUTED_VALUE"""),"mhariskh25@gmail.com")</f>
        <v>mhariskh25@gmail.com</v>
      </c>
      <c r="D434" s="228" t="str">
        <f>IFERROR(__xludf.DUMMYFUNCTION("""COMPUTED_VALUE"""),"muhammad.haris@vyro.ai")</f>
        <v>muhammad.haris@vyro.ai</v>
      </c>
      <c r="E434" s="730">
        <f>IFERROR(__xludf.DUMMYFUNCTION("""COMPUTED_VALUE"""),45572.0)</f>
        <v>45572</v>
      </c>
      <c r="F434" s="228" t="str">
        <f>IFERROR(__xludf.DUMMYFUNCTION("""COMPUTED_VALUE"""),"Frontend Developer")</f>
        <v>Frontend Developer</v>
      </c>
      <c r="G434" s="228" t="str">
        <f>IFERROR(__xludf.DUMMYFUNCTION("""COMPUTED_VALUE"""),"Web Engineering")</f>
        <v>Web Engineering</v>
      </c>
      <c r="H434" s="228"/>
      <c r="I434" s="228" t="str">
        <f>IFERROR(__xludf.DUMMYFUNCTION("""COMPUTED_VALUE"""),"Probation")</f>
        <v>Probation</v>
      </c>
      <c r="J434" s="228" t="str">
        <f>IFERROR(__xludf.DUMMYFUNCTION("""COMPUTED_VALUE"""),"Active")</f>
        <v>Active</v>
      </c>
      <c r="K434" s="228" t="str">
        <f>IFERROR(__xludf.DUMMYFUNCTION("""COMPUTED_VALUE"""),"3M")</f>
        <v>3M</v>
      </c>
      <c r="L434" s="732">
        <f>IFERROR(__xludf.DUMMYFUNCTION("""COMPUTED_VALUE"""),45664.0)</f>
        <v>45664</v>
      </c>
      <c r="M434" s="228"/>
      <c r="N434" s="228"/>
      <c r="O434" s="228"/>
      <c r="P434" s="228" t="str">
        <f>IFERROR(__xludf.DUMMYFUNCTION("""COMPUTED_VALUE"""),"3457163448")</f>
        <v>3457163448</v>
      </c>
      <c r="Q434" s="228" t="str">
        <f>IFERROR(__xludf.DUMMYFUNCTION("""COMPUTED_VALUE"""),"32303-2881026-7")</f>
        <v>32303-2881026-7</v>
      </c>
      <c r="R434" s="228" t="str">
        <f>IFERROR(__xludf.DUMMYFUNCTION("""COMPUTED_VALUE"""),"Male")</f>
        <v>Male</v>
      </c>
      <c r="S434" s="228" t="str">
        <f>IFERROR(__xludf.DUMMYFUNCTION("""COMPUTED_VALUE"""),"Standard Chartered")</f>
        <v>Standard Chartered</v>
      </c>
      <c r="T434" s="228" t="str">
        <f>IFERROR(__xludf.DUMMYFUNCTION("""COMPUTED_VALUE"""),"Muhammad Haris Khan")</f>
        <v>Muhammad Haris Khan</v>
      </c>
      <c r="U434" s="228" t="str">
        <f>IFERROR(__xludf.DUMMYFUNCTION("""COMPUTED_VALUE"""),"PK76SCBL0000001027729301")</f>
        <v>PK76SCBL0000001027729301</v>
      </c>
      <c r="V434" s="228" t="str">
        <f>IFERROR(__xludf.DUMMYFUNCTION("""COMPUTED_VALUE"""),"SCBLPKKXXXX")</f>
        <v>SCBLPKKXXXX</v>
      </c>
      <c r="W434" s="228"/>
      <c r="X434" s="228" t="str">
        <f>IFERROR(__xludf.DUMMYFUNCTION("""COMPUTED_VALUE"""),"Islamabad")</f>
        <v>Islamabad</v>
      </c>
      <c r="Y434" s="730">
        <f>IFERROR(__xludf.DUMMYFUNCTION("""COMPUTED_VALUE"""),37315.0)</f>
        <v>37315</v>
      </c>
      <c r="Z434" s="228" t="str">
        <f>IFERROR(__xludf.DUMMYFUNCTION("""COMPUTED_VALUE"""),"23 Years")</f>
        <v>23 Years</v>
      </c>
      <c r="AA434" s="228" t="str">
        <f>IFERROR(__xludf.DUMMYFUNCTION("""COMPUTED_VALUE"""),"J7/003 - Parco housing complex, Qasba gujrat, Tehsil kot Addu , District Muzaffargarh, Punjab, Pakistan")</f>
        <v>J7/003 - Parco housing complex, Qasba gujrat, Tehsil kot Addu , District Muzaffargarh, Punjab, Pakistan</v>
      </c>
      <c r="AB434" s="228" t="str">
        <f>IFERROR(__xludf.DUMMYFUNCTION("""COMPUTED_VALUE"""),"Pakistani")</f>
        <v>Pakistani</v>
      </c>
      <c r="AC434" s="228" t="str">
        <f>IFERROR(__xludf.DUMMYFUNCTION("""COMPUTED_VALUE"""),"Single")</f>
        <v>Single</v>
      </c>
      <c r="AD434" s="228"/>
      <c r="AE434" s="228"/>
      <c r="AF434" s="228"/>
      <c r="AG434" s="228" t="str">
        <f>IFERROR(__xludf.DUMMYFUNCTION("""COMPUTED_VALUE"""),"Imtiaz Ali Khan")</f>
        <v>Imtiaz Ali Khan</v>
      </c>
      <c r="AH434" s="228" t="str">
        <f>IFERROR(__xludf.DUMMYFUNCTION("""COMPUTED_VALUE"""),"Brother")</f>
        <v>Brother</v>
      </c>
      <c r="AI434" s="228" t="str">
        <f>IFERROR(__xludf.DUMMYFUNCTION("""COMPUTED_VALUE"""),"3355762451")</f>
        <v>3355762451</v>
      </c>
      <c r="AJ434" s="228" t="str">
        <f>IFERROR(__xludf.DUMMYFUNCTION("""COMPUTED_VALUE"""),"B+")</f>
        <v>B+</v>
      </c>
      <c r="AK434" s="731" t="str">
        <f>IFERROR(__xludf.DUMMYFUNCTION("""COMPUTED_VALUE"""),"https://www.linkedin.com/in/mharis-kh/")</f>
        <v>https://www.linkedin.com/in/mharis-kh/</v>
      </c>
      <c r="AL434" s="228"/>
      <c r="AM434" s="730">
        <f>IFERROR(__xludf.DUMMYFUNCTION("""COMPUTED_VALUE"""),45812.0)</f>
        <v>45812</v>
      </c>
      <c r="AN434" s="228" t="str">
        <f>IFERROR(__xludf.DUMMYFUNCTION("""COMPUTED_VALUE"""),"Web Front-End")</f>
        <v>Web Front-End</v>
      </c>
      <c r="AO434" s="228" t="str">
        <f>IFERROR(__xludf.DUMMYFUNCTION("""COMPUTED_VALUE"""),"web.front.end@vyro.ai")</f>
        <v>web.front.end@vyro.ai</v>
      </c>
      <c r="AP434" s="228" t="str">
        <f>IFERROR(__xludf.DUMMYFUNCTION("""COMPUTED_VALUE"""),"NO")</f>
        <v>NO</v>
      </c>
      <c r="AQ434" s="228" t="str">
        <f>IFERROR(__xludf.DUMMYFUNCTION("""COMPUTED_VALUE"""),"Resigned/Terminated")</f>
        <v>Resigned/Terminated</v>
      </c>
    </row>
    <row r="435">
      <c r="A435" s="228">
        <f>IFERROR(__xludf.DUMMYFUNCTION("""COMPUTED_VALUE"""),5408.0)</f>
        <v>5408</v>
      </c>
      <c r="B435" s="228" t="str">
        <f>IFERROR(__xludf.DUMMYFUNCTION("""COMPUTED_VALUE"""),"YiChen")</f>
        <v>YiChen</v>
      </c>
      <c r="C435" s="228" t="str">
        <f>IFERROR(__xludf.DUMMYFUNCTION("""COMPUTED_VALUE"""),"chenyi.008@163.com")</f>
        <v>chenyi.008@163.com</v>
      </c>
      <c r="D435" s="228" t="str">
        <f>IFERROR(__xludf.DUMMYFUNCTION("""COMPUTED_VALUE"""),"yi.chen@vyro.ai")</f>
        <v>yi.chen@vyro.ai</v>
      </c>
      <c r="E435" s="730">
        <f>IFERROR(__xludf.DUMMYFUNCTION("""COMPUTED_VALUE"""),45789.0)</f>
        <v>45789</v>
      </c>
      <c r="F435" s="228" t="str">
        <f>IFERROR(__xludf.DUMMYFUNCTION("""COMPUTED_VALUE"""),"Backend Engineer")</f>
        <v>Backend Engineer</v>
      </c>
      <c r="G435" s="228" t="str">
        <f>IFERROR(__xludf.DUMMYFUNCTION("""COMPUTED_VALUE"""),"Backend")</f>
        <v>Backend</v>
      </c>
      <c r="H435" s="228" t="str">
        <f>IFERROR(__xludf.DUMMYFUNCTION("""COMPUTED_VALUE"""),"Bisma Pervaiz")</f>
        <v>Bisma Pervaiz</v>
      </c>
      <c r="I435" s="228" t="str">
        <f>IFERROR(__xludf.DUMMYFUNCTION("""COMPUTED_VALUE"""),"Remote")</f>
        <v>Remote</v>
      </c>
      <c r="J435" s="228" t="str">
        <f>IFERROR(__xludf.DUMMYFUNCTION("""COMPUTED_VALUE"""),"Active")</f>
        <v>Active</v>
      </c>
      <c r="K435" s="228"/>
      <c r="L435" s="732">
        <f>IFERROR(__xludf.DUMMYFUNCTION("""COMPUTED_VALUE"""),45881.0)</f>
        <v>45881</v>
      </c>
      <c r="M435" s="228"/>
      <c r="N435" s="228"/>
      <c r="O435" s="228"/>
      <c r="P435" s="228" t="str">
        <f>IFERROR(__xludf.DUMMYFUNCTION("""COMPUTED_VALUE"""),"03123456789")</f>
        <v>03123456789</v>
      </c>
      <c r="Q435" s="228" t="str">
        <f>IFERROR(__xludf.DUMMYFUNCTION("""COMPUTED_VALUE"""),"12345-1234567-7")</f>
        <v>12345-1234567-7</v>
      </c>
      <c r="R435" s="228" t="str">
        <f>IFERROR(__xludf.DUMMYFUNCTION("""COMPUTED_VALUE"""),"Male")</f>
        <v>Male</v>
      </c>
      <c r="S435" s="228" t="str">
        <f>IFERROR(__xludf.DUMMYFUNCTION("""COMPUTED_VALUE"""),"China Merchants Bank")</f>
        <v>China Merchants Bank</v>
      </c>
      <c r="T435" s="228" t="str">
        <f>IFERROR(__xludf.DUMMYFUNCTION("""COMPUTED_VALUE"""),"Intermediary Bank: China Merchants Bank Co. Ltd., New York, SWIFT Code: CMBCUS33
Beneficiary’s Bank: China Merchants Bank, H.O.,CMB TOWER,7088 SHENNAN BOULEVARD, Shenzhen, China, SWIFT Code: CMBCCNBS
Beneficiary’s name: CHEN YI
Beneficiary’s A/C No.: 6214"&amp;" 8333 3116 7471
phone: +86 13707567246,
cnaps: 308100005035")</f>
        <v>Intermediary Bank: China Merchants Bank Co. Ltd., New York, SWIFT Code: CMBCUS33
Beneficiary’s Bank: China Merchants Bank, H.O.,CMB TOWER,7088 SHENNAN BOULEVARD, Shenzhen, China, SWIFT Code: CMBCCNBS
Beneficiary’s name: CHEN YI
Beneficiary’s A/C No.: 6214 8333 3116 7471
phone: +86 13707567246,
cnaps: 308100005035</v>
      </c>
      <c r="U435" s="228" t="str">
        <f>IFERROR(__xludf.DUMMYFUNCTION("""COMPUTED_VALUE"""),"6214833331167471")</f>
        <v>6214833331167471</v>
      </c>
      <c r="V435" s="228" t="str">
        <f>IFERROR(__xludf.DUMMYFUNCTION("""COMPUTED_VALUE"""),"CMBCCNBS")</f>
        <v>CMBCCNBS</v>
      </c>
      <c r="W435" s="228"/>
      <c r="X435" s="228" t="str">
        <f>IFERROR(__xludf.DUMMYFUNCTION("""COMPUTED_VALUE"""),"Remote")</f>
        <v>Remote</v>
      </c>
      <c r="Y435" s="730">
        <f>IFERROR(__xludf.DUMMYFUNCTION("""COMPUTED_VALUE"""),30198.0)</f>
        <v>30198</v>
      </c>
      <c r="Z435" s="228" t="str">
        <f>IFERROR(__xludf.DUMMYFUNCTION("""COMPUTED_VALUE"""),"42 Years")</f>
        <v>42 Years</v>
      </c>
      <c r="AA435" s="228" t="str">
        <f>IFERROR(__xludf.DUMMYFUNCTION("""COMPUTED_VALUE"""),"Hainan")</f>
        <v>Hainan</v>
      </c>
      <c r="AB435" s="228" t="str">
        <f>IFERROR(__xludf.DUMMYFUNCTION("""COMPUTED_VALUE"""),"China")</f>
        <v>China</v>
      </c>
      <c r="AC435" s="228" t="str">
        <f>IFERROR(__xludf.DUMMYFUNCTION("""COMPUTED_VALUE"""),"Married")</f>
        <v>Married</v>
      </c>
      <c r="AD435" s="228"/>
      <c r="AE435" s="228"/>
      <c r="AF435" s="228"/>
      <c r="AG435" s="228" t="str">
        <f>IFERROR(__xludf.DUMMYFUNCTION("""COMPUTED_VALUE"""),"jiagui Chen")</f>
        <v>jiagui Chen</v>
      </c>
      <c r="AH435" s="228" t="str">
        <f>IFERROR(__xludf.DUMMYFUNCTION("""COMPUTED_VALUE"""),"father")</f>
        <v>father</v>
      </c>
      <c r="AI435" s="228" t="str">
        <f>IFERROR(__xludf.DUMMYFUNCTION("""COMPUTED_VALUE"""),"03123456789")</f>
        <v>03123456789</v>
      </c>
      <c r="AJ435" s="228" t="str">
        <f>IFERROR(__xludf.DUMMYFUNCTION("""COMPUTED_VALUE"""),"AB+")</f>
        <v>AB+</v>
      </c>
      <c r="AK435" s="731" t="str">
        <f>IFERROR(__xludf.DUMMYFUNCTION("""COMPUTED_VALUE"""),"https://www.linkedin.com/in/%E5%B1%B9-%E9%99%88-310747323/")</f>
        <v>https://www.linkedin.com/in/%E5%B1%B9-%E9%99%88-310747323/</v>
      </c>
      <c r="AL435" s="228" t="str">
        <f>IFERROR(__xludf.DUMMYFUNCTION("""COMPUTED_VALUE"""),"Mustafa Shakil")</f>
        <v>Mustafa Shakil</v>
      </c>
      <c r="AM435" s="730">
        <f>IFERROR(__xludf.DUMMYFUNCTION("""COMPUTED_VALUE"""),45861.0)</f>
        <v>45861</v>
      </c>
      <c r="AN435" s="228"/>
      <c r="AO435" s="228"/>
      <c r="AP435" s="228" t="str">
        <f>IFERROR(__xludf.DUMMYFUNCTION("""COMPUTED_VALUE"""),"NO")</f>
        <v>NO</v>
      </c>
      <c r="AQ435" s="228" t="str">
        <f>IFERROR(__xludf.DUMMYFUNCTION("""COMPUTED_VALUE"""),"Resigned/Terminated")</f>
        <v>Resigned/Terminated</v>
      </c>
    </row>
    <row r="436">
      <c r="A436" s="228">
        <f>IFERROR(__xludf.DUMMYFUNCTION("""COMPUTED_VALUE"""),5436.0)</f>
        <v>5436</v>
      </c>
      <c r="B436" s="228" t="str">
        <f>IFERROR(__xludf.DUMMYFUNCTION("""COMPUTED_VALUE"""),"Muhammad Aqib")</f>
        <v>Muhammad Aqib</v>
      </c>
      <c r="C436" s="228" t="str">
        <f>IFERROR(__xludf.DUMMYFUNCTION("""COMPUTED_VALUE"""),"muhammadaqibawan37@gmail.com")</f>
        <v>muhammadaqibawan37@gmail.com</v>
      </c>
      <c r="D436" s="228" t="str">
        <f>IFERROR(__xludf.DUMMYFUNCTION("""COMPUTED_VALUE"""),"aqib.awan@vyro.ai")</f>
        <v>aqib.awan@vyro.ai</v>
      </c>
      <c r="E436" s="730">
        <f>IFERROR(__xludf.DUMMYFUNCTION("""COMPUTED_VALUE"""),45839.0)</f>
        <v>45839</v>
      </c>
      <c r="F436" s="228" t="str">
        <f>IFERROR(__xludf.DUMMYFUNCTION("""COMPUTED_VALUE"""),"Senior Frontend Developer")</f>
        <v>Senior Frontend Developer</v>
      </c>
      <c r="G436" s="228" t="str">
        <f>IFERROR(__xludf.DUMMYFUNCTION("""COMPUTED_VALUE"""),"Frontend")</f>
        <v>Frontend</v>
      </c>
      <c r="H436" s="228" t="str">
        <f>IFERROR(__xludf.DUMMYFUNCTION("""COMPUTED_VALUE"""),"Hammad Maqsood")</f>
        <v>Hammad Maqsood</v>
      </c>
      <c r="I436" s="228" t="str">
        <f>IFERROR(__xludf.DUMMYFUNCTION("""COMPUTED_VALUE"""),"Onsite")</f>
        <v>Onsite</v>
      </c>
      <c r="J436" s="228" t="str">
        <f>IFERROR(__xludf.DUMMYFUNCTION("""COMPUTED_VALUE"""),"Active")</f>
        <v>Active</v>
      </c>
      <c r="K436" s="228"/>
      <c r="L436" s="732">
        <f>IFERROR(__xludf.DUMMYFUNCTION("""COMPUTED_VALUE"""),45931.0)</f>
        <v>45931</v>
      </c>
      <c r="M436" s="228"/>
      <c r="N436" s="228"/>
      <c r="O436" s="228"/>
      <c r="P436" s="228" t="str">
        <f>IFERROR(__xludf.DUMMYFUNCTION("""COMPUTED_VALUE"""),"3341563983")</f>
        <v>3341563983</v>
      </c>
      <c r="Q436" s="228" t="str">
        <f>IFERROR(__xludf.DUMMYFUNCTION("""COMPUTED_VALUE"""),"13302-9437802-3")</f>
        <v>13302-9437802-3</v>
      </c>
      <c r="R436" s="228" t="str">
        <f>IFERROR(__xludf.DUMMYFUNCTION("""COMPUTED_VALUE"""),"Male")</f>
        <v>Male</v>
      </c>
      <c r="S436" s="228" t="str">
        <f>IFERROR(__xludf.DUMMYFUNCTION("""COMPUTED_VALUE"""),"Allied Bank")</f>
        <v>Allied Bank</v>
      </c>
      <c r="T436" s="228" t="str">
        <f>IFERROR(__xludf.DUMMYFUNCTION("""COMPUTED_VALUE"""),"Allied Easy Current Account")</f>
        <v>Allied Easy Current Account</v>
      </c>
      <c r="U436" s="228" t="str">
        <f>IFERROR(__xludf.DUMMYFUNCTION("""COMPUTED_VALUE"""),"PK66ABPA0010072521990026")</f>
        <v>PK66ABPA0010072521990026</v>
      </c>
      <c r="V436" s="228" t="str">
        <f>IFERROR(__xludf.DUMMYFUNCTION("""COMPUTED_VALUE"""),"NA")</f>
        <v>NA</v>
      </c>
      <c r="W436" s="228"/>
      <c r="X436" s="228"/>
      <c r="Y436" s="730">
        <f>IFERROR(__xludf.DUMMYFUNCTION("""COMPUTED_VALUE"""),35207.0)</f>
        <v>35207</v>
      </c>
      <c r="Z436" s="228" t="str">
        <f>IFERROR(__xludf.DUMMYFUNCTION("""COMPUTED_VALUE"""),"29 Years")</f>
        <v>29 Years</v>
      </c>
      <c r="AA436" s="228" t="str">
        <f>IFERROR(__xludf.DUMMYFUNCTION("""COMPUTED_VALUE"""),"Street 11, Babu Mohallah near Makki Masjid Haripur")</f>
        <v>Street 11, Babu Mohallah near Makki Masjid Haripur</v>
      </c>
      <c r="AB436" s="228" t="str">
        <f>IFERROR(__xludf.DUMMYFUNCTION("""COMPUTED_VALUE"""),"Pakistani")</f>
        <v>Pakistani</v>
      </c>
      <c r="AC436" s="228" t="str">
        <f>IFERROR(__xludf.DUMMYFUNCTION("""COMPUTED_VALUE"""),"Single")</f>
        <v>Single</v>
      </c>
      <c r="AD436" s="228"/>
      <c r="AE436" s="228"/>
      <c r="AF436" s="228"/>
      <c r="AG436" s="228" t="str">
        <f>IFERROR(__xludf.DUMMYFUNCTION("""COMPUTED_VALUE"""),"Muhammad Mukhseneen")</f>
        <v>Muhammad Mukhseneen</v>
      </c>
      <c r="AH436" s="228" t="str">
        <f>IFERROR(__xludf.DUMMYFUNCTION("""COMPUTED_VALUE"""),"Father")</f>
        <v>Father</v>
      </c>
      <c r="AI436" s="228" t="str">
        <f>IFERROR(__xludf.DUMMYFUNCTION("""COMPUTED_VALUE"""),"3348387340")</f>
        <v>3348387340</v>
      </c>
      <c r="AJ436" s="228" t="str">
        <f>IFERROR(__xludf.DUMMYFUNCTION("""COMPUTED_VALUE"""),"A+")</f>
        <v>A+</v>
      </c>
      <c r="AK436" s="731" t="str">
        <f>IFERROR(__xludf.DUMMYFUNCTION("""COMPUTED_VALUE"""),"https://www.linkedin.com/in/muhammadaqibawan/")</f>
        <v>https://www.linkedin.com/in/muhammadaqibawan/</v>
      </c>
      <c r="AL436" s="228" t="str">
        <f>IFERROR(__xludf.DUMMYFUNCTION("""COMPUTED_VALUE"""),"Annum Termizi")</f>
        <v>Annum Termizi</v>
      </c>
      <c r="AM436" s="730">
        <f>IFERROR(__xludf.DUMMYFUNCTION("""COMPUTED_VALUE"""),45868.0)</f>
        <v>45868</v>
      </c>
      <c r="AN436" s="228"/>
      <c r="AO436" s="228"/>
      <c r="AP436" s="228" t="str">
        <f>IFERROR(__xludf.DUMMYFUNCTION("""COMPUTED_VALUE"""),"NO")</f>
        <v>NO</v>
      </c>
      <c r="AQ436" s="228" t="str">
        <f>IFERROR(__xludf.DUMMYFUNCTION("""COMPUTED_VALUE"""),"Resigned/Terminated")</f>
        <v>Resigned/Terminated</v>
      </c>
    </row>
    <row r="437">
      <c r="A437" s="228">
        <f>IFERROR(__xludf.DUMMYFUNCTION("""COMPUTED_VALUE"""),5424.0)</f>
        <v>5424</v>
      </c>
      <c r="B437" s="228" t="str">
        <f>IFERROR(__xludf.DUMMYFUNCTION("""COMPUTED_VALUE"""),"Igor Krasovskiy PR Subotica")</f>
        <v>Igor Krasovskiy PR Subotica</v>
      </c>
      <c r="C437" s="228" t="str">
        <f>IFERROR(__xludf.DUMMYFUNCTION("""COMPUTED_VALUE"""),"igork.works@gmail.com")</f>
        <v>igork.works@gmail.com</v>
      </c>
      <c r="D437" s="228" t="str">
        <f>IFERROR(__xludf.DUMMYFUNCTION("""COMPUTED_VALUE"""),"igor.krasovskiy@vyro.ai")</f>
        <v>igor.krasovskiy@vyro.ai</v>
      </c>
      <c r="E437" s="730">
        <f>IFERROR(__xludf.DUMMYFUNCTION("""COMPUTED_VALUE"""),45810.0)</f>
        <v>45810</v>
      </c>
      <c r="F437" s="228" t="str">
        <f>IFERROR(__xludf.DUMMYFUNCTION("""COMPUTED_VALUE"""),"Product")</f>
        <v>Product</v>
      </c>
      <c r="G437" s="228" t="str">
        <f>IFERROR(__xludf.DUMMYFUNCTION("""COMPUTED_VALUE"""),"Product")</f>
        <v>Product</v>
      </c>
      <c r="H437" s="228" t="str">
        <f>IFERROR(__xludf.DUMMYFUNCTION("""COMPUTED_VALUE"""),"Muhammad Abdullah Rafique")</f>
        <v>Muhammad Abdullah Rafique</v>
      </c>
      <c r="I437" s="228" t="str">
        <f>IFERROR(__xludf.DUMMYFUNCTION("""COMPUTED_VALUE"""),"Remote")</f>
        <v>Remote</v>
      </c>
      <c r="J437" s="228" t="str">
        <f>IFERROR(__xludf.DUMMYFUNCTION("""COMPUTED_VALUE"""),"Active")</f>
        <v>Active</v>
      </c>
      <c r="K437" s="228"/>
      <c r="L437" s="732">
        <f>IFERROR(__xludf.DUMMYFUNCTION("""COMPUTED_VALUE"""),45902.0)</f>
        <v>45902</v>
      </c>
      <c r="M437" s="228"/>
      <c r="N437" s="228"/>
      <c r="O437" s="228"/>
      <c r="P437" s="228" t="str">
        <f>IFERROR(__xludf.DUMMYFUNCTION("""COMPUTED_VALUE"""),"3000000000")</f>
        <v>3000000000</v>
      </c>
      <c r="Q437" s="228" t="str">
        <f>IFERROR(__xludf.DUMMYFUNCTION("""COMPUTED_VALUE"""),"00000-0000000-0")</f>
        <v>00000-0000000-0</v>
      </c>
      <c r="R437" s="228" t="str">
        <f>IFERROR(__xludf.DUMMYFUNCTION("""COMPUTED_VALUE"""),"Male")</f>
        <v>Male</v>
      </c>
      <c r="S437" s="228" t="str">
        <f>IFERROR(__xludf.DUMMYFUNCTION("""COMPUTED_VALUE"""),"ALTA BANKA AD BEOGRAD")</f>
        <v>ALTA BANKA AD BEOGRAD</v>
      </c>
      <c r="T437" s="228" t="str">
        <f>IFERROR(__xludf.DUMMYFUNCTION("""COMPUTED_VALUE"""),"Alta Banka Business SWIFT")</f>
        <v>Alta Banka Business SWIFT</v>
      </c>
      <c r="U437" s="228" t="str">
        <f>IFERROR(__xludf.DUMMYFUNCTION("""COMPUTED_VALUE"""),"RS35190007100003802905")</f>
        <v>RS35190007100003802905</v>
      </c>
      <c r="V437" s="228" t="str">
        <f>IFERROR(__xludf.DUMMYFUNCTION("""COMPUTED_VALUE"""),"JMBNRSBG")</f>
        <v>JMBNRSBG</v>
      </c>
      <c r="W437" s="228"/>
      <c r="X437" s="228"/>
      <c r="Y437" s="730">
        <f>IFERROR(__xludf.DUMMYFUNCTION("""COMPUTED_VALUE"""),31978.0)</f>
        <v>31978</v>
      </c>
      <c r="Z437" s="228" t="str">
        <f>IFERROR(__xludf.DUMMYFUNCTION("""COMPUTED_VALUE"""),"37 Years")</f>
        <v>37 Years</v>
      </c>
      <c r="AA437" s="228" t="str">
        <f>IFERROR(__xludf.DUMMYFUNCTION("""COMPUTED_VALUE"""),"Vladimira Nazora 7, Subotica, Serbia, 24000")</f>
        <v>Vladimira Nazora 7, Subotica, Serbia, 24000</v>
      </c>
      <c r="AB437" s="228" t="str">
        <f>IFERROR(__xludf.DUMMYFUNCTION("""COMPUTED_VALUE"""),"Russian")</f>
        <v>Russian</v>
      </c>
      <c r="AC437" s="228" t="str">
        <f>IFERROR(__xludf.DUMMYFUNCTION("""COMPUTED_VALUE"""),"Married")</f>
        <v>Married</v>
      </c>
      <c r="AD437" s="228"/>
      <c r="AE437" s="228"/>
      <c r="AF437" s="228"/>
      <c r="AG437" s="228" t="str">
        <f>IFERROR(__xludf.DUMMYFUNCTION("""COMPUTED_VALUE"""),"Anastasiia Krasovskaia")</f>
        <v>Anastasiia Krasovskaia</v>
      </c>
      <c r="AH437" s="228" t="str">
        <f>IFERROR(__xludf.DUMMYFUNCTION("""COMPUTED_VALUE"""),"Wife")</f>
        <v>Wife</v>
      </c>
      <c r="AI437" s="228" t="str">
        <f>IFERROR(__xludf.DUMMYFUNCTION("""COMPUTED_VALUE"""),"3000000000")</f>
        <v>3000000000</v>
      </c>
      <c r="AJ437" s="228" t="str">
        <f>IFERROR(__xludf.DUMMYFUNCTION("""COMPUTED_VALUE"""),"AB+")</f>
        <v>AB+</v>
      </c>
      <c r="AK437" s="731" t="str">
        <f>IFERROR(__xludf.DUMMYFUNCTION("""COMPUTED_VALUE"""),"https://www.linkedin.com/in/ikraso/")</f>
        <v>https://www.linkedin.com/in/ikraso/</v>
      </c>
      <c r="AL437" s="228" t="str">
        <f>IFERROR(__xludf.DUMMYFUNCTION("""COMPUTED_VALUE"""),"Annum Tirmizi")</f>
        <v>Annum Tirmizi</v>
      </c>
      <c r="AM437" s="730">
        <f>IFERROR(__xludf.DUMMYFUNCTION("""COMPUTED_VALUE"""),45869.0)</f>
        <v>45869</v>
      </c>
      <c r="AN437" s="228"/>
      <c r="AO437" s="228"/>
      <c r="AP437" s="228" t="str">
        <f>IFERROR(__xludf.DUMMYFUNCTION("""COMPUTED_VALUE"""),"NO")</f>
        <v>NO</v>
      </c>
      <c r="AQ437" s="228" t="str">
        <f>IFERROR(__xludf.DUMMYFUNCTION("""COMPUTED_VALUE"""),"Resigned/Terminated")</f>
        <v>Resigned/Terminated</v>
      </c>
    </row>
    <row r="438">
      <c r="A438" s="228">
        <f>IFERROR(__xludf.DUMMYFUNCTION("""COMPUTED_VALUE"""),5394.0)</f>
        <v>5394</v>
      </c>
      <c r="B438" s="228" t="str">
        <f>IFERROR(__xludf.DUMMYFUNCTION("""COMPUTED_VALUE"""),"Umaira Jabeen")</f>
        <v>Umaira Jabeen</v>
      </c>
      <c r="C438" s="228" t="str">
        <f>IFERROR(__xludf.DUMMYFUNCTION("""COMPUTED_VALUE"""),"umairajabeen149@gmail.com")</f>
        <v>umairajabeen149@gmail.com</v>
      </c>
      <c r="D438" s="228" t="str">
        <f>IFERROR(__xludf.DUMMYFUNCTION("""COMPUTED_VALUE"""),"umaira.jabeen@vyro.ai")</f>
        <v>umaira.jabeen@vyro.ai</v>
      </c>
      <c r="E438" s="730">
        <f>IFERROR(__xludf.DUMMYFUNCTION("""COMPUTED_VALUE"""),45776.0)</f>
        <v>45776</v>
      </c>
      <c r="F438" s="228" t="str">
        <f>IFERROR(__xludf.DUMMYFUNCTION("""COMPUTED_VALUE"""),"Product Manager")</f>
        <v>Product Manager</v>
      </c>
      <c r="G438" s="228" t="str">
        <f>IFERROR(__xludf.DUMMYFUNCTION("""COMPUTED_VALUE"""),"Product")</f>
        <v>Product</v>
      </c>
      <c r="H438" s="228" t="str">
        <f>IFERROR(__xludf.DUMMYFUNCTION("""COMPUTED_VALUE"""),"Abdullah Rafique")</f>
        <v>Abdullah Rafique</v>
      </c>
      <c r="I438" s="228" t="str">
        <f>IFERROR(__xludf.DUMMYFUNCTION("""COMPUTED_VALUE"""),"Onsite")</f>
        <v>Onsite</v>
      </c>
      <c r="J438" s="228" t="str">
        <f>IFERROR(__xludf.DUMMYFUNCTION("""COMPUTED_VALUE"""),"Active")</f>
        <v>Active</v>
      </c>
      <c r="K438" s="228"/>
      <c r="L438" s="732">
        <f>IFERROR(__xludf.DUMMYFUNCTION("""COMPUTED_VALUE"""),45867.0)</f>
        <v>45867</v>
      </c>
      <c r="M438" s="228"/>
      <c r="N438" s="228"/>
      <c r="O438" s="228"/>
      <c r="P438" s="228" t="str">
        <f>IFERROR(__xludf.DUMMYFUNCTION("""COMPUTED_VALUE"""),"03338633742")</f>
        <v>03338633742</v>
      </c>
      <c r="Q438" s="228" t="str">
        <f>IFERROR(__xludf.DUMMYFUNCTION("""COMPUTED_VALUE"""),"37104-5371430-8")</f>
        <v>37104-5371430-8</v>
      </c>
      <c r="R438" s="228" t="str">
        <f>IFERROR(__xludf.DUMMYFUNCTION("""COMPUTED_VALUE"""),"Female")</f>
        <v>Female</v>
      </c>
      <c r="S438" s="228" t="str">
        <f>IFERROR(__xludf.DUMMYFUNCTION("""COMPUTED_VALUE"""),"Askari Bank")</f>
        <v>Askari Bank</v>
      </c>
      <c r="T438" s="228" t="str">
        <f>IFERROR(__xludf.DUMMYFUNCTION("""COMPUTED_VALUE"""),"UMAIRA JABEEN")</f>
        <v>UMAIRA JABEEN</v>
      </c>
      <c r="U438" s="228" t="str">
        <f>IFERROR(__xludf.DUMMYFUNCTION("""COMPUTED_VALUE"""),"PK67ASCM0007540200016644")</f>
        <v>PK67ASCM0007540200016644</v>
      </c>
      <c r="V438" s="228" t="str">
        <f>IFERROR(__xludf.DUMMYFUNCTION("""COMPUTED_VALUE"""),"ASCMPKKA")</f>
        <v>ASCMPKKA</v>
      </c>
      <c r="W438" s="228"/>
      <c r="X438" s="228" t="str">
        <f>IFERROR(__xludf.DUMMYFUNCTION("""COMPUTED_VALUE"""),"Islamabad")</f>
        <v>Islamabad</v>
      </c>
      <c r="Y438" s="730">
        <f>IFERROR(__xludf.DUMMYFUNCTION("""COMPUTED_VALUE"""),33769.0)</f>
        <v>33769</v>
      </c>
      <c r="Z438" s="228" t="str">
        <f>IFERROR(__xludf.DUMMYFUNCTION("""COMPUTED_VALUE"""),"33 Years")</f>
        <v>33 Years</v>
      </c>
      <c r="AA438" s="228" t="str">
        <f>IFERROR(__xludf.DUMMYFUNCTION("""COMPUTED_VALUE"""),"House 465, St: 48, G10/4, Islamabad")</f>
        <v>House 465, St: 48, G10/4, Islamabad</v>
      </c>
      <c r="AB438" s="228" t="str">
        <f>IFERROR(__xludf.DUMMYFUNCTION("""COMPUTED_VALUE"""),"Pakistani")</f>
        <v>Pakistani</v>
      </c>
      <c r="AC438" s="228" t="str">
        <f>IFERROR(__xludf.DUMMYFUNCTION("""COMPUTED_VALUE"""),"Married")</f>
        <v>Married</v>
      </c>
      <c r="AD438" s="228"/>
      <c r="AE438" s="228"/>
      <c r="AF438" s="228"/>
      <c r="AG438" s="228" t="str">
        <f>IFERROR(__xludf.DUMMYFUNCTION("""COMPUTED_VALUE"""),"Umar Ishaq")</f>
        <v>Umar Ishaq</v>
      </c>
      <c r="AH438" s="228" t="str">
        <f>IFERROR(__xludf.DUMMYFUNCTION("""COMPUTED_VALUE"""),"Husband")</f>
        <v>Husband</v>
      </c>
      <c r="AI438" s="228" t="str">
        <f>IFERROR(__xludf.DUMMYFUNCTION("""COMPUTED_VALUE"""),"03342223321")</f>
        <v>03342223321</v>
      </c>
      <c r="AJ438" s="228" t="str">
        <f>IFERROR(__xludf.DUMMYFUNCTION("""COMPUTED_VALUE"""),"A-")</f>
        <v>A-</v>
      </c>
      <c r="AK438" s="731" t="str">
        <f>IFERROR(__xludf.DUMMYFUNCTION("""COMPUTED_VALUE"""),"https://www.linkedin.com/in/umaira-jabeen-0a2337aa/")</f>
        <v>https://www.linkedin.com/in/umaira-jabeen-0a2337aa/</v>
      </c>
      <c r="AL438" s="228" t="str">
        <f>IFERROR(__xludf.DUMMYFUNCTION("""COMPUTED_VALUE"""),"Annum")</f>
        <v>Annum</v>
      </c>
      <c r="AM438" s="730">
        <f>IFERROR(__xludf.DUMMYFUNCTION("""COMPUTED_VALUE"""),45869.0)</f>
        <v>45869</v>
      </c>
      <c r="AN438" s="228"/>
      <c r="AO438" s="228"/>
      <c r="AP438" s="228" t="str">
        <f>IFERROR(__xludf.DUMMYFUNCTION("""COMPUTED_VALUE"""),"YES")</f>
        <v>YES</v>
      </c>
      <c r="AQ438" s="228" t="str">
        <f>IFERROR(__xludf.DUMMYFUNCTION("""COMPUTED_VALUE"""),"Resigned/Terminated")</f>
        <v>Resigned/Terminated</v>
      </c>
    </row>
    <row r="439">
      <c r="A439" s="228">
        <f>IFERROR(__xludf.DUMMYFUNCTION("""COMPUTED_VALUE"""),5411.0)</f>
        <v>5411</v>
      </c>
      <c r="B439" s="228" t="str">
        <f>IFERROR(__xludf.DUMMYFUNCTION("""COMPUTED_VALUE"""),"Muneeb Ur Rehman")</f>
        <v>Muneeb Ur Rehman</v>
      </c>
      <c r="C439" s="228" t="str">
        <f>IFERROR(__xludf.DUMMYFUNCTION("""COMPUTED_VALUE"""),"muneebsurrehman@gmail.com")</f>
        <v>muneebsurrehman@gmail.com</v>
      </c>
      <c r="D439" s="228" t="str">
        <f>IFERROR(__xludf.DUMMYFUNCTION("""COMPUTED_VALUE"""),"muneeb.rehman@vyro.ai")</f>
        <v>muneeb.rehman@vyro.ai</v>
      </c>
      <c r="E439" s="730">
        <f>IFERROR(__xludf.DUMMYFUNCTION("""COMPUTED_VALUE"""),45796.0)</f>
        <v>45796</v>
      </c>
      <c r="F439" s="228" t="str">
        <f>IFERROR(__xludf.DUMMYFUNCTION("""COMPUTED_VALUE"""),"Associate frontend engineer")</f>
        <v>Associate frontend engineer</v>
      </c>
      <c r="G439" s="228" t="str">
        <f>IFERROR(__xludf.DUMMYFUNCTION("""COMPUTED_VALUE"""),"Frontend")</f>
        <v>Frontend</v>
      </c>
      <c r="H439" s="228" t="str">
        <f>IFERROR(__xludf.DUMMYFUNCTION("""COMPUTED_VALUE"""),"Hammad Maqsood")</f>
        <v>Hammad Maqsood</v>
      </c>
      <c r="I439" s="228" t="str">
        <f>IFERROR(__xludf.DUMMYFUNCTION("""COMPUTED_VALUE"""),"Onsite")</f>
        <v>Onsite</v>
      </c>
      <c r="J439" s="228" t="str">
        <f>IFERROR(__xludf.DUMMYFUNCTION("""COMPUTED_VALUE"""),"Active")</f>
        <v>Active</v>
      </c>
      <c r="K439" s="228"/>
      <c r="L439" s="732">
        <f>IFERROR(__xludf.DUMMYFUNCTION("""COMPUTED_VALUE"""),45888.0)</f>
        <v>45888</v>
      </c>
      <c r="M439" s="228"/>
      <c r="N439" s="228"/>
      <c r="O439" s="228"/>
      <c r="P439" s="228" t="str">
        <f>IFERROR(__xludf.DUMMYFUNCTION("""COMPUTED_VALUE"""),"03446444750")</f>
        <v>03446444750</v>
      </c>
      <c r="Q439" s="228" t="str">
        <f>IFERROR(__xludf.DUMMYFUNCTION("""COMPUTED_VALUE"""),"31304-1678519-9")</f>
        <v>31304-1678519-9</v>
      </c>
      <c r="R439" s="228" t="str">
        <f>IFERROR(__xludf.DUMMYFUNCTION("""COMPUTED_VALUE"""),"Male")</f>
        <v>Male</v>
      </c>
      <c r="S439" s="228" t="str">
        <f>IFERROR(__xludf.DUMMYFUNCTION("""COMPUTED_VALUE"""),"United Bank Limited")</f>
        <v>United Bank Limited</v>
      </c>
      <c r="T439" s="228" t="str">
        <f>IFERROR(__xludf.DUMMYFUNCTION("""COMPUTED_VALUE"""),"Muneeb Ur Rehman")</f>
        <v>Muneeb Ur Rehman</v>
      </c>
      <c r="U439" s="228" t="str">
        <f>IFERROR(__xludf.DUMMYFUNCTION("""COMPUTED_VALUE"""),"PK35UNIL0109000298003462")</f>
        <v>PK35UNIL0109000298003462</v>
      </c>
      <c r="V439" s="228" t="str">
        <f>IFERROR(__xludf.DUMMYFUNCTION("""COMPUTED_VALUE"""),"UNILPKKA028")</f>
        <v>UNILPKKA028</v>
      </c>
      <c r="W439" s="228"/>
      <c r="X439" s="228" t="str">
        <f>IFERROR(__xludf.DUMMYFUNCTION("""COMPUTED_VALUE"""),"Islamabad")</f>
        <v>Islamabad</v>
      </c>
      <c r="Y439" s="730">
        <f>IFERROR(__xludf.DUMMYFUNCTION("""COMPUTED_VALUE"""),37817.0)</f>
        <v>37817</v>
      </c>
      <c r="Z439" s="228" t="str">
        <f>IFERROR(__xludf.DUMMYFUNCTION("""COMPUTED_VALUE"""),"21 Years")</f>
        <v>21 Years</v>
      </c>
      <c r="AA439" s="228" t="str">
        <f>IFERROR(__xludf.DUMMYFUNCTION("""COMPUTED_VALUE"""),"House no 241b street no 3 block Z model town, sadiqabad")</f>
        <v>House no 241b street no 3 block Z model town, sadiqabad</v>
      </c>
      <c r="AB439" s="228" t="str">
        <f>IFERROR(__xludf.DUMMYFUNCTION("""COMPUTED_VALUE"""),"Pakistan")</f>
        <v>Pakistan</v>
      </c>
      <c r="AC439" s="228" t="str">
        <f>IFERROR(__xludf.DUMMYFUNCTION("""COMPUTED_VALUE"""),"Single")</f>
        <v>Single</v>
      </c>
      <c r="AD439" s="228"/>
      <c r="AE439" s="228"/>
      <c r="AF439" s="228"/>
      <c r="AG439" s="228" t="str">
        <f>IFERROR(__xludf.DUMMYFUNCTION("""COMPUTED_VALUE"""),"Habib Ur Rehman")</f>
        <v>Habib Ur Rehman</v>
      </c>
      <c r="AH439" s="228" t="str">
        <f>IFERROR(__xludf.DUMMYFUNCTION("""COMPUTED_VALUE"""),"Father")</f>
        <v>Father</v>
      </c>
      <c r="AI439" s="228" t="str">
        <f>IFERROR(__xludf.DUMMYFUNCTION("""COMPUTED_VALUE"""),"03007824182")</f>
        <v>03007824182</v>
      </c>
      <c r="AJ439" s="228" t="str">
        <f>IFERROR(__xludf.DUMMYFUNCTION("""COMPUTED_VALUE"""),"AB+")</f>
        <v>AB+</v>
      </c>
      <c r="AK439" s="731" t="str">
        <f>IFERROR(__xludf.DUMMYFUNCTION("""COMPUTED_VALUE"""),"https://www.linkedin.com/in/muneeb-ur-rehman-bbab45242?utm_source=share&amp;utm_campaign=share_via&amp;utm_content=profile&amp;utm_medium=android_app")</f>
        <v>https://www.linkedin.com/in/muneeb-ur-rehman-bbab45242?utm_source=share&amp;utm_campaign=share_via&amp;utm_content=profile&amp;utm_medium=android_app</v>
      </c>
      <c r="AL439" s="228" t="str">
        <f>IFERROR(__xludf.DUMMYFUNCTION("""COMPUTED_VALUE"""),"Annum Tirmizi")</f>
        <v>Annum Tirmizi</v>
      </c>
      <c r="AM439" s="730">
        <f>IFERROR(__xludf.DUMMYFUNCTION("""COMPUTED_VALUE"""),45866.0)</f>
        <v>45866</v>
      </c>
      <c r="AN439" s="228"/>
      <c r="AO439" s="228"/>
      <c r="AP439" s="228" t="str">
        <f>IFERROR(__xludf.DUMMYFUNCTION("""COMPUTED_VALUE"""),"NO")</f>
        <v>NO</v>
      </c>
      <c r="AQ439" s="228" t="str">
        <f>IFERROR(__xludf.DUMMYFUNCTION("""COMPUTED_VALUE"""),"Resigned/Terminated")</f>
        <v>Resigned/Terminated</v>
      </c>
    </row>
    <row r="440">
      <c r="A440" s="228">
        <f>IFERROR(__xludf.DUMMYFUNCTION("""COMPUTED_VALUE"""),5209.0)</f>
        <v>5209</v>
      </c>
      <c r="B440" s="228" t="str">
        <f>IFERROR(__xludf.DUMMYFUNCTION("""COMPUTED_VALUE"""),"Ayesha Tahir")</f>
        <v>Ayesha Tahir</v>
      </c>
      <c r="C440" s="228" t="str">
        <f>IFERROR(__xludf.DUMMYFUNCTION("""COMPUTED_VALUE"""),"ayesha.tahirxd@gmail.com")</f>
        <v>ayesha.tahirxd@gmail.com</v>
      </c>
      <c r="D440" s="228" t="str">
        <f>IFERROR(__xludf.DUMMYFUNCTION("""COMPUTED_VALUE"""),"ayesha.tahir@vyro.ai")</f>
        <v>ayesha.tahir@vyro.ai</v>
      </c>
      <c r="E440" s="730">
        <f>IFERROR(__xludf.DUMMYFUNCTION("""COMPUTED_VALUE"""),45257.0)</f>
        <v>45257</v>
      </c>
      <c r="F440" s="228" t="str">
        <f>IFERROR(__xludf.DUMMYFUNCTION("""COMPUTED_VALUE"""),"Product Design Associate")</f>
        <v>Product Design Associate</v>
      </c>
      <c r="G440" s="228" t="str">
        <f>IFERROR(__xludf.DUMMYFUNCTION("""COMPUTED_VALUE"""),"Product Design")</f>
        <v>Product Design</v>
      </c>
      <c r="H440" s="228" t="str">
        <f>IFERROR(__xludf.DUMMYFUNCTION("""COMPUTED_VALUE"""),"Awais Chaudhary")</f>
        <v>Awais Chaudhary</v>
      </c>
      <c r="I440" s="228" t="str">
        <f>IFERROR(__xludf.DUMMYFUNCTION("""COMPUTED_VALUE"""),"Permanent")</f>
        <v>Permanent</v>
      </c>
      <c r="J440" s="228" t="str">
        <f>IFERROR(__xludf.DUMMYFUNCTION("""COMPUTED_VALUE"""),"Active")</f>
        <v>Active</v>
      </c>
      <c r="K440" s="228" t="str">
        <f>IFERROR(__xludf.DUMMYFUNCTION("""COMPUTED_VALUE"""),"3M")</f>
        <v>3M</v>
      </c>
      <c r="L440" s="732">
        <f>IFERROR(__xludf.DUMMYFUNCTION("""COMPUTED_VALUE"""),45351.0)</f>
        <v>45351</v>
      </c>
      <c r="M440" s="228"/>
      <c r="N440" s="228"/>
      <c r="O440" s="228"/>
      <c r="P440" s="228" t="str">
        <f>IFERROR(__xludf.DUMMYFUNCTION("""COMPUTED_VALUE"""),"03099201579")</f>
        <v>03099201579</v>
      </c>
      <c r="Q440" s="228" t="str">
        <f>IFERROR(__xludf.DUMMYFUNCTION("""COMPUTED_VALUE"""),"13101-5843018-0")</f>
        <v>13101-5843018-0</v>
      </c>
      <c r="R440" s="228" t="str">
        <f>IFERROR(__xludf.DUMMYFUNCTION("""COMPUTED_VALUE"""),"Female")</f>
        <v>Female</v>
      </c>
      <c r="S440" s="228" t="str">
        <f>IFERROR(__xludf.DUMMYFUNCTION("""COMPUTED_VALUE"""),"Askari Bank Limited Pakistan")</f>
        <v>Askari Bank Limited Pakistan</v>
      </c>
      <c r="T440" s="228" t="str">
        <f>IFERROR(__xludf.DUMMYFUNCTION("""COMPUTED_VALUE"""),"Ayesha Tahir")</f>
        <v>Ayesha Tahir</v>
      </c>
      <c r="U440" s="228" t="str">
        <f>IFERROR(__xludf.DUMMYFUNCTION("""COMPUTED_VALUE"""),"PK67ASCM0000240350013444")</f>
        <v>PK67ASCM0000240350013444</v>
      </c>
      <c r="V440" s="228"/>
      <c r="W440" s="228"/>
      <c r="X440" s="228" t="str">
        <f>IFERROR(__xludf.DUMMYFUNCTION("""COMPUTED_VALUE"""),"Islamabad")</f>
        <v>Islamabad</v>
      </c>
      <c r="Y440" s="730">
        <f>IFERROR(__xludf.DUMMYFUNCTION("""COMPUTED_VALUE"""),37047.0)</f>
        <v>37047</v>
      </c>
      <c r="Z440" s="228" t="str">
        <f>IFERROR(__xludf.DUMMYFUNCTION("""COMPUTED_VALUE"""),"23 Years")</f>
        <v>23 Years</v>
      </c>
      <c r="AA440" s="228" t="str">
        <f>IFERROR(__xludf.DUMMYFUNCTION("""COMPUTED_VALUE"""),"House No. CB 14/5, Masjid Ayesha Road, Narrian Cantt, Abbottabad")</f>
        <v>House No. CB 14/5, Masjid Ayesha Road, Narrian Cantt, Abbottabad</v>
      </c>
      <c r="AB440" s="228" t="str">
        <f>IFERROR(__xludf.DUMMYFUNCTION("""COMPUTED_VALUE"""),"Pakistani")</f>
        <v>Pakistani</v>
      </c>
      <c r="AC440" s="228" t="str">
        <f>IFERROR(__xludf.DUMMYFUNCTION("""COMPUTED_VALUE"""),"Single")</f>
        <v>Single</v>
      </c>
      <c r="AD440" s="228"/>
      <c r="AE440" s="228"/>
      <c r="AF440" s="228"/>
      <c r="AG440" s="228" t="str">
        <f>IFERROR(__xludf.DUMMYFUNCTION("""COMPUTED_VALUE"""),"Muhammad Tahir")</f>
        <v>Muhammad Tahir</v>
      </c>
      <c r="AH440" s="228" t="str">
        <f>IFERROR(__xludf.DUMMYFUNCTION("""COMPUTED_VALUE"""),"Mother")</f>
        <v>Mother</v>
      </c>
      <c r="AI440" s="228" t="str">
        <f>IFERROR(__xludf.DUMMYFUNCTION("""COMPUTED_VALUE"""),"03239848745")</f>
        <v>03239848745</v>
      </c>
      <c r="AJ440" s="228" t="str">
        <f>IFERROR(__xludf.DUMMYFUNCTION("""COMPUTED_VALUE"""),"A+")</f>
        <v>A+</v>
      </c>
      <c r="AK440" s="731" t="str">
        <f>IFERROR(__xludf.DUMMYFUNCTION("""COMPUTED_VALUE"""),"https://www.linkedin.com/in/ayeshatahirxd/")</f>
        <v>https://www.linkedin.com/in/ayeshatahirxd/</v>
      </c>
      <c r="AL440" s="228"/>
      <c r="AM440" s="228"/>
      <c r="AN440" s="228" t="str">
        <f>IFERROR(__xludf.DUMMYFUNCTION("""COMPUTED_VALUE"""),"NOT FOUND")</f>
        <v>NOT FOUND</v>
      </c>
      <c r="AO440" s="228" t="str">
        <f>IFERROR(__xludf.DUMMYFUNCTION("""COMPUTED_VALUE"""),"NO")</f>
        <v>NO</v>
      </c>
      <c r="AP440" s="228"/>
      <c r="AQ440" s="228" t="str">
        <f>IFERROR(__xludf.DUMMYFUNCTION("""COMPUTED_VALUE"""),"Resigned/Terminated")</f>
        <v>Resigned/Terminated</v>
      </c>
    </row>
    <row r="441">
      <c r="A441" s="228">
        <f>IFERROR(__xludf.DUMMYFUNCTION("""COMPUTED_VALUE"""),5409.0)</f>
        <v>5409</v>
      </c>
      <c r="B441" s="228" t="str">
        <f>IFERROR(__xludf.DUMMYFUNCTION("""COMPUTED_VALUE"""),"Muhammad Obaid Ullah")</f>
        <v>Muhammad Obaid Ullah</v>
      </c>
      <c r="C441" s="228" t="str">
        <f>IFERROR(__xludf.DUMMYFUNCTION("""COMPUTED_VALUE"""),"muhammadobaid38@gmail.com")</f>
        <v>muhammadobaid38@gmail.com</v>
      </c>
      <c r="D441" s="228" t="str">
        <f>IFERROR(__xludf.DUMMYFUNCTION("""COMPUTED_VALUE"""),"muhammad.obaid@vyro.ai")</f>
        <v>muhammad.obaid@vyro.ai</v>
      </c>
      <c r="E441" s="730">
        <f>IFERROR(__xludf.DUMMYFUNCTION("""COMPUTED_VALUE"""),45789.0)</f>
        <v>45789</v>
      </c>
      <c r="F441" s="228" t="str">
        <f>IFERROR(__xludf.DUMMYFUNCTION("""COMPUTED_VALUE"""),"Product Cosultant")</f>
        <v>Product Cosultant</v>
      </c>
      <c r="G441" s="228" t="str">
        <f>IFERROR(__xludf.DUMMYFUNCTION("""COMPUTED_VALUE"""),"Product")</f>
        <v>Product</v>
      </c>
      <c r="H441" s="228" t="str">
        <f>IFERROR(__xludf.DUMMYFUNCTION("""COMPUTED_VALUE"""),"Muhammad Abdullah Rafique")</f>
        <v>Muhammad Abdullah Rafique</v>
      </c>
      <c r="I441" s="228" t="str">
        <f>IFERROR(__xludf.DUMMYFUNCTION("""COMPUTED_VALUE"""),"Hybrid")</f>
        <v>Hybrid</v>
      </c>
      <c r="J441" s="228" t="str">
        <f>IFERROR(__xludf.DUMMYFUNCTION("""COMPUTED_VALUE"""),"Active")</f>
        <v>Active</v>
      </c>
      <c r="K441" s="228"/>
      <c r="L441" s="732">
        <f>IFERROR(__xludf.DUMMYFUNCTION("""COMPUTED_VALUE"""),45881.0)</f>
        <v>45881</v>
      </c>
      <c r="M441" s="228"/>
      <c r="N441" s="228"/>
      <c r="O441" s="228"/>
      <c r="P441" s="228" t="str">
        <f>IFERROR(__xludf.DUMMYFUNCTION("""COMPUTED_VALUE"""),"3405177650")</f>
        <v>3405177650</v>
      </c>
      <c r="Q441" s="228" t="str">
        <f>IFERROR(__xludf.DUMMYFUNCTION("""COMPUTED_VALUE"""),"33103-0142346-7")</f>
        <v>33103-0142346-7</v>
      </c>
      <c r="R441" s="228" t="str">
        <f>IFERROR(__xludf.DUMMYFUNCTION("""COMPUTED_VALUE"""),"Male")</f>
        <v>Male</v>
      </c>
      <c r="S441" s="228" t="str">
        <f>IFERROR(__xludf.DUMMYFUNCTION("""COMPUTED_VALUE"""),"Meezan Bank- G-10 Markaz Branch Islamabad")</f>
        <v>Meezan Bank- G-10 Markaz Branch Islamabad</v>
      </c>
      <c r="T441" s="228" t="str">
        <f>IFERROR(__xludf.DUMMYFUNCTION("""COMPUTED_VALUE"""),"MUHAMMAD OBAID ULLAH")</f>
        <v>MUHAMMAD OBAID ULLAH</v>
      </c>
      <c r="U441" s="228" t="str">
        <f>IFERROR(__xludf.DUMMYFUNCTION("""COMPUTED_VALUE"""),"PK51MEZN0003270105370870")</f>
        <v>PK51MEZN0003270105370870</v>
      </c>
      <c r="V441" s="228" t="str">
        <f>IFERROR(__xludf.DUMMYFUNCTION("""COMPUTED_VALUE"""),"MEZNPKKA")</f>
        <v>MEZNPKKA</v>
      </c>
      <c r="W441" s="228"/>
      <c r="X441" s="228" t="str">
        <f>IFERROR(__xludf.DUMMYFUNCTION("""COMPUTED_VALUE"""),"Hybrid")</f>
        <v>Hybrid</v>
      </c>
      <c r="Y441" s="730">
        <f>IFERROR(__xludf.DUMMYFUNCTION("""COMPUTED_VALUE"""),36459.0)</f>
        <v>36459</v>
      </c>
      <c r="Z441" s="228" t="str">
        <f>IFERROR(__xludf.DUMMYFUNCTION("""COMPUTED_VALUE"""),"25 Years")</f>
        <v>25 Years</v>
      </c>
      <c r="AA441" s="228" t="str">
        <f>IFERROR(__xludf.DUMMYFUNCTION("""COMPUTED_VALUE"""),"House No 1416, Street 4, Muhammadi Town Jhangi Syedan")</f>
        <v>House No 1416, Street 4, Muhammadi Town Jhangi Syedan</v>
      </c>
      <c r="AB441" s="228" t="str">
        <f>IFERROR(__xludf.DUMMYFUNCTION("""COMPUTED_VALUE"""),"Pakistani")</f>
        <v>Pakistani</v>
      </c>
      <c r="AC441" s="228" t="str">
        <f>IFERROR(__xludf.DUMMYFUNCTION("""COMPUTED_VALUE"""),"Single")</f>
        <v>Single</v>
      </c>
      <c r="AD441" s="228"/>
      <c r="AE441" s="228"/>
      <c r="AF441" s="228"/>
      <c r="AG441" s="228" t="str">
        <f>IFERROR(__xludf.DUMMYFUNCTION("""COMPUTED_VALUE"""),"Muhammad Siraj Ahmad")</f>
        <v>Muhammad Siraj Ahmad</v>
      </c>
      <c r="AH441" s="228" t="str">
        <f>IFERROR(__xludf.DUMMYFUNCTION("""COMPUTED_VALUE"""),"Brother")</f>
        <v>Brother</v>
      </c>
      <c r="AI441" s="228" t="str">
        <f>IFERROR(__xludf.DUMMYFUNCTION("""COMPUTED_VALUE"""),"3495045849")</f>
        <v>3495045849</v>
      </c>
      <c r="AJ441" s="228" t="str">
        <f>IFERROR(__xludf.DUMMYFUNCTION("""COMPUTED_VALUE"""),"B+")</f>
        <v>B+</v>
      </c>
      <c r="AK441" s="731" t="str">
        <f>IFERROR(__xludf.DUMMYFUNCTION("""COMPUTED_VALUE"""),"https://www.linkedin.com/in/muhammadobaidullah38/")</f>
        <v>https://www.linkedin.com/in/muhammadobaidullah38/</v>
      </c>
      <c r="AL441" s="228" t="str">
        <f>IFERROR(__xludf.DUMMYFUNCTION("""COMPUTED_VALUE"""),"Muhammad Abdullah Rafique")</f>
        <v>Muhammad Abdullah Rafique</v>
      </c>
      <c r="AM441" s="730">
        <f>IFERROR(__xludf.DUMMYFUNCTION("""COMPUTED_VALUE"""),45873.0)</f>
        <v>45873</v>
      </c>
      <c r="AN441" s="228"/>
      <c r="AO441" s="228"/>
      <c r="AP441" s="228" t="str">
        <f>IFERROR(__xludf.DUMMYFUNCTION("""COMPUTED_VALUE"""),"NO")</f>
        <v>NO</v>
      </c>
      <c r="AQ441" s="228" t="str">
        <f>IFERROR(__xludf.DUMMYFUNCTION("""COMPUTED_VALUE"""),"Resigned/Terminated")</f>
        <v>Resigned/Terminated</v>
      </c>
    </row>
    <row r="442">
      <c r="A442" s="228">
        <f>IFERROR(__xludf.DUMMYFUNCTION("""COMPUTED_VALUE"""),5351.0)</f>
        <v>5351</v>
      </c>
      <c r="B442" s="228" t="str">
        <f>IFERROR(__xludf.DUMMYFUNCTION("""COMPUTED_VALUE"""),"Muhammad Umer Khan")</f>
        <v>Muhammad Umer Khan</v>
      </c>
      <c r="C442" s="228" t="str">
        <f>IFERROR(__xludf.DUMMYFUNCTION("""COMPUTED_VALUE"""),"umerkk164@gmail.com")</f>
        <v>umerkk164@gmail.com</v>
      </c>
      <c r="D442" s="228" t="str">
        <f>IFERROR(__xludf.DUMMYFUNCTION("""COMPUTED_VALUE"""),"muhammad.umer.khan@vyro.ai")</f>
        <v>muhammad.umer.khan@vyro.ai</v>
      </c>
      <c r="E442" s="730">
        <f>IFERROR(__xludf.DUMMYFUNCTION("""COMPUTED_VALUE"""),45677.0)</f>
        <v>45677</v>
      </c>
      <c r="F442" s="228" t="str">
        <f>IFERROR(__xludf.DUMMYFUNCTION("""COMPUTED_VALUE"""),"Associate Machine Learning Engineer")</f>
        <v>Associate Machine Learning Engineer</v>
      </c>
      <c r="G442" s="228" t="str">
        <f>IFERROR(__xludf.DUMMYFUNCTION("""COMPUTED_VALUE"""),"Machine Learning")</f>
        <v>Machine Learning</v>
      </c>
      <c r="H442" s="228" t="str">
        <f>IFERROR(__xludf.DUMMYFUNCTION("""COMPUTED_VALUE"""),"M. Ahmed")</f>
        <v>M. Ahmed</v>
      </c>
      <c r="I442" s="228" t="str">
        <f>IFERROR(__xludf.DUMMYFUNCTION("""COMPUTED_VALUE"""),"Probation")</f>
        <v>Probation</v>
      </c>
      <c r="J442" s="228" t="str">
        <f>IFERROR(__xludf.DUMMYFUNCTION("""COMPUTED_VALUE"""),"Active")</f>
        <v>Active</v>
      </c>
      <c r="K442" s="228" t="str">
        <f>IFERROR(__xludf.DUMMYFUNCTION("""COMPUTED_VALUE"""),"3M")</f>
        <v>3M</v>
      </c>
      <c r="L442" s="732">
        <f>IFERROR(__xludf.DUMMYFUNCTION("""COMPUTED_VALUE"""),45767.0)</f>
        <v>45767</v>
      </c>
      <c r="M442" s="228"/>
      <c r="N442" s="228"/>
      <c r="O442" s="228"/>
      <c r="P442" s="228" t="str">
        <f>IFERROR(__xludf.DUMMYFUNCTION("""COMPUTED_VALUE"""),"3490127942")</f>
        <v>3490127942</v>
      </c>
      <c r="Q442" s="228" t="str">
        <f>IFERROR(__xludf.DUMMYFUNCTION("""COMPUTED_VALUE"""),"42201-3251173-9")</f>
        <v>42201-3251173-9</v>
      </c>
      <c r="R442" s="228" t="str">
        <f>IFERROR(__xludf.DUMMYFUNCTION("""COMPUTED_VALUE"""),"Male")</f>
        <v>Male</v>
      </c>
      <c r="S442" s="228" t="str">
        <f>IFERROR(__xludf.DUMMYFUNCTION("""COMPUTED_VALUE"""),"United Bank Limited")</f>
        <v>United Bank Limited</v>
      </c>
      <c r="T442" s="228" t="str">
        <f>IFERROR(__xludf.DUMMYFUNCTION("""COMPUTED_VALUE"""),"Muhammad Umer Khan")</f>
        <v>Muhammad Umer Khan</v>
      </c>
      <c r="U442" s="228" t="str">
        <f>IFERROR(__xludf.DUMMYFUNCTION("""COMPUTED_VALUE"""),"PK34UNIL0109000277327154")</f>
        <v>PK34UNIL0109000277327154</v>
      </c>
      <c r="V442" s="228" t="str">
        <f>IFERROR(__xludf.DUMMYFUNCTION("""COMPUTED_VALUE"""),"UNILPKKA")</f>
        <v>UNILPKKA</v>
      </c>
      <c r="W442" s="228"/>
      <c r="X442" s="228" t="str">
        <f>IFERROR(__xludf.DUMMYFUNCTION("""COMPUTED_VALUE"""),"Islamabad")</f>
        <v>Islamabad</v>
      </c>
      <c r="Y442" s="730">
        <f>IFERROR(__xludf.DUMMYFUNCTION("""COMPUTED_VALUE"""),37362.0)</f>
        <v>37362</v>
      </c>
      <c r="Z442" s="228" t="str">
        <f>IFERROR(__xludf.DUMMYFUNCTION("""COMPUTED_VALUE"""),"22 Years")</f>
        <v>22 Years</v>
      </c>
      <c r="AA442" s="228" t="str">
        <f>IFERROR(__xludf.DUMMYFUNCTION("""COMPUTED_VALUE"""),"Hina Apartments, Flat 201, Block 17 Gulshan-e-iqbal Block 17 Karachi")</f>
        <v>Hina Apartments, Flat 201, Block 17 Gulshan-e-iqbal Block 17 Karachi</v>
      </c>
      <c r="AB442" s="228" t="str">
        <f>IFERROR(__xludf.DUMMYFUNCTION("""COMPUTED_VALUE"""),"Pakistani")</f>
        <v>Pakistani</v>
      </c>
      <c r="AC442" s="228" t="str">
        <f>IFERROR(__xludf.DUMMYFUNCTION("""COMPUTED_VALUE"""),"Single")</f>
        <v>Single</v>
      </c>
      <c r="AD442" s="228"/>
      <c r="AE442" s="228"/>
      <c r="AF442" s="228"/>
      <c r="AG442" s="228" t="str">
        <f>IFERROR(__xludf.DUMMYFUNCTION("""COMPUTED_VALUE"""),"Shahid Ali Khan")</f>
        <v>Shahid Ali Khan</v>
      </c>
      <c r="AH442" s="228" t="str">
        <f>IFERROR(__xludf.DUMMYFUNCTION("""COMPUTED_VALUE"""),"Sister Rameen Shahid")</f>
        <v>Sister Rameen Shahid</v>
      </c>
      <c r="AI442" s="228" t="str">
        <f>IFERROR(__xludf.DUMMYFUNCTION("""COMPUTED_VALUE"""),"3472467533")</f>
        <v>3472467533</v>
      </c>
      <c r="AJ442" s="228" t="str">
        <f>IFERROR(__xludf.DUMMYFUNCTION("""COMPUTED_VALUE"""),"O+")</f>
        <v>O+</v>
      </c>
      <c r="AK442" s="731" t="str">
        <f>IFERROR(__xludf.DUMMYFUNCTION("""COMPUTED_VALUE"""),"https://www.linkedin.com/in/umerkay")</f>
        <v>https://www.linkedin.com/in/umerkay</v>
      </c>
      <c r="AL442" s="228"/>
      <c r="AM442" s="730">
        <f>IFERROR(__xludf.DUMMYFUNCTION("""COMPUTED_VALUE"""),45872.0)</f>
        <v>45872</v>
      </c>
      <c r="AN442" s="228"/>
      <c r="AO442" s="228"/>
      <c r="AP442" s="228" t="str">
        <f>IFERROR(__xludf.DUMMYFUNCTION("""COMPUTED_VALUE"""),"NO")</f>
        <v>NO</v>
      </c>
      <c r="AQ442" s="228" t="str">
        <f>IFERROR(__xludf.DUMMYFUNCTION("""COMPUTED_VALUE"""),"Resigned/Terminated")</f>
        <v>Resigned/Terminated</v>
      </c>
    </row>
    <row r="443">
      <c r="A443" s="228">
        <f>IFERROR(__xludf.DUMMYFUNCTION("""COMPUTED_VALUE"""),5407.0)</f>
        <v>5407</v>
      </c>
      <c r="B443" s="228" t="str">
        <f>IFERROR(__xludf.DUMMYFUNCTION("""COMPUTED_VALUE"""),"Syed Anas Kamal")</f>
        <v>Syed Anas Kamal</v>
      </c>
      <c r="C443" s="228" t="str">
        <f>IFERROR(__xludf.DUMMYFUNCTION("""COMPUTED_VALUE"""),"syedanaskamal@gmail.com")</f>
        <v>syedanaskamal@gmail.com</v>
      </c>
      <c r="D443" s="228" t="str">
        <f>IFERROR(__xludf.DUMMYFUNCTION("""COMPUTED_VALUE"""),"syed.anas@vyro.ai")</f>
        <v>syed.anas@vyro.ai</v>
      </c>
      <c r="E443" s="730">
        <f>IFERROR(__xludf.DUMMYFUNCTION("""COMPUTED_VALUE"""),45789.0)</f>
        <v>45789</v>
      </c>
      <c r="F443" s="228" t="str">
        <f>IFERROR(__xludf.DUMMYFUNCTION("""COMPUTED_VALUE"""),"WebGL Engineer")</f>
        <v>WebGL Engineer</v>
      </c>
      <c r="G443" s="228" t="str">
        <f>IFERROR(__xludf.DUMMYFUNCTION("""COMPUTED_VALUE"""),"Web GL")</f>
        <v>Web GL</v>
      </c>
      <c r="H443" s="228" t="str">
        <f>IFERROR(__xludf.DUMMYFUNCTION("""COMPUTED_VALUE"""),"Zeeshan Afzal")</f>
        <v>Zeeshan Afzal</v>
      </c>
      <c r="I443" s="228" t="str">
        <f>IFERROR(__xludf.DUMMYFUNCTION("""COMPUTED_VALUE"""),"Remote")</f>
        <v>Remote</v>
      </c>
      <c r="J443" s="228" t="str">
        <f>IFERROR(__xludf.DUMMYFUNCTION("""COMPUTED_VALUE"""),"Active")</f>
        <v>Active</v>
      </c>
      <c r="K443" s="228"/>
      <c r="L443" s="732">
        <f>IFERROR(__xludf.DUMMYFUNCTION("""COMPUTED_VALUE"""),45881.0)</f>
        <v>45881</v>
      </c>
      <c r="M443" s="228"/>
      <c r="N443" s="228"/>
      <c r="O443" s="228"/>
      <c r="P443" s="228" t="str">
        <f>IFERROR(__xludf.DUMMYFUNCTION("""COMPUTED_VALUE"""),"3332255027")</f>
        <v>3332255027</v>
      </c>
      <c r="Q443" s="228" t="str">
        <f>IFERROR(__xludf.DUMMYFUNCTION("""COMPUTED_VALUE"""),"42201-4590019-5")</f>
        <v>42201-4590019-5</v>
      </c>
      <c r="R443" s="228" t="str">
        <f>IFERROR(__xludf.DUMMYFUNCTION("""COMPUTED_VALUE"""),"Male")</f>
        <v>Male</v>
      </c>
      <c r="S443" s="228" t="str">
        <f>IFERROR(__xludf.DUMMYFUNCTION("""COMPUTED_VALUE"""),"Bank Al Habib Limited")</f>
        <v>Bank Al Habib Limited</v>
      </c>
      <c r="T443" s="228" t="str">
        <f>IFERROR(__xludf.DUMMYFUNCTION("""COMPUTED_VALUE"""),"Suhana Shamim / Syed Anas Kamal")</f>
        <v>Suhana Shamim / Syed Anas Kamal</v>
      </c>
      <c r="U443" s="228" t="str">
        <f>IFERROR(__xludf.DUMMYFUNCTION("""COMPUTED_VALUE"""),"PK59BAHL1113007801022101")</f>
        <v>PK59BAHL1113007801022101</v>
      </c>
      <c r="V443" s="228" t="str">
        <f>IFERROR(__xludf.DUMMYFUNCTION("""COMPUTED_VALUE"""),"BAHLPKKA")</f>
        <v>BAHLPKKA</v>
      </c>
      <c r="W443" s="228"/>
      <c r="X443" s="228" t="str">
        <f>IFERROR(__xludf.DUMMYFUNCTION("""COMPUTED_VALUE"""),"Remote")</f>
        <v>Remote</v>
      </c>
      <c r="Y443" s="730">
        <f>IFERROR(__xludf.DUMMYFUNCTION("""COMPUTED_VALUE"""),35887.0)</f>
        <v>35887</v>
      </c>
      <c r="Z443" s="228" t="str">
        <f>IFERROR(__xludf.DUMMYFUNCTION("""COMPUTED_VALUE"""),"27 Years")</f>
        <v>27 Years</v>
      </c>
      <c r="AA443" s="228" t="str">
        <f>IFERROR(__xludf.DUMMYFUNCTION("""COMPUTED_VALUE"""),"HOUSE 107 BLOCK 1 CANTT BAZAR
MALIR CANTT
KARACHI - PAKISTAN")</f>
        <v>HOUSE 107 BLOCK 1 CANTT BAZAR
MALIR CANTT
KARACHI - PAKISTAN</v>
      </c>
      <c r="AB443" s="228" t="str">
        <f>IFERROR(__xludf.DUMMYFUNCTION("""COMPUTED_VALUE"""),"Pakistan")</f>
        <v>Pakistan</v>
      </c>
      <c r="AC443" s="228" t="str">
        <f>IFERROR(__xludf.DUMMYFUNCTION("""COMPUTED_VALUE"""),"Single")</f>
        <v>Single</v>
      </c>
      <c r="AD443" s="228"/>
      <c r="AE443" s="228"/>
      <c r="AF443" s="228"/>
      <c r="AG443" s="228" t="str">
        <f>IFERROR(__xludf.DUMMYFUNCTION("""COMPUTED_VALUE"""),"Syed Anwar Kamal")</f>
        <v>Syed Anwar Kamal</v>
      </c>
      <c r="AH443" s="228" t="str">
        <f>IFERROR(__xludf.DUMMYFUNCTION("""COMPUTED_VALUE"""),"Father")</f>
        <v>Father</v>
      </c>
      <c r="AI443" s="228" t="str">
        <f>IFERROR(__xludf.DUMMYFUNCTION("""COMPUTED_VALUE"""),"3332255028")</f>
        <v>3332255028</v>
      </c>
      <c r="AJ443" s="228" t="str">
        <f>IFERROR(__xludf.DUMMYFUNCTION("""COMPUTED_VALUE"""),"O+")</f>
        <v>O+</v>
      </c>
      <c r="AK443" s="731" t="str">
        <f>IFERROR(__xludf.DUMMYFUNCTION("""COMPUTED_VALUE"""),"https://www.linkedin.com/in/syed-anas-kamal/")</f>
        <v>https://www.linkedin.com/in/syed-anas-kamal/</v>
      </c>
      <c r="AL443" s="228" t="str">
        <f>IFERROR(__xludf.DUMMYFUNCTION("""COMPUTED_VALUE"""),"Abdullah")</f>
        <v>Abdullah</v>
      </c>
      <c r="AM443" s="730">
        <f>IFERROR(__xludf.DUMMYFUNCTION("""COMPUTED_VALUE"""),45875.0)</f>
        <v>45875</v>
      </c>
      <c r="AN443" s="228"/>
      <c r="AO443" s="228"/>
      <c r="AP443" s="228" t="str">
        <f>IFERROR(__xludf.DUMMYFUNCTION("""COMPUTED_VALUE"""),"YES")</f>
        <v>YES</v>
      </c>
      <c r="AQ443" s="228" t="str">
        <f>IFERROR(__xludf.DUMMYFUNCTION("""COMPUTED_VALUE"""),"Resigned/Terminated")</f>
        <v>Resigned/Terminated</v>
      </c>
    </row>
    <row r="444">
      <c r="A444" s="228">
        <f>IFERROR(__xludf.DUMMYFUNCTION("""COMPUTED_VALUE"""),5291.0)</f>
        <v>5291</v>
      </c>
      <c r="B444" s="228" t="str">
        <f>IFERROR(__xludf.DUMMYFUNCTION("""COMPUTED_VALUE"""),"Dur e kashaf")</f>
        <v>Dur e kashaf</v>
      </c>
      <c r="C444" s="228" t="str">
        <f>IFERROR(__xludf.DUMMYFUNCTION("""COMPUTED_VALUE"""),"durekashaf217@gmail.com")</f>
        <v>durekashaf217@gmail.com</v>
      </c>
      <c r="D444" s="228" t="str">
        <f>IFERROR(__xludf.DUMMYFUNCTION("""COMPUTED_VALUE"""),"durre.kashaf@vyro.ai")</f>
        <v>durre.kashaf@vyro.ai</v>
      </c>
      <c r="E444" s="730">
        <f>IFERROR(__xludf.DUMMYFUNCTION("""COMPUTED_VALUE"""),45502.0)</f>
        <v>45502</v>
      </c>
      <c r="F444" s="228" t="str">
        <f>IFERROR(__xludf.DUMMYFUNCTION("""COMPUTED_VALUE"""),"Motion graphics Designer")</f>
        <v>Motion graphics Designer</v>
      </c>
      <c r="G444" s="228" t="str">
        <f>IFERROR(__xludf.DUMMYFUNCTION("""COMPUTED_VALUE"""),"SEO")</f>
        <v>SEO</v>
      </c>
      <c r="H444" s="228" t="str">
        <f>IFERROR(__xludf.DUMMYFUNCTION("""COMPUTED_VALUE"""),"Syed Osama")</f>
        <v>Syed Osama</v>
      </c>
      <c r="I444" s="228" t="str">
        <f>IFERROR(__xludf.DUMMYFUNCTION("""COMPUTED_VALUE"""),"Permanent")</f>
        <v>Permanent</v>
      </c>
      <c r="J444" s="228" t="str">
        <f>IFERROR(__xludf.DUMMYFUNCTION("""COMPUTED_VALUE"""),"Active")</f>
        <v>Active</v>
      </c>
      <c r="K444" s="228" t="str">
        <f>IFERROR(__xludf.DUMMYFUNCTION("""COMPUTED_VALUE"""),"3M")</f>
        <v>3M</v>
      </c>
      <c r="L444" s="732">
        <f>IFERROR(__xludf.DUMMYFUNCTION("""COMPUTED_VALUE"""),-619148.0)</f>
        <v>-619148</v>
      </c>
      <c r="M444" s="228"/>
      <c r="N444" s="228"/>
      <c r="O444" s="228"/>
      <c r="P444" s="228" t="str">
        <f>IFERROR(__xludf.DUMMYFUNCTION("""COMPUTED_VALUE"""),"03345485117")</f>
        <v>03345485117</v>
      </c>
      <c r="Q444" s="228" t="str">
        <f>IFERROR(__xludf.DUMMYFUNCTION("""COMPUTED_VALUE"""),"61101-9306108-2")</f>
        <v>61101-9306108-2</v>
      </c>
      <c r="R444" s="228" t="str">
        <f>IFERROR(__xludf.DUMMYFUNCTION("""COMPUTED_VALUE"""),"Female")</f>
        <v>Female</v>
      </c>
      <c r="S444" s="228" t="str">
        <f>IFERROR(__xludf.DUMMYFUNCTION("""COMPUTED_VALUE"""),"Allied bank limited")</f>
        <v>Allied bank limited</v>
      </c>
      <c r="T444" s="228" t="str">
        <f>IFERROR(__xludf.DUMMYFUNCTION("""COMPUTED_VALUE"""),"Dur E Kashaf")</f>
        <v>Dur E Kashaf</v>
      </c>
      <c r="U444" s="228" t="str">
        <f>IFERROR(__xludf.DUMMYFUNCTION("""COMPUTED_VALUE"""),"PK35ABPA0010080009410011")</f>
        <v>PK35ABPA0010080009410011</v>
      </c>
      <c r="V444" s="228" t="str">
        <f>IFERROR(__xludf.DUMMYFUNCTION("""COMPUTED_VALUE"""),"ABPAPKKA894")</f>
        <v>ABPAPKKA894</v>
      </c>
      <c r="W444" s="228"/>
      <c r="X444" s="228" t="str">
        <f>IFERROR(__xludf.DUMMYFUNCTION("""COMPUTED_VALUE"""),"Islamabad")</f>
        <v>Islamabad</v>
      </c>
      <c r="Y444" s="730">
        <f>IFERROR(__xludf.DUMMYFUNCTION("""COMPUTED_VALUE"""),37047.0)</f>
        <v>37047</v>
      </c>
      <c r="Z444" s="228" t="str">
        <f>IFERROR(__xludf.DUMMYFUNCTION("""COMPUTED_VALUE"""),"23 Years")</f>
        <v>23 Years</v>
      </c>
      <c r="AA444" s="228" t="str">
        <f>IFERROR(__xludf.DUMMYFUNCTION("""COMPUTED_VALUE"""),"House#623 street#24 G-15/1 islamabad")</f>
        <v>House#623 street#24 G-15/1 islamabad</v>
      </c>
      <c r="AB444" s="228" t="str">
        <f>IFERROR(__xludf.DUMMYFUNCTION("""COMPUTED_VALUE"""),"Pakistani")</f>
        <v>Pakistani</v>
      </c>
      <c r="AC444" s="228" t="str">
        <f>IFERROR(__xludf.DUMMYFUNCTION("""COMPUTED_VALUE"""),"Single")</f>
        <v>Single</v>
      </c>
      <c r="AD444" s="228"/>
      <c r="AE444" s="228"/>
      <c r="AF444" s="228"/>
      <c r="AG444" s="228" t="str">
        <f>IFERROR(__xludf.DUMMYFUNCTION("""COMPUTED_VALUE"""),"Abdul Majeed")</f>
        <v>Abdul Majeed</v>
      </c>
      <c r="AH444" s="228" t="str">
        <f>IFERROR(__xludf.DUMMYFUNCTION("""COMPUTED_VALUE"""),"Father")</f>
        <v>Father</v>
      </c>
      <c r="AI444" s="228" t="str">
        <f>IFERROR(__xludf.DUMMYFUNCTION("""COMPUTED_VALUE"""),"3335181939")</f>
        <v>3335181939</v>
      </c>
      <c r="AJ444" s="228" t="str">
        <f>IFERROR(__xludf.DUMMYFUNCTION("""COMPUTED_VALUE"""),"B-")</f>
        <v>B-</v>
      </c>
      <c r="AK444" s="731" t="str">
        <f>IFERROR(__xludf.DUMMYFUNCTION("""COMPUTED_VALUE"""),"https://www.linkedin.com/in/dur-e-kashaf-aa4857210?utm_source=share&amp;utm_campaign=share_via&amp;utm_content=profile&amp;utm_medium=android_app")</f>
        <v>https://www.linkedin.com/in/dur-e-kashaf-aa4857210?utm_source=share&amp;utm_campaign=share_via&amp;utm_content=profile&amp;utm_medium=android_app</v>
      </c>
      <c r="AL444" s="228"/>
      <c r="AM444" s="730">
        <f>IFERROR(__xludf.DUMMYFUNCTION("""COMPUTED_VALUE"""),45877.0)</f>
        <v>45877</v>
      </c>
      <c r="AN444" s="228" t="str">
        <f>IFERROR(__xludf.DUMMYFUNCTION("""COMPUTED_VALUE"""),"Creatives")</f>
        <v>Creatives</v>
      </c>
      <c r="AO444" s="228" t="str">
        <f>IFERROR(__xludf.DUMMYFUNCTION("""COMPUTED_VALUE"""),"Creatives.team@vyro.ai")</f>
        <v>Creatives.team@vyro.ai</v>
      </c>
      <c r="AP444" s="228" t="str">
        <f>IFERROR(__xludf.DUMMYFUNCTION("""COMPUTED_VALUE"""),"NO")</f>
        <v>NO</v>
      </c>
      <c r="AQ444" s="228" t="str">
        <f>IFERROR(__xludf.DUMMYFUNCTION("""COMPUTED_VALUE"""),"Resigned/Terminated")</f>
        <v>Resigned/Terminated</v>
      </c>
    </row>
    <row r="445">
      <c r="A445" s="228">
        <f>IFERROR(__xludf.DUMMYFUNCTION("""COMPUTED_VALUE"""),5249.0)</f>
        <v>5249</v>
      </c>
      <c r="B445" s="228" t="str">
        <f>IFERROR(__xludf.DUMMYFUNCTION("""COMPUTED_VALUE"""),"Lamees Zafar")</f>
        <v>Lamees Zafar</v>
      </c>
      <c r="C445" s="228" t="str">
        <f>IFERROR(__xludf.DUMMYFUNCTION("""COMPUTED_VALUE"""),"lameeszafar312@gmail.com")</f>
        <v>lameeszafar312@gmail.com</v>
      </c>
      <c r="D445" s="228" t="str">
        <f>IFERROR(__xludf.DUMMYFUNCTION("""COMPUTED_VALUE"""),"lamees.zafar@vyro.ai")</f>
        <v>lamees.zafar@vyro.ai</v>
      </c>
      <c r="E445" s="730">
        <f>IFERROR(__xludf.DUMMYFUNCTION("""COMPUTED_VALUE"""),45369.0)</f>
        <v>45369</v>
      </c>
      <c r="F445" s="228" t="str">
        <f>IFERROR(__xludf.DUMMYFUNCTION("""COMPUTED_VALUE"""),"Associate Product Designer")</f>
        <v>Associate Product Designer</v>
      </c>
      <c r="G445" s="228" t="str">
        <f>IFERROR(__xludf.DUMMYFUNCTION("""COMPUTED_VALUE"""),"Product Design")</f>
        <v>Product Design</v>
      </c>
      <c r="H445" s="228" t="str">
        <f>IFERROR(__xludf.DUMMYFUNCTION("""COMPUTED_VALUE"""),"Saad Ahmed")</f>
        <v>Saad Ahmed</v>
      </c>
      <c r="I445" s="228" t="str">
        <f>IFERROR(__xludf.DUMMYFUNCTION("""COMPUTED_VALUE"""),"Probation")</f>
        <v>Probation</v>
      </c>
      <c r="J445" s="228" t="str">
        <f>IFERROR(__xludf.DUMMYFUNCTION("""COMPUTED_VALUE"""),"Active")</f>
        <v>Active</v>
      </c>
      <c r="K445" s="228" t="str">
        <f>IFERROR(__xludf.DUMMYFUNCTION("""COMPUTED_VALUE"""),"3M")</f>
        <v>3M</v>
      </c>
      <c r="L445" s="732">
        <f>IFERROR(__xludf.DUMMYFUNCTION("""COMPUTED_VALUE"""),45461.0)</f>
        <v>45461</v>
      </c>
      <c r="M445" s="228"/>
      <c r="N445" s="228"/>
      <c r="O445" s="228"/>
      <c r="P445" s="228" t="str">
        <f>IFERROR(__xludf.DUMMYFUNCTION("""COMPUTED_VALUE"""),"03200603320")</f>
        <v>03200603320</v>
      </c>
      <c r="Q445" s="228" t="str">
        <f>IFERROR(__xludf.DUMMYFUNCTION("""COMPUTED_VALUE"""),"36304-3814800-4")</f>
        <v>36304-3814800-4</v>
      </c>
      <c r="R445" s="228" t="str">
        <f>IFERROR(__xludf.DUMMYFUNCTION("""COMPUTED_VALUE"""),"Female")</f>
        <v>Female</v>
      </c>
      <c r="S445" s="228" t="str">
        <f>IFERROR(__xludf.DUMMYFUNCTION("""COMPUTED_VALUE"""),"Habib Bank Limited")</f>
        <v>Habib Bank Limited</v>
      </c>
      <c r="T445" s="228" t="str">
        <f>IFERROR(__xludf.DUMMYFUNCTION("""COMPUTED_VALUE"""),"LAMEES")</f>
        <v>LAMEES</v>
      </c>
      <c r="U445" s="228" t="str">
        <f>IFERROR(__xludf.DUMMYFUNCTION("""COMPUTED_VALUE"""),"PK44HABB0009917902151899")</f>
        <v>PK44HABB0009917902151899</v>
      </c>
      <c r="V445" s="228" t="str">
        <f>IFERROR(__xludf.DUMMYFUNCTION("""COMPUTED_VALUE"""),"HABBPKKA602")</f>
        <v>HABBPKKA602</v>
      </c>
      <c r="W445" s="228"/>
      <c r="X445" s="228" t="str">
        <f>IFERROR(__xludf.DUMMYFUNCTION("""COMPUTED_VALUE"""),"Islamabad")</f>
        <v>Islamabad</v>
      </c>
      <c r="Y445" s="730">
        <f>IFERROR(__xludf.DUMMYFUNCTION("""COMPUTED_VALUE"""),37958.0)</f>
        <v>37958</v>
      </c>
      <c r="Z445" s="228" t="str">
        <f>IFERROR(__xludf.DUMMYFUNCTION("""COMPUTED_VALUE"""),"21 Years")</f>
        <v>21 Years</v>
      </c>
      <c r="AA445" s="228" t="str">
        <f>IFERROR(__xludf.DUMMYFUNCTION("""COMPUTED_VALUE"""),"Khadija Hostels NUST H-12 Islamabad")</f>
        <v>Khadija Hostels NUST H-12 Islamabad</v>
      </c>
      <c r="AB445" s="228" t="str">
        <f>IFERROR(__xludf.DUMMYFUNCTION("""COMPUTED_VALUE"""),"Pakistani")</f>
        <v>Pakistani</v>
      </c>
      <c r="AC445" s="228" t="str">
        <f>IFERROR(__xludf.DUMMYFUNCTION("""COMPUTED_VALUE"""),"Single")</f>
        <v>Single</v>
      </c>
      <c r="AD445" s="228"/>
      <c r="AE445" s="228"/>
      <c r="AF445" s="228"/>
      <c r="AG445" s="228" t="str">
        <f>IFERROR(__xludf.DUMMYFUNCTION("""COMPUTED_VALUE"""),"Zafar Hussain Javed")</f>
        <v>Zafar Hussain Javed</v>
      </c>
      <c r="AH445" s="228" t="str">
        <f>IFERROR(__xludf.DUMMYFUNCTION("""COMPUTED_VALUE"""),"Father")</f>
        <v>Father</v>
      </c>
      <c r="AI445" s="228" t="str">
        <f>IFERROR(__xludf.DUMMYFUNCTION("""COMPUTED_VALUE"""),"03077447788")</f>
        <v>03077447788</v>
      </c>
      <c r="AJ445" s="228" t="str">
        <f>IFERROR(__xludf.DUMMYFUNCTION("""COMPUTED_VALUE"""),"B+")</f>
        <v>B+</v>
      </c>
      <c r="AK445" s="731" t="str">
        <f>IFERROR(__xludf.DUMMYFUNCTION("""COMPUTED_VALUE"""),"https://www.linkedin.com/in/lameeszafar")</f>
        <v>https://www.linkedin.com/in/lameeszafar</v>
      </c>
      <c r="AL445" s="228"/>
      <c r="AM445" s="730">
        <f>IFERROR(__xludf.DUMMYFUNCTION("""COMPUTED_VALUE"""),45884.0)</f>
        <v>45884</v>
      </c>
      <c r="AN445" s="228" t="str">
        <f>IFERROR(__xludf.DUMMYFUNCTION("""COMPUTED_VALUE"""),"Product Design")</f>
        <v>Product Design</v>
      </c>
      <c r="AO445" s="228" t="str">
        <f>IFERROR(__xludf.DUMMYFUNCTION("""COMPUTED_VALUE"""),"product.design.team@vyro.ai")</f>
        <v>product.design.team@vyro.ai</v>
      </c>
      <c r="AP445" s="228" t="str">
        <f>IFERROR(__xludf.DUMMYFUNCTION("""COMPUTED_VALUE"""),"NO")</f>
        <v>NO</v>
      </c>
      <c r="AQ445" s="228" t="str">
        <f>IFERROR(__xludf.DUMMYFUNCTION("""COMPUTED_VALUE"""),"Resigned/Terminated")</f>
        <v>Resigned/Terminated</v>
      </c>
    </row>
    <row r="446">
      <c r="A446" s="228">
        <f>IFERROR(__xludf.DUMMYFUNCTION("""COMPUTED_VALUE"""),5208.0)</f>
        <v>5208</v>
      </c>
      <c r="B446" s="228" t="str">
        <f>IFERROR(__xludf.DUMMYFUNCTION("""COMPUTED_VALUE"""),"Farzam Habib Khan")</f>
        <v>Farzam Habib Khan</v>
      </c>
      <c r="C446" s="228" t="str">
        <f>IFERROR(__xludf.DUMMYFUNCTION("""COMPUTED_VALUE"""),"farzamhabib11@gmail.com")</f>
        <v>farzamhabib11@gmail.com</v>
      </c>
      <c r="D446" s="228" t="str">
        <f>IFERROR(__xludf.DUMMYFUNCTION("""COMPUTED_VALUE"""),"farzam.habib@vyro.ai")</f>
        <v>farzam.habib@vyro.ai</v>
      </c>
      <c r="E446" s="730">
        <f>IFERROR(__xludf.DUMMYFUNCTION("""COMPUTED_VALUE"""),45257.0)</f>
        <v>45257</v>
      </c>
      <c r="F446" s="228" t="str">
        <f>IFERROR(__xludf.DUMMYFUNCTION("""COMPUTED_VALUE"""),"Associate Product Designer")</f>
        <v>Associate Product Designer</v>
      </c>
      <c r="G446" s="228" t="str">
        <f>IFERROR(__xludf.DUMMYFUNCTION("""COMPUTED_VALUE"""),"Product Design")</f>
        <v>Product Design</v>
      </c>
      <c r="H446" s="228" t="str">
        <f>IFERROR(__xludf.DUMMYFUNCTION("""COMPUTED_VALUE"""),"Nimra Zahid")</f>
        <v>Nimra Zahid</v>
      </c>
      <c r="I446" s="228" t="str">
        <f>IFERROR(__xludf.DUMMYFUNCTION("""COMPUTED_VALUE"""),"Permanent")</f>
        <v>Permanent</v>
      </c>
      <c r="J446" s="228" t="str">
        <f>IFERROR(__xludf.DUMMYFUNCTION("""COMPUTED_VALUE"""),"Active")</f>
        <v>Active</v>
      </c>
      <c r="K446" s="228" t="str">
        <f>IFERROR(__xludf.DUMMYFUNCTION("""COMPUTED_VALUE"""),"3M")</f>
        <v>3M</v>
      </c>
      <c r="L446" s="732">
        <f>IFERROR(__xludf.DUMMYFUNCTION("""COMPUTED_VALUE"""),45323.0)</f>
        <v>45323</v>
      </c>
      <c r="M446" s="228"/>
      <c r="N446" s="228"/>
      <c r="O446" s="228"/>
      <c r="P446" s="228" t="str">
        <f>IFERROR(__xludf.DUMMYFUNCTION("""COMPUTED_VALUE"""),"03437412151")</f>
        <v>03437412151</v>
      </c>
      <c r="Q446" s="228" t="str">
        <f>IFERROR(__xludf.DUMMYFUNCTION("""COMPUTED_VALUE"""),"12101-9669033-4")</f>
        <v>12101-9669033-4</v>
      </c>
      <c r="R446" s="228" t="str">
        <f>IFERROR(__xludf.DUMMYFUNCTION("""COMPUTED_VALUE"""),"Female")</f>
        <v>Female</v>
      </c>
      <c r="S446" s="228" t="str">
        <f>IFERROR(__xludf.DUMMYFUNCTION("""COMPUTED_VALUE"""),"Habib Bank Limited")</f>
        <v>Habib Bank Limited</v>
      </c>
      <c r="T446" s="228" t="str">
        <f>IFERROR(__xludf.DUMMYFUNCTION("""COMPUTED_VALUE"""),"Farzam Habib Khan")</f>
        <v>Farzam Habib Khan</v>
      </c>
      <c r="U446" s="228" t="str">
        <f>IFERROR(__xludf.DUMMYFUNCTION("""COMPUTED_VALUE"""),"PK56HABB0002317901025699")</f>
        <v>PK56HABB0002317901025699</v>
      </c>
      <c r="V446" s="228"/>
      <c r="W446" s="228"/>
      <c r="X446" s="228" t="str">
        <f>IFERROR(__xludf.DUMMYFUNCTION("""COMPUTED_VALUE"""),"Islamabad")</f>
        <v>Islamabad</v>
      </c>
      <c r="Y446" s="730">
        <f>IFERROR(__xludf.DUMMYFUNCTION("""COMPUTED_VALUE"""),37219.0)</f>
        <v>37219</v>
      </c>
      <c r="Z446" s="228" t="str">
        <f>IFERROR(__xludf.DUMMYFUNCTION("""COMPUTED_VALUE"""),"23 Years")</f>
        <v>23 Years</v>
      </c>
      <c r="AA446" s="228" t="str">
        <f>IFERROR(__xludf.DUMMYFUNCTION("""COMPUTED_VALUE"""),"Faiza Hostels H-13 Islamabad")</f>
        <v>Faiza Hostels H-13 Islamabad</v>
      </c>
      <c r="AB446" s="228" t="str">
        <f>IFERROR(__xludf.DUMMYFUNCTION("""COMPUTED_VALUE"""),"Pakistani")</f>
        <v>Pakistani</v>
      </c>
      <c r="AC446" s="228" t="str">
        <f>IFERROR(__xludf.DUMMYFUNCTION("""COMPUTED_VALUE"""),"Single")</f>
        <v>Single</v>
      </c>
      <c r="AD446" s="228"/>
      <c r="AE446" s="228"/>
      <c r="AF446" s="228"/>
      <c r="AG446" s="228" t="str">
        <f>IFERROR(__xludf.DUMMYFUNCTION("""COMPUTED_VALUE"""),"Habib ur Rahman Khan")</f>
        <v>Habib ur Rahman Khan</v>
      </c>
      <c r="AH446" s="228" t="str">
        <f>IFERROR(__xludf.DUMMYFUNCTION("""COMPUTED_VALUE"""),"Mother")</f>
        <v>Mother</v>
      </c>
      <c r="AI446" s="228" t="str">
        <f>IFERROR(__xludf.DUMMYFUNCTION("""COMPUTED_VALUE"""),"03339960542")</f>
        <v>03339960542</v>
      </c>
      <c r="AJ446" s="228" t="str">
        <f>IFERROR(__xludf.DUMMYFUNCTION("""COMPUTED_VALUE"""),"B+")</f>
        <v>B+</v>
      </c>
      <c r="AK446" s="731" t="str">
        <f>IFERROR(__xludf.DUMMYFUNCTION("""COMPUTED_VALUE"""),"https://www.linkedin.com/in/farzam-habib-khan-056a911a2")</f>
        <v>https://www.linkedin.com/in/farzam-habib-khan-056a911a2</v>
      </c>
      <c r="AL446" s="228"/>
      <c r="AM446" s="730">
        <f>IFERROR(__xludf.DUMMYFUNCTION("""COMPUTED_VALUE"""),45883.0)</f>
        <v>45883</v>
      </c>
      <c r="AN446" s="228" t="str">
        <f>IFERROR(__xludf.DUMMYFUNCTION("""COMPUTED_VALUE"""),"Product Design")</f>
        <v>Product Design</v>
      </c>
      <c r="AO446" s="228" t="str">
        <f>IFERROR(__xludf.DUMMYFUNCTION("""COMPUTED_VALUE"""),"product.design.team@vyro.ai")</f>
        <v>product.design.team@vyro.ai</v>
      </c>
      <c r="AP446" s="228" t="str">
        <f>IFERROR(__xludf.DUMMYFUNCTION("""COMPUTED_VALUE"""),"NO")</f>
        <v>NO</v>
      </c>
      <c r="AQ446" s="228" t="str">
        <f>IFERROR(__xludf.DUMMYFUNCTION("""COMPUTED_VALUE"""),"Resigned/Terminated")</f>
        <v>Resigned/Terminated</v>
      </c>
    </row>
    <row r="447">
      <c r="A447" s="228">
        <f>IFERROR(__xludf.DUMMYFUNCTION("""COMPUTED_VALUE"""),5223.0)</f>
        <v>5223</v>
      </c>
      <c r="B447" s="228" t="str">
        <f>IFERROR(__xludf.DUMMYFUNCTION("""COMPUTED_VALUE"""),"Humaira Amjad")</f>
        <v>Humaira Amjad</v>
      </c>
      <c r="C447" s="228" t="str">
        <f>IFERROR(__xludf.DUMMYFUNCTION("""COMPUTED_VALUE"""),"humairawrites8@gmail.com")</f>
        <v>humairawrites8@gmail.com</v>
      </c>
      <c r="D447" s="228" t="str">
        <f>IFERROR(__xludf.DUMMYFUNCTION("""COMPUTED_VALUE"""),"humaira.amjad@vyro.ai")</f>
        <v>humaira.amjad@vyro.ai</v>
      </c>
      <c r="E447" s="730">
        <f>IFERROR(__xludf.DUMMYFUNCTION("""COMPUTED_VALUE"""),45313.0)</f>
        <v>45313</v>
      </c>
      <c r="F447" s="228" t="str">
        <f>IFERROR(__xludf.DUMMYFUNCTION("""COMPUTED_VALUE"""),"Visual Designer")</f>
        <v>Visual Designer</v>
      </c>
      <c r="G447" s="228" t="str">
        <f>IFERROR(__xludf.DUMMYFUNCTION("""COMPUTED_VALUE"""),"SEO")</f>
        <v>SEO</v>
      </c>
      <c r="H447" s="228" t="str">
        <f>IFERROR(__xludf.DUMMYFUNCTION("""COMPUTED_VALUE"""),"Syed Osama")</f>
        <v>Syed Osama</v>
      </c>
      <c r="I447" s="228" t="str">
        <f>IFERROR(__xludf.DUMMYFUNCTION("""COMPUTED_VALUE"""),"Permanent")</f>
        <v>Permanent</v>
      </c>
      <c r="J447" s="228" t="str">
        <f>IFERROR(__xludf.DUMMYFUNCTION("""COMPUTED_VALUE"""),"Active")</f>
        <v>Active</v>
      </c>
      <c r="K447" s="228" t="str">
        <f>IFERROR(__xludf.DUMMYFUNCTION("""COMPUTED_VALUE"""),"3M")</f>
        <v>3M</v>
      </c>
      <c r="L447" s="732">
        <f>IFERROR(__xludf.DUMMYFUNCTION("""COMPUTED_VALUE"""),45404.0)</f>
        <v>45404</v>
      </c>
      <c r="M447" s="228"/>
      <c r="N447" s="228"/>
      <c r="O447" s="228"/>
      <c r="P447" s="228" t="str">
        <f>IFERROR(__xludf.DUMMYFUNCTION("""COMPUTED_VALUE"""),"03001587453")</f>
        <v>03001587453</v>
      </c>
      <c r="Q447" s="228" t="str">
        <f>IFERROR(__xludf.DUMMYFUNCTION("""COMPUTED_VALUE"""),"36302-7205229-8")</f>
        <v>36302-7205229-8</v>
      </c>
      <c r="R447" s="228" t="str">
        <f>IFERROR(__xludf.DUMMYFUNCTION("""COMPUTED_VALUE"""),"Female")</f>
        <v>Female</v>
      </c>
      <c r="S447" s="228" t="str">
        <f>IFERROR(__xludf.DUMMYFUNCTION("""COMPUTED_VALUE"""),"Faysal bank")</f>
        <v>Faysal bank</v>
      </c>
      <c r="T447" s="228" t="str">
        <f>IFERROR(__xludf.DUMMYFUNCTION("""COMPUTED_VALUE"""),"Humaira Amjad")</f>
        <v>Humaira Amjad</v>
      </c>
      <c r="U447" s="228" t="str">
        <f>IFERROR(__xludf.DUMMYFUNCTION("""COMPUTED_VALUE"""),"PK45FAYS0121006000005334")</f>
        <v>PK45FAYS0121006000005334</v>
      </c>
      <c r="V447" s="228"/>
      <c r="W447" s="228"/>
      <c r="X447" s="228" t="str">
        <f>IFERROR(__xludf.DUMMYFUNCTION("""COMPUTED_VALUE"""),"Remote")</f>
        <v>Remote</v>
      </c>
      <c r="Y447" s="730">
        <f>IFERROR(__xludf.DUMMYFUNCTION("""COMPUTED_VALUE"""),34590.0)</f>
        <v>34590</v>
      </c>
      <c r="Z447" s="228" t="str">
        <f>IFERROR(__xludf.DUMMYFUNCTION("""COMPUTED_VALUE"""),"30 Years")</f>
        <v>30 Years</v>
      </c>
      <c r="AA447" s="228" t="str">
        <f>IFERROR(__xludf.DUMMYFUNCTION("""COMPUTED_VALUE"""),"House No 36 Block B PIA society Johan Town Lahore")</f>
        <v>House No 36 Block B PIA society Johan Town Lahore</v>
      </c>
      <c r="AB447" s="228" t="str">
        <f>IFERROR(__xludf.DUMMYFUNCTION("""COMPUTED_VALUE"""),"Pakistani")</f>
        <v>Pakistani</v>
      </c>
      <c r="AC447" s="228" t="str">
        <f>IFERROR(__xludf.DUMMYFUNCTION("""COMPUTED_VALUE"""),"Married")</f>
        <v>Married</v>
      </c>
      <c r="AD447" s="228"/>
      <c r="AE447" s="228"/>
      <c r="AF447" s="228"/>
      <c r="AG447" s="228" t="str">
        <f>IFERROR(__xludf.DUMMYFUNCTION("""COMPUTED_VALUE"""),"Amjad Hussain")</f>
        <v>Amjad Hussain</v>
      </c>
      <c r="AH447" s="228" t="str">
        <f>IFERROR(__xludf.DUMMYFUNCTION("""COMPUTED_VALUE"""),"Brother")</f>
        <v>Brother</v>
      </c>
      <c r="AI447" s="228" t="str">
        <f>IFERROR(__xludf.DUMMYFUNCTION("""COMPUTED_VALUE"""),"3009281116")</f>
        <v>3009281116</v>
      </c>
      <c r="AJ447" s="228" t="str">
        <f>IFERROR(__xludf.DUMMYFUNCTION("""COMPUTED_VALUE"""),"A+")</f>
        <v>A+</v>
      </c>
      <c r="AK447" s="731" t="str">
        <f>IFERROR(__xludf.DUMMYFUNCTION("""COMPUTED_VALUE"""),"https://www.linkedin.com/in/humairaamjad")</f>
        <v>https://www.linkedin.com/in/humairaamjad</v>
      </c>
      <c r="AL447" s="228"/>
      <c r="AM447" s="730">
        <f>IFERROR(__xludf.DUMMYFUNCTION("""COMPUTED_VALUE"""),45882.0)</f>
        <v>45882</v>
      </c>
      <c r="AN447" s="228" t="str">
        <f>IFERROR(__xludf.DUMMYFUNCTION("""COMPUTED_VALUE"""),"Content")</f>
        <v>Content</v>
      </c>
      <c r="AO447" s="228" t="str">
        <f>IFERROR(__xludf.DUMMYFUNCTION("""COMPUTED_VALUE"""),"content.team@vyro.ai")</f>
        <v>content.team@vyro.ai</v>
      </c>
      <c r="AP447" s="228" t="str">
        <f>IFERROR(__xludf.DUMMYFUNCTION("""COMPUTED_VALUE"""),"NO")</f>
        <v>NO</v>
      </c>
      <c r="AQ447" s="228" t="str">
        <f>IFERROR(__xludf.DUMMYFUNCTION("""COMPUTED_VALUE"""),"Resigned/Terminated")</f>
        <v>Resigned/Terminated</v>
      </c>
    </row>
    <row r="448">
      <c r="A448" s="228">
        <f>IFERROR(__xludf.DUMMYFUNCTION("""COMPUTED_VALUE"""),5325.0)</f>
        <v>5325</v>
      </c>
      <c r="B448" s="228" t="str">
        <f>IFERROR(__xludf.DUMMYFUNCTION("""COMPUTED_VALUE"""),"Muhammad Shahmir")</f>
        <v>Muhammad Shahmir</v>
      </c>
      <c r="C448" s="228" t="str">
        <f>IFERROR(__xludf.DUMMYFUNCTION("""COMPUTED_VALUE"""),"shahmir.zahid@outlook.com")</f>
        <v>shahmir.zahid@outlook.com</v>
      </c>
      <c r="D448" s="228" t="str">
        <f>IFERROR(__xludf.DUMMYFUNCTION("""COMPUTED_VALUE"""),"muhammad.shahmir@vyro.ai")</f>
        <v>muhammad.shahmir@vyro.ai</v>
      </c>
      <c r="E448" s="730">
        <f>IFERROR(__xludf.DUMMYFUNCTION("""COMPUTED_VALUE"""),45602.0)</f>
        <v>45602</v>
      </c>
      <c r="F448" s="228" t="str">
        <f>IFERROR(__xludf.DUMMYFUNCTION("""COMPUTED_VALUE"""),"Affiliate Marketing Associate")</f>
        <v>Affiliate Marketing Associate</v>
      </c>
      <c r="G448" s="228" t="str">
        <f>IFERROR(__xludf.DUMMYFUNCTION("""COMPUTED_VALUE"""),"Marketing")</f>
        <v>Marketing</v>
      </c>
      <c r="H448" s="228" t="str">
        <f>IFERROR(__xludf.DUMMYFUNCTION("""COMPUTED_VALUE"""),"Kamran Khalid")</f>
        <v>Kamran Khalid</v>
      </c>
      <c r="I448" s="228" t="str">
        <f>IFERROR(__xludf.DUMMYFUNCTION("""COMPUTED_VALUE"""),"Probation")</f>
        <v>Probation</v>
      </c>
      <c r="J448" s="228" t="str">
        <f>IFERROR(__xludf.DUMMYFUNCTION("""COMPUTED_VALUE"""),"Active")</f>
        <v>Active</v>
      </c>
      <c r="K448" s="228" t="str">
        <f>IFERROR(__xludf.DUMMYFUNCTION("""COMPUTED_VALUE"""),"3M")</f>
        <v>3M</v>
      </c>
      <c r="L448" s="732">
        <f>IFERROR(__xludf.DUMMYFUNCTION("""COMPUTED_VALUE"""),45694.0)</f>
        <v>45694</v>
      </c>
      <c r="M448" s="228"/>
      <c r="N448" s="228"/>
      <c r="O448" s="228"/>
      <c r="P448" s="228" t="str">
        <f>IFERROR(__xludf.DUMMYFUNCTION("""COMPUTED_VALUE"""),"03350522921")</f>
        <v>03350522921</v>
      </c>
      <c r="Q448" s="228" t="str">
        <f>IFERROR(__xludf.DUMMYFUNCTION("""COMPUTED_VALUE"""),"61101-1665792-5")</f>
        <v>61101-1665792-5</v>
      </c>
      <c r="R448" s="228" t="str">
        <f>IFERROR(__xludf.DUMMYFUNCTION("""COMPUTED_VALUE"""),"Male")</f>
        <v>Male</v>
      </c>
      <c r="S448" s="228" t="str">
        <f>IFERROR(__xludf.DUMMYFUNCTION("""COMPUTED_VALUE"""),"JS Bank")</f>
        <v>JS Bank</v>
      </c>
      <c r="T448" s="228" t="str">
        <f>IFERROR(__xludf.DUMMYFUNCTION("""COMPUTED_VALUE"""),"MUHAMMAD SHAHMIR")</f>
        <v>MUHAMMAD SHAHMIR</v>
      </c>
      <c r="U448" s="228" t="str">
        <f>IFERROR(__xludf.DUMMYFUNCTION("""COMPUTED_VALUE"""),"PK03JSBL9602000002271330")</f>
        <v>PK03JSBL9602000002271330</v>
      </c>
      <c r="V448" s="228"/>
      <c r="W448" s="228"/>
      <c r="X448" s="228" t="str">
        <f>IFERROR(__xludf.DUMMYFUNCTION("""COMPUTED_VALUE"""),"Islamabad")</f>
        <v>Islamabad</v>
      </c>
      <c r="Y448" s="730">
        <f>IFERROR(__xludf.DUMMYFUNCTION("""COMPUTED_VALUE"""),37105.0)</f>
        <v>37105</v>
      </c>
      <c r="Z448" s="228" t="str">
        <f>IFERROR(__xludf.DUMMYFUNCTION("""COMPUTED_VALUE"""),"23 Years")</f>
        <v>23 Years</v>
      </c>
      <c r="AA448" s="228" t="str">
        <f>IFERROR(__xludf.DUMMYFUNCTION("""COMPUTED_VALUE"""),"House 132 Street 7 Phase 2 Bahria Town Isb")</f>
        <v>House 132 Street 7 Phase 2 Bahria Town Isb</v>
      </c>
      <c r="AB448" s="228" t="str">
        <f>IFERROR(__xludf.DUMMYFUNCTION("""COMPUTED_VALUE"""),"Pakistani")</f>
        <v>Pakistani</v>
      </c>
      <c r="AC448" s="228" t="str">
        <f>IFERROR(__xludf.DUMMYFUNCTION("""COMPUTED_VALUE"""),"Single")</f>
        <v>Single</v>
      </c>
      <c r="AD448" s="228"/>
      <c r="AE448" s="228"/>
      <c r="AF448" s="228"/>
      <c r="AG448" s="228" t="str">
        <f>IFERROR(__xludf.DUMMYFUNCTION("""COMPUTED_VALUE"""),"Maj Zahid Naseem")</f>
        <v>Maj Zahid Naseem</v>
      </c>
      <c r="AH448" s="228" t="str">
        <f>IFERROR(__xludf.DUMMYFUNCTION("""COMPUTED_VALUE"""),"Father")</f>
        <v>Father</v>
      </c>
      <c r="AI448" s="228" t="str">
        <f>IFERROR(__xludf.DUMMYFUNCTION("""COMPUTED_VALUE"""),"3215371668")</f>
        <v>3215371668</v>
      </c>
      <c r="AJ448" s="228" t="str">
        <f>IFERROR(__xludf.DUMMYFUNCTION("""COMPUTED_VALUE"""),"B+")</f>
        <v>B+</v>
      </c>
      <c r="AK448" s="731" t="str">
        <f>IFERROR(__xludf.DUMMYFUNCTION("""COMPUTED_VALUE"""),"https://www.linkedin.com/in/muhammad-shahmir-0a4602221")</f>
        <v>https://www.linkedin.com/in/muhammad-shahmir-0a4602221</v>
      </c>
      <c r="AL448" s="228"/>
      <c r="AM448" s="730">
        <f>IFERROR(__xludf.DUMMYFUNCTION("""COMPUTED_VALUE"""),45881.0)</f>
        <v>45881</v>
      </c>
      <c r="AN448" s="228" t="str">
        <f>IFERROR(__xludf.DUMMYFUNCTION("""COMPUTED_VALUE"""),"Affiliates")</f>
        <v>Affiliates</v>
      </c>
      <c r="AO448" s="228" t="str">
        <f>IFERROR(__xludf.DUMMYFUNCTION("""COMPUTED_VALUE"""),"affiliates.team@vyro.ai")</f>
        <v>affiliates.team@vyro.ai</v>
      </c>
      <c r="AP448" s="228" t="str">
        <f>IFERROR(__xludf.DUMMYFUNCTION("""COMPUTED_VALUE"""),"NO")</f>
        <v>NO</v>
      </c>
      <c r="AQ448" s="228" t="str">
        <f>IFERROR(__xludf.DUMMYFUNCTION("""COMPUTED_VALUE"""),"Resigned/Terminated")</f>
        <v>Resigned/Terminated</v>
      </c>
    </row>
    <row r="449">
      <c r="A449" s="228">
        <f>IFERROR(__xludf.DUMMYFUNCTION("""COMPUTED_VALUE"""),5312.0)</f>
        <v>5312</v>
      </c>
      <c r="B449" s="228" t="str">
        <f>IFERROR(__xludf.DUMMYFUNCTION("""COMPUTED_VALUE"""),"Abdur Rehman Shahid")</f>
        <v>Abdur Rehman Shahid</v>
      </c>
      <c r="C449" s="228" t="str">
        <f>IFERROR(__xludf.DUMMYFUNCTION("""COMPUTED_VALUE"""),"razashahid107@gmail.com")</f>
        <v>razashahid107@gmail.com</v>
      </c>
      <c r="D449" s="228" t="str">
        <f>IFERROR(__xludf.DUMMYFUNCTION("""COMPUTED_VALUE"""),"abdur.rehman@vyro.ai")</f>
        <v>abdur.rehman@vyro.ai</v>
      </c>
      <c r="E449" s="730">
        <f>IFERROR(__xludf.DUMMYFUNCTION("""COMPUTED_VALUE"""),45586.0)</f>
        <v>45586</v>
      </c>
      <c r="F449" s="228" t="str">
        <f>IFERROR(__xludf.DUMMYFUNCTION("""COMPUTED_VALUE"""),"Junior DevOps Engineer")</f>
        <v>Junior DevOps Engineer</v>
      </c>
      <c r="G449" s="228" t="str">
        <f>IFERROR(__xludf.DUMMYFUNCTION("""COMPUTED_VALUE"""),"Devops")</f>
        <v>Devops</v>
      </c>
      <c r="H449" s="228" t="str">
        <f>IFERROR(__xludf.DUMMYFUNCTION("""COMPUTED_VALUE"""),"Abdullah Rafique")</f>
        <v>Abdullah Rafique</v>
      </c>
      <c r="I449" s="228" t="str">
        <f>IFERROR(__xludf.DUMMYFUNCTION("""COMPUTED_VALUE"""),"Probation")</f>
        <v>Probation</v>
      </c>
      <c r="J449" s="228" t="str">
        <f>IFERROR(__xludf.DUMMYFUNCTION("""COMPUTED_VALUE"""),"Active")</f>
        <v>Active</v>
      </c>
      <c r="K449" s="228" t="str">
        <f>IFERROR(__xludf.DUMMYFUNCTION("""COMPUTED_VALUE"""),"3M")</f>
        <v>3M</v>
      </c>
      <c r="L449" s="732">
        <f>IFERROR(__xludf.DUMMYFUNCTION("""COMPUTED_VALUE"""),45678.0)</f>
        <v>45678</v>
      </c>
      <c r="M449" s="228"/>
      <c r="N449" s="228"/>
      <c r="O449" s="228"/>
      <c r="P449" s="228" t="str">
        <f>IFERROR(__xludf.DUMMYFUNCTION("""COMPUTED_VALUE"""),"3018497072")</f>
        <v>3018497072</v>
      </c>
      <c r="Q449" s="228" t="str">
        <f>IFERROR(__xludf.DUMMYFUNCTION("""COMPUTED_VALUE"""),"42201-1345729-9")</f>
        <v>42201-1345729-9</v>
      </c>
      <c r="R449" s="228" t="str">
        <f>IFERROR(__xludf.DUMMYFUNCTION("""COMPUTED_VALUE"""),"Male")</f>
        <v>Male</v>
      </c>
      <c r="S449" s="228" t="str">
        <f>IFERROR(__xludf.DUMMYFUNCTION("""COMPUTED_VALUE"""),"Habib Bank Limited (HBL)")</f>
        <v>Habib Bank Limited (HBL)</v>
      </c>
      <c r="T449" s="228"/>
      <c r="U449" s="228" t="str">
        <f>IFERROR(__xludf.DUMMYFUNCTION("""COMPUTED_VALUE"""),"PK11HABB0022927917186503")</f>
        <v>PK11HABB0022927917186503</v>
      </c>
      <c r="V449" s="228" t="str">
        <f>IFERROR(__xludf.DUMMYFUNCTION("""COMPUTED_VALUE"""),"HABBPKKA")</f>
        <v>HABBPKKA</v>
      </c>
      <c r="W449" s="228"/>
      <c r="X449" s="228" t="str">
        <f>IFERROR(__xludf.DUMMYFUNCTION("""COMPUTED_VALUE"""),"Islamabad")</f>
        <v>Islamabad</v>
      </c>
      <c r="Y449" s="730">
        <f>IFERROR(__xludf.DUMMYFUNCTION("""COMPUTED_VALUE"""),37459.0)</f>
        <v>37459</v>
      </c>
      <c r="Z449" s="228" t="str">
        <f>IFERROR(__xludf.DUMMYFUNCTION("""COMPUTED_VALUE"""),"22 Years")</f>
        <v>22 Years</v>
      </c>
      <c r="AA449" s="228" t="str">
        <f>IFERROR(__xludf.DUMMYFUNCTION("""COMPUTED_VALUE"""),"B16, Gulshan Iqbal, Karachi")</f>
        <v>B16, Gulshan Iqbal, Karachi</v>
      </c>
      <c r="AB449" s="228" t="str">
        <f>IFERROR(__xludf.DUMMYFUNCTION("""COMPUTED_VALUE"""),"Pakistani")</f>
        <v>Pakistani</v>
      </c>
      <c r="AC449" s="228" t="str">
        <f>IFERROR(__xludf.DUMMYFUNCTION("""COMPUTED_VALUE"""),"Single")</f>
        <v>Single</v>
      </c>
      <c r="AD449" s="228"/>
      <c r="AE449" s="228"/>
      <c r="AF449" s="228"/>
      <c r="AG449" s="228" t="str">
        <f>IFERROR(__xludf.DUMMYFUNCTION("""COMPUTED_VALUE"""),"Shahid Raza")</f>
        <v>Shahid Raza</v>
      </c>
      <c r="AH449" s="228" t="str">
        <f>IFERROR(__xludf.DUMMYFUNCTION("""COMPUTED_VALUE"""),"Maternal Uncle")</f>
        <v>Maternal Uncle</v>
      </c>
      <c r="AI449" s="228" t="str">
        <f>IFERROR(__xludf.DUMMYFUNCTION("""COMPUTED_VALUE"""),"3007072382")</f>
        <v>3007072382</v>
      </c>
      <c r="AJ449" s="228" t="str">
        <f>IFERROR(__xludf.DUMMYFUNCTION("""COMPUTED_VALUE"""),"A+")</f>
        <v>A+</v>
      </c>
      <c r="AK449" s="731" t="str">
        <f>IFERROR(__xludf.DUMMYFUNCTION("""COMPUTED_VALUE"""),"https://www.linkedin.com/in/abdur-rehman-shahid-570b74201")</f>
        <v>https://www.linkedin.com/in/abdur-rehman-shahid-570b74201</v>
      </c>
      <c r="AL449" s="228"/>
      <c r="AM449" s="730">
        <f>IFERROR(__xludf.DUMMYFUNCTION("""COMPUTED_VALUE"""),45881.0)</f>
        <v>45881</v>
      </c>
      <c r="AN449" s="228" t="str">
        <f>IFERROR(__xludf.DUMMYFUNCTION("""COMPUTED_VALUE"""),"DevOps")</f>
        <v>DevOps</v>
      </c>
      <c r="AO449" s="228" t="str">
        <f>IFERROR(__xludf.DUMMYFUNCTION("""COMPUTED_VALUE"""),"devops.team@vyro.ai")</f>
        <v>devops.team@vyro.ai</v>
      </c>
      <c r="AP449" s="228" t="str">
        <f>IFERROR(__xludf.DUMMYFUNCTION("""COMPUTED_VALUE"""),"NO")</f>
        <v>NO</v>
      </c>
      <c r="AQ449" s="228" t="str">
        <f>IFERROR(__xludf.DUMMYFUNCTION("""COMPUTED_VALUE"""),"Resigned/Terminated")</f>
        <v>Resigned/Terminated</v>
      </c>
    </row>
    <row r="450">
      <c r="A450" s="228">
        <f>IFERROR(__xludf.DUMMYFUNCTION("""COMPUTED_VALUE"""),5327.0)</f>
        <v>5327</v>
      </c>
      <c r="B450" s="228" t="str">
        <f>IFERROR(__xludf.DUMMYFUNCTION("""COMPUTED_VALUE"""),"Kashif Mehmood")</f>
        <v>Kashif Mehmood</v>
      </c>
      <c r="C450" s="228" t="str">
        <f>IFERROR(__xludf.DUMMYFUNCTION("""COMPUTED_VALUE"""),"kashismails@gmail.com")</f>
        <v>kashismails@gmail.com</v>
      </c>
      <c r="D450" s="228" t="str">
        <f>IFERROR(__xludf.DUMMYFUNCTION("""COMPUTED_VALUE"""),"kashif.mehmood@vyro.ai")</f>
        <v>kashif.mehmood@vyro.ai</v>
      </c>
      <c r="E450" s="730">
        <f>IFERROR(__xludf.DUMMYFUNCTION("""COMPUTED_VALUE"""),45614.0)</f>
        <v>45614</v>
      </c>
      <c r="F450" s="228" t="str">
        <f>IFERROR(__xludf.DUMMYFUNCTION("""COMPUTED_VALUE"""),"Sr Engineer Developer II")</f>
        <v>Sr Engineer Developer II</v>
      </c>
      <c r="G450" s="228" t="str">
        <f>IFERROR(__xludf.DUMMYFUNCTION("""COMPUTED_VALUE"""),"Mobile")</f>
        <v>Mobile</v>
      </c>
      <c r="H450" s="228" t="str">
        <f>IFERROR(__xludf.DUMMYFUNCTION("""COMPUTED_VALUE"""),"Saad Aziz")</f>
        <v>Saad Aziz</v>
      </c>
      <c r="I450" s="228" t="str">
        <f>IFERROR(__xludf.DUMMYFUNCTION("""COMPUTED_VALUE"""),"Probation")</f>
        <v>Probation</v>
      </c>
      <c r="J450" s="228" t="str">
        <f>IFERROR(__xludf.DUMMYFUNCTION("""COMPUTED_VALUE"""),"Active")</f>
        <v>Active</v>
      </c>
      <c r="K450" s="228" t="str">
        <f>IFERROR(__xludf.DUMMYFUNCTION("""COMPUTED_VALUE"""),"3M")</f>
        <v>3M</v>
      </c>
      <c r="L450" s="732">
        <f>IFERROR(__xludf.DUMMYFUNCTION("""COMPUTED_VALUE"""),45706.0)</f>
        <v>45706</v>
      </c>
      <c r="M450" s="228"/>
      <c r="N450" s="228"/>
      <c r="O450" s="228"/>
      <c r="P450" s="228" t="str">
        <f>IFERROR(__xludf.DUMMYFUNCTION("""COMPUTED_VALUE"""),"03425332484")</f>
        <v>03425332484</v>
      </c>
      <c r="Q450" s="228" t="str">
        <f>IFERROR(__xludf.DUMMYFUNCTION("""COMPUTED_VALUE"""),"13302-4616498-9")</f>
        <v>13302-4616498-9</v>
      </c>
      <c r="R450" s="228" t="str">
        <f>IFERROR(__xludf.DUMMYFUNCTION("""COMPUTED_VALUE"""),"Male")</f>
        <v>Male</v>
      </c>
      <c r="S450" s="228" t="str">
        <f>IFERROR(__xludf.DUMMYFUNCTION("""COMPUTED_VALUE"""),"Standard Chartered")</f>
        <v>Standard Chartered</v>
      </c>
      <c r="T450" s="228" t="str">
        <f>IFERROR(__xludf.DUMMYFUNCTION("""COMPUTED_VALUE"""),"Kashif Mehmood")</f>
        <v>Kashif Mehmood</v>
      </c>
      <c r="U450" s="228" t="str">
        <f>IFERROR(__xludf.DUMMYFUNCTION("""COMPUTED_VALUE"""),"PK77SCBL0000001017068401")</f>
        <v>PK77SCBL0000001017068401</v>
      </c>
      <c r="V450" s="228" t="str">
        <f>IFERROR(__xludf.DUMMYFUNCTION("""COMPUTED_VALUE"""),"SCBLPKKXXXX")</f>
        <v>SCBLPKKXXXX</v>
      </c>
      <c r="W450" s="228"/>
      <c r="X450" s="228" t="str">
        <f>IFERROR(__xludf.DUMMYFUNCTION("""COMPUTED_VALUE"""),"Islamabad")</f>
        <v>Islamabad</v>
      </c>
      <c r="Y450" s="730">
        <f>IFERROR(__xludf.DUMMYFUNCTION("""COMPUTED_VALUE"""),35869.0)</f>
        <v>35869</v>
      </c>
      <c r="Z450" s="228" t="str">
        <f>IFERROR(__xludf.DUMMYFUNCTION("""COMPUTED_VALUE"""),"27 Years")</f>
        <v>27 Years</v>
      </c>
      <c r="AA450" s="228" t="str">
        <f>IFERROR(__xludf.DUMMYFUNCTION("""COMPUTED_VALUE"""),"Iqbal chowk village pharhala, Tehsil and district haripur, KPK, Pakistan")</f>
        <v>Iqbal chowk village pharhala, Tehsil and district haripur, KPK, Pakistan</v>
      </c>
      <c r="AB450" s="228" t="str">
        <f>IFERROR(__xludf.DUMMYFUNCTION("""COMPUTED_VALUE"""),"Pakistani")</f>
        <v>Pakistani</v>
      </c>
      <c r="AC450" s="228" t="str">
        <f>IFERROR(__xludf.DUMMYFUNCTION("""COMPUTED_VALUE"""),"Single")</f>
        <v>Single</v>
      </c>
      <c r="AD450" s="228"/>
      <c r="AE450" s="228"/>
      <c r="AF450" s="228"/>
      <c r="AG450" s="228" t="str">
        <f>IFERROR(__xludf.DUMMYFUNCTION("""COMPUTED_VALUE"""),"Khushi Muhammad")</f>
        <v>Khushi Muhammad</v>
      </c>
      <c r="AH450" s="228" t="str">
        <f>IFERROR(__xludf.DUMMYFUNCTION("""COMPUTED_VALUE"""),"Wife")</f>
        <v>Wife</v>
      </c>
      <c r="AI450" s="228" t="str">
        <f>IFERROR(__xludf.DUMMYFUNCTION("""COMPUTED_VALUE"""),"3009265953")</f>
        <v>3009265953</v>
      </c>
      <c r="AJ450" s="228" t="str">
        <f>IFERROR(__xludf.DUMMYFUNCTION("""COMPUTED_VALUE"""),"AB+")</f>
        <v>AB+</v>
      </c>
      <c r="AK450" s="731" t="str">
        <f>IFERROR(__xludf.DUMMYFUNCTION("""COMPUTED_VALUE"""),"https://www.linkedin.com/in/kashif-mehmood-km/")</f>
        <v>https://www.linkedin.com/in/kashif-mehmood-km/</v>
      </c>
      <c r="AL450" s="228"/>
      <c r="AM450" s="730">
        <f>IFERROR(__xludf.DUMMYFUNCTION("""COMPUTED_VALUE"""),45884.0)</f>
        <v>45884</v>
      </c>
      <c r="AN450" s="228" t="str">
        <f>IFERROR(__xludf.DUMMYFUNCTION("""COMPUTED_VALUE"""),"NOT FOUND")</f>
        <v>NOT FOUND</v>
      </c>
      <c r="AO450" s="228" t="str">
        <f>IFERROR(__xludf.DUMMYFUNCTION("""COMPUTED_VALUE"""),"NOT FOUND")</f>
        <v>NOT FOUND</v>
      </c>
      <c r="AP450" s="228" t="str">
        <f>IFERROR(__xludf.DUMMYFUNCTION("""COMPUTED_VALUE"""),"NO")</f>
        <v>NO</v>
      </c>
      <c r="AQ450" s="228" t="str">
        <f>IFERROR(__xludf.DUMMYFUNCTION("""COMPUTED_VALUE"""),"Resigned/Terminated")</f>
        <v>Resigned/Terminated</v>
      </c>
    </row>
    <row r="451">
      <c r="A451" s="228">
        <f>IFERROR(__xludf.DUMMYFUNCTION("""COMPUTED_VALUE"""),5403.0)</f>
        <v>5403</v>
      </c>
      <c r="B451" s="228" t="str">
        <f>IFERROR(__xludf.DUMMYFUNCTION("""COMPUTED_VALUE"""),"Adriana Cristina Ardelean")</f>
        <v>Adriana Cristina Ardelean</v>
      </c>
      <c r="C451" s="228" t="str">
        <f>IFERROR(__xludf.DUMMYFUNCTION("""COMPUTED_VALUE"""),"cristina.ardelean909@gmail.com")</f>
        <v>cristina.ardelean909@gmail.com</v>
      </c>
      <c r="D451" s="228" t="str">
        <f>IFERROR(__xludf.DUMMYFUNCTION("""COMPUTED_VALUE"""),"adriana.cristina@vyro.ai")</f>
        <v>adriana.cristina@vyro.ai</v>
      </c>
      <c r="E451" s="730">
        <f>IFERROR(__xludf.DUMMYFUNCTION("""COMPUTED_VALUE"""),45777.0)</f>
        <v>45777</v>
      </c>
      <c r="F451" s="228" t="str">
        <f>IFERROR(__xludf.DUMMYFUNCTION("""COMPUTED_VALUE"""),"Manager - Tiktok Creator Program")</f>
        <v>Manager - Tiktok Creator Program</v>
      </c>
      <c r="G451" s="228" t="str">
        <f>IFERROR(__xludf.DUMMYFUNCTION("""COMPUTED_VALUE"""),"Marketing")</f>
        <v>Marketing</v>
      </c>
      <c r="H451" s="228" t="str">
        <f>IFERROR(__xludf.DUMMYFUNCTION("""COMPUTED_VALUE"""),"Shawal Fida")</f>
        <v>Shawal Fida</v>
      </c>
      <c r="I451" s="228" t="str">
        <f>IFERROR(__xludf.DUMMYFUNCTION("""COMPUTED_VALUE"""),"Remote")</f>
        <v>Remote</v>
      </c>
      <c r="J451" s="228" t="str">
        <f>IFERROR(__xludf.DUMMYFUNCTION("""COMPUTED_VALUE"""),"Active")</f>
        <v>Active</v>
      </c>
      <c r="K451" s="228"/>
      <c r="L451" s="732">
        <f>IFERROR(__xludf.DUMMYFUNCTION("""COMPUTED_VALUE"""),45868.0)</f>
        <v>45868</v>
      </c>
      <c r="M451" s="228"/>
      <c r="N451" s="228"/>
      <c r="O451" s="228"/>
      <c r="P451" s="228" t="str">
        <f>IFERROR(__xludf.DUMMYFUNCTION("""COMPUTED_VALUE"""),"3000000000")</f>
        <v>3000000000</v>
      </c>
      <c r="Q451" s="228" t="str">
        <f>IFERROR(__xludf.DUMMYFUNCTION("""COMPUTED_VALUE"""),"00000-0000000-0")</f>
        <v>00000-0000000-0</v>
      </c>
      <c r="R451" s="228" t="str">
        <f>IFERROR(__xludf.DUMMYFUNCTION("""COMPUTED_VALUE"""),"Female")</f>
        <v>Female</v>
      </c>
      <c r="S451" s="228" t="str">
        <f>IFERROR(__xludf.DUMMYFUNCTION("""COMPUTED_VALUE"""),"RBC Royal Bank of Canada")</f>
        <v>RBC Royal Bank of Canada</v>
      </c>
      <c r="T451" s="228" t="str">
        <f>IFERROR(__xludf.DUMMYFUNCTION("""COMPUTED_VALUE"""),"Title: Adriana Ardelean
Swift ROYCCAT2
Routing number:02100021
Inst No. 003
Trasit No.: 03451 
Account number:5185533")</f>
        <v>Title: Adriana Ardelean
Swift ROYCCAT2
Routing number:02100021
Inst No. 003
Trasit No.: 03451 
Account number:5185533</v>
      </c>
      <c r="U451" s="228"/>
      <c r="V451" s="228" t="str">
        <f>IFERROR(__xludf.DUMMYFUNCTION("""COMPUTED_VALUE"""),"ROYCCAT2, routing 021000021")</f>
        <v>ROYCCAT2, routing 021000021</v>
      </c>
      <c r="W451" s="228"/>
      <c r="X451" s="228" t="str">
        <f>IFERROR(__xludf.DUMMYFUNCTION("""COMPUTED_VALUE"""),"Remote")</f>
        <v>Remote</v>
      </c>
      <c r="Y451" s="730">
        <f>IFERROR(__xludf.DUMMYFUNCTION("""COMPUTED_VALUE"""),28456.0)</f>
        <v>28456</v>
      </c>
      <c r="Z451" s="228" t="str">
        <f>IFERROR(__xludf.DUMMYFUNCTION("""COMPUTED_VALUE"""),"47 Years")</f>
        <v>47 Years</v>
      </c>
      <c r="AA451" s="228" t="str">
        <f>IFERROR(__xludf.DUMMYFUNCTION("""COMPUTED_VALUE"""),"4985 Harry-Worth, #3, Pierrefonds, H9H 4X1, Canada")</f>
        <v>4985 Harry-Worth, #3, Pierrefonds, H9H 4X1, Canada</v>
      </c>
      <c r="AB451" s="228" t="str">
        <f>IFERROR(__xludf.DUMMYFUNCTION("""COMPUTED_VALUE"""),"Canadian")</f>
        <v>Canadian</v>
      </c>
      <c r="AC451" s="228" t="str">
        <f>IFERROR(__xludf.DUMMYFUNCTION("""COMPUTED_VALUE"""),"Married")</f>
        <v>Married</v>
      </c>
      <c r="AD451" s="228"/>
      <c r="AE451" s="228"/>
      <c r="AF451" s="228"/>
      <c r="AG451" s="228" t="str">
        <f>IFERROR(__xludf.DUMMYFUNCTION("""COMPUTED_VALUE"""),"Constantin")</f>
        <v>Constantin</v>
      </c>
      <c r="AH451" s="228" t="str">
        <f>IFERROR(__xludf.DUMMYFUNCTION("""COMPUTED_VALUE"""),"husband")</f>
        <v>husband</v>
      </c>
      <c r="AI451" s="228" t="str">
        <f>IFERROR(__xludf.DUMMYFUNCTION("""COMPUTED_VALUE"""),"03000000000")</f>
        <v>03000000000</v>
      </c>
      <c r="AJ451" s="228" t="str">
        <f>IFERROR(__xludf.DUMMYFUNCTION("""COMPUTED_VALUE"""),"A+")</f>
        <v>A+</v>
      </c>
      <c r="AK451" s="731" t="str">
        <f>IFERROR(__xludf.DUMMYFUNCTION("""COMPUTED_VALUE"""),"www.linkedin.com/in/cristina-ardelean")</f>
        <v>www.linkedin.com/in/cristina-ardelean</v>
      </c>
      <c r="AL451" s="228" t="str">
        <f>IFERROR(__xludf.DUMMYFUNCTION("""COMPUTED_VALUE"""),"Mustafa Shakil")</f>
        <v>Mustafa Shakil</v>
      </c>
      <c r="AM451" s="730">
        <f>IFERROR(__xludf.DUMMYFUNCTION("""COMPUTED_VALUE"""),45884.0)</f>
        <v>45884</v>
      </c>
      <c r="AN451" s="228"/>
      <c r="AO451" s="228"/>
      <c r="AP451" s="228" t="str">
        <f>IFERROR(__xludf.DUMMYFUNCTION("""COMPUTED_VALUE"""),"NO")</f>
        <v>NO</v>
      </c>
      <c r="AQ451" s="228" t="str">
        <f>IFERROR(__xludf.DUMMYFUNCTION("""COMPUTED_VALUE"""),"Resigned/Terminated")</f>
        <v>Resigned/Terminated</v>
      </c>
    </row>
    <row r="452">
      <c r="A452" s="228">
        <f>IFERROR(__xludf.DUMMYFUNCTION("""COMPUTED_VALUE"""),5329.0)</f>
        <v>5329</v>
      </c>
      <c r="B452" s="228" t="str">
        <f>IFERROR(__xludf.DUMMYFUNCTION("""COMPUTED_VALUE"""),"Zeeshan Afzal")</f>
        <v>Zeeshan Afzal</v>
      </c>
      <c r="C452" s="228" t="str">
        <f>IFERROR(__xludf.DUMMYFUNCTION("""COMPUTED_VALUE"""),"	izeeshanafzal348@gmail.com")</f>
        <v>	izeeshanafzal348@gmail.com</v>
      </c>
      <c r="D452" s="228" t="str">
        <f>IFERROR(__xludf.DUMMYFUNCTION("""COMPUTED_VALUE"""),"zeeshan.afzal@vyro.ai")</f>
        <v>zeeshan.afzal@vyro.ai</v>
      </c>
      <c r="E452" s="730">
        <f>IFERROR(__xludf.DUMMYFUNCTION("""COMPUTED_VALUE"""),45611.0)</f>
        <v>45611</v>
      </c>
      <c r="F452" s="228" t="str">
        <f>IFERROR(__xludf.DUMMYFUNCTION("""COMPUTED_VALUE"""),"WebGL Lead")</f>
        <v>WebGL Lead</v>
      </c>
      <c r="G452" s="228" t="str">
        <f>IFERROR(__xludf.DUMMYFUNCTION("""COMPUTED_VALUE"""),"Web GL")</f>
        <v>Web GL</v>
      </c>
      <c r="H452" s="228" t="str">
        <f>IFERROR(__xludf.DUMMYFUNCTION("""COMPUTED_VALUE"""),"Saad Ahmed")</f>
        <v>Saad Ahmed</v>
      </c>
      <c r="I452" s="228" t="str">
        <f>IFERROR(__xludf.DUMMYFUNCTION("""COMPUTED_VALUE"""),"NA")</f>
        <v>NA</v>
      </c>
      <c r="J452" s="228" t="str">
        <f>IFERROR(__xludf.DUMMYFUNCTION("""COMPUTED_VALUE"""),"Active")</f>
        <v>Active</v>
      </c>
      <c r="K452" s="228" t="str">
        <f>IFERROR(__xludf.DUMMYFUNCTION("""COMPUTED_VALUE"""),"NA")</f>
        <v>NA</v>
      </c>
      <c r="L452" s="228"/>
      <c r="M452" s="228"/>
      <c r="N452" s="228"/>
      <c r="O452" s="228"/>
      <c r="P452" s="228"/>
      <c r="Q452" s="228" t="str">
        <f>IFERROR(__xludf.DUMMYFUNCTION("""COMPUTED_VALUE"""),"344027-115223-7")</f>
        <v>344027-115223-7</v>
      </c>
      <c r="R452" s="228" t="str">
        <f>IFERROR(__xludf.DUMMYFUNCTION("""COMPUTED_VALUE"""),"Male")</f>
        <v>Male</v>
      </c>
      <c r="S452" s="228" t="str">
        <f>IFERROR(__xludf.DUMMYFUNCTION("""COMPUTED_VALUE"""),"First Century Bank")</f>
        <v>First Century Bank</v>
      </c>
      <c r="T452" s="228" t="str">
        <f>IFERROR(__xludf.DUMMYFUNCTION("""COMPUTED_VALUE"""),"ZEESHAN AFZAL")</f>
        <v>ZEESHAN AFZAL</v>
      </c>
      <c r="U452" s="228" t="str">
        <f>IFERROR(__xludf.DUMMYFUNCTION("""COMPUTED_VALUE"""),"4021392351779")</f>
        <v>4021392351779</v>
      </c>
      <c r="V452" s="228"/>
      <c r="W452" s="228" t="str">
        <f>IFERROR(__xludf.DUMMYFUNCTION("""COMPUTED_VALUE"""),"(ACH) 061120084")</f>
        <v>(ACH) 061120084</v>
      </c>
      <c r="X452" s="228" t="str">
        <f>IFERROR(__xludf.DUMMYFUNCTION("""COMPUTED_VALUE"""),"Remote")</f>
        <v>Remote</v>
      </c>
      <c r="Y452" s="730">
        <f>IFERROR(__xludf.DUMMYFUNCTION("""COMPUTED_VALUE"""),34915.0)</f>
        <v>34915</v>
      </c>
      <c r="Z452" s="228" t="str">
        <f>IFERROR(__xludf.DUMMYFUNCTION("""COMPUTED_VALUE"""),"29 Years")</f>
        <v>29 Years</v>
      </c>
      <c r="AA452" s="228" t="str">
        <f>IFERROR(__xludf.DUMMYFUNCTION("""COMPUTED_VALUE"""),"5 Beechfield Street, M8 OSG, UK")</f>
        <v>5 Beechfield Street, M8 OSG, UK</v>
      </c>
      <c r="AB452" s="228" t="str">
        <f>IFERROR(__xludf.DUMMYFUNCTION("""COMPUTED_VALUE"""),"Pakistani")</f>
        <v>Pakistani</v>
      </c>
      <c r="AC452" s="228" t="str">
        <f>IFERROR(__xludf.DUMMYFUNCTION("""COMPUTED_VALUE"""),"Single")</f>
        <v>Single</v>
      </c>
      <c r="AD452" s="228"/>
      <c r="AE452" s="228"/>
      <c r="AF452" s="228"/>
      <c r="AG452" s="228" t="str">
        <f>IFERROR(__xludf.DUMMYFUNCTION("""COMPUTED_VALUE"""),"Muhammad Afzal")</f>
        <v>Muhammad Afzal</v>
      </c>
      <c r="AH452" s="228" t="str">
        <f>IFERROR(__xludf.DUMMYFUNCTION("""COMPUTED_VALUE"""),"Father")</f>
        <v>Father</v>
      </c>
      <c r="AI452" s="228" t="str">
        <f>IFERROR(__xludf.DUMMYFUNCTION("""COMPUTED_VALUE"""),"3005513584")</f>
        <v>3005513584</v>
      </c>
      <c r="AJ452" s="228" t="str">
        <f>IFERROR(__xludf.DUMMYFUNCTION("""COMPUTED_VALUE"""),"A+")</f>
        <v>A+</v>
      </c>
      <c r="AK452" s="731" t="str">
        <f>IFERROR(__xludf.DUMMYFUNCTION("""COMPUTED_VALUE"""),"https://www.linkedin.com/in/zeeshan-afzal-180/")</f>
        <v>https://www.linkedin.com/in/zeeshan-afzal-180/</v>
      </c>
      <c r="AL452" s="228"/>
      <c r="AM452" s="730">
        <f>IFERROR(__xludf.DUMMYFUNCTION("""COMPUTED_VALUE"""),45888.0)</f>
        <v>45888</v>
      </c>
      <c r="AN452" s="228" t="str">
        <f>IFERROR(__xludf.DUMMYFUNCTION("""COMPUTED_VALUE"""),"Web Front-End")</f>
        <v>Web Front-End</v>
      </c>
      <c r="AO452" s="228" t="str">
        <f>IFERROR(__xludf.DUMMYFUNCTION("""COMPUTED_VALUE"""),"web.front.end@vyro.ai")</f>
        <v>web.front.end@vyro.ai</v>
      </c>
      <c r="AP452" s="228" t="str">
        <f>IFERROR(__xludf.DUMMYFUNCTION("""COMPUTED_VALUE"""),"YES")</f>
        <v>YES</v>
      </c>
      <c r="AQ452" s="228" t="str">
        <f>IFERROR(__xludf.DUMMYFUNCTION("""COMPUTED_VALUE"""),"Resigned/Terminated")</f>
        <v>Resigned/Terminated</v>
      </c>
    </row>
    <row r="453">
      <c r="A453" s="228">
        <f>IFERROR(__xludf.DUMMYFUNCTION("""COMPUTED_VALUE"""),5188.0)</f>
        <v>5188</v>
      </c>
      <c r="B453" s="228" t="str">
        <f>IFERROR(__xludf.DUMMYFUNCTION("""COMPUTED_VALUE"""),"Sukaina Ali")</f>
        <v>Sukaina Ali</v>
      </c>
      <c r="C453" s="228" t="str">
        <f>IFERROR(__xludf.DUMMYFUNCTION("""COMPUTED_VALUE"""),"sukaina.ali6@aiesec.net")</f>
        <v>sukaina.ali6@aiesec.net</v>
      </c>
      <c r="D453" s="228" t="str">
        <f>IFERROR(__xludf.DUMMYFUNCTION("""COMPUTED_VALUE"""),"sukaina.ali@vyro.ai")</f>
        <v>sukaina.ali@vyro.ai</v>
      </c>
      <c r="E453" s="730">
        <f>IFERROR(__xludf.DUMMYFUNCTION("""COMPUTED_VALUE"""),45205.0)</f>
        <v>45205</v>
      </c>
      <c r="F453" s="228" t="str">
        <f>IFERROR(__xludf.DUMMYFUNCTION("""COMPUTED_VALUE"""),"Employer Branding Associate")</f>
        <v>Employer Branding Associate</v>
      </c>
      <c r="G453" s="228" t="str">
        <f>IFERROR(__xludf.DUMMYFUNCTION("""COMPUTED_VALUE"""),"Marketing")</f>
        <v>Marketing</v>
      </c>
      <c r="H453" s="228" t="str">
        <f>IFERROR(__xludf.DUMMYFUNCTION("""COMPUTED_VALUE"""),"Suha Saeed")</f>
        <v>Suha Saeed</v>
      </c>
      <c r="I453" s="228" t="str">
        <f>IFERROR(__xludf.DUMMYFUNCTION("""COMPUTED_VALUE"""),"Permanent")</f>
        <v>Permanent</v>
      </c>
      <c r="J453" s="228" t="str">
        <f>IFERROR(__xludf.DUMMYFUNCTION("""COMPUTED_VALUE"""),"Active")</f>
        <v>Active</v>
      </c>
      <c r="K453" s="228" t="str">
        <f>IFERROR(__xludf.DUMMYFUNCTION("""COMPUTED_VALUE"""),"3M")</f>
        <v>3M</v>
      </c>
      <c r="L453" s="732">
        <f>IFERROR(__xludf.DUMMYFUNCTION("""COMPUTED_VALUE"""),45297.0)</f>
        <v>45297</v>
      </c>
      <c r="M453" s="228"/>
      <c r="N453" s="228"/>
      <c r="O453" s="228"/>
      <c r="P453" s="228" t="str">
        <f>IFERROR(__xludf.DUMMYFUNCTION("""COMPUTED_VALUE"""),"0333-7161677")</f>
        <v>0333-7161677</v>
      </c>
      <c r="Q453" s="228" t="str">
        <f>IFERROR(__xludf.DUMMYFUNCTION("""COMPUTED_VALUE"""),"37405-6240250-8")</f>
        <v>37405-6240250-8</v>
      </c>
      <c r="R453" s="228" t="str">
        <f>IFERROR(__xludf.DUMMYFUNCTION("""COMPUTED_VALUE"""),"Female")</f>
        <v>Female</v>
      </c>
      <c r="S453" s="228" t="str">
        <f>IFERROR(__xludf.DUMMYFUNCTION("""COMPUTED_VALUE"""),"Askari Bank Limited")</f>
        <v>Askari Bank Limited</v>
      </c>
      <c r="T453" s="228" t="str">
        <f>IFERROR(__xludf.DUMMYFUNCTION("""COMPUTED_VALUE"""),"Sukaina Ali")</f>
        <v>Sukaina Ali</v>
      </c>
      <c r="U453" s="228" t="str">
        <f>IFERROR(__xludf.DUMMYFUNCTION("""COMPUTED_VALUE"""),"PK82ASCM0001800610002778")</f>
        <v>PK82ASCM0001800610002778</v>
      </c>
      <c r="V453" s="228" t="str">
        <f>IFERROR(__xludf.DUMMYFUNCTION("""COMPUTED_VALUE"""),"ASCMPKKA001")</f>
        <v>ASCMPKKA001</v>
      </c>
      <c r="W453" s="228" t="str">
        <f>IFERROR(__xludf.DUMMYFUNCTION("""COMPUTED_VALUE"""),"-")</f>
        <v>-</v>
      </c>
      <c r="X453" s="228" t="str">
        <f>IFERROR(__xludf.DUMMYFUNCTION("""COMPUTED_VALUE"""),"Islamabad")</f>
        <v>Islamabad</v>
      </c>
      <c r="Y453" s="730">
        <f>IFERROR(__xludf.DUMMYFUNCTION("""COMPUTED_VALUE"""),36991.0)</f>
        <v>36991</v>
      </c>
      <c r="Z453" s="228" t="str">
        <f>IFERROR(__xludf.DUMMYFUNCTION("""COMPUTED_VALUE"""),"23 Years")</f>
        <v>23 Years</v>
      </c>
      <c r="AA453" s="228" t="str">
        <f>IFERROR(__xludf.DUMMYFUNCTION("""COMPUTED_VALUE"""),"House number 28, street 22-C, G-10/2 Islamabad")</f>
        <v>House number 28, street 22-C, G-10/2 Islamabad</v>
      </c>
      <c r="AB453" s="228" t="str">
        <f>IFERROR(__xludf.DUMMYFUNCTION("""COMPUTED_VALUE"""),"Pakistani")</f>
        <v>Pakistani</v>
      </c>
      <c r="AC453" s="228" t="str">
        <f>IFERROR(__xludf.DUMMYFUNCTION("""COMPUTED_VALUE"""),"Single")</f>
        <v>Single</v>
      </c>
      <c r="AD453" s="228"/>
      <c r="AE453" s="228"/>
      <c r="AF453" s="228"/>
      <c r="AG453" s="228" t="str">
        <f>IFERROR(__xludf.DUMMYFUNCTION("""COMPUTED_VALUE"""),"Ali Haider")</f>
        <v>Ali Haider</v>
      </c>
      <c r="AH453" s="228" t="str">
        <f>IFERROR(__xludf.DUMMYFUNCTION("""COMPUTED_VALUE"""),"Father")</f>
        <v>Father</v>
      </c>
      <c r="AI453" s="228" t="str">
        <f>IFERROR(__xludf.DUMMYFUNCTION("""COMPUTED_VALUE"""),"0320-0700770")</f>
        <v>0320-0700770</v>
      </c>
      <c r="AJ453" s="228" t="str">
        <f>IFERROR(__xludf.DUMMYFUNCTION("""COMPUTED_VALUE"""),"A-")</f>
        <v>A-</v>
      </c>
      <c r="AK453" s="731" t="str">
        <f>IFERROR(__xludf.DUMMYFUNCTION("""COMPUTED_VALUE"""),"https://www.linkedin.com/in/sukainaali6")</f>
        <v>https://www.linkedin.com/in/sukainaali6</v>
      </c>
      <c r="AL453" s="228"/>
      <c r="AM453" s="730">
        <f>IFERROR(__xludf.DUMMYFUNCTION("""COMPUTED_VALUE"""),45889.0)</f>
        <v>45889</v>
      </c>
      <c r="AN453" s="228" t="str">
        <f>IFERROR(__xludf.DUMMYFUNCTION("""COMPUTED_VALUE"""),"Branding")</f>
        <v>Branding</v>
      </c>
      <c r="AO453" s="228" t="str">
        <f>IFERROR(__xludf.DUMMYFUNCTION("""COMPUTED_VALUE"""),"branding.team@vyro.ai")</f>
        <v>branding.team@vyro.ai</v>
      </c>
      <c r="AP453" s="228" t="str">
        <f>IFERROR(__xludf.DUMMYFUNCTION("""COMPUTED_VALUE"""),"NO")</f>
        <v>NO</v>
      </c>
      <c r="AQ453" s="228" t="str">
        <f>IFERROR(__xludf.DUMMYFUNCTION("""COMPUTED_VALUE"""),"Resigned/Terminated")</f>
        <v>Resigned/Terminated</v>
      </c>
    </row>
    <row r="454">
      <c r="A454" s="228">
        <f>IFERROR(__xludf.DUMMYFUNCTION("""COMPUTED_VALUE"""),5085.0)</f>
        <v>5085</v>
      </c>
      <c r="B454" s="228" t="str">
        <f>IFERROR(__xludf.DUMMYFUNCTION("""COMPUTED_VALUE"""),"Muhammad Wajahat Sohail")</f>
        <v>Muhammad Wajahat Sohail</v>
      </c>
      <c r="C454" s="228" t="str">
        <f>IFERROR(__xludf.DUMMYFUNCTION("""COMPUTED_VALUE"""),"wsshots@gmail.com")</f>
        <v>wsshots@gmail.com</v>
      </c>
      <c r="D454" s="228" t="str">
        <f>IFERROR(__xludf.DUMMYFUNCTION("""COMPUTED_VALUE"""),"wajahat.sohail@vyro.ai")</f>
        <v>wajahat.sohail@vyro.ai</v>
      </c>
      <c r="E454" s="730">
        <f>IFERROR(__xludf.DUMMYFUNCTION("""COMPUTED_VALUE"""),44888.0)</f>
        <v>44888</v>
      </c>
      <c r="F454" s="228" t="str">
        <f>IFERROR(__xludf.DUMMYFUNCTION("""COMPUTED_VALUE"""),"iOS Development Lead")</f>
        <v>iOS Development Lead</v>
      </c>
      <c r="G454" s="228" t="str">
        <f>IFERROR(__xludf.DUMMYFUNCTION("""COMPUTED_VALUE"""),"Mobile")</f>
        <v>Mobile</v>
      </c>
      <c r="H454" s="228" t="str">
        <f>IFERROR(__xludf.DUMMYFUNCTION("""COMPUTED_VALUE"""),"Saad Aziz/ Umaira Jabeen")</f>
        <v>Saad Aziz/ Umaira Jabeen</v>
      </c>
      <c r="I454" s="228" t="str">
        <f>IFERROR(__xludf.DUMMYFUNCTION("""COMPUTED_VALUE"""),"Permanent")</f>
        <v>Permanent</v>
      </c>
      <c r="J454" s="228" t="str">
        <f>IFERROR(__xludf.DUMMYFUNCTION("""COMPUTED_VALUE"""),"Active")</f>
        <v>Active</v>
      </c>
      <c r="K454" s="228" t="str">
        <f>IFERROR(__xludf.DUMMYFUNCTION("""COMPUTED_VALUE"""),"3M")</f>
        <v>3M</v>
      </c>
      <c r="L454" s="732">
        <f>IFERROR(__xludf.DUMMYFUNCTION("""COMPUTED_VALUE"""),44980.0)</f>
        <v>44980</v>
      </c>
      <c r="M454" s="228"/>
      <c r="N454" s="228"/>
      <c r="O454" s="228"/>
      <c r="P454" s="228" t="str">
        <f>IFERROR(__xludf.DUMMYFUNCTION("""COMPUTED_VALUE"""),"03316974810")</f>
        <v>03316974810</v>
      </c>
      <c r="Q454" s="228" t="str">
        <f>IFERROR(__xludf.DUMMYFUNCTION("""COMPUTED_VALUE"""),"32203-2007547-1")</f>
        <v>32203-2007547-1</v>
      </c>
      <c r="R454" s="228" t="str">
        <f>IFERROR(__xludf.DUMMYFUNCTION("""COMPUTED_VALUE"""),"Male")</f>
        <v>Male</v>
      </c>
      <c r="S454" s="228" t="str">
        <f>IFERROR(__xludf.DUMMYFUNCTION("""COMPUTED_VALUE"""),"Bank Al falah")</f>
        <v>Bank Al falah</v>
      </c>
      <c r="T454" s="228"/>
      <c r="U454" s="228" t="str">
        <f>IFERROR(__xludf.DUMMYFUNCTION("""COMPUTED_VALUE"""),"PK03ALFH0404001008083217")</f>
        <v>PK03ALFH0404001008083217</v>
      </c>
      <c r="V454" s="228" t="str">
        <f>IFERROR(__xludf.DUMMYFUNCTION("""COMPUTED_VALUE"""),"ALFHPKKAXXX")</f>
        <v>ALFHPKKAXXX</v>
      </c>
      <c r="W454" s="228"/>
      <c r="X454" s="228" t="str">
        <f>IFERROR(__xludf.DUMMYFUNCTION("""COMPUTED_VALUE"""),"Islamabad")</f>
        <v>Islamabad</v>
      </c>
      <c r="Y454" s="730">
        <f>IFERROR(__xludf.DUMMYFUNCTION("""COMPUTED_VALUE"""),36768.0)</f>
        <v>36768</v>
      </c>
      <c r="Z454" s="228" t="str">
        <f>IFERROR(__xludf.DUMMYFUNCTION("""COMPUTED_VALUE"""),"24 Years")</f>
        <v>24 Years</v>
      </c>
      <c r="AA454" s="228" t="str">
        <f>IFERROR(__xludf.DUMMYFUNCTION("""COMPUTED_VALUE"""),"House number 15, ST 15, Royal Avenue, Park road, Islamabad")</f>
        <v>House number 15, ST 15, Royal Avenue, Park road, Islamabad</v>
      </c>
      <c r="AB454" s="228" t="str">
        <f>IFERROR(__xludf.DUMMYFUNCTION("""COMPUTED_VALUE"""),"Pakistani")</f>
        <v>Pakistani</v>
      </c>
      <c r="AC454" s="228" t="str">
        <f>IFERROR(__xludf.DUMMYFUNCTION("""COMPUTED_VALUE"""),"Single")</f>
        <v>Single</v>
      </c>
      <c r="AD454" s="228"/>
      <c r="AE454" s="228"/>
      <c r="AF454" s="228"/>
      <c r="AG454" s="228" t="str">
        <f>IFERROR(__xludf.DUMMYFUNCTION("""COMPUTED_VALUE"""),"Sohail Ahmed")</f>
        <v>Sohail Ahmed</v>
      </c>
      <c r="AH454" s="228" t="str">
        <f>IFERROR(__xludf.DUMMYFUNCTION("""COMPUTED_VALUE"""),"Father")</f>
        <v>Father</v>
      </c>
      <c r="AI454" s="228" t="str">
        <f>IFERROR(__xludf.DUMMYFUNCTION("""COMPUTED_VALUE"""),"03326288047")</f>
        <v>03326288047</v>
      </c>
      <c r="AJ454" s="228" t="str">
        <f>IFERROR(__xludf.DUMMYFUNCTION("""COMPUTED_VALUE"""),"B+")</f>
        <v>B+</v>
      </c>
      <c r="AK454" s="731" t="str">
        <f>IFERROR(__xludf.DUMMYFUNCTION("""COMPUTED_VALUE"""),"https://www.linkedin.com/in/muhammad-wajahat-b2b342211/")</f>
        <v>https://www.linkedin.com/in/muhammad-wajahat-b2b342211/</v>
      </c>
      <c r="AL454" s="228"/>
      <c r="AM454" s="730">
        <f>IFERROR(__xludf.DUMMYFUNCTION("""COMPUTED_VALUE"""),45891.0)</f>
        <v>45891</v>
      </c>
      <c r="AN454" s="228" t="str">
        <f>IFERROR(__xludf.DUMMYFUNCTION("""COMPUTED_VALUE"""),"iOS Dev")</f>
        <v>iOS Dev</v>
      </c>
      <c r="AO454" s="228" t="str">
        <f>IFERROR(__xludf.DUMMYFUNCTION("""COMPUTED_VALUE"""),"ios.dev.team@vyro.ai")</f>
        <v>ios.dev.team@vyro.ai</v>
      </c>
      <c r="AP454" s="228" t="str">
        <f>IFERROR(__xludf.DUMMYFUNCTION("""COMPUTED_VALUE"""),"NO")</f>
        <v>NO</v>
      </c>
      <c r="AQ454" s="228" t="str">
        <f>IFERROR(__xludf.DUMMYFUNCTION("""COMPUTED_VALUE"""),"Resigned/Terminated")</f>
        <v>Resigned/Terminated</v>
      </c>
    </row>
    <row r="455">
      <c r="A455" s="228">
        <f>IFERROR(__xludf.DUMMYFUNCTION("""COMPUTED_VALUE"""),5270.0)</f>
        <v>5270</v>
      </c>
      <c r="B455" s="228" t="str">
        <f>IFERROR(__xludf.DUMMYFUNCTION("""COMPUTED_VALUE"""),"Bisma Pervaiz")</f>
        <v>Bisma Pervaiz</v>
      </c>
      <c r="C455" s="228" t="str">
        <f>IFERROR(__xludf.DUMMYFUNCTION("""COMPUTED_VALUE"""),"bismapervaiz@gmail.com")</f>
        <v>bismapervaiz@gmail.com</v>
      </c>
      <c r="D455" s="228" t="str">
        <f>IFERROR(__xludf.DUMMYFUNCTION("""COMPUTED_VALUE"""),"bisma.pervaiz@vyro.ai")</f>
        <v>bisma.pervaiz@vyro.ai</v>
      </c>
      <c r="E455" s="730">
        <f>IFERROR(__xludf.DUMMYFUNCTION("""COMPUTED_VALUE"""),45418.0)</f>
        <v>45418</v>
      </c>
      <c r="F455" s="228" t="str">
        <f>IFERROR(__xludf.DUMMYFUNCTION("""COMPUTED_VALUE"""),"Senior Backend Engineer")</f>
        <v>Senior Backend Engineer</v>
      </c>
      <c r="G455" s="228" t="str">
        <f>IFERROR(__xludf.DUMMYFUNCTION("""COMPUTED_VALUE"""),"Backend")</f>
        <v>Backend</v>
      </c>
      <c r="H455" s="228" t="str">
        <f>IFERROR(__xludf.DUMMYFUNCTION("""COMPUTED_VALUE"""),"Shariq Arif")</f>
        <v>Shariq Arif</v>
      </c>
      <c r="I455" s="228" t="str">
        <f>IFERROR(__xludf.DUMMYFUNCTION("""COMPUTED_VALUE"""),"Permanent")</f>
        <v>Permanent</v>
      </c>
      <c r="J455" s="228" t="str">
        <f>IFERROR(__xludf.DUMMYFUNCTION("""COMPUTED_VALUE"""),"Active")</f>
        <v>Active</v>
      </c>
      <c r="K455" s="228" t="str">
        <f>IFERROR(__xludf.DUMMYFUNCTION("""COMPUTED_VALUE"""),"3M")</f>
        <v>3M</v>
      </c>
      <c r="L455" s="732">
        <f>IFERROR(__xludf.DUMMYFUNCTION("""COMPUTED_VALUE"""),45510.0)</f>
        <v>45510</v>
      </c>
      <c r="M455" s="228"/>
      <c r="N455" s="228"/>
      <c r="O455" s="228"/>
      <c r="P455" s="228" t="str">
        <f>IFERROR(__xludf.DUMMYFUNCTION("""COMPUTED_VALUE"""),"03216333493")</f>
        <v>03216333493</v>
      </c>
      <c r="Q455" s="228" t="str">
        <f>IFERROR(__xludf.DUMMYFUNCTION("""COMPUTED_VALUE"""),"37405-8989020-8")</f>
        <v>37405-8989020-8</v>
      </c>
      <c r="R455" s="228" t="str">
        <f>IFERROR(__xludf.DUMMYFUNCTION("""COMPUTED_VALUE"""),"Female")</f>
        <v>Female</v>
      </c>
      <c r="S455" s="228" t="str">
        <f>IFERROR(__xludf.DUMMYFUNCTION("""COMPUTED_VALUE"""),"Standard Chartered")</f>
        <v>Standard Chartered</v>
      </c>
      <c r="T455" s="228" t="str">
        <f>IFERROR(__xludf.DUMMYFUNCTION("""COMPUTED_VALUE"""),"Bisma Pervaiz")</f>
        <v>Bisma Pervaiz</v>
      </c>
      <c r="U455" s="228" t="str">
        <f>IFERROR(__xludf.DUMMYFUNCTION("""COMPUTED_VALUE"""),"PK42SCBL0000001001103801")</f>
        <v>PK42SCBL0000001001103801</v>
      </c>
      <c r="V455" s="228" t="str">
        <f>IFERROR(__xludf.DUMMYFUNCTION("""COMPUTED_VALUE"""),"SCBLPKKX")</f>
        <v>SCBLPKKX</v>
      </c>
      <c r="W455" s="228"/>
      <c r="X455" s="228" t="str">
        <f>IFERROR(__xludf.DUMMYFUNCTION("""COMPUTED_VALUE"""),"Islamabad")</f>
        <v>Islamabad</v>
      </c>
      <c r="Y455" s="730">
        <f>IFERROR(__xludf.DUMMYFUNCTION("""COMPUTED_VALUE"""),35201.0)</f>
        <v>35201</v>
      </c>
      <c r="Z455" s="228" t="str">
        <f>IFERROR(__xludf.DUMMYFUNCTION("""COMPUTED_VALUE"""),"28 Years")</f>
        <v>28 Years</v>
      </c>
      <c r="AA455" s="228" t="str">
        <f>IFERROR(__xludf.DUMMYFUNCTION("""COMPUTED_VALUE"""),"House 251, street 3, Askari XI, Rawalpindi")</f>
        <v>House 251, street 3, Askari XI, Rawalpindi</v>
      </c>
      <c r="AB455" s="228" t="str">
        <f>IFERROR(__xludf.DUMMYFUNCTION("""COMPUTED_VALUE"""),"Pakistani")</f>
        <v>Pakistani</v>
      </c>
      <c r="AC455" s="228" t="str">
        <f>IFERROR(__xludf.DUMMYFUNCTION("""COMPUTED_VALUE"""),"Single")</f>
        <v>Single</v>
      </c>
      <c r="AD455" s="228"/>
      <c r="AE455" s="228"/>
      <c r="AF455" s="228"/>
      <c r="AG455" s="228" t="str">
        <f>IFERROR(__xludf.DUMMYFUNCTION("""COMPUTED_VALUE"""),"Savila Pervaiz")</f>
        <v>Savila Pervaiz</v>
      </c>
      <c r="AH455" s="228" t="str">
        <f>IFERROR(__xludf.DUMMYFUNCTION("""COMPUTED_VALUE"""),"Mother")</f>
        <v>Mother</v>
      </c>
      <c r="AI455" s="228" t="str">
        <f>IFERROR(__xludf.DUMMYFUNCTION("""COMPUTED_VALUE"""),"3216333494")</f>
        <v>3216333494</v>
      </c>
      <c r="AJ455" s="228" t="str">
        <f>IFERROR(__xludf.DUMMYFUNCTION("""COMPUTED_VALUE"""),"B+")</f>
        <v>B+</v>
      </c>
      <c r="AK455" s="731" t="str">
        <f>IFERROR(__xludf.DUMMYFUNCTION("""COMPUTED_VALUE"""),"https://www.linkedin.com/in/bisma-pervaiz/")</f>
        <v>https://www.linkedin.com/in/bisma-pervaiz/</v>
      </c>
      <c r="AL455" s="228"/>
      <c r="AM455" s="730">
        <f>IFERROR(__xludf.DUMMYFUNCTION("""COMPUTED_VALUE"""),45894.0)</f>
        <v>45894</v>
      </c>
      <c r="AN455" s="228" t="str">
        <f>IFERROR(__xludf.DUMMYFUNCTION("""COMPUTED_VALUE"""),"Back-End")</f>
        <v>Back-End</v>
      </c>
      <c r="AO455" s="228" t="str">
        <f>IFERROR(__xludf.DUMMYFUNCTION("""COMPUTED_VALUE"""),"backend.team@vyro.ai")</f>
        <v>backend.team@vyro.ai</v>
      </c>
      <c r="AP455" s="228" t="str">
        <f>IFERROR(__xludf.DUMMYFUNCTION("""COMPUTED_VALUE"""),"NO")</f>
        <v>NO</v>
      </c>
      <c r="AQ455" s="228" t="str">
        <f>IFERROR(__xludf.DUMMYFUNCTION("""COMPUTED_VALUE"""),"Resigned/Terminated")</f>
        <v>Resigned/Terminated</v>
      </c>
    </row>
    <row r="456">
      <c r="A456" s="228">
        <f>IFERROR(__xludf.DUMMYFUNCTION("""COMPUTED_VALUE"""),5334.0)</f>
        <v>5334</v>
      </c>
      <c r="B456" s="228" t="str">
        <f>IFERROR(__xludf.DUMMYFUNCTION("""COMPUTED_VALUE"""),"Mehreen Zehra Jafri")</f>
        <v>Mehreen Zehra Jafri</v>
      </c>
      <c r="C456" s="228" t="str">
        <f>IFERROR(__xludf.DUMMYFUNCTION("""COMPUTED_VALUE"""),"mehreenzehraj@gmail.com")</f>
        <v>mehreenzehraj@gmail.com</v>
      </c>
      <c r="D456" s="228" t="str">
        <f>IFERROR(__xludf.DUMMYFUNCTION("""COMPUTED_VALUE"""),"mehreen.jafri@vyro.ai")</f>
        <v>mehreen.jafri@vyro.ai</v>
      </c>
      <c r="E456" s="730">
        <f>IFERROR(__xludf.DUMMYFUNCTION("""COMPUTED_VALUE"""),45628.0)</f>
        <v>45628</v>
      </c>
      <c r="F456" s="228" t="str">
        <f>IFERROR(__xludf.DUMMYFUNCTION("""COMPUTED_VALUE"""),"Associate Tech Recruiter")</f>
        <v>Associate Tech Recruiter</v>
      </c>
      <c r="G456" s="228" t="str">
        <f>IFERROR(__xludf.DUMMYFUNCTION("""COMPUTED_VALUE"""),"People &amp; Talent")</f>
        <v>People &amp; Talent</v>
      </c>
      <c r="H456" s="228" t="str">
        <f>IFERROR(__xludf.DUMMYFUNCTION("""COMPUTED_VALUE"""),"Ahmed Abubakar")</f>
        <v>Ahmed Abubakar</v>
      </c>
      <c r="I456" s="228" t="str">
        <f>IFERROR(__xludf.DUMMYFUNCTION("""COMPUTED_VALUE"""),"Probation")</f>
        <v>Probation</v>
      </c>
      <c r="J456" s="228" t="str">
        <f>IFERROR(__xludf.DUMMYFUNCTION("""COMPUTED_VALUE"""),"Active")</f>
        <v>Active</v>
      </c>
      <c r="K456" s="228" t="str">
        <f>IFERROR(__xludf.DUMMYFUNCTION("""COMPUTED_VALUE"""),"3M")</f>
        <v>3M</v>
      </c>
      <c r="L456" s="732">
        <f>IFERROR(__xludf.DUMMYFUNCTION("""COMPUTED_VALUE"""),45718.0)</f>
        <v>45718</v>
      </c>
      <c r="M456" s="228"/>
      <c r="N456" s="228"/>
      <c r="O456" s="228"/>
      <c r="P456" s="228" t="str">
        <f>IFERROR(__xludf.DUMMYFUNCTION("""COMPUTED_VALUE"""),"03355959072")</f>
        <v>03355959072</v>
      </c>
      <c r="Q456" s="228" t="str">
        <f>IFERROR(__xludf.DUMMYFUNCTION("""COMPUTED_VALUE"""),"61101-8815127-8")</f>
        <v>61101-8815127-8</v>
      </c>
      <c r="R456" s="228" t="str">
        <f>IFERROR(__xludf.DUMMYFUNCTION("""COMPUTED_VALUE"""),"Female")</f>
        <v>Female</v>
      </c>
      <c r="S456" s="228" t="str">
        <f>IFERROR(__xludf.DUMMYFUNCTION("""COMPUTED_VALUE"""),"SADAPAY")</f>
        <v>SADAPAY</v>
      </c>
      <c r="T456" s="228" t="str">
        <f>IFERROR(__xludf.DUMMYFUNCTION("""COMPUTED_VALUE"""),"Syeda Mehreen Zehra Jafri")</f>
        <v>Syeda Mehreen Zehra Jafri</v>
      </c>
      <c r="U456" s="228" t="str">
        <f>IFERROR(__xludf.DUMMYFUNCTION("""COMPUTED_VALUE"""),"PK81SADA0000003355959072")</f>
        <v>PK81SADA0000003355959072</v>
      </c>
      <c r="V456" s="228"/>
      <c r="W456" s="228"/>
      <c r="X456" s="228" t="str">
        <f>IFERROR(__xludf.DUMMYFUNCTION("""COMPUTED_VALUE"""),"Islamabad")</f>
        <v>Islamabad</v>
      </c>
      <c r="Y456" s="730">
        <f>IFERROR(__xludf.DUMMYFUNCTION("""COMPUTED_VALUE"""),36062.0)</f>
        <v>36062</v>
      </c>
      <c r="Z456" s="228" t="str">
        <f>IFERROR(__xludf.DUMMYFUNCTION("""COMPUTED_VALUE"""),"26 Years")</f>
        <v>26 Years</v>
      </c>
      <c r="AA456" s="228" t="str">
        <f>IFERROR(__xludf.DUMMYFUNCTION("""COMPUTED_VALUE"""),"House 17, Street 36, G-6/2 Islamabad")</f>
        <v>House 17, Street 36, G-6/2 Islamabad</v>
      </c>
      <c r="AB456" s="228" t="str">
        <f>IFERROR(__xludf.DUMMYFUNCTION("""COMPUTED_VALUE"""),"Pakistani")</f>
        <v>Pakistani</v>
      </c>
      <c r="AC456" s="228" t="str">
        <f>IFERROR(__xludf.DUMMYFUNCTION("""COMPUTED_VALUE"""),"Single")</f>
        <v>Single</v>
      </c>
      <c r="AD456" s="228"/>
      <c r="AE456" s="228"/>
      <c r="AF456" s="228"/>
      <c r="AG456" s="228" t="str">
        <f>IFERROR(__xludf.DUMMYFUNCTION("""COMPUTED_VALUE"""),"Tehzeeb Jafri")</f>
        <v>Tehzeeb Jafri</v>
      </c>
      <c r="AH456" s="228" t="str">
        <f>IFERROR(__xludf.DUMMYFUNCTION("""COMPUTED_VALUE"""),"Father")</f>
        <v>Father</v>
      </c>
      <c r="AI456" s="228" t="str">
        <f>IFERROR(__xludf.DUMMYFUNCTION("""COMPUTED_VALUE"""),"03134576599")</f>
        <v>03134576599</v>
      </c>
      <c r="AJ456" s="228" t="str">
        <f>IFERROR(__xludf.DUMMYFUNCTION("""COMPUTED_VALUE"""),"B+")</f>
        <v>B+</v>
      </c>
      <c r="AK456" s="731" t="str">
        <f>IFERROR(__xludf.DUMMYFUNCTION("""COMPUTED_VALUE"""),"www.linkedin.com/in/mehreen-zehra-jafri-056a8a13a")</f>
        <v>www.linkedin.com/in/mehreen-zehra-jafri-056a8a13a</v>
      </c>
      <c r="AL456" s="228"/>
      <c r="AM456" s="730">
        <f>IFERROR(__xludf.DUMMYFUNCTION("""COMPUTED_VALUE"""),45895.0)</f>
        <v>45895</v>
      </c>
      <c r="AN456" s="228"/>
      <c r="AO456" s="228"/>
      <c r="AP456" s="228" t="str">
        <f>IFERROR(__xludf.DUMMYFUNCTION("""COMPUTED_VALUE"""),"NO")</f>
        <v>NO</v>
      </c>
      <c r="AQ456" s="228" t="str">
        <f>IFERROR(__xludf.DUMMYFUNCTION("""COMPUTED_VALUE"""),"Resigned/Terminated")</f>
        <v>Resigned/Terminated</v>
      </c>
    </row>
    <row r="457">
      <c r="A457" s="228">
        <f>IFERROR(__xludf.DUMMYFUNCTION("""COMPUTED_VALUE"""),5413.0)</f>
        <v>5413</v>
      </c>
      <c r="B457" s="228" t="str">
        <f>IFERROR(__xludf.DUMMYFUNCTION("""COMPUTED_VALUE"""),"Areeba Imran")</f>
        <v>Areeba Imran</v>
      </c>
      <c r="C457" s="228" t="str">
        <f>IFERROR(__xludf.DUMMYFUNCTION("""COMPUTED_VALUE"""),"areebaimransaigal@gmail.com")</f>
        <v>areebaimransaigal@gmail.com</v>
      </c>
      <c r="D457" s="228" t="str">
        <f>IFERROR(__xludf.DUMMYFUNCTION("""COMPUTED_VALUE"""),"areeba.imran@vyro.ai")</f>
        <v>areeba.imran@vyro.ai</v>
      </c>
      <c r="E457" s="730">
        <f>IFERROR(__xludf.DUMMYFUNCTION("""COMPUTED_VALUE"""),45803.0)</f>
        <v>45803</v>
      </c>
      <c r="F457" s="228" t="str">
        <f>IFERROR(__xludf.DUMMYFUNCTION("""COMPUTED_VALUE"""),"Senior SEO Writer")</f>
        <v>Senior SEO Writer</v>
      </c>
      <c r="G457" s="228" t="str">
        <f>IFERROR(__xludf.DUMMYFUNCTION("""COMPUTED_VALUE"""),"SEO")</f>
        <v>SEO</v>
      </c>
      <c r="H457" s="228" t="str">
        <f>IFERROR(__xludf.DUMMYFUNCTION("""COMPUTED_VALUE"""),"Syed Usama")</f>
        <v>Syed Usama</v>
      </c>
      <c r="I457" s="228" t="str">
        <f>IFERROR(__xludf.DUMMYFUNCTION("""COMPUTED_VALUE"""),"Onsite")</f>
        <v>Onsite</v>
      </c>
      <c r="J457" s="228" t="str">
        <f>IFERROR(__xludf.DUMMYFUNCTION("""COMPUTED_VALUE"""),"Active")</f>
        <v>Active</v>
      </c>
      <c r="K457" s="228"/>
      <c r="L457" s="732">
        <f>IFERROR(__xludf.DUMMYFUNCTION("""COMPUTED_VALUE"""),45895.0)</f>
        <v>45895</v>
      </c>
      <c r="M457" s="228"/>
      <c r="N457" s="228"/>
      <c r="O457" s="228"/>
      <c r="P457" s="228" t="str">
        <f>IFERROR(__xludf.DUMMYFUNCTION("""COMPUTED_VALUE"""),"3350367659")</f>
        <v>3350367659</v>
      </c>
      <c r="Q457" s="228" t="str">
        <f>IFERROR(__xludf.DUMMYFUNCTION("""COMPUTED_VALUE"""),"42301-6136338-8")</f>
        <v>42301-6136338-8</v>
      </c>
      <c r="R457" s="228" t="str">
        <f>IFERROR(__xludf.DUMMYFUNCTION("""COMPUTED_VALUE"""),"Female")</f>
        <v>Female</v>
      </c>
      <c r="S457" s="228" t="str">
        <f>IFERROR(__xludf.DUMMYFUNCTION("""COMPUTED_VALUE"""),"HBL")</f>
        <v>HBL</v>
      </c>
      <c r="T457" s="228" t="str">
        <f>IFERROR(__xludf.DUMMYFUNCTION("""COMPUTED_VALUE"""),"Areeba Imran")</f>
        <v>Areeba Imran</v>
      </c>
      <c r="U457" s="228" t="str">
        <f>IFERROR(__xludf.DUMMYFUNCTION("""COMPUTED_VALUE"""),"PK43HABB0022497948672003")</f>
        <v>PK43HABB0022497948672003</v>
      </c>
      <c r="V457" s="228" t="str">
        <f>IFERROR(__xludf.DUMMYFUNCTION("""COMPUTED_VALUE"""),"-")</f>
        <v>-</v>
      </c>
      <c r="W457" s="228"/>
      <c r="X457" s="228" t="str">
        <f>IFERROR(__xludf.DUMMYFUNCTION("""COMPUTED_VALUE"""),"Islamabad")</f>
        <v>Islamabad</v>
      </c>
      <c r="Y457" s="730">
        <f>IFERROR(__xludf.DUMMYFUNCTION("""COMPUTED_VALUE"""),34794.0)</f>
        <v>34794</v>
      </c>
      <c r="Z457" s="228" t="str">
        <f>IFERROR(__xludf.DUMMYFUNCTION("""COMPUTED_VALUE"""),"30 Years")</f>
        <v>30 Years</v>
      </c>
      <c r="AA457" s="228" t="str">
        <f>IFERROR(__xludf.DUMMYFUNCTION("""COMPUTED_VALUE"""),"308, Park Avenue Apartment, F-11/1, Islamabad.")</f>
        <v>308, Park Avenue Apartment, F-11/1, Islamabad.</v>
      </c>
      <c r="AB457" s="228" t="str">
        <f>IFERROR(__xludf.DUMMYFUNCTION("""COMPUTED_VALUE"""),"Pakistan")</f>
        <v>Pakistan</v>
      </c>
      <c r="AC457" s="228" t="str">
        <f>IFERROR(__xludf.DUMMYFUNCTION("""COMPUTED_VALUE"""),"Married")</f>
        <v>Married</v>
      </c>
      <c r="AD457" s="228"/>
      <c r="AE457" s="228"/>
      <c r="AF457" s="228"/>
      <c r="AG457" s="228" t="str">
        <f>IFERROR(__xludf.DUMMYFUNCTION("""COMPUTED_VALUE"""),"Imran Khalid")</f>
        <v>Imran Khalid</v>
      </c>
      <c r="AH457" s="228" t="str">
        <f>IFERROR(__xludf.DUMMYFUNCTION("""COMPUTED_VALUE"""),"Husband")</f>
        <v>Husband</v>
      </c>
      <c r="AI457" s="228" t="str">
        <f>IFERROR(__xludf.DUMMYFUNCTION("""COMPUTED_VALUE"""),"3235419121")</f>
        <v>3235419121</v>
      </c>
      <c r="AJ457" s="228" t="str">
        <f>IFERROR(__xludf.DUMMYFUNCTION("""COMPUTED_VALUE"""),"AB+")</f>
        <v>AB+</v>
      </c>
      <c r="AK457" s="731" t="str">
        <f>IFERROR(__xludf.DUMMYFUNCTION("""COMPUTED_VALUE"""),"www.linkedin.com/in/areebasaigal")</f>
        <v>www.linkedin.com/in/areebasaigal</v>
      </c>
      <c r="AL457" s="228" t="str">
        <f>IFERROR(__xludf.DUMMYFUNCTION("""COMPUTED_VALUE"""),"Misher and Mustafa")</f>
        <v>Misher and Mustafa</v>
      </c>
      <c r="AM457" s="730">
        <f>IFERROR(__xludf.DUMMYFUNCTION("""COMPUTED_VALUE"""),45896.0)</f>
        <v>45896</v>
      </c>
      <c r="AN457" s="228"/>
      <c r="AO457" s="228"/>
      <c r="AP457" s="228" t="str">
        <f>IFERROR(__xludf.DUMMYFUNCTION("""COMPUTED_VALUE"""),"NO")</f>
        <v>NO</v>
      </c>
      <c r="AQ457" s="228" t="str">
        <f>IFERROR(__xludf.DUMMYFUNCTION("""COMPUTED_VALUE"""),"Resigned/Terminated")</f>
        <v>Resigned/Terminated</v>
      </c>
    </row>
    <row r="458">
      <c r="A458" s="228">
        <f>IFERROR(__xludf.DUMMYFUNCTION("""COMPUTED_VALUE"""),5287.0)</f>
        <v>5287</v>
      </c>
      <c r="B458" s="228" t="str">
        <f>IFERROR(__xludf.DUMMYFUNCTION("""COMPUTED_VALUE"""),"Muhammad Saqib Rasheed")</f>
        <v>Muhammad Saqib Rasheed</v>
      </c>
      <c r="C458" s="228" t="str">
        <f>IFERROR(__xludf.DUMMYFUNCTION("""COMPUTED_VALUE"""),"mrasheed.bese19seecs@seecs.edu.pk")</f>
        <v>mrasheed.bese19seecs@seecs.edu.pk</v>
      </c>
      <c r="D458" s="228" t="str">
        <f>IFERROR(__xludf.DUMMYFUNCTION("""COMPUTED_VALUE"""),"saqib.rasheed@vyro.ai")</f>
        <v>saqib.rasheed@vyro.ai</v>
      </c>
      <c r="E458" s="730">
        <f>IFERROR(__xludf.DUMMYFUNCTION("""COMPUTED_VALUE"""),45481.0)</f>
        <v>45481</v>
      </c>
      <c r="F458" s="228" t="str">
        <f>IFERROR(__xludf.DUMMYFUNCTION("""COMPUTED_VALUE"""),"Technical Project Manager")</f>
        <v>Technical Project Manager</v>
      </c>
      <c r="G458" s="228" t="str">
        <f>IFERROR(__xludf.DUMMYFUNCTION("""COMPUTED_VALUE"""),"Frontend")</f>
        <v>Frontend</v>
      </c>
      <c r="H458" s="228" t="str">
        <f>IFERROR(__xludf.DUMMYFUNCTION("""COMPUTED_VALUE"""),"Shariq Arif")</f>
        <v>Shariq Arif</v>
      </c>
      <c r="I458" s="228" t="str">
        <f>IFERROR(__xludf.DUMMYFUNCTION("""COMPUTED_VALUE"""),"Probation")</f>
        <v>Probation</v>
      </c>
      <c r="J458" s="228" t="str">
        <f>IFERROR(__xludf.DUMMYFUNCTION("""COMPUTED_VALUE"""),"Active")</f>
        <v>Active</v>
      </c>
      <c r="K458" s="228" t="str">
        <f>IFERROR(__xludf.DUMMYFUNCTION("""COMPUTED_VALUE"""),"3M")</f>
        <v>3M</v>
      </c>
      <c r="L458" s="732">
        <f>IFERROR(__xludf.DUMMYFUNCTION("""COMPUTED_VALUE"""),-619169.0)</f>
        <v>-619169</v>
      </c>
      <c r="M458" s="228"/>
      <c r="N458" s="228"/>
      <c r="O458" s="228"/>
      <c r="P458" s="228" t="str">
        <f>IFERROR(__xludf.DUMMYFUNCTION("""COMPUTED_VALUE"""),"03117263569")</f>
        <v>03117263569</v>
      </c>
      <c r="Q458" s="228" t="str">
        <f>IFERROR(__xludf.DUMMYFUNCTION("""COMPUTED_VALUE"""),"33201-7216483-1")</f>
        <v>33201-7216483-1</v>
      </c>
      <c r="R458" s="228" t="str">
        <f>IFERROR(__xludf.DUMMYFUNCTION("""COMPUTED_VALUE"""),"Male")</f>
        <v>Male</v>
      </c>
      <c r="S458" s="228" t="str">
        <f>IFERROR(__xludf.DUMMYFUNCTION("""COMPUTED_VALUE"""),"HBL")</f>
        <v>HBL</v>
      </c>
      <c r="T458" s="228" t="str">
        <f>IFERROR(__xludf.DUMMYFUNCTION("""COMPUTED_VALUE"""),"Muhammad Saqib")</f>
        <v>Muhammad Saqib</v>
      </c>
      <c r="U458" s="228" t="str">
        <f>IFERROR(__xludf.DUMMYFUNCTION("""COMPUTED_VALUE"""),"PK68HABB0022927917375403")</f>
        <v>PK68HABB0022927917375403</v>
      </c>
      <c r="V458" s="228" t="str">
        <f>IFERROR(__xludf.DUMMYFUNCTION("""COMPUTED_VALUE"""),"HABBPKKA242")</f>
        <v>HABBPKKA242</v>
      </c>
      <c r="W458" s="228"/>
      <c r="X458" s="228" t="str">
        <f>IFERROR(__xludf.DUMMYFUNCTION("""COMPUTED_VALUE"""),"Islamabad")</f>
        <v>Islamabad</v>
      </c>
      <c r="Y458" s="730">
        <f>IFERROR(__xludf.DUMMYFUNCTION("""COMPUTED_VALUE"""),37257.0)</f>
        <v>37257</v>
      </c>
      <c r="Z458" s="228" t="str">
        <f>IFERROR(__xludf.DUMMYFUNCTION("""COMPUTED_VALUE"""),"23 Years")</f>
        <v>23 Years</v>
      </c>
      <c r="AA458" s="228" t="str">
        <f>IFERROR(__xludf.DUMMYFUNCTION("""COMPUTED_VALUE"""),"Rehman Village, Phase 2, Street 2, Jhang Road, Faisalabad")</f>
        <v>Rehman Village, Phase 2, Street 2, Jhang Road, Faisalabad</v>
      </c>
      <c r="AB458" s="228" t="str">
        <f>IFERROR(__xludf.DUMMYFUNCTION("""COMPUTED_VALUE"""),"Pakistani")</f>
        <v>Pakistani</v>
      </c>
      <c r="AC458" s="228" t="str">
        <f>IFERROR(__xludf.DUMMYFUNCTION("""COMPUTED_VALUE"""),"Single")</f>
        <v>Single</v>
      </c>
      <c r="AD458" s="228"/>
      <c r="AE458" s="228"/>
      <c r="AF458" s="228"/>
      <c r="AG458" s="228" t="str">
        <f>IFERROR(__xludf.DUMMYFUNCTION("""COMPUTED_VALUE"""),"Abdul Rasheed")</f>
        <v>Abdul Rasheed</v>
      </c>
      <c r="AH458" s="228" t="str">
        <f>IFERROR(__xludf.DUMMYFUNCTION("""COMPUTED_VALUE"""),"Father")</f>
        <v>Father</v>
      </c>
      <c r="AI458" s="228" t="str">
        <f>IFERROR(__xludf.DUMMYFUNCTION("""COMPUTED_VALUE"""),"3490434254")</f>
        <v>3490434254</v>
      </c>
      <c r="AJ458" s="228" t="str">
        <f>IFERROR(__xludf.DUMMYFUNCTION("""COMPUTED_VALUE"""),"A+")</f>
        <v>A+</v>
      </c>
      <c r="AK458" s="731" t="str">
        <f>IFERROR(__xludf.DUMMYFUNCTION("""COMPUTED_VALUE"""),"https://www.linkedin.com/in/saqib-rasheed/")</f>
        <v>https://www.linkedin.com/in/saqib-rasheed/</v>
      </c>
      <c r="AL458" s="228"/>
      <c r="AM458" s="730">
        <f>IFERROR(__xludf.DUMMYFUNCTION("""COMPUTED_VALUE"""),45900.0)</f>
        <v>45900</v>
      </c>
      <c r="AN458" s="228" t="str">
        <f>IFERROR(__xludf.DUMMYFUNCTION("""COMPUTED_VALUE"""),"Web Front-End")</f>
        <v>Web Front-End</v>
      </c>
      <c r="AO458" s="228" t="str">
        <f>IFERROR(__xludf.DUMMYFUNCTION("""COMPUTED_VALUE"""),"web.front.end@vyro.ai")</f>
        <v>web.front.end@vyro.ai</v>
      </c>
      <c r="AP458" s="228" t="str">
        <f>IFERROR(__xludf.DUMMYFUNCTION("""COMPUTED_VALUE"""),"NO")</f>
        <v>NO</v>
      </c>
      <c r="AQ458" s="228" t="str">
        <f>IFERROR(__xludf.DUMMYFUNCTION("""COMPUTED_VALUE"""),"Resigned/Terminated")</f>
        <v>Resigned/Terminated</v>
      </c>
    </row>
    <row r="459">
      <c r="A459" s="228">
        <f>IFERROR(__xludf.DUMMYFUNCTION("""COMPUTED_VALUE"""),5344.0)</f>
        <v>5344</v>
      </c>
      <c r="B459" s="228" t="str">
        <f>IFERROR(__xludf.DUMMYFUNCTION("""COMPUTED_VALUE"""),"Rija Zahid")</f>
        <v>Rija Zahid</v>
      </c>
      <c r="C459" s="228" t="str">
        <f>IFERROR(__xludf.DUMMYFUNCTION("""COMPUTED_VALUE"""),"rijazahid7@gmail.com")</f>
        <v>rijazahid7@gmail.com</v>
      </c>
      <c r="D459" s="228" t="str">
        <f>IFERROR(__xludf.DUMMYFUNCTION("""COMPUTED_VALUE"""),"rija.zahid@vyro.ai")</f>
        <v>rija.zahid@vyro.ai</v>
      </c>
      <c r="E459" s="730">
        <f>IFERROR(__xludf.DUMMYFUNCTION("""COMPUTED_VALUE"""),45663.0)</f>
        <v>45663</v>
      </c>
      <c r="F459" s="228" t="str">
        <f>IFERROR(__xludf.DUMMYFUNCTION("""COMPUTED_VALUE"""),"Brand Executive")</f>
        <v>Brand Executive</v>
      </c>
      <c r="G459" s="228" t="str">
        <f>IFERROR(__xludf.DUMMYFUNCTION("""COMPUTED_VALUE"""),"Branding")</f>
        <v>Branding</v>
      </c>
      <c r="H459" s="228" t="str">
        <f>IFERROR(__xludf.DUMMYFUNCTION("""COMPUTED_VALUE"""),"Sukaina Ali")</f>
        <v>Sukaina Ali</v>
      </c>
      <c r="I459" s="228" t="str">
        <f>IFERROR(__xludf.DUMMYFUNCTION("""COMPUTED_VALUE"""),"Probation")</f>
        <v>Probation</v>
      </c>
      <c r="J459" s="228" t="str">
        <f>IFERROR(__xludf.DUMMYFUNCTION("""COMPUTED_VALUE"""),"Active")</f>
        <v>Active</v>
      </c>
      <c r="K459" s="228" t="str">
        <f>IFERROR(__xludf.DUMMYFUNCTION("""COMPUTED_VALUE"""),"3M")</f>
        <v>3M</v>
      </c>
      <c r="L459" s="732">
        <f>IFERROR(__xludf.DUMMYFUNCTION("""COMPUTED_VALUE"""),45753.0)</f>
        <v>45753</v>
      </c>
      <c r="M459" s="228"/>
      <c r="N459" s="228"/>
      <c r="O459" s="228"/>
      <c r="P459" s="228" t="str">
        <f>IFERROR(__xludf.DUMMYFUNCTION("""COMPUTED_VALUE"""),"3310207777")</f>
        <v>3310207777</v>
      </c>
      <c r="Q459" s="228" t="str">
        <f>IFERROR(__xludf.DUMMYFUNCTION("""COMPUTED_VALUE"""),"35202-3728295-0")</f>
        <v>35202-3728295-0</v>
      </c>
      <c r="R459" s="228" t="str">
        <f>IFERROR(__xludf.DUMMYFUNCTION("""COMPUTED_VALUE"""),"Female")</f>
        <v>Female</v>
      </c>
      <c r="S459" s="228" t="str">
        <f>IFERROR(__xludf.DUMMYFUNCTION("""COMPUTED_VALUE"""),"Standard Chartered")</f>
        <v>Standard Chartered</v>
      </c>
      <c r="T459" s="228" t="str">
        <f>IFERROR(__xludf.DUMMYFUNCTION("""COMPUTED_VALUE"""),"Rija Zahid")</f>
        <v>Rija Zahid</v>
      </c>
      <c r="U459" s="228" t="str">
        <f>IFERROR(__xludf.DUMMYFUNCTION("""COMPUTED_VALUE"""),"PK09SCBL0000001039642301")</f>
        <v>PK09SCBL0000001039642301</v>
      </c>
      <c r="V459" s="228" t="str">
        <f>IFERROR(__xludf.DUMMYFUNCTION("""COMPUTED_VALUE"""),"SCBLPKKXCLF")</f>
        <v>SCBLPKKXCLF</v>
      </c>
      <c r="W459" s="228"/>
      <c r="X459" s="228" t="str">
        <f>IFERROR(__xludf.DUMMYFUNCTION("""COMPUTED_VALUE"""),"Islamabad")</f>
        <v>Islamabad</v>
      </c>
      <c r="Y459" s="730">
        <f>IFERROR(__xludf.DUMMYFUNCTION("""COMPUTED_VALUE"""),37636.0)</f>
        <v>37636</v>
      </c>
      <c r="Z459" s="228" t="str">
        <f>IFERROR(__xludf.DUMMYFUNCTION("""COMPUTED_VALUE"""),"22 Years")</f>
        <v>22 Years</v>
      </c>
      <c r="AA459" s="228" t="str">
        <f>IFERROR(__xludf.DUMMYFUNCTION("""COMPUTED_VALUE"""),"house#26 street#33 G-13/2 Islamabad")</f>
        <v>house#26 street#33 G-13/2 Islamabad</v>
      </c>
      <c r="AB459" s="228" t="str">
        <f>IFERROR(__xludf.DUMMYFUNCTION("""COMPUTED_VALUE"""),"Pakistani")</f>
        <v>Pakistani</v>
      </c>
      <c r="AC459" s="228" t="str">
        <f>IFERROR(__xludf.DUMMYFUNCTION("""COMPUTED_VALUE"""),"Single")</f>
        <v>Single</v>
      </c>
      <c r="AD459" s="228"/>
      <c r="AE459" s="228"/>
      <c r="AF459" s="228"/>
      <c r="AG459" s="228" t="str">
        <f>IFERROR(__xludf.DUMMYFUNCTION("""COMPUTED_VALUE"""),"Zahid Nawaz")</f>
        <v>Zahid Nawaz</v>
      </c>
      <c r="AH459" s="228" t="str">
        <f>IFERROR(__xludf.DUMMYFUNCTION("""COMPUTED_VALUE"""),"Father")</f>
        <v>Father</v>
      </c>
      <c r="AI459" s="228" t="str">
        <f>IFERROR(__xludf.DUMMYFUNCTION("""COMPUTED_VALUE"""),"03008564182")</f>
        <v>03008564182</v>
      </c>
      <c r="AJ459" s="228" t="str">
        <f>IFERROR(__xludf.DUMMYFUNCTION("""COMPUTED_VALUE"""),"B-")</f>
        <v>B-</v>
      </c>
      <c r="AK459" s="731" t="str">
        <f>IFERROR(__xludf.DUMMYFUNCTION("""COMPUTED_VALUE"""),"https://www.linkedin.com/in/rija-zahid-ba61b3233?utm_source=share&amp;utm_campaign=share_via&amp;utm_content=profile&amp;utm_medium=ios_app")</f>
        <v>https://www.linkedin.com/in/rija-zahid-ba61b3233?utm_source=share&amp;utm_campaign=share_via&amp;utm_content=profile&amp;utm_medium=ios_app</v>
      </c>
      <c r="AL459" s="228"/>
      <c r="AM459" s="730">
        <f>IFERROR(__xludf.DUMMYFUNCTION("""COMPUTED_VALUE"""),45901.0)</f>
        <v>45901</v>
      </c>
      <c r="AN459" s="228"/>
      <c r="AO459" s="228"/>
      <c r="AP459" s="228" t="str">
        <f>IFERROR(__xludf.DUMMYFUNCTION("""COMPUTED_VALUE"""),"NO")</f>
        <v>NO</v>
      </c>
      <c r="AQ459" s="228" t="str">
        <f>IFERROR(__xludf.DUMMYFUNCTION("""COMPUTED_VALUE"""),"Resigned/Terminated")</f>
        <v>Resigned/Terminated</v>
      </c>
    </row>
    <row r="460">
      <c r="A460" s="228">
        <f>IFERROR(__xludf.DUMMYFUNCTION("""COMPUTED_VALUE"""),5428.0)</f>
        <v>5428</v>
      </c>
      <c r="B460" s="228" t="str">
        <f>IFERROR(__xludf.DUMMYFUNCTION("""COMPUTED_VALUE"""),"Ahmad Raza Khokhar")</f>
        <v>Ahmad Raza Khokhar</v>
      </c>
      <c r="C460" s="228" t="str">
        <f>IFERROR(__xludf.DUMMYFUNCTION("""COMPUTED_VALUE"""),"ahmadrazawebexpert@gmail.com")</f>
        <v>ahmadrazawebexpert@gmail.com</v>
      </c>
      <c r="D460" s="228" t="str">
        <f>IFERROR(__xludf.DUMMYFUNCTION("""COMPUTED_VALUE"""),"ahmad.raza@vyro.ai")</f>
        <v>ahmad.raza@vyro.ai</v>
      </c>
      <c r="E460" s="730">
        <f>IFERROR(__xludf.DUMMYFUNCTION("""COMPUTED_VALUE"""),45831.0)</f>
        <v>45831</v>
      </c>
      <c r="F460" s="228" t="str">
        <f>IFERROR(__xludf.DUMMYFUNCTION("""COMPUTED_VALUE"""),"Frontend Engineer")</f>
        <v>Frontend Engineer</v>
      </c>
      <c r="G460" s="228" t="str">
        <f>IFERROR(__xludf.DUMMYFUNCTION("""COMPUTED_VALUE"""),"Frontend")</f>
        <v>Frontend</v>
      </c>
      <c r="H460" s="228" t="str">
        <f>IFERROR(__xludf.DUMMYFUNCTION("""COMPUTED_VALUE"""),"Hammad Maqsood")</f>
        <v>Hammad Maqsood</v>
      </c>
      <c r="I460" s="228" t="str">
        <f>IFERROR(__xludf.DUMMYFUNCTION("""COMPUTED_VALUE"""),"Onsite")</f>
        <v>Onsite</v>
      </c>
      <c r="J460" s="228" t="str">
        <f>IFERROR(__xludf.DUMMYFUNCTION("""COMPUTED_VALUE"""),"Active")</f>
        <v>Active</v>
      </c>
      <c r="K460" s="228"/>
      <c r="L460" s="732">
        <f>IFERROR(__xludf.DUMMYFUNCTION("""COMPUTED_VALUE"""),45923.0)</f>
        <v>45923</v>
      </c>
      <c r="M460" s="228"/>
      <c r="N460" s="228"/>
      <c r="O460" s="228"/>
      <c r="P460" s="228" t="str">
        <f>IFERROR(__xludf.DUMMYFUNCTION("""COMPUTED_VALUE"""),"3144240550")</f>
        <v>3144240550</v>
      </c>
      <c r="Q460" s="228" t="str">
        <f>IFERROR(__xludf.DUMMYFUNCTION("""COMPUTED_VALUE"""),"35201-5977475-9")</f>
        <v>35201-5977475-9</v>
      </c>
      <c r="R460" s="228" t="str">
        <f>IFERROR(__xludf.DUMMYFUNCTION("""COMPUTED_VALUE"""),"Male")</f>
        <v>Male</v>
      </c>
      <c r="S460" s="228" t="str">
        <f>IFERROR(__xludf.DUMMYFUNCTION("""COMPUTED_VALUE"""),"Bank Alfalah Islamic")</f>
        <v>Bank Alfalah Islamic</v>
      </c>
      <c r="T460" s="228" t="str">
        <f>IFERROR(__xludf.DUMMYFUNCTION("""COMPUTED_VALUE"""),"Ahmad Raza")</f>
        <v>Ahmad Raza</v>
      </c>
      <c r="U460" s="228" t="str">
        <f>IFERROR(__xludf.DUMMYFUNCTION("""COMPUTED_VALUE"""),"PK87ALFH5627005002185883")</f>
        <v>PK87ALFH5627005002185883</v>
      </c>
      <c r="V460" s="228" t="str">
        <f>IFERROR(__xludf.DUMMYFUNCTION("""COMPUTED_VALUE"""),"PK87ALFH")</f>
        <v>PK87ALFH</v>
      </c>
      <c r="W460" s="228"/>
      <c r="X460" s="228"/>
      <c r="Y460" s="730">
        <f>IFERROR(__xludf.DUMMYFUNCTION("""COMPUTED_VALUE"""),37517.0)</f>
        <v>37517</v>
      </c>
      <c r="Z460" s="228" t="str">
        <f>IFERROR(__xludf.DUMMYFUNCTION("""COMPUTED_VALUE"""),"22 Years")</f>
        <v>22 Years</v>
      </c>
      <c r="AA460" s="228" t="str">
        <f>IFERROR(__xludf.DUMMYFUNCTION("""COMPUTED_VALUE"""),"Bahadurabad, Pak Town 3, House 385, Postal Khas Kamahan, Lahore")</f>
        <v>Bahadurabad, Pak Town 3, House 385, Postal Khas Kamahan, Lahore</v>
      </c>
      <c r="AB460" s="228" t="str">
        <f>IFERROR(__xludf.DUMMYFUNCTION("""COMPUTED_VALUE"""),"Pakistani")</f>
        <v>Pakistani</v>
      </c>
      <c r="AC460" s="228" t="str">
        <f>IFERROR(__xludf.DUMMYFUNCTION("""COMPUTED_VALUE"""),"Single")</f>
        <v>Single</v>
      </c>
      <c r="AD460" s="228"/>
      <c r="AE460" s="228"/>
      <c r="AF460" s="228"/>
      <c r="AG460" s="228" t="str">
        <f>IFERROR(__xludf.DUMMYFUNCTION("""COMPUTED_VALUE"""),"Muhammad Yousaf")</f>
        <v>Muhammad Yousaf</v>
      </c>
      <c r="AH460" s="228" t="str">
        <f>IFERROR(__xludf.DUMMYFUNCTION("""COMPUTED_VALUE"""),"Mother")</f>
        <v>Mother</v>
      </c>
      <c r="AI460" s="228" t="str">
        <f>IFERROR(__xludf.DUMMYFUNCTION("""COMPUTED_VALUE"""),"3414148852")</f>
        <v>3414148852</v>
      </c>
      <c r="AJ460" s="228" t="str">
        <f>IFERROR(__xludf.DUMMYFUNCTION("""COMPUTED_VALUE"""),"A+")</f>
        <v>A+</v>
      </c>
      <c r="AK460" s="731" t="str">
        <f>IFERROR(__xludf.DUMMYFUNCTION("""COMPUTED_VALUE"""),"https://www.linkedin.com/in/ahmad-raza-khokhar/")</f>
        <v>https://www.linkedin.com/in/ahmad-raza-khokhar/</v>
      </c>
      <c r="AL460" s="228" t="str">
        <f>IFERROR(__xludf.DUMMYFUNCTION("""COMPUTED_VALUE"""),"Annum Inam Tirmizi")</f>
        <v>Annum Inam Tirmizi</v>
      </c>
      <c r="AM460" s="730">
        <f>IFERROR(__xludf.DUMMYFUNCTION("""COMPUTED_VALUE"""),45903.0)</f>
        <v>45903</v>
      </c>
      <c r="AN460" s="228"/>
      <c r="AO460" s="228"/>
      <c r="AP460" s="228" t="str">
        <f>IFERROR(__xludf.DUMMYFUNCTION("""COMPUTED_VALUE"""),"NO")</f>
        <v>NO</v>
      </c>
      <c r="AQ460" s="228" t="str">
        <f>IFERROR(__xludf.DUMMYFUNCTION("""COMPUTED_VALUE"""),"Resigned/Terminated")</f>
        <v>Resigned/Terminated</v>
      </c>
    </row>
    <row r="461">
      <c r="A461" s="228">
        <f>IFERROR(__xludf.DUMMYFUNCTION("""COMPUTED_VALUE"""),5444.0)</f>
        <v>5444</v>
      </c>
      <c r="B461" s="228" t="str">
        <f>IFERROR(__xludf.DUMMYFUNCTION("""COMPUTED_VALUE"""),"Sahran Lalani")</f>
        <v>Sahran Lalani</v>
      </c>
      <c r="C461" s="228" t="str">
        <f>IFERROR(__xludf.DUMMYFUNCTION("""COMPUTED_VALUE"""),"sahranlalani11@hotmail.com")</f>
        <v>sahranlalani11@hotmail.com</v>
      </c>
      <c r="D461" s="228" t="str">
        <f>IFERROR(__xludf.DUMMYFUNCTION("""COMPUTED_VALUE"""),"sahran.lalani@vyro.ai")</f>
        <v>sahran.lalani@vyro.ai</v>
      </c>
      <c r="E461" s="730">
        <f>IFERROR(__xludf.DUMMYFUNCTION("""COMPUTED_VALUE"""),45894.0)</f>
        <v>45894</v>
      </c>
      <c r="F461" s="228" t="str">
        <f>IFERROR(__xludf.DUMMYFUNCTION("""COMPUTED_VALUE"""),"Email Copywriter")</f>
        <v>Email Copywriter</v>
      </c>
      <c r="G461" s="228" t="str">
        <f>IFERROR(__xludf.DUMMYFUNCTION("""COMPUTED_VALUE"""),"Marketing")</f>
        <v>Marketing</v>
      </c>
      <c r="H461" s="228" t="str">
        <f>IFERROR(__xludf.DUMMYFUNCTION("""COMPUTED_VALUE"""),"Kamran Khalid")</f>
        <v>Kamran Khalid</v>
      </c>
      <c r="I461" s="228" t="str">
        <f>IFERROR(__xludf.DUMMYFUNCTION("""COMPUTED_VALUE"""),"Full Time")</f>
        <v>Full Time</v>
      </c>
      <c r="J461" s="228"/>
      <c r="K461" s="228"/>
      <c r="L461" s="228"/>
      <c r="M461" s="228"/>
      <c r="N461" s="228"/>
      <c r="O461" s="228"/>
      <c r="P461" s="228" t="str">
        <f>IFERROR(__xludf.DUMMYFUNCTION("""COMPUTED_VALUE"""),"3333452004")</f>
        <v>3333452004</v>
      </c>
      <c r="Q461" s="228" t="str">
        <f>IFERROR(__xludf.DUMMYFUNCTION("""COMPUTED_VALUE"""),"42201-2361860-9")</f>
        <v>42201-2361860-9</v>
      </c>
      <c r="R461" s="228" t="str">
        <f>IFERROR(__xludf.DUMMYFUNCTION("""COMPUTED_VALUE"""),"Male")</f>
        <v>Male</v>
      </c>
      <c r="S461" s="228" t="str">
        <f>IFERROR(__xludf.DUMMYFUNCTION("""COMPUTED_VALUE"""),"Standard Chartered Bank Pakistan")</f>
        <v>Standard Chartered Bank Pakistan</v>
      </c>
      <c r="T461" s="228" t="str">
        <f>IFERROR(__xludf.DUMMYFUNCTION("""COMPUTED_VALUE"""),"Sahran Lalani")</f>
        <v>Sahran Lalani</v>
      </c>
      <c r="U461" s="228" t="str">
        <f>IFERROR(__xludf.DUMMYFUNCTION("""COMPUTED_VALUE"""),"PK24SCBL0000001012124101")</f>
        <v>PK24SCBL0000001012124101</v>
      </c>
      <c r="V461" s="228" t="str">
        <f>IFERROR(__xludf.DUMMYFUNCTION("""COMPUTED_VALUE"""),"SCBLPKKX")</f>
        <v>SCBLPKKX</v>
      </c>
      <c r="W461" s="228"/>
      <c r="X461" s="228"/>
      <c r="Y461" s="730">
        <f>IFERROR(__xludf.DUMMYFUNCTION("""COMPUTED_VALUE"""),35350.0)</f>
        <v>35350</v>
      </c>
      <c r="Z461" s="228"/>
      <c r="AA461" s="228" t="str">
        <f>IFERROR(__xludf.DUMMYFUNCTION("""COMPUTED_VALUE"""),"A-8, Lakhani Towers, Garden west")</f>
        <v>A-8, Lakhani Towers, Garden west</v>
      </c>
      <c r="AB461" s="228" t="str">
        <f>IFERROR(__xludf.DUMMYFUNCTION("""COMPUTED_VALUE"""),"Pakistani")</f>
        <v>Pakistani</v>
      </c>
      <c r="AC461" s="228" t="str">
        <f>IFERROR(__xludf.DUMMYFUNCTION("""COMPUTED_VALUE"""),"Married")</f>
        <v>Married</v>
      </c>
      <c r="AD461" s="228"/>
      <c r="AE461" s="228"/>
      <c r="AF461" s="228"/>
      <c r="AG461" s="228" t="str">
        <f>IFERROR(__xludf.DUMMYFUNCTION("""COMPUTED_VALUE"""),"Nizar Lalani")</f>
        <v>Nizar Lalani</v>
      </c>
      <c r="AH461" s="228" t="str">
        <f>IFERROR(__xludf.DUMMYFUNCTION("""COMPUTED_VALUE"""),"Father")</f>
        <v>Father</v>
      </c>
      <c r="AI461" s="228" t="str">
        <f>IFERROR(__xludf.DUMMYFUNCTION("""COMPUTED_VALUE"""),"3082228497")</f>
        <v>3082228497</v>
      </c>
      <c r="AJ461" s="228" t="str">
        <f>IFERROR(__xludf.DUMMYFUNCTION("""COMPUTED_VALUE"""),"A+")</f>
        <v>A+</v>
      </c>
      <c r="AK461" s="228"/>
      <c r="AL461" s="228" t="str">
        <f>IFERROR(__xludf.DUMMYFUNCTION("""COMPUTED_VALUE"""),"Mustafa Shakil")</f>
        <v>Mustafa Shakil</v>
      </c>
      <c r="AM461" s="730">
        <f>IFERROR(__xludf.DUMMYFUNCTION("""COMPUTED_VALUE"""),45904.0)</f>
        <v>45904</v>
      </c>
      <c r="AN461" s="228"/>
      <c r="AO461" s="228"/>
      <c r="AP461" s="228" t="str">
        <f>IFERROR(__xludf.DUMMYFUNCTION("""COMPUTED_VALUE"""),"NO")</f>
        <v>NO</v>
      </c>
      <c r="AQ461" s="228" t="str">
        <f>IFERROR(__xludf.DUMMYFUNCTION("""COMPUTED_VALUE"""),"Resigned/Terminated")</f>
        <v>Resigned/Terminated</v>
      </c>
    </row>
    <row r="462">
      <c r="A462" s="228">
        <f>IFERROR(__xludf.DUMMYFUNCTION("""COMPUTED_VALUE"""),5250.0)</f>
        <v>5250</v>
      </c>
      <c r="B462" s="228" t="str">
        <f>IFERROR(__xludf.DUMMYFUNCTION("""COMPUTED_VALUE"""),"Sabdezar Irfan")</f>
        <v>Sabdezar Irfan</v>
      </c>
      <c r="C462" s="228" t="str">
        <f>IFERROR(__xludf.DUMMYFUNCTION("""COMPUTED_VALUE"""),"sabzaygig@gmail.com")</f>
        <v>sabzaygig@gmail.com</v>
      </c>
      <c r="D462" s="228" t="str">
        <f>IFERROR(__xludf.DUMMYFUNCTION("""COMPUTED_VALUE"""),"sabdezar.irfan@vyro.ai")</f>
        <v>sabdezar.irfan@vyro.ai</v>
      </c>
      <c r="E462" s="730">
        <f>IFERROR(__xludf.DUMMYFUNCTION("""COMPUTED_VALUE"""),45376.0)</f>
        <v>45376</v>
      </c>
      <c r="F462" s="228" t="str">
        <f>IFERROR(__xludf.DUMMYFUNCTION("""COMPUTED_VALUE"""),"Senior Visual Designer")</f>
        <v>Senior Visual Designer</v>
      </c>
      <c r="G462" s="228" t="str">
        <f>IFERROR(__xludf.DUMMYFUNCTION("""COMPUTED_VALUE"""),"Social Media &amp; Community Growth")</f>
        <v>Social Media &amp; Community Growth</v>
      </c>
      <c r="H462" s="228" t="str">
        <f>IFERROR(__xludf.DUMMYFUNCTION("""COMPUTED_VALUE"""),"Shawal Fida")</f>
        <v>Shawal Fida</v>
      </c>
      <c r="I462" s="228" t="str">
        <f>IFERROR(__xludf.DUMMYFUNCTION("""COMPUTED_VALUE"""),"Permanent")</f>
        <v>Permanent</v>
      </c>
      <c r="J462" s="228" t="str">
        <f>IFERROR(__xludf.DUMMYFUNCTION("""COMPUTED_VALUE"""),"Active")</f>
        <v>Active</v>
      </c>
      <c r="K462" s="228" t="str">
        <f>IFERROR(__xludf.DUMMYFUNCTION("""COMPUTED_VALUE"""),"3M")</f>
        <v>3M</v>
      </c>
      <c r="L462" s="732">
        <f>IFERROR(__xludf.DUMMYFUNCTION("""COMPUTED_VALUE"""),45468.0)</f>
        <v>45468</v>
      </c>
      <c r="M462" s="228"/>
      <c r="N462" s="228"/>
      <c r="O462" s="228"/>
      <c r="P462" s="228" t="str">
        <f>IFERROR(__xludf.DUMMYFUNCTION("""COMPUTED_VALUE"""),"Not Provided")</f>
        <v>Not Provided</v>
      </c>
      <c r="Q462" s="228" t="str">
        <f>IFERROR(__xludf.DUMMYFUNCTION("""COMPUTED_VALUE"""),"35201-1547140-8")</f>
        <v>35201-1547140-8</v>
      </c>
      <c r="R462" s="228" t="str">
        <f>IFERROR(__xludf.DUMMYFUNCTION("""COMPUTED_VALUE"""),"Female")</f>
        <v>Female</v>
      </c>
      <c r="S462" s="228" t="str">
        <f>IFERROR(__xludf.DUMMYFUNCTION("""COMPUTED_VALUE"""),"Meezan Bank")</f>
        <v>Meezan Bank</v>
      </c>
      <c r="T462" s="228" t="str">
        <f>IFERROR(__xludf.DUMMYFUNCTION("""COMPUTED_VALUE"""),"SABDEZAR IRFAN")</f>
        <v>SABDEZAR IRFAN</v>
      </c>
      <c r="U462" s="228" t="str">
        <f>IFERROR(__xludf.DUMMYFUNCTION("""COMPUTED_VALUE"""),"PK64MEZN0011600106798205")</f>
        <v>PK64MEZN0011600106798205</v>
      </c>
      <c r="V462" s="228" t="str">
        <f>IFERROR(__xludf.DUMMYFUNCTION("""COMPUTED_VALUE"""),"MEZNPKKAGRD")</f>
        <v>MEZNPKKAGRD</v>
      </c>
      <c r="W462" s="228"/>
      <c r="X462" s="228" t="str">
        <f>IFERROR(__xludf.DUMMYFUNCTION("""COMPUTED_VALUE"""),"Remote")</f>
        <v>Remote</v>
      </c>
      <c r="Y462" s="730">
        <f>IFERROR(__xludf.DUMMYFUNCTION("""COMPUTED_VALUE"""),35395.0)</f>
        <v>35395</v>
      </c>
      <c r="Z462" s="228" t="str">
        <f>IFERROR(__xludf.DUMMYFUNCTION("""COMPUTED_VALUE"""),"28 Years")</f>
        <v>28 Years</v>
      </c>
      <c r="AA462" s="228" t="str">
        <f>IFERROR(__xludf.DUMMYFUNCTION("""COMPUTED_VALUE"""),"45 C st 6 Sui Gas Society Lahore")</f>
        <v>45 C st 6 Sui Gas Society Lahore</v>
      </c>
      <c r="AB462" s="228" t="str">
        <f>IFERROR(__xludf.DUMMYFUNCTION("""COMPUTED_VALUE"""),"Pakistani")</f>
        <v>Pakistani</v>
      </c>
      <c r="AC462" s="228" t="str">
        <f>IFERROR(__xludf.DUMMYFUNCTION("""COMPUTED_VALUE"""),"Married")</f>
        <v>Married</v>
      </c>
      <c r="AD462" s="228"/>
      <c r="AE462" s="228"/>
      <c r="AF462" s="228"/>
      <c r="AG462" s="228" t="str">
        <f>IFERROR(__xludf.DUMMYFUNCTION("""COMPUTED_VALUE"""),"Zaid Zafar Alvi (Husband)")</f>
        <v>Zaid Zafar Alvi (Husband)</v>
      </c>
      <c r="AH462" s="228" t="str">
        <f>IFERROR(__xludf.DUMMYFUNCTION("""COMPUTED_VALUE"""),"Spouse")</f>
        <v>Spouse</v>
      </c>
      <c r="AI462" s="228" t="str">
        <f>IFERROR(__xludf.DUMMYFUNCTION("""COMPUTED_VALUE"""),"03334583679")</f>
        <v>03334583679</v>
      </c>
      <c r="AJ462" s="228" t="str">
        <f>IFERROR(__xludf.DUMMYFUNCTION("""COMPUTED_VALUE"""),"B+")</f>
        <v>B+</v>
      </c>
      <c r="AK462" s="731" t="str">
        <f>IFERROR(__xludf.DUMMYFUNCTION("""COMPUTED_VALUE"""),"https://pk.linkedin.com/in/sabdezar-irfan-44a920167")</f>
        <v>https://pk.linkedin.com/in/sabdezar-irfan-44a920167</v>
      </c>
      <c r="AL462" s="228"/>
      <c r="AM462" s="730">
        <f>IFERROR(__xludf.DUMMYFUNCTION("""COMPUTED_VALUE"""),45904.0)</f>
        <v>45904</v>
      </c>
      <c r="AN462" s="228" t="str">
        <f>IFERROR(__xludf.DUMMYFUNCTION("""COMPUTED_VALUE"""),"Content")</f>
        <v>Content</v>
      </c>
      <c r="AO462" s="228" t="str">
        <f>IFERROR(__xludf.DUMMYFUNCTION("""COMPUTED_VALUE"""),"content.team@vyro.ai")</f>
        <v>content.team@vyro.ai</v>
      </c>
      <c r="AP462" s="228" t="str">
        <f>IFERROR(__xludf.DUMMYFUNCTION("""COMPUTED_VALUE"""),"NO")</f>
        <v>NO</v>
      </c>
      <c r="AQ462" s="228" t="str">
        <f>IFERROR(__xludf.DUMMYFUNCTION("""COMPUTED_VALUE"""),"Resigned/Terminated")</f>
        <v>Resigned/Terminated</v>
      </c>
    </row>
    <row r="463">
      <c r="A463" s="228">
        <f>IFERROR(__xludf.DUMMYFUNCTION("""COMPUTED_VALUE"""),5372.0)</f>
        <v>5372</v>
      </c>
      <c r="B463" s="228" t="str">
        <f>IFERROR(__xludf.DUMMYFUNCTION("""COMPUTED_VALUE"""),"Sameer Sohail")</f>
        <v>Sameer Sohail</v>
      </c>
      <c r="C463" s="228" t="str">
        <f>IFERROR(__xludf.DUMMYFUNCTION("""COMPUTED_VALUE"""),"sameercw209@gmail.com")</f>
        <v>sameercw209@gmail.com</v>
      </c>
      <c r="D463" s="228" t="str">
        <f>IFERROR(__xludf.DUMMYFUNCTION("""COMPUTED_VALUE"""),"sameer.sohail@vyro.ai")</f>
        <v>sameer.sohail@vyro.ai</v>
      </c>
      <c r="E463" s="730">
        <f>IFERROR(__xludf.DUMMYFUNCTION("""COMPUTED_VALUE"""),45698.0)</f>
        <v>45698</v>
      </c>
      <c r="F463" s="228" t="str">
        <f>IFERROR(__xludf.DUMMYFUNCTION("""COMPUTED_VALUE"""),"SEO content writer")</f>
        <v>SEO content writer</v>
      </c>
      <c r="G463" s="228" t="str">
        <f>IFERROR(__xludf.DUMMYFUNCTION("""COMPUTED_VALUE"""),"SEO")</f>
        <v>SEO</v>
      </c>
      <c r="H463" s="228" t="str">
        <f>IFERROR(__xludf.DUMMYFUNCTION("""COMPUTED_VALUE"""),"Zain")</f>
        <v>Zain</v>
      </c>
      <c r="I463" s="228" t="str">
        <f>IFERROR(__xludf.DUMMYFUNCTION("""COMPUTED_VALUE"""),"Probation")</f>
        <v>Probation</v>
      </c>
      <c r="J463" s="228" t="str">
        <f>IFERROR(__xludf.DUMMYFUNCTION("""COMPUTED_VALUE"""),"Active")</f>
        <v>Active</v>
      </c>
      <c r="K463" s="228" t="str">
        <f>IFERROR(__xludf.DUMMYFUNCTION("""COMPUTED_VALUE"""),"3M")</f>
        <v>3M</v>
      </c>
      <c r="L463" s="732">
        <f>IFERROR(__xludf.DUMMYFUNCTION("""COMPUTED_VALUE"""),45787.0)</f>
        <v>45787</v>
      </c>
      <c r="M463" s="228"/>
      <c r="N463" s="228"/>
      <c r="O463" s="228"/>
      <c r="P463" s="228" t="str">
        <f>IFERROR(__xludf.DUMMYFUNCTION("""COMPUTED_VALUE"""),"3107593883")</f>
        <v>3107593883</v>
      </c>
      <c r="Q463" s="228" t="str">
        <f>IFERROR(__xludf.DUMMYFUNCTION("""COMPUTED_VALUE"""),"37405-2803644-1")</f>
        <v>37405-2803644-1</v>
      </c>
      <c r="R463" s="228" t="str">
        <f>IFERROR(__xludf.DUMMYFUNCTION("""COMPUTED_VALUE"""),"Male")</f>
        <v>Male</v>
      </c>
      <c r="S463" s="228" t="str">
        <f>IFERROR(__xludf.DUMMYFUNCTION("""COMPUTED_VALUE"""),"Bank Alfalah")</f>
        <v>Bank Alfalah</v>
      </c>
      <c r="T463" s="228" t="str">
        <f>IFERROR(__xludf.DUMMYFUNCTION("""COMPUTED_VALUE"""),"SAMEER SOHAIL")</f>
        <v>SAMEER SOHAIL</v>
      </c>
      <c r="U463" s="228" t="str">
        <f>IFERROR(__xludf.DUMMYFUNCTION("""COMPUTED_VALUE"""),"PK63ALFH0146001008323181")</f>
        <v>PK63ALFH0146001008323181</v>
      </c>
      <c r="V463" s="228" t="str">
        <f>IFERROR(__xludf.DUMMYFUNCTION("""COMPUTED_VALUE"""),"ALFHPKKAXXX")</f>
        <v>ALFHPKKAXXX</v>
      </c>
      <c r="W463" s="228"/>
      <c r="X463" s="228" t="str">
        <f>IFERROR(__xludf.DUMMYFUNCTION("""COMPUTED_VALUE"""),"Islamabad")</f>
        <v>Islamabad</v>
      </c>
      <c r="Y463" s="730">
        <f>IFERROR(__xludf.DUMMYFUNCTION("""COMPUTED_VALUE"""),36514.0)</f>
        <v>36514</v>
      </c>
      <c r="Z463" s="228" t="str">
        <f>IFERROR(__xludf.DUMMYFUNCTION("""COMPUTED_VALUE"""),"25 Years")</f>
        <v>25 Years</v>
      </c>
      <c r="AA463" s="228" t="str">
        <f>IFERROR(__xludf.DUMMYFUNCTION("""COMPUTED_VALUE"""),"H#229-A, Block N, Mohalla Shah Wali Ullah Road, Samanabad, Lahore")</f>
        <v>H#229-A, Block N, Mohalla Shah Wali Ullah Road, Samanabad, Lahore</v>
      </c>
      <c r="AB463" s="228" t="str">
        <f>IFERROR(__xludf.DUMMYFUNCTION("""COMPUTED_VALUE"""),"Pakistani")</f>
        <v>Pakistani</v>
      </c>
      <c r="AC463" s="228" t="str">
        <f>IFERROR(__xludf.DUMMYFUNCTION("""COMPUTED_VALUE"""),"Single")</f>
        <v>Single</v>
      </c>
      <c r="AD463" s="228"/>
      <c r="AE463" s="228"/>
      <c r="AF463" s="228"/>
      <c r="AG463" s="228" t="str">
        <f>IFERROR(__xludf.DUMMYFUNCTION("""COMPUTED_VALUE"""),"Sohail Asghar")</f>
        <v>Sohail Asghar</v>
      </c>
      <c r="AH463" s="228" t="str">
        <f>IFERROR(__xludf.DUMMYFUNCTION("""COMPUTED_VALUE"""),"Father")</f>
        <v>Father</v>
      </c>
      <c r="AI463" s="228" t="str">
        <f>IFERROR(__xludf.DUMMYFUNCTION("""COMPUTED_VALUE"""),"03335538584")</f>
        <v>03335538584</v>
      </c>
      <c r="AJ463" s="228" t="str">
        <f>IFERROR(__xludf.DUMMYFUNCTION("""COMPUTED_VALUE"""),"B+")</f>
        <v>B+</v>
      </c>
      <c r="AK463" s="731" t="str">
        <f>IFERROR(__xludf.DUMMYFUNCTION("""COMPUTED_VALUE"""),"https://www.linkedin.com/in/sameersohailwriter/")</f>
        <v>https://www.linkedin.com/in/sameersohailwriter/</v>
      </c>
      <c r="AL463" s="228"/>
      <c r="AM463" s="730">
        <f>IFERROR(__xludf.DUMMYFUNCTION("""COMPUTED_VALUE"""),45908.0)</f>
        <v>45908</v>
      </c>
      <c r="AN463" s="228"/>
      <c r="AO463" s="228"/>
      <c r="AP463" s="228" t="str">
        <f>IFERROR(__xludf.DUMMYFUNCTION("""COMPUTED_VALUE"""),"NO")</f>
        <v>NO</v>
      </c>
      <c r="AQ463" s="228" t="str">
        <f>IFERROR(__xludf.DUMMYFUNCTION("""COMPUTED_VALUE"""),"Resigned/Terminated")</f>
        <v>Resigned/Terminated</v>
      </c>
    </row>
    <row r="464">
      <c r="A464" s="228">
        <f>IFERROR(__xludf.DUMMYFUNCTION("""COMPUTED_VALUE"""),5106.0)</f>
        <v>5106</v>
      </c>
      <c r="B464" s="228" t="str">
        <f>IFERROR(__xludf.DUMMYFUNCTION("""COMPUTED_VALUE"""),"Rashid Iqbal")</f>
        <v>Rashid Iqbal</v>
      </c>
      <c r="C464" s="228" t="str">
        <f>IFERROR(__xludf.DUMMYFUNCTION("""COMPUTED_VALUE"""),"rashidiqbalf16@gmail.com")</f>
        <v>rashidiqbalf16@gmail.com</v>
      </c>
      <c r="D464" s="228" t="str">
        <f>IFERROR(__xludf.DUMMYFUNCTION("""COMPUTED_VALUE"""),"rashid.iqbal@vyro.ai")</f>
        <v>rashid.iqbal@vyro.ai</v>
      </c>
      <c r="E464" s="730">
        <f>IFERROR(__xludf.DUMMYFUNCTION("""COMPUTED_VALUE"""),44986.0)</f>
        <v>44986</v>
      </c>
      <c r="F464" s="228" t="str">
        <f>IFERROR(__xludf.DUMMYFUNCTION("""COMPUTED_VALUE"""),"Software Engineer - MLOps")</f>
        <v>Software Engineer - MLOps</v>
      </c>
      <c r="G464" s="228" t="str">
        <f>IFERROR(__xludf.DUMMYFUNCTION("""COMPUTED_VALUE"""),"Machine Learning")</f>
        <v>Machine Learning</v>
      </c>
      <c r="H464" s="228" t="str">
        <f>IFERROR(__xludf.DUMMYFUNCTION("""COMPUTED_VALUE"""),"Muhammad Ahmed")</f>
        <v>Muhammad Ahmed</v>
      </c>
      <c r="I464" s="228" t="str">
        <f>IFERROR(__xludf.DUMMYFUNCTION("""COMPUTED_VALUE"""),"Permanent")</f>
        <v>Permanent</v>
      </c>
      <c r="J464" s="228" t="str">
        <f>IFERROR(__xludf.DUMMYFUNCTION("""COMPUTED_VALUE"""),"Active")</f>
        <v>Active</v>
      </c>
      <c r="K464" s="228" t="str">
        <f>IFERROR(__xludf.DUMMYFUNCTION("""COMPUTED_VALUE"""),"3M")</f>
        <v>3M</v>
      </c>
      <c r="L464" s="732">
        <f>IFERROR(__xludf.DUMMYFUNCTION("""COMPUTED_VALUE"""),45078.0)</f>
        <v>45078</v>
      </c>
      <c r="M464" s="228"/>
      <c r="N464" s="228"/>
      <c r="O464" s="228"/>
      <c r="P464" s="228" t="str">
        <f>IFERROR(__xludf.DUMMYFUNCTION("""COMPUTED_VALUE"""),"03135220192")</f>
        <v>03135220192</v>
      </c>
      <c r="Q464" s="228" t="str">
        <f>IFERROR(__xludf.DUMMYFUNCTION("""COMPUTED_VALUE"""),"37405-6880780-7")</f>
        <v>37405-6880780-7</v>
      </c>
      <c r="R464" s="228" t="str">
        <f>IFERROR(__xludf.DUMMYFUNCTION("""COMPUTED_VALUE"""),"Male")</f>
        <v>Male</v>
      </c>
      <c r="S464" s="228" t="str">
        <f>IFERROR(__xludf.DUMMYFUNCTION("""COMPUTED_VALUE"""),"HBL")</f>
        <v>HBL</v>
      </c>
      <c r="T464" s="228"/>
      <c r="U464" s="228" t="str">
        <f>IFERROR(__xludf.DUMMYFUNCTION("""COMPUTED_VALUE"""),"PK52HABB0022997001328203")</f>
        <v>PK52HABB0022997001328203</v>
      </c>
      <c r="V464" s="228"/>
      <c r="W464" s="228"/>
      <c r="X464" s="228" t="str">
        <f>IFERROR(__xludf.DUMMYFUNCTION("""COMPUTED_VALUE"""),"Islamabad")</f>
        <v>Islamabad</v>
      </c>
      <c r="Y464" s="730">
        <f>IFERROR(__xludf.DUMMYFUNCTION("""COMPUTED_VALUE"""),34732.0)</f>
        <v>34732</v>
      </c>
      <c r="Z464" s="228" t="str">
        <f>IFERROR(__xludf.DUMMYFUNCTION("""COMPUTED_VALUE"""),"30 Years")</f>
        <v>30 Years</v>
      </c>
      <c r="AA464" s="228" t="str">
        <f>IFERROR(__xludf.DUMMYFUNCTION("""COMPUTED_VALUE"""),"H# DK 266, Dhoke Kashmirian, P/O Satellite town, Service Road, rwp")</f>
        <v>H# DK 266, Dhoke Kashmirian, P/O Satellite town, Service Road, rwp</v>
      </c>
      <c r="AB464" s="228" t="str">
        <f>IFERROR(__xludf.DUMMYFUNCTION("""COMPUTED_VALUE"""),"Pakistani")</f>
        <v>Pakistani</v>
      </c>
      <c r="AC464" s="228" t="str">
        <f>IFERROR(__xludf.DUMMYFUNCTION("""COMPUTED_VALUE"""),"Single")</f>
        <v>Single</v>
      </c>
      <c r="AD464" s="228"/>
      <c r="AE464" s="228"/>
      <c r="AF464" s="228"/>
      <c r="AG464" s="228" t="str">
        <f>IFERROR(__xludf.DUMMYFUNCTION("""COMPUTED_VALUE"""),"Iqbal Naseer")</f>
        <v>Iqbal Naseer</v>
      </c>
      <c r="AH464" s="228" t="str">
        <f>IFERROR(__xludf.DUMMYFUNCTION("""COMPUTED_VALUE"""),"Father")</f>
        <v>Father</v>
      </c>
      <c r="AI464" s="228" t="str">
        <f>IFERROR(__xludf.DUMMYFUNCTION("""COMPUTED_VALUE"""),"03005223012")</f>
        <v>03005223012</v>
      </c>
      <c r="AJ464" s="228" t="str">
        <f>IFERROR(__xludf.DUMMYFUNCTION("""COMPUTED_VALUE"""),"A+")</f>
        <v>A+</v>
      </c>
      <c r="AK464" s="228"/>
      <c r="AL464" s="228"/>
      <c r="AM464" s="730">
        <f>IFERROR(__xludf.DUMMYFUNCTION("""COMPUTED_VALUE"""),45912.0)</f>
        <v>45912</v>
      </c>
      <c r="AN464" s="228" t="str">
        <f>IFERROR(__xludf.DUMMYFUNCTION("""COMPUTED_VALUE"""),"Machine Learning")</f>
        <v>Machine Learning</v>
      </c>
      <c r="AO464" s="228" t="str">
        <f>IFERROR(__xludf.DUMMYFUNCTION("""COMPUTED_VALUE"""),"ml.team@vyro.ai")</f>
        <v>ml.team@vyro.ai</v>
      </c>
      <c r="AP464" s="228" t="str">
        <f>IFERROR(__xludf.DUMMYFUNCTION("""COMPUTED_VALUE"""),"NO")</f>
        <v>NO</v>
      </c>
      <c r="AQ464" s="228" t="str">
        <f>IFERROR(__xludf.DUMMYFUNCTION("""COMPUTED_VALUE"""),"Resigned/Terminated")</f>
        <v>Resigned/Terminated</v>
      </c>
    </row>
    <row r="465">
      <c r="A465" s="228">
        <f>IFERROR(__xludf.DUMMYFUNCTION("""COMPUTED_VALUE"""),5404.0)</f>
        <v>5404</v>
      </c>
      <c r="B465" s="228" t="str">
        <f>IFERROR(__xludf.DUMMYFUNCTION("""COMPUTED_VALUE"""),"Anas Maqsood")</f>
        <v>Anas Maqsood</v>
      </c>
      <c r="C465" s="228" t="str">
        <f>IFERROR(__xludf.DUMMYFUNCTION("""COMPUTED_VALUE"""),"anasmaqsoodahmad@gmail.com")</f>
        <v>anasmaqsoodahmad@gmail.com</v>
      </c>
      <c r="D465" s="228" t="str">
        <f>IFERROR(__xludf.DUMMYFUNCTION("""COMPUTED_VALUE"""),"anas.maqsood@vyro.ai")</f>
        <v>anas.maqsood@vyro.ai</v>
      </c>
      <c r="E465" s="730">
        <f>IFERROR(__xludf.DUMMYFUNCTION("""COMPUTED_VALUE"""),45789.0)</f>
        <v>45789</v>
      </c>
      <c r="F465" s="228" t="str">
        <f>IFERROR(__xludf.DUMMYFUNCTION("""COMPUTED_VALUE"""),"Senior Growth Manager")</f>
        <v>Senior Growth Manager</v>
      </c>
      <c r="G465" s="228" t="str">
        <f>IFERROR(__xludf.DUMMYFUNCTION("""COMPUTED_VALUE"""),"Marketing")</f>
        <v>Marketing</v>
      </c>
      <c r="H465" s="228" t="str">
        <f>IFERROR(__xludf.DUMMYFUNCTION("""COMPUTED_VALUE"""),"Ahmed Abubakar , CEO")</f>
        <v>Ahmed Abubakar , CEO</v>
      </c>
      <c r="I465" s="228" t="str">
        <f>IFERROR(__xludf.DUMMYFUNCTION("""COMPUTED_VALUE"""),"Onsite")</f>
        <v>Onsite</v>
      </c>
      <c r="J465" s="228" t="str">
        <f>IFERROR(__xludf.DUMMYFUNCTION("""COMPUTED_VALUE"""),"Active")</f>
        <v>Active</v>
      </c>
      <c r="K465" s="228"/>
      <c r="L465" s="732">
        <f>IFERROR(__xludf.DUMMYFUNCTION("""COMPUTED_VALUE"""),45881.0)</f>
        <v>45881</v>
      </c>
      <c r="M465" s="228"/>
      <c r="N465" s="228"/>
      <c r="O465" s="228"/>
      <c r="P465" s="228" t="str">
        <f>IFERROR(__xludf.DUMMYFUNCTION("""COMPUTED_VALUE"""),"3105351909")</f>
        <v>3105351909</v>
      </c>
      <c r="Q465" s="228" t="str">
        <f>IFERROR(__xludf.DUMMYFUNCTION("""COMPUTED_VALUE"""),"37203-8497140-3")</f>
        <v>37203-8497140-3</v>
      </c>
      <c r="R465" s="228" t="str">
        <f>IFERROR(__xludf.DUMMYFUNCTION("""COMPUTED_VALUE"""),"Male")</f>
        <v>Male</v>
      </c>
      <c r="S465" s="228" t="str">
        <f>IFERROR(__xludf.DUMMYFUNCTION("""COMPUTED_VALUE"""),"Community Federal Savings Bank")</f>
        <v>Community Federal Savings Bank</v>
      </c>
      <c r="T465" s="228" t="str">
        <f>IFERROR(__xludf.DUMMYFUNCTION("""COMPUTED_VALUE"""),"Anas Maqsood")</f>
        <v>Anas Maqsood</v>
      </c>
      <c r="U465" s="228" t="str">
        <f>IFERROR(__xludf.DUMMYFUNCTION("""COMPUTED_VALUE"""),"8314243087")</f>
        <v>8314243087</v>
      </c>
      <c r="V465" s="228" t="str">
        <f>IFERROR(__xludf.DUMMYFUNCTION("""COMPUTED_VALUE"""),"CMFGUS33")</f>
        <v>CMFGUS33</v>
      </c>
      <c r="W465" s="228" t="str">
        <f>IFERROR(__xludf.DUMMYFUNCTION("""COMPUTED_VALUE"""),"026073150")</f>
        <v>026073150</v>
      </c>
      <c r="X465" s="228" t="str">
        <f>IFERROR(__xludf.DUMMYFUNCTION("""COMPUTED_VALUE"""),"Islamabad")</f>
        <v>Islamabad</v>
      </c>
      <c r="Y465" s="730">
        <f>IFERROR(__xludf.DUMMYFUNCTION("""COMPUTED_VALUE"""),36399.0)</f>
        <v>36399</v>
      </c>
      <c r="Z465" s="228" t="str">
        <f>IFERROR(__xludf.DUMMYFUNCTION("""COMPUTED_VALUE"""),"25 Years")</f>
        <v>25 Years</v>
      </c>
      <c r="AA465" s="228" t="str">
        <f>IFERROR(__xludf.DUMMYFUNCTION("""COMPUTED_VALUE"""),"House #12 Street #9-A Madina Town, Barakhau, Islamabad (old but as per CNIC)
House #26 Street#5 Janjua Town, Adyala Road, Rawalpindi (current/actual)")</f>
        <v>House #12 Street #9-A Madina Town, Barakhau, Islamabad (old but as per CNIC)
House #26 Street#5 Janjua Town, Adyala Road, Rawalpindi (current/actual)</v>
      </c>
      <c r="AB465" s="228" t="str">
        <f>IFERROR(__xludf.DUMMYFUNCTION("""COMPUTED_VALUE"""),"Pakistani")</f>
        <v>Pakistani</v>
      </c>
      <c r="AC465" s="228" t="str">
        <f>IFERROR(__xludf.DUMMYFUNCTION("""COMPUTED_VALUE"""),"Single")</f>
        <v>Single</v>
      </c>
      <c r="AD465" s="228"/>
      <c r="AE465" s="228"/>
      <c r="AF465" s="228"/>
      <c r="AG465" s="228" t="str">
        <f>IFERROR(__xludf.DUMMYFUNCTION("""COMPUTED_VALUE"""),"Maqsood Ahmad")</f>
        <v>Maqsood Ahmad</v>
      </c>
      <c r="AH465" s="228" t="str">
        <f>IFERROR(__xludf.DUMMYFUNCTION("""COMPUTED_VALUE"""),"Father")</f>
        <v>Father</v>
      </c>
      <c r="AI465" s="228" t="str">
        <f>IFERROR(__xludf.DUMMYFUNCTION("""COMPUTED_VALUE"""),"3465660569")</f>
        <v>3465660569</v>
      </c>
      <c r="AJ465" s="228" t="str">
        <f>IFERROR(__xludf.DUMMYFUNCTION("""COMPUTED_VALUE"""),"B+")</f>
        <v>B+</v>
      </c>
      <c r="AK465" s="731" t="str">
        <f>IFERROR(__xludf.DUMMYFUNCTION("""COMPUTED_VALUE"""),"linkedin.com/in/anasmaqsood")</f>
        <v>linkedin.com/in/anasmaqsood</v>
      </c>
      <c r="AL465" s="228" t="str">
        <f>IFERROR(__xludf.DUMMYFUNCTION("""COMPUTED_VALUE"""),"Annum Inam")</f>
        <v>Annum Inam</v>
      </c>
      <c r="AM465" s="730">
        <f>IFERROR(__xludf.DUMMYFUNCTION("""COMPUTED_VALUE"""),45911.0)</f>
        <v>45911</v>
      </c>
      <c r="AN465" s="228"/>
      <c r="AO465" s="228"/>
      <c r="AP465" s="228" t="str">
        <f>IFERROR(__xludf.DUMMYFUNCTION("""COMPUTED_VALUE"""),"NO")</f>
        <v>NO</v>
      </c>
      <c r="AQ465" s="228" t="str">
        <f>IFERROR(__xludf.DUMMYFUNCTION("""COMPUTED_VALUE"""),"Resigned/Terminated")</f>
        <v>Resigned/Terminated</v>
      </c>
    </row>
    <row r="466">
      <c r="A466" s="228">
        <f>IFERROR(__xludf.DUMMYFUNCTION("""COMPUTED_VALUE"""),5397.0)</f>
        <v>5397</v>
      </c>
      <c r="B466" s="228" t="str">
        <f>IFERROR(__xludf.DUMMYFUNCTION("""COMPUTED_VALUE"""),"Areeb Afzal")</f>
        <v>Areeb Afzal</v>
      </c>
      <c r="C466" s="228" t="str">
        <f>IFERROR(__xludf.DUMMYFUNCTION("""COMPUTED_VALUE"""),"iareebafzal1122@gmail.com")</f>
        <v>iareebafzal1122@gmail.com</v>
      </c>
      <c r="D466" s="228" t="str">
        <f>IFERROR(__xludf.DUMMYFUNCTION("""COMPUTED_VALUE"""),"areeb.afzal@vyro.ai")</f>
        <v>areeb.afzal@vyro.ai</v>
      </c>
      <c r="E466" s="730">
        <f>IFERROR(__xludf.DUMMYFUNCTION("""COMPUTED_VALUE"""),45789.0)</f>
        <v>45789</v>
      </c>
      <c r="F466" s="228" t="str">
        <f>IFERROR(__xludf.DUMMYFUNCTION("""COMPUTED_VALUE"""),"WebGL Engineer")</f>
        <v>WebGL Engineer</v>
      </c>
      <c r="G466" s="228" t="str">
        <f>IFERROR(__xludf.DUMMYFUNCTION("""COMPUTED_VALUE"""),"Web GL")</f>
        <v>Web GL</v>
      </c>
      <c r="H466" s="228" t="str">
        <f>IFERROR(__xludf.DUMMYFUNCTION("""COMPUTED_VALUE"""),"Abdullah Rafique, CTO")</f>
        <v>Abdullah Rafique, CTO</v>
      </c>
      <c r="I466" s="228" t="str">
        <f>IFERROR(__xludf.DUMMYFUNCTION("""COMPUTED_VALUE"""),"Onsite")</f>
        <v>Onsite</v>
      </c>
      <c r="J466" s="228" t="str">
        <f>IFERROR(__xludf.DUMMYFUNCTION("""COMPUTED_VALUE"""),"Active")</f>
        <v>Active</v>
      </c>
      <c r="K466" s="228"/>
      <c r="L466" s="732">
        <f>IFERROR(__xludf.DUMMYFUNCTION("""COMPUTED_VALUE"""),45881.0)</f>
        <v>45881</v>
      </c>
      <c r="M466" s="228"/>
      <c r="N466" s="228"/>
      <c r="O466" s="228"/>
      <c r="P466" s="228" t="str">
        <f>IFERROR(__xludf.DUMMYFUNCTION("""COMPUTED_VALUE"""),"3315892550")</f>
        <v>3315892550</v>
      </c>
      <c r="Q466" s="228" t="str">
        <f>IFERROR(__xludf.DUMMYFUNCTION("""COMPUTED_VALUE"""),"34402-1699095-3")</f>
        <v>34402-1699095-3</v>
      </c>
      <c r="R466" s="228" t="str">
        <f>IFERROR(__xludf.DUMMYFUNCTION("""COMPUTED_VALUE"""),"Male")</f>
        <v>Male</v>
      </c>
      <c r="S466" s="228" t="str">
        <f>IFERROR(__xludf.DUMMYFUNCTION("""COMPUTED_VALUE"""),"UBL")</f>
        <v>UBL</v>
      </c>
      <c r="T466" s="228" t="str">
        <f>IFERROR(__xludf.DUMMYFUNCTION("""COMPUTED_VALUE"""),"Areeb Afzal")</f>
        <v>Areeb Afzal</v>
      </c>
      <c r="U466" s="228" t="str">
        <f>IFERROR(__xludf.DUMMYFUNCTION("""COMPUTED_VALUE"""),"PK96UNIL0109000299629539")</f>
        <v>PK96UNIL0109000299629539</v>
      </c>
      <c r="V466" s="228" t="str">
        <f>IFERROR(__xludf.DUMMYFUNCTION("""COMPUTED_VALUE"""),"UNILPKKA")</f>
        <v>UNILPKKA</v>
      </c>
      <c r="W466" s="228"/>
      <c r="X466" s="228" t="str">
        <f>IFERROR(__xludf.DUMMYFUNCTION("""COMPUTED_VALUE"""),"Islamabad")</f>
        <v>Islamabad</v>
      </c>
      <c r="Y466" s="730">
        <f>IFERROR(__xludf.DUMMYFUNCTION("""COMPUTED_VALUE"""),36939.0)</f>
        <v>36939</v>
      </c>
      <c r="Z466" s="228" t="str">
        <f>IFERROR(__xludf.DUMMYFUNCTION("""COMPUTED_VALUE"""),"24 Years")</f>
        <v>24 Years</v>
      </c>
      <c r="AA466" s="228" t="str">
        <f>IFERROR(__xludf.DUMMYFUNCTION("""COMPUTED_VALUE"""),"House 227, Street 15, Gulzar e Quaid, Rawalpindi")</f>
        <v>House 227, Street 15, Gulzar e Quaid, Rawalpindi</v>
      </c>
      <c r="AB466" s="228" t="str">
        <f>IFERROR(__xludf.DUMMYFUNCTION("""COMPUTED_VALUE"""),"Pakistani")</f>
        <v>Pakistani</v>
      </c>
      <c r="AC466" s="228" t="str">
        <f>IFERROR(__xludf.DUMMYFUNCTION("""COMPUTED_VALUE"""),"Single")</f>
        <v>Single</v>
      </c>
      <c r="AD466" s="228"/>
      <c r="AE466" s="228"/>
      <c r="AF466" s="228"/>
      <c r="AG466" s="228" t="str">
        <f>IFERROR(__xludf.DUMMYFUNCTION("""COMPUTED_VALUE"""),"Muhammad Afzal")</f>
        <v>Muhammad Afzal</v>
      </c>
      <c r="AH466" s="228" t="str">
        <f>IFERROR(__xludf.DUMMYFUNCTION("""COMPUTED_VALUE"""),"Father")</f>
        <v>Father</v>
      </c>
      <c r="AI466" s="228" t="str">
        <f>IFERROR(__xludf.DUMMYFUNCTION("""COMPUTED_VALUE"""),"3005513584")</f>
        <v>3005513584</v>
      </c>
      <c r="AJ466" s="228" t="str">
        <f>IFERROR(__xludf.DUMMYFUNCTION("""COMPUTED_VALUE"""),"A+")</f>
        <v>A+</v>
      </c>
      <c r="AK466" s="731" t="str">
        <f>IFERROR(__xludf.DUMMYFUNCTION("""COMPUTED_VALUE"""),"https://www.linkedin.com/in/areebafzal919/")</f>
        <v>https://www.linkedin.com/in/areebafzal919/</v>
      </c>
      <c r="AL466" s="228" t="str">
        <f>IFERROR(__xludf.DUMMYFUNCTION("""COMPUTED_VALUE"""),"Shaheryar Ehsan")</f>
        <v>Shaheryar Ehsan</v>
      </c>
      <c r="AM466" s="730">
        <f>IFERROR(__xludf.DUMMYFUNCTION("""COMPUTED_VALUE"""),45915.0)</f>
        <v>45915</v>
      </c>
      <c r="AN466" s="228"/>
      <c r="AO466" s="228"/>
      <c r="AP466" s="228" t="str">
        <f>IFERROR(__xludf.DUMMYFUNCTION("""COMPUTED_VALUE"""),"NO")</f>
        <v>NO</v>
      </c>
      <c r="AQ466" s="228" t="str">
        <f>IFERROR(__xludf.DUMMYFUNCTION("""COMPUTED_VALUE"""),"Resigned/Terminated")</f>
        <v>Resigned/Terminated</v>
      </c>
    </row>
    <row r="467">
      <c r="A467" s="228">
        <f>IFERROR(__xludf.DUMMYFUNCTION("""COMPUTED_VALUE"""),5423.0)</f>
        <v>5423</v>
      </c>
      <c r="B467" s="228" t="str">
        <f>IFERROR(__xludf.DUMMYFUNCTION("""COMPUTED_VALUE"""),"Hafiza Aqsa Saleem")</f>
        <v>Hafiza Aqsa Saleem</v>
      </c>
      <c r="C467" s="228" t="str">
        <f>IFERROR(__xludf.DUMMYFUNCTION("""COMPUTED_VALUE"""),"hafizaaqsa128@gmail.com")</f>
        <v>hafizaaqsa128@gmail.com</v>
      </c>
      <c r="D467" s="228" t="str">
        <f>IFERROR(__xludf.DUMMYFUNCTION("""COMPUTED_VALUE"""),"hafiza.aqsa@vyro.ai")</f>
        <v>hafiza.aqsa@vyro.ai</v>
      </c>
      <c r="E467" s="730">
        <f>IFERROR(__xludf.DUMMYFUNCTION("""COMPUTED_VALUE"""),45810.0)</f>
        <v>45810</v>
      </c>
      <c r="F467" s="228" t="str">
        <f>IFERROR(__xludf.DUMMYFUNCTION("""COMPUTED_VALUE"""),"Admin associate")</f>
        <v>Admin associate</v>
      </c>
      <c r="G467" s="228" t="str">
        <f>IFERROR(__xludf.DUMMYFUNCTION("""COMPUTED_VALUE"""),"Admin")</f>
        <v>Admin</v>
      </c>
      <c r="H467" s="228" t="str">
        <f>IFERROR(__xludf.DUMMYFUNCTION("""COMPUTED_VALUE"""),"Muhammd Adnan")</f>
        <v>Muhammd Adnan</v>
      </c>
      <c r="I467" s="228" t="str">
        <f>IFERROR(__xludf.DUMMYFUNCTION("""COMPUTED_VALUE"""),"Onsite")</f>
        <v>Onsite</v>
      </c>
      <c r="J467" s="228" t="str">
        <f>IFERROR(__xludf.DUMMYFUNCTION("""COMPUTED_VALUE"""),"Active")</f>
        <v>Active</v>
      </c>
      <c r="K467" s="228"/>
      <c r="L467" s="732">
        <f>IFERROR(__xludf.DUMMYFUNCTION("""COMPUTED_VALUE"""),45902.0)</f>
        <v>45902</v>
      </c>
      <c r="M467" s="228"/>
      <c r="N467" s="228"/>
      <c r="O467" s="228"/>
      <c r="P467" s="228" t="str">
        <f>IFERROR(__xludf.DUMMYFUNCTION("""COMPUTED_VALUE"""),"3138846954")</f>
        <v>3138846954</v>
      </c>
      <c r="Q467" s="228" t="str">
        <f>IFERROR(__xludf.DUMMYFUNCTION("""COMPUTED_VALUE"""),"54401-3043146-8")</f>
        <v>54401-3043146-8</v>
      </c>
      <c r="R467" s="228" t="str">
        <f>IFERROR(__xludf.DUMMYFUNCTION("""COMPUTED_VALUE"""),"Female")</f>
        <v>Female</v>
      </c>
      <c r="S467" s="228" t="str">
        <f>IFERROR(__xludf.DUMMYFUNCTION("""COMPUTED_VALUE"""),"UBL")</f>
        <v>UBL</v>
      </c>
      <c r="T467" s="228" t="str">
        <f>IFERROR(__xludf.DUMMYFUNCTION("""COMPUTED_VALUE"""),"Hafiza Aqsa Saleem")</f>
        <v>Hafiza Aqsa Saleem</v>
      </c>
      <c r="U467" s="228" t="str">
        <f>IFERROR(__xludf.DUMMYFUNCTION("""COMPUTED_VALUE"""),"PK28UNIL0109000311271151")</f>
        <v>PK28UNIL0109000311271151</v>
      </c>
      <c r="V467" s="228" t="str">
        <f>IFERROR(__xludf.DUMMYFUNCTION("""COMPUTED_VALUE"""),"UNILPKKA")</f>
        <v>UNILPKKA</v>
      </c>
      <c r="W467" s="228"/>
      <c r="X467" s="228"/>
      <c r="Y467" s="730">
        <f>IFERROR(__xludf.DUMMYFUNCTION("""COMPUTED_VALUE"""),36059.0)</f>
        <v>36059</v>
      </c>
      <c r="Z467" s="228" t="str">
        <f>IFERROR(__xludf.DUMMYFUNCTION("""COMPUTED_VALUE"""),"26 Years")</f>
        <v>26 Years</v>
      </c>
      <c r="AA467" s="228" t="str">
        <f>IFERROR(__xludf.DUMMYFUNCTION("""COMPUTED_VALUE"""),"H13/3 House # 80")</f>
        <v>H13/3 House # 80</v>
      </c>
      <c r="AB467" s="228" t="str">
        <f>IFERROR(__xludf.DUMMYFUNCTION("""COMPUTED_VALUE"""),"Pakistan")</f>
        <v>Pakistan</v>
      </c>
      <c r="AC467" s="228" t="str">
        <f>IFERROR(__xludf.DUMMYFUNCTION("""COMPUTED_VALUE"""),"Single")</f>
        <v>Single</v>
      </c>
      <c r="AD467" s="228"/>
      <c r="AE467" s="228"/>
      <c r="AF467" s="228"/>
      <c r="AG467" s="228" t="str">
        <f>IFERROR(__xludf.DUMMYFUNCTION("""COMPUTED_VALUE"""),"Saleem raza baloch")</f>
        <v>Saleem raza baloch</v>
      </c>
      <c r="AH467" s="228" t="str">
        <f>IFERROR(__xludf.DUMMYFUNCTION("""COMPUTED_VALUE"""),"father")</f>
        <v>father</v>
      </c>
      <c r="AI467" s="228" t="str">
        <f>IFERROR(__xludf.DUMMYFUNCTION("""COMPUTED_VALUE"""),"3337801585")</f>
        <v>3337801585</v>
      </c>
      <c r="AJ467" s="228" t="str">
        <f>IFERROR(__xludf.DUMMYFUNCTION("""COMPUTED_VALUE"""),"A+")</f>
        <v>A+</v>
      </c>
      <c r="AK467" s="731" t="str">
        <f>IFERROR(__xludf.DUMMYFUNCTION("""COMPUTED_VALUE"""),"https://www.linkedin.com/in/hafiza-aqsa-2b340a369?utm_source=share&amp;utm_campaign=share_via&amp;utm_content=profile&amp;utm_medium=android_app")</f>
        <v>https://www.linkedin.com/in/hafiza-aqsa-2b340a369?utm_source=share&amp;utm_campaign=share_via&amp;utm_content=profile&amp;utm_medium=android_app</v>
      </c>
      <c r="AL467" s="228" t="str">
        <f>IFERROR(__xludf.DUMMYFUNCTION("""COMPUTED_VALUE"""),"Mustafa shakeel")</f>
        <v>Mustafa shakeel</v>
      </c>
      <c r="AM467" s="730">
        <f>IFERROR(__xludf.DUMMYFUNCTION("""COMPUTED_VALUE"""),45912.0)</f>
        <v>45912</v>
      </c>
      <c r="AN467" s="228"/>
      <c r="AO467" s="228"/>
      <c r="AP467" s="228" t="str">
        <f>IFERROR(__xludf.DUMMYFUNCTION("""COMPUTED_VALUE"""),"NO")</f>
        <v>NO</v>
      </c>
      <c r="AQ467" s="228" t="str">
        <f>IFERROR(__xludf.DUMMYFUNCTION("""COMPUTED_VALUE"""),"Resigned/Terminated")</f>
        <v>Resigned/Terminated</v>
      </c>
    </row>
    <row r="468">
      <c r="A468" s="228">
        <f>IFERROR(__xludf.DUMMYFUNCTION("""COMPUTED_VALUE"""),5431.0)</f>
        <v>5431</v>
      </c>
      <c r="B468" s="228" t="str">
        <f>IFERROR(__xludf.DUMMYFUNCTION("""COMPUTED_VALUE"""),"Muhammad Shariq Nazr")</f>
        <v>Muhammad Shariq Nazr</v>
      </c>
      <c r="C468" s="228" t="str">
        <f>IFERROR(__xludf.DUMMYFUNCTION("""COMPUTED_VALUE"""),"shariqnzr@gmail.com")</f>
        <v>shariqnzr@gmail.com</v>
      </c>
      <c r="D468" s="228" t="str">
        <f>IFERROR(__xludf.DUMMYFUNCTION("""COMPUTED_VALUE"""),"shariq.nazr@vyro.ai")</f>
        <v>shariq.nazr@vyro.ai</v>
      </c>
      <c r="E468" s="730">
        <f>IFERROR(__xludf.DUMMYFUNCTION("""COMPUTED_VALUE"""),45831.0)</f>
        <v>45831</v>
      </c>
      <c r="F468" s="228" t="str">
        <f>IFERROR(__xludf.DUMMYFUNCTION("""COMPUTED_VALUE"""),"Growth Product Manager")</f>
        <v>Growth Product Manager</v>
      </c>
      <c r="G468" s="228" t="str">
        <f>IFERROR(__xludf.DUMMYFUNCTION("""COMPUTED_VALUE"""),"Product")</f>
        <v>Product</v>
      </c>
      <c r="H468" s="228" t="str">
        <f>IFERROR(__xludf.DUMMYFUNCTION("""COMPUTED_VALUE"""),"Abdullah Rafique")</f>
        <v>Abdullah Rafique</v>
      </c>
      <c r="I468" s="228" t="str">
        <f>IFERROR(__xludf.DUMMYFUNCTION("""COMPUTED_VALUE"""),"Onsite")</f>
        <v>Onsite</v>
      </c>
      <c r="J468" s="228" t="str">
        <f>IFERROR(__xludf.DUMMYFUNCTION("""COMPUTED_VALUE"""),"Active")</f>
        <v>Active</v>
      </c>
      <c r="K468" s="228"/>
      <c r="L468" s="732">
        <f>IFERROR(__xludf.DUMMYFUNCTION("""COMPUTED_VALUE"""),45923.0)</f>
        <v>45923</v>
      </c>
      <c r="M468" s="228"/>
      <c r="N468" s="228"/>
      <c r="O468" s="228"/>
      <c r="P468" s="228" t="str">
        <f>IFERROR(__xludf.DUMMYFUNCTION("""COMPUTED_VALUE"""),"3416993711")</f>
        <v>3416993711</v>
      </c>
      <c r="Q468" s="228" t="str">
        <f>IFERROR(__xludf.DUMMYFUNCTION("""COMPUTED_VALUE"""),"42201-0685871-5")</f>
        <v>42201-0685871-5</v>
      </c>
      <c r="R468" s="228" t="str">
        <f>IFERROR(__xludf.DUMMYFUNCTION("""COMPUTED_VALUE"""),"Male")</f>
        <v>Male</v>
      </c>
      <c r="S468" s="228" t="str">
        <f>IFERROR(__xludf.DUMMYFUNCTION("""COMPUTED_VALUE"""),"Community Federal Savings Bank")</f>
        <v>Community Federal Savings Bank</v>
      </c>
      <c r="T468" s="228" t="str">
        <f>IFERROR(__xludf.DUMMYFUNCTION("""COMPUTED_VALUE"""),"Muhammad Shariq Nazr")</f>
        <v>Muhammad Shariq Nazr</v>
      </c>
      <c r="U468" s="228" t="str">
        <f>IFERROR(__xludf.DUMMYFUNCTION("""COMPUTED_VALUE"""),"8311932977")</f>
        <v>8311932977</v>
      </c>
      <c r="V468" s="228" t="str">
        <f>IFERROR(__xludf.DUMMYFUNCTION("""COMPUTED_VALUE"""),"CMFGUS33")</f>
        <v>CMFGUS33</v>
      </c>
      <c r="W468" s="228" t="str">
        <f>IFERROR(__xludf.DUMMYFUNCTION("""COMPUTED_VALUE"""),"026073150")</f>
        <v>026073150</v>
      </c>
      <c r="X468" s="228"/>
      <c r="Y468" s="730">
        <f>IFERROR(__xludf.DUMMYFUNCTION("""COMPUTED_VALUE"""),34550.0)</f>
        <v>34550</v>
      </c>
      <c r="Z468" s="228" t="str">
        <f>IFERROR(__xludf.DUMMYFUNCTION("""COMPUTED_VALUE"""),"30 Years")</f>
        <v>30 Years</v>
      </c>
      <c r="AA468" s="228" t="str">
        <f>IFERROR(__xludf.DUMMYFUNCTION("""COMPUTED_VALUE"""),"House #266, Street 148-A, D-12/4")</f>
        <v>House #266, Street 148-A, D-12/4</v>
      </c>
      <c r="AB468" s="228" t="str">
        <f>IFERROR(__xludf.DUMMYFUNCTION("""COMPUTED_VALUE"""),"Pakistani")</f>
        <v>Pakistani</v>
      </c>
      <c r="AC468" s="228" t="str">
        <f>IFERROR(__xludf.DUMMYFUNCTION("""COMPUTED_VALUE"""),"Single")</f>
        <v>Single</v>
      </c>
      <c r="AD468" s="228"/>
      <c r="AE468" s="228"/>
      <c r="AF468" s="228"/>
      <c r="AG468" s="228" t="str">
        <f>IFERROR(__xludf.DUMMYFUNCTION("""COMPUTED_VALUE"""),"Muhammad Tariq (Late)")</f>
        <v>Muhammad Tariq (Late)</v>
      </c>
      <c r="AH468" s="228" t="str">
        <f>IFERROR(__xludf.DUMMYFUNCTION("""COMPUTED_VALUE"""),"Cousin (Hasham)")</f>
        <v>Cousin (Hasham)</v>
      </c>
      <c r="AI468" s="228" t="str">
        <f>IFERROR(__xludf.DUMMYFUNCTION("""COMPUTED_VALUE"""),"3366610016")</f>
        <v>3366610016</v>
      </c>
      <c r="AJ468" s="228" t="str">
        <f>IFERROR(__xludf.DUMMYFUNCTION("""COMPUTED_VALUE"""),"O+")</f>
        <v>O+</v>
      </c>
      <c r="AK468" s="731" t="str">
        <f>IFERROR(__xludf.DUMMYFUNCTION("""COMPUTED_VALUE"""),"https://www.linkedin.com/in/shariq-n1/")</f>
        <v>https://www.linkedin.com/in/shariq-n1/</v>
      </c>
      <c r="AL468" s="228" t="str">
        <f>IFERROR(__xludf.DUMMYFUNCTION("""COMPUTED_VALUE"""),"Mustafa Shakil")</f>
        <v>Mustafa Shakil</v>
      </c>
      <c r="AM468" s="730">
        <f>IFERROR(__xludf.DUMMYFUNCTION("""COMPUTED_VALUE"""),45922.0)</f>
        <v>45922</v>
      </c>
      <c r="AN468" s="228"/>
      <c r="AO468" s="228"/>
      <c r="AP468" s="228" t="str">
        <f>IFERROR(__xludf.DUMMYFUNCTION("""COMPUTED_VALUE"""),"NO")</f>
        <v>NO</v>
      </c>
      <c r="AQ468" s="228" t="str">
        <f>IFERROR(__xludf.DUMMYFUNCTION("""COMPUTED_VALUE"""),"Resigned/Terminated")</f>
        <v>Resigned/Terminated</v>
      </c>
    </row>
    <row r="469">
      <c r="A469" s="228">
        <f>IFERROR(__xludf.DUMMYFUNCTION("""COMPUTED_VALUE"""),5216.0)</f>
        <v>5216</v>
      </c>
      <c r="B469" s="228" t="str">
        <f>IFERROR(__xludf.DUMMYFUNCTION("""COMPUTED_VALUE"""),"Nimra Zahid")</f>
        <v>Nimra Zahid</v>
      </c>
      <c r="C469" s="228" t="str">
        <f>IFERROR(__xludf.DUMMYFUNCTION("""COMPUTED_VALUE"""),"nimraz787@gmail.com")</f>
        <v>nimraz787@gmail.com</v>
      </c>
      <c r="D469" s="228" t="str">
        <f>IFERROR(__xludf.DUMMYFUNCTION("""COMPUTED_VALUE"""),"nimra.zahid@vyro.ai")</f>
        <v>nimra.zahid@vyro.ai</v>
      </c>
      <c r="E469" s="730">
        <f>IFERROR(__xludf.DUMMYFUNCTION("""COMPUTED_VALUE"""),45292.0)</f>
        <v>45292</v>
      </c>
      <c r="F469" s="228" t="str">
        <f>IFERROR(__xludf.DUMMYFUNCTION("""COMPUTED_VALUE"""),"Associate Product Manager")</f>
        <v>Associate Product Manager</v>
      </c>
      <c r="G469" s="228" t="str">
        <f>IFERROR(__xludf.DUMMYFUNCTION("""COMPUTED_VALUE"""),"Product")</f>
        <v>Product</v>
      </c>
      <c r="H469" s="228" t="str">
        <f>IFERROR(__xludf.DUMMYFUNCTION("""COMPUTED_VALUE"""),"Muhammad Usama")</f>
        <v>Muhammad Usama</v>
      </c>
      <c r="I469" s="228" t="str">
        <f>IFERROR(__xludf.DUMMYFUNCTION("""COMPUTED_VALUE"""),"Permanent")</f>
        <v>Permanent</v>
      </c>
      <c r="J469" s="228" t="str">
        <f>IFERROR(__xludf.DUMMYFUNCTION("""COMPUTED_VALUE"""),"Active")</f>
        <v>Active</v>
      </c>
      <c r="K469" s="228" t="str">
        <f>IFERROR(__xludf.DUMMYFUNCTION("""COMPUTED_VALUE"""),"3M")</f>
        <v>3M</v>
      </c>
      <c r="L469" s="732">
        <f>IFERROR(__xludf.DUMMYFUNCTION("""COMPUTED_VALUE"""),45383.0)</f>
        <v>45383</v>
      </c>
      <c r="M469" s="228"/>
      <c r="N469" s="228"/>
      <c r="O469" s="228"/>
      <c r="P469" s="228" t="str">
        <f>IFERROR(__xludf.DUMMYFUNCTION("""COMPUTED_VALUE"""),"3245255087")</f>
        <v>3245255087</v>
      </c>
      <c r="Q469" s="228" t="str">
        <f>IFERROR(__xludf.DUMMYFUNCTION("""COMPUTED_VALUE"""),"42201-1439506-4")</f>
        <v>42201-1439506-4</v>
      </c>
      <c r="R469" s="228" t="str">
        <f>IFERROR(__xludf.DUMMYFUNCTION("""COMPUTED_VALUE"""),"Female")</f>
        <v>Female</v>
      </c>
      <c r="S469" s="228" t="str">
        <f>IFERROR(__xludf.DUMMYFUNCTION("""COMPUTED_VALUE"""),"Al Baraka Bank limited")</f>
        <v>Al Baraka Bank limited</v>
      </c>
      <c r="T469" s="228" t="str">
        <f>IFERROR(__xludf.DUMMYFUNCTION("""COMPUTED_VALUE"""),"NIMRA ZAHID")</f>
        <v>NIMRA ZAHID</v>
      </c>
      <c r="U469" s="228" t="str">
        <f>IFERROR(__xludf.DUMMYFUNCTION("""COMPUTED_VALUE"""),"PK67AIIN0000102422563018")</f>
        <v>PK67AIIN0000102422563018</v>
      </c>
      <c r="V469" s="228"/>
      <c r="W469" s="228"/>
      <c r="X469" s="228" t="str">
        <f>IFERROR(__xludf.DUMMYFUNCTION("""COMPUTED_VALUE"""),"remote")</f>
        <v>remote</v>
      </c>
      <c r="Y469" s="730">
        <f>IFERROR(__xludf.DUMMYFUNCTION("""COMPUTED_VALUE"""),34522.0)</f>
        <v>34522</v>
      </c>
      <c r="Z469" s="228" t="str">
        <f>IFERROR(__xludf.DUMMYFUNCTION("""COMPUTED_VALUE"""),"30 Years")</f>
        <v>30 Years</v>
      </c>
      <c r="AA469" s="228" t="str">
        <f>IFERROR(__xludf.DUMMYFUNCTION("""COMPUTED_VALUE"""),"Flat F, building 17, QMG Flats Westridge 3, Rawalpindi")</f>
        <v>Flat F, building 17, QMG Flats Westridge 3, Rawalpindi</v>
      </c>
      <c r="AB469" s="228" t="str">
        <f>IFERROR(__xludf.DUMMYFUNCTION("""COMPUTED_VALUE"""),"Pakistani")</f>
        <v>Pakistani</v>
      </c>
      <c r="AC469" s="228" t="str">
        <f>IFERROR(__xludf.DUMMYFUNCTION("""COMPUTED_VALUE"""),"Married")</f>
        <v>Married</v>
      </c>
      <c r="AD469" s="228"/>
      <c r="AE469" s="228"/>
      <c r="AF469" s="228"/>
      <c r="AG469" s="228" t="str">
        <f>IFERROR(__xludf.DUMMYFUNCTION("""COMPUTED_VALUE"""),"Zahid Hussain")</f>
        <v>Zahid Hussain</v>
      </c>
      <c r="AH469" s="228" t="str">
        <f>IFERROR(__xludf.DUMMYFUNCTION("""COMPUTED_VALUE"""),"Husband")</f>
        <v>Husband</v>
      </c>
      <c r="AI469" s="228" t="str">
        <f>IFERROR(__xludf.DUMMYFUNCTION("""COMPUTED_VALUE"""),"3245110376")</f>
        <v>3245110376</v>
      </c>
      <c r="AJ469" s="228" t="str">
        <f>IFERROR(__xludf.DUMMYFUNCTION("""COMPUTED_VALUE"""),"A+")</f>
        <v>A+</v>
      </c>
      <c r="AK469" s="731" t="str">
        <f>IFERROR(__xludf.DUMMYFUNCTION("""COMPUTED_VALUE"""),"linkedin.com/in/nimrah-zahid-755a96138")</f>
        <v>linkedin.com/in/nimrah-zahid-755a96138</v>
      </c>
      <c r="AL469" s="228"/>
      <c r="AM469" s="730">
        <f>IFERROR(__xludf.DUMMYFUNCTION("""COMPUTED_VALUE"""),45926.0)</f>
        <v>45926</v>
      </c>
      <c r="AN469" s="228" t="str">
        <f>IFERROR(__xludf.DUMMYFUNCTION("""COMPUTED_VALUE"""),"Quality Assurance")</f>
        <v>Quality Assurance</v>
      </c>
      <c r="AO469" s="228" t="str">
        <f>IFERROR(__xludf.DUMMYFUNCTION("""COMPUTED_VALUE"""),"qa.team@vyro.ai")</f>
        <v>qa.team@vyro.ai</v>
      </c>
      <c r="AP469" s="228" t="str">
        <f>IFERROR(__xludf.DUMMYFUNCTION("""COMPUTED_VALUE"""),"NO")</f>
        <v>NO</v>
      </c>
      <c r="AQ469" s="228" t="str">
        <f>IFERROR(__xludf.DUMMYFUNCTION("""COMPUTED_VALUE"""),"Resigned/Terminated")</f>
        <v>Resigned/Terminated</v>
      </c>
    </row>
    <row r="470">
      <c r="A470" s="228">
        <f>IFERROR(__xludf.DUMMYFUNCTION("""COMPUTED_VALUE"""),5322.0)</f>
        <v>5322</v>
      </c>
      <c r="B470" s="228" t="str">
        <f>IFERROR(__xludf.DUMMYFUNCTION("""COMPUTED_VALUE"""),"Muhammad Osama")</f>
        <v>Muhammad Osama</v>
      </c>
      <c r="C470" s="228" t="str">
        <f>IFERROR(__xludf.DUMMYFUNCTION("""COMPUTED_VALUE"""),"muhammadosama10@gmail.com")</f>
        <v>muhammadosama10@gmail.com</v>
      </c>
      <c r="D470" s="228" t="str">
        <f>IFERROR(__xludf.DUMMYFUNCTION("""COMPUTED_VALUE"""),"muhammad.osama@vyro.ai")</f>
        <v>muhammad.osama@vyro.ai</v>
      </c>
      <c r="E470" s="730">
        <f>IFERROR(__xludf.DUMMYFUNCTION("""COMPUTED_VALUE"""),45602.0)</f>
        <v>45602</v>
      </c>
      <c r="F470" s="228" t="str">
        <f>IFERROR(__xludf.DUMMYFUNCTION("""COMPUTED_VALUE"""),"Partnership specialist")</f>
        <v>Partnership specialist</v>
      </c>
      <c r="G470" s="228" t="str">
        <f>IFERROR(__xludf.DUMMYFUNCTION("""COMPUTED_VALUE"""),"Business Solutions")</f>
        <v>Business Solutions</v>
      </c>
      <c r="H470" s="228" t="str">
        <f>IFERROR(__xludf.DUMMYFUNCTION("""COMPUTED_VALUE"""),"Zakria Amir")</f>
        <v>Zakria Amir</v>
      </c>
      <c r="I470" s="228" t="str">
        <f>IFERROR(__xludf.DUMMYFUNCTION("""COMPUTED_VALUE"""),"Probation")</f>
        <v>Probation</v>
      </c>
      <c r="J470" s="228" t="str">
        <f>IFERROR(__xludf.DUMMYFUNCTION("""COMPUTED_VALUE"""),"Active")</f>
        <v>Active</v>
      </c>
      <c r="K470" s="228" t="str">
        <f>IFERROR(__xludf.DUMMYFUNCTION("""COMPUTED_VALUE"""),"3M")</f>
        <v>3M</v>
      </c>
      <c r="L470" s="732">
        <f>IFERROR(__xludf.DUMMYFUNCTION("""COMPUTED_VALUE"""),45694.0)</f>
        <v>45694</v>
      </c>
      <c r="M470" s="228"/>
      <c r="N470" s="228"/>
      <c r="O470" s="228"/>
      <c r="P470" s="228" t="str">
        <f>IFERROR(__xludf.DUMMYFUNCTION("""COMPUTED_VALUE"""),"3215193096")</f>
        <v>3215193096</v>
      </c>
      <c r="Q470" s="228" t="str">
        <f>IFERROR(__xludf.DUMMYFUNCTION("""COMPUTED_VALUE"""),"35201-5842784-3")</f>
        <v>35201-5842784-3</v>
      </c>
      <c r="R470" s="228" t="str">
        <f>IFERROR(__xludf.DUMMYFUNCTION("""COMPUTED_VALUE"""),"Male")</f>
        <v>Male</v>
      </c>
      <c r="S470" s="228"/>
      <c r="T470" s="228" t="str">
        <f>IFERROR(__xludf.DUMMYFUNCTION("""COMPUTED_VALUE"""),"Muhammad Osama")</f>
        <v>Muhammad Osama</v>
      </c>
      <c r="U470" s="228" t="str">
        <f>IFERROR(__xludf.DUMMYFUNCTION("""COMPUTED_VALUE"""),"PK60HABB0058837000122303")</f>
        <v>PK60HABB0058837000122303</v>
      </c>
      <c r="V470" s="228"/>
      <c r="W470" s="228"/>
      <c r="X470" s="228" t="str">
        <f>IFERROR(__xludf.DUMMYFUNCTION("""COMPUTED_VALUE"""),"Islamabad")</f>
        <v>Islamabad</v>
      </c>
      <c r="Y470" s="730">
        <f>IFERROR(__xludf.DUMMYFUNCTION("""COMPUTED_VALUE"""),35195.0)</f>
        <v>35195</v>
      </c>
      <c r="Z470" s="228" t="str">
        <f>IFERROR(__xludf.DUMMYFUNCTION("""COMPUTED_VALUE"""),"28 Years")</f>
        <v>28 Years</v>
      </c>
      <c r="AA470" s="228" t="str">
        <f>IFERROR(__xludf.DUMMYFUNCTION("""COMPUTED_VALUE"""),"Street 3 House No. 159 Askari XI Rawalpindi Cantt.")</f>
        <v>Street 3 House No. 159 Askari XI Rawalpindi Cantt.</v>
      </c>
      <c r="AB470" s="228" t="str">
        <f>IFERROR(__xludf.DUMMYFUNCTION("""COMPUTED_VALUE"""),"Pakistani")</f>
        <v>Pakistani</v>
      </c>
      <c r="AC470" s="228" t="str">
        <f>IFERROR(__xludf.DUMMYFUNCTION("""COMPUTED_VALUE"""),"Single")</f>
        <v>Single</v>
      </c>
      <c r="AD470" s="228"/>
      <c r="AE470" s="228"/>
      <c r="AF470" s="228"/>
      <c r="AG470" s="228" t="str">
        <f>IFERROR(__xludf.DUMMYFUNCTION("""COMPUTED_VALUE"""),"Shahid Naveed")</f>
        <v>Shahid Naveed</v>
      </c>
      <c r="AH470" s="228" t="str">
        <f>IFERROR(__xludf.DUMMYFUNCTION("""COMPUTED_VALUE"""),"Father")</f>
        <v>Father</v>
      </c>
      <c r="AI470" s="228" t="str">
        <f>IFERROR(__xludf.DUMMYFUNCTION("""COMPUTED_VALUE"""),"3215193096")</f>
        <v>3215193096</v>
      </c>
      <c r="AJ470" s="228" t="str">
        <f>IFERROR(__xludf.DUMMYFUNCTION("""COMPUTED_VALUE"""),"O+")</f>
        <v>O+</v>
      </c>
      <c r="AK470" s="731" t="str">
        <f>IFERROR(__xludf.DUMMYFUNCTION("""COMPUTED_VALUE"""),"https://www.linkedin.com/in/osama10596/")</f>
        <v>https://www.linkedin.com/in/osama10596/</v>
      </c>
      <c r="AL470" s="228"/>
      <c r="AM470" s="730">
        <f>IFERROR(__xludf.DUMMYFUNCTION("""COMPUTED_VALUE"""),45930.0)</f>
        <v>45930</v>
      </c>
      <c r="AN470" s="228" t="str">
        <f>IFERROR(__xludf.DUMMYFUNCTION("""COMPUTED_VALUE"""),"Affiliates")</f>
        <v>Affiliates</v>
      </c>
      <c r="AO470" s="228" t="str">
        <f>IFERROR(__xludf.DUMMYFUNCTION("""COMPUTED_VALUE"""),"affiliates.team@vyro.ai")</f>
        <v>affiliates.team@vyro.ai</v>
      </c>
      <c r="AP470" s="228" t="str">
        <f>IFERROR(__xludf.DUMMYFUNCTION("""COMPUTED_VALUE"""),"NO")</f>
        <v>NO</v>
      </c>
      <c r="AQ470" s="228" t="str">
        <f>IFERROR(__xludf.DUMMYFUNCTION("""COMPUTED_VALUE"""),"Resigned/Terminated")</f>
        <v>Resigned/Terminated</v>
      </c>
    </row>
    <row r="471">
      <c r="A471" s="228">
        <f>IFERROR(__xludf.DUMMYFUNCTION("""COMPUTED_VALUE"""),5234.0)</f>
        <v>5234</v>
      </c>
      <c r="B471" s="228" t="str">
        <f>IFERROR(__xludf.DUMMYFUNCTION("""COMPUTED_VALUE"""),"Anas Hanif Attas")</f>
        <v>Anas Hanif Attas</v>
      </c>
      <c r="C471" s="228" t="str">
        <f>IFERROR(__xludf.DUMMYFUNCTION("""COMPUTED_VALUE"""),"attaskalyar@gmail.com")</f>
        <v>attaskalyar@gmail.com</v>
      </c>
      <c r="D471" s="228" t="str">
        <f>IFERROR(__xludf.DUMMYFUNCTION("""COMPUTED_VALUE"""),"attas.anas@vyro.ai")</f>
        <v>attas.anas@vyro.ai</v>
      </c>
      <c r="E471" s="730">
        <f>IFERROR(__xludf.DUMMYFUNCTION("""COMPUTED_VALUE"""),45355.0)</f>
        <v>45355</v>
      </c>
      <c r="F471" s="228" t="str">
        <f>IFERROR(__xludf.DUMMYFUNCTION("""COMPUTED_VALUE"""),"Software Engineer I")</f>
        <v>Software Engineer I</v>
      </c>
      <c r="G471" s="228" t="str">
        <f>IFERROR(__xludf.DUMMYFUNCTION("""COMPUTED_VALUE"""),"Backend")</f>
        <v>Backend</v>
      </c>
      <c r="H471" s="228" t="str">
        <f>IFERROR(__xludf.DUMMYFUNCTION("""COMPUTED_VALUE"""),"Shariq Arif")</f>
        <v>Shariq Arif</v>
      </c>
      <c r="I471" s="228" t="str">
        <f>IFERROR(__xludf.DUMMYFUNCTION("""COMPUTED_VALUE"""),"Permanent")</f>
        <v>Permanent</v>
      </c>
      <c r="J471" s="228" t="str">
        <f>IFERROR(__xludf.DUMMYFUNCTION("""COMPUTED_VALUE"""),"Active")</f>
        <v>Active</v>
      </c>
      <c r="K471" s="228" t="str">
        <f>IFERROR(__xludf.DUMMYFUNCTION("""COMPUTED_VALUE"""),"3M")</f>
        <v>3M</v>
      </c>
      <c r="L471" s="732">
        <f>IFERROR(__xludf.DUMMYFUNCTION("""COMPUTED_VALUE"""),45447.0)</f>
        <v>45447</v>
      </c>
      <c r="M471" s="228"/>
      <c r="N471" s="228"/>
      <c r="O471" s="228"/>
      <c r="P471" s="228" t="str">
        <f>IFERROR(__xludf.DUMMYFUNCTION("""COMPUTED_VALUE"""),"03194552019")</f>
        <v>03194552019</v>
      </c>
      <c r="Q471" s="228" t="str">
        <f>IFERROR(__xludf.DUMMYFUNCTION("""COMPUTED_VALUE"""),"38403-3251146-3")</f>
        <v>38403-3251146-3</v>
      </c>
      <c r="R471" s="228" t="str">
        <f>IFERROR(__xludf.DUMMYFUNCTION("""COMPUTED_VALUE"""),"Male")</f>
        <v>Male</v>
      </c>
      <c r="S471" s="228" t="str">
        <f>IFERROR(__xludf.DUMMYFUNCTION("""COMPUTED_VALUE"""),"Standard Chartered")</f>
        <v>Standard Chartered</v>
      </c>
      <c r="T471" s="228" t="str">
        <f>IFERROR(__xludf.DUMMYFUNCTION("""COMPUTED_VALUE"""),"Anas Hanif Attas")</f>
        <v>Anas Hanif Attas</v>
      </c>
      <c r="U471" s="228" t="str">
        <f>IFERROR(__xludf.DUMMYFUNCTION("""COMPUTED_VALUE"""),"PK33SCBL0000001031373201")</f>
        <v>PK33SCBL0000001031373201</v>
      </c>
      <c r="V471" s="228"/>
      <c r="W471" s="228"/>
      <c r="X471" s="228" t="str">
        <f>IFERROR(__xludf.DUMMYFUNCTION("""COMPUTED_VALUE"""),"Islamabad")</f>
        <v>Islamabad</v>
      </c>
      <c r="Y471" s="730">
        <f>IFERROR(__xludf.DUMMYFUNCTION("""COMPUTED_VALUE"""),36360.0)</f>
        <v>36360</v>
      </c>
      <c r="Z471" s="228" t="str">
        <f>IFERROR(__xludf.DUMMYFUNCTION("""COMPUTED_VALUE"""),"25 Years")</f>
        <v>25 Years</v>
      </c>
      <c r="AA471" s="228" t="str">
        <f>IFERROR(__xludf.DUMMYFUNCTION("""COMPUTED_VALUE"""),"Khudadad heights")</f>
        <v>Khudadad heights</v>
      </c>
      <c r="AB471" s="228" t="str">
        <f>IFERROR(__xludf.DUMMYFUNCTION("""COMPUTED_VALUE"""),"Pakistani")</f>
        <v>Pakistani</v>
      </c>
      <c r="AC471" s="228" t="str">
        <f>IFERROR(__xludf.DUMMYFUNCTION("""COMPUTED_VALUE"""),"Single")</f>
        <v>Single</v>
      </c>
      <c r="AD471" s="228"/>
      <c r="AE471" s="228"/>
      <c r="AF471" s="228"/>
      <c r="AG471" s="228" t="str">
        <f>IFERROR(__xludf.DUMMYFUNCTION("""COMPUTED_VALUE"""),"Muhammad Toqeer")</f>
        <v>Muhammad Toqeer</v>
      </c>
      <c r="AH471" s="228" t="str">
        <f>IFERROR(__xludf.DUMMYFUNCTION("""COMPUTED_VALUE"""),"Father")</f>
        <v>Father</v>
      </c>
      <c r="AI471" s="228" t="str">
        <f>IFERROR(__xludf.DUMMYFUNCTION("""COMPUTED_VALUE"""),"03228175555")</f>
        <v>03228175555</v>
      </c>
      <c r="AJ471" s="228" t="str">
        <f>IFERROR(__xludf.DUMMYFUNCTION("""COMPUTED_VALUE"""),"B+")</f>
        <v>B+</v>
      </c>
      <c r="AK471" s="731" t="str">
        <f>IFERROR(__xludf.DUMMYFUNCTION("""COMPUTED_VALUE"""),"https://www.linkedin.com/in/anasattas/")</f>
        <v>https://www.linkedin.com/in/anasattas/</v>
      </c>
      <c r="AL471" s="228"/>
      <c r="AM471" s="730">
        <f>IFERROR(__xludf.DUMMYFUNCTION("""COMPUTED_VALUE"""),45941.0)</f>
        <v>45941</v>
      </c>
      <c r="AN471" s="228" t="str">
        <f>IFERROR(__xludf.DUMMYFUNCTION("""COMPUTED_VALUE"""),"Back-End, Imagine Web")</f>
        <v>Back-End, Imagine Web</v>
      </c>
      <c r="AO471" s="228" t="str">
        <f>IFERROR(__xludf.DUMMYFUNCTION("""COMPUTED_VALUE"""),"backend.team@vyro.ai, imagine.web.team@vyro.ai")</f>
        <v>backend.team@vyro.ai, imagine.web.team@vyro.ai</v>
      </c>
      <c r="AP471" s="228" t="str">
        <f>IFERROR(__xludf.DUMMYFUNCTION("""COMPUTED_VALUE"""),"NO")</f>
        <v>NO</v>
      </c>
      <c r="AQ471" s="228" t="str">
        <f>IFERROR(__xludf.DUMMYFUNCTION("""COMPUTED_VALUE"""),"Resigned/Terminated")</f>
        <v>Resigned/Terminated</v>
      </c>
    </row>
    <row r="472">
      <c r="A472" s="228">
        <f>IFERROR(__xludf.DUMMYFUNCTION("""COMPUTED_VALUE"""),5418.0)</f>
        <v>5418</v>
      </c>
      <c r="B472" s="228" t="str">
        <f>IFERROR(__xludf.DUMMYFUNCTION("""COMPUTED_VALUE"""),"Shehak Raza")</f>
        <v>Shehak Raza</v>
      </c>
      <c r="C472" s="228" t="str">
        <f>IFERROR(__xludf.DUMMYFUNCTION("""COMPUTED_VALUE"""),"shahek77raza@gmail.com")</f>
        <v>shahek77raza@gmail.com</v>
      </c>
      <c r="D472" s="228" t="str">
        <f>IFERROR(__xludf.DUMMYFUNCTION("""COMPUTED_VALUE"""),"shehak.raza@vyro.ai")</f>
        <v>shehak.raza@vyro.ai</v>
      </c>
      <c r="E472" s="730">
        <f>IFERROR(__xludf.DUMMYFUNCTION("""COMPUTED_VALUE"""),45761.0)</f>
        <v>45761</v>
      </c>
      <c r="F472" s="228" t="str">
        <f>IFERROR(__xludf.DUMMYFUNCTION("""COMPUTED_VALUE"""),"Assistant Manager Growth")</f>
        <v>Assistant Manager Growth</v>
      </c>
      <c r="G472" s="228" t="str">
        <f>IFERROR(__xludf.DUMMYFUNCTION("""COMPUTED_VALUE"""),"Business &amp; Growth")</f>
        <v>Business &amp; Growth</v>
      </c>
      <c r="H472" s="228" t="str">
        <f>IFERROR(__xludf.DUMMYFUNCTION("""COMPUTED_VALUE"""),"Ahmed Abubakar, CEO")</f>
        <v>Ahmed Abubakar, CEO</v>
      </c>
      <c r="I472" s="228" t="str">
        <f>IFERROR(__xludf.DUMMYFUNCTION("""COMPUTED_VALUE"""),"Permanent")</f>
        <v>Permanent</v>
      </c>
      <c r="J472" s="228" t="str">
        <f>IFERROR(__xludf.DUMMYFUNCTION("""COMPUTED_VALUE"""),"Active")</f>
        <v>Active</v>
      </c>
      <c r="K472" s="228" t="str">
        <f>IFERROR(__xludf.DUMMYFUNCTION("""COMPUTED_VALUE"""),"3M")</f>
        <v>3M</v>
      </c>
      <c r="L472" s="732">
        <f>IFERROR(__xludf.DUMMYFUNCTION("""COMPUTED_VALUE"""),45454.0)</f>
        <v>45454</v>
      </c>
      <c r="M472" s="228"/>
      <c r="N472" s="228"/>
      <c r="O472" s="228"/>
      <c r="P472" s="228" t="str">
        <f>IFERROR(__xludf.DUMMYFUNCTION("""COMPUTED_VALUE"""),"03333069510")</f>
        <v>03333069510</v>
      </c>
      <c r="Q472" s="228" t="str">
        <f>IFERROR(__xludf.DUMMYFUNCTION("""COMPUTED_VALUE"""),"42301-9085890-9")</f>
        <v>42301-9085890-9</v>
      </c>
      <c r="R472" s="228" t="str">
        <f>IFERROR(__xludf.DUMMYFUNCTION("""COMPUTED_VALUE"""),"Male")</f>
        <v>Male</v>
      </c>
      <c r="S472" s="228" t="str">
        <f>IFERROR(__xludf.DUMMYFUNCTION("""COMPUTED_VALUE"""),"Citibank, US")</f>
        <v>Citibank, US</v>
      </c>
      <c r="T472" s="228" t="str">
        <f>IFERROR(__xludf.DUMMYFUNCTION("""COMPUTED_VALUE"""),"Shehak Raza")</f>
        <v>Shehak Raza</v>
      </c>
      <c r="U472" s="228" t="str">
        <f>IFERROR(__xludf.DUMMYFUNCTION("""COMPUTED_VALUE"""),"70586650000986822")</f>
        <v>70586650000986822</v>
      </c>
      <c r="V472" s="228" t="str">
        <f>IFERROR(__xludf.DUMMYFUNCTION("""COMPUTED_VALUE"""),"CITIUS33
ACH Routing : 031100209")</f>
        <v>CITIUS33
ACH Routing : 031100209</v>
      </c>
      <c r="W472" s="228" t="str">
        <f>IFERROR(__xludf.DUMMYFUNCTION("""COMPUTED_VALUE"""),"031100209")</f>
        <v>031100209</v>
      </c>
      <c r="X472" s="228" t="str">
        <f>IFERROR(__xludf.DUMMYFUNCTION("""COMPUTED_VALUE"""),"Islamabad")</f>
        <v>Islamabad</v>
      </c>
      <c r="Y472" s="730">
        <f>IFERROR(__xludf.DUMMYFUNCTION("""COMPUTED_VALUE"""),35759.0)</f>
        <v>35759</v>
      </c>
      <c r="Z472" s="228" t="str">
        <f>IFERROR(__xludf.DUMMYFUNCTION("""COMPUTED_VALUE"""),"27 Years")</f>
        <v>27 Years</v>
      </c>
      <c r="AA472" s="228" t="str">
        <f>IFERROR(__xludf.DUMMYFUNCTION("""COMPUTED_VALUE"""),"Mehl-e-Mashad - Penthouse # 2 - Opposite Bhojani Hall, near Nishtar Park, Karachi, Pakistan")</f>
        <v>Mehl-e-Mashad - Penthouse # 2 - Opposite Bhojani Hall, near Nishtar Park, Karachi, Pakistan</v>
      </c>
      <c r="AB472" s="228" t="str">
        <f>IFERROR(__xludf.DUMMYFUNCTION("""COMPUTED_VALUE"""),"Pakistani")</f>
        <v>Pakistani</v>
      </c>
      <c r="AC472" s="228" t="str">
        <f>IFERROR(__xludf.DUMMYFUNCTION("""COMPUTED_VALUE"""),"Married")</f>
        <v>Married</v>
      </c>
      <c r="AD472" s="228"/>
      <c r="AE472" s="228"/>
      <c r="AF472" s="228"/>
      <c r="AG472" s="228" t="str">
        <f>IFERROR(__xludf.DUMMYFUNCTION("""COMPUTED_VALUE"""),"Ghulam Abbas")</f>
        <v>Ghulam Abbas</v>
      </c>
      <c r="AH472" s="228" t="str">
        <f>IFERROR(__xludf.DUMMYFUNCTION("""COMPUTED_VALUE"""),"Elder Brother")</f>
        <v>Elder Brother</v>
      </c>
      <c r="AI472" s="228" t="str">
        <f>IFERROR(__xludf.DUMMYFUNCTION("""COMPUTED_VALUE"""),"03072489886")</f>
        <v>03072489886</v>
      </c>
      <c r="AJ472" s="228" t="str">
        <f>IFERROR(__xludf.DUMMYFUNCTION("""COMPUTED_VALUE"""),"AB+")</f>
        <v>AB+</v>
      </c>
      <c r="AK472" s="731" t="str">
        <f>IFERROR(__xludf.DUMMYFUNCTION("""COMPUTED_VALUE"""),"https://www.linkedin.com/in/shahek-raza-195065164/")</f>
        <v>https://www.linkedin.com/in/shahek-raza-195065164/</v>
      </c>
      <c r="AL472" s="228"/>
      <c r="AM472" s="730">
        <f>IFERROR(__xludf.DUMMYFUNCTION("""COMPUTED_VALUE"""),45943.0)</f>
        <v>45943</v>
      </c>
      <c r="AN472" s="228" t="str">
        <f>IFERROR(__xludf.DUMMYFUNCTION("""COMPUTED_VALUE"""),"Affiliates, Search Engine Optimization")</f>
        <v>Affiliates, Search Engine Optimization</v>
      </c>
      <c r="AO472" s="228" t="str">
        <f>IFERROR(__xludf.DUMMYFUNCTION("""COMPUTED_VALUE"""),"affiliates.team@vyro.ai, seo.team@vyro.ai")</f>
        <v>affiliates.team@vyro.ai, seo.team@vyro.ai</v>
      </c>
      <c r="AP472" s="228" t="str">
        <f>IFERROR(__xludf.DUMMYFUNCTION("""COMPUTED_VALUE"""),"YES")</f>
        <v>YES</v>
      </c>
      <c r="AQ472" s="228" t="str">
        <f>IFERROR(__xludf.DUMMYFUNCTION("""COMPUTED_VALUE"""),"Resigned/Terminated")</f>
        <v>Resigned/Terminated</v>
      </c>
    </row>
    <row r="473">
      <c r="A473" s="228">
        <f>IFERROR(__xludf.DUMMYFUNCTION("""COMPUTED_VALUE"""),5320.0)</f>
        <v>5320</v>
      </c>
      <c r="B473" s="228" t="str">
        <f>IFERROR(__xludf.DUMMYFUNCTION("""COMPUTED_VALUE"""),"Wajahat Nawaz Khan")</f>
        <v>Wajahat Nawaz Khan</v>
      </c>
      <c r="C473" s="228" t="str">
        <f>IFERROR(__xludf.DUMMYFUNCTION("""COMPUTED_VALUE"""),"wajahatnawazkhan369@gmail.com")</f>
        <v>wajahatnawazkhan369@gmail.com</v>
      </c>
      <c r="D473" s="228" t="str">
        <f>IFERROR(__xludf.DUMMYFUNCTION("""COMPUTED_VALUE"""),"wajahat.nawaz@vyro.ai")</f>
        <v>wajahat.nawaz@vyro.ai</v>
      </c>
      <c r="E473" s="730">
        <f>IFERROR(__xludf.DUMMYFUNCTION("""COMPUTED_VALUE"""),45602.0)</f>
        <v>45602</v>
      </c>
      <c r="F473" s="228" t="str">
        <f>IFERROR(__xludf.DUMMYFUNCTION("""COMPUTED_VALUE"""),"Data Engineer")</f>
        <v>Data Engineer</v>
      </c>
      <c r="G473" s="228" t="str">
        <f>IFERROR(__xludf.DUMMYFUNCTION("""COMPUTED_VALUE"""),"Business &amp; Growth")</f>
        <v>Business &amp; Growth</v>
      </c>
      <c r="H473" s="228" t="str">
        <f>IFERROR(__xludf.DUMMYFUNCTION("""COMPUTED_VALUE"""),"Abdullah Rafique")</f>
        <v>Abdullah Rafique</v>
      </c>
      <c r="I473" s="228" t="str">
        <f>IFERROR(__xludf.DUMMYFUNCTION("""COMPUTED_VALUE"""),"Probation")</f>
        <v>Probation</v>
      </c>
      <c r="J473" s="228" t="str">
        <f>IFERROR(__xludf.DUMMYFUNCTION("""COMPUTED_VALUE"""),"Active")</f>
        <v>Active</v>
      </c>
      <c r="K473" s="228" t="str">
        <f>IFERROR(__xludf.DUMMYFUNCTION("""COMPUTED_VALUE"""),"3M")</f>
        <v>3M</v>
      </c>
      <c r="L473" s="732">
        <f>IFERROR(__xludf.DUMMYFUNCTION("""COMPUTED_VALUE"""),45694.0)</f>
        <v>45694</v>
      </c>
      <c r="M473" s="228"/>
      <c r="N473" s="228"/>
      <c r="O473" s="228"/>
      <c r="P473" s="228" t="str">
        <f>IFERROR(__xludf.DUMMYFUNCTION("""COMPUTED_VALUE"""),"03199636969")</f>
        <v>03199636969</v>
      </c>
      <c r="Q473" s="228" t="str">
        <f>IFERROR(__xludf.DUMMYFUNCTION("""COMPUTED_VALUE"""),"13302-3407179-7")</f>
        <v>13302-3407179-7</v>
      </c>
      <c r="R473" s="228" t="str">
        <f>IFERROR(__xludf.DUMMYFUNCTION("""COMPUTED_VALUE"""),"Male")</f>
        <v>Male</v>
      </c>
      <c r="S473" s="228" t="str">
        <f>IFERROR(__xludf.DUMMYFUNCTION("""COMPUTED_VALUE"""),"Standard Chartered Bank")</f>
        <v>Standard Chartered Bank</v>
      </c>
      <c r="T473" s="228" t="str">
        <f>IFERROR(__xludf.DUMMYFUNCTION("""COMPUTED_VALUE"""),"WAJAHAT NAWAZ KHAN")</f>
        <v>WAJAHAT NAWAZ KHAN</v>
      </c>
      <c r="U473" s="228" t="str">
        <f>IFERROR(__xludf.DUMMYFUNCTION("""COMPUTED_VALUE"""),"PK02SCBL0000001012244001")</f>
        <v>PK02SCBL0000001012244001</v>
      </c>
      <c r="V473" s="228" t="str">
        <f>IFERROR(__xludf.DUMMYFUNCTION("""COMPUTED_VALUE"""),"SCBLPKKX")</f>
        <v>SCBLPKKX</v>
      </c>
      <c r="W473" s="228"/>
      <c r="X473" s="228" t="str">
        <f>IFERROR(__xludf.DUMMYFUNCTION("""COMPUTED_VALUE"""),"Islamabad")</f>
        <v>Islamabad</v>
      </c>
      <c r="Y473" s="730">
        <f>IFERROR(__xludf.DUMMYFUNCTION("""COMPUTED_VALUE"""),36208.0)</f>
        <v>36208</v>
      </c>
      <c r="Z473" s="228" t="str">
        <f>IFERROR(__xludf.DUMMYFUNCTION("""COMPUTED_VALUE"""),"26 Years")</f>
        <v>26 Years</v>
      </c>
      <c r="AA473" s="228" t="str">
        <f>IFERROR(__xludf.DUMMYFUNCTION("""COMPUTED_VALUE"""),"Bungalow # 1, WAPDA Colony, 132KV GridStation, Murree Road, Abbottabad")</f>
        <v>Bungalow # 1, WAPDA Colony, 132KV GridStation, Murree Road, Abbottabad</v>
      </c>
      <c r="AB473" s="228" t="str">
        <f>IFERROR(__xludf.DUMMYFUNCTION("""COMPUTED_VALUE"""),"Pakistani")</f>
        <v>Pakistani</v>
      </c>
      <c r="AC473" s="228" t="str">
        <f>IFERROR(__xludf.DUMMYFUNCTION("""COMPUTED_VALUE"""),"Single")</f>
        <v>Single</v>
      </c>
      <c r="AD473" s="228"/>
      <c r="AE473" s="228"/>
      <c r="AF473" s="228"/>
      <c r="AG473" s="228" t="str">
        <f>IFERROR(__xludf.DUMMYFUNCTION("""COMPUTED_VALUE"""),"Ahmad Nawaz Khan")</f>
        <v>Ahmad Nawaz Khan</v>
      </c>
      <c r="AH473" s="228" t="str">
        <f>IFERROR(__xludf.DUMMYFUNCTION("""COMPUTED_VALUE"""),"Brother")</f>
        <v>Brother</v>
      </c>
      <c r="AI473" s="228" t="str">
        <f>IFERROR(__xludf.DUMMYFUNCTION("""COMPUTED_VALUE"""),"3120580263")</f>
        <v>3120580263</v>
      </c>
      <c r="AJ473" s="228" t="str">
        <f>IFERROR(__xludf.DUMMYFUNCTION("""COMPUTED_VALUE"""),"A+")</f>
        <v>A+</v>
      </c>
      <c r="AK473" s="731" t="str">
        <f>IFERROR(__xludf.DUMMYFUNCTION("""COMPUTED_VALUE"""),"www.linkedin.com/in/wajahat-nawaz-khan")</f>
        <v>www.linkedin.com/in/wajahat-nawaz-khan</v>
      </c>
      <c r="AL473" s="228"/>
      <c r="AM473" s="730">
        <f>IFERROR(__xludf.DUMMYFUNCTION("""COMPUTED_VALUE"""),45947.0)</f>
        <v>45947</v>
      </c>
      <c r="AN473" s="228" t="str">
        <f>IFERROR(__xludf.DUMMYFUNCTION("""COMPUTED_VALUE"""),"Data")</f>
        <v>Data</v>
      </c>
      <c r="AO473" s="228" t="str">
        <f>IFERROR(__xludf.DUMMYFUNCTION("""COMPUTED_VALUE"""),"data.team@vyro.ai")</f>
        <v>data.team@vyro.ai</v>
      </c>
      <c r="AP473" s="228" t="str">
        <f>IFERROR(__xludf.DUMMYFUNCTION("""COMPUTED_VALUE"""),"NO")</f>
        <v>NO</v>
      </c>
      <c r="AQ473" s="228" t="str">
        <f>IFERROR(__xludf.DUMMYFUNCTION("""COMPUTED_VALUE"""),"Resigned/Terminated")</f>
        <v>Resigned/Terminated</v>
      </c>
    </row>
    <row r="474">
      <c r="A474" s="228">
        <f>IFERROR(__xludf.DUMMYFUNCTION("""COMPUTED_VALUE"""),5309.0)</f>
        <v>5309</v>
      </c>
      <c r="B474" s="228" t="str">
        <f>IFERROR(__xludf.DUMMYFUNCTION("""COMPUTED_VALUE"""),"Muhammad Adam Mujtaba")</f>
        <v>Muhammad Adam Mujtaba</v>
      </c>
      <c r="C474" s="228" t="str">
        <f>IFERROR(__xludf.DUMMYFUNCTION("""COMPUTED_VALUE"""),"adaamchezz@gmail.com")</f>
        <v>adaamchezz@gmail.com</v>
      </c>
      <c r="D474" s="228" t="str">
        <f>IFERROR(__xludf.DUMMYFUNCTION("""COMPUTED_VALUE"""),"muhammad.adam@vyro.ai")</f>
        <v>muhammad.adam@vyro.ai</v>
      </c>
      <c r="E474" s="730">
        <f>IFERROR(__xludf.DUMMYFUNCTION("""COMPUTED_VALUE"""),45572.0)</f>
        <v>45572</v>
      </c>
      <c r="F474" s="228" t="str">
        <f>IFERROR(__xludf.DUMMYFUNCTION("""COMPUTED_VALUE"""),"Data Analyst")</f>
        <v>Data Analyst</v>
      </c>
      <c r="G474" s="228" t="str">
        <f>IFERROR(__xludf.DUMMYFUNCTION("""COMPUTED_VALUE"""),"Business &amp; Growth")</f>
        <v>Business &amp; Growth</v>
      </c>
      <c r="H474" s="228" t="str">
        <f>IFERROR(__xludf.DUMMYFUNCTION("""COMPUTED_VALUE"""),"Ahmed Abubakar, CEO")</f>
        <v>Ahmed Abubakar, CEO</v>
      </c>
      <c r="I474" s="228" t="str">
        <f>IFERROR(__xludf.DUMMYFUNCTION("""COMPUTED_VALUE"""),"Probation")</f>
        <v>Probation</v>
      </c>
      <c r="J474" s="228" t="str">
        <f>IFERROR(__xludf.DUMMYFUNCTION("""COMPUTED_VALUE"""),"Active")</f>
        <v>Active</v>
      </c>
      <c r="K474" s="228" t="str">
        <f>IFERROR(__xludf.DUMMYFUNCTION("""COMPUTED_VALUE"""),"3M")</f>
        <v>3M</v>
      </c>
      <c r="L474" s="732">
        <f>IFERROR(__xludf.DUMMYFUNCTION("""COMPUTED_VALUE"""),45664.0)</f>
        <v>45664</v>
      </c>
      <c r="M474" s="228"/>
      <c r="N474" s="228"/>
      <c r="O474" s="228"/>
      <c r="P474" s="228" t="str">
        <f>IFERROR(__xludf.DUMMYFUNCTION("""COMPUTED_VALUE"""),"3045005203")</f>
        <v>3045005203</v>
      </c>
      <c r="Q474" s="228" t="str">
        <f>IFERROR(__xludf.DUMMYFUNCTION("""COMPUTED_VALUE"""),"37405-3477406-9")</f>
        <v>37405-3477406-9</v>
      </c>
      <c r="R474" s="228" t="str">
        <f>IFERROR(__xludf.DUMMYFUNCTION("""COMPUTED_VALUE"""),"Male")</f>
        <v>Male</v>
      </c>
      <c r="S474" s="228" t="str">
        <f>IFERROR(__xludf.DUMMYFUNCTION("""COMPUTED_VALUE"""),"Standard Chartered")</f>
        <v>Standard Chartered</v>
      </c>
      <c r="T474" s="228" t="str">
        <f>IFERROR(__xludf.DUMMYFUNCTION("""COMPUTED_VALUE"""),"Muhammad Adam Mujtaba")</f>
        <v>Muhammad Adam Mujtaba</v>
      </c>
      <c r="U474" s="228" t="str">
        <f>IFERROR(__xludf.DUMMYFUNCTION("""COMPUTED_VALUE"""),"PK80SCBL0000001025282501")</f>
        <v>PK80SCBL0000001025282501</v>
      </c>
      <c r="V474" s="228" t="str">
        <f>IFERROR(__xludf.DUMMYFUNCTION("""COMPUTED_VALUE"""),"SCBLPK")</f>
        <v>SCBLPK</v>
      </c>
      <c r="W474" s="228"/>
      <c r="X474" s="228" t="str">
        <f>IFERROR(__xludf.DUMMYFUNCTION("""COMPUTED_VALUE"""),"Islamabad")</f>
        <v>Islamabad</v>
      </c>
      <c r="Y474" s="730">
        <f>IFERROR(__xludf.DUMMYFUNCTION("""COMPUTED_VALUE"""),37220.0)</f>
        <v>37220</v>
      </c>
      <c r="Z474" s="228" t="str">
        <f>IFERROR(__xludf.DUMMYFUNCTION("""COMPUTED_VALUE"""),"23 Years")</f>
        <v>23 Years</v>
      </c>
      <c r="AA474" s="228" t="str">
        <f>IFERROR(__xludf.DUMMYFUNCTION("""COMPUTED_VALUE"""),"House#114, Sector-A, Street# Jinnah Avenue, Zaraj Housing Society, Islamabad.")</f>
        <v>House#114, Sector-A, Street# Jinnah Avenue, Zaraj Housing Society, Islamabad.</v>
      </c>
      <c r="AB474" s="228" t="str">
        <f>IFERROR(__xludf.DUMMYFUNCTION("""COMPUTED_VALUE"""),"Pakistani")</f>
        <v>Pakistani</v>
      </c>
      <c r="AC474" s="228" t="str">
        <f>IFERROR(__xludf.DUMMYFUNCTION("""COMPUTED_VALUE"""),"Single")</f>
        <v>Single</v>
      </c>
      <c r="AD474" s="228"/>
      <c r="AE474" s="228"/>
      <c r="AF474" s="228"/>
      <c r="AG474" s="228" t="str">
        <f>IFERROR(__xludf.DUMMYFUNCTION("""COMPUTED_VALUE"""),"Muhammad Arshad")</f>
        <v>Muhammad Arshad</v>
      </c>
      <c r="AH474" s="228" t="str">
        <f>IFERROR(__xludf.DUMMYFUNCTION("""COMPUTED_VALUE"""),"Brother")</f>
        <v>Brother</v>
      </c>
      <c r="AI474" s="228" t="str">
        <f>IFERROR(__xludf.DUMMYFUNCTION("""COMPUTED_VALUE"""),"3070761114")</f>
        <v>3070761114</v>
      </c>
      <c r="AJ474" s="228" t="str">
        <f>IFERROR(__xludf.DUMMYFUNCTION("""COMPUTED_VALUE"""),"O+")</f>
        <v>O+</v>
      </c>
      <c r="AK474" s="731" t="str">
        <f>IFERROR(__xludf.DUMMYFUNCTION("""COMPUTED_VALUE"""),"www.linkedin.com/in/adam5o5")</f>
        <v>www.linkedin.com/in/adam5o5</v>
      </c>
      <c r="AL474" s="228"/>
      <c r="AM474" s="730">
        <f>IFERROR(__xludf.DUMMYFUNCTION("""COMPUTED_VALUE"""),45947.0)</f>
        <v>45947</v>
      </c>
      <c r="AN474" s="228" t="str">
        <f>IFERROR(__xludf.DUMMYFUNCTION("""COMPUTED_VALUE"""),"Data")</f>
        <v>Data</v>
      </c>
      <c r="AO474" s="228" t="str">
        <f>IFERROR(__xludf.DUMMYFUNCTION("""COMPUTED_VALUE"""),"data.team@vyro.ai")</f>
        <v>data.team@vyro.ai</v>
      </c>
      <c r="AP474" s="228" t="str">
        <f>IFERROR(__xludf.DUMMYFUNCTION("""COMPUTED_VALUE"""),"NO")</f>
        <v>NO</v>
      </c>
      <c r="AQ474" s="228" t="str">
        <f>IFERROR(__xludf.DUMMYFUNCTION("""COMPUTED_VALUE"""),"Resigned/Terminated")</f>
        <v>Resigned/Terminated</v>
      </c>
    </row>
    <row r="475">
      <c r="A475" s="228">
        <f>IFERROR(__xludf.DUMMYFUNCTION("""COMPUTED_VALUE"""),5458.0)</f>
        <v>5458</v>
      </c>
      <c r="B475" s="228" t="str">
        <f>IFERROR(__xludf.DUMMYFUNCTION("""COMPUTED_VALUE"""),"Ayesha Siddiqa")</f>
        <v>Ayesha Siddiqa</v>
      </c>
      <c r="C475" s="228" t="str">
        <f>IFERROR(__xludf.DUMMYFUNCTION("""COMPUTED_VALUE"""),"ayeshasiddiqa19as19@gmail.com")</f>
        <v>ayeshasiddiqa19as19@gmail.com</v>
      </c>
      <c r="D475" s="228" t="str">
        <f>IFERROR(__xludf.DUMMYFUNCTION("""COMPUTED_VALUE"""),"ayesha.siddiqa@vyro.ai")</f>
        <v>ayesha.siddiqa@vyro.ai</v>
      </c>
      <c r="E475" s="730">
        <f>IFERROR(__xludf.DUMMYFUNCTION("""COMPUTED_VALUE"""),45947.0)</f>
        <v>45947</v>
      </c>
      <c r="F475" s="228" t="str">
        <f>IFERROR(__xludf.DUMMYFUNCTION("""COMPUTED_VALUE"""),"Associate Product Manager ")</f>
        <v>Associate Product Manager </v>
      </c>
      <c r="G475" s="228" t="str">
        <f>IFERROR(__xludf.DUMMYFUNCTION("""COMPUTED_VALUE"""),"Product")</f>
        <v>Product</v>
      </c>
      <c r="H475" s="228" t="str">
        <f>IFERROR(__xludf.DUMMYFUNCTION("""COMPUTED_VALUE"""),"Awais Chaudhry, Senior Product Manager")</f>
        <v>Awais Chaudhry, Senior Product Manager</v>
      </c>
      <c r="I475" s="228" t="str">
        <f>IFERROR(__xludf.DUMMYFUNCTION("""COMPUTED_VALUE"""),"Full Time")</f>
        <v>Full Time</v>
      </c>
      <c r="J475" s="228" t="str">
        <f>IFERROR(__xludf.DUMMYFUNCTION("""COMPUTED_VALUE"""),"Active")</f>
        <v>Active</v>
      </c>
      <c r="K475" s="228"/>
      <c r="L475" s="732">
        <f>IFERROR(__xludf.DUMMYFUNCTION("""COMPUTED_VALUE"""),46039.0)</f>
        <v>46039</v>
      </c>
      <c r="M475" s="228"/>
      <c r="N475" s="228"/>
      <c r="O475" s="228"/>
      <c r="P475" s="228" t="str">
        <f>IFERROR(__xludf.DUMMYFUNCTION("""COMPUTED_VALUE"""),"3001232612")</f>
        <v>3001232612</v>
      </c>
      <c r="Q475" s="228" t="str">
        <f>IFERROR(__xludf.DUMMYFUNCTION("""COMPUTED_VALUE"""),"37203-6912610-8")</f>
        <v>37203-6912610-8</v>
      </c>
      <c r="R475" s="228" t="str">
        <f>IFERROR(__xludf.DUMMYFUNCTION("""COMPUTED_VALUE"""),"Female")</f>
        <v>Female</v>
      </c>
      <c r="S475" s="228" t="str">
        <f>IFERROR(__xludf.DUMMYFUNCTION("""COMPUTED_VALUE""")," HBL")</f>
        <v> HBL</v>
      </c>
      <c r="T475" s="228" t="str">
        <f>IFERROR(__xludf.DUMMYFUNCTION("""COMPUTED_VALUE"""),"AYESHA NAA")</f>
        <v>AYESHA NAA</v>
      </c>
      <c r="U475" s="228" t="str">
        <f>IFERROR(__xludf.DUMMYFUNCTION("""COMPUTED_VALUE"""),"PK45HABB0019447900455699")</f>
        <v>PK45HABB0019447900455699</v>
      </c>
      <c r="V475" s="228" t="str">
        <f>IFERROR(__xludf.DUMMYFUNCTION("""COMPUTED_VALUE"""),"HABBPKKA")</f>
        <v>HABBPKKA</v>
      </c>
      <c r="W475" s="228"/>
      <c r="X475" s="228"/>
      <c r="Y475" s="730">
        <f>IFERROR(__xludf.DUMMYFUNCTION("""COMPUTED_VALUE"""),38372.0)</f>
        <v>38372</v>
      </c>
      <c r="Z475" s="228" t="str">
        <f>IFERROR(__xludf.DUMMYFUNCTION("""COMPUTED_VALUE"""),"20 Years")</f>
        <v>20 Years</v>
      </c>
      <c r="AA475" s="228" t="str">
        <f>IFERROR(__xludf.DUMMYFUNCTION("""COMPUTED_VALUE"""),"Muhala bakshe khail, daak khana khaas, lawa, dist talagang")</f>
        <v>Muhala bakshe khail, daak khana khaas, lawa, dist talagang</v>
      </c>
      <c r="AB475" s="228" t="str">
        <f>IFERROR(__xludf.DUMMYFUNCTION("""COMPUTED_VALUE"""),"Pakistani")</f>
        <v>Pakistani</v>
      </c>
      <c r="AC475" s="228" t="str">
        <f>IFERROR(__xludf.DUMMYFUNCTION("""COMPUTED_VALUE"""),"Single")</f>
        <v>Single</v>
      </c>
      <c r="AD475" s="228"/>
      <c r="AE475" s="228"/>
      <c r="AF475" s="228"/>
      <c r="AG475" s="228" t="str">
        <f>IFERROR(__xludf.DUMMYFUNCTION("""COMPUTED_VALUE"""),"Mehr Khan")</f>
        <v>Mehr Khan</v>
      </c>
      <c r="AH475" s="228" t="str">
        <f>IFERROR(__xludf.DUMMYFUNCTION("""COMPUTED_VALUE"""),"Father")</f>
        <v>Father</v>
      </c>
      <c r="AI475" s="228" t="str">
        <f>IFERROR(__xludf.DUMMYFUNCTION("""COMPUTED_VALUE"""),"3015047064")</f>
        <v>3015047064</v>
      </c>
      <c r="AJ475" s="228" t="str">
        <f>IFERROR(__xludf.DUMMYFUNCTION("""COMPUTED_VALUE"""),"B+")</f>
        <v>B+</v>
      </c>
      <c r="AK475" s="731" t="str">
        <f>IFERROR(__xludf.DUMMYFUNCTION("""COMPUTED_VALUE"""),"https://www.linkedin.com/in/ayesha-siddiqa-447348256/")</f>
        <v>https://www.linkedin.com/in/ayesha-siddiqa-447348256/</v>
      </c>
      <c r="AL475" s="228" t="str">
        <f>IFERROR(__xludf.DUMMYFUNCTION("""COMPUTED_VALUE"""),"Mustafa Shakil")</f>
        <v>Mustafa Shakil</v>
      </c>
      <c r="AM475" s="730">
        <f>IFERROR(__xludf.DUMMYFUNCTION("""COMPUTED_VALUE"""),45953.0)</f>
        <v>45953</v>
      </c>
      <c r="AN475" s="228"/>
      <c r="AO475" s="228"/>
      <c r="AP475" s="228" t="str">
        <f>IFERROR(__xludf.DUMMYFUNCTION("""COMPUTED_VALUE"""),"NO")</f>
        <v>NO</v>
      </c>
      <c r="AQ475" s="228" t="str">
        <f>IFERROR(__xludf.DUMMYFUNCTION("""COMPUTED_VALUE"""),"Resigned/Terminated")</f>
        <v>Resigned/Terminated</v>
      </c>
    </row>
    <row r="476">
      <c r="A476" s="228">
        <f>IFERROR(__xludf.DUMMYFUNCTION("""COMPUTED_VALUE"""),5261.0)</f>
        <v>5261</v>
      </c>
      <c r="B476" s="228" t="str">
        <f>IFERROR(__xludf.DUMMYFUNCTION("""COMPUTED_VALUE"""),"Muhammad Uzaimah Mushtaq")</f>
        <v>Muhammad Uzaimah Mushtaq</v>
      </c>
      <c r="C476" s="228" t="str">
        <f>IFERROR(__xludf.DUMMYFUNCTION("""COMPUTED_VALUE"""),"uzaimah89@gmail.com")</f>
        <v>uzaimah89@gmail.com</v>
      </c>
      <c r="D476" s="228" t="str">
        <f>IFERROR(__xludf.DUMMYFUNCTION("""COMPUTED_VALUE"""),"muhammad.uzaimah@vyro.ai")</f>
        <v>muhammad.uzaimah@vyro.ai</v>
      </c>
      <c r="E476" s="730">
        <f>IFERROR(__xludf.DUMMYFUNCTION("""COMPUTED_VALUE"""),45400.0)</f>
        <v>45400</v>
      </c>
      <c r="F476" s="228" t="str">
        <f>IFERROR(__xludf.DUMMYFUNCTION("""COMPUTED_VALUE"""),"SEO Content Writer")</f>
        <v>SEO Content Writer</v>
      </c>
      <c r="G476" s="228" t="str">
        <f>IFERROR(__xludf.DUMMYFUNCTION("""COMPUTED_VALUE"""),"SEO")</f>
        <v>SEO</v>
      </c>
      <c r="H476" s="228" t="str">
        <f>IFERROR(__xludf.DUMMYFUNCTION("""COMPUTED_VALUE"""),"Syed Osama")</f>
        <v>Syed Osama</v>
      </c>
      <c r="I476" s="228" t="str">
        <f>IFERROR(__xludf.DUMMYFUNCTION("""COMPUTED_VALUE"""),"Probation")</f>
        <v>Probation</v>
      </c>
      <c r="J476" s="228" t="str">
        <f>IFERROR(__xludf.DUMMYFUNCTION("""COMPUTED_VALUE"""),"Active")</f>
        <v>Active</v>
      </c>
      <c r="K476" s="228" t="str">
        <f>IFERROR(__xludf.DUMMYFUNCTION("""COMPUTED_VALUE"""),"3M")</f>
        <v>3M</v>
      </c>
      <c r="L476" s="732">
        <f>IFERROR(__xludf.DUMMYFUNCTION("""COMPUTED_VALUE"""),45491.0)</f>
        <v>45491</v>
      </c>
      <c r="M476" s="228"/>
      <c r="N476" s="228"/>
      <c r="O476" s="228"/>
      <c r="P476" s="228" t="str">
        <f>IFERROR(__xludf.DUMMYFUNCTION("""COMPUTED_VALUE"""),"03104665616")</f>
        <v>03104665616</v>
      </c>
      <c r="Q476" s="228" t="str">
        <f>IFERROR(__xludf.DUMMYFUNCTION("""COMPUTED_VALUE"""),"38201-8328241-1")</f>
        <v>38201-8328241-1</v>
      </c>
      <c r="R476" s="228" t="str">
        <f>IFERROR(__xludf.DUMMYFUNCTION("""COMPUTED_VALUE"""),"Male")</f>
        <v>Male</v>
      </c>
      <c r="S476" s="228" t="str">
        <f>IFERROR(__xludf.DUMMYFUNCTION("""COMPUTED_VALUE"""),"Habib Bank Limited")</f>
        <v>Habib Bank Limited</v>
      </c>
      <c r="T476" s="228" t="str">
        <f>IFERROR(__xludf.DUMMYFUNCTION("""COMPUTED_VALUE"""),"M Uzaimah")</f>
        <v>M Uzaimah</v>
      </c>
      <c r="U476" s="228" t="str">
        <f>IFERROR(__xludf.DUMMYFUNCTION("""COMPUTED_VALUE"""),"PK07HABB0022927917150103")</f>
        <v>PK07HABB0022927917150103</v>
      </c>
      <c r="V476" s="228" t="str">
        <f>IFERROR(__xludf.DUMMYFUNCTION("""COMPUTED_VALUE"""),"HABBPKKA")</f>
        <v>HABBPKKA</v>
      </c>
      <c r="W476" s="228"/>
      <c r="X476" s="228" t="str">
        <f>IFERROR(__xludf.DUMMYFUNCTION("""COMPUTED_VALUE"""),"remote")</f>
        <v>remote</v>
      </c>
      <c r="Y476" s="730">
        <f>IFERROR(__xludf.DUMMYFUNCTION("""COMPUTED_VALUE"""),37085.0)</f>
        <v>37085</v>
      </c>
      <c r="Z476" s="228" t="str">
        <f>IFERROR(__xludf.DUMMYFUNCTION("""COMPUTED_VALUE"""),"23 Years")</f>
        <v>23 Years</v>
      </c>
      <c r="AA476" s="228" t="str">
        <f>IFERROR(__xludf.DUMMYFUNCTION("""COMPUTED_VALUE"""),"Hajveri Hostel NUST H-12 Islamabad Pakistan")</f>
        <v>Hajveri Hostel NUST H-12 Islamabad Pakistan</v>
      </c>
      <c r="AB476" s="228" t="str">
        <f>IFERROR(__xludf.DUMMYFUNCTION("""COMPUTED_VALUE"""),"Pakistani")</f>
        <v>Pakistani</v>
      </c>
      <c r="AC476" s="228" t="str">
        <f>IFERROR(__xludf.DUMMYFUNCTION("""COMPUTED_VALUE"""),"Single")</f>
        <v>Single</v>
      </c>
      <c r="AD476" s="228"/>
      <c r="AE476" s="228"/>
      <c r="AF476" s="228"/>
      <c r="AG476" s="228" t="str">
        <f>IFERROR(__xludf.DUMMYFUNCTION("""COMPUTED_VALUE"""),"Mushtaq Ahmed")</f>
        <v>Mushtaq Ahmed</v>
      </c>
      <c r="AH476" s="228" t="str">
        <f>IFERROR(__xludf.DUMMYFUNCTION("""COMPUTED_VALUE"""),"Son")</f>
        <v>Son</v>
      </c>
      <c r="AI476" s="228" t="str">
        <f>IFERROR(__xludf.DUMMYFUNCTION("""COMPUTED_VALUE"""),"03334377495")</f>
        <v>03334377495</v>
      </c>
      <c r="AJ476" s="228" t="str">
        <f>IFERROR(__xludf.DUMMYFUNCTION("""COMPUTED_VALUE"""),"B+")</f>
        <v>B+</v>
      </c>
      <c r="AK476" s="731" t="str">
        <f>IFERROR(__xludf.DUMMYFUNCTION("""COMPUTED_VALUE"""),"https://www.linkedin.com/in/muhammad-uzaimah-mushtaq")</f>
        <v>https://www.linkedin.com/in/muhammad-uzaimah-mushtaq</v>
      </c>
      <c r="AL476" s="228"/>
      <c r="AM476" s="730">
        <f>IFERROR(__xludf.DUMMYFUNCTION("""COMPUTED_VALUE"""),45955.0)</f>
        <v>45955</v>
      </c>
      <c r="AN476" s="228" t="str">
        <f>IFERROR(__xludf.DUMMYFUNCTION("""COMPUTED_VALUE"""),"Search Engine Optimization")</f>
        <v>Search Engine Optimization</v>
      </c>
      <c r="AO476" s="228" t="str">
        <f>IFERROR(__xludf.DUMMYFUNCTION("""COMPUTED_VALUE"""),"seo.team@vyro.ai")</f>
        <v>seo.team@vyro.ai</v>
      </c>
      <c r="AP476" s="228" t="str">
        <f>IFERROR(__xludf.DUMMYFUNCTION("""COMPUTED_VALUE"""),"NO")</f>
        <v>NO</v>
      </c>
      <c r="AQ476" s="228" t="str">
        <f>IFERROR(__xludf.DUMMYFUNCTION("""COMPUTED_VALUE"""),"Resigned/Terminated")</f>
        <v>Resigned/Terminated</v>
      </c>
    </row>
    <row r="477">
      <c r="A477" s="228">
        <f>IFERROR(__xludf.DUMMYFUNCTION("""COMPUTED_VALUE"""),5281.0)</f>
        <v>5281</v>
      </c>
      <c r="B477" s="228" t="str">
        <f>IFERROR(__xludf.DUMMYFUNCTION("""COMPUTED_VALUE"""),"Effa Ahmed")</f>
        <v>Effa Ahmed</v>
      </c>
      <c r="C477" s="228" t="str">
        <f>IFERROR(__xludf.DUMMYFUNCTION("""COMPUTED_VALUE"""),"effa.ahmad1234@gmail.com")</f>
        <v>effa.ahmad1234@gmail.com</v>
      </c>
      <c r="D477" s="228" t="str">
        <f>IFERROR(__xludf.DUMMYFUNCTION("""COMPUTED_VALUE"""),"effa.ahmad@vyro.ai")</f>
        <v>effa.ahmad@vyro.ai</v>
      </c>
      <c r="E477" s="730">
        <f>IFERROR(__xludf.DUMMYFUNCTION("""COMPUTED_VALUE"""),45453.0)</f>
        <v>45453</v>
      </c>
      <c r="F477" s="228" t="str">
        <f>IFERROR(__xludf.DUMMYFUNCTION("""COMPUTED_VALUE"""),"Affiliate Marketing Associate")</f>
        <v>Affiliate Marketing Associate</v>
      </c>
      <c r="G477" s="228" t="str">
        <f>IFERROR(__xludf.DUMMYFUNCTION("""COMPUTED_VALUE"""),"Business Solutions")</f>
        <v>Business Solutions</v>
      </c>
      <c r="H477" s="228" t="str">
        <f>IFERROR(__xludf.DUMMYFUNCTION("""COMPUTED_VALUE"""),"Zakria Aamir")</f>
        <v>Zakria Aamir</v>
      </c>
      <c r="I477" s="228" t="str">
        <f>IFERROR(__xludf.DUMMYFUNCTION("""COMPUTED_VALUE"""),"Permanent")</f>
        <v>Permanent</v>
      </c>
      <c r="J477" s="228" t="str">
        <f>IFERROR(__xludf.DUMMYFUNCTION("""COMPUTED_VALUE"""),"Active")</f>
        <v>Active</v>
      </c>
      <c r="K477" s="228" t="str">
        <f>IFERROR(__xludf.DUMMYFUNCTION("""COMPUTED_VALUE"""),"3M")</f>
        <v>3M</v>
      </c>
      <c r="L477" s="732">
        <f>IFERROR(__xludf.DUMMYFUNCTION("""COMPUTED_VALUE"""),45545.0)</f>
        <v>45545</v>
      </c>
      <c r="M477" s="228"/>
      <c r="N477" s="228"/>
      <c r="O477" s="228"/>
      <c r="P477" s="228" t="str">
        <f>IFERROR(__xludf.DUMMYFUNCTION("""COMPUTED_VALUE"""),"03155111266")</f>
        <v>03155111266</v>
      </c>
      <c r="Q477" s="228" t="str">
        <f>IFERROR(__xludf.DUMMYFUNCTION("""COMPUTED_VALUE"""),"61101-3525818-2")</f>
        <v>61101-3525818-2</v>
      </c>
      <c r="R477" s="228" t="str">
        <f>IFERROR(__xludf.DUMMYFUNCTION("""COMPUTED_VALUE"""),"Female")</f>
        <v>Female</v>
      </c>
      <c r="S477" s="228" t="str">
        <f>IFERROR(__xludf.DUMMYFUNCTION("""COMPUTED_VALUE"""),"Soneri Bank")</f>
        <v>Soneri Bank</v>
      </c>
      <c r="T477" s="228" t="str">
        <f>IFERROR(__xludf.DUMMYFUNCTION("""COMPUTED_VALUE"""),"Effa Ahmad")</f>
        <v>Effa Ahmad</v>
      </c>
      <c r="U477" s="228" t="str">
        <f>IFERROR(__xludf.DUMMYFUNCTION("""COMPUTED_VALUE"""),"PK70SONE0001620011519734")</f>
        <v>PK70SONE0001620011519734</v>
      </c>
      <c r="V477" s="228" t="str">
        <f>IFERROR(__xludf.DUMMYFUNCTION("""COMPUTED_VALUE"""),"SONEPKKA")</f>
        <v>SONEPKKA</v>
      </c>
      <c r="W477" s="228"/>
      <c r="X477" s="228" t="str">
        <f>IFERROR(__xludf.DUMMYFUNCTION("""COMPUTED_VALUE"""),"Islamabad")</f>
        <v>Islamabad</v>
      </c>
      <c r="Y477" s="730">
        <f>IFERROR(__xludf.DUMMYFUNCTION("""COMPUTED_VALUE"""),36682.0)</f>
        <v>36682</v>
      </c>
      <c r="Z477" s="228" t="str">
        <f>IFERROR(__xludf.DUMMYFUNCTION("""COMPUTED_VALUE"""),"24 Years")</f>
        <v>24 Years</v>
      </c>
      <c r="AA477" s="228" t="str">
        <f>IFERROR(__xludf.DUMMYFUNCTION("""COMPUTED_VALUE"""),"House no 39B, street 8, Wahdat colony, taxila")</f>
        <v>House no 39B, street 8, Wahdat colony, taxila</v>
      </c>
      <c r="AB477" s="228" t="str">
        <f>IFERROR(__xludf.DUMMYFUNCTION("""COMPUTED_VALUE"""),"Pakistani")</f>
        <v>Pakistani</v>
      </c>
      <c r="AC477" s="228"/>
      <c r="AD477" s="228"/>
      <c r="AE477" s="228"/>
      <c r="AF477" s="228"/>
      <c r="AG477" s="228" t="str">
        <f>IFERROR(__xludf.DUMMYFUNCTION("""COMPUTED_VALUE"""),"Khalil Ahmad")</f>
        <v>Khalil Ahmad</v>
      </c>
      <c r="AH477" s="228"/>
      <c r="AI477" s="228"/>
      <c r="AJ477" s="228"/>
      <c r="AK477" s="228"/>
      <c r="AL477" s="228"/>
      <c r="AM477" s="228"/>
      <c r="AN477" s="228" t="str">
        <f>IFERROR(__xludf.DUMMYFUNCTION("""COMPUTED_VALUE"""),"Affiliates, Search Engine Optimization")</f>
        <v>Affiliates, Search Engine Optimization</v>
      </c>
      <c r="AO477" s="228" t="str">
        <f>IFERROR(__xludf.DUMMYFUNCTION("""COMPUTED_VALUE"""),"affiliates.team@vyro.ai, seo.team@vyro.ai")</f>
        <v>affiliates.team@vyro.ai, seo.team@vyro.ai</v>
      </c>
      <c r="AP477" s="228" t="str">
        <f>IFERROR(__xludf.DUMMYFUNCTION("""COMPUTED_VALUE"""),"NO")</f>
        <v>NO</v>
      </c>
      <c r="AQ477" s="228" t="str">
        <f>IFERROR(__xludf.DUMMYFUNCTION("""COMPUTED_VALUE"""),"Resigned/Terminated")</f>
        <v>Resigned/Terminated</v>
      </c>
    </row>
    <row r="478">
      <c r="A478" s="228">
        <f>IFERROR(__xludf.DUMMYFUNCTION("""COMPUTED_VALUE"""),5339.0)</f>
        <v>5339</v>
      </c>
      <c r="B478" s="228" t="str">
        <f>IFERROR(__xludf.DUMMYFUNCTION("""COMPUTED_VALUE"""),"Mustafa Shakil")</f>
        <v>Mustafa Shakil</v>
      </c>
      <c r="C478" s="228" t="str">
        <f>IFERROR(__xludf.DUMMYFUNCTION("""COMPUTED_VALUE"""),"Mustafa_shakil@hotmail.com")</f>
        <v>Mustafa_shakil@hotmail.com</v>
      </c>
      <c r="D478" s="228" t="str">
        <f>IFERROR(__xludf.DUMMYFUNCTION("""COMPUTED_VALUE"""),"mustafa.shakil@vyro.ai")</f>
        <v>mustafa.shakil@vyro.ai</v>
      </c>
      <c r="E478" s="730">
        <f>IFERROR(__xludf.DUMMYFUNCTION("""COMPUTED_VALUE"""),45642.0)</f>
        <v>45642</v>
      </c>
      <c r="F478" s="228" t="str">
        <f>IFERROR(__xludf.DUMMYFUNCTION("""COMPUTED_VALUE"""),"Sr Tech Recruiter")</f>
        <v>Sr Tech Recruiter</v>
      </c>
      <c r="G478" s="228" t="str">
        <f>IFERROR(__xludf.DUMMYFUNCTION("""COMPUTED_VALUE"""),"People &amp; Talent")</f>
        <v>People &amp; Talent</v>
      </c>
      <c r="H478" s="228" t="str">
        <f>IFERROR(__xludf.DUMMYFUNCTION("""COMPUTED_VALUE"""),"Ahmed Abubakar")</f>
        <v>Ahmed Abubakar</v>
      </c>
      <c r="I478" s="228" t="str">
        <f>IFERROR(__xludf.DUMMYFUNCTION("""COMPUTED_VALUE"""),"Probation")</f>
        <v>Probation</v>
      </c>
      <c r="J478" s="228" t="str">
        <f>IFERROR(__xludf.DUMMYFUNCTION("""COMPUTED_VALUE"""),"Active")</f>
        <v>Active</v>
      </c>
      <c r="K478" s="228" t="str">
        <f>IFERROR(__xludf.DUMMYFUNCTION("""COMPUTED_VALUE"""),"3M")</f>
        <v>3M</v>
      </c>
      <c r="L478" s="732">
        <f>IFERROR(__xludf.DUMMYFUNCTION("""COMPUTED_VALUE"""),45732.0)</f>
        <v>45732</v>
      </c>
      <c r="M478" s="228"/>
      <c r="N478" s="228"/>
      <c r="O478" s="228"/>
      <c r="P478" s="228" t="str">
        <f>IFERROR(__xludf.DUMMYFUNCTION("""COMPUTED_VALUE"""),"3343287869")</f>
        <v>3343287869</v>
      </c>
      <c r="Q478" s="228" t="str">
        <f>IFERROR(__xludf.DUMMYFUNCTION("""COMPUTED_VALUE"""),"42201-7416310-1")</f>
        <v>42201-7416310-1</v>
      </c>
      <c r="R478" s="228" t="str">
        <f>IFERROR(__xludf.DUMMYFUNCTION("""COMPUTED_VALUE"""),"Male")</f>
        <v>Male</v>
      </c>
      <c r="S478" s="228" t="str">
        <f>IFERROR(__xludf.DUMMYFUNCTION("""COMPUTED_VALUE"""),"Meezan Bank")</f>
        <v>Meezan Bank</v>
      </c>
      <c r="T478" s="228" t="str">
        <f>IFERROR(__xludf.DUMMYFUNCTION("""COMPUTED_VALUE"""),"Mustafa Shakil")</f>
        <v>Mustafa Shakil</v>
      </c>
      <c r="U478" s="228" t="str">
        <f>IFERROR(__xludf.DUMMYFUNCTION("""COMPUTED_VALUE"""),"PK17MEZN0099230101828124")</f>
        <v>PK17MEZN0099230101828124</v>
      </c>
      <c r="V478" s="228" t="str">
        <f>IFERROR(__xludf.DUMMYFUNCTION("""COMPUTED_VALUE"""),"MEZNPKKA")</f>
        <v>MEZNPKKA</v>
      </c>
      <c r="W478" s="228"/>
      <c r="X478" s="228" t="str">
        <f>IFERROR(__xludf.DUMMYFUNCTION("""COMPUTED_VALUE"""),"Islamabad")</f>
        <v>Islamabad</v>
      </c>
      <c r="Y478" s="730">
        <f>IFERROR(__xludf.DUMMYFUNCTION("""COMPUTED_VALUE"""),34244.0)</f>
        <v>34244</v>
      </c>
      <c r="Z478" s="228" t="str">
        <f>IFERROR(__xludf.DUMMYFUNCTION("""COMPUTED_VALUE"""),"31 Years")</f>
        <v>31 Years</v>
      </c>
      <c r="AA478" s="228" t="str">
        <f>IFERROR(__xludf.DUMMYFUNCTION("""COMPUTED_VALUE"""),"Plot 73 AL SAFA APPARTMENTS FLAT 110 Muslimabad kashmir road karachi")</f>
        <v>Plot 73 AL SAFA APPARTMENTS FLAT 110 Muslimabad kashmir road karachi</v>
      </c>
      <c r="AB478" s="228" t="str">
        <f>IFERROR(__xludf.DUMMYFUNCTION("""COMPUTED_VALUE"""),"Pakistani")</f>
        <v>Pakistani</v>
      </c>
      <c r="AC478" s="228" t="str">
        <f>IFERROR(__xludf.DUMMYFUNCTION("""COMPUTED_VALUE"""),"Married")</f>
        <v>Married</v>
      </c>
      <c r="AD478" s="228"/>
      <c r="AE478" s="228"/>
      <c r="AF478" s="228"/>
      <c r="AG478" s="228" t="str">
        <f>IFERROR(__xludf.DUMMYFUNCTION("""COMPUTED_VALUE"""),"Shakil Kasim Ali")</f>
        <v>Shakil Kasim Ali</v>
      </c>
      <c r="AH478" s="228" t="str">
        <f>IFERROR(__xludf.DUMMYFUNCTION("""COMPUTED_VALUE"""),"Father")</f>
        <v>Father</v>
      </c>
      <c r="AI478" s="228" t="str">
        <f>IFERROR(__xludf.DUMMYFUNCTION("""COMPUTED_VALUE"""),"03212167671")</f>
        <v>03212167671</v>
      </c>
      <c r="AJ478" s="228" t="str">
        <f>IFERROR(__xludf.DUMMYFUNCTION("""COMPUTED_VALUE"""),"A+")</f>
        <v>A+</v>
      </c>
      <c r="AK478" s="731" t="str">
        <f>IFERROR(__xludf.DUMMYFUNCTION("""COMPUTED_VALUE"""),"https://www.linkedin.com/in/mustafa-shakil")</f>
        <v>https://www.linkedin.com/in/mustafa-shakil</v>
      </c>
      <c r="AL478" s="228"/>
      <c r="AM478" s="228"/>
      <c r="AN478" s="228"/>
      <c r="AO478" s="228"/>
      <c r="AP478" s="228" t="str">
        <f>IFERROR(__xludf.DUMMYFUNCTION("""COMPUTED_VALUE"""),"NO")</f>
        <v>NO</v>
      </c>
      <c r="AQ478" s="228" t="str">
        <f>IFERROR(__xludf.DUMMYFUNCTION("""COMPUTED_VALUE"""),"Resigned/Terminated")</f>
        <v>Resigned/Terminated</v>
      </c>
    </row>
    <row r="479">
      <c r="A479" s="228">
        <f>IFERROR(__xludf.DUMMYFUNCTION("""COMPUTED_VALUE"""),5420.0)</f>
        <v>5420</v>
      </c>
      <c r="B479" s="228" t="str">
        <f>IFERROR(__xludf.DUMMYFUNCTION("""COMPUTED_VALUE"""),"Palwasha Yunus")</f>
        <v>Palwasha Yunus</v>
      </c>
      <c r="C479" s="228" t="str">
        <f>IFERROR(__xludf.DUMMYFUNCTION("""COMPUTED_VALUE"""),"palwashayunus0@gmail.com")</f>
        <v>palwashayunus0@gmail.com</v>
      </c>
      <c r="D479" s="228" t="str">
        <f>IFERROR(__xludf.DUMMYFUNCTION("""COMPUTED_VALUE"""),"palwasha.yunus@vyro.ai")</f>
        <v>palwasha.yunus@vyro.ai</v>
      </c>
      <c r="E479" s="730">
        <f>IFERROR(__xludf.DUMMYFUNCTION("""COMPUTED_VALUE"""),45810.0)</f>
        <v>45810</v>
      </c>
      <c r="F479" s="228" t="str">
        <f>IFERROR(__xludf.DUMMYFUNCTION("""COMPUTED_VALUE"""),"HR Operations Executive")</f>
        <v>HR Operations Executive</v>
      </c>
      <c r="G479" s="228" t="str">
        <f>IFERROR(__xludf.DUMMYFUNCTION("""COMPUTED_VALUE"""),"People &amp; Talent")</f>
        <v>People &amp; Talent</v>
      </c>
      <c r="H479" s="228" t="str">
        <f>IFERROR(__xludf.DUMMYFUNCTION("""COMPUTED_VALUE"""),"Umer Janjua")</f>
        <v>Umer Janjua</v>
      </c>
      <c r="I479" s="228" t="str">
        <f>IFERROR(__xludf.DUMMYFUNCTION("""COMPUTED_VALUE"""),"Onsite")</f>
        <v>Onsite</v>
      </c>
      <c r="J479" s="228" t="str">
        <f>IFERROR(__xludf.DUMMYFUNCTION("""COMPUTED_VALUE"""),"Active")</f>
        <v>Active</v>
      </c>
      <c r="K479" s="228"/>
      <c r="L479" s="732">
        <f>IFERROR(__xludf.DUMMYFUNCTION("""COMPUTED_VALUE"""),45902.0)</f>
        <v>45902</v>
      </c>
      <c r="M479" s="228"/>
      <c r="N479" s="228"/>
      <c r="O479" s="228"/>
      <c r="P479" s="228" t="str">
        <f>IFERROR(__xludf.DUMMYFUNCTION("""COMPUTED_VALUE"""),"3095081894")</f>
        <v>3095081894</v>
      </c>
      <c r="Q479" s="228" t="str">
        <f>IFERROR(__xludf.DUMMYFUNCTION("""COMPUTED_VALUE"""),"61101-1254207-6")</f>
        <v>61101-1254207-6</v>
      </c>
      <c r="R479" s="228" t="str">
        <f>IFERROR(__xludf.DUMMYFUNCTION("""COMPUTED_VALUE"""),"Female")</f>
        <v>Female</v>
      </c>
      <c r="S479" s="228" t="str">
        <f>IFERROR(__xludf.DUMMYFUNCTION("""COMPUTED_VALUE"""),"Standard Chartered")</f>
        <v>Standard Chartered</v>
      </c>
      <c r="T479" s="228" t="str">
        <f>IFERROR(__xludf.DUMMYFUNCTION("""COMPUTED_VALUE"""),"PALWASHA YUNUS")</f>
        <v>PALWASHA YUNUS</v>
      </c>
      <c r="U479" s="228" t="str">
        <f>IFERROR(__xludf.DUMMYFUNCTION("""COMPUTED_VALUE"""),"//////////////////////////////////New//////////////////
IBAN: PK86MEZN0003270108001462
Meezan Bank-G-10 Markaz Branch Islamabad
Account Number: 03270108001462
///////////////////////////////OLd////////////////////
PK42SCBL0000001031600601")</f>
        <v>//////////////////////////////////New//////////////////
IBAN: PK86MEZN0003270108001462
Meezan Bank-G-10 Markaz Branch Islamabad
Account Number: 03270108001462
///////////////////////////////OLd////////////////////
PK42SCBL0000001031600601</v>
      </c>
      <c r="V479" s="228" t="str">
        <f>IFERROR(__xludf.DUMMYFUNCTION("""COMPUTED_VALUE"""),"/////////////////OLD//////////////////
SCBLPKKX")</f>
        <v>/////////////////OLD//////////////////
SCBLPKKX</v>
      </c>
      <c r="W479" s="228"/>
      <c r="X479" s="228" t="str">
        <f>IFERROR(__xludf.DUMMYFUNCTION("""COMPUTED_VALUE"""),"Islamabad")</f>
        <v>Islamabad</v>
      </c>
      <c r="Y479" s="730">
        <f>IFERROR(__xludf.DUMMYFUNCTION("""COMPUTED_VALUE"""),36176.0)</f>
        <v>36176</v>
      </c>
      <c r="Z479" s="228" t="str">
        <f>IFERROR(__xludf.DUMMYFUNCTION("""COMPUTED_VALUE"""),"26 Years")</f>
        <v>26 Years</v>
      </c>
      <c r="AA479" s="228" t="str">
        <f>IFERROR(__xludf.DUMMYFUNCTION("""COMPUTED_VALUE"""),"House 59, Gali 3, G-10/2 Islamabad")</f>
        <v>House 59, Gali 3, G-10/2 Islamabad</v>
      </c>
      <c r="AB479" s="228" t="str">
        <f>IFERROR(__xludf.DUMMYFUNCTION("""COMPUTED_VALUE"""),"Pakistani")</f>
        <v>Pakistani</v>
      </c>
      <c r="AC479" s="228" t="str">
        <f>IFERROR(__xludf.DUMMYFUNCTION("""COMPUTED_VALUE"""),"Single")</f>
        <v>Single</v>
      </c>
      <c r="AD479" s="228"/>
      <c r="AE479" s="228"/>
      <c r="AF479" s="228"/>
      <c r="AG479" s="228" t="str">
        <f>IFERROR(__xludf.DUMMYFUNCTION("""COMPUTED_VALUE"""),"Khalid Yunus")</f>
        <v>Khalid Yunus</v>
      </c>
      <c r="AH479" s="228" t="str">
        <f>IFERROR(__xludf.DUMMYFUNCTION("""COMPUTED_VALUE"""),"Father")</f>
        <v>Father</v>
      </c>
      <c r="AI479" s="228" t="str">
        <f>IFERROR(__xludf.DUMMYFUNCTION("""COMPUTED_VALUE"""),"3477555552")</f>
        <v>3477555552</v>
      </c>
      <c r="AJ479" s="228" t="str">
        <f>IFERROR(__xludf.DUMMYFUNCTION("""COMPUTED_VALUE"""),"B+")</f>
        <v>B+</v>
      </c>
      <c r="AK479" s="731" t="str">
        <f>IFERROR(__xludf.DUMMYFUNCTION("""COMPUTED_VALUE"""),"www.linkedin.com/in/palwasha-yunus-3b802b217")</f>
        <v>www.linkedin.com/in/palwasha-yunus-3b802b217</v>
      </c>
      <c r="AL479" s="228" t="str">
        <f>IFERROR(__xludf.DUMMYFUNCTION("""COMPUTED_VALUE"""),"Mustafa Shakil")</f>
        <v>Mustafa Shakil</v>
      </c>
      <c r="AM479" s="228"/>
      <c r="AN479" s="228"/>
      <c r="AO479" s="228"/>
      <c r="AP479" s="228" t="str">
        <f>IFERROR(__xludf.DUMMYFUNCTION("""COMPUTED_VALUE"""),"NO")</f>
        <v>NO</v>
      </c>
      <c r="AQ479" s="228" t="str">
        <f>IFERROR(__xludf.DUMMYFUNCTION("""COMPUTED_VALUE"""),"Resigned/Terminated")</f>
        <v>Resigned/Terminated</v>
      </c>
    </row>
    <row r="480">
      <c r="A480" s="228">
        <f>IFERROR(__xludf.DUMMYFUNCTION("""COMPUTED_VALUE"""),5319.0)</f>
        <v>5319</v>
      </c>
      <c r="B480" s="228" t="str">
        <f>IFERROR(__xludf.DUMMYFUNCTION("""COMPUTED_VALUE"""),"Asim Baig")</f>
        <v>Asim Baig</v>
      </c>
      <c r="C480" s="228" t="str">
        <f>IFERROR(__xludf.DUMMYFUNCTION("""COMPUTED_VALUE"""),"Asimbaig@outlook.com")</f>
        <v>Asimbaig@outlook.com</v>
      </c>
      <c r="D480" s="228" t="str">
        <f>IFERROR(__xludf.DUMMYFUNCTION("""COMPUTED_VALUE"""),"asim.baig@vyro.ai")</f>
        <v>asim.baig@vyro.ai</v>
      </c>
      <c r="E480" s="730">
        <f>IFERROR(__xludf.DUMMYFUNCTION("""COMPUTED_VALUE"""),45602.0)</f>
        <v>45602</v>
      </c>
      <c r="F480" s="228" t="str">
        <f>IFERROR(__xludf.DUMMYFUNCTION("""COMPUTED_VALUE"""),"Affiliate Marketing Specialist")</f>
        <v>Affiliate Marketing Specialist</v>
      </c>
      <c r="G480" s="228" t="str">
        <f>IFERROR(__xludf.DUMMYFUNCTION("""COMPUTED_VALUE"""),"Business &amp; Growth")</f>
        <v>Business &amp; Growth</v>
      </c>
      <c r="H480" s="228" t="str">
        <f>IFERROR(__xludf.DUMMYFUNCTION("""COMPUTED_VALUE"""),"Awais Chaudhry")</f>
        <v>Awais Chaudhry</v>
      </c>
      <c r="I480" s="228" t="str">
        <f>IFERROR(__xludf.DUMMYFUNCTION("""COMPUTED_VALUE"""),"Probation")</f>
        <v>Probation</v>
      </c>
      <c r="J480" s="228" t="str">
        <f>IFERROR(__xludf.DUMMYFUNCTION("""COMPUTED_VALUE"""),"Active")</f>
        <v>Active</v>
      </c>
      <c r="K480" s="228" t="str">
        <f>IFERROR(__xludf.DUMMYFUNCTION("""COMPUTED_VALUE"""),"3 M")</f>
        <v>3 M</v>
      </c>
      <c r="L480" s="732">
        <f>IFERROR(__xludf.DUMMYFUNCTION("""COMPUTED_VALUE"""),45694.0)</f>
        <v>45694</v>
      </c>
      <c r="M480" s="228"/>
      <c r="N480" s="228"/>
      <c r="O480" s="228"/>
      <c r="P480" s="228" t="str">
        <f>IFERROR(__xludf.DUMMYFUNCTION("""COMPUTED_VALUE"""),"3454515045")</f>
        <v>3454515045</v>
      </c>
      <c r="Q480" s="228" t="str">
        <f>IFERROR(__xludf.DUMMYFUNCTION("""COMPUTED_VALUE"""),"71402-7780159-3")</f>
        <v>71402-7780159-3</v>
      </c>
      <c r="R480" s="228" t="str">
        <f>IFERROR(__xludf.DUMMYFUNCTION("""COMPUTED_VALUE"""),"Male")</f>
        <v>Male</v>
      </c>
      <c r="S480" s="228" t="str">
        <f>IFERROR(__xludf.DUMMYFUNCTION("""COMPUTED_VALUE"""),"Standard Chartered")</f>
        <v>Standard Chartered</v>
      </c>
      <c r="T480" s="228" t="str">
        <f>IFERROR(__xludf.DUMMYFUNCTION("""COMPUTED_VALUE"""),"Asim Baig")</f>
        <v>Asim Baig</v>
      </c>
      <c r="U480" s="228" t="str">
        <f>IFERROR(__xludf.DUMMYFUNCTION("""COMPUTED_VALUE"""),"PK55SCBL0000001728654201")</f>
        <v>PK55SCBL0000001728654201</v>
      </c>
      <c r="V480" s="228" t="str">
        <f>IFERROR(__xludf.DUMMYFUNCTION("""COMPUTED_VALUE"""),"SCBLPKKX")</f>
        <v>SCBLPKKX</v>
      </c>
      <c r="W480" s="228"/>
      <c r="X480" s="228" t="str">
        <f>IFERROR(__xludf.DUMMYFUNCTION("""COMPUTED_VALUE"""),"Islamabad")</f>
        <v>Islamabad</v>
      </c>
      <c r="Y480" s="730">
        <f>IFERROR(__xludf.DUMMYFUNCTION("""COMPUTED_VALUE"""),35096.0)</f>
        <v>35096</v>
      </c>
      <c r="Z480" s="228" t="str">
        <f>IFERROR(__xludf.DUMMYFUNCTION("""COMPUTED_VALUE"""),"29 Years")</f>
        <v>29 Years</v>
      </c>
      <c r="AA480" s="228" t="str">
        <f>IFERROR(__xludf.DUMMYFUNCTION("""COMPUTED_VALUE"""),"Apartment 8, block 56, PHA D type apartments, G11/4, Islamabad")</f>
        <v>Apartment 8, block 56, PHA D type apartments, G11/4, Islamabad</v>
      </c>
      <c r="AB480" s="228" t="str">
        <f>IFERROR(__xludf.DUMMYFUNCTION("""COMPUTED_VALUE"""),"Pakistani")</f>
        <v>Pakistani</v>
      </c>
      <c r="AC480" s="228" t="str">
        <f>IFERROR(__xludf.DUMMYFUNCTION("""COMPUTED_VALUE"""),"Single")</f>
        <v>Single</v>
      </c>
      <c r="AD480" s="228"/>
      <c r="AE480" s="228"/>
      <c r="AF480" s="228"/>
      <c r="AG480" s="228" t="str">
        <f>IFERROR(__xludf.DUMMYFUNCTION("""COMPUTED_VALUE"""),"Bulbul baig")</f>
        <v>Bulbul baig</v>
      </c>
      <c r="AH480" s="228" t="str">
        <f>IFERROR(__xludf.DUMMYFUNCTION("""COMPUTED_VALUE"""),"Father")</f>
        <v>Father</v>
      </c>
      <c r="AI480" s="228" t="str">
        <f>IFERROR(__xludf.DUMMYFUNCTION("""COMPUTED_VALUE"""),"3128118001")</f>
        <v>3128118001</v>
      </c>
      <c r="AJ480" s="228" t="str">
        <f>IFERROR(__xludf.DUMMYFUNCTION("""COMPUTED_VALUE"""),"B+")</f>
        <v>B+</v>
      </c>
      <c r="AK480" s="731" t="str">
        <f>IFERROR(__xludf.DUMMYFUNCTION("""COMPUTED_VALUE"""),"https://www.linkedin.com/in/asim-baig-b265095a")</f>
        <v>https://www.linkedin.com/in/asim-baig-b265095a</v>
      </c>
      <c r="AL480" s="228"/>
      <c r="AM480" s="228"/>
      <c r="AN480" s="228" t="str">
        <f>IFERROR(__xludf.DUMMYFUNCTION("""COMPUTED_VALUE"""),"Affiliates")</f>
        <v>Affiliates</v>
      </c>
      <c r="AO480" s="228" t="str">
        <f>IFERROR(__xludf.DUMMYFUNCTION("""COMPUTED_VALUE"""),"affiliates.team@vyro.ai")</f>
        <v>affiliates.team@vyro.ai</v>
      </c>
      <c r="AP480" s="228" t="str">
        <f>IFERROR(__xludf.DUMMYFUNCTION("""COMPUTED_VALUE"""),"NO")</f>
        <v>NO</v>
      </c>
      <c r="AQ480" s="228" t="str">
        <f>IFERROR(__xludf.DUMMYFUNCTION("""COMPUTED_VALUE"""),"Resigned/Terminated")</f>
        <v>Resigned/Terminated</v>
      </c>
    </row>
    <row r="481">
      <c r="A481" s="228">
        <f>IFERROR(__xludf.DUMMYFUNCTION("""COMPUTED_VALUE"""),5447.0)</f>
        <v>5447</v>
      </c>
      <c r="B481" s="228" t="str">
        <f>IFERROR(__xludf.DUMMYFUNCTION("""COMPUTED_VALUE"""),"Muhammad Tallah Ameer")</f>
        <v>Muhammad Tallah Ameer</v>
      </c>
      <c r="C481" s="228" t="str">
        <f>IFERROR(__xludf.DUMMYFUNCTION("""COMPUTED_VALUE"""),"muhammadtalhaameerawan@gmail.com")</f>
        <v>muhammadtalhaameerawan@gmail.com</v>
      </c>
      <c r="D481" s="228" t="str">
        <f>IFERROR(__xludf.DUMMYFUNCTION("""COMPUTED_VALUE"""),"muhammadtalhaameerawan@gmail.com")</f>
        <v>muhammadtalhaameerawan@gmail.com</v>
      </c>
      <c r="E481" s="730">
        <f>IFERROR(__xludf.DUMMYFUNCTION("""COMPUTED_VALUE"""),45866.0)</f>
        <v>45866</v>
      </c>
      <c r="F481" s="228" t="str">
        <f>IFERROR(__xludf.DUMMYFUNCTION("""COMPUTED_VALUE"""),"Office Assistant")</f>
        <v>Office Assistant</v>
      </c>
      <c r="G481" s="228" t="str">
        <f>IFERROR(__xludf.DUMMYFUNCTION("""COMPUTED_VALUE"""),"Admin")</f>
        <v>Admin</v>
      </c>
      <c r="H481" s="228" t="str">
        <f>IFERROR(__xludf.DUMMYFUNCTION("""COMPUTED_VALUE"""),"Atif Nawaz")</f>
        <v>Atif Nawaz</v>
      </c>
      <c r="I481" s="228" t="str">
        <f>IFERROR(__xludf.DUMMYFUNCTION("""COMPUTED_VALUE"""),"Full Time")</f>
        <v>Full Time</v>
      </c>
      <c r="J481" s="228"/>
      <c r="K481" s="228"/>
      <c r="L481" s="732">
        <f>IFERROR(__xludf.DUMMYFUNCTION("""COMPUTED_VALUE"""),45958.0)</f>
        <v>45958</v>
      </c>
      <c r="M481" s="228"/>
      <c r="N481" s="228"/>
      <c r="O481" s="228"/>
      <c r="P481" s="228" t="str">
        <f>IFERROR(__xludf.DUMMYFUNCTION("""COMPUTED_VALUE"""),"3015343325")</f>
        <v>3015343325</v>
      </c>
      <c r="Q481" s="228" t="str">
        <f>IFERROR(__xludf.DUMMYFUNCTION("""COMPUTED_VALUE"""),"37203-2961303-3")</f>
        <v>37203-2961303-3</v>
      </c>
      <c r="R481" s="228" t="str">
        <f>IFERROR(__xludf.DUMMYFUNCTION("""COMPUTED_VALUE"""),"Male")</f>
        <v>Male</v>
      </c>
      <c r="S481" s="228" t="str">
        <f>IFERROR(__xludf.DUMMYFUNCTION("""COMPUTED_VALUE"""),"SADA PAY")</f>
        <v>SADA PAY</v>
      </c>
      <c r="T481" s="228" t="str">
        <f>IFERROR(__xludf.DUMMYFUNCTION("""COMPUTED_VALUE"""),"Muhammad Tallah Ameer")</f>
        <v>Muhammad Tallah Ameer</v>
      </c>
      <c r="U481" s="228" t="str">
        <f>IFERROR(__xludf.DUMMYFUNCTION("""COMPUTED_VALUE"""),"PK57SADA0000003015343325")</f>
        <v>PK57SADA0000003015343325</v>
      </c>
      <c r="V481" s="228" t="str">
        <f>IFERROR(__xludf.DUMMYFUNCTION("""COMPUTED_VALUE"""),"SADAPKKA")</f>
        <v>SADAPKKA</v>
      </c>
      <c r="W481" s="228"/>
      <c r="X481" s="228"/>
      <c r="Y481" s="730">
        <f>IFERROR(__xludf.DUMMYFUNCTION("""COMPUTED_VALUE"""),39057.0)</f>
        <v>39057</v>
      </c>
      <c r="Z481" s="228" t="str">
        <f>IFERROR(__xludf.DUMMYFUNCTION("""COMPUTED_VALUE"""),"18 Years")</f>
        <v>18 Years</v>
      </c>
      <c r="AA481" s="228" t="str">
        <f>IFERROR(__xludf.DUMMYFUNCTION("""COMPUTED_VALUE"""),"post office dandi Surhali tehsil and district talagang")</f>
        <v>post office dandi Surhali tehsil and district talagang</v>
      </c>
      <c r="AB481" s="228" t="str">
        <f>IFERROR(__xludf.DUMMYFUNCTION("""COMPUTED_VALUE"""),"Pakistani")</f>
        <v>Pakistani</v>
      </c>
      <c r="AC481" s="228" t="str">
        <f>IFERROR(__xludf.DUMMYFUNCTION("""COMPUTED_VALUE"""),"Single")</f>
        <v>Single</v>
      </c>
      <c r="AD481" s="228"/>
      <c r="AE481" s="228"/>
      <c r="AF481" s="228"/>
      <c r="AG481" s="228" t="str">
        <f>IFERROR(__xludf.DUMMYFUNCTION("""COMPUTED_VALUE"""),"Muhammad Ameer Khan")</f>
        <v>Muhammad Ameer Khan</v>
      </c>
      <c r="AH481" s="228" t="str">
        <f>IFERROR(__xludf.DUMMYFUNCTION("""COMPUTED_VALUE"""),"Father")</f>
        <v>Father</v>
      </c>
      <c r="AI481" s="228" t="str">
        <f>IFERROR(__xludf.DUMMYFUNCTION("""COMPUTED_VALUE"""),"3070959093")</f>
        <v>3070959093</v>
      </c>
      <c r="AJ481" s="228" t="str">
        <f>IFERROR(__xludf.DUMMYFUNCTION("""COMPUTED_VALUE"""),"A+")</f>
        <v>A+</v>
      </c>
      <c r="AK481" s="228"/>
      <c r="AL481" s="228" t="str">
        <f>IFERROR(__xludf.DUMMYFUNCTION("""COMPUTED_VALUE"""),"Annum Inam")</f>
        <v>Annum Inam</v>
      </c>
      <c r="AM481" s="228"/>
      <c r="AN481" s="228"/>
      <c r="AO481" s="228"/>
      <c r="AP481" s="228" t="str">
        <f>IFERROR(__xludf.DUMMYFUNCTION("""COMPUTED_VALUE"""),"NO")</f>
        <v>NO</v>
      </c>
      <c r="AQ481" s="228" t="str">
        <f>IFERROR(__xludf.DUMMYFUNCTION("""COMPUTED_VALUE"""),"Resigned/Terminated")</f>
        <v>Resigned/Terminated</v>
      </c>
    </row>
    <row r="482">
      <c r="A482" s="228">
        <f>IFERROR(__xludf.DUMMYFUNCTION("""COMPUTED_VALUE"""),5346.0)</f>
        <v>5346</v>
      </c>
      <c r="B482" s="228" t="str">
        <f>IFERROR(__xludf.DUMMYFUNCTION("""COMPUTED_VALUE"""),"Khayyam Zaheer")</f>
        <v>Khayyam Zaheer</v>
      </c>
      <c r="C482" s="228" t="str">
        <f>IFERROR(__xludf.DUMMYFUNCTION("""COMPUTED_VALUE"""),"khayyam101.kz@gmail.com")</f>
        <v>khayyam101.kz@gmail.com</v>
      </c>
      <c r="D482" s="228" t="str">
        <f>IFERROR(__xludf.DUMMYFUNCTION("""COMPUTED_VALUE"""),"khayyam.zaheer@vyro.ai")</f>
        <v>khayyam.zaheer@vyro.ai</v>
      </c>
      <c r="E482" s="730">
        <f>IFERROR(__xludf.DUMMYFUNCTION("""COMPUTED_VALUE"""),45663.0)</f>
        <v>45663</v>
      </c>
      <c r="F482" s="228" t="str">
        <f>IFERROR(__xludf.DUMMYFUNCTION("""COMPUTED_VALUE"""),"ASO Executive")</f>
        <v>ASO Executive</v>
      </c>
      <c r="G482" s="228" t="str">
        <f>IFERROR(__xludf.DUMMYFUNCTION("""COMPUTED_VALUE"""),"Marketing")</f>
        <v>Marketing</v>
      </c>
      <c r="H482" s="228" t="str">
        <f>IFERROR(__xludf.DUMMYFUNCTION("""COMPUTED_VALUE"""),"Anas Maqsood")</f>
        <v>Anas Maqsood</v>
      </c>
      <c r="I482" s="228" t="str">
        <f>IFERROR(__xludf.DUMMYFUNCTION("""COMPUTED_VALUE"""),"Probation")</f>
        <v>Probation</v>
      </c>
      <c r="J482" s="228" t="str">
        <f>IFERROR(__xludf.DUMMYFUNCTION("""COMPUTED_VALUE"""),"Active")</f>
        <v>Active</v>
      </c>
      <c r="K482" s="228" t="str">
        <f>IFERROR(__xludf.DUMMYFUNCTION("""COMPUTED_VALUE"""),"3M")</f>
        <v>3M</v>
      </c>
      <c r="L482" s="732">
        <f>IFERROR(__xludf.DUMMYFUNCTION("""COMPUTED_VALUE"""),45753.0)</f>
        <v>45753</v>
      </c>
      <c r="M482" s="228"/>
      <c r="N482" s="228"/>
      <c r="O482" s="228"/>
      <c r="P482" s="228" t="str">
        <f>IFERROR(__xludf.DUMMYFUNCTION("""COMPUTED_VALUE"""),"03400562120")</f>
        <v>03400562120</v>
      </c>
      <c r="Q482" s="228" t="str">
        <f>IFERROR(__xludf.DUMMYFUNCTION("""COMPUTED_VALUE"""),"37407-0381902-5")</f>
        <v>37407-0381902-5</v>
      </c>
      <c r="R482" s="228" t="str">
        <f>IFERROR(__xludf.DUMMYFUNCTION("""COMPUTED_VALUE"""),"Male")</f>
        <v>Male</v>
      </c>
      <c r="S482" s="228" t="str">
        <f>IFERROR(__xludf.DUMMYFUNCTION("""COMPUTED_VALUE"""),"Allied Bank Limited")</f>
        <v>Allied Bank Limited</v>
      </c>
      <c r="T482" s="228" t="str">
        <f>IFERROR(__xludf.DUMMYFUNCTION("""COMPUTED_VALUE"""),"Khayyam Zaheer")</f>
        <v>Khayyam Zaheer</v>
      </c>
      <c r="U482" s="228" t="str">
        <f>IFERROR(__xludf.DUMMYFUNCTION("""COMPUTED_VALUE"""),"PK68ABPA0010082160420016")</f>
        <v>PK68ABPA0010082160420016</v>
      </c>
      <c r="V482" s="228" t="str">
        <f>IFERROR(__xludf.DUMMYFUNCTION("""COMPUTED_VALUE"""),"ABPAPKKA0131")</f>
        <v>ABPAPKKA0131</v>
      </c>
      <c r="W482" s="228"/>
      <c r="X482" s="228" t="str">
        <f>IFERROR(__xludf.DUMMYFUNCTION("""COMPUTED_VALUE"""),"Islamabad")</f>
        <v>Islamabad</v>
      </c>
      <c r="Y482" s="730">
        <f>IFERROR(__xludf.DUMMYFUNCTION("""COMPUTED_VALUE"""),36135.0)</f>
        <v>36135</v>
      </c>
      <c r="Z482" s="228" t="str">
        <f>IFERROR(__xludf.DUMMYFUNCTION("""COMPUTED_VALUE"""),"26 Years")</f>
        <v>26 Years</v>
      </c>
      <c r="AA482" s="228" t="str">
        <f>IFERROR(__xludf.DUMMYFUNCTION("""COMPUTED_VALUE"""),"Vill Sahib Dhmayial, PO Sagri, Teh Kallar Syedan, Dist Rawalpindi")</f>
        <v>Vill Sahib Dhmayial, PO Sagri, Teh Kallar Syedan, Dist Rawalpindi</v>
      </c>
      <c r="AB482" s="228" t="str">
        <f>IFERROR(__xludf.DUMMYFUNCTION("""COMPUTED_VALUE"""),"Pakistani")</f>
        <v>Pakistani</v>
      </c>
      <c r="AC482" s="228" t="str">
        <f>IFERROR(__xludf.DUMMYFUNCTION("""COMPUTED_VALUE"""),"Married")</f>
        <v>Married</v>
      </c>
      <c r="AD482" s="228"/>
      <c r="AE482" s="228"/>
      <c r="AF482" s="228"/>
      <c r="AG482" s="228"/>
      <c r="AH482" s="228"/>
      <c r="AI482" s="228"/>
      <c r="AJ482" s="228"/>
      <c r="AK482" s="731" t="str">
        <f>IFERROR(__xludf.DUMMYFUNCTION("""COMPUTED_VALUE"""),"https://www.linkedin.com/in/khayyam-zaheer/")</f>
        <v>https://www.linkedin.com/in/khayyam-zaheer/</v>
      </c>
      <c r="AL482" s="228"/>
      <c r="AM482" s="228"/>
      <c r="AN482" s="228"/>
      <c r="AO482" s="228"/>
      <c r="AP482" s="228" t="str">
        <f>IFERROR(__xludf.DUMMYFUNCTION("""COMPUTED_VALUE"""),"NO")</f>
        <v>NO</v>
      </c>
      <c r="AQ482" s="228" t="str">
        <f>IFERROR(__xludf.DUMMYFUNCTION("""COMPUTED_VALUE"""),"Resigned/Terminated")</f>
        <v>Resigned/Terminated</v>
      </c>
    </row>
    <row r="483">
      <c r="A483" s="228">
        <f>IFERROR(__xludf.DUMMYFUNCTION("""COMPUTED_VALUE"""),5293.0)</f>
        <v>5293</v>
      </c>
      <c r="B483" s="228" t="str">
        <f>IFERROR(__xludf.DUMMYFUNCTION("""COMPUTED_VALUE"""),"Syed Muhammad Wasi Abbas")</f>
        <v>Syed Muhammad Wasi Abbas</v>
      </c>
      <c r="C483" s="228" t="str">
        <f>IFERROR(__xludf.DUMMYFUNCTION("""COMPUTED_VALUE"""),"abbaswasi28@gmail.com")</f>
        <v>abbaswasi28@gmail.com</v>
      </c>
      <c r="D483" s="228" t="str">
        <f>IFERROR(__xludf.DUMMYFUNCTION("""COMPUTED_VALUE"""),"syed.wasi@vyro.ai")</f>
        <v>syed.wasi@vyro.ai</v>
      </c>
      <c r="E483" s="730">
        <f>IFERROR(__xludf.DUMMYFUNCTION("""COMPUTED_VALUE"""),45502.0)</f>
        <v>45502</v>
      </c>
      <c r="F483" s="228" t="str">
        <f>IFERROR(__xludf.DUMMYFUNCTION("""COMPUTED_VALUE"""),"Motion graphics Designer")</f>
        <v>Motion graphics Designer</v>
      </c>
      <c r="G483" s="228" t="str">
        <f>IFERROR(__xludf.DUMMYFUNCTION("""COMPUTED_VALUE"""),"Social Media/ Youtube")</f>
        <v>Social Media/ Youtube</v>
      </c>
      <c r="H483" s="228" t="str">
        <f>IFERROR(__xludf.DUMMYFUNCTION("""COMPUTED_VALUE"""),"Maha Manzoor")</f>
        <v>Maha Manzoor</v>
      </c>
      <c r="I483" s="228" t="str">
        <f>IFERROR(__xludf.DUMMYFUNCTION("""COMPUTED_VALUE"""),"Probation")</f>
        <v>Probation</v>
      </c>
      <c r="J483" s="228" t="str">
        <f>IFERROR(__xludf.DUMMYFUNCTION("""COMPUTED_VALUE"""),"Active")</f>
        <v>Active</v>
      </c>
      <c r="K483" s="228" t="str">
        <f>IFERROR(__xludf.DUMMYFUNCTION("""COMPUTED_VALUE"""),"3M")</f>
        <v>3M</v>
      </c>
      <c r="L483" s="732">
        <f>IFERROR(__xludf.DUMMYFUNCTION("""COMPUTED_VALUE"""),45594.0)</f>
        <v>45594</v>
      </c>
      <c r="M483" s="228"/>
      <c r="N483" s="228"/>
      <c r="O483" s="228"/>
      <c r="P483" s="228" t="str">
        <f>IFERROR(__xludf.DUMMYFUNCTION("""COMPUTED_VALUE"""),"03342360431")</f>
        <v>03342360431</v>
      </c>
      <c r="Q483" s="228" t="str">
        <f>IFERROR(__xludf.DUMMYFUNCTION("""COMPUTED_VALUE"""),"37405-8538265-5")</f>
        <v>37405-8538265-5</v>
      </c>
      <c r="R483" s="228" t="str">
        <f>IFERROR(__xludf.DUMMYFUNCTION("""COMPUTED_VALUE"""),"Male")</f>
        <v>Male</v>
      </c>
      <c r="S483" s="228" t="str">
        <f>IFERROR(__xludf.DUMMYFUNCTION("""COMPUTED_VALUE"""),"Bank Al Habib")</f>
        <v>Bank Al Habib</v>
      </c>
      <c r="T483" s="228" t="str">
        <f>IFERROR(__xludf.DUMMYFUNCTION("""COMPUTED_VALUE"""),"Syed Muhammad Wasi Abbas")</f>
        <v>Syed Muhammad Wasi Abbas</v>
      </c>
      <c r="U483" s="228" t="str">
        <f>IFERROR(__xludf.DUMMYFUNCTION("""COMPUTED_VALUE"""),"PK91BAHL0136098100383901")</f>
        <v>PK91BAHL0136098100383901</v>
      </c>
      <c r="V483" s="228" t="str">
        <f>IFERROR(__xludf.DUMMYFUNCTION("""COMPUTED_VALUE"""),"BAHLPKKA")</f>
        <v>BAHLPKKA</v>
      </c>
      <c r="W483" s="228"/>
      <c r="X483" s="228" t="str">
        <f>IFERROR(__xludf.DUMMYFUNCTION("""COMPUTED_VALUE"""),"Islamabad")</f>
        <v>Islamabad</v>
      </c>
      <c r="Y483" s="730">
        <f>IFERROR(__xludf.DUMMYFUNCTION("""COMPUTED_VALUE"""),36856.0)</f>
        <v>36856</v>
      </c>
      <c r="Z483" s="228" t="str">
        <f>IFERROR(__xludf.DUMMYFUNCTION("""COMPUTED_VALUE"""),"24 Years")</f>
        <v>24 Years</v>
      </c>
      <c r="AA483" s="228" t="str">
        <f>IFERROR(__xludf.DUMMYFUNCTION("""COMPUTED_VALUE"""),"Flat 4C, Block 9, Askari Tower 2, Sector D, DHA 2, Islamabad.")</f>
        <v>Flat 4C, Block 9, Askari Tower 2, Sector D, DHA 2, Islamabad.</v>
      </c>
      <c r="AB483" s="228" t="str">
        <f>IFERROR(__xludf.DUMMYFUNCTION("""COMPUTED_VALUE"""),"Pakistani")</f>
        <v>Pakistani</v>
      </c>
      <c r="AC483" s="228" t="str">
        <f>IFERROR(__xludf.DUMMYFUNCTION("""COMPUTED_VALUE"""),"Single")</f>
        <v>Single</v>
      </c>
      <c r="AD483" s="228"/>
      <c r="AE483" s="228"/>
      <c r="AF483" s="228"/>
      <c r="AG483" s="228" t="str">
        <f>IFERROR(__xludf.DUMMYFUNCTION("""COMPUTED_VALUE"""),"Syed Qamar Abbas")</f>
        <v>Syed Qamar Abbas</v>
      </c>
      <c r="AH483" s="228" t="str">
        <f>IFERROR(__xludf.DUMMYFUNCTION("""COMPUTED_VALUE"""),"Mother")</f>
        <v>Mother</v>
      </c>
      <c r="AI483" s="228" t="str">
        <f>IFERROR(__xludf.DUMMYFUNCTION("""COMPUTED_VALUE"""),"03345439222")</f>
        <v>03345439222</v>
      </c>
      <c r="AJ483" s="228" t="str">
        <f>IFERROR(__xludf.DUMMYFUNCTION("""COMPUTED_VALUE"""),"O+")</f>
        <v>O+</v>
      </c>
      <c r="AK483" s="731" t="str">
        <f>IFERROR(__xludf.DUMMYFUNCTION("""COMPUTED_VALUE"""),"https://www.linkedin.com/in/syed-wasi-8452a71aa/")</f>
        <v>https://www.linkedin.com/in/syed-wasi-8452a71aa/</v>
      </c>
      <c r="AL483" s="228"/>
      <c r="AM483" s="730">
        <f>IFERROR(__xludf.DUMMYFUNCTION("""COMPUTED_VALUE"""),45975.0)</f>
        <v>45975</v>
      </c>
      <c r="AN483" s="228" t="str">
        <f>IFERROR(__xludf.DUMMYFUNCTION("""COMPUTED_VALUE"""),"Creatives")</f>
        <v>Creatives</v>
      </c>
      <c r="AO483" s="228" t="str">
        <f>IFERROR(__xludf.DUMMYFUNCTION("""COMPUTED_VALUE"""),"Creatives.team@vyro.ai")</f>
        <v>Creatives.team@vyro.ai</v>
      </c>
      <c r="AP483" s="228" t="str">
        <f>IFERROR(__xludf.DUMMYFUNCTION("""COMPUTED_VALUE"""),"NO")</f>
        <v>NO</v>
      </c>
      <c r="AQ483" s="228" t="str">
        <f>IFERROR(__xludf.DUMMYFUNCTION("""COMPUTED_VALUE"""),"Resigned/Terminated")</f>
        <v>Resigned/Terminated</v>
      </c>
    </row>
    <row r="484">
      <c r="A484" s="228">
        <f>IFERROR(__xludf.DUMMYFUNCTION("""COMPUTED_VALUE"""),5427.0)</f>
        <v>5427</v>
      </c>
      <c r="B484" s="228" t="str">
        <f>IFERROR(__xludf.DUMMYFUNCTION("""COMPUTED_VALUE"""),"Zain Waseem")</f>
        <v>Zain Waseem</v>
      </c>
      <c r="C484" s="228" t="str">
        <f>IFERROR(__xludf.DUMMYFUNCTION("""COMPUTED_VALUE"""),"zainwaseem9371@gmail.com")</f>
        <v>zainwaseem9371@gmail.com</v>
      </c>
      <c r="D484" s="228" t="str">
        <f>IFERROR(__xludf.DUMMYFUNCTION("""COMPUTED_VALUE"""),"zain.waseem@vyro.ai")</f>
        <v>zain.waseem@vyro.ai</v>
      </c>
      <c r="E484" s="730">
        <f>IFERROR(__xludf.DUMMYFUNCTION("""COMPUTED_VALUE"""),45824.0)</f>
        <v>45824</v>
      </c>
      <c r="F484" s="228" t="str">
        <f>IFERROR(__xludf.DUMMYFUNCTION("""COMPUTED_VALUE"""),"Senior Frontend Developer")</f>
        <v>Senior Frontend Developer</v>
      </c>
      <c r="G484" s="228" t="str">
        <f>IFERROR(__xludf.DUMMYFUNCTION("""COMPUTED_VALUE"""),"Frontend")</f>
        <v>Frontend</v>
      </c>
      <c r="H484" s="228" t="str">
        <f>IFERROR(__xludf.DUMMYFUNCTION("""COMPUTED_VALUE"""),"Hammad Maqsood")</f>
        <v>Hammad Maqsood</v>
      </c>
      <c r="I484" s="228" t="str">
        <f>IFERROR(__xludf.DUMMYFUNCTION("""COMPUTED_VALUE"""),"Remote")</f>
        <v>Remote</v>
      </c>
      <c r="J484" s="228" t="str">
        <f>IFERROR(__xludf.DUMMYFUNCTION("""COMPUTED_VALUE"""),"Active")</f>
        <v>Active</v>
      </c>
      <c r="K484" s="228"/>
      <c r="L484" s="732">
        <f>IFERROR(__xludf.DUMMYFUNCTION("""COMPUTED_VALUE"""),45916.0)</f>
        <v>45916</v>
      </c>
      <c r="M484" s="228"/>
      <c r="N484" s="228"/>
      <c r="O484" s="228"/>
      <c r="P484" s="228" t="str">
        <f>IFERROR(__xludf.DUMMYFUNCTION("""COMPUTED_VALUE"""),"3017049476")</f>
        <v>3017049476</v>
      </c>
      <c r="Q484" s="228" t="str">
        <f>IFERROR(__xludf.DUMMYFUNCTION("""COMPUTED_VALUE"""),"38201-0546368-9")</f>
        <v>38201-0546368-9</v>
      </c>
      <c r="R484" s="228" t="str">
        <f>IFERROR(__xludf.DUMMYFUNCTION("""COMPUTED_VALUE"""),"Male")</f>
        <v>Male</v>
      </c>
      <c r="S484" s="228" t="str">
        <f>IFERROR(__xludf.DUMMYFUNCTION("""COMPUTED_VALUE"""),"United Bank Limited UBL")</f>
        <v>United Bank Limited UBL</v>
      </c>
      <c r="T484" s="228" t="str">
        <f>IFERROR(__xludf.DUMMYFUNCTION("""COMPUTED_VALUE"""),"Zain Waseem")</f>
        <v>Zain Waseem</v>
      </c>
      <c r="U484" s="228" t="str">
        <f>IFERROR(__xludf.DUMMYFUNCTION("""COMPUTED_VALUE"""),"PK36UNIL0109000308226759")</f>
        <v>PK36UNIL0109000308226759</v>
      </c>
      <c r="V484" s="228" t="str">
        <f>IFERROR(__xludf.DUMMYFUNCTION("""COMPUTED_VALUE"""),"UNILPKKA028")</f>
        <v>UNILPKKA028</v>
      </c>
      <c r="W484" s="228"/>
      <c r="X484" s="228"/>
      <c r="Y484" s="730">
        <f>IFERROR(__xludf.DUMMYFUNCTION("""COMPUTED_VALUE"""),36931.0)</f>
        <v>36931</v>
      </c>
      <c r="Z484" s="228" t="str">
        <f>IFERROR(__xludf.DUMMYFUNCTION("""COMPUTED_VALUE"""),"24 Years")</f>
        <v>24 Years</v>
      </c>
      <c r="AA484" s="228" t="str">
        <f>IFERROR(__xludf.DUMMYFUNCTION("""COMPUTED_VALUE"""),"Chak No 60.MB Khushab")</f>
        <v>Chak No 60.MB Khushab</v>
      </c>
      <c r="AB484" s="228" t="str">
        <f>IFERROR(__xludf.DUMMYFUNCTION("""COMPUTED_VALUE"""),"Pakistan")</f>
        <v>Pakistan</v>
      </c>
      <c r="AC484" s="228" t="str">
        <f>IFERROR(__xludf.DUMMYFUNCTION("""COMPUTED_VALUE"""),"Single")</f>
        <v>Single</v>
      </c>
      <c r="AD484" s="228"/>
      <c r="AE484" s="228"/>
      <c r="AF484" s="228"/>
      <c r="AG484" s="228" t="str">
        <f>IFERROR(__xludf.DUMMYFUNCTION("""COMPUTED_VALUE"""),"Muhammad Waseem")</f>
        <v>Muhammad Waseem</v>
      </c>
      <c r="AH484" s="228" t="str">
        <f>IFERROR(__xludf.DUMMYFUNCTION("""COMPUTED_VALUE"""),"Brother")</f>
        <v>Brother</v>
      </c>
      <c r="AI484" s="228" t="str">
        <f>IFERROR(__xludf.DUMMYFUNCTION("""COMPUTED_VALUE"""),"3049821834")</f>
        <v>3049821834</v>
      </c>
      <c r="AJ484" s="228" t="str">
        <f>IFERROR(__xludf.DUMMYFUNCTION("""COMPUTED_VALUE"""),"B-")</f>
        <v>B-</v>
      </c>
      <c r="AK484" s="731" t="str">
        <f>IFERROR(__xludf.DUMMYFUNCTION("""COMPUTED_VALUE"""),"https://www.linkedin.com/in/zainwasem/")</f>
        <v>https://www.linkedin.com/in/zainwasem/</v>
      </c>
      <c r="AL484" s="228" t="str">
        <f>IFERROR(__xludf.DUMMYFUNCTION("""COMPUTED_VALUE"""),"Annum Inam Tirmizi")</f>
        <v>Annum Inam Tirmizi</v>
      </c>
      <c r="AM484" s="730">
        <f>IFERROR(__xludf.DUMMYFUNCTION("""COMPUTED_VALUE"""),45975.0)</f>
        <v>45975</v>
      </c>
      <c r="AN484" s="228"/>
      <c r="AO484" s="228"/>
      <c r="AP484" s="228" t="str">
        <f>IFERROR(__xludf.DUMMYFUNCTION("""COMPUTED_VALUE"""),"NO")</f>
        <v>NO</v>
      </c>
      <c r="AQ484" s="228" t="str">
        <f>IFERROR(__xludf.DUMMYFUNCTION("""COMPUTED_VALUE"""),"Resigned/Terminated")</f>
        <v>Resigned/Terminated</v>
      </c>
    </row>
    <row r="485">
      <c r="A485" s="228">
        <f>IFERROR(__xludf.DUMMYFUNCTION("""COMPUTED_VALUE"""),5467.0)</f>
        <v>5467</v>
      </c>
      <c r="B485" s="228" t="str">
        <f>IFERROR(__xludf.DUMMYFUNCTION("""COMPUTED_VALUE"""),"Mobeen Irshad")</f>
        <v>Mobeen Irshad</v>
      </c>
      <c r="C485" s="228" t="str">
        <f>IFERROR(__xludf.DUMMYFUNCTION("""COMPUTED_VALUE"""),"mobeenirshad8080@gmail.com")</f>
        <v>mobeenirshad8080@gmail.com</v>
      </c>
      <c r="D485" s="228" t="str">
        <f>IFERROR(__xludf.DUMMYFUNCTION("""COMPUTED_VALUE"""),"mobeen.irshad@vyro.ai")</f>
        <v>mobeen.irshad@vyro.ai</v>
      </c>
      <c r="E485" s="730">
        <f>IFERROR(__xludf.DUMMYFUNCTION("""COMPUTED_VALUE"""),45964.0)</f>
        <v>45964</v>
      </c>
      <c r="F485" s="228" t="str">
        <f>IFERROR(__xludf.DUMMYFUNCTION("""COMPUTED_VALUE"""),"Senior motion designer ")</f>
        <v>Senior motion designer </v>
      </c>
      <c r="G485" s="228" t="str">
        <f>IFERROR(__xludf.DUMMYFUNCTION("""COMPUTED_VALUE"""),"Marketing")</f>
        <v>Marketing</v>
      </c>
      <c r="H485" s="228" t="str">
        <f>IFERROR(__xludf.DUMMYFUNCTION("""COMPUTED_VALUE"""),"Abdullah khan")</f>
        <v>Abdullah khan</v>
      </c>
      <c r="I485" s="228" t="str">
        <f>IFERROR(__xludf.DUMMYFUNCTION("""COMPUTED_VALUE"""),"Full Time")</f>
        <v>Full Time</v>
      </c>
      <c r="J485" s="228"/>
      <c r="K485" s="228"/>
      <c r="L485" s="228"/>
      <c r="M485" s="228"/>
      <c r="N485" s="228"/>
      <c r="O485" s="228"/>
      <c r="P485" s="228" t="str">
        <f>IFERROR(__xludf.DUMMYFUNCTION("""COMPUTED_VALUE"""),"3193614116")</f>
        <v>3193614116</v>
      </c>
      <c r="Q485" s="228" t="str">
        <f>IFERROR(__xludf.DUMMYFUNCTION("""COMPUTED_VALUE"""),"1310184077783")</f>
        <v>1310184077783</v>
      </c>
      <c r="R485" s="228" t="str">
        <f>IFERROR(__xludf.DUMMYFUNCTION("""COMPUTED_VALUE"""),"Male")</f>
        <v>Male</v>
      </c>
      <c r="S485" s="228" t="str">
        <f>IFERROR(__xludf.DUMMYFUNCTION("""COMPUTED_VALUE"""),"Standard chartered ")</f>
        <v>Standard chartered </v>
      </c>
      <c r="T485" s="228" t="str">
        <f>IFERROR(__xludf.DUMMYFUNCTION("""COMPUTED_VALUE"""),"Mobeen Irahad")</f>
        <v>Mobeen Irahad</v>
      </c>
      <c r="U485" s="228" t="str">
        <f>IFERROR(__xludf.DUMMYFUNCTION("""COMPUTED_VALUE"""),"PK82SCBL0000001027638401")</f>
        <v>PK82SCBL0000001027638401</v>
      </c>
      <c r="V485" s="228" t="str">
        <f>IFERROR(__xludf.DUMMYFUNCTION("""COMPUTED_VALUE"""),"1027638401")</f>
        <v>1027638401</v>
      </c>
      <c r="W485" s="228"/>
      <c r="X485" s="228"/>
      <c r="Y485" s="730">
        <f>IFERROR(__xludf.DUMMYFUNCTION("""COMPUTED_VALUE"""),37538.0)</f>
        <v>37538</v>
      </c>
      <c r="Z485" s="228" t="str">
        <f>IFERROR(__xludf.DUMMYFUNCTION("""COMPUTED_VALUE"""),"23 Years")</f>
        <v>23 Years</v>
      </c>
      <c r="AA485" s="228" t="str">
        <f>IFERROR(__xludf.DUMMYFUNCTION("""COMPUTED_VALUE"""),"House 410, Street 12, Airport society sector 4")</f>
        <v>House 410, Street 12, Airport society sector 4</v>
      </c>
      <c r="AB485" s="228" t="str">
        <f>IFERROR(__xludf.DUMMYFUNCTION("""COMPUTED_VALUE"""),"Pakistani ")</f>
        <v>Pakistani </v>
      </c>
      <c r="AC485" s="228" t="str">
        <f>IFERROR(__xludf.DUMMYFUNCTION("""COMPUTED_VALUE"""),"Single")</f>
        <v>Single</v>
      </c>
      <c r="AD485" s="228"/>
      <c r="AE485" s="228"/>
      <c r="AF485" s="228"/>
      <c r="AG485" s="228" t="str">
        <f>IFERROR(__xludf.DUMMYFUNCTION("""COMPUTED_VALUE"""),"Irshad mehmood")</f>
        <v>Irshad mehmood</v>
      </c>
      <c r="AH485" s="228" t="str">
        <f>IFERROR(__xludf.DUMMYFUNCTION("""COMPUTED_VALUE"""),"3110588609")</f>
        <v>3110588609</v>
      </c>
      <c r="AI485" s="228" t="str">
        <f>IFERROR(__xludf.DUMMYFUNCTION("""COMPUTED_VALUE"""),"3110588609")</f>
        <v>3110588609</v>
      </c>
      <c r="AJ485" s="228" t="str">
        <f>IFERROR(__xludf.DUMMYFUNCTION("""COMPUTED_VALUE"""),"AB+")</f>
        <v>AB+</v>
      </c>
      <c r="AK485" s="731" t="str">
        <f>IFERROR(__xludf.DUMMYFUNCTION("""COMPUTED_VALUE"""),"https://www.linkedin.com/in/mobeen-irshad-0a35aa265?utm_source=share&amp;utm_campaign=share_via&amp;utm_content=profile&amp;utm_medium=android_app")</f>
        <v>https://www.linkedin.com/in/mobeen-irshad-0a35aa265?utm_source=share&amp;utm_campaign=share_via&amp;utm_content=profile&amp;utm_medium=android_app</v>
      </c>
      <c r="AL485" s="228" t="str">
        <f>IFERROR(__xludf.DUMMYFUNCTION("""COMPUTED_VALUE"""),"Annum Inam")</f>
        <v>Annum Inam</v>
      </c>
      <c r="AM485" s="730">
        <f>IFERROR(__xludf.DUMMYFUNCTION("""COMPUTED_VALUE"""),45975.0)</f>
        <v>45975</v>
      </c>
      <c r="AN485" s="228"/>
      <c r="AO485" s="228"/>
      <c r="AP485" s="228"/>
      <c r="AQ485" s="228" t="str">
        <f>IFERROR(__xludf.DUMMYFUNCTION("""COMPUTED_VALUE"""),"Resigned/Terminated")</f>
        <v>Resigned/Terminated</v>
      </c>
    </row>
    <row r="486">
      <c r="A486" s="228"/>
      <c r="B486" s="228"/>
      <c r="C486" s="228"/>
      <c r="D486" s="228"/>
      <c r="E486" s="228"/>
      <c r="F486" s="228"/>
      <c r="G486" s="228"/>
      <c r="H486" s="228"/>
      <c r="I486" s="228"/>
      <c r="J486" s="228"/>
      <c r="K486" s="228"/>
      <c r="L486" s="228"/>
      <c r="M486" s="228"/>
      <c r="N486" s="228"/>
      <c r="O486" s="228"/>
      <c r="P486" s="228"/>
      <c r="Q486" s="228"/>
      <c r="R486" s="228"/>
      <c r="S486" s="228"/>
      <c r="T486" s="228"/>
      <c r="U486" s="228"/>
      <c r="V486" s="228"/>
      <c r="W486" s="228"/>
      <c r="X486" s="228"/>
      <c r="Y486" s="228"/>
      <c r="Z486" s="228"/>
      <c r="AA486" s="228"/>
      <c r="AB486" s="228"/>
      <c r="AC486" s="228"/>
      <c r="AD486" s="228"/>
      <c r="AE486" s="228"/>
      <c r="AF486" s="228"/>
      <c r="AG486" s="228"/>
      <c r="AH486" s="228"/>
      <c r="AI486" s="228"/>
      <c r="AJ486" s="228"/>
      <c r="AK486" s="228"/>
      <c r="AL486" s="228"/>
      <c r="AM486" s="228"/>
      <c r="AN486" s="228"/>
      <c r="AO486" s="228"/>
      <c r="AP486" s="228"/>
      <c r="AQ486" s="228"/>
    </row>
    <row r="487">
      <c r="A487" s="228"/>
      <c r="B487" s="228"/>
      <c r="C487" s="228"/>
      <c r="D487" s="228"/>
      <c r="E487" s="228"/>
      <c r="F487" s="228"/>
      <c r="G487" s="228"/>
      <c r="H487" s="228"/>
      <c r="I487" s="228"/>
      <c r="J487" s="228"/>
      <c r="K487" s="228"/>
      <c r="L487" s="228"/>
      <c r="M487" s="228"/>
      <c r="N487" s="228"/>
      <c r="O487" s="228"/>
      <c r="P487" s="228"/>
      <c r="Q487" s="228"/>
      <c r="R487" s="228"/>
      <c r="S487" s="228"/>
      <c r="T487" s="228"/>
      <c r="U487" s="228"/>
      <c r="V487" s="228"/>
      <c r="W487" s="228"/>
      <c r="X487" s="228"/>
      <c r="Y487" s="228"/>
      <c r="Z487" s="228"/>
      <c r="AA487" s="228"/>
      <c r="AB487" s="228"/>
      <c r="AC487" s="228"/>
      <c r="AD487" s="228"/>
      <c r="AE487" s="228"/>
      <c r="AF487" s="228"/>
      <c r="AG487" s="228"/>
      <c r="AH487" s="228"/>
      <c r="AI487" s="228"/>
      <c r="AJ487" s="228"/>
      <c r="AK487" s="228"/>
      <c r="AL487" s="228"/>
      <c r="AM487" s="228"/>
      <c r="AN487" s="228"/>
      <c r="AO487" s="228"/>
      <c r="AP487" s="228"/>
      <c r="AQ487" s="228"/>
    </row>
    <row r="488">
      <c r="A488" s="228"/>
      <c r="B488" s="228"/>
      <c r="C488" s="228"/>
      <c r="D488" s="228"/>
      <c r="E488" s="228"/>
      <c r="F488" s="228"/>
      <c r="G488" s="228"/>
      <c r="H488" s="228"/>
      <c r="I488" s="228"/>
      <c r="J488" s="228"/>
      <c r="K488" s="228"/>
      <c r="L488" s="228"/>
      <c r="M488" s="228"/>
      <c r="N488" s="228"/>
      <c r="O488" s="228"/>
      <c r="P488" s="228"/>
      <c r="Q488" s="228"/>
      <c r="R488" s="228"/>
      <c r="S488" s="228"/>
      <c r="T488" s="228"/>
      <c r="U488" s="228"/>
      <c r="V488" s="228"/>
      <c r="W488" s="228"/>
      <c r="X488" s="228"/>
      <c r="Y488" s="228"/>
      <c r="Z488" s="228"/>
      <c r="AA488" s="228"/>
      <c r="AB488" s="228"/>
      <c r="AC488" s="228"/>
      <c r="AD488" s="228"/>
      <c r="AE488" s="228"/>
      <c r="AF488" s="228"/>
      <c r="AG488" s="228"/>
      <c r="AH488" s="228"/>
      <c r="AI488" s="228"/>
      <c r="AJ488" s="228"/>
      <c r="AK488" s="228"/>
      <c r="AL488" s="228"/>
      <c r="AM488" s="228"/>
      <c r="AN488" s="228"/>
      <c r="AO488" s="228"/>
      <c r="AP488" s="228"/>
      <c r="AQ488" s="228"/>
    </row>
    <row r="489">
      <c r="A489" s="228"/>
      <c r="B489" s="228"/>
      <c r="C489" s="228"/>
      <c r="D489" s="228"/>
      <c r="E489" s="228"/>
      <c r="F489" s="228"/>
      <c r="G489" s="228"/>
      <c r="H489" s="228"/>
      <c r="I489" s="228"/>
      <c r="J489" s="228"/>
      <c r="K489" s="228"/>
      <c r="L489" s="228"/>
      <c r="M489" s="228"/>
      <c r="N489" s="228"/>
      <c r="O489" s="228"/>
      <c r="P489" s="228"/>
      <c r="Q489" s="228"/>
      <c r="R489" s="228"/>
      <c r="S489" s="228"/>
      <c r="T489" s="228"/>
      <c r="U489" s="228"/>
      <c r="V489" s="228"/>
      <c r="W489" s="228"/>
      <c r="X489" s="228"/>
      <c r="Y489" s="228"/>
      <c r="Z489" s="228"/>
      <c r="AA489" s="228"/>
      <c r="AB489" s="228"/>
      <c r="AC489" s="228"/>
      <c r="AD489" s="228"/>
      <c r="AE489" s="228"/>
      <c r="AF489" s="228"/>
      <c r="AG489" s="228"/>
      <c r="AH489" s="228"/>
      <c r="AI489" s="228"/>
      <c r="AJ489" s="228"/>
      <c r="AK489" s="228"/>
      <c r="AL489" s="228"/>
      <c r="AM489" s="228"/>
      <c r="AN489" s="228"/>
      <c r="AO489" s="228"/>
      <c r="AP489" s="228"/>
      <c r="AQ489" s="228"/>
    </row>
    <row r="490">
      <c r="A490" s="228"/>
      <c r="B490" s="228"/>
      <c r="C490" s="228"/>
      <c r="D490" s="228"/>
      <c r="E490" s="228"/>
      <c r="F490" s="228"/>
      <c r="G490" s="228"/>
      <c r="H490" s="228"/>
      <c r="I490" s="228"/>
      <c r="J490" s="228"/>
      <c r="K490" s="228"/>
      <c r="L490" s="228"/>
      <c r="M490" s="228"/>
      <c r="N490" s="228"/>
      <c r="O490" s="228"/>
      <c r="P490" s="228"/>
      <c r="Q490" s="228"/>
      <c r="R490" s="228"/>
      <c r="S490" s="228"/>
      <c r="T490" s="228"/>
      <c r="U490" s="228"/>
      <c r="V490" s="228"/>
      <c r="W490" s="228"/>
      <c r="X490" s="228"/>
      <c r="Y490" s="228"/>
      <c r="Z490" s="228"/>
      <c r="AA490" s="228"/>
      <c r="AB490" s="228"/>
      <c r="AC490" s="228"/>
      <c r="AD490" s="228"/>
      <c r="AE490" s="228"/>
      <c r="AF490" s="228"/>
      <c r="AG490" s="228"/>
      <c r="AH490" s="228"/>
      <c r="AI490" s="228"/>
      <c r="AJ490" s="228"/>
      <c r="AK490" s="228"/>
      <c r="AL490" s="228"/>
      <c r="AM490" s="228"/>
      <c r="AN490" s="228"/>
      <c r="AO490" s="228"/>
      <c r="AP490" s="228"/>
      <c r="AQ490" s="228"/>
    </row>
    <row r="491">
      <c r="A491" s="228"/>
      <c r="B491" s="228"/>
      <c r="C491" s="228"/>
      <c r="D491" s="228"/>
      <c r="E491" s="228"/>
      <c r="F491" s="228"/>
      <c r="G491" s="228"/>
      <c r="H491" s="228"/>
      <c r="I491" s="228"/>
      <c r="J491" s="228"/>
      <c r="K491" s="228"/>
      <c r="L491" s="228"/>
      <c r="M491" s="228"/>
      <c r="N491" s="228"/>
      <c r="O491" s="228"/>
      <c r="P491" s="228"/>
      <c r="Q491" s="228"/>
      <c r="R491" s="228"/>
      <c r="S491" s="228"/>
      <c r="T491" s="228"/>
      <c r="U491" s="228"/>
      <c r="V491" s="228"/>
      <c r="W491" s="228"/>
      <c r="X491" s="228"/>
      <c r="Y491" s="228"/>
      <c r="Z491" s="228"/>
      <c r="AA491" s="228"/>
      <c r="AB491" s="228"/>
      <c r="AC491" s="228"/>
      <c r="AD491" s="228"/>
      <c r="AE491" s="228"/>
      <c r="AF491" s="228"/>
      <c r="AG491" s="228"/>
      <c r="AH491" s="228"/>
      <c r="AI491" s="228"/>
      <c r="AJ491" s="228"/>
      <c r="AK491" s="228"/>
      <c r="AL491" s="228"/>
      <c r="AM491" s="228"/>
      <c r="AN491" s="228"/>
      <c r="AO491" s="228"/>
      <c r="AP491" s="228"/>
      <c r="AQ491" s="228"/>
    </row>
    <row r="492">
      <c r="A492" s="228"/>
      <c r="B492" s="228"/>
      <c r="C492" s="228"/>
      <c r="D492" s="228"/>
      <c r="E492" s="228"/>
      <c r="F492" s="228"/>
      <c r="G492" s="228"/>
      <c r="H492" s="228"/>
      <c r="I492" s="228"/>
      <c r="J492" s="228"/>
      <c r="K492" s="228"/>
      <c r="L492" s="228"/>
      <c r="M492" s="228"/>
      <c r="N492" s="228"/>
      <c r="O492" s="228"/>
      <c r="P492" s="228"/>
      <c r="Q492" s="228"/>
      <c r="R492" s="228"/>
      <c r="S492" s="228"/>
      <c r="T492" s="228"/>
      <c r="U492" s="228"/>
      <c r="V492" s="228"/>
      <c r="W492" s="228"/>
      <c r="X492" s="228"/>
      <c r="Y492" s="228"/>
      <c r="Z492" s="228"/>
      <c r="AA492" s="228"/>
      <c r="AB492" s="228"/>
      <c r="AC492" s="228"/>
      <c r="AD492" s="228"/>
      <c r="AE492" s="228"/>
      <c r="AF492" s="228"/>
      <c r="AG492" s="228"/>
      <c r="AH492" s="228"/>
      <c r="AI492" s="228"/>
      <c r="AJ492" s="228"/>
      <c r="AK492" s="228"/>
      <c r="AL492" s="228"/>
      <c r="AM492" s="228"/>
      <c r="AN492" s="228"/>
      <c r="AO492" s="228"/>
      <c r="AP492" s="228"/>
      <c r="AQ492" s="228"/>
    </row>
    <row r="493">
      <c r="A493" s="228"/>
      <c r="B493" s="228"/>
      <c r="C493" s="228"/>
      <c r="D493" s="228"/>
      <c r="E493" s="228"/>
      <c r="F493" s="228"/>
      <c r="G493" s="228"/>
      <c r="H493" s="228"/>
      <c r="I493" s="228"/>
      <c r="J493" s="228"/>
      <c r="K493" s="228"/>
      <c r="L493" s="228"/>
      <c r="M493" s="228"/>
      <c r="N493" s="228"/>
      <c r="O493" s="228"/>
      <c r="P493" s="228"/>
      <c r="Q493" s="228"/>
      <c r="R493" s="228"/>
      <c r="S493" s="228"/>
      <c r="T493" s="228"/>
      <c r="U493" s="228"/>
      <c r="V493" s="228"/>
      <c r="W493" s="228"/>
      <c r="X493" s="228"/>
      <c r="Y493" s="228"/>
      <c r="Z493" s="228"/>
      <c r="AA493" s="228"/>
      <c r="AB493" s="228"/>
      <c r="AC493" s="228"/>
      <c r="AD493" s="228"/>
      <c r="AE493" s="228"/>
      <c r="AF493" s="228"/>
      <c r="AG493" s="228"/>
      <c r="AH493" s="228"/>
      <c r="AI493" s="228"/>
      <c r="AJ493" s="228"/>
      <c r="AK493" s="228"/>
      <c r="AL493" s="228"/>
      <c r="AM493" s="228"/>
      <c r="AN493" s="228"/>
      <c r="AO493" s="228"/>
      <c r="AP493" s="228"/>
      <c r="AQ493" s="228"/>
    </row>
    <row r="494">
      <c r="A494" s="228"/>
      <c r="B494" s="228"/>
      <c r="C494" s="228"/>
      <c r="D494" s="228"/>
      <c r="E494" s="228"/>
      <c r="F494" s="228"/>
      <c r="G494" s="228"/>
      <c r="H494" s="228"/>
      <c r="I494" s="228"/>
      <c r="J494" s="228"/>
      <c r="K494" s="228"/>
      <c r="L494" s="228"/>
      <c r="M494" s="228"/>
      <c r="N494" s="228"/>
      <c r="O494" s="228"/>
      <c r="P494" s="228"/>
      <c r="Q494" s="228"/>
      <c r="R494" s="228"/>
      <c r="S494" s="228"/>
      <c r="T494" s="228"/>
      <c r="U494" s="228"/>
      <c r="V494" s="228"/>
      <c r="W494" s="228"/>
      <c r="X494" s="228"/>
      <c r="Y494" s="228"/>
      <c r="Z494" s="228"/>
      <c r="AA494" s="228"/>
      <c r="AB494" s="228"/>
      <c r="AC494" s="228"/>
      <c r="AD494" s="228"/>
      <c r="AE494" s="228"/>
      <c r="AF494" s="228"/>
      <c r="AG494" s="228"/>
      <c r="AH494" s="228"/>
      <c r="AI494" s="228"/>
      <c r="AJ494" s="228"/>
      <c r="AK494" s="228"/>
      <c r="AL494" s="228"/>
      <c r="AM494" s="228"/>
      <c r="AN494" s="228"/>
      <c r="AO494" s="228"/>
      <c r="AP494" s="228"/>
      <c r="AQ494" s="228"/>
    </row>
    <row r="495">
      <c r="A495" s="228"/>
      <c r="B495" s="228"/>
      <c r="C495" s="228"/>
      <c r="D495" s="228"/>
      <c r="E495" s="228"/>
      <c r="F495" s="228"/>
      <c r="G495" s="228"/>
      <c r="H495" s="228"/>
      <c r="I495" s="228"/>
      <c r="J495" s="228"/>
      <c r="K495" s="228"/>
      <c r="L495" s="228"/>
      <c r="M495" s="228"/>
      <c r="N495" s="228"/>
      <c r="O495" s="228"/>
      <c r="P495" s="228"/>
      <c r="Q495" s="228"/>
      <c r="R495" s="228"/>
      <c r="S495" s="228"/>
      <c r="T495" s="228"/>
      <c r="U495" s="228"/>
      <c r="V495" s="228"/>
      <c r="W495" s="228"/>
      <c r="X495" s="228"/>
      <c r="Y495" s="228"/>
      <c r="Z495" s="228"/>
      <c r="AA495" s="228"/>
      <c r="AB495" s="228"/>
      <c r="AC495" s="228"/>
      <c r="AD495" s="228"/>
      <c r="AE495" s="228"/>
      <c r="AF495" s="228"/>
      <c r="AG495" s="228"/>
      <c r="AH495" s="228"/>
      <c r="AI495" s="228"/>
      <c r="AJ495" s="228"/>
      <c r="AK495" s="228"/>
      <c r="AL495" s="228"/>
      <c r="AM495" s="228"/>
      <c r="AN495" s="228"/>
      <c r="AO495" s="228"/>
      <c r="AP495" s="228"/>
      <c r="AQ495" s="228"/>
    </row>
    <row r="496">
      <c r="A496" s="228"/>
      <c r="B496" s="228"/>
      <c r="C496" s="228"/>
      <c r="D496" s="228"/>
      <c r="E496" s="228"/>
      <c r="F496" s="228"/>
      <c r="G496" s="228"/>
      <c r="H496" s="228"/>
      <c r="I496" s="228"/>
      <c r="J496" s="228"/>
      <c r="K496" s="228"/>
      <c r="L496" s="228"/>
      <c r="M496" s="228"/>
      <c r="N496" s="228"/>
      <c r="O496" s="228"/>
      <c r="P496" s="228"/>
      <c r="Q496" s="228"/>
      <c r="R496" s="228"/>
      <c r="S496" s="228"/>
      <c r="T496" s="228"/>
      <c r="U496" s="228"/>
      <c r="V496" s="228"/>
      <c r="W496" s="228"/>
      <c r="X496" s="228"/>
      <c r="Y496" s="228"/>
      <c r="Z496" s="228"/>
      <c r="AA496" s="228"/>
      <c r="AB496" s="228"/>
      <c r="AC496" s="228"/>
      <c r="AD496" s="228"/>
      <c r="AE496" s="228"/>
      <c r="AF496" s="228"/>
      <c r="AG496" s="228"/>
      <c r="AH496" s="228"/>
      <c r="AI496" s="228"/>
      <c r="AJ496" s="228"/>
      <c r="AK496" s="228"/>
      <c r="AL496" s="228"/>
      <c r="AM496" s="228"/>
      <c r="AN496" s="228"/>
      <c r="AO496" s="228"/>
      <c r="AP496" s="228"/>
      <c r="AQ496" s="228"/>
    </row>
    <row r="497">
      <c r="A497" s="228"/>
      <c r="B497" s="228"/>
      <c r="C497" s="228"/>
      <c r="D497" s="228"/>
      <c r="E497" s="228"/>
      <c r="F497" s="228"/>
      <c r="G497" s="228"/>
      <c r="H497" s="228"/>
      <c r="I497" s="228"/>
      <c r="J497" s="228"/>
      <c r="K497" s="228"/>
      <c r="L497" s="228"/>
      <c r="M497" s="228"/>
      <c r="N497" s="228"/>
      <c r="O497" s="228"/>
      <c r="P497" s="228"/>
      <c r="Q497" s="228"/>
      <c r="R497" s="228"/>
      <c r="S497" s="228"/>
      <c r="T497" s="228"/>
      <c r="U497" s="228"/>
      <c r="V497" s="228"/>
      <c r="W497" s="228"/>
      <c r="X497" s="228"/>
      <c r="Y497" s="228"/>
      <c r="Z497" s="228"/>
      <c r="AA497" s="228"/>
      <c r="AB497" s="228"/>
      <c r="AC497" s="228"/>
      <c r="AD497" s="228"/>
      <c r="AE497" s="228"/>
      <c r="AF497" s="228"/>
      <c r="AG497" s="228"/>
      <c r="AH497" s="228"/>
      <c r="AI497" s="228"/>
      <c r="AJ497" s="228"/>
      <c r="AK497" s="228"/>
      <c r="AL497" s="228"/>
      <c r="AM497" s="228"/>
      <c r="AN497" s="228"/>
      <c r="AO497" s="228"/>
      <c r="AP497" s="228"/>
      <c r="AQ497" s="228"/>
    </row>
    <row r="498">
      <c r="A498" s="228"/>
      <c r="B498" s="228"/>
      <c r="C498" s="228"/>
      <c r="D498" s="228"/>
      <c r="E498" s="228"/>
      <c r="F498" s="228"/>
      <c r="G498" s="228"/>
      <c r="H498" s="228"/>
      <c r="I498" s="228"/>
      <c r="J498" s="228"/>
      <c r="K498" s="228"/>
      <c r="L498" s="228"/>
      <c r="M498" s="228"/>
      <c r="N498" s="228"/>
      <c r="O498" s="228"/>
      <c r="P498" s="228"/>
      <c r="Q498" s="228"/>
      <c r="R498" s="228"/>
      <c r="S498" s="228"/>
      <c r="T498" s="228"/>
      <c r="U498" s="228"/>
      <c r="V498" s="228"/>
      <c r="W498" s="228"/>
      <c r="X498" s="228"/>
      <c r="Y498" s="228"/>
      <c r="Z498" s="228"/>
      <c r="AA498" s="228"/>
      <c r="AB498" s="228"/>
      <c r="AC498" s="228"/>
      <c r="AD498" s="228"/>
      <c r="AE498" s="228"/>
      <c r="AF498" s="228"/>
      <c r="AG498" s="228"/>
      <c r="AH498" s="228"/>
      <c r="AI498" s="228"/>
      <c r="AJ498" s="228"/>
      <c r="AK498" s="228"/>
      <c r="AL498" s="228"/>
      <c r="AM498" s="228"/>
      <c r="AN498" s="228"/>
      <c r="AO498" s="228"/>
      <c r="AP498" s="228"/>
      <c r="AQ498" s="228"/>
    </row>
    <row r="499">
      <c r="A499" s="228"/>
      <c r="B499" s="228"/>
      <c r="C499" s="228"/>
      <c r="D499" s="228"/>
      <c r="E499" s="228"/>
      <c r="F499" s="228"/>
      <c r="G499" s="228"/>
      <c r="H499" s="228"/>
      <c r="I499" s="228"/>
      <c r="J499" s="228"/>
      <c r="K499" s="228"/>
      <c r="L499" s="228"/>
      <c r="M499" s="228"/>
      <c r="N499" s="228"/>
      <c r="O499" s="228"/>
      <c r="P499" s="228"/>
      <c r="Q499" s="228"/>
      <c r="R499" s="228"/>
      <c r="S499" s="228"/>
      <c r="T499" s="228"/>
      <c r="U499" s="228"/>
      <c r="V499" s="228"/>
      <c r="W499" s="228"/>
      <c r="X499" s="228"/>
      <c r="Y499" s="228"/>
      <c r="Z499" s="228"/>
      <c r="AA499" s="228"/>
      <c r="AB499" s="228"/>
      <c r="AC499" s="228"/>
      <c r="AD499" s="228"/>
      <c r="AE499" s="228"/>
      <c r="AF499" s="228"/>
      <c r="AG499" s="228"/>
      <c r="AH499" s="228"/>
      <c r="AI499" s="228"/>
      <c r="AJ499" s="228"/>
      <c r="AK499" s="228"/>
      <c r="AL499" s="228"/>
      <c r="AM499" s="228"/>
      <c r="AN499" s="228"/>
      <c r="AO499" s="228"/>
      <c r="AP499" s="228"/>
      <c r="AQ499" s="228"/>
    </row>
    <row r="500">
      <c r="A500" s="228"/>
      <c r="B500" s="228"/>
      <c r="C500" s="228"/>
      <c r="D500" s="228"/>
      <c r="E500" s="228"/>
      <c r="F500" s="228"/>
      <c r="G500" s="228"/>
      <c r="H500" s="228"/>
      <c r="I500" s="228"/>
      <c r="J500" s="228"/>
      <c r="K500" s="228"/>
      <c r="L500" s="228"/>
      <c r="M500" s="228"/>
      <c r="N500" s="228"/>
      <c r="O500" s="228"/>
      <c r="P500" s="228"/>
      <c r="Q500" s="228"/>
      <c r="R500" s="228"/>
      <c r="S500" s="228"/>
      <c r="T500" s="228"/>
      <c r="U500" s="228"/>
      <c r="V500" s="228"/>
      <c r="W500" s="228"/>
      <c r="X500" s="228"/>
      <c r="Y500" s="228"/>
      <c r="Z500" s="228"/>
      <c r="AA500" s="228"/>
      <c r="AB500" s="228"/>
      <c r="AC500" s="228"/>
      <c r="AD500" s="228"/>
      <c r="AE500" s="228"/>
      <c r="AF500" s="228"/>
      <c r="AG500" s="228"/>
      <c r="AH500" s="228"/>
      <c r="AI500" s="228"/>
      <c r="AJ500" s="228"/>
      <c r="AK500" s="228"/>
      <c r="AL500" s="228"/>
      <c r="AM500" s="228"/>
      <c r="AN500" s="228"/>
      <c r="AO500" s="228"/>
      <c r="AP500" s="228"/>
      <c r="AQ500" s="228"/>
    </row>
    <row r="501">
      <c r="A501" s="228"/>
      <c r="B501" s="228"/>
      <c r="C501" s="228"/>
      <c r="D501" s="228"/>
      <c r="E501" s="228"/>
      <c r="F501" s="228"/>
      <c r="G501" s="228"/>
      <c r="H501" s="228"/>
      <c r="I501" s="228"/>
      <c r="J501" s="228"/>
      <c r="K501" s="228"/>
      <c r="L501" s="228"/>
      <c r="M501" s="228"/>
      <c r="N501" s="228"/>
      <c r="O501" s="228"/>
      <c r="P501" s="228"/>
      <c r="Q501" s="228"/>
      <c r="R501" s="228"/>
      <c r="S501" s="228"/>
      <c r="T501" s="228"/>
      <c r="U501" s="228"/>
      <c r="V501" s="228"/>
      <c r="W501" s="228"/>
      <c r="X501" s="228"/>
      <c r="Y501" s="228"/>
      <c r="Z501" s="228"/>
      <c r="AA501" s="228"/>
      <c r="AB501" s="228"/>
      <c r="AC501" s="228"/>
      <c r="AD501" s="228"/>
      <c r="AE501" s="228"/>
      <c r="AF501" s="228"/>
      <c r="AG501" s="228"/>
      <c r="AH501" s="228"/>
      <c r="AI501" s="228"/>
      <c r="AJ501" s="228"/>
      <c r="AK501" s="228"/>
      <c r="AL501" s="228"/>
      <c r="AM501" s="228"/>
      <c r="AN501" s="228"/>
      <c r="AO501" s="228"/>
      <c r="AP501" s="228"/>
      <c r="AQ501" s="228"/>
    </row>
    <row r="502">
      <c r="A502" s="228"/>
      <c r="B502" s="228"/>
      <c r="C502" s="228"/>
      <c r="D502" s="228"/>
      <c r="E502" s="228"/>
      <c r="F502" s="228"/>
      <c r="G502" s="228"/>
      <c r="H502" s="228"/>
      <c r="I502" s="228"/>
      <c r="J502" s="228"/>
      <c r="K502" s="228"/>
      <c r="L502" s="228"/>
      <c r="M502" s="228"/>
      <c r="N502" s="228"/>
      <c r="O502" s="228"/>
      <c r="P502" s="228"/>
      <c r="Q502" s="228"/>
      <c r="R502" s="228"/>
      <c r="S502" s="228"/>
      <c r="T502" s="228"/>
      <c r="U502" s="228"/>
      <c r="V502" s="228"/>
      <c r="W502" s="228"/>
      <c r="X502" s="228"/>
      <c r="Y502" s="228"/>
      <c r="Z502" s="228"/>
      <c r="AA502" s="228"/>
      <c r="AB502" s="228"/>
      <c r="AC502" s="228"/>
      <c r="AD502" s="228"/>
      <c r="AE502" s="228"/>
      <c r="AF502" s="228"/>
      <c r="AG502" s="228"/>
      <c r="AH502" s="228"/>
      <c r="AI502" s="228"/>
      <c r="AJ502" s="228"/>
      <c r="AK502" s="228"/>
      <c r="AL502" s="228"/>
      <c r="AM502" s="228"/>
      <c r="AN502" s="228"/>
      <c r="AO502" s="228"/>
      <c r="AP502" s="228"/>
      <c r="AQ502" s="228"/>
    </row>
    <row r="503">
      <c r="A503" s="228"/>
      <c r="B503" s="228"/>
      <c r="C503" s="228"/>
      <c r="D503" s="228"/>
      <c r="E503" s="228"/>
      <c r="F503" s="228"/>
      <c r="G503" s="228"/>
      <c r="H503" s="228"/>
      <c r="I503" s="228"/>
      <c r="J503" s="228"/>
      <c r="K503" s="228"/>
      <c r="L503" s="228"/>
      <c r="M503" s="228"/>
      <c r="N503" s="228"/>
      <c r="O503" s="228"/>
      <c r="P503" s="228"/>
      <c r="Q503" s="228"/>
      <c r="R503" s="228"/>
      <c r="S503" s="228"/>
      <c r="T503" s="228"/>
      <c r="U503" s="228"/>
      <c r="V503" s="228"/>
      <c r="W503" s="228"/>
      <c r="X503" s="228"/>
      <c r="Y503" s="228"/>
      <c r="Z503" s="228"/>
      <c r="AA503" s="228"/>
      <c r="AB503" s="228"/>
      <c r="AC503" s="228"/>
      <c r="AD503" s="228"/>
      <c r="AE503" s="228"/>
      <c r="AF503" s="228"/>
      <c r="AG503" s="228"/>
      <c r="AH503" s="228"/>
      <c r="AI503" s="228"/>
      <c r="AJ503" s="228"/>
      <c r="AK503" s="228"/>
      <c r="AL503" s="228"/>
      <c r="AM503" s="228"/>
      <c r="AN503" s="228"/>
      <c r="AO503" s="228"/>
      <c r="AP503" s="228"/>
      <c r="AQ503" s="228"/>
    </row>
    <row r="504">
      <c r="A504" s="228"/>
      <c r="B504" s="228"/>
      <c r="C504" s="228"/>
      <c r="D504" s="228"/>
      <c r="E504" s="228"/>
      <c r="F504" s="228"/>
      <c r="G504" s="228"/>
      <c r="H504" s="228"/>
      <c r="I504" s="228"/>
      <c r="J504" s="228"/>
      <c r="K504" s="228"/>
      <c r="L504" s="228"/>
      <c r="M504" s="228"/>
      <c r="N504" s="228"/>
      <c r="O504" s="228"/>
      <c r="P504" s="228"/>
      <c r="Q504" s="228"/>
      <c r="R504" s="228"/>
      <c r="S504" s="228"/>
      <c r="T504" s="228"/>
      <c r="U504" s="228"/>
      <c r="V504" s="228"/>
      <c r="W504" s="228"/>
      <c r="X504" s="228"/>
      <c r="Y504" s="228"/>
      <c r="Z504" s="228"/>
      <c r="AA504" s="228"/>
      <c r="AB504" s="228"/>
      <c r="AC504" s="228"/>
      <c r="AD504" s="228"/>
      <c r="AE504" s="228"/>
      <c r="AF504" s="228"/>
      <c r="AG504" s="228"/>
      <c r="AH504" s="228"/>
      <c r="AI504" s="228"/>
      <c r="AJ504" s="228"/>
      <c r="AK504" s="228"/>
      <c r="AL504" s="228"/>
      <c r="AM504" s="228"/>
      <c r="AN504" s="228"/>
      <c r="AO504" s="228"/>
      <c r="AP504" s="228"/>
      <c r="AQ504" s="228"/>
    </row>
    <row r="505">
      <c r="A505" s="228"/>
      <c r="B505" s="228"/>
      <c r="C505" s="228"/>
      <c r="D505" s="228"/>
      <c r="E505" s="228"/>
      <c r="F505" s="228"/>
      <c r="G505" s="228"/>
      <c r="H505" s="228"/>
      <c r="I505" s="228"/>
      <c r="J505" s="228"/>
      <c r="K505" s="228"/>
      <c r="L505" s="228"/>
      <c r="M505" s="228"/>
      <c r="N505" s="228"/>
      <c r="O505" s="228"/>
      <c r="P505" s="228"/>
      <c r="Q505" s="228"/>
      <c r="R505" s="228"/>
      <c r="S505" s="228"/>
      <c r="T505" s="228"/>
      <c r="U505" s="228"/>
      <c r="V505" s="228"/>
      <c r="W505" s="228"/>
      <c r="X505" s="228"/>
      <c r="Y505" s="228"/>
      <c r="Z505" s="228"/>
      <c r="AA505" s="228"/>
      <c r="AB505" s="228"/>
      <c r="AC505" s="228"/>
      <c r="AD505" s="228"/>
      <c r="AE505" s="228"/>
      <c r="AF505" s="228"/>
      <c r="AG505" s="228"/>
      <c r="AH505" s="228"/>
      <c r="AI505" s="228"/>
      <c r="AJ505" s="228"/>
      <c r="AK505" s="228"/>
      <c r="AL505" s="228"/>
      <c r="AM505" s="228"/>
      <c r="AN505" s="228"/>
      <c r="AO505" s="228"/>
      <c r="AP505" s="228"/>
      <c r="AQ505" s="228"/>
    </row>
    <row r="506">
      <c r="A506" s="228"/>
      <c r="B506" s="228"/>
      <c r="C506" s="228"/>
      <c r="D506" s="228"/>
      <c r="E506" s="228"/>
      <c r="F506" s="228"/>
      <c r="G506" s="228"/>
      <c r="H506" s="228"/>
      <c r="I506" s="228"/>
      <c r="J506" s="228"/>
      <c r="K506" s="228"/>
      <c r="L506" s="228"/>
      <c r="M506" s="228"/>
      <c r="N506" s="228"/>
      <c r="O506" s="228"/>
      <c r="P506" s="228"/>
      <c r="Q506" s="228"/>
      <c r="R506" s="228"/>
      <c r="S506" s="228"/>
      <c r="T506" s="228"/>
      <c r="U506" s="228"/>
      <c r="V506" s="228"/>
      <c r="W506" s="228"/>
      <c r="X506" s="228"/>
      <c r="Y506" s="228"/>
      <c r="Z506" s="228"/>
      <c r="AA506" s="228"/>
      <c r="AB506" s="228"/>
      <c r="AC506" s="228"/>
      <c r="AD506" s="228"/>
      <c r="AE506" s="228"/>
      <c r="AF506" s="228"/>
      <c r="AG506" s="228"/>
      <c r="AH506" s="228"/>
      <c r="AI506" s="228"/>
      <c r="AJ506" s="228"/>
      <c r="AK506" s="228"/>
      <c r="AL506" s="228"/>
      <c r="AM506" s="228"/>
      <c r="AN506" s="228"/>
      <c r="AO506" s="228"/>
      <c r="AP506" s="228"/>
      <c r="AQ506" s="228"/>
    </row>
    <row r="507">
      <c r="A507" s="228"/>
      <c r="B507" s="228"/>
      <c r="C507" s="228"/>
      <c r="D507" s="228"/>
      <c r="E507" s="228"/>
      <c r="F507" s="228"/>
      <c r="G507" s="228"/>
      <c r="H507" s="228"/>
      <c r="I507" s="228"/>
      <c r="J507" s="228"/>
      <c r="K507" s="228"/>
      <c r="L507" s="228"/>
      <c r="M507" s="228"/>
      <c r="N507" s="228"/>
      <c r="O507" s="228"/>
      <c r="P507" s="228"/>
      <c r="Q507" s="228"/>
      <c r="R507" s="228"/>
      <c r="S507" s="228"/>
      <c r="T507" s="228"/>
      <c r="U507" s="228"/>
      <c r="V507" s="228"/>
      <c r="W507" s="228"/>
      <c r="X507" s="228"/>
      <c r="Y507" s="228"/>
      <c r="Z507" s="228"/>
      <c r="AA507" s="228"/>
      <c r="AB507" s="228"/>
      <c r="AC507" s="228"/>
      <c r="AD507" s="228"/>
      <c r="AE507" s="228"/>
      <c r="AF507" s="228"/>
      <c r="AG507" s="228"/>
      <c r="AH507" s="228"/>
      <c r="AI507" s="228"/>
      <c r="AJ507" s="228"/>
      <c r="AK507" s="228"/>
      <c r="AL507" s="228"/>
      <c r="AM507" s="228"/>
      <c r="AN507" s="228"/>
      <c r="AO507" s="228"/>
      <c r="AP507" s="228"/>
      <c r="AQ507" s="228"/>
    </row>
    <row r="508">
      <c r="A508" s="228"/>
      <c r="B508" s="228"/>
      <c r="C508" s="228"/>
      <c r="D508" s="228"/>
      <c r="E508" s="228"/>
      <c r="F508" s="228"/>
      <c r="G508" s="228"/>
      <c r="H508" s="228"/>
      <c r="I508" s="228"/>
      <c r="J508" s="228"/>
      <c r="K508" s="228"/>
      <c r="L508" s="228"/>
      <c r="M508" s="228"/>
      <c r="N508" s="228"/>
      <c r="O508" s="228"/>
      <c r="P508" s="228"/>
      <c r="Q508" s="228"/>
      <c r="R508" s="228"/>
      <c r="S508" s="228"/>
      <c r="T508" s="228"/>
      <c r="U508" s="228"/>
      <c r="V508" s="228"/>
      <c r="W508" s="228"/>
      <c r="X508" s="228"/>
      <c r="Y508" s="228"/>
      <c r="Z508" s="228"/>
      <c r="AA508" s="228"/>
      <c r="AB508" s="228"/>
      <c r="AC508" s="228"/>
      <c r="AD508" s="228"/>
      <c r="AE508" s="228"/>
      <c r="AF508" s="228"/>
      <c r="AG508" s="228"/>
      <c r="AH508" s="228"/>
      <c r="AI508" s="228"/>
      <c r="AJ508" s="228"/>
      <c r="AK508" s="228"/>
      <c r="AL508" s="228"/>
      <c r="AM508" s="228"/>
      <c r="AN508" s="228"/>
      <c r="AO508" s="228"/>
      <c r="AP508" s="228"/>
      <c r="AQ508" s="228"/>
    </row>
    <row r="509">
      <c r="A509" s="228"/>
      <c r="B509" s="228"/>
      <c r="C509" s="228"/>
      <c r="D509" s="228"/>
      <c r="E509" s="228"/>
      <c r="F509" s="228"/>
      <c r="G509" s="228"/>
      <c r="H509" s="228"/>
      <c r="I509" s="228"/>
      <c r="J509" s="228"/>
      <c r="K509" s="228"/>
      <c r="L509" s="228"/>
      <c r="M509" s="228"/>
      <c r="N509" s="228"/>
      <c r="O509" s="228"/>
      <c r="P509" s="228"/>
      <c r="Q509" s="228"/>
      <c r="R509" s="228"/>
      <c r="S509" s="228"/>
      <c r="T509" s="228"/>
      <c r="U509" s="228"/>
      <c r="V509" s="228"/>
      <c r="W509" s="228"/>
      <c r="X509" s="228"/>
      <c r="Y509" s="228"/>
      <c r="Z509" s="228"/>
      <c r="AA509" s="228"/>
      <c r="AB509" s="228"/>
      <c r="AC509" s="228"/>
      <c r="AD509" s="228"/>
      <c r="AE509" s="228"/>
      <c r="AF509" s="228"/>
      <c r="AG509" s="228"/>
      <c r="AH509" s="228"/>
      <c r="AI509" s="228"/>
      <c r="AJ509" s="228"/>
      <c r="AK509" s="228"/>
      <c r="AL509" s="228"/>
      <c r="AM509" s="228"/>
      <c r="AN509" s="228"/>
      <c r="AO509" s="228"/>
      <c r="AP509" s="228"/>
      <c r="AQ509" s="228"/>
    </row>
    <row r="510">
      <c r="A510" s="228"/>
      <c r="B510" s="228"/>
      <c r="C510" s="228"/>
      <c r="D510" s="228"/>
      <c r="E510" s="228"/>
      <c r="F510" s="228"/>
      <c r="G510" s="228"/>
      <c r="H510" s="228"/>
      <c r="I510" s="228"/>
      <c r="J510" s="228"/>
      <c r="K510" s="228"/>
      <c r="L510" s="228"/>
      <c r="M510" s="228"/>
      <c r="N510" s="228"/>
      <c r="O510" s="228"/>
      <c r="P510" s="228"/>
      <c r="Q510" s="228"/>
      <c r="R510" s="228"/>
      <c r="S510" s="228"/>
      <c r="T510" s="228"/>
      <c r="U510" s="228"/>
      <c r="V510" s="228"/>
      <c r="W510" s="228"/>
      <c r="X510" s="228"/>
      <c r="Y510" s="228"/>
      <c r="Z510" s="228"/>
      <c r="AA510" s="228"/>
      <c r="AB510" s="228"/>
      <c r="AC510" s="228"/>
      <c r="AD510" s="228"/>
      <c r="AE510" s="228"/>
      <c r="AF510" s="228"/>
      <c r="AG510" s="228"/>
      <c r="AH510" s="228"/>
      <c r="AI510" s="228"/>
      <c r="AJ510" s="228"/>
      <c r="AK510" s="228"/>
      <c r="AL510" s="228"/>
      <c r="AM510" s="228"/>
      <c r="AN510" s="228"/>
      <c r="AO510" s="228"/>
      <c r="AP510" s="228"/>
      <c r="AQ510" s="228"/>
    </row>
    <row r="511">
      <c r="A511" s="228"/>
      <c r="B511" s="228"/>
      <c r="C511" s="228"/>
      <c r="D511" s="228"/>
      <c r="E511" s="228"/>
      <c r="F511" s="228"/>
      <c r="G511" s="228"/>
      <c r="H511" s="228"/>
      <c r="I511" s="228"/>
      <c r="J511" s="228"/>
      <c r="K511" s="228"/>
      <c r="L511" s="228"/>
      <c r="M511" s="228"/>
      <c r="N511" s="228"/>
      <c r="O511" s="228"/>
      <c r="P511" s="228"/>
      <c r="Q511" s="228"/>
      <c r="R511" s="228"/>
      <c r="S511" s="228"/>
      <c r="T511" s="228"/>
      <c r="U511" s="228"/>
      <c r="V511" s="228"/>
      <c r="W511" s="228"/>
      <c r="X511" s="228"/>
      <c r="Y511" s="228"/>
      <c r="Z511" s="228"/>
      <c r="AA511" s="228"/>
      <c r="AB511" s="228"/>
      <c r="AC511" s="228"/>
      <c r="AD511" s="228"/>
      <c r="AE511" s="228"/>
      <c r="AF511" s="228"/>
      <c r="AG511" s="228"/>
      <c r="AH511" s="228"/>
      <c r="AI511" s="228"/>
      <c r="AJ511" s="228"/>
      <c r="AK511" s="228"/>
      <c r="AL511" s="228"/>
      <c r="AM511" s="228"/>
      <c r="AN511" s="228"/>
      <c r="AO511" s="228"/>
      <c r="AP511" s="228"/>
      <c r="AQ511" s="228"/>
    </row>
    <row r="512">
      <c r="A512" s="228"/>
      <c r="B512" s="228"/>
      <c r="C512" s="228"/>
      <c r="D512" s="228"/>
      <c r="E512" s="228"/>
      <c r="F512" s="228"/>
      <c r="G512" s="228"/>
      <c r="H512" s="228"/>
      <c r="I512" s="228"/>
      <c r="J512" s="228"/>
      <c r="K512" s="228"/>
      <c r="L512" s="228"/>
      <c r="M512" s="228"/>
      <c r="N512" s="228"/>
      <c r="O512" s="228"/>
      <c r="P512" s="228"/>
      <c r="Q512" s="228"/>
      <c r="R512" s="228"/>
      <c r="S512" s="228"/>
      <c r="T512" s="228"/>
      <c r="U512" s="228"/>
      <c r="V512" s="228"/>
      <c r="W512" s="228"/>
      <c r="X512" s="228"/>
      <c r="Y512" s="228"/>
      <c r="Z512" s="228"/>
      <c r="AA512" s="228"/>
      <c r="AB512" s="228"/>
      <c r="AC512" s="228"/>
      <c r="AD512" s="228"/>
      <c r="AE512" s="228"/>
      <c r="AF512" s="228"/>
      <c r="AG512" s="228"/>
      <c r="AH512" s="228"/>
      <c r="AI512" s="228"/>
      <c r="AJ512" s="228"/>
      <c r="AK512" s="228"/>
      <c r="AL512" s="228"/>
      <c r="AM512" s="228"/>
      <c r="AN512" s="228"/>
      <c r="AO512" s="228"/>
      <c r="AP512" s="228"/>
      <c r="AQ512" s="228"/>
    </row>
    <row r="513">
      <c r="A513" s="228"/>
      <c r="B513" s="228"/>
      <c r="C513" s="228"/>
      <c r="D513" s="228"/>
      <c r="E513" s="228"/>
      <c r="F513" s="228"/>
      <c r="G513" s="228"/>
      <c r="H513" s="228"/>
      <c r="I513" s="228"/>
      <c r="J513" s="228"/>
      <c r="K513" s="228"/>
      <c r="L513" s="228"/>
      <c r="M513" s="228"/>
      <c r="N513" s="228"/>
      <c r="O513" s="228"/>
      <c r="P513" s="228"/>
      <c r="Q513" s="228"/>
      <c r="R513" s="228"/>
      <c r="S513" s="228"/>
      <c r="T513" s="228"/>
      <c r="U513" s="228"/>
      <c r="V513" s="228"/>
      <c r="W513" s="228"/>
      <c r="X513" s="228"/>
      <c r="Y513" s="228"/>
      <c r="Z513" s="228"/>
      <c r="AA513" s="228"/>
      <c r="AB513" s="228"/>
      <c r="AC513" s="228"/>
      <c r="AD513" s="228"/>
      <c r="AE513" s="228"/>
      <c r="AF513" s="228"/>
      <c r="AG513" s="228"/>
      <c r="AH513" s="228"/>
      <c r="AI513" s="228"/>
      <c r="AJ513" s="228"/>
      <c r="AK513" s="228"/>
      <c r="AL513" s="228"/>
      <c r="AM513" s="228"/>
      <c r="AN513" s="228"/>
      <c r="AO513" s="228"/>
      <c r="AP513" s="228"/>
      <c r="AQ513" s="228"/>
    </row>
    <row r="514">
      <c r="A514" s="228"/>
      <c r="B514" s="228"/>
      <c r="C514" s="228"/>
      <c r="D514" s="228"/>
      <c r="E514" s="228"/>
      <c r="F514" s="228"/>
      <c r="G514" s="228"/>
      <c r="H514" s="228"/>
      <c r="I514" s="228"/>
      <c r="J514" s="228"/>
      <c r="K514" s="228"/>
      <c r="L514" s="228"/>
      <c r="M514" s="228"/>
      <c r="N514" s="228"/>
      <c r="O514" s="228"/>
      <c r="P514" s="228"/>
      <c r="Q514" s="228"/>
      <c r="R514" s="228"/>
      <c r="S514" s="228"/>
      <c r="T514" s="228"/>
      <c r="U514" s="228"/>
      <c r="V514" s="228"/>
      <c r="W514" s="228"/>
      <c r="X514" s="228"/>
      <c r="Y514" s="228"/>
      <c r="Z514" s="228"/>
      <c r="AA514" s="228"/>
      <c r="AB514" s="228"/>
      <c r="AC514" s="228"/>
      <c r="AD514" s="228"/>
      <c r="AE514" s="228"/>
      <c r="AF514" s="228"/>
      <c r="AG514" s="228"/>
      <c r="AH514" s="228"/>
      <c r="AI514" s="228"/>
      <c r="AJ514" s="228"/>
      <c r="AK514" s="228"/>
      <c r="AL514" s="228"/>
      <c r="AM514" s="228"/>
      <c r="AN514" s="228"/>
      <c r="AO514" s="228"/>
      <c r="AP514" s="228"/>
      <c r="AQ514" s="228"/>
    </row>
    <row r="515">
      <c r="A515" s="228"/>
      <c r="B515" s="228"/>
      <c r="C515" s="228"/>
      <c r="D515" s="228"/>
      <c r="E515" s="228"/>
      <c r="F515" s="228"/>
      <c r="G515" s="228"/>
      <c r="H515" s="228"/>
      <c r="I515" s="228"/>
      <c r="J515" s="228"/>
      <c r="K515" s="228"/>
      <c r="L515" s="228"/>
      <c r="M515" s="228"/>
      <c r="N515" s="228"/>
      <c r="O515" s="228"/>
      <c r="P515" s="228"/>
      <c r="Q515" s="228"/>
      <c r="R515" s="228"/>
      <c r="S515" s="228"/>
      <c r="T515" s="228"/>
      <c r="U515" s="228"/>
      <c r="V515" s="228"/>
      <c r="W515" s="228"/>
      <c r="X515" s="228"/>
      <c r="Y515" s="228"/>
      <c r="Z515" s="228"/>
      <c r="AA515" s="228"/>
      <c r="AB515" s="228"/>
      <c r="AC515" s="228"/>
      <c r="AD515" s="228"/>
      <c r="AE515" s="228"/>
      <c r="AF515" s="228"/>
      <c r="AG515" s="228"/>
      <c r="AH515" s="228"/>
      <c r="AI515" s="228"/>
      <c r="AJ515" s="228"/>
      <c r="AK515" s="228"/>
      <c r="AL515" s="228"/>
      <c r="AM515" s="228"/>
      <c r="AN515" s="228"/>
      <c r="AO515" s="228"/>
      <c r="AP515" s="228"/>
      <c r="AQ515" s="228"/>
    </row>
    <row r="516">
      <c r="A516" s="228"/>
      <c r="B516" s="228"/>
      <c r="C516" s="228"/>
      <c r="D516" s="228"/>
      <c r="E516" s="228"/>
      <c r="F516" s="228"/>
      <c r="G516" s="228"/>
      <c r="H516" s="228"/>
      <c r="I516" s="228"/>
      <c r="J516" s="228"/>
      <c r="K516" s="228"/>
      <c r="L516" s="228"/>
      <c r="M516" s="228"/>
      <c r="N516" s="228"/>
      <c r="O516" s="228"/>
      <c r="P516" s="228"/>
      <c r="Q516" s="228"/>
      <c r="R516" s="228"/>
      <c r="S516" s="228"/>
      <c r="T516" s="228"/>
      <c r="U516" s="228"/>
      <c r="V516" s="228"/>
      <c r="W516" s="228"/>
      <c r="X516" s="228"/>
      <c r="Y516" s="228"/>
      <c r="Z516" s="228"/>
      <c r="AA516" s="228"/>
      <c r="AB516" s="228"/>
      <c r="AC516" s="228"/>
      <c r="AD516" s="228"/>
      <c r="AE516" s="228"/>
      <c r="AF516" s="228"/>
      <c r="AG516" s="228"/>
      <c r="AH516" s="228"/>
      <c r="AI516" s="228"/>
      <c r="AJ516" s="228"/>
      <c r="AK516" s="228"/>
      <c r="AL516" s="228"/>
      <c r="AM516" s="228"/>
      <c r="AN516" s="228"/>
      <c r="AO516" s="228"/>
      <c r="AP516" s="228"/>
      <c r="AQ516" s="228"/>
    </row>
    <row r="517">
      <c r="A517" s="228"/>
      <c r="B517" s="228"/>
      <c r="C517" s="228"/>
      <c r="D517" s="228"/>
      <c r="E517" s="228"/>
      <c r="F517" s="228"/>
      <c r="G517" s="228"/>
      <c r="H517" s="228"/>
      <c r="I517" s="228"/>
      <c r="J517" s="228"/>
      <c r="K517" s="228"/>
      <c r="L517" s="228"/>
      <c r="M517" s="228"/>
      <c r="N517" s="228"/>
      <c r="O517" s="228"/>
      <c r="P517" s="228"/>
      <c r="Q517" s="228"/>
      <c r="R517" s="228"/>
      <c r="S517" s="228"/>
      <c r="T517" s="228"/>
      <c r="U517" s="228"/>
      <c r="V517" s="228"/>
      <c r="W517" s="228"/>
      <c r="X517" s="228"/>
      <c r="Y517" s="228"/>
      <c r="Z517" s="228"/>
      <c r="AA517" s="228"/>
      <c r="AB517" s="228"/>
      <c r="AC517" s="228"/>
      <c r="AD517" s="228"/>
      <c r="AE517" s="228"/>
      <c r="AF517" s="228"/>
      <c r="AG517" s="228"/>
      <c r="AH517" s="228"/>
      <c r="AI517" s="228"/>
      <c r="AJ517" s="228"/>
      <c r="AK517" s="228"/>
      <c r="AL517" s="228"/>
      <c r="AM517" s="228"/>
      <c r="AN517" s="228"/>
      <c r="AO517" s="228"/>
      <c r="AP517" s="228"/>
      <c r="AQ517" s="228"/>
    </row>
    <row r="518">
      <c r="A518" s="228"/>
      <c r="B518" s="228"/>
      <c r="C518" s="228"/>
      <c r="D518" s="228"/>
      <c r="E518" s="228"/>
      <c r="F518" s="228"/>
      <c r="G518" s="228"/>
      <c r="H518" s="228"/>
      <c r="I518" s="228"/>
      <c r="J518" s="228"/>
      <c r="K518" s="228"/>
      <c r="L518" s="228"/>
      <c r="M518" s="228"/>
      <c r="N518" s="228"/>
      <c r="O518" s="228"/>
      <c r="P518" s="228"/>
      <c r="Q518" s="228"/>
      <c r="R518" s="228"/>
      <c r="S518" s="228"/>
      <c r="T518" s="228"/>
      <c r="U518" s="228"/>
      <c r="V518" s="228"/>
      <c r="W518" s="228"/>
      <c r="X518" s="228"/>
      <c r="Y518" s="228"/>
      <c r="Z518" s="228"/>
      <c r="AA518" s="228"/>
      <c r="AB518" s="228"/>
      <c r="AC518" s="228"/>
      <c r="AD518" s="228"/>
      <c r="AE518" s="228"/>
      <c r="AF518" s="228"/>
      <c r="AG518" s="228"/>
      <c r="AH518" s="228"/>
      <c r="AI518" s="228"/>
      <c r="AJ518" s="228"/>
      <c r="AK518" s="228"/>
      <c r="AL518" s="228"/>
      <c r="AM518" s="228"/>
      <c r="AN518" s="228"/>
      <c r="AO518" s="228"/>
      <c r="AP518" s="228"/>
      <c r="AQ518" s="228"/>
    </row>
    <row r="519">
      <c r="A519" s="228"/>
      <c r="B519" s="228"/>
      <c r="C519" s="228"/>
      <c r="D519" s="228"/>
      <c r="E519" s="228"/>
      <c r="F519" s="228"/>
      <c r="G519" s="228"/>
      <c r="H519" s="228"/>
      <c r="I519" s="228"/>
      <c r="J519" s="228"/>
      <c r="K519" s="228"/>
      <c r="L519" s="228"/>
      <c r="M519" s="228"/>
      <c r="N519" s="228"/>
      <c r="O519" s="228"/>
      <c r="P519" s="228"/>
      <c r="Q519" s="228"/>
      <c r="R519" s="228"/>
      <c r="S519" s="228"/>
      <c r="T519" s="228"/>
      <c r="U519" s="228"/>
      <c r="V519" s="228"/>
      <c r="W519" s="228"/>
      <c r="X519" s="228"/>
      <c r="Y519" s="228"/>
      <c r="Z519" s="228"/>
      <c r="AA519" s="228"/>
      <c r="AB519" s="228"/>
      <c r="AC519" s="228"/>
      <c r="AD519" s="228"/>
      <c r="AE519" s="228"/>
      <c r="AF519" s="228"/>
      <c r="AG519" s="228"/>
      <c r="AH519" s="228"/>
      <c r="AI519" s="228"/>
      <c r="AJ519" s="228"/>
      <c r="AK519" s="228"/>
      <c r="AL519" s="228"/>
      <c r="AM519" s="228"/>
      <c r="AN519" s="228"/>
      <c r="AO519" s="228"/>
      <c r="AP519" s="228"/>
      <c r="AQ519" s="228"/>
    </row>
    <row r="520">
      <c r="A520" s="228"/>
      <c r="B520" s="228"/>
      <c r="C520" s="228"/>
      <c r="D520" s="228"/>
      <c r="E520" s="228"/>
      <c r="F520" s="228"/>
      <c r="G520" s="228"/>
      <c r="H520" s="228"/>
      <c r="I520" s="228"/>
      <c r="J520" s="228"/>
      <c r="K520" s="228"/>
      <c r="L520" s="228"/>
      <c r="M520" s="228"/>
      <c r="N520" s="228"/>
      <c r="O520" s="228"/>
      <c r="P520" s="228"/>
      <c r="Q520" s="228"/>
      <c r="R520" s="228"/>
      <c r="S520" s="228"/>
      <c r="T520" s="228"/>
      <c r="U520" s="228"/>
      <c r="V520" s="228"/>
      <c r="W520" s="228"/>
      <c r="X520" s="228"/>
      <c r="Y520" s="228"/>
      <c r="Z520" s="228"/>
      <c r="AA520" s="228"/>
      <c r="AB520" s="228"/>
      <c r="AC520" s="228"/>
      <c r="AD520" s="228"/>
      <c r="AE520" s="228"/>
      <c r="AF520" s="228"/>
      <c r="AG520" s="228"/>
      <c r="AH520" s="228"/>
      <c r="AI520" s="228"/>
      <c r="AJ520" s="228"/>
      <c r="AK520" s="228"/>
      <c r="AL520" s="228"/>
      <c r="AM520" s="228"/>
      <c r="AN520" s="228"/>
      <c r="AO520" s="228"/>
      <c r="AP520" s="228"/>
      <c r="AQ520" s="228"/>
    </row>
    <row r="521">
      <c r="A521" s="228"/>
      <c r="B521" s="228"/>
      <c r="C521" s="228"/>
      <c r="D521" s="228"/>
      <c r="E521" s="228"/>
      <c r="F521" s="228"/>
      <c r="G521" s="228"/>
      <c r="H521" s="228"/>
      <c r="I521" s="228"/>
      <c r="J521" s="228"/>
      <c r="K521" s="228"/>
      <c r="L521" s="228"/>
      <c r="M521" s="228"/>
      <c r="N521" s="228"/>
      <c r="O521" s="228"/>
      <c r="P521" s="228"/>
      <c r="Q521" s="228"/>
      <c r="R521" s="228"/>
      <c r="S521" s="228"/>
      <c r="T521" s="228"/>
      <c r="U521" s="228"/>
      <c r="V521" s="228"/>
      <c r="W521" s="228"/>
      <c r="X521" s="228"/>
      <c r="Y521" s="228"/>
      <c r="Z521" s="228"/>
      <c r="AA521" s="228"/>
      <c r="AB521" s="228"/>
      <c r="AC521" s="228"/>
      <c r="AD521" s="228"/>
      <c r="AE521" s="228"/>
      <c r="AF521" s="228"/>
      <c r="AG521" s="228"/>
      <c r="AH521" s="228"/>
      <c r="AI521" s="228"/>
      <c r="AJ521" s="228"/>
      <c r="AK521" s="228"/>
      <c r="AL521" s="228"/>
      <c r="AM521" s="228"/>
      <c r="AN521" s="228"/>
      <c r="AO521" s="228"/>
      <c r="AP521" s="228"/>
      <c r="AQ521" s="228"/>
    </row>
    <row r="522">
      <c r="A522" s="228"/>
      <c r="B522" s="228"/>
      <c r="C522" s="228"/>
      <c r="D522" s="228"/>
      <c r="E522" s="228"/>
      <c r="F522" s="228"/>
      <c r="G522" s="228"/>
      <c r="H522" s="228"/>
      <c r="I522" s="228"/>
      <c r="J522" s="228"/>
      <c r="K522" s="228"/>
      <c r="L522" s="228"/>
      <c r="M522" s="228"/>
      <c r="N522" s="228"/>
      <c r="O522" s="228"/>
      <c r="P522" s="228"/>
      <c r="Q522" s="228"/>
      <c r="R522" s="228"/>
      <c r="S522" s="228"/>
      <c r="T522" s="228"/>
      <c r="U522" s="228"/>
      <c r="V522" s="228"/>
      <c r="W522" s="228"/>
      <c r="X522" s="228"/>
      <c r="Y522" s="228"/>
      <c r="Z522" s="228"/>
      <c r="AA522" s="228"/>
      <c r="AB522" s="228"/>
      <c r="AC522" s="228"/>
      <c r="AD522" s="228"/>
      <c r="AE522" s="228"/>
      <c r="AF522" s="228"/>
      <c r="AG522" s="228"/>
      <c r="AH522" s="228"/>
      <c r="AI522" s="228"/>
      <c r="AJ522" s="228"/>
      <c r="AK522" s="228"/>
      <c r="AL522" s="228"/>
      <c r="AM522" s="228"/>
      <c r="AN522" s="228"/>
      <c r="AO522" s="228"/>
      <c r="AP522" s="228"/>
      <c r="AQ522" s="228"/>
    </row>
    <row r="523">
      <c r="A523" s="228"/>
      <c r="B523" s="228"/>
      <c r="C523" s="228"/>
      <c r="D523" s="228"/>
      <c r="E523" s="228"/>
      <c r="F523" s="228"/>
      <c r="G523" s="228"/>
      <c r="H523" s="228"/>
      <c r="I523" s="228"/>
      <c r="J523" s="228"/>
      <c r="K523" s="228"/>
      <c r="L523" s="228"/>
      <c r="M523" s="228"/>
      <c r="N523" s="228"/>
      <c r="O523" s="228"/>
      <c r="P523" s="228"/>
      <c r="Q523" s="228"/>
      <c r="R523" s="228"/>
      <c r="S523" s="228"/>
      <c r="T523" s="228"/>
      <c r="U523" s="228"/>
      <c r="V523" s="228"/>
      <c r="W523" s="228"/>
      <c r="X523" s="228"/>
      <c r="Y523" s="228"/>
      <c r="Z523" s="228"/>
      <c r="AA523" s="228"/>
      <c r="AB523" s="228"/>
      <c r="AC523" s="228"/>
      <c r="AD523" s="228"/>
      <c r="AE523" s="228"/>
      <c r="AF523" s="228"/>
      <c r="AG523" s="228"/>
      <c r="AH523" s="228"/>
      <c r="AI523" s="228"/>
      <c r="AJ523" s="228"/>
      <c r="AK523" s="228"/>
      <c r="AL523" s="228"/>
      <c r="AM523" s="228"/>
      <c r="AN523" s="228"/>
      <c r="AO523" s="228"/>
      <c r="AP523" s="228"/>
      <c r="AQ523" s="228"/>
    </row>
    <row r="524">
      <c r="A524" s="228"/>
      <c r="B524" s="228"/>
      <c r="C524" s="228"/>
      <c r="D524" s="228"/>
      <c r="E524" s="228"/>
      <c r="F524" s="228"/>
      <c r="G524" s="228"/>
      <c r="H524" s="228"/>
      <c r="I524" s="228"/>
      <c r="J524" s="228"/>
      <c r="K524" s="228"/>
      <c r="L524" s="228"/>
      <c r="M524" s="228"/>
      <c r="N524" s="228"/>
      <c r="O524" s="228"/>
      <c r="P524" s="228"/>
      <c r="Q524" s="228"/>
      <c r="R524" s="228"/>
      <c r="S524" s="228"/>
      <c r="T524" s="228"/>
      <c r="U524" s="228"/>
      <c r="V524" s="228"/>
      <c r="W524" s="228"/>
      <c r="X524" s="228"/>
      <c r="Y524" s="228"/>
      <c r="Z524" s="228"/>
      <c r="AA524" s="228"/>
      <c r="AB524" s="228"/>
      <c r="AC524" s="228"/>
      <c r="AD524" s="228"/>
      <c r="AE524" s="228"/>
      <c r="AF524" s="228"/>
      <c r="AG524" s="228"/>
      <c r="AH524" s="228"/>
      <c r="AI524" s="228"/>
      <c r="AJ524" s="228"/>
      <c r="AK524" s="228"/>
      <c r="AL524" s="228"/>
      <c r="AM524" s="228"/>
      <c r="AN524" s="228"/>
      <c r="AO524" s="228"/>
      <c r="AP524" s="228"/>
      <c r="AQ524" s="228"/>
    </row>
    <row r="525">
      <c r="A525" s="228"/>
      <c r="B525" s="228"/>
      <c r="C525" s="228"/>
      <c r="D525" s="228"/>
      <c r="E525" s="228"/>
      <c r="F525" s="228"/>
      <c r="G525" s="228"/>
      <c r="H525" s="228"/>
      <c r="I525" s="228"/>
      <c r="J525" s="228"/>
      <c r="K525" s="228"/>
      <c r="L525" s="228"/>
      <c r="M525" s="228"/>
      <c r="N525" s="228"/>
      <c r="O525" s="228"/>
      <c r="P525" s="228"/>
      <c r="Q525" s="228"/>
      <c r="R525" s="228"/>
      <c r="S525" s="228"/>
      <c r="T525" s="228"/>
      <c r="U525" s="228"/>
      <c r="V525" s="228"/>
      <c r="W525" s="228"/>
      <c r="X525" s="228"/>
      <c r="Y525" s="228"/>
      <c r="Z525" s="228"/>
      <c r="AA525" s="228"/>
      <c r="AB525" s="228"/>
      <c r="AC525" s="228"/>
      <c r="AD525" s="228"/>
      <c r="AE525" s="228"/>
      <c r="AF525" s="228"/>
      <c r="AG525" s="228"/>
      <c r="AH525" s="228"/>
      <c r="AI525" s="228"/>
      <c r="AJ525" s="228"/>
      <c r="AK525" s="228"/>
      <c r="AL525" s="228"/>
      <c r="AM525" s="228"/>
      <c r="AN525" s="228"/>
      <c r="AO525" s="228"/>
      <c r="AP525" s="228"/>
      <c r="AQ525" s="228"/>
    </row>
    <row r="526">
      <c r="A526" s="228"/>
      <c r="B526" s="228"/>
      <c r="C526" s="228"/>
      <c r="D526" s="228"/>
      <c r="E526" s="228"/>
      <c r="F526" s="228"/>
      <c r="G526" s="228"/>
      <c r="H526" s="228"/>
      <c r="I526" s="228"/>
      <c r="J526" s="228"/>
      <c r="K526" s="228"/>
      <c r="L526" s="228"/>
      <c r="M526" s="228"/>
      <c r="N526" s="228"/>
      <c r="O526" s="228"/>
      <c r="P526" s="228"/>
      <c r="Q526" s="228"/>
      <c r="R526" s="228"/>
      <c r="S526" s="228"/>
      <c r="T526" s="228"/>
      <c r="U526" s="228"/>
      <c r="V526" s="228"/>
      <c r="W526" s="228"/>
      <c r="X526" s="228"/>
      <c r="Y526" s="228"/>
      <c r="Z526" s="228"/>
      <c r="AA526" s="228"/>
      <c r="AB526" s="228"/>
      <c r="AC526" s="228"/>
      <c r="AD526" s="228"/>
      <c r="AE526" s="228"/>
      <c r="AF526" s="228"/>
      <c r="AG526" s="228"/>
      <c r="AH526" s="228"/>
      <c r="AI526" s="228"/>
      <c r="AJ526" s="228"/>
      <c r="AK526" s="228"/>
      <c r="AL526" s="228"/>
      <c r="AM526" s="228"/>
      <c r="AN526" s="228"/>
      <c r="AO526" s="228"/>
      <c r="AP526" s="228"/>
      <c r="AQ526" s="228"/>
    </row>
    <row r="527">
      <c r="A527" s="228"/>
      <c r="B527" s="228"/>
      <c r="C527" s="228"/>
      <c r="D527" s="228"/>
      <c r="E527" s="228"/>
      <c r="F527" s="228"/>
      <c r="G527" s="228"/>
      <c r="H527" s="228"/>
      <c r="I527" s="228"/>
      <c r="J527" s="228"/>
      <c r="K527" s="228"/>
      <c r="L527" s="228"/>
      <c r="M527" s="228"/>
      <c r="N527" s="228"/>
      <c r="O527" s="228"/>
      <c r="P527" s="228"/>
      <c r="Q527" s="228"/>
      <c r="R527" s="228"/>
      <c r="S527" s="228"/>
      <c r="T527" s="228"/>
      <c r="U527" s="228"/>
      <c r="V527" s="228"/>
      <c r="W527" s="228"/>
      <c r="X527" s="228"/>
      <c r="Y527" s="228"/>
      <c r="Z527" s="228"/>
      <c r="AA527" s="228"/>
      <c r="AB527" s="228"/>
      <c r="AC527" s="228"/>
      <c r="AD527" s="228"/>
      <c r="AE527" s="228"/>
      <c r="AF527" s="228"/>
      <c r="AG527" s="228"/>
      <c r="AH527" s="228"/>
      <c r="AI527" s="228"/>
      <c r="AJ527" s="228"/>
      <c r="AK527" s="228"/>
      <c r="AL527" s="228"/>
      <c r="AM527" s="228"/>
      <c r="AN527" s="228"/>
      <c r="AO527" s="228"/>
      <c r="AP527" s="228"/>
      <c r="AQ527" s="228"/>
    </row>
    <row r="528">
      <c r="A528" s="228"/>
      <c r="B528" s="228"/>
      <c r="C528" s="228"/>
      <c r="D528" s="228"/>
      <c r="E528" s="228"/>
      <c r="F528" s="228"/>
      <c r="G528" s="228"/>
      <c r="H528" s="228"/>
      <c r="I528" s="228"/>
      <c r="J528" s="228"/>
      <c r="K528" s="228"/>
      <c r="L528" s="228"/>
      <c r="M528" s="228"/>
      <c r="N528" s="228"/>
      <c r="O528" s="228"/>
      <c r="P528" s="228"/>
      <c r="Q528" s="228"/>
      <c r="R528" s="228"/>
      <c r="S528" s="228"/>
      <c r="T528" s="228"/>
      <c r="U528" s="228"/>
      <c r="V528" s="228"/>
      <c r="W528" s="228"/>
      <c r="X528" s="228"/>
      <c r="Y528" s="228"/>
      <c r="Z528" s="228"/>
      <c r="AA528" s="228"/>
      <c r="AB528" s="228"/>
      <c r="AC528" s="228"/>
      <c r="AD528" s="228"/>
      <c r="AE528" s="228"/>
      <c r="AF528" s="228"/>
      <c r="AG528" s="228"/>
      <c r="AH528" s="228"/>
      <c r="AI528" s="228"/>
      <c r="AJ528" s="228"/>
      <c r="AK528" s="228"/>
      <c r="AL528" s="228"/>
      <c r="AM528" s="228"/>
      <c r="AN528" s="228"/>
      <c r="AO528" s="228"/>
      <c r="AP528" s="228"/>
      <c r="AQ528" s="228"/>
    </row>
    <row r="529">
      <c r="A529" s="228"/>
      <c r="B529" s="228"/>
      <c r="C529" s="228"/>
      <c r="D529" s="228"/>
      <c r="E529" s="228"/>
      <c r="F529" s="228"/>
      <c r="G529" s="228"/>
      <c r="H529" s="228"/>
      <c r="I529" s="228"/>
      <c r="J529" s="228"/>
      <c r="K529" s="228"/>
      <c r="L529" s="228"/>
      <c r="M529" s="228"/>
      <c r="N529" s="228"/>
      <c r="O529" s="228"/>
      <c r="P529" s="228"/>
      <c r="Q529" s="228"/>
      <c r="R529" s="228"/>
      <c r="S529" s="228"/>
      <c r="T529" s="228"/>
      <c r="U529" s="228"/>
      <c r="V529" s="228"/>
      <c r="W529" s="228"/>
      <c r="X529" s="228"/>
      <c r="Y529" s="228"/>
      <c r="Z529" s="228"/>
      <c r="AA529" s="228"/>
      <c r="AB529" s="228"/>
      <c r="AC529" s="228"/>
      <c r="AD529" s="228"/>
      <c r="AE529" s="228"/>
      <c r="AF529" s="228"/>
      <c r="AG529" s="228"/>
      <c r="AH529" s="228"/>
      <c r="AI529" s="228"/>
      <c r="AJ529" s="228"/>
      <c r="AK529" s="228"/>
      <c r="AL529" s="228"/>
      <c r="AM529" s="228"/>
      <c r="AN529" s="228"/>
      <c r="AO529" s="228"/>
      <c r="AP529" s="228"/>
      <c r="AQ529" s="228"/>
    </row>
    <row r="530">
      <c r="A530" s="228"/>
      <c r="B530" s="228"/>
      <c r="C530" s="228"/>
      <c r="D530" s="228"/>
      <c r="E530" s="228"/>
      <c r="F530" s="228"/>
      <c r="G530" s="228"/>
      <c r="H530" s="228"/>
      <c r="I530" s="228"/>
      <c r="J530" s="228"/>
      <c r="K530" s="228"/>
      <c r="L530" s="228"/>
      <c r="M530" s="228"/>
      <c r="N530" s="228"/>
      <c r="O530" s="228"/>
      <c r="P530" s="228"/>
      <c r="Q530" s="228"/>
      <c r="R530" s="228"/>
      <c r="S530" s="228"/>
      <c r="T530" s="228"/>
      <c r="U530" s="228"/>
      <c r="V530" s="228"/>
      <c r="W530" s="228"/>
      <c r="X530" s="228"/>
      <c r="Y530" s="228"/>
      <c r="Z530" s="228"/>
      <c r="AA530" s="228"/>
      <c r="AB530" s="228"/>
      <c r="AC530" s="228"/>
      <c r="AD530" s="228"/>
      <c r="AE530" s="228"/>
      <c r="AF530" s="228"/>
      <c r="AG530" s="228"/>
      <c r="AH530" s="228"/>
      <c r="AI530" s="228"/>
      <c r="AJ530" s="228"/>
      <c r="AK530" s="228"/>
      <c r="AL530" s="228"/>
      <c r="AM530" s="228"/>
      <c r="AN530" s="228"/>
      <c r="AO530" s="228"/>
      <c r="AP530" s="228"/>
      <c r="AQ530" s="228"/>
    </row>
    <row r="531">
      <c r="A531" s="228"/>
      <c r="B531" s="228"/>
      <c r="C531" s="228"/>
      <c r="D531" s="228"/>
      <c r="E531" s="228"/>
      <c r="F531" s="228"/>
      <c r="G531" s="228"/>
      <c r="H531" s="228"/>
      <c r="I531" s="228"/>
      <c r="J531" s="228"/>
      <c r="K531" s="228"/>
      <c r="L531" s="228"/>
      <c r="M531" s="228"/>
      <c r="N531" s="228"/>
      <c r="O531" s="228"/>
      <c r="P531" s="228"/>
      <c r="Q531" s="228"/>
      <c r="R531" s="228"/>
      <c r="S531" s="228"/>
      <c r="T531" s="228"/>
      <c r="U531" s="228"/>
      <c r="V531" s="228"/>
      <c r="W531" s="228"/>
      <c r="X531" s="228"/>
      <c r="Y531" s="228"/>
      <c r="Z531" s="228"/>
      <c r="AA531" s="228"/>
      <c r="AB531" s="228"/>
      <c r="AC531" s="228"/>
      <c r="AD531" s="228"/>
      <c r="AE531" s="228"/>
      <c r="AF531" s="228"/>
      <c r="AG531" s="228"/>
      <c r="AH531" s="228"/>
      <c r="AI531" s="228"/>
      <c r="AJ531" s="228"/>
      <c r="AK531" s="228"/>
      <c r="AL531" s="228"/>
      <c r="AM531" s="228"/>
      <c r="AN531" s="228"/>
      <c r="AO531" s="228"/>
      <c r="AP531" s="228"/>
      <c r="AQ531" s="228"/>
    </row>
    <row r="532">
      <c r="A532" s="228"/>
      <c r="B532" s="228"/>
      <c r="C532" s="228"/>
      <c r="D532" s="228"/>
      <c r="E532" s="228"/>
      <c r="F532" s="228"/>
      <c r="G532" s="228"/>
      <c r="H532" s="228"/>
      <c r="I532" s="228"/>
      <c r="J532" s="228"/>
      <c r="K532" s="228"/>
      <c r="L532" s="228"/>
      <c r="M532" s="228"/>
      <c r="N532" s="228"/>
      <c r="O532" s="228"/>
      <c r="P532" s="228"/>
      <c r="Q532" s="228"/>
      <c r="R532" s="228"/>
      <c r="S532" s="228"/>
      <c r="T532" s="228"/>
      <c r="U532" s="228"/>
      <c r="V532" s="228"/>
      <c r="W532" s="228"/>
      <c r="X532" s="228"/>
      <c r="Y532" s="228"/>
      <c r="Z532" s="228"/>
      <c r="AA532" s="228"/>
      <c r="AB532" s="228"/>
      <c r="AC532" s="228"/>
      <c r="AD532" s="228"/>
      <c r="AE532" s="228"/>
      <c r="AF532" s="228"/>
      <c r="AG532" s="228"/>
      <c r="AH532" s="228"/>
      <c r="AI532" s="228"/>
      <c r="AJ532" s="228"/>
      <c r="AK532" s="228"/>
      <c r="AL532" s="228"/>
      <c r="AM532" s="228"/>
      <c r="AN532" s="228"/>
      <c r="AO532" s="228"/>
      <c r="AP532" s="228"/>
      <c r="AQ532" s="228"/>
    </row>
    <row r="533">
      <c r="A533" s="228"/>
      <c r="B533" s="228"/>
      <c r="C533" s="228"/>
      <c r="D533" s="228"/>
      <c r="E533" s="228"/>
      <c r="F533" s="228"/>
      <c r="G533" s="228"/>
      <c r="H533" s="228"/>
      <c r="I533" s="228"/>
      <c r="J533" s="228"/>
      <c r="K533" s="228"/>
      <c r="L533" s="228"/>
      <c r="M533" s="228"/>
      <c r="N533" s="228"/>
      <c r="O533" s="228"/>
      <c r="P533" s="228"/>
      <c r="Q533" s="228"/>
      <c r="R533" s="228"/>
      <c r="S533" s="228"/>
      <c r="T533" s="228"/>
      <c r="U533" s="228"/>
      <c r="V533" s="228"/>
      <c r="W533" s="228"/>
      <c r="X533" s="228"/>
      <c r="Y533" s="228"/>
      <c r="Z533" s="228"/>
      <c r="AA533" s="228"/>
      <c r="AB533" s="228"/>
      <c r="AC533" s="228"/>
      <c r="AD533" s="228"/>
      <c r="AE533" s="228"/>
      <c r="AF533" s="228"/>
      <c r="AG533" s="228"/>
      <c r="AH533" s="228"/>
      <c r="AI533" s="228"/>
      <c r="AJ533" s="228"/>
      <c r="AK533" s="228"/>
      <c r="AL533" s="228"/>
      <c r="AM533" s="228"/>
      <c r="AN533" s="228"/>
      <c r="AO533" s="228"/>
      <c r="AP533" s="228"/>
      <c r="AQ533" s="228"/>
    </row>
    <row r="534">
      <c r="A534" s="228"/>
      <c r="B534" s="228"/>
      <c r="C534" s="228"/>
      <c r="D534" s="228"/>
      <c r="E534" s="228"/>
      <c r="F534" s="228"/>
      <c r="G534" s="228"/>
      <c r="H534" s="228"/>
      <c r="I534" s="228"/>
      <c r="J534" s="228"/>
      <c r="K534" s="228"/>
      <c r="L534" s="228"/>
      <c r="M534" s="228"/>
      <c r="N534" s="228"/>
      <c r="O534" s="228"/>
      <c r="P534" s="228"/>
      <c r="Q534" s="228"/>
      <c r="R534" s="228"/>
      <c r="S534" s="228"/>
      <c r="T534" s="228"/>
      <c r="U534" s="228"/>
      <c r="V534" s="228"/>
      <c r="W534" s="228"/>
      <c r="X534" s="228"/>
      <c r="Y534" s="228"/>
      <c r="Z534" s="228"/>
      <c r="AA534" s="228"/>
      <c r="AB534" s="228"/>
      <c r="AC534" s="228"/>
      <c r="AD534" s="228"/>
      <c r="AE534" s="228"/>
      <c r="AF534" s="228"/>
      <c r="AG534" s="228"/>
      <c r="AH534" s="228"/>
      <c r="AI534" s="228"/>
      <c r="AJ534" s="228"/>
      <c r="AK534" s="228"/>
      <c r="AL534" s="228"/>
      <c r="AM534" s="228"/>
      <c r="AN534" s="228"/>
      <c r="AO534" s="228"/>
      <c r="AP534" s="228"/>
      <c r="AQ534" s="228"/>
    </row>
    <row r="535">
      <c r="A535" s="228"/>
      <c r="B535" s="228"/>
      <c r="C535" s="228"/>
      <c r="D535" s="228"/>
      <c r="E535" s="228"/>
      <c r="F535" s="228"/>
      <c r="G535" s="228"/>
      <c r="H535" s="228"/>
      <c r="I535" s="228"/>
      <c r="J535" s="228"/>
      <c r="K535" s="228"/>
      <c r="L535" s="228"/>
      <c r="M535" s="228"/>
      <c r="N535" s="228"/>
      <c r="O535" s="228"/>
      <c r="P535" s="228"/>
      <c r="Q535" s="228"/>
      <c r="R535" s="228"/>
      <c r="S535" s="228"/>
      <c r="T535" s="228"/>
      <c r="U535" s="228"/>
      <c r="V535" s="228"/>
      <c r="W535" s="228"/>
      <c r="X535" s="228"/>
      <c r="Y535" s="228"/>
      <c r="Z535" s="228"/>
      <c r="AA535" s="228"/>
      <c r="AB535" s="228"/>
      <c r="AC535" s="228"/>
      <c r="AD535" s="228"/>
      <c r="AE535" s="228"/>
      <c r="AF535" s="228"/>
      <c r="AG535" s="228"/>
      <c r="AH535" s="228"/>
      <c r="AI535" s="228"/>
      <c r="AJ535" s="228"/>
      <c r="AK535" s="228"/>
      <c r="AL535" s="228"/>
      <c r="AM535" s="228"/>
      <c r="AN535" s="228"/>
      <c r="AO535" s="228"/>
      <c r="AP535" s="228"/>
      <c r="AQ535" s="228"/>
    </row>
    <row r="536">
      <c r="A536" s="228"/>
      <c r="B536" s="228"/>
      <c r="C536" s="228"/>
      <c r="D536" s="228"/>
      <c r="E536" s="228"/>
      <c r="F536" s="228"/>
      <c r="G536" s="228"/>
      <c r="H536" s="228"/>
      <c r="I536" s="228"/>
      <c r="J536" s="228"/>
      <c r="K536" s="228"/>
      <c r="L536" s="228"/>
      <c r="M536" s="228"/>
      <c r="N536" s="228"/>
      <c r="O536" s="228"/>
      <c r="P536" s="228"/>
      <c r="Q536" s="228"/>
      <c r="R536" s="228"/>
      <c r="S536" s="228"/>
      <c r="T536" s="228"/>
      <c r="U536" s="228"/>
      <c r="V536" s="228"/>
      <c r="W536" s="228"/>
      <c r="X536" s="228"/>
      <c r="Y536" s="228"/>
      <c r="Z536" s="228"/>
      <c r="AA536" s="228"/>
      <c r="AB536" s="228"/>
      <c r="AC536" s="228"/>
      <c r="AD536" s="228"/>
      <c r="AE536" s="228"/>
      <c r="AF536" s="228"/>
      <c r="AG536" s="228"/>
      <c r="AH536" s="228"/>
      <c r="AI536" s="228"/>
      <c r="AJ536" s="228"/>
      <c r="AK536" s="228"/>
      <c r="AL536" s="228"/>
      <c r="AM536" s="228"/>
      <c r="AN536" s="228"/>
      <c r="AO536" s="228"/>
      <c r="AP536" s="228"/>
      <c r="AQ536" s="228"/>
    </row>
    <row r="537">
      <c r="A537" s="228"/>
      <c r="B537" s="228"/>
      <c r="C537" s="228"/>
      <c r="D537" s="228"/>
      <c r="E537" s="228"/>
      <c r="F537" s="228"/>
      <c r="G537" s="228"/>
      <c r="H537" s="228"/>
      <c r="I537" s="228"/>
      <c r="J537" s="228"/>
      <c r="K537" s="228"/>
      <c r="L537" s="228"/>
      <c r="M537" s="228"/>
      <c r="N537" s="228"/>
      <c r="O537" s="228"/>
      <c r="P537" s="228"/>
      <c r="Q537" s="228"/>
      <c r="R537" s="228"/>
      <c r="S537" s="228"/>
      <c r="T537" s="228"/>
      <c r="U537" s="228"/>
      <c r="V537" s="228"/>
      <c r="W537" s="228"/>
      <c r="X537" s="228"/>
      <c r="Y537" s="228"/>
      <c r="Z537" s="228"/>
      <c r="AA537" s="228"/>
      <c r="AB537" s="228"/>
      <c r="AC537" s="228"/>
      <c r="AD537" s="228"/>
      <c r="AE537" s="228"/>
      <c r="AF537" s="228"/>
      <c r="AG537" s="228"/>
      <c r="AH537" s="228"/>
      <c r="AI537" s="228"/>
      <c r="AJ537" s="228"/>
      <c r="AK537" s="228"/>
      <c r="AL537" s="228"/>
      <c r="AM537" s="228"/>
      <c r="AN537" s="228"/>
      <c r="AO537" s="228"/>
      <c r="AP537" s="228"/>
      <c r="AQ537" s="228"/>
    </row>
    <row r="538">
      <c r="A538" s="228"/>
      <c r="B538" s="228"/>
      <c r="C538" s="228"/>
      <c r="D538" s="228"/>
      <c r="E538" s="228"/>
      <c r="F538" s="228"/>
      <c r="G538" s="228"/>
      <c r="H538" s="228"/>
      <c r="I538" s="228"/>
      <c r="J538" s="228"/>
      <c r="K538" s="228"/>
      <c r="L538" s="228"/>
      <c r="M538" s="228"/>
      <c r="N538" s="228"/>
      <c r="O538" s="228"/>
      <c r="P538" s="228"/>
      <c r="Q538" s="228"/>
      <c r="R538" s="228"/>
      <c r="S538" s="228"/>
      <c r="T538" s="228"/>
      <c r="U538" s="228"/>
      <c r="V538" s="228"/>
      <c r="W538" s="228"/>
      <c r="X538" s="228"/>
      <c r="Y538" s="228"/>
      <c r="Z538" s="228"/>
      <c r="AA538" s="228"/>
      <c r="AB538" s="228"/>
      <c r="AC538" s="228"/>
      <c r="AD538" s="228"/>
      <c r="AE538" s="228"/>
      <c r="AF538" s="228"/>
      <c r="AG538" s="228"/>
      <c r="AH538" s="228"/>
      <c r="AI538" s="228"/>
      <c r="AJ538" s="228"/>
      <c r="AK538" s="228"/>
      <c r="AL538" s="228"/>
      <c r="AM538" s="228"/>
      <c r="AN538" s="228"/>
      <c r="AO538" s="228"/>
      <c r="AP538" s="228"/>
      <c r="AQ538" s="228"/>
    </row>
    <row r="539">
      <c r="A539" s="228"/>
      <c r="B539" s="228"/>
      <c r="C539" s="228"/>
      <c r="D539" s="228"/>
      <c r="E539" s="228"/>
      <c r="F539" s="228"/>
      <c r="G539" s="228"/>
      <c r="H539" s="228"/>
      <c r="I539" s="228"/>
      <c r="J539" s="228"/>
      <c r="K539" s="228"/>
      <c r="L539" s="228"/>
      <c r="M539" s="228"/>
      <c r="N539" s="228"/>
      <c r="O539" s="228"/>
      <c r="P539" s="228"/>
      <c r="Q539" s="228"/>
      <c r="R539" s="228"/>
      <c r="S539" s="228"/>
      <c r="T539" s="228"/>
      <c r="U539" s="228"/>
      <c r="V539" s="228"/>
      <c r="W539" s="228"/>
      <c r="X539" s="228"/>
      <c r="Y539" s="228"/>
      <c r="Z539" s="228"/>
      <c r="AA539" s="228"/>
      <c r="AB539" s="228"/>
      <c r="AC539" s="228"/>
      <c r="AD539" s="228"/>
      <c r="AE539" s="228"/>
      <c r="AF539" s="228"/>
      <c r="AG539" s="228"/>
      <c r="AH539" s="228"/>
      <c r="AI539" s="228"/>
      <c r="AJ539" s="228"/>
      <c r="AK539" s="228"/>
      <c r="AL539" s="228"/>
      <c r="AM539" s="228"/>
      <c r="AN539" s="228"/>
      <c r="AO539" s="228"/>
      <c r="AP539" s="228"/>
      <c r="AQ539" s="228"/>
    </row>
    <row r="540">
      <c r="A540" s="228"/>
      <c r="B540" s="228"/>
      <c r="C540" s="228"/>
      <c r="D540" s="228"/>
      <c r="E540" s="228"/>
      <c r="F540" s="228"/>
      <c r="G540" s="228"/>
      <c r="H540" s="228"/>
      <c r="I540" s="228"/>
      <c r="J540" s="228"/>
      <c r="K540" s="228"/>
      <c r="L540" s="228"/>
      <c r="M540" s="228"/>
      <c r="N540" s="228"/>
      <c r="O540" s="228"/>
      <c r="P540" s="228"/>
      <c r="Q540" s="228"/>
      <c r="R540" s="228"/>
      <c r="S540" s="228"/>
      <c r="T540" s="228"/>
      <c r="U540" s="228"/>
      <c r="V540" s="228"/>
      <c r="W540" s="228"/>
      <c r="X540" s="228"/>
      <c r="Y540" s="228"/>
      <c r="Z540" s="228"/>
      <c r="AA540" s="228"/>
      <c r="AB540" s="228"/>
      <c r="AC540" s="228"/>
      <c r="AD540" s="228"/>
      <c r="AE540" s="228"/>
      <c r="AF540" s="228"/>
      <c r="AG540" s="228"/>
      <c r="AH540" s="228"/>
      <c r="AI540" s="228"/>
      <c r="AJ540" s="228"/>
      <c r="AK540" s="228"/>
      <c r="AL540" s="228"/>
      <c r="AM540" s="228"/>
      <c r="AN540" s="228"/>
      <c r="AO540" s="228"/>
      <c r="AP540" s="228"/>
      <c r="AQ540" s="228"/>
    </row>
    <row r="541">
      <c r="A541" s="228"/>
      <c r="B541" s="228"/>
      <c r="C541" s="228"/>
      <c r="D541" s="228"/>
      <c r="E541" s="228"/>
      <c r="F541" s="228"/>
      <c r="G541" s="228"/>
      <c r="H541" s="228"/>
      <c r="I541" s="228"/>
      <c r="J541" s="228"/>
      <c r="K541" s="228"/>
      <c r="L541" s="228"/>
      <c r="M541" s="228"/>
      <c r="N541" s="228"/>
      <c r="O541" s="228"/>
      <c r="P541" s="228"/>
      <c r="Q541" s="228"/>
      <c r="R541" s="228"/>
      <c r="S541" s="228"/>
      <c r="T541" s="228"/>
      <c r="U541" s="228"/>
      <c r="V541" s="228"/>
      <c r="W541" s="228"/>
      <c r="X541" s="228"/>
      <c r="Y541" s="228"/>
      <c r="Z541" s="228"/>
      <c r="AA541" s="228"/>
      <c r="AB541" s="228"/>
      <c r="AC541" s="228"/>
      <c r="AD541" s="228"/>
      <c r="AE541" s="228"/>
      <c r="AF541" s="228"/>
      <c r="AG541" s="228"/>
      <c r="AH541" s="228"/>
      <c r="AI541" s="228"/>
      <c r="AJ541" s="228"/>
      <c r="AK541" s="228"/>
      <c r="AL541" s="228"/>
      <c r="AM541" s="228"/>
      <c r="AN541" s="228"/>
      <c r="AO541" s="228"/>
      <c r="AP541" s="228"/>
      <c r="AQ541" s="228"/>
    </row>
    <row r="542">
      <c r="A542" s="228"/>
      <c r="B542" s="228"/>
      <c r="C542" s="228"/>
      <c r="D542" s="228"/>
      <c r="E542" s="228"/>
      <c r="F542" s="228"/>
      <c r="G542" s="228"/>
      <c r="H542" s="228"/>
      <c r="I542" s="228"/>
      <c r="J542" s="228"/>
      <c r="K542" s="228"/>
      <c r="L542" s="228"/>
      <c r="M542" s="228"/>
      <c r="N542" s="228"/>
      <c r="O542" s="228"/>
      <c r="P542" s="228"/>
      <c r="Q542" s="228"/>
      <c r="R542" s="228"/>
      <c r="S542" s="228"/>
      <c r="T542" s="228"/>
      <c r="U542" s="228"/>
      <c r="V542" s="228"/>
      <c r="W542" s="228"/>
      <c r="X542" s="228"/>
      <c r="Y542" s="228"/>
      <c r="Z542" s="228"/>
      <c r="AA542" s="228"/>
      <c r="AB542" s="228"/>
      <c r="AC542" s="228"/>
      <c r="AD542" s="228"/>
      <c r="AE542" s="228"/>
      <c r="AF542" s="228"/>
      <c r="AG542" s="228"/>
      <c r="AH542" s="228"/>
      <c r="AI542" s="228"/>
      <c r="AJ542" s="228"/>
      <c r="AK542" s="228"/>
      <c r="AL542" s="228"/>
      <c r="AM542" s="228"/>
      <c r="AN542" s="228"/>
      <c r="AO542" s="228"/>
      <c r="AP542" s="228"/>
      <c r="AQ542" s="228"/>
    </row>
    <row r="543">
      <c r="A543" s="228"/>
      <c r="B543" s="228"/>
      <c r="C543" s="228"/>
      <c r="D543" s="228"/>
      <c r="E543" s="228"/>
      <c r="F543" s="228"/>
      <c r="G543" s="228"/>
      <c r="H543" s="228"/>
      <c r="I543" s="228"/>
      <c r="J543" s="228"/>
      <c r="K543" s="228"/>
      <c r="L543" s="228"/>
      <c r="M543" s="228"/>
      <c r="N543" s="228"/>
      <c r="O543" s="228"/>
      <c r="P543" s="228"/>
      <c r="Q543" s="228"/>
      <c r="R543" s="228"/>
      <c r="S543" s="228"/>
      <c r="T543" s="228"/>
      <c r="U543" s="228"/>
      <c r="V543" s="228"/>
      <c r="W543" s="228"/>
      <c r="X543" s="228"/>
      <c r="Y543" s="228"/>
      <c r="Z543" s="228"/>
      <c r="AA543" s="228"/>
      <c r="AB543" s="228"/>
      <c r="AC543" s="228"/>
      <c r="AD543" s="228"/>
      <c r="AE543" s="228"/>
      <c r="AF543" s="228"/>
      <c r="AG543" s="228"/>
      <c r="AH543" s="228"/>
      <c r="AI543" s="228"/>
      <c r="AJ543" s="228"/>
      <c r="AK543" s="228"/>
      <c r="AL543" s="228"/>
      <c r="AM543" s="228"/>
      <c r="AN543" s="228"/>
      <c r="AO543" s="228"/>
      <c r="AP543" s="228"/>
      <c r="AQ543" s="228"/>
    </row>
    <row r="544">
      <c r="A544" s="228"/>
      <c r="B544" s="228"/>
      <c r="C544" s="228"/>
      <c r="D544" s="228"/>
      <c r="E544" s="228"/>
      <c r="F544" s="228"/>
      <c r="G544" s="228"/>
      <c r="H544" s="228"/>
      <c r="I544" s="228"/>
      <c r="J544" s="228"/>
      <c r="K544" s="228"/>
      <c r="L544" s="228"/>
      <c r="M544" s="228"/>
      <c r="N544" s="228"/>
      <c r="O544" s="228"/>
      <c r="P544" s="228"/>
      <c r="Q544" s="228"/>
      <c r="R544" s="228"/>
      <c r="S544" s="228"/>
      <c r="T544" s="228"/>
      <c r="U544" s="228"/>
      <c r="V544" s="228"/>
      <c r="W544" s="228"/>
      <c r="X544" s="228"/>
      <c r="Y544" s="228"/>
      <c r="Z544" s="228"/>
      <c r="AA544" s="228"/>
      <c r="AB544" s="228"/>
      <c r="AC544" s="228"/>
      <c r="AD544" s="228"/>
      <c r="AE544" s="228"/>
      <c r="AF544" s="228"/>
      <c r="AG544" s="228"/>
      <c r="AH544" s="228"/>
      <c r="AI544" s="228"/>
      <c r="AJ544" s="228"/>
      <c r="AK544" s="228"/>
      <c r="AL544" s="228"/>
      <c r="AM544" s="228"/>
      <c r="AN544" s="228"/>
      <c r="AO544" s="228"/>
      <c r="AP544" s="228"/>
      <c r="AQ544" s="228"/>
    </row>
    <row r="545">
      <c r="A545" s="228"/>
      <c r="B545" s="228"/>
      <c r="C545" s="228"/>
      <c r="D545" s="228"/>
      <c r="E545" s="228"/>
      <c r="F545" s="228"/>
      <c r="G545" s="228"/>
      <c r="H545" s="228"/>
      <c r="I545" s="228"/>
      <c r="J545" s="228"/>
      <c r="K545" s="228"/>
      <c r="L545" s="228"/>
      <c r="M545" s="228"/>
      <c r="N545" s="228"/>
      <c r="O545" s="228"/>
      <c r="P545" s="228"/>
      <c r="Q545" s="228"/>
      <c r="R545" s="228"/>
      <c r="S545" s="228"/>
      <c r="T545" s="228"/>
      <c r="U545" s="228"/>
      <c r="V545" s="228"/>
      <c r="W545" s="228"/>
      <c r="X545" s="228"/>
      <c r="Y545" s="228"/>
      <c r="Z545" s="228"/>
      <c r="AA545" s="228"/>
      <c r="AB545" s="228"/>
      <c r="AC545" s="228"/>
      <c r="AD545" s="228"/>
      <c r="AE545" s="228"/>
      <c r="AF545" s="228"/>
      <c r="AG545" s="228"/>
      <c r="AH545" s="228"/>
      <c r="AI545" s="228"/>
      <c r="AJ545" s="228"/>
      <c r="AK545" s="228"/>
      <c r="AL545" s="228"/>
      <c r="AM545" s="228"/>
      <c r="AN545" s="228"/>
      <c r="AO545" s="228"/>
      <c r="AP545" s="228"/>
      <c r="AQ545" s="228"/>
    </row>
    <row r="546">
      <c r="A546" s="228"/>
      <c r="B546" s="228"/>
      <c r="C546" s="228"/>
      <c r="D546" s="228"/>
      <c r="E546" s="228"/>
      <c r="F546" s="228"/>
      <c r="G546" s="228"/>
      <c r="H546" s="228"/>
      <c r="I546" s="228"/>
      <c r="J546" s="228"/>
      <c r="K546" s="228"/>
      <c r="L546" s="228"/>
      <c r="M546" s="228"/>
      <c r="N546" s="228"/>
      <c r="O546" s="228"/>
      <c r="P546" s="228"/>
      <c r="Q546" s="228"/>
      <c r="R546" s="228"/>
      <c r="S546" s="228"/>
      <c r="T546" s="228"/>
      <c r="U546" s="228"/>
      <c r="V546" s="228"/>
      <c r="W546" s="228"/>
      <c r="X546" s="228"/>
      <c r="Y546" s="228"/>
      <c r="Z546" s="228"/>
      <c r="AA546" s="228"/>
      <c r="AB546" s="228"/>
      <c r="AC546" s="228"/>
      <c r="AD546" s="228"/>
      <c r="AE546" s="228"/>
      <c r="AF546" s="228"/>
      <c r="AG546" s="228"/>
      <c r="AH546" s="228"/>
      <c r="AI546" s="228"/>
      <c r="AJ546" s="228"/>
      <c r="AK546" s="228"/>
      <c r="AL546" s="228"/>
      <c r="AM546" s="228"/>
      <c r="AN546" s="228"/>
      <c r="AO546" s="228"/>
      <c r="AP546" s="228"/>
      <c r="AQ546" s="228"/>
    </row>
    <row r="547">
      <c r="A547" s="228"/>
      <c r="B547" s="228"/>
      <c r="C547" s="228"/>
      <c r="D547" s="228"/>
      <c r="E547" s="228"/>
      <c r="F547" s="228"/>
      <c r="G547" s="228"/>
      <c r="H547" s="228"/>
      <c r="I547" s="228"/>
      <c r="J547" s="228"/>
      <c r="K547" s="228"/>
      <c r="L547" s="228"/>
      <c r="M547" s="228"/>
      <c r="N547" s="228"/>
      <c r="O547" s="228"/>
      <c r="P547" s="228"/>
      <c r="Q547" s="228"/>
      <c r="R547" s="228"/>
      <c r="S547" s="228"/>
      <c r="T547" s="228"/>
      <c r="U547" s="228"/>
      <c r="V547" s="228"/>
      <c r="W547" s="228"/>
      <c r="X547" s="228"/>
      <c r="Y547" s="228"/>
      <c r="Z547" s="228"/>
      <c r="AA547" s="228"/>
      <c r="AB547" s="228"/>
      <c r="AC547" s="228"/>
      <c r="AD547" s="228"/>
      <c r="AE547" s="228"/>
      <c r="AF547" s="228"/>
      <c r="AG547" s="228"/>
      <c r="AH547" s="228"/>
      <c r="AI547" s="228"/>
      <c r="AJ547" s="228"/>
      <c r="AK547" s="228"/>
      <c r="AL547" s="228"/>
      <c r="AM547" s="228"/>
      <c r="AN547" s="228"/>
      <c r="AO547" s="228"/>
      <c r="AP547" s="228"/>
      <c r="AQ547" s="228"/>
    </row>
    <row r="548">
      <c r="A548" s="228"/>
      <c r="B548" s="228"/>
      <c r="C548" s="228"/>
      <c r="D548" s="228"/>
      <c r="E548" s="228"/>
      <c r="F548" s="228"/>
      <c r="G548" s="228"/>
      <c r="H548" s="228"/>
      <c r="I548" s="228"/>
      <c r="J548" s="228"/>
      <c r="K548" s="228"/>
      <c r="L548" s="228"/>
      <c r="M548" s="228"/>
      <c r="N548" s="228"/>
      <c r="O548" s="228"/>
      <c r="P548" s="228"/>
      <c r="Q548" s="228"/>
      <c r="R548" s="228"/>
      <c r="S548" s="228"/>
      <c r="T548" s="228"/>
      <c r="U548" s="228"/>
      <c r="V548" s="228"/>
      <c r="W548" s="228"/>
      <c r="X548" s="228"/>
      <c r="Y548" s="228"/>
      <c r="Z548" s="228"/>
      <c r="AA548" s="228"/>
      <c r="AB548" s="228"/>
      <c r="AC548" s="228"/>
      <c r="AD548" s="228"/>
      <c r="AE548" s="228"/>
      <c r="AF548" s="228"/>
      <c r="AG548" s="228"/>
      <c r="AH548" s="228"/>
      <c r="AI548" s="228"/>
      <c r="AJ548" s="228"/>
      <c r="AK548" s="228"/>
      <c r="AL548" s="228"/>
      <c r="AM548" s="228"/>
      <c r="AN548" s="228"/>
      <c r="AO548" s="228"/>
      <c r="AP548" s="228"/>
      <c r="AQ548" s="228"/>
    </row>
    <row r="549">
      <c r="A549" s="228"/>
      <c r="B549" s="228"/>
      <c r="C549" s="228"/>
      <c r="D549" s="228"/>
      <c r="E549" s="228"/>
      <c r="F549" s="228"/>
      <c r="G549" s="228"/>
      <c r="H549" s="228"/>
      <c r="I549" s="228"/>
      <c r="J549" s="228"/>
      <c r="K549" s="228"/>
      <c r="L549" s="228"/>
      <c r="M549" s="228"/>
      <c r="N549" s="228"/>
      <c r="O549" s="228"/>
      <c r="P549" s="228"/>
      <c r="Q549" s="228"/>
      <c r="R549" s="228"/>
      <c r="S549" s="228"/>
      <c r="T549" s="228"/>
      <c r="U549" s="228"/>
      <c r="V549" s="228"/>
      <c r="W549" s="228"/>
      <c r="X549" s="228"/>
      <c r="Y549" s="228"/>
      <c r="Z549" s="228"/>
      <c r="AA549" s="228"/>
      <c r="AB549" s="228"/>
      <c r="AC549" s="228"/>
      <c r="AD549" s="228"/>
      <c r="AE549" s="228"/>
      <c r="AF549" s="228"/>
      <c r="AG549" s="228"/>
      <c r="AH549" s="228"/>
      <c r="AI549" s="228"/>
      <c r="AJ549" s="228"/>
      <c r="AK549" s="228"/>
      <c r="AL549" s="228"/>
      <c r="AM549" s="228"/>
      <c r="AN549" s="228"/>
      <c r="AO549" s="228"/>
      <c r="AP549" s="228"/>
      <c r="AQ549" s="228"/>
    </row>
    <row r="550">
      <c r="A550" s="228"/>
      <c r="B550" s="228"/>
      <c r="C550" s="228"/>
      <c r="D550" s="228"/>
      <c r="E550" s="228"/>
      <c r="F550" s="228"/>
      <c r="G550" s="228"/>
      <c r="H550" s="228"/>
      <c r="I550" s="228"/>
      <c r="J550" s="228"/>
      <c r="K550" s="228"/>
      <c r="L550" s="228"/>
      <c r="M550" s="228"/>
      <c r="N550" s="228"/>
      <c r="O550" s="228"/>
      <c r="P550" s="228"/>
      <c r="Q550" s="228"/>
      <c r="R550" s="228"/>
      <c r="S550" s="228"/>
      <c r="T550" s="228"/>
      <c r="U550" s="228"/>
      <c r="V550" s="228"/>
      <c r="W550" s="228"/>
      <c r="X550" s="228"/>
      <c r="Y550" s="228"/>
      <c r="Z550" s="228"/>
      <c r="AA550" s="228"/>
      <c r="AB550" s="228"/>
      <c r="AC550" s="228"/>
      <c r="AD550" s="228"/>
      <c r="AE550" s="228"/>
      <c r="AF550" s="228"/>
      <c r="AG550" s="228"/>
      <c r="AH550" s="228"/>
      <c r="AI550" s="228"/>
      <c r="AJ550" s="228"/>
      <c r="AK550" s="228"/>
      <c r="AL550" s="228"/>
      <c r="AM550" s="228"/>
      <c r="AN550" s="228"/>
      <c r="AO550" s="228"/>
      <c r="AP550" s="228"/>
      <c r="AQ550" s="228"/>
    </row>
    <row r="551">
      <c r="A551" s="228"/>
      <c r="B551" s="228"/>
      <c r="C551" s="228"/>
      <c r="D551" s="228"/>
      <c r="E551" s="228"/>
      <c r="F551" s="228"/>
      <c r="G551" s="228"/>
      <c r="H551" s="228"/>
      <c r="I551" s="228"/>
      <c r="J551" s="228"/>
      <c r="K551" s="228"/>
      <c r="L551" s="228"/>
      <c r="M551" s="228"/>
      <c r="N551" s="228"/>
      <c r="O551" s="228"/>
      <c r="P551" s="228"/>
      <c r="Q551" s="228"/>
      <c r="R551" s="228"/>
      <c r="S551" s="228"/>
      <c r="T551" s="228"/>
      <c r="U551" s="228"/>
      <c r="V551" s="228"/>
      <c r="W551" s="228"/>
      <c r="X551" s="228"/>
      <c r="Y551" s="228"/>
      <c r="Z551" s="228"/>
      <c r="AA551" s="228"/>
      <c r="AB551" s="228"/>
      <c r="AC551" s="228"/>
      <c r="AD551" s="228"/>
      <c r="AE551" s="228"/>
      <c r="AF551" s="228"/>
      <c r="AG551" s="228"/>
      <c r="AH551" s="228"/>
      <c r="AI551" s="228"/>
      <c r="AJ551" s="228"/>
      <c r="AK551" s="228"/>
      <c r="AL551" s="228"/>
      <c r="AM551" s="228"/>
      <c r="AN551" s="228"/>
      <c r="AO551" s="228"/>
      <c r="AP551" s="228"/>
      <c r="AQ551" s="228"/>
    </row>
    <row r="552">
      <c r="A552" s="228"/>
      <c r="B552" s="228"/>
      <c r="C552" s="228"/>
      <c r="D552" s="228"/>
      <c r="E552" s="228"/>
      <c r="F552" s="228"/>
      <c r="G552" s="228"/>
      <c r="H552" s="228"/>
      <c r="I552" s="228"/>
      <c r="J552" s="228"/>
      <c r="K552" s="228"/>
      <c r="L552" s="228"/>
      <c r="M552" s="228"/>
      <c r="N552" s="228"/>
      <c r="O552" s="228"/>
      <c r="P552" s="228"/>
      <c r="Q552" s="228"/>
      <c r="R552" s="228"/>
      <c r="S552" s="228"/>
      <c r="T552" s="228"/>
      <c r="U552" s="228"/>
      <c r="V552" s="228"/>
      <c r="W552" s="228"/>
      <c r="X552" s="228"/>
      <c r="Y552" s="228"/>
      <c r="Z552" s="228"/>
      <c r="AA552" s="228"/>
      <c r="AB552" s="228"/>
      <c r="AC552" s="228"/>
      <c r="AD552" s="228"/>
      <c r="AE552" s="228"/>
      <c r="AF552" s="228"/>
      <c r="AG552" s="228"/>
      <c r="AH552" s="228"/>
      <c r="AI552" s="228"/>
      <c r="AJ552" s="228"/>
      <c r="AK552" s="228"/>
      <c r="AL552" s="228"/>
      <c r="AM552" s="228"/>
      <c r="AN552" s="228"/>
      <c r="AO552" s="228"/>
      <c r="AP552" s="228"/>
      <c r="AQ552" s="228"/>
    </row>
    <row r="553">
      <c r="A553" s="228"/>
      <c r="B553" s="228"/>
      <c r="C553" s="228"/>
      <c r="D553" s="228"/>
      <c r="E553" s="228"/>
      <c r="F553" s="228"/>
      <c r="G553" s="228"/>
      <c r="H553" s="228"/>
      <c r="I553" s="228"/>
      <c r="J553" s="228"/>
      <c r="K553" s="228"/>
      <c r="L553" s="228"/>
      <c r="M553" s="228"/>
      <c r="N553" s="228"/>
      <c r="O553" s="228"/>
      <c r="P553" s="228"/>
      <c r="Q553" s="228"/>
      <c r="R553" s="228"/>
      <c r="S553" s="228"/>
      <c r="T553" s="228"/>
      <c r="U553" s="228"/>
      <c r="V553" s="228"/>
      <c r="W553" s="228"/>
      <c r="X553" s="228"/>
      <c r="Y553" s="228"/>
      <c r="Z553" s="228"/>
      <c r="AA553" s="228"/>
      <c r="AB553" s="228"/>
      <c r="AC553" s="228"/>
      <c r="AD553" s="228"/>
      <c r="AE553" s="228"/>
      <c r="AF553" s="228"/>
      <c r="AG553" s="228"/>
      <c r="AH553" s="228"/>
      <c r="AI553" s="228"/>
      <c r="AJ553" s="228"/>
      <c r="AK553" s="228"/>
      <c r="AL553" s="228"/>
      <c r="AM553" s="228"/>
      <c r="AN553" s="228"/>
      <c r="AO553" s="228"/>
      <c r="AP553" s="228"/>
      <c r="AQ553" s="228"/>
    </row>
    <row r="554">
      <c r="A554" s="228"/>
      <c r="B554" s="228"/>
      <c r="C554" s="228"/>
      <c r="D554" s="228"/>
      <c r="E554" s="228"/>
      <c r="F554" s="228"/>
      <c r="G554" s="228"/>
      <c r="H554" s="228"/>
      <c r="I554" s="228"/>
      <c r="J554" s="228"/>
      <c r="K554" s="228"/>
      <c r="L554" s="228"/>
      <c r="M554" s="228"/>
      <c r="N554" s="228"/>
      <c r="O554" s="228"/>
      <c r="P554" s="228"/>
      <c r="Q554" s="228"/>
      <c r="R554" s="228"/>
      <c r="S554" s="228"/>
      <c r="T554" s="228"/>
      <c r="U554" s="228"/>
      <c r="V554" s="228"/>
      <c r="W554" s="228"/>
      <c r="X554" s="228"/>
      <c r="Y554" s="228"/>
      <c r="Z554" s="228"/>
      <c r="AA554" s="228"/>
      <c r="AB554" s="228"/>
      <c r="AC554" s="228"/>
      <c r="AD554" s="228"/>
      <c r="AE554" s="228"/>
      <c r="AF554" s="228"/>
      <c r="AG554" s="228"/>
      <c r="AH554" s="228"/>
      <c r="AI554" s="228"/>
      <c r="AJ554" s="228"/>
      <c r="AK554" s="228"/>
      <c r="AL554" s="228"/>
      <c r="AM554" s="228"/>
      <c r="AN554" s="228"/>
      <c r="AO554" s="228"/>
      <c r="AP554" s="228"/>
      <c r="AQ554" s="228"/>
    </row>
    <row r="555">
      <c r="A555" s="228"/>
      <c r="B555" s="228"/>
      <c r="C555" s="228"/>
      <c r="D555" s="228"/>
      <c r="E555" s="228"/>
      <c r="F555" s="228"/>
      <c r="G555" s="228"/>
      <c r="H555" s="228"/>
      <c r="I555" s="228"/>
      <c r="J555" s="228"/>
      <c r="K555" s="228"/>
      <c r="L555" s="228"/>
      <c r="M555" s="228"/>
      <c r="N555" s="228"/>
      <c r="O555" s="228"/>
      <c r="P555" s="228"/>
      <c r="Q555" s="228"/>
      <c r="R555" s="228"/>
      <c r="S555" s="228"/>
      <c r="T555" s="228"/>
      <c r="U555" s="228"/>
      <c r="V555" s="228"/>
      <c r="W555" s="228"/>
      <c r="X555" s="228"/>
      <c r="Y555" s="228"/>
      <c r="Z555" s="228"/>
      <c r="AA555" s="228"/>
      <c r="AB555" s="228"/>
      <c r="AC555" s="228"/>
      <c r="AD555" s="228"/>
      <c r="AE555" s="228"/>
      <c r="AF555" s="228"/>
      <c r="AG555" s="228"/>
      <c r="AH555" s="228"/>
      <c r="AI555" s="228"/>
      <c r="AJ555" s="228"/>
      <c r="AK555" s="228"/>
      <c r="AL555" s="228"/>
      <c r="AM555" s="228"/>
      <c r="AN555" s="228"/>
      <c r="AO555" s="228"/>
      <c r="AP555" s="228"/>
      <c r="AQ555" s="228"/>
    </row>
    <row r="556">
      <c r="A556" s="228"/>
      <c r="B556" s="228"/>
      <c r="C556" s="228"/>
      <c r="D556" s="228"/>
      <c r="E556" s="228"/>
      <c r="F556" s="228"/>
      <c r="G556" s="228"/>
      <c r="H556" s="228"/>
      <c r="I556" s="228"/>
      <c r="J556" s="228"/>
      <c r="K556" s="228"/>
      <c r="L556" s="228"/>
      <c r="M556" s="228"/>
      <c r="N556" s="228"/>
      <c r="O556" s="228"/>
      <c r="P556" s="228"/>
      <c r="Q556" s="228"/>
      <c r="R556" s="228"/>
      <c r="S556" s="228"/>
      <c r="T556" s="228"/>
      <c r="U556" s="228"/>
      <c r="V556" s="228"/>
      <c r="W556" s="228"/>
      <c r="X556" s="228"/>
      <c r="Y556" s="228"/>
      <c r="Z556" s="228"/>
      <c r="AA556" s="228"/>
      <c r="AB556" s="228"/>
      <c r="AC556" s="228"/>
      <c r="AD556" s="228"/>
      <c r="AE556" s="228"/>
      <c r="AF556" s="228"/>
      <c r="AG556" s="228"/>
      <c r="AH556" s="228"/>
      <c r="AI556" s="228"/>
      <c r="AJ556" s="228"/>
      <c r="AK556" s="228"/>
      <c r="AL556" s="228"/>
      <c r="AM556" s="228"/>
      <c r="AN556" s="228"/>
      <c r="AO556" s="228"/>
      <c r="AP556" s="228"/>
      <c r="AQ556" s="228"/>
    </row>
    <row r="557">
      <c r="A557" s="228"/>
      <c r="B557" s="228"/>
      <c r="C557" s="228"/>
      <c r="D557" s="228"/>
      <c r="E557" s="228"/>
      <c r="F557" s="228"/>
      <c r="G557" s="228"/>
      <c r="H557" s="228"/>
      <c r="I557" s="228"/>
      <c r="J557" s="228"/>
      <c r="K557" s="228"/>
      <c r="L557" s="228"/>
      <c r="M557" s="228"/>
      <c r="N557" s="228"/>
      <c r="O557" s="228"/>
      <c r="P557" s="228"/>
      <c r="Q557" s="228"/>
      <c r="R557" s="228"/>
      <c r="S557" s="228"/>
      <c r="T557" s="228"/>
      <c r="U557" s="228"/>
      <c r="V557" s="228"/>
      <c r="W557" s="228"/>
      <c r="X557" s="228"/>
      <c r="Y557" s="228"/>
      <c r="Z557" s="228"/>
      <c r="AA557" s="228"/>
      <c r="AB557" s="228"/>
      <c r="AC557" s="228"/>
      <c r="AD557" s="228"/>
      <c r="AE557" s="228"/>
      <c r="AF557" s="228"/>
      <c r="AG557" s="228"/>
      <c r="AH557" s="228"/>
      <c r="AI557" s="228"/>
      <c r="AJ557" s="228"/>
      <c r="AK557" s="228"/>
      <c r="AL557" s="228"/>
      <c r="AM557" s="228"/>
      <c r="AN557" s="228"/>
      <c r="AO557" s="228"/>
      <c r="AP557" s="228"/>
      <c r="AQ557" s="228"/>
    </row>
    <row r="558">
      <c r="A558" s="228"/>
      <c r="B558" s="228"/>
      <c r="C558" s="228"/>
      <c r="D558" s="228"/>
      <c r="E558" s="228"/>
      <c r="F558" s="228"/>
      <c r="G558" s="228"/>
      <c r="H558" s="228"/>
      <c r="I558" s="228"/>
      <c r="J558" s="228"/>
      <c r="K558" s="228"/>
      <c r="L558" s="228"/>
      <c r="M558" s="228"/>
      <c r="N558" s="228"/>
      <c r="O558" s="228"/>
      <c r="P558" s="228"/>
      <c r="Q558" s="228"/>
      <c r="R558" s="228"/>
      <c r="S558" s="228"/>
      <c r="T558" s="228"/>
      <c r="U558" s="228"/>
      <c r="V558" s="228"/>
      <c r="W558" s="228"/>
      <c r="X558" s="228"/>
      <c r="Y558" s="228"/>
      <c r="Z558" s="228"/>
      <c r="AA558" s="228"/>
      <c r="AB558" s="228"/>
      <c r="AC558" s="228"/>
      <c r="AD558" s="228"/>
      <c r="AE558" s="228"/>
      <c r="AF558" s="228"/>
      <c r="AG558" s="228"/>
      <c r="AH558" s="228"/>
      <c r="AI558" s="228"/>
      <c r="AJ558" s="228"/>
      <c r="AK558" s="228"/>
      <c r="AL558" s="228"/>
      <c r="AM558" s="228"/>
      <c r="AN558" s="228"/>
      <c r="AO558" s="228"/>
      <c r="AP558" s="228"/>
      <c r="AQ558" s="228"/>
    </row>
    <row r="559">
      <c r="A559" s="228"/>
      <c r="B559" s="228"/>
      <c r="C559" s="228"/>
      <c r="D559" s="228"/>
      <c r="E559" s="228"/>
      <c r="F559" s="228"/>
      <c r="G559" s="228"/>
      <c r="H559" s="228"/>
      <c r="I559" s="228"/>
      <c r="J559" s="228"/>
      <c r="K559" s="228"/>
      <c r="L559" s="228"/>
      <c r="M559" s="228"/>
      <c r="N559" s="228"/>
      <c r="O559" s="228"/>
      <c r="P559" s="228"/>
      <c r="Q559" s="228"/>
      <c r="R559" s="228"/>
      <c r="S559" s="228"/>
      <c r="T559" s="228"/>
      <c r="U559" s="228"/>
      <c r="V559" s="228"/>
      <c r="W559" s="228"/>
      <c r="X559" s="228"/>
      <c r="Y559" s="228"/>
      <c r="Z559" s="228"/>
      <c r="AA559" s="228"/>
      <c r="AB559" s="228"/>
      <c r="AC559" s="228"/>
      <c r="AD559" s="228"/>
      <c r="AE559" s="228"/>
      <c r="AF559" s="228"/>
      <c r="AG559" s="228"/>
      <c r="AH559" s="228"/>
      <c r="AI559" s="228"/>
      <c r="AJ559" s="228"/>
      <c r="AK559" s="228"/>
      <c r="AL559" s="228"/>
      <c r="AM559" s="228"/>
      <c r="AN559" s="228"/>
      <c r="AO559" s="228"/>
      <c r="AP559" s="228"/>
      <c r="AQ559" s="228"/>
    </row>
    <row r="560">
      <c r="A560" s="228"/>
      <c r="B560" s="228"/>
      <c r="C560" s="228"/>
      <c r="D560" s="228"/>
      <c r="E560" s="228"/>
      <c r="F560" s="228"/>
      <c r="G560" s="228"/>
      <c r="H560" s="228"/>
      <c r="I560" s="228"/>
      <c r="J560" s="228"/>
      <c r="K560" s="228"/>
      <c r="L560" s="228"/>
      <c r="M560" s="228"/>
      <c r="N560" s="228"/>
      <c r="O560" s="228"/>
      <c r="P560" s="228"/>
      <c r="Q560" s="228"/>
      <c r="R560" s="228"/>
      <c r="S560" s="228"/>
      <c r="T560" s="228"/>
      <c r="U560" s="228"/>
      <c r="V560" s="228"/>
      <c r="W560" s="228"/>
      <c r="X560" s="228"/>
      <c r="Y560" s="228"/>
      <c r="Z560" s="228"/>
      <c r="AA560" s="228"/>
      <c r="AB560" s="228"/>
      <c r="AC560" s="228"/>
      <c r="AD560" s="228"/>
      <c r="AE560" s="228"/>
      <c r="AF560" s="228"/>
      <c r="AG560" s="228"/>
      <c r="AH560" s="228"/>
      <c r="AI560" s="228"/>
      <c r="AJ560" s="228"/>
      <c r="AK560" s="228"/>
      <c r="AL560" s="228"/>
      <c r="AM560" s="228"/>
      <c r="AN560" s="228"/>
      <c r="AO560" s="228"/>
      <c r="AP560" s="228"/>
      <c r="AQ560" s="228"/>
    </row>
    <row r="561">
      <c r="A561" s="228"/>
      <c r="B561" s="228"/>
      <c r="C561" s="228"/>
      <c r="D561" s="228"/>
      <c r="E561" s="228"/>
      <c r="F561" s="228"/>
      <c r="G561" s="228"/>
      <c r="H561" s="228"/>
      <c r="I561" s="228"/>
      <c r="J561" s="228"/>
      <c r="K561" s="228"/>
      <c r="L561" s="228"/>
      <c r="M561" s="228"/>
      <c r="N561" s="228"/>
      <c r="O561" s="228"/>
      <c r="P561" s="228"/>
      <c r="Q561" s="228"/>
      <c r="R561" s="228"/>
      <c r="S561" s="228"/>
      <c r="T561" s="228"/>
      <c r="U561" s="228"/>
      <c r="V561" s="228"/>
      <c r="W561" s="228"/>
      <c r="X561" s="228"/>
      <c r="Y561" s="228"/>
      <c r="Z561" s="228"/>
      <c r="AA561" s="228"/>
      <c r="AB561" s="228"/>
      <c r="AC561" s="228"/>
      <c r="AD561" s="228"/>
      <c r="AE561" s="228"/>
      <c r="AF561" s="228"/>
      <c r="AG561" s="228"/>
      <c r="AH561" s="228"/>
      <c r="AI561" s="228"/>
      <c r="AJ561" s="228"/>
      <c r="AK561" s="228"/>
      <c r="AL561" s="228"/>
      <c r="AM561" s="228"/>
      <c r="AN561" s="228"/>
      <c r="AO561" s="228"/>
      <c r="AP561" s="228"/>
      <c r="AQ561" s="228"/>
    </row>
    <row r="562">
      <c r="A562" s="228"/>
      <c r="B562" s="228"/>
      <c r="C562" s="228"/>
      <c r="D562" s="228"/>
      <c r="E562" s="228"/>
      <c r="F562" s="228"/>
      <c r="G562" s="228"/>
      <c r="H562" s="228"/>
      <c r="I562" s="228"/>
      <c r="J562" s="228"/>
      <c r="K562" s="228"/>
      <c r="L562" s="228"/>
      <c r="M562" s="228"/>
      <c r="N562" s="228"/>
      <c r="O562" s="228"/>
      <c r="P562" s="228"/>
      <c r="Q562" s="228"/>
      <c r="R562" s="228"/>
      <c r="S562" s="228"/>
      <c r="T562" s="228"/>
      <c r="U562" s="228"/>
      <c r="V562" s="228"/>
      <c r="W562" s="228"/>
      <c r="X562" s="228"/>
      <c r="Y562" s="228"/>
      <c r="Z562" s="228"/>
      <c r="AA562" s="228"/>
      <c r="AB562" s="228"/>
      <c r="AC562" s="228"/>
      <c r="AD562" s="228"/>
      <c r="AE562" s="228"/>
      <c r="AF562" s="228"/>
      <c r="AG562" s="228"/>
      <c r="AH562" s="228"/>
      <c r="AI562" s="228"/>
      <c r="AJ562" s="228"/>
      <c r="AK562" s="228"/>
      <c r="AL562" s="228"/>
      <c r="AM562" s="228"/>
      <c r="AN562" s="228"/>
      <c r="AO562" s="228"/>
      <c r="AP562" s="228"/>
      <c r="AQ562" s="228"/>
    </row>
    <row r="563">
      <c r="A563" s="228"/>
      <c r="B563" s="228"/>
      <c r="C563" s="228"/>
      <c r="D563" s="228"/>
      <c r="E563" s="228"/>
      <c r="F563" s="228"/>
      <c r="G563" s="228"/>
      <c r="H563" s="228"/>
      <c r="I563" s="228"/>
      <c r="J563" s="228"/>
      <c r="K563" s="228"/>
      <c r="L563" s="228"/>
      <c r="M563" s="228"/>
      <c r="N563" s="228"/>
      <c r="O563" s="228"/>
      <c r="P563" s="228"/>
      <c r="Q563" s="228"/>
      <c r="R563" s="228"/>
      <c r="S563" s="228"/>
      <c r="T563" s="228"/>
      <c r="U563" s="228"/>
      <c r="V563" s="228"/>
      <c r="W563" s="228"/>
      <c r="X563" s="228"/>
      <c r="Y563" s="228"/>
      <c r="Z563" s="228"/>
      <c r="AA563" s="228"/>
      <c r="AB563" s="228"/>
      <c r="AC563" s="228"/>
      <c r="AD563" s="228"/>
      <c r="AE563" s="228"/>
      <c r="AF563" s="228"/>
      <c r="AG563" s="228"/>
      <c r="AH563" s="228"/>
      <c r="AI563" s="228"/>
      <c r="AJ563" s="228"/>
      <c r="AK563" s="228"/>
      <c r="AL563" s="228"/>
      <c r="AM563" s="228"/>
      <c r="AN563" s="228"/>
      <c r="AO563" s="228"/>
      <c r="AP563" s="228"/>
      <c r="AQ563" s="228"/>
    </row>
    <row r="564">
      <c r="A564" s="228"/>
      <c r="B564" s="228"/>
      <c r="C564" s="228"/>
      <c r="D564" s="228"/>
      <c r="E564" s="228"/>
      <c r="F564" s="228"/>
      <c r="G564" s="228"/>
      <c r="H564" s="228"/>
      <c r="I564" s="228"/>
      <c r="J564" s="228"/>
      <c r="K564" s="228"/>
      <c r="L564" s="228"/>
      <c r="M564" s="228"/>
      <c r="N564" s="228"/>
      <c r="O564" s="228"/>
      <c r="P564" s="228"/>
      <c r="Q564" s="228"/>
      <c r="R564" s="228"/>
      <c r="S564" s="228"/>
      <c r="T564" s="228"/>
      <c r="U564" s="228"/>
      <c r="V564" s="228"/>
      <c r="W564" s="228"/>
      <c r="X564" s="228"/>
      <c r="Y564" s="228"/>
      <c r="Z564" s="228"/>
      <c r="AA564" s="228"/>
      <c r="AB564" s="228"/>
      <c r="AC564" s="228"/>
      <c r="AD564" s="228"/>
      <c r="AE564" s="228"/>
      <c r="AF564" s="228"/>
      <c r="AG564" s="228"/>
      <c r="AH564" s="228"/>
      <c r="AI564" s="228"/>
      <c r="AJ564" s="228"/>
      <c r="AK564" s="228"/>
      <c r="AL564" s="228"/>
      <c r="AM564" s="228"/>
      <c r="AN564" s="228"/>
      <c r="AO564" s="228"/>
      <c r="AP564" s="228"/>
      <c r="AQ564" s="228"/>
    </row>
    <row r="565">
      <c r="A565" s="228"/>
      <c r="B565" s="228"/>
      <c r="C565" s="228"/>
      <c r="D565" s="228"/>
      <c r="E565" s="228"/>
      <c r="F565" s="228"/>
      <c r="G565" s="228"/>
      <c r="H565" s="228"/>
      <c r="I565" s="228"/>
      <c r="J565" s="228"/>
      <c r="K565" s="228"/>
      <c r="L565" s="228"/>
      <c r="M565" s="228"/>
      <c r="N565" s="228"/>
      <c r="O565" s="228"/>
      <c r="P565" s="228"/>
      <c r="Q565" s="228"/>
      <c r="R565" s="228"/>
      <c r="S565" s="228"/>
      <c r="T565" s="228"/>
      <c r="U565" s="228"/>
      <c r="V565" s="228"/>
      <c r="W565" s="228"/>
      <c r="X565" s="228"/>
      <c r="Y565" s="228"/>
      <c r="Z565" s="228"/>
      <c r="AA565" s="228"/>
      <c r="AB565" s="228"/>
      <c r="AC565" s="228"/>
      <c r="AD565" s="228"/>
      <c r="AE565" s="228"/>
      <c r="AF565" s="228"/>
      <c r="AG565" s="228"/>
      <c r="AH565" s="228"/>
      <c r="AI565" s="228"/>
      <c r="AJ565" s="228"/>
      <c r="AK565" s="228"/>
      <c r="AL565" s="228"/>
      <c r="AM565" s="228"/>
      <c r="AN565" s="228"/>
      <c r="AO565" s="228"/>
      <c r="AP565" s="228"/>
      <c r="AQ565" s="228"/>
    </row>
    <row r="566">
      <c r="A566" s="228"/>
      <c r="B566" s="228"/>
      <c r="C566" s="228"/>
      <c r="D566" s="228"/>
      <c r="E566" s="228"/>
      <c r="F566" s="228"/>
      <c r="G566" s="228"/>
      <c r="H566" s="228"/>
      <c r="I566" s="228"/>
      <c r="J566" s="228"/>
      <c r="K566" s="228"/>
      <c r="L566" s="228"/>
      <c r="M566" s="228"/>
      <c r="N566" s="228"/>
      <c r="O566" s="228"/>
      <c r="P566" s="228"/>
      <c r="Q566" s="228"/>
      <c r="R566" s="228"/>
      <c r="S566" s="228"/>
      <c r="T566" s="228"/>
      <c r="U566" s="228"/>
      <c r="V566" s="228"/>
      <c r="W566" s="228"/>
      <c r="X566" s="228"/>
      <c r="Y566" s="228"/>
      <c r="Z566" s="228"/>
      <c r="AA566" s="228"/>
      <c r="AB566" s="228"/>
      <c r="AC566" s="228"/>
      <c r="AD566" s="228"/>
      <c r="AE566" s="228"/>
      <c r="AF566" s="228"/>
      <c r="AG566" s="228"/>
      <c r="AH566" s="228"/>
      <c r="AI566" s="228"/>
      <c r="AJ566" s="228"/>
      <c r="AK566" s="228"/>
      <c r="AL566" s="228"/>
      <c r="AM566" s="228"/>
      <c r="AN566" s="228"/>
      <c r="AO566" s="228"/>
      <c r="AP566" s="228"/>
      <c r="AQ566" s="228"/>
    </row>
    <row r="567">
      <c r="A567" s="228"/>
      <c r="B567" s="228"/>
      <c r="C567" s="228"/>
      <c r="D567" s="228"/>
      <c r="E567" s="228"/>
      <c r="F567" s="228"/>
      <c r="G567" s="228"/>
      <c r="H567" s="228"/>
      <c r="I567" s="228"/>
      <c r="J567" s="228"/>
      <c r="K567" s="228"/>
      <c r="L567" s="228"/>
      <c r="M567" s="228"/>
      <c r="N567" s="228"/>
      <c r="O567" s="228"/>
      <c r="P567" s="228"/>
      <c r="Q567" s="228"/>
      <c r="R567" s="228"/>
      <c r="S567" s="228"/>
      <c r="T567" s="228"/>
      <c r="U567" s="228"/>
      <c r="V567" s="228"/>
      <c r="W567" s="228"/>
      <c r="X567" s="228"/>
      <c r="Y567" s="228"/>
      <c r="Z567" s="228"/>
      <c r="AA567" s="228"/>
      <c r="AB567" s="228"/>
      <c r="AC567" s="228"/>
      <c r="AD567" s="228"/>
      <c r="AE567" s="228"/>
      <c r="AF567" s="228"/>
      <c r="AG567" s="228"/>
      <c r="AH567" s="228"/>
      <c r="AI567" s="228"/>
      <c r="AJ567" s="228"/>
      <c r="AK567" s="228"/>
      <c r="AL567" s="228"/>
      <c r="AM567" s="228"/>
      <c r="AN567" s="228"/>
      <c r="AO567" s="228"/>
      <c r="AP567" s="228"/>
      <c r="AQ567" s="228"/>
    </row>
    <row r="568">
      <c r="A568" s="228"/>
      <c r="B568" s="228"/>
      <c r="C568" s="228"/>
      <c r="D568" s="228"/>
      <c r="E568" s="228"/>
      <c r="F568" s="228"/>
      <c r="G568" s="228"/>
      <c r="H568" s="228"/>
      <c r="I568" s="228"/>
      <c r="J568" s="228"/>
      <c r="K568" s="228"/>
      <c r="L568" s="228"/>
      <c r="M568" s="228"/>
      <c r="N568" s="228"/>
      <c r="O568" s="228"/>
      <c r="P568" s="228"/>
      <c r="Q568" s="228"/>
      <c r="R568" s="228"/>
      <c r="S568" s="228"/>
      <c r="T568" s="228"/>
      <c r="U568" s="228"/>
      <c r="V568" s="228"/>
      <c r="W568" s="228"/>
      <c r="X568" s="228"/>
      <c r="Y568" s="228"/>
      <c r="Z568" s="228"/>
      <c r="AA568" s="228"/>
      <c r="AB568" s="228"/>
      <c r="AC568" s="228"/>
      <c r="AD568" s="228"/>
      <c r="AE568" s="228"/>
      <c r="AF568" s="228"/>
      <c r="AG568" s="228"/>
      <c r="AH568" s="228"/>
      <c r="AI568" s="228"/>
      <c r="AJ568" s="228"/>
      <c r="AK568" s="228"/>
      <c r="AL568" s="228"/>
      <c r="AM568" s="228"/>
      <c r="AN568" s="228"/>
      <c r="AO568" s="228"/>
      <c r="AP568" s="228"/>
      <c r="AQ568" s="228"/>
    </row>
    <row r="569">
      <c r="A569" s="228"/>
      <c r="B569" s="228"/>
      <c r="C569" s="228"/>
      <c r="D569" s="228"/>
      <c r="E569" s="228"/>
      <c r="F569" s="228"/>
      <c r="G569" s="228"/>
      <c r="H569" s="228"/>
      <c r="I569" s="228"/>
      <c r="J569" s="228"/>
      <c r="K569" s="228"/>
      <c r="L569" s="228"/>
      <c r="M569" s="228"/>
      <c r="N569" s="228"/>
      <c r="O569" s="228"/>
      <c r="P569" s="228"/>
      <c r="Q569" s="228"/>
      <c r="R569" s="228"/>
      <c r="S569" s="228"/>
      <c r="T569" s="228"/>
      <c r="U569" s="228"/>
      <c r="V569" s="228"/>
      <c r="W569" s="228"/>
      <c r="X569" s="228"/>
      <c r="Y569" s="228"/>
      <c r="Z569" s="228"/>
      <c r="AA569" s="228"/>
      <c r="AB569" s="228"/>
      <c r="AC569" s="228"/>
      <c r="AD569" s="228"/>
      <c r="AE569" s="228"/>
      <c r="AF569" s="228"/>
      <c r="AG569" s="228"/>
      <c r="AH569" s="228"/>
      <c r="AI569" s="228"/>
      <c r="AJ569" s="228"/>
      <c r="AK569" s="228"/>
      <c r="AL569" s="228"/>
      <c r="AM569" s="228"/>
      <c r="AN569" s="228"/>
      <c r="AO569" s="228"/>
      <c r="AP569" s="228"/>
      <c r="AQ569" s="228"/>
    </row>
    <row r="570">
      <c r="A570" s="228"/>
      <c r="B570" s="228"/>
      <c r="C570" s="228"/>
      <c r="D570" s="228"/>
      <c r="E570" s="228"/>
      <c r="F570" s="228"/>
      <c r="G570" s="228"/>
      <c r="H570" s="228"/>
      <c r="I570" s="228"/>
      <c r="J570" s="228"/>
      <c r="K570" s="228"/>
      <c r="L570" s="228"/>
      <c r="M570" s="228"/>
      <c r="N570" s="228"/>
      <c r="O570" s="228"/>
      <c r="P570" s="228"/>
      <c r="Q570" s="228"/>
      <c r="R570" s="228"/>
      <c r="S570" s="228"/>
      <c r="T570" s="228"/>
      <c r="U570" s="228"/>
      <c r="V570" s="228"/>
      <c r="W570" s="228"/>
      <c r="X570" s="228"/>
      <c r="Y570" s="228"/>
      <c r="Z570" s="228"/>
      <c r="AA570" s="228"/>
      <c r="AB570" s="228"/>
      <c r="AC570" s="228"/>
      <c r="AD570" s="228"/>
      <c r="AE570" s="228"/>
      <c r="AF570" s="228"/>
      <c r="AG570" s="228"/>
      <c r="AH570" s="228"/>
      <c r="AI570" s="228"/>
      <c r="AJ570" s="228"/>
      <c r="AK570" s="228"/>
      <c r="AL570" s="228"/>
      <c r="AM570" s="228"/>
      <c r="AN570" s="228"/>
      <c r="AO570" s="228"/>
      <c r="AP570" s="228"/>
      <c r="AQ570" s="228"/>
    </row>
    <row r="571">
      <c r="A571" s="228"/>
      <c r="B571" s="228"/>
      <c r="C571" s="228"/>
      <c r="D571" s="228"/>
      <c r="E571" s="228"/>
      <c r="F571" s="228"/>
      <c r="G571" s="228"/>
      <c r="H571" s="228"/>
      <c r="I571" s="228"/>
      <c r="J571" s="228"/>
      <c r="K571" s="228"/>
      <c r="L571" s="228"/>
      <c r="M571" s="228"/>
      <c r="N571" s="228"/>
      <c r="O571" s="228"/>
      <c r="P571" s="228"/>
      <c r="Q571" s="228"/>
      <c r="R571" s="228"/>
      <c r="S571" s="228"/>
      <c r="T571" s="228"/>
      <c r="U571" s="228"/>
      <c r="V571" s="228"/>
      <c r="W571" s="228"/>
      <c r="X571" s="228"/>
      <c r="Y571" s="228"/>
      <c r="Z571" s="228"/>
      <c r="AA571" s="228"/>
      <c r="AB571" s="228"/>
      <c r="AC571" s="228"/>
      <c r="AD571" s="228"/>
      <c r="AE571" s="228"/>
      <c r="AF571" s="228"/>
      <c r="AG571" s="228"/>
      <c r="AH571" s="228"/>
      <c r="AI571" s="228"/>
      <c r="AJ571" s="228"/>
      <c r="AK571" s="228"/>
      <c r="AL571" s="228"/>
      <c r="AM571" s="228"/>
      <c r="AN571" s="228"/>
      <c r="AO571" s="228"/>
      <c r="AP571" s="228"/>
      <c r="AQ571" s="228"/>
    </row>
    <row r="572">
      <c r="A572" s="228"/>
      <c r="B572" s="228"/>
      <c r="C572" s="228"/>
      <c r="D572" s="228"/>
      <c r="E572" s="228"/>
      <c r="F572" s="228"/>
      <c r="G572" s="228"/>
      <c r="H572" s="228"/>
      <c r="I572" s="228"/>
      <c r="J572" s="228"/>
      <c r="K572" s="228"/>
      <c r="L572" s="228"/>
      <c r="M572" s="228"/>
      <c r="N572" s="228"/>
      <c r="O572" s="228"/>
      <c r="P572" s="228"/>
      <c r="Q572" s="228"/>
      <c r="R572" s="228"/>
      <c r="S572" s="228"/>
      <c r="T572" s="228"/>
      <c r="U572" s="228"/>
      <c r="V572" s="228"/>
      <c r="W572" s="228"/>
      <c r="X572" s="228"/>
      <c r="Y572" s="228"/>
      <c r="Z572" s="228"/>
      <c r="AA572" s="228"/>
      <c r="AB572" s="228"/>
      <c r="AC572" s="228"/>
      <c r="AD572" s="228"/>
      <c r="AE572" s="228"/>
      <c r="AF572" s="228"/>
      <c r="AG572" s="228"/>
      <c r="AH572" s="228"/>
      <c r="AI572" s="228"/>
      <c r="AJ572" s="228"/>
      <c r="AK572" s="228"/>
      <c r="AL572" s="228"/>
      <c r="AM572" s="228"/>
      <c r="AN572" s="228"/>
      <c r="AO572" s="228"/>
      <c r="AP572" s="228"/>
      <c r="AQ572" s="228"/>
    </row>
    <row r="573">
      <c r="A573" s="228"/>
      <c r="B573" s="228"/>
      <c r="C573" s="228"/>
      <c r="D573" s="228"/>
      <c r="E573" s="228"/>
      <c r="F573" s="228"/>
      <c r="G573" s="228"/>
      <c r="H573" s="228"/>
      <c r="I573" s="228"/>
      <c r="J573" s="228"/>
      <c r="K573" s="228"/>
      <c r="L573" s="228"/>
      <c r="M573" s="228"/>
      <c r="N573" s="228"/>
      <c r="O573" s="228"/>
      <c r="P573" s="228"/>
      <c r="Q573" s="228"/>
      <c r="R573" s="228"/>
      <c r="S573" s="228"/>
      <c r="T573" s="228"/>
      <c r="U573" s="228"/>
      <c r="V573" s="228"/>
      <c r="W573" s="228"/>
      <c r="X573" s="228"/>
      <c r="Y573" s="228"/>
      <c r="Z573" s="228"/>
      <c r="AA573" s="228"/>
      <c r="AB573" s="228"/>
      <c r="AC573" s="228"/>
      <c r="AD573" s="228"/>
      <c r="AE573" s="228"/>
      <c r="AF573" s="228"/>
      <c r="AG573" s="228"/>
      <c r="AH573" s="228"/>
      <c r="AI573" s="228"/>
      <c r="AJ573" s="228"/>
      <c r="AK573" s="228"/>
      <c r="AL573" s="228"/>
      <c r="AM573" s="228"/>
      <c r="AN573" s="228"/>
      <c r="AO573" s="228"/>
      <c r="AP573" s="228"/>
      <c r="AQ573" s="228"/>
    </row>
    <row r="574">
      <c r="A574" s="228"/>
      <c r="B574" s="228"/>
      <c r="C574" s="228"/>
      <c r="D574" s="228"/>
      <c r="E574" s="228"/>
      <c r="F574" s="228"/>
      <c r="G574" s="228"/>
      <c r="H574" s="228"/>
      <c r="I574" s="228"/>
      <c r="J574" s="228"/>
      <c r="K574" s="228"/>
      <c r="L574" s="228"/>
      <c r="M574" s="228"/>
      <c r="N574" s="228"/>
      <c r="O574" s="228"/>
      <c r="P574" s="228"/>
      <c r="Q574" s="228"/>
      <c r="R574" s="228"/>
      <c r="S574" s="228"/>
      <c r="T574" s="228"/>
      <c r="U574" s="228"/>
      <c r="V574" s="228"/>
      <c r="W574" s="228"/>
      <c r="X574" s="228"/>
      <c r="Y574" s="228"/>
      <c r="Z574" s="228"/>
      <c r="AA574" s="228"/>
      <c r="AB574" s="228"/>
      <c r="AC574" s="228"/>
      <c r="AD574" s="228"/>
      <c r="AE574" s="228"/>
      <c r="AF574" s="228"/>
      <c r="AG574" s="228"/>
      <c r="AH574" s="228"/>
      <c r="AI574" s="228"/>
      <c r="AJ574" s="228"/>
      <c r="AK574" s="228"/>
      <c r="AL574" s="228"/>
      <c r="AM574" s="228"/>
      <c r="AN574" s="228"/>
      <c r="AO574" s="228"/>
      <c r="AP574" s="228"/>
      <c r="AQ574" s="228"/>
    </row>
    <row r="575">
      <c r="A575" s="228"/>
      <c r="B575" s="228"/>
      <c r="C575" s="228"/>
      <c r="D575" s="228"/>
      <c r="E575" s="228"/>
      <c r="F575" s="228"/>
      <c r="G575" s="228"/>
      <c r="H575" s="228"/>
      <c r="I575" s="228"/>
      <c r="J575" s="228"/>
      <c r="K575" s="228"/>
      <c r="L575" s="228"/>
      <c r="M575" s="228"/>
      <c r="N575" s="228"/>
      <c r="O575" s="228"/>
      <c r="P575" s="228"/>
      <c r="Q575" s="228"/>
      <c r="R575" s="228"/>
      <c r="S575" s="228"/>
      <c r="T575" s="228"/>
      <c r="U575" s="228"/>
      <c r="V575" s="228"/>
      <c r="W575" s="228"/>
      <c r="X575" s="228"/>
      <c r="Y575" s="228"/>
      <c r="Z575" s="228"/>
      <c r="AA575" s="228"/>
      <c r="AB575" s="228"/>
      <c r="AC575" s="228"/>
      <c r="AD575" s="228"/>
      <c r="AE575" s="228"/>
      <c r="AF575" s="228"/>
      <c r="AG575" s="228"/>
      <c r="AH575" s="228"/>
      <c r="AI575" s="228"/>
      <c r="AJ575" s="228"/>
      <c r="AK575" s="228"/>
      <c r="AL575" s="228"/>
      <c r="AM575" s="228"/>
      <c r="AN575" s="228"/>
      <c r="AO575" s="228"/>
      <c r="AP575" s="228"/>
      <c r="AQ575" s="228"/>
    </row>
    <row r="576">
      <c r="A576" s="228"/>
      <c r="B576" s="228"/>
      <c r="C576" s="228"/>
      <c r="D576" s="228"/>
      <c r="E576" s="228"/>
      <c r="F576" s="228"/>
      <c r="G576" s="228"/>
      <c r="H576" s="228"/>
      <c r="I576" s="228"/>
      <c r="J576" s="228"/>
      <c r="K576" s="228"/>
      <c r="L576" s="228"/>
      <c r="M576" s="228"/>
      <c r="N576" s="228"/>
      <c r="O576" s="228"/>
      <c r="P576" s="228"/>
      <c r="Q576" s="228"/>
      <c r="R576" s="228"/>
      <c r="S576" s="228"/>
      <c r="T576" s="228"/>
      <c r="U576" s="228"/>
      <c r="V576" s="228"/>
      <c r="W576" s="228"/>
      <c r="X576" s="228"/>
      <c r="Y576" s="228"/>
      <c r="Z576" s="228"/>
      <c r="AA576" s="228"/>
      <c r="AB576" s="228"/>
      <c r="AC576" s="228"/>
      <c r="AD576" s="228"/>
      <c r="AE576" s="228"/>
      <c r="AF576" s="228"/>
      <c r="AG576" s="228"/>
      <c r="AH576" s="228"/>
      <c r="AI576" s="228"/>
      <c r="AJ576" s="228"/>
      <c r="AK576" s="228"/>
      <c r="AL576" s="228"/>
      <c r="AM576" s="228"/>
      <c r="AN576" s="228"/>
      <c r="AO576" s="228"/>
      <c r="AP576" s="228"/>
      <c r="AQ576" s="228"/>
    </row>
    <row r="577">
      <c r="A577" s="228"/>
      <c r="B577" s="228"/>
      <c r="C577" s="228"/>
      <c r="D577" s="228"/>
      <c r="E577" s="228"/>
      <c r="F577" s="228"/>
      <c r="G577" s="228"/>
      <c r="H577" s="228"/>
      <c r="I577" s="228"/>
      <c r="J577" s="228"/>
      <c r="K577" s="228"/>
      <c r="L577" s="228"/>
      <c r="M577" s="228"/>
      <c r="N577" s="228"/>
      <c r="O577" s="228"/>
      <c r="P577" s="228"/>
      <c r="Q577" s="228"/>
      <c r="R577" s="228"/>
      <c r="S577" s="228"/>
      <c r="T577" s="228"/>
      <c r="U577" s="228"/>
      <c r="V577" s="228"/>
      <c r="W577" s="228"/>
      <c r="X577" s="228"/>
      <c r="Y577" s="228"/>
      <c r="Z577" s="228"/>
      <c r="AA577" s="228"/>
      <c r="AB577" s="228"/>
      <c r="AC577" s="228"/>
      <c r="AD577" s="228"/>
      <c r="AE577" s="228"/>
      <c r="AF577" s="228"/>
      <c r="AG577" s="228"/>
      <c r="AH577" s="228"/>
      <c r="AI577" s="228"/>
      <c r="AJ577" s="228"/>
      <c r="AK577" s="228"/>
      <c r="AL577" s="228"/>
      <c r="AM577" s="228"/>
      <c r="AN577" s="228"/>
      <c r="AO577" s="228"/>
      <c r="AP577" s="228"/>
      <c r="AQ577" s="228"/>
    </row>
    <row r="578">
      <c r="A578" s="228"/>
      <c r="B578" s="228"/>
      <c r="C578" s="228"/>
      <c r="D578" s="228"/>
      <c r="E578" s="228"/>
      <c r="F578" s="228"/>
      <c r="G578" s="228"/>
      <c r="H578" s="228"/>
      <c r="I578" s="228"/>
      <c r="J578" s="228"/>
      <c r="K578" s="228"/>
      <c r="L578" s="228"/>
      <c r="M578" s="228"/>
      <c r="N578" s="228"/>
      <c r="O578" s="228"/>
      <c r="P578" s="228"/>
      <c r="Q578" s="228"/>
      <c r="R578" s="228"/>
      <c r="S578" s="228"/>
      <c r="T578" s="228"/>
      <c r="U578" s="228"/>
      <c r="V578" s="228"/>
      <c r="W578" s="228"/>
      <c r="X578" s="228"/>
      <c r="Y578" s="228"/>
      <c r="Z578" s="228"/>
      <c r="AA578" s="228"/>
      <c r="AB578" s="228"/>
      <c r="AC578" s="228"/>
      <c r="AD578" s="228"/>
      <c r="AE578" s="228"/>
      <c r="AF578" s="228"/>
      <c r="AG578" s="228"/>
      <c r="AH578" s="228"/>
      <c r="AI578" s="228"/>
      <c r="AJ578" s="228"/>
      <c r="AK578" s="228"/>
      <c r="AL578" s="228"/>
      <c r="AM578" s="228"/>
      <c r="AN578" s="228"/>
      <c r="AO578" s="228"/>
      <c r="AP578" s="228"/>
      <c r="AQ578" s="228"/>
    </row>
    <row r="579">
      <c r="A579" s="228"/>
      <c r="B579" s="228"/>
      <c r="C579" s="228"/>
      <c r="D579" s="228"/>
      <c r="E579" s="228"/>
      <c r="F579" s="228"/>
      <c r="G579" s="228"/>
      <c r="H579" s="228"/>
      <c r="I579" s="228"/>
      <c r="J579" s="228"/>
      <c r="K579" s="228"/>
      <c r="L579" s="228"/>
      <c r="M579" s="228"/>
      <c r="N579" s="228"/>
      <c r="O579" s="228"/>
      <c r="P579" s="228"/>
      <c r="Q579" s="228"/>
      <c r="R579" s="228"/>
      <c r="S579" s="228"/>
      <c r="T579" s="228"/>
      <c r="U579" s="228"/>
      <c r="V579" s="228"/>
      <c r="W579" s="228"/>
      <c r="X579" s="228"/>
      <c r="Y579" s="228"/>
      <c r="Z579" s="228"/>
      <c r="AA579" s="228"/>
      <c r="AB579" s="228"/>
      <c r="AC579" s="228"/>
      <c r="AD579" s="228"/>
      <c r="AE579" s="228"/>
      <c r="AF579" s="228"/>
      <c r="AG579" s="228"/>
      <c r="AH579" s="228"/>
      <c r="AI579" s="228"/>
      <c r="AJ579" s="228"/>
      <c r="AK579" s="228"/>
      <c r="AL579" s="228"/>
      <c r="AM579" s="228"/>
      <c r="AN579" s="228"/>
      <c r="AO579" s="228"/>
      <c r="AP579" s="228"/>
      <c r="AQ579" s="228"/>
    </row>
    <row r="580">
      <c r="A580" s="228"/>
      <c r="B580" s="228"/>
      <c r="C580" s="228"/>
      <c r="D580" s="228"/>
      <c r="E580" s="228"/>
      <c r="F580" s="228"/>
      <c r="G580" s="228"/>
      <c r="H580" s="228"/>
      <c r="I580" s="228"/>
      <c r="J580" s="228"/>
      <c r="K580" s="228"/>
      <c r="L580" s="228"/>
      <c r="M580" s="228"/>
      <c r="N580" s="228"/>
      <c r="O580" s="228"/>
      <c r="P580" s="228"/>
      <c r="Q580" s="228"/>
      <c r="R580" s="228"/>
      <c r="S580" s="228"/>
      <c r="T580" s="228"/>
      <c r="U580" s="228"/>
      <c r="V580" s="228"/>
      <c r="W580" s="228"/>
      <c r="X580" s="228"/>
      <c r="Y580" s="228"/>
      <c r="Z580" s="228"/>
      <c r="AA580" s="228"/>
      <c r="AB580" s="228"/>
      <c r="AC580" s="228"/>
      <c r="AD580" s="228"/>
      <c r="AE580" s="228"/>
      <c r="AF580" s="228"/>
      <c r="AG580" s="228"/>
      <c r="AH580" s="228"/>
      <c r="AI580" s="228"/>
      <c r="AJ580" s="228"/>
      <c r="AK580" s="228"/>
      <c r="AL580" s="228"/>
      <c r="AM580" s="228"/>
      <c r="AN580" s="228"/>
      <c r="AO580" s="228"/>
      <c r="AP580" s="228"/>
      <c r="AQ580" s="228"/>
    </row>
    <row r="581">
      <c r="A581" s="228"/>
      <c r="B581" s="228"/>
      <c r="C581" s="228"/>
      <c r="D581" s="228"/>
      <c r="E581" s="228"/>
      <c r="F581" s="228"/>
      <c r="G581" s="228"/>
      <c r="H581" s="228"/>
      <c r="I581" s="228"/>
      <c r="J581" s="228"/>
      <c r="K581" s="228"/>
      <c r="L581" s="228"/>
      <c r="M581" s="228"/>
      <c r="N581" s="228"/>
      <c r="O581" s="228"/>
      <c r="P581" s="228"/>
      <c r="Q581" s="228"/>
      <c r="R581" s="228"/>
      <c r="S581" s="228"/>
      <c r="T581" s="228"/>
      <c r="U581" s="228"/>
      <c r="V581" s="228"/>
      <c r="W581" s="228"/>
      <c r="X581" s="228"/>
      <c r="Y581" s="228"/>
      <c r="Z581" s="228"/>
      <c r="AA581" s="228"/>
      <c r="AB581" s="228"/>
      <c r="AC581" s="228"/>
      <c r="AD581" s="228"/>
      <c r="AE581" s="228"/>
      <c r="AF581" s="228"/>
      <c r="AG581" s="228"/>
      <c r="AH581" s="228"/>
      <c r="AI581" s="228"/>
      <c r="AJ581" s="228"/>
      <c r="AK581" s="228"/>
      <c r="AL581" s="228"/>
      <c r="AM581" s="228"/>
      <c r="AN581" s="228"/>
      <c r="AO581" s="228"/>
      <c r="AP581" s="228"/>
      <c r="AQ581" s="228"/>
    </row>
    <row r="582">
      <c r="A582" s="228"/>
      <c r="B582" s="228"/>
      <c r="C582" s="228"/>
      <c r="D582" s="228"/>
      <c r="E582" s="228"/>
      <c r="F582" s="228"/>
      <c r="G582" s="228"/>
      <c r="H582" s="228"/>
      <c r="I582" s="228"/>
      <c r="J582" s="228"/>
      <c r="K582" s="228"/>
      <c r="L582" s="228"/>
      <c r="M582" s="228"/>
      <c r="N582" s="228"/>
      <c r="O582" s="228"/>
      <c r="P582" s="228"/>
      <c r="Q582" s="228"/>
      <c r="R582" s="228"/>
      <c r="S582" s="228"/>
      <c r="T582" s="228"/>
      <c r="U582" s="228"/>
      <c r="V582" s="228"/>
      <c r="W582" s="228"/>
      <c r="X582" s="228"/>
      <c r="Y582" s="228"/>
      <c r="Z582" s="228"/>
      <c r="AA582" s="228"/>
      <c r="AB582" s="228"/>
      <c r="AC582" s="228"/>
      <c r="AD582" s="228"/>
      <c r="AE582" s="228"/>
      <c r="AF582" s="228"/>
      <c r="AG582" s="228"/>
      <c r="AH582" s="228"/>
      <c r="AI582" s="228"/>
      <c r="AJ582" s="228"/>
      <c r="AK582" s="228"/>
      <c r="AL582" s="228"/>
      <c r="AM582" s="228"/>
      <c r="AN582" s="228"/>
      <c r="AO582" s="228"/>
      <c r="AP582" s="228"/>
      <c r="AQ582" s="228"/>
    </row>
    <row r="583">
      <c r="A583" s="228"/>
      <c r="B583" s="228"/>
      <c r="C583" s="228"/>
      <c r="D583" s="228"/>
      <c r="E583" s="228"/>
      <c r="F583" s="228"/>
      <c r="G583" s="228"/>
      <c r="H583" s="228"/>
      <c r="I583" s="228"/>
      <c r="J583" s="228"/>
      <c r="K583" s="228"/>
      <c r="L583" s="228"/>
      <c r="M583" s="228"/>
      <c r="N583" s="228"/>
      <c r="O583" s="228"/>
      <c r="P583" s="228"/>
      <c r="Q583" s="228"/>
      <c r="R583" s="228"/>
      <c r="S583" s="228"/>
      <c r="T583" s="228"/>
      <c r="U583" s="228"/>
      <c r="V583" s="228"/>
      <c r="W583" s="228"/>
      <c r="X583" s="228"/>
      <c r="Y583" s="228"/>
      <c r="Z583" s="228"/>
      <c r="AA583" s="228"/>
      <c r="AB583" s="228"/>
      <c r="AC583" s="228"/>
      <c r="AD583" s="228"/>
      <c r="AE583" s="228"/>
      <c r="AF583" s="228"/>
      <c r="AG583" s="228"/>
      <c r="AH583" s="228"/>
      <c r="AI583" s="228"/>
      <c r="AJ583" s="228"/>
      <c r="AK583" s="228"/>
      <c r="AL583" s="228"/>
      <c r="AM583" s="228"/>
      <c r="AN583" s="228"/>
      <c r="AO583" s="228"/>
      <c r="AP583" s="228"/>
      <c r="AQ583" s="228"/>
    </row>
    <row r="584">
      <c r="A584" s="228"/>
      <c r="B584" s="228"/>
      <c r="C584" s="228"/>
      <c r="D584" s="228"/>
      <c r="E584" s="228"/>
      <c r="F584" s="228"/>
      <c r="G584" s="228"/>
      <c r="H584" s="228"/>
      <c r="I584" s="228"/>
      <c r="J584" s="228"/>
      <c r="K584" s="228"/>
      <c r="L584" s="228"/>
      <c r="M584" s="228"/>
      <c r="N584" s="228"/>
      <c r="O584" s="228"/>
      <c r="P584" s="228"/>
      <c r="Q584" s="228"/>
      <c r="R584" s="228"/>
      <c r="S584" s="228"/>
      <c r="T584" s="228"/>
      <c r="U584" s="228"/>
      <c r="V584" s="228"/>
      <c r="W584" s="228"/>
      <c r="X584" s="228"/>
      <c r="Y584" s="228"/>
      <c r="Z584" s="228"/>
      <c r="AA584" s="228"/>
      <c r="AB584" s="228"/>
      <c r="AC584" s="228"/>
      <c r="AD584" s="228"/>
      <c r="AE584" s="228"/>
      <c r="AF584" s="228"/>
      <c r="AG584" s="228"/>
      <c r="AH584" s="228"/>
      <c r="AI584" s="228"/>
      <c r="AJ584" s="228"/>
      <c r="AK584" s="228"/>
      <c r="AL584" s="228"/>
      <c r="AM584" s="228"/>
      <c r="AN584" s="228"/>
      <c r="AO584" s="228"/>
      <c r="AP584" s="228"/>
      <c r="AQ584" s="228"/>
    </row>
    <row r="585">
      <c r="A585" s="228"/>
      <c r="B585" s="228"/>
      <c r="C585" s="228"/>
      <c r="D585" s="228"/>
      <c r="E585" s="228"/>
      <c r="F585" s="228"/>
      <c r="G585" s="228"/>
      <c r="H585" s="228"/>
      <c r="I585" s="228"/>
      <c r="J585" s="228"/>
      <c r="K585" s="228"/>
      <c r="L585" s="228"/>
      <c r="M585" s="228"/>
      <c r="N585" s="228"/>
      <c r="O585" s="228"/>
      <c r="P585" s="228"/>
      <c r="Q585" s="228"/>
      <c r="R585" s="228"/>
      <c r="S585" s="228"/>
      <c r="T585" s="228"/>
      <c r="U585" s="228"/>
      <c r="V585" s="228"/>
      <c r="W585" s="228"/>
      <c r="X585" s="228"/>
      <c r="Y585" s="228"/>
      <c r="Z585" s="228"/>
      <c r="AA585" s="228"/>
      <c r="AB585" s="228"/>
      <c r="AC585" s="228"/>
      <c r="AD585" s="228"/>
      <c r="AE585" s="228"/>
      <c r="AF585" s="228"/>
      <c r="AG585" s="228"/>
      <c r="AH585" s="228"/>
      <c r="AI585" s="228"/>
      <c r="AJ585" s="228"/>
      <c r="AK585" s="228"/>
      <c r="AL585" s="228"/>
      <c r="AM585" s="228"/>
      <c r="AN585" s="228"/>
      <c r="AO585" s="228"/>
      <c r="AP585" s="228"/>
      <c r="AQ585" s="228"/>
    </row>
    <row r="586">
      <c r="A586" s="228"/>
      <c r="B586" s="228"/>
      <c r="C586" s="228"/>
      <c r="D586" s="228"/>
      <c r="E586" s="228"/>
      <c r="F586" s="228"/>
      <c r="G586" s="228"/>
      <c r="H586" s="228"/>
      <c r="I586" s="228"/>
      <c r="J586" s="228"/>
      <c r="K586" s="228"/>
      <c r="L586" s="228"/>
      <c r="M586" s="228"/>
      <c r="N586" s="228"/>
      <c r="O586" s="228"/>
      <c r="P586" s="228"/>
      <c r="Q586" s="228"/>
      <c r="R586" s="228"/>
      <c r="S586" s="228"/>
      <c r="T586" s="228"/>
      <c r="U586" s="228"/>
      <c r="V586" s="228"/>
      <c r="W586" s="228"/>
      <c r="X586" s="228"/>
      <c r="Y586" s="228"/>
      <c r="Z586" s="228"/>
      <c r="AA586" s="228"/>
      <c r="AB586" s="228"/>
      <c r="AC586" s="228"/>
      <c r="AD586" s="228"/>
      <c r="AE586" s="228"/>
      <c r="AF586" s="228"/>
      <c r="AG586" s="228"/>
      <c r="AH586" s="228"/>
      <c r="AI586" s="228"/>
      <c r="AJ586" s="228"/>
      <c r="AK586" s="228"/>
      <c r="AL586" s="228"/>
      <c r="AM586" s="228"/>
      <c r="AN586" s="228"/>
      <c r="AO586" s="228"/>
      <c r="AP586" s="228"/>
      <c r="AQ586" s="228"/>
    </row>
    <row r="587">
      <c r="A587" s="228"/>
      <c r="B587" s="228"/>
      <c r="C587" s="228"/>
      <c r="D587" s="228"/>
      <c r="E587" s="228"/>
      <c r="F587" s="228"/>
      <c r="G587" s="228"/>
      <c r="H587" s="228"/>
      <c r="I587" s="228"/>
      <c r="J587" s="228"/>
      <c r="K587" s="228"/>
      <c r="L587" s="228"/>
      <c r="M587" s="228"/>
      <c r="N587" s="228"/>
      <c r="O587" s="228"/>
      <c r="P587" s="228"/>
      <c r="Q587" s="228"/>
      <c r="R587" s="228"/>
      <c r="S587" s="228"/>
      <c r="T587" s="228"/>
      <c r="U587" s="228"/>
      <c r="V587" s="228"/>
      <c r="W587" s="228"/>
      <c r="X587" s="228"/>
      <c r="Y587" s="228"/>
      <c r="Z587" s="228"/>
      <c r="AA587" s="228"/>
      <c r="AB587" s="228"/>
      <c r="AC587" s="228"/>
      <c r="AD587" s="228"/>
      <c r="AE587" s="228"/>
      <c r="AF587" s="228"/>
      <c r="AG587" s="228"/>
      <c r="AH587" s="228"/>
      <c r="AI587" s="228"/>
      <c r="AJ587" s="228"/>
      <c r="AK587" s="228"/>
      <c r="AL587" s="228"/>
      <c r="AM587" s="228"/>
      <c r="AN587" s="228"/>
      <c r="AO587" s="228"/>
      <c r="AP587" s="228"/>
      <c r="AQ587" s="228"/>
    </row>
    <row r="588">
      <c r="A588" s="228"/>
      <c r="B588" s="228"/>
      <c r="C588" s="228"/>
      <c r="D588" s="228"/>
      <c r="E588" s="228"/>
      <c r="F588" s="228"/>
      <c r="G588" s="228"/>
      <c r="H588" s="228"/>
      <c r="I588" s="228"/>
      <c r="J588" s="228"/>
      <c r="K588" s="228"/>
      <c r="L588" s="228"/>
      <c r="M588" s="228"/>
      <c r="N588" s="228"/>
      <c r="O588" s="228"/>
      <c r="P588" s="228"/>
      <c r="Q588" s="228"/>
      <c r="R588" s="228"/>
      <c r="S588" s="228"/>
      <c r="T588" s="228"/>
      <c r="U588" s="228"/>
      <c r="V588" s="228"/>
      <c r="W588" s="228"/>
      <c r="X588" s="228"/>
      <c r="Y588" s="228"/>
      <c r="Z588" s="228"/>
      <c r="AA588" s="228"/>
      <c r="AB588" s="228"/>
      <c r="AC588" s="228"/>
      <c r="AD588" s="228"/>
      <c r="AE588" s="228"/>
      <c r="AF588" s="228"/>
      <c r="AG588" s="228"/>
      <c r="AH588" s="228"/>
      <c r="AI588" s="228"/>
      <c r="AJ588" s="228"/>
      <c r="AK588" s="228"/>
      <c r="AL588" s="228"/>
      <c r="AM588" s="228"/>
      <c r="AN588" s="228"/>
      <c r="AO588" s="228"/>
      <c r="AP588" s="228"/>
      <c r="AQ588" s="228"/>
    </row>
    <row r="589">
      <c r="A589" s="228"/>
      <c r="B589" s="228"/>
      <c r="C589" s="228"/>
      <c r="D589" s="228"/>
      <c r="E589" s="228"/>
      <c r="F589" s="228"/>
      <c r="G589" s="228"/>
      <c r="H589" s="228"/>
      <c r="I589" s="228"/>
      <c r="J589" s="228"/>
      <c r="K589" s="228"/>
      <c r="L589" s="228"/>
      <c r="M589" s="228"/>
      <c r="N589" s="228"/>
      <c r="O589" s="228"/>
      <c r="P589" s="228"/>
      <c r="Q589" s="228"/>
      <c r="R589" s="228"/>
      <c r="S589" s="228"/>
      <c r="T589" s="228"/>
      <c r="U589" s="228"/>
      <c r="V589" s="228"/>
      <c r="W589" s="228"/>
      <c r="X589" s="228"/>
      <c r="Y589" s="228"/>
      <c r="Z589" s="228"/>
      <c r="AA589" s="228"/>
      <c r="AB589" s="228"/>
      <c r="AC589" s="228"/>
      <c r="AD589" s="228"/>
      <c r="AE589" s="228"/>
      <c r="AF589" s="228"/>
      <c r="AG589" s="228"/>
      <c r="AH589" s="228"/>
      <c r="AI589" s="228"/>
      <c r="AJ589" s="228"/>
      <c r="AK589" s="228"/>
      <c r="AL589" s="228"/>
      <c r="AM589" s="228"/>
      <c r="AN589" s="228"/>
      <c r="AO589" s="228"/>
      <c r="AP589" s="228"/>
      <c r="AQ589" s="228"/>
    </row>
    <row r="590">
      <c r="A590" s="228"/>
      <c r="B590" s="228"/>
      <c r="C590" s="228"/>
      <c r="D590" s="228"/>
      <c r="E590" s="228"/>
      <c r="F590" s="228"/>
      <c r="G590" s="228"/>
      <c r="H590" s="228"/>
      <c r="I590" s="228"/>
      <c r="J590" s="228"/>
      <c r="K590" s="228"/>
      <c r="L590" s="228"/>
      <c r="M590" s="228"/>
      <c r="N590" s="228"/>
      <c r="O590" s="228"/>
      <c r="P590" s="228"/>
      <c r="Q590" s="228"/>
      <c r="R590" s="228"/>
      <c r="S590" s="228"/>
      <c r="T590" s="228"/>
      <c r="U590" s="228"/>
      <c r="V590" s="228"/>
      <c r="W590" s="228"/>
      <c r="X590" s="228"/>
      <c r="Y590" s="228"/>
      <c r="Z590" s="228"/>
      <c r="AA590" s="228"/>
      <c r="AB590" s="228"/>
      <c r="AC590" s="228"/>
      <c r="AD590" s="228"/>
      <c r="AE590" s="228"/>
      <c r="AF590" s="228"/>
      <c r="AG590" s="228"/>
      <c r="AH590" s="228"/>
      <c r="AI590" s="228"/>
      <c r="AJ590" s="228"/>
      <c r="AK590" s="228"/>
      <c r="AL590" s="228"/>
      <c r="AM590" s="228"/>
      <c r="AN590" s="228"/>
      <c r="AO590" s="228"/>
      <c r="AP590" s="228"/>
      <c r="AQ590" s="228"/>
    </row>
    <row r="591">
      <c r="A591" s="228"/>
      <c r="B591" s="228"/>
      <c r="C591" s="228"/>
      <c r="D591" s="228"/>
      <c r="E591" s="228"/>
      <c r="F591" s="228"/>
      <c r="G591" s="228"/>
      <c r="H591" s="228"/>
      <c r="I591" s="228"/>
      <c r="J591" s="228"/>
      <c r="K591" s="228"/>
      <c r="L591" s="228"/>
      <c r="M591" s="228"/>
      <c r="N591" s="228"/>
      <c r="O591" s="228"/>
      <c r="P591" s="228"/>
      <c r="Q591" s="228"/>
      <c r="R591" s="228"/>
      <c r="S591" s="228"/>
      <c r="T591" s="228"/>
      <c r="U591" s="228"/>
      <c r="V591" s="228"/>
      <c r="W591" s="228"/>
      <c r="X591" s="228"/>
      <c r="Y591" s="228"/>
      <c r="Z591" s="228"/>
      <c r="AA591" s="228"/>
      <c r="AB591" s="228"/>
      <c r="AC591" s="228"/>
      <c r="AD591" s="228"/>
      <c r="AE591" s="228"/>
      <c r="AF591" s="228"/>
      <c r="AG591" s="228"/>
      <c r="AH591" s="228"/>
      <c r="AI591" s="228"/>
      <c r="AJ591" s="228"/>
      <c r="AK591" s="228"/>
      <c r="AL591" s="228"/>
      <c r="AM591" s="228"/>
      <c r="AN591" s="228"/>
      <c r="AO591" s="228"/>
      <c r="AP591" s="228"/>
      <c r="AQ591" s="228"/>
    </row>
    <row r="592">
      <c r="A592" s="228"/>
      <c r="B592" s="228"/>
      <c r="C592" s="228"/>
      <c r="D592" s="228"/>
      <c r="E592" s="228"/>
      <c r="F592" s="228"/>
      <c r="G592" s="228"/>
      <c r="H592" s="228"/>
      <c r="I592" s="228"/>
      <c r="J592" s="228"/>
      <c r="K592" s="228"/>
      <c r="L592" s="228"/>
      <c r="M592" s="228"/>
      <c r="N592" s="228"/>
      <c r="O592" s="228"/>
      <c r="P592" s="228"/>
      <c r="Q592" s="228"/>
      <c r="R592" s="228"/>
      <c r="S592" s="228"/>
      <c r="T592" s="228"/>
      <c r="U592" s="228"/>
      <c r="V592" s="228"/>
      <c r="W592" s="228"/>
      <c r="X592" s="228"/>
      <c r="Y592" s="228"/>
      <c r="Z592" s="228"/>
      <c r="AA592" s="228"/>
      <c r="AB592" s="228"/>
      <c r="AC592" s="228"/>
      <c r="AD592" s="228"/>
      <c r="AE592" s="228"/>
      <c r="AF592" s="228"/>
      <c r="AG592" s="228"/>
      <c r="AH592" s="228"/>
      <c r="AI592" s="228"/>
      <c r="AJ592" s="228"/>
      <c r="AK592" s="228"/>
      <c r="AL592" s="228"/>
      <c r="AM592" s="228"/>
      <c r="AN592" s="228"/>
      <c r="AO592" s="228"/>
      <c r="AP592" s="228"/>
      <c r="AQ592" s="228"/>
    </row>
    <row r="593">
      <c r="A593" s="228"/>
      <c r="B593" s="228"/>
      <c r="C593" s="228"/>
      <c r="D593" s="228"/>
      <c r="E593" s="228"/>
      <c r="F593" s="228"/>
      <c r="G593" s="228"/>
      <c r="H593" s="228"/>
      <c r="I593" s="228"/>
      <c r="J593" s="228"/>
      <c r="K593" s="228"/>
      <c r="L593" s="228"/>
      <c r="M593" s="228"/>
      <c r="N593" s="228"/>
      <c r="O593" s="228"/>
      <c r="P593" s="228"/>
      <c r="Q593" s="228"/>
      <c r="R593" s="228"/>
      <c r="S593" s="228"/>
      <c r="T593" s="228"/>
      <c r="U593" s="228"/>
      <c r="V593" s="228"/>
      <c r="W593" s="228"/>
      <c r="X593" s="228"/>
      <c r="Y593" s="228"/>
      <c r="Z593" s="228"/>
      <c r="AA593" s="228"/>
      <c r="AB593" s="228"/>
      <c r="AC593" s="228"/>
      <c r="AD593" s="228"/>
      <c r="AE593" s="228"/>
      <c r="AF593" s="228"/>
      <c r="AG593" s="228"/>
      <c r="AH593" s="228"/>
      <c r="AI593" s="228"/>
      <c r="AJ593" s="228"/>
      <c r="AK593" s="228"/>
      <c r="AL593" s="228"/>
      <c r="AM593" s="228"/>
      <c r="AN593" s="228"/>
      <c r="AO593" s="228"/>
      <c r="AP593" s="228"/>
      <c r="AQ593" s="228"/>
    </row>
    <row r="594">
      <c r="A594" s="228"/>
      <c r="B594" s="228"/>
      <c r="C594" s="228"/>
      <c r="D594" s="228"/>
      <c r="E594" s="228"/>
      <c r="F594" s="228"/>
      <c r="G594" s="228"/>
      <c r="H594" s="228"/>
      <c r="I594" s="228"/>
      <c r="J594" s="228"/>
      <c r="K594" s="228"/>
      <c r="L594" s="228"/>
      <c r="M594" s="228"/>
      <c r="N594" s="228"/>
      <c r="O594" s="228"/>
      <c r="P594" s="228"/>
      <c r="Q594" s="228"/>
      <c r="R594" s="228"/>
      <c r="S594" s="228"/>
      <c r="T594" s="228"/>
      <c r="U594" s="228"/>
      <c r="V594" s="228"/>
      <c r="W594" s="228"/>
      <c r="X594" s="228"/>
      <c r="Y594" s="228"/>
      <c r="Z594" s="228"/>
      <c r="AA594" s="228"/>
      <c r="AB594" s="228"/>
      <c r="AC594" s="228"/>
      <c r="AD594" s="228"/>
      <c r="AE594" s="228"/>
      <c r="AF594" s="228"/>
      <c r="AG594" s="228"/>
      <c r="AH594" s="228"/>
      <c r="AI594" s="228"/>
      <c r="AJ594" s="228"/>
      <c r="AK594" s="228"/>
      <c r="AL594" s="228"/>
      <c r="AM594" s="228"/>
      <c r="AN594" s="228"/>
      <c r="AO594" s="228"/>
      <c r="AP594" s="228"/>
      <c r="AQ594" s="228"/>
    </row>
    <row r="595">
      <c r="A595" s="228"/>
      <c r="B595" s="228"/>
      <c r="C595" s="228"/>
      <c r="D595" s="228"/>
      <c r="E595" s="228"/>
      <c r="F595" s="228"/>
      <c r="G595" s="228"/>
      <c r="H595" s="228"/>
      <c r="I595" s="228"/>
      <c r="J595" s="228"/>
      <c r="K595" s="228"/>
      <c r="L595" s="228"/>
      <c r="M595" s="228"/>
      <c r="N595" s="228"/>
      <c r="O595" s="228"/>
      <c r="P595" s="228"/>
      <c r="Q595" s="228"/>
      <c r="R595" s="228"/>
      <c r="S595" s="228"/>
      <c r="T595" s="228"/>
      <c r="U595" s="228"/>
      <c r="V595" s="228"/>
      <c r="W595" s="228"/>
      <c r="X595" s="228"/>
      <c r="Y595" s="228"/>
      <c r="Z595" s="228"/>
      <c r="AA595" s="228"/>
      <c r="AB595" s="228"/>
      <c r="AC595" s="228"/>
      <c r="AD595" s="228"/>
      <c r="AE595" s="228"/>
      <c r="AF595" s="228"/>
      <c r="AG595" s="228"/>
      <c r="AH595" s="228"/>
      <c r="AI595" s="228"/>
      <c r="AJ595" s="228"/>
      <c r="AK595" s="228"/>
      <c r="AL595" s="228"/>
      <c r="AM595" s="228"/>
      <c r="AN595" s="228"/>
      <c r="AO595" s="228"/>
      <c r="AP595" s="228"/>
      <c r="AQ595" s="228"/>
    </row>
    <row r="596">
      <c r="A596" s="228"/>
      <c r="B596" s="228"/>
      <c r="C596" s="228"/>
      <c r="D596" s="228"/>
      <c r="E596" s="228"/>
      <c r="F596" s="228"/>
      <c r="G596" s="228"/>
      <c r="H596" s="228"/>
      <c r="I596" s="228"/>
      <c r="J596" s="228"/>
      <c r="K596" s="228"/>
      <c r="L596" s="228"/>
      <c r="M596" s="228"/>
      <c r="N596" s="228"/>
      <c r="O596" s="228"/>
      <c r="P596" s="228"/>
      <c r="Q596" s="228"/>
      <c r="R596" s="228"/>
      <c r="S596" s="228"/>
      <c r="T596" s="228"/>
      <c r="U596" s="228"/>
      <c r="V596" s="228"/>
      <c r="W596" s="228"/>
      <c r="X596" s="228"/>
      <c r="Y596" s="228"/>
      <c r="Z596" s="228"/>
      <c r="AA596" s="228"/>
      <c r="AB596" s="228"/>
      <c r="AC596" s="228"/>
      <c r="AD596" s="228"/>
      <c r="AE596" s="228"/>
      <c r="AF596" s="228"/>
      <c r="AG596" s="228"/>
      <c r="AH596" s="228"/>
      <c r="AI596" s="228"/>
      <c r="AJ596" s="228"/>
      <c r="AK596" s="228"/>
      <c r="AL596" s="228"/>
      <c r="AM596" s="228"/>
      <c r="AN596" s="228"/>
      <c r="AO596" s="228"/>
      <c r="AP596" s="228"/>
      <c r="AQ596" s="228"/>
    </row>
    <row r="597">
      <c r="A597" s="228"/>
      <c r="B597" s="228"/>
      <c r="C597" s="228"/>
      <c r="D597" s="228"/>
      <c r="E597" s="228"/>
      <c r="F597" s="228"/>
      <c r="G597" s="228"/>
      <c r="H597" s="228"/>
      <c r="I597" s="228"/>
      <c r="J597" s="228"/>
      <c r="K597" s="228"/>
      <c r="L597" s="228"/>
      <c r="M597" s="228"/>
      <c r="N597" s="228"/>
      <c r="O597" s="228"/>
      <c r="P597" s="228"/>
      <c r="Q597" s="228"/>
      <c r="R597" s="228"/>
      <c r="S597" s="228"/>
      <c r="T597" s="228"/>
      <c r="U597" s="228"/>
      <c r="V597" s="228"/>
      <c r="W597" s="228"/>
      <c r="X597" s="228"/>
      <c r="Y597" s="228"/>
      <c r="Z597" s="228"/>
      <c r="AA597" s="228"/>
      <c r="AB597" s="228"/>
      <c r="AC597" s="228"/>
      <c r="AD597" s="228"/>
      <c r="AE597" s="228"/>
      <c r="AF597" s="228"/>
      <c r="AG597" s="228"/>
      <c r="AH597" s="228"/>
      <c r="AI597" s="228"/>
      <c r="AJ597" s="228"/>
      <c r="AK597" s="228"/>
      <c r="AL597" s="228"/>
      <c r="AM597" s="228"/>
      <c r="AN597" s="228"/>
      <c r="AO597" s="228"/>
      <c r="AP597" s="228"/>
      <c r="AQ597" s="228"/>
    </row>
    <row r="598">
      <c r="A598" s="228"/>
      <c r="B598" s="228"/>
      <c r="C598" s="228"/>
      <c r="D598" s="228"/>
      <c r="E598" s="228"/>
      <c r="F598" s="228"/>
      <c r="G598" s="228"/>
      <c r="H598" s="228"/>
      <c r="I598" s="228"/>
      <c r="J598" s="228"/>
      <c r="K598" s="228"/>
      <c r="L598" s="228"/>
      <c r="M598" s="228"/>
      <c r="N598" s="228"/>
      <c r="O598" s="228"/>
      <c r="P598" s="228"/>
      <c r="Q598" s="228"/>
      <c r="R598" s="228"/>
      <c r="S598" s="228"/>
      <c r="T598" s="228"/>
      <c r="U598" s="228"/>
      <c r="V598" s="228"/>
      <c r="W598" s="228"/>
      <c r="X598" s="228"/>
      <c r="Y598" s="228"/>
      <c r="Z598" s="228"/>
      <c r="AA598" s="228"/>
      <c r="AB598" s="228"/>
      <c r="AC598" s="228"/>
      <c r="AD598" s="228"/>
      <c r="AE598" s="228"/>
      <c r="AF598" s="228"/>
      <c r="AG598" s="228"/>
      <c r="AH598" s="228"/>
      <c r="AI598" s="228"/>
      <c r="AJ598" s="228"/>
      <c r="AK598" s="228"/>
      <c r="AL598" s="228"/>
      <c r="AM598" s="228"/>
      <c r="AN598" s="228"/>
      <c r="AO598" s="228"/>
      <c r="AP598" s="228"/>
      <c r="AQ598" s="228"/>
    </row>
    <row r="599">
      <c r="A599" s="228"/>
      <c r="B599" s="228"/>
      <c r="C599" s="228"/>
      <c r="D599" s="228"/>
      <c r="E599" s="228"/>
      <c r="F599" s="228"/>
      <c r="G599" s="228"/>
      <c r="H599" s="228"/>
      <c r="I599" s="228"/>
      <c r="J599" s="228"/>
      <c r="K599" s="228"/>
      <c r="L599" s="228"/>
      <c r="M599" s="228"/>
      <c r="N599" s="228"/>
      <c r="O599" s="228"/>
      <c r="P599" s="228"/>
      <c r="Q599" s="228"/>
      <c r="R599" s="228"/>
      <c r="S599" s="228"/>
      <c r="T599" s="228"/>
      <c r="U599" s="228"/>
      <c r="V599" s="228"/>
      <c r="W599" s="228"/>
      <c r="X599" s="228"/>
      <c r="Y599" s="228"/>
      <c r="Z599" s="228"/>
      <c r="AA599" s="228"/>
      <c r="AB599" s="228"/>
      <c r="AC599" s="228"/>
      <c r="AD599" s="228"/>
      <c r="AE599" s="228"/>
      <c r="AF599" s="228"/>
      <c r="AG599" s="228"/>
      <c r="AH599" s="228"/>
      <c r="AI599" s="228"/>
      <c r="AJ599" s="228"/>
      <c r="AK599" s="228"/>
      <c r="AL599" s="228"/>
      <c r="AM599" s="228"/>
      <c r="AN599" s="228"/>
      <c r="AO599" s="228"/>
      <c r="AP599" s="228"/>
      <c r="AQ599" s="228"/>
    </row>
    <row r="600">
      <c r="A600" s="228"/>
      <c r="B600" s="228"/>
      <c r="C600" s="228"/>
      <c r="D600" s="228"/>
      <c r="E600" s="228"/>
      <c r="F600" s="228"/>
      <c r="G600" s="228"/>
      <c r="H600" s="228"/>
      <c r="I600" s="228"/>
      <c r="J600" s="228"/>
      <c r="K600" s="228"/>
      <c r="L600" s="228"/>
      <c r="M600" s="228"/>
      <c r="N600" s="228"/>
      <c r="O600" s="228"/>
      <c r="P600" s="228"/>
      <c r="Q600" s="228"/>
      <c r="R600" s="228"/>
      <c r="S600" s="228"/>
      <c r="T600" s="228"/>
      <c r="U600" s="228"/>
      <c r="V600" s="228"/>
      <c r="W600" s="228"/>
      <c r="X600" s="228"/>
      <c r="Y600" s="228"/>
      <c r="Z600" s="228"/>
      <c r="AA600" s="228"/>
      <c r="AB600" s="228"/>
      <c r="AC600" s="228"/>
      <c r="AD600" s="228"/>
      <c r="AE600" s="228"/>
      <c r="AF600" s="228"/>
      <c r="AG600" s="228"/>
      <c r="AH600" s="228"/>
      <c r="AI600" s="228"/>
      <c r="AJ600" s="228"/>
      <c r="AK600" s="228"/>
      <c r="AL600" s="228"/>
      <c r="AM600" s="228"/>
      <c r="AN600" s="228"/>
      <c r="AO600" s="228"/>
      <c r="AP600" s="228"/>
      <c r="AQ600" s="228"/>
    </row>
    <row r="601">
      <c r="A601" s="228"/>
      <c r="B601" s="228"/>
      <c r="C601" s="228"/>
      <c r="D601" s="228"/>
      <c r="E601" s="228"/>
      <c r="F601" s="228"/>
      <c r="G601" s="228"/>
      <c r="H601" s="228"/>
      <c r="I601" s="228"/>
      <c r="J601" s="228"/>
      <c r="K601" s="228"/>
      <c r="L601" s="228"/>
      <c r="M601" s="228"/>
      <c r="N601" s="228"/>
      <c r="O601" s="228"/>
      <c r="P601" s="228"/>
      <c r="Q601" s="228"/>
      <c r="R601" s="228"/>
      <c r="S601" s="228"/>
      <c r="T601" s="228"/>
      <c r="U601" s="228"/>
      <c r="V601" s="228"/>
      <c r="W601" s="228"/>
      <c r="X601" s="228"/>
      <c r="Y601" s="228"/>
      <c r="Z601" s="228"/>
      <c r="AA601" s="228"/>
      <c r="AB601" s="228"/>
      <c r="AC601" s="228"/>
      <c r="AD601" s="228"/>
      <c r="AE601" s="228"/>
      <c r="AF601" s="228"/>
      <c r="AG601" s="228"/>
      <c r="AH601" s="228"/>
      <c r="AI601" s="228"/>
      <c r="AJ601" s="228"/>
      <c r="AK601" s="228"/>
      <c r="AL601" s="228"/>
      <c r="AM601" s="228"/>
      <c r="AN601" s="228"/>
      <c r="AO601" s="228"/>
      <c r="AP601" s="228"/>
      <c r="AQ601" s="228"/>
    </row>
    <row r="602">
      <c r="A602" s="228"/>
      <c r="B602" s="228"/>
      <c r="C602" s="228"/>
      <c r="D602" s="228"/>
      <c r="E602" s="228"/>
      <c r="F602" s="228"/>
      <c r="G602" s="228"/>
      <c r="H602" s="228"/>
      <c r="I602" s="228"/>
      <c r="J602" s="228"/>
      <c r="K602" s="228"/>
      <c r="L602" s="228"/>
      <c r="M602" s="228"/>
      <c r="N602" s="228"/>
      <c r="O602" s="228"/>
      <c r="P602" s="228"/>
      <c r="Q602" s="228"/>
      <c r="R602" s="228"/>
      <c r="S602" s="228"/>
      <c r="T602" s="228"/>
      <c r="U602" s="228"/>
      <c r="V602" s="228"/>
      <c r="W602" s="228"/>
      <c r="X602" s="228"/>
      <c r="Y602" s="228"/>
      <c r="Z602" s="228"/>
      <c r="AA602" s="228"/>
      <c r="AB602" s="228"/>
      <c r="AC602" s="228"/>
      <c r="AD602" s="228"/>
      <c r="AE602" s="228"/>
      <c r="AF602" s="228"/>
      <c r="AG602" s="228"/>
      <c r="AH602" s="228"/>
      <c r="AI602" s="228"/>
      <c r="AJ602" s="228"/>
      <c r="AK602" s="228"/>
      <c r="AL602" s="228"/>
      <c r="AM602" s="228"/>
      <c r="AN602" s="228"/>
      <c r="AO602" s="228"/>
      <c r="AP602" s="228"/>
      <c r="AQ602" s="228"/>
    </row>
    <row r="603">
      <c r="A603" s="228"/>
      <c r="B603" s="228"/>
      <c r="C603" s="228"/>
      <c r="D603" s="228"/>
      <c r="E603" s="228"/>
      <c r="F603" s="228"/>
      <c r="G603" s="228"/>
      <c r="H603" s="228"/>
      <c r="I603" s="228"/>
      <c r="J603" s="228"/>
      <c r="K603" s="228"/>
      <c r="L603" s="228"/>
      <c r="M603" s="228"/>
      <c r="N603" s="228"/>
      <c r="O603" s="228"/>
      <c r="P603" s="228"/>
      <c r="Q603" s="228"/>
      <c r="R603" s="228"/>
      <c r="S603" s="228"/>
      <c r="T603" s="228"/>
      <c r="U603" s="228"/>
      <c r="V603" s="228"/>
      <c r="W603" s="228"/>
      <c r="X603" s="228"/>
      <c r="Y603" s="228"/>
      <c r="Z603" s="228"/>
      <c r="AA603" s="228"/>
      <c r="AB603" s="228"/>
      <c r="AC603" s="228"/>
      <c r="AD603" s="228"/>
      <c r="AE603" s="228"/>
      <c r="AF603" s="228"/>
      <c r="AG603" s="228"/>
      <c r="AH603" s="228"/>
      <c r="AI603" s="228"/>
      <c r="AJ603" s="228"/>
      <c r="AK603" s="228"/>
      <c r="AL603" s="228"/>
      <c r="AM603" s="228"/>
      <c r="AN603" s="228"/>
      <c r="AO603" s="228"/>
      <c r="AP603" s="228"/>
      <c r="AQ603" s="228"/>
    </row>
    <row r="604">
      <c r="A604" s="228"/>
      <c r="B604" s="228"/>
      <c r="C604" s="228"/>
      <c r="D604" s="228"/>
      <c r="E604" s="228"/>
      <c r="F604" s="228"/>
      <c r="G604" s="228"/>
      <c r="H604" s="228"/>
      <c r="I604" s="228"/>
      <c r="J604" s="228"/>
      <c r="K604" s="228"/>
      <c r="L604" s="228"/>
      <c r="M604" s="228"/>
      <c r="N604" s="228"/>
      <c r="O604" s="228"/>
      <c r="P604" s="228"/>
      <c r="Q604" s="228"/>
      <c r="R604" s="228"/>
      <c r="S604" s="228"/>
      <c r="T604" s="228"/>
      <c r="U604" s="228"/>
      <c r="V604" s="228"/>
      <c r="W604" s="228"/>
      <c r="X604" s="228"/>
      <c r="Y604" s="228"/>
      <c r="Z604" s="228"/>
      <c r="AA604" s="228"/>
      <c r="AB604" s="228"/>
      <c r="AC604" s="228"/>
      <c r="AD604" s="228"/>
      <c r="AE604" s="228"/>
      <c r="AF604" s="228"/>
      <c r="AG604" s="228"/>
      <c r="AH604" s="228"/>
      <c r="AI604" s="228"/>
      <c r="AJ604" s="228"/>
      <c r="AK604" s="228"/>
      <c r="AL604" s="228"/>
      <c r="AM604" s="228"/>
      <c r="AN604" s="228"/>
      <c r="AO604" s="228"/>
      <c r="AP604" s="228"/>
      <c r="AQ604" s="228"/>
    </row>
    <row r="605">
      <c r="A605" s="228"/>
      <c r="B605" s="228"/>
      <c r="C605" s="228"/>
      <c r="D605" s="228"/>
      <c r="E605" s="228"/>
      <c r="F605" s="228"/>
      <c r="G605" s="228"/>
      <c r="H605" s="228"/>
      <c r="I605" s="228"/>
      <c r="J605" s="228"/>
      <c r="K605" s="228"/>
      <c r="L605" s="228"/>
      <c r="M605" s="228"/>
      <c r="N605" s="228"/>
      <c r="O605" s="228"/>
      <c r="P605" s="228"/>
      <c r="Q605" s="228"/>
      <c r="R605" s="228"/>
      <c r="S605" s="228"/>
      <c r="T605" s="228"/>
      <c r="U605" s="228"/>
      <c r="V605" s="228"/>
      <c r="W605" s="228"/>
      <c r="X605" s="228"/>
      <c r="Y605" s="228"/>
      <c r="Z605" s="228"/>
      <c r="AA605" s="228"/>
      <c r="AB605" s="228"/>
      <c r="AC605" s="228"/>
      <c r="AD605" s="228"/>
      <c r="AE605" s="228"/>
      <c r="AF605" s="228"/>
      <c r="AG605" s="228"/>
      <c r="AH605" s="228"/>
      <c r="AI605" s="228"/>
      <c r="AJ605" s="228"/>
      <c r="AK605" s="228"/>
      <c r="AL605" s="228"/>
      <c r="AM605" s="228"/>
      <c r="AN605" s="228"/>
      <c r="AO605" s="228"/>
      <c r="AP605" s="228"/>
      <c r="AQ605" s="228"/>
    </row>
    <row r="606">
      <c r="A606" s="228"/>
      <c r="B606" s="228"/>
      <c r="C606" s="228"/>
      <c r="D606" s="228"/>
      <c r="E606" s="228"/>
      <c r="F606" s="228"/>
      <c r="G606" s="228"/>
      <c r="H606" s="228"/>
      <c r="I606" s="228"/>
      <c r="J606" s="228"/>
      <c r="K606" s="228"/>
      <c r="L606" s="228"/>
      <c r="M606" s="228"/>
      <c r="N606" s="228"/>
      <c r="O606" s="228"/>
      <c r="P606" s="228"/>
      <c r="Q606" s="228"/>
      <c r="R606" s="228"/>
      <c r="S606" s="228"/>
      <c r="T606" s="228"/>
      <c r="U606" s="228"/>
      <c r="V606" s="228"/>
      <c r="W606" s="228"/>
      <c r="X606" s="228"/>
      <c r="Y606" s="228"/>
      <c r="Z606" s="228"/>
      <c r="AA606" s="228"/>
      <c r="AB606" s="228"/>
      <c r="AC606" s="228"/>
      <c r="AD606" s="228"/>
      <c r="AE606" s="228"/>
      <c r="AF606" s="228"/>
      <c r="AG606" s="228"/>
      <c r="AH606" s="228"/>
      <c r="AI606" s="228"/>
      <c r="AJ606" s="228"/>
      <c r="AK606" s="228"/>
      <c r="AL606" s="228"/>
      <c r="AM606" s="228"/>
      <c r="AN606" s="228"/>
      <c r="AO606" s="228"/>
      <c r="AP606" s="228"/>
      <c r="AQ606" s="228"/>
    </row>
    <row r="607">
      <c r="A607" s="228"/>
      <c r="B607" s="228"/>
      <c r="C607" s="228"/>
      <c r="D607" s="228"/>
      <c r="E607" s="228"/>
      <c r="F607" s="228"/>
      <c r="G607" s="228"/>
      <c r="H607" s="228"/>
      <c r="I607" s="228"/>
      <c r="J607" s="228"/>
      <c r="K607" s="228"/>
      <c r="L607" s="228"/>
      <c r="M607" s="228"/>
      <c r="N607" s="228"/>
      <c r="O607" s="228"/>
      <c r="P607" s="228"/>
      <c r="Q607" s="228"/>
      <c r="R607" s="228"/>
      <c r="S607" s="228"/>
      <c r="T607" s="228"/>
      <c r="U607" s="228"/>
      <c r="V607" s="228"/>
      <c r="W607" s="228"/>
      <c r="X607" s="228"/>
      <c r="Y607" s="228"/>
      <c r="Z607" s="228"/>
      <c r="AA607" s="228"/>
      <c r="AB607" s="228"/>
      <c r="AC607" s="228"/>
      <c r="AD607" s="228"/>
      <c r="AE607" s="228"/>
      <c r="AF607" s="228"/>
      <c r="AG607" s="228"/>
      <c r="AH607" s="228"/>
      <c r="AI607" s="228"/>
      <c r="AJ607" s="228"/>
      <c r="AK607" s="228"/>
      <c r="AL607" s="228"/>
      <c r="AM607" s="228"/>
      <c r="AN607" s="228"/>
      <c r="AO607" s="228"/>
      <c r="AP607" s="228"/>
      <c r="AQ607" s="228"/>
    </row>
    <row r="608">
      <c r="A608" s="228"/>
      <c r="B608" s="228"/>
      <c r="C608" s="228"/>
      <c r="D608" s="228"/>
      <c r="E608" s="228"/>
      <c r="F608" s="228"/>
      <c r="G608" s="228"/>
      <c r="H608" s="228"/>
      <c r="I608" s="228"/>
      <c r="J608" s="228"/>
      <c r="K608" s="228"/>
      <c r="L608" s="228"/>
      <c r="M608" s="228"/>
      <c r="N608" s="228"/>
      <c r="O608" s="228"/>
      <c r="P608" s="228"/>
      <c r="Q608" s="228"/>
      <c r="R608" s="228"/>
      <c r="S608" s="228"/>
      <c r="T608" s="228"/>
      <c r="U608" s="228"/>
      <c r="V608" s="228"/>
      <c r="W608" s="228"/>
      <c r="X608" s="228"/>
      <c r="Y608" s="228"/>
      <c r="Z608" s="228"/>
      <c r="AA608" s="228"/>
      <c r="AB608" s="228"/>
      <c r="AC608" s="228"/>
      <c r="AD608" s="228"/>
      <c r="AE608" s="228"/>
      <c r="AF608" s="228"/>
      <c r="AG608" s="228"/>
      <c r="AH608" s="228"/>
      <c r="AI608" s="228"/>
      <c r="AJ608" s="228"/>
      <c r="AK608" s="228"/>
      <c r="AL608" s="228"/>
      <c r="AM608" s="228"/>
      <c r="AN608" s="228"/>
      <c r="AO608" s="228"/>
      <c r="AP608" s="228"/>
      <c r="AQ608" s="228"/>
    </row>
    <row r="609">
      <c r="A609" s="228"/>
      <c r="B609" s="228"/>
      <c r="C609" s="228"/>
      <c r="D609" s="228"/>
      <c r="E609" s="228"/>
      <c r="F609" s="228"/>
      <c r="G609" s="228"/>
      <c r="H609" s="228"/>
      <c r="I609" s="228"/>
      <c r="J609" s="228"/>
      <c r="K609" s="228"/>
      <c r="L609" s="228"/>
      <c r="M609" s="228"/>
      <c r="N609" s="228"/>
      <c r="O609" s="228"/>
      <c r="P609" s="228"/>
      <c r="Q609" s="228"/>
      <c r="R609" s="228"/>
      <c r="S609" s="228"/>
      <c r="T609" s="228"/>
      <c r="U609" s="228"/>
      <c r="V609" s="228"/>
      <c r="W609" s="228"/>
      <c r="X609" s="228"/>
      <c r="Y609" s="228"/>
      <c r="Z609" s="228"/>
      <c r="AA609" s="228"/>
      <c r="AB609" s="228"/>
      <c r="AC609" s="228"/>
      <c r="AD609" s="228"/>
      <c r="AE609" s="228"/>
      <c r="AF609" s="228"/>
      <c r="AG609" s="228"/>
      <c r="AH609" s="228"/>
      <c r="AI609" s="228"/>
      <c r="AJ609" s="228"/>
      <c r="AK609" s="228"/>
      <c r="AL609" s="228"/>
      <c r="AM609" s="228"/>
      <c r="AN609" s="228"/>
      <c r="AO609" s="228"/>
      <c r="AP609" s="228"/>
      <c r="AQ609" s="228"/>
    </row>
    <row r="610">
      <c r="A610" s="228"/>
      <c r="B610" s="228"/>
      <c r="C610" s="228"/>
      <c r="D610" s="228"/>
      <c r="E610" s="228"/>
      <c r="F610" s="228"/>
      <c r="G610" s="228"/>
      <c r="H610" s="228"/>
      <c r="I610" s="228"/>
      <c r="J610" s="228"/>
      <c r="K610" s="228"/>
      <c r="L610" s="228"/>
      <c r="M610" s="228"/>
      <c r="N610" s="228"/>
      <c r="O610" s="228"/>
      <c r="P610" s="228"/>
      <c r="Q610" s="228"/>
      <c r="R610" s="228"/>
      <c r="S610" s="228"/>
      <c r="T610" s="228"/>
      <c r="U610" s="228"/>
      <c r="V610" s="228"/>
      <c r="W610" s="228"/>
      <c r="X610" s="228"/>
      <c r="Y610" s="228"/>
      <c r="Z610" s="228"/>
      <c r="AA610" s="228"/>
      <c r="AB610" s="228"/>
      <c r="AC610" s="228"/>
      <c r="AD610" s="228"/>
      <c r="AE610" s="228"/>
      <c r="AF610" s="228"/>
      <c r="AG610" s="228"/>
      <c r="AH610" s="228"/>
      <c r="AI610" s="228"/>
      <c r="AJ610" s="228"/>
      <c r="AK610" s="228"/>
      <c r="AL610" s="228"/>
      <c r="AM610" s="228"/>
      <c r="AN610" s="228"/>
      <c r="AO610" s="228"/>
      <c r="AP610" s="228"/>
      <c r="AQ610" s="228"/>
    </row>
    <row r="611">
      <c r="A611" s="228"/>
      <c r="B611" s="228"/>
      <c r="C611" s="228"/>
      <c r="D611" s="228"/>
      <c r="E611" s="228"/>
      <c r="F611" s="228"/>
      <c r="G611" s="228"/>
      <c r="H611" s="228"/>
      <c r="I611" s="228"/>
      <c r="J611" s="228"/>
      <c r="K611" s="228"/>
      <c r="L611" s="228"/>
      <c r="M611" s="228"/>
      <c r="N611" s="228"/>
      <c r="O611" s="228"/>
      <c r="P611" s="228"/>
      <c r="Q611" s="228"/>
      <c r="R611" s="228"/>
      <c r="S611" s="228"/>
      <c r="T611" s="228"/>
      <c r="U611" s="228"/>
      <c r="V611" s="228"/>
      <c r="W611" s="228"/>
      <c r="X611" s="228"/>
      <c r="Y611" s="228"/>
      <c r="Z611" s="228"/>
      <c r="AA611" s="228"/>
      <c r="AB611" s="228"/>
      <c r="AC611" s="228"/>
      <c r="AD611" s="228"/>
      <c r="AE611" s="228"/>
      <c r="AF611" s="228"/>
      <c r="AG611" s="228"/>
      <c r="AH611" s="228"/>
      <c r="AI611" s="228"/>
      <c r="AJ611" s="228"/>
      <c r="AK611" s="228"/>
      <c r="AL611" s="228"/>
      <c r="AM611" s="228"/>
      <c r="AN611" s="228"/>
      <c r="AO611" s="228"/>
      <c r="AP611" s="228"/>
      <c r="AQ611" s="228"/>
    </row>
    <row r="612">
      <c r="A612" s="228"/>
      <c r="B612" s="228"/>
      <c r="C612" s="228"/>
      <c r="D612" s="228"/>
      <c r="E612" s="228"/>
      <c r="F612" s="228"/>
      <c r="G612" s="228"/>
      <c r="H612" s="228"/>
      <c r="I612" s="228"/>
      <c r="J612" s="228"/>
      <c r="K612" s="228"/>
      <c r="L612" s="228"/>
      <c r="M612" s="228"/>
      <c r="N612" s="228"/>
      <c r="O612" s="228"/>
      <c r="P612" s="228"/>
      <c r="Q612" s="228"/>
      <c r="R612" s="228"/>
      <c r="S612" s="228"/>
      <c r="T612" s="228"/>
      <c r="U612" s="228"/>
      <c r="V612" s="228"/>
      <c r="W612" s="228"/>
      <c r="X612" s="228"/>
      <c r="Y612" s="228"/>
      <c r="Z612" s="228"/>
      <c r="AA612" s="228"/>
      <c r="AB612" s="228"/>
      <c r="AC612" s="228"/>
      <c r="AD612" s="228"/>
      <c r="AE612" s="228"/>
      <c r="AF612" s="228"/>
      <c r="AG612" s="228"/>
      <c r="AH612" s="228"/>
      <c r="AI612" s="228"/>
      <c r="AJ612" s="228"/>
      <c r="AK612" s="228"/>
      <c r="AL612" s="228"/>
      <c r="AM612" s="228"/>
      <c r="AN612" s="228"/>
      <c r="AO612" s="228"/>
      <c r="AP612" s="228"/>
      <c r="AQ612" s="228"/>
    </row>
    <row r="613">
      <c r="A613" s="228"/>
      <c r="B613" s="228"/>
      <c r="C613" s="228"/>
      <c r="D613" s="228"/>
      <c r="E613" s="228"/>
      <c r="F613" s="228"/>
      <c r="G613" s="228"/>
      <c r="H613" s="228"/>
      <c r="I613" s="228"/>
      <c r="J613" s="228"/>
      <c r="K613" s="228"/>
      <c r="L613" s="228"/>
      <c r="M613" s="228"/>
      <c r="N613" s="228"/>
      <c r="O613" s="228"/>
      <c r="P613" s="228"/>
      <c r="Q613" s="228"/>
      <c r="R613" s="228"/>
      <c r="S613" s="228"/>
      <c r="T613" s="228"/>
      <c r="U613" s="228"/>
      <c r="V613" s="228"/>
      <c r="W613" s="228"/>
      <c r="X613" s="228"/>
      <c r="Y613" s="228"/>
      <c r="Z613" s="228"/>
      <c r="AA613" s="228"/>
      <c r="AB613" s="228"/>
      <c r="AC613" s="228"/>
      <c r="AD613" s="228"/>
      <c r="AE613" s="228"/>
      <c r="AF613" s="228"/>
      <c r="AG613" s="228"/>
      <c r="AH613" s="228"/>
      <c r="AI613" s="228"/>
      <c r="AJ613" s="228"/>
      <c r="AK613" s="228"/>
      <c r="AL613" s="228"/>
      <c r="AM613" s="228"/>
      <c r="AN613" s="228"/>
      <c r="AO613" s="228"/>
      <c r="AP613" s="228"/>
      <c r="AQ613" s="228"/>
    </row>
    <row r="614">
      <c r="A614" s="228"/>
      <c r="B614" s="228"/>
      <c r="C614" s="228"/>
      <c r="D614" s="228"/>
      <c r="E614" s="228"/>
      <c r="F614" s="228"/>
      <c r="G614" s="228"/>
      <c r="H614" s="228"/>
      <c r="I614" s="228"/>
      <c r="J614" s="228"/>
      <c r="K614" s="228"/>
      <c r="L614" s="228"/>
      <c r="M614" s="228"/>
      <c r="N614" s="228"/>
      <c r="O614" s="228"/>
      <c r="P614" s="228"/>
      <c r="Q614" s="228"/>
      <c r="R614" s="228"/>
      <c r="S614" s="228"/>
      <c r="T614" s="228"/>
      <c r="U614" s="228"/>
      <c r="V614" s="228"/>
      <c r="W614" s="228"/>
      <c r="X614" s="228"/>
      <c r="Y614" s="228"/>
      <c r="Z614" s="228"/>
      <c r="AA614" s="228"/>
      <c r="AB614" s="228"/>
      <c r="AC614" s="228"/>
      <c r="AD614" s="228"/>
      <c r="AE614" s="228"/>
      <c r="AF614" s="228"/>
      <c r="AG614" s="228"/>
      <c r="AH614" s="228"/>
      <c r="AI614" s="228"/>
      <c r="AJ614" s="228"/>
      <c r="AK614" s="228"/>
      <c r="AL614" s="228"/>
      <c r="AM614" s="228"/>
      <c r="AN614" s="228"/>
      <c r="AO614" s="228"/>
      <c r="AP614" s="228"/>
      <c r="AQ614" s="228"/>
    </row>
    <row r="615">
      <c r="A615" s="228"/>
      <c r="B615" s="228"/>
      <c r="C615" s="228"/>
      <c r="D615" s="228"/>
      <c r="E615" s="228"/>
      <c r="F615" s="228"/>
      <c r="G615" s="228"/>
      <c r="H615" s="228"/>
      <c r="I615" s="228"/>
      <c r="J615" s="228"/>
      <c r="K615" s="228"/>
      <c r="L615" s="228"/>
      <c r="M615" s="228"/>
      <c r="N615" s="228"/>
      <c r="O615" s="228"/>
      <c r="P615" s="228"/>
      <c r="Q615" s="228"/>
      <c r="R615" s="228"/>
      <c r="S615" s="228"/>
      <c r="T615" s="228"/>
      <c r="U615" s="228"/>
      <c r="V615" s="228"/>
      <c r="W615" s="228"/>
      <c r="X615" s="228"/>
      <c r="Y615" s="228"/>
      <c r="Z615" s="228"/>
      <c r="AA615" s="228"/>
      <c r="AB615" s="228"/>
      <c r="AC615" s="228"/>
      <c r="AD615" s="228"/>
      <c r="AE615" s="228"/>
      <c r="AF615" s="228"/>
      <c r="AG615" s="228"/>
      <c r="AH615" s="228"/>
      <c r="AI615" s="228"/>
      <c r="AJ615" s="228"/>
      <c r="AK615" s="228"/>
      <c r="AL615" s="228"/>
      <c r="AM615" s="228"/>
      <c r="AN615" s="228"/>
      <c r="AO615" s="228"/>
      <c r="AP615" s="228"/>
      <c r="AQ615" s="228"/>
    </row>
    <row r="616">
      <c r="A616" s="228"/>
      <c r="B616" s="228"/>
      <c r="C616" s="228"/>
      <c r="D616" s="228"/>
      <c r="E616" s="228"/>
      <c r="F616" s="228"/>
      <c r="G616" s="228"/>
      <c r="H616" s="228"/>
      <c r="I616" s="228"/>
      <c r="J616" s="228"/>
      <c r="K616" s="228"/>
      <c r="L616" s="228"/>
      <c r="M616" s="228"/>
      <c r="N616" s="228"/>
      <c r="O616" s="228"/>
      <c r="P616" s="228"/>
      <c r="Q616" s="228"/>
      <c r="R616" s="228"/>
      <c r="S616" s="228"/>
      <c r="T616" s="228"/>
      <c r="U616" s="228"/>
      <c r="V616" s="228"/>
      <c r="W616" s="228"/>
      <c r="X616" s="228"/>
      <c r="Y616" s="228"/>
      <c r="Z616" s="228"/>
      <c r="AA616" s="228"/>
      <c r="AB616" s="228"/>
      <c r="AC616" s="228"/>
      <c r="AD616" s="228"/>
      <c r="AE616" s="228"/>
      <c r="AF616" s="228"/>
      <c r="AG616" s="228"/>
      <c r="AH616" s="228"/>
      <c r="AI616" s="228"/>
      <c r="AJ616" s="228"/>
      <c r="AK616" s="228"/>
      <c r="AL616" s="228"/>
      <c r="AM616" s="228"/>
      <c r="AN616" s="228"/>
      <c r="AO616" s="228"/>
      <c r="AP616" s="228"/>
      <c r="AQ616" s="228"/>
    </row>
    <row r="617">
      <c r="A617" s="228"/>
      <c r="B617" s="228"/>
      <c r="C617" s="228"/>
      <c r="D617" s="228"/>
      <c r="E617" s="228"/>
      <c r="F617" s="228"/>
      <c r="G617" s="228"/>
      <c r="H617" s="228"/>
      <c r="I617" s="228"/>
      <c r="J617" s="228"/>
      <c r="K617" s="228"/>
      <c r="L617" s="228"/>
      <c r="M617" s="228"/>
      <c r="N617" s="228"/>
      <c r="O617" s="228"/>
      <c r="P617" s="228"/>
      <c r="Q617" s="228"/>
      <c r="R617" s="228"/>
      <c r="S617" s="228"/>
      <c r="T617" s="228"/>
      <c r="U617" s="228"/>
      <c r="V617" s="228"/>
      <c r="W617" s="228"/>
      <c r="X617" s="228"/>
      <c r="Y617" s="228"/>
      <c r="Z617" s="228"/>
      <c r="AA617" s="228"/>
      <c r="AB617" s="228"/>
      <c r="AC617" s="228"/>
      <c r="AD617" s="228"/>
      <c r="AE617" s="228"/>
      <c r="AF617" s="228"/>
      <c r="AG617" s="228"/>
      <c r="AH617" s="228"/>
      <c r="AI617" s="228"/>
      <c r="AJ617" s="228"/>
      <c r="AK617" s="228"/>
      <c r="AL617" s="228"/>
      <c r="AM617" s="228"/>
      <c r="AN617" s="228"/>
      <c r="AO617" s="228"/>
      <c r="AP617" s="228"/>
      <c r="AQ617" s="228"/>
    </row>
    <row r="618">
      <c r="A618" s="228"/>
      <c r="B618" s="228"/>
      <c r="C618" s="228"/>
      <c r="D618" s="228"/>
      <c r="E618" s="228"/>
      <c r="F618" s="228"/>
      <c r="G618" s="228"/>
      <c r="H618" s="228"/>
      <c r="I618" s="228"/>
      <c r="J618" s="228"/>
      <c r="K618" s="228"/>
      <c r="L618" s="228"/>
      <c r="M618" s="228"/>
      <c r="N618" s="228"/>
      <c r="O618" s="228"/>
      <c r="P618" s="228"/>
      <c r="Q618" s="228"/>
      <c r="R618" s="228"/>
      <c r="S618" s="228"/>
      <c r="T618" s="228"/>
      <c r="U618" s="228"/>
      <c r="V618" s="228"/>
      <c r="W618" s="228"/>
      <c r="X618" s="228"/>
      <c r="Y618" s="228"/>
      <c r="Z618" s="228"/>
      <c r="AA618" s="228"/>
      <c r="AB618" s="228"/>
      <c r="AC618" s="228"/>
      <c r="AD618" s="228"/>
      <c r="AE618" s="228"/>
      <c r="AF618" s="228"/>
      <c r="AG618" s="228"/>
      <c r="AH618" s="228"/>
      <c r="AI618" s="228"/>
      <c r="AJ618" s="228"/>
      <c r="AK618" s="228"/>
      <c r="AL618" s="228"/>
      <c r="AM618" s="228"/>
      <c r="AN618" s="228"/>
      <c r="AO618" s="228"/>
      <c r="AP618" s="228"/>
      <c r="AQ618" s="228"/>
    </row>
    <row r="619">
      <c r="A619" s="228"/>
      <c r="B619" s="228"/>
      <c r="C619" s="228"/>
      <c r="D619" s="228"/>
      <c r="E619" s="228"/>
      <c r="F619" s="228"/>
      <c r="G619" s="228"/>
      <c r="H619" s="228"/>
      <c r="I619" s="228"/>
      <c r="J619" s="228"/>
      <c r="K619" s="228"/>
      <c r="L619" s="228"/>
      <c r="M619" s="228"/>
      <c r="N619" s="228"/>
      <c r="O619" s="228"/>
      <c r="P619" s="228"/>
      <c r="Q619" s="228"/>
      <c r="R619" s="228"/>
      <c r="S619" s="228"/>
      <c r="T619" s="228"/>
      <c r="U619" s="228"/>
      <c r="V619" s="228"/>
      <c r="W619" s="228"/>
      <c r="X619" s="228"/>
      <c r="Y619" s="228"/>
      <c r="Z619" s="228"/>
      <c r="AA619" s="228"/>
      <c r="AB619" s="228"/>
      <c r="AC619" s="228"/>
      <c r="AD619" s="228"/>
      <c r="AE619" s="228"/>
      <c r="AF619" s="228"/>
      <c r="AG619" s="228"/>
      <c r="AH619" s="228"/>
      <c r="AI619" s="228"/>
      <c r="AJ619" s="228"/>
      <c r="AK619" s="228"/>
      <c r="AL619" s="228"/>
      <c r="AM619" s="228"/>
      <c r="AN619" s="228"/>
      <c r="AO619" s="228"/>
      <c r="AP619" s="228"/>
      <c r="AQ619" s="228"/>
    </row>
    <row r="620">
      <c r="A620" s="228"/>
      <c r="B620" s="228"/>
      <c r="C620" s="228"/>
      <c r="D620" s="228"/>
      <c r="E620" s="228"/>
      <c r="F620" s="228"/>
      <c r="G620" s="228"/>
      <c r="H620" s="228"/>
      <c r="I620" s="228"/>
      <c r="J620" s="228"/>
      <c r="K620" s="228"/>
      <c r="L620" s="228"/>
      <c r="M620" s="228"/>
      <c r="N620" s="228"/>
      <c r="O620" s="228"/>
      <c r="P620" s="228"/>
      <c r="Q620" s="228"/>
      <c r="R620" s="228"/>
      <c r="S620" s="228"/>
      <c r="T620" s="228"/>
      <c r="U620" s="228"/>
      <c r="V620" s="228"/>
      <c r="W620" s="228"/>
      <c r="X620" s="228"/>
      <c r="Y620" s="228"/>
      <c r="Z620" s="228"/>
      <c r="AA620" s="228"/>
      <c r="AB620" s="228"/>
      <c r="AC620" s="228"/>
      <c r="AD620" s="228"/>
      <c r="AE620" s="228"/>
      <c r="AF620" s="228"/>
      <c r="AG620" s="228"/>
      <c r="AH620" s="228"/>
      <c r="AI620" s="228"/>
      <c r="AJ620" s="228"/>
      <c r="AK620" s="228"/>
      <c r="AL620" s="228"/>
      <c r="AM620" s="228"/>
      <c r="AN620" s="228"/>
      <c r="AO620" s="228"/>
      <c r="AP620" s="228"/>
      <c r="AQ620" s="228"/>
    </row>
    <row r="621">
      <c r="A621" s="228"/>
      <c r="B621" s="228"/>
      <c r="C621" s="228"/>
      <c r="D621" s="228"/>
      <c r="E621" s="228"/>
      <c r="F621" s="228"/>
      <c r="G621" s="228"/>
      <c r="H621" s="228"/>
      <c r="I621" s="228"/>
      <c r="J621" s="228"/>
      <c r="K621" s="228"/>
      <c r="L621" s="228"/>
      <c r="M621" s="228"/>
      <c r="N621" s="228"/>
      <c r="O621" s="228"/>
      <c r="P621" s="228"/>
      <c r="Q621" s="228"/>
      <c r="R621" s="228"/>
      <c r="S621" s="228"/>
      <c r="T621" s="228"/>
      <c r="U621" s="228"/>
      <c r="V621" s="228"/>
      <c r="W621" s="228"/>
      <c r="X621" s="228"/>
      <c r="Y621" s="228"/>
      <c r="Z621" s="228"/>
      <c r="AA621" s="228"/>
      <c r="AB621" s="228"/>
      <c r="AC621" s="228"/>
      <c r="AD621" s="228"/>
      <c r="AE621" s="228"/>
      <c r="AF621" s="228"/>
      <c r="AG621" s="228"/>
      <c r="AH621" s="228"/>
      <c r="AI621" s="228"/>
      <c r="AJ621" s="228"/>
      <c r="AK621" s="228"/>
      <c r="AL621" s="228"/>
      <c r="AM621" s="228"/>
      <c r="AN621" s="228"/>
      <c r="AO621" s="228"/>
      <c r="AP621" s="228"/>
      <c r="AQ621" s="228"/>
    </row>
    <row r="622">
      <c r="A622" s="228"/>
      <c r="B622" s="228"/>
      <c r="C622" s="228"/>
      <c r="D622" s="228"/>
      <c r="E622" s="228"/>
      <c r="F622" s="228"/>
      <c r="G622" s="228"/>
      <c r="H622" s="228"/>
      <c r="I622" s="228"/>
      <c r="J622" s="228"/>
      <c r="K622" s="228"/>
      <c r="L622" s="228"/>
      <c r="M622" s="228"/>
      <c r="N622" s="228"/>
      <c r="O622" s="228"/>
      <c r="P622" s="228"/>
      <c r="Q622" s="228"/>
      <c r="R622" s="228"/>
      <c r="S622" s="228"/>
      <c r="T622" s="228"/>
      <c r="U622" s="228"/>
      <c r="V622" s="228"/>
      <c r="W622" s="228"/>
      <c r="X622" s="228"/>
      <c r="Y622" s="228"/>
      <c r="Z622" s="228"/>
      <c r="AA622" s="228"/>
      <c r="AB622" s="228"/>
      <c r="AC622" s="228"/>
      <c r="AD622" s="228"/>
      <c r="AE622" s="228"/>
      <c r="AF622" s="228"/>
      <c r="AG622" s="228"/>
      <c r="AH622" s="228"/>
      <c r="AI622" s="228"/>
      <c r="AJ622" s="228"/>
      <c r="AK622" s="228"/>
      <c r="AL622" s="228"/>
      <c r="AM622" s="228"/>
      <c r="AN622" s="228"/>
      <c r="AO622" s="228"/>
      <c r="AP622" s="228"/>
      <c r="AQ622" s="228"/>
    </row>
    <row r="623">
      <c r="A623" s="228"/>
      <c r="B623" s="228"/>
      <c r="C623" s="228"/>
      <c r="D623" s="228"/>
      <c r="E623" s="228"/>
      <c r="F623" s="228"/>
      <c r="G623" s="228"/>
      <c r="H623" s="228"/>
      <c r="I623" s="228"/>
      <c r="J623" s="228"/>
      <c r="K623" s="228"/>
      <c r="L623" s="228"/>
      <c r="M623" s="228"/>
      <c r="N623" s="228"/>
      <c r="O623" s="228"/>
      <c r="P623" s="228"/>
      <c r="Q623" s="228"/>
      <c r="R623" s="228"/>
      <c r="S623" s="228"/>
      <c r="T623" s="228"/>
      <c r="U623" s="228"/>
      <c r="V623" s="228"/>
      <c r="W623" s="228"/>
      <c r="X623" s="228"/>
      <c r="Y623" s="228"/>
      <c r="Z623" s="228"/>
      <c r="AA623" s="228"/>
      <c r="AB623" s="228"/>
      <c r="AC623" s="228"/>
      <c r="AD623" s="228"/>
      <c r="AE623" s="228"/>
      <c r="AF623" s="228"/>
      <c r="AG623" s="228"/>
      <c r="AH623" s="228"/>
      <c r="AI623" s="228"/>
      <c r="AJ623" s="228"/>
      <c r="AK623" s="228"/>
      <c r="AL623" s="228"/>
      <c r="AM623" s="228"/>
      <c r="AN623" s="228"/>
      <c r="AO623" s="228"/>
      <c r="AP623" s="228"/>
      <c r="AQ623" s="228"/>
    </row>
    <row r="624">
      <c r="A624" s="228"/>
      <c r="B624" s="228"/>
      <c r="C624" s="228"/>
      <c r="D624" s="228"/>
      <c r="E624" s="228"/>
      <c r="F624" s="228"/>
      <c r="G624" s="228"/>
      <c r="H624" s="228"/>
      <c r="I624" s="228"/>
      <c r="J624" s="228"/>
      <c r="K624" s="228"/>
      <c r="L624" s="228"/>
      <c r="M624" s="228"/>
      <c r="N624" s="228"/>
      <c r="O624" s="228"/>
      <c r="P624" s="228"/>
      <c r="Q624" s="228"/>
      <c r="R624" s="228"/>
      <c r="S624" s="228"/>
      <c r="T624" s="228"/>
      <c r="U624" s="228"/>
      <c r="V624" s="228"/>
      <c r="W624" s="228"/>
      <c r="X624" s="228"/>
      <c r="Y624" s="228"/>
      <c r="Z624" s="228"/>
      <c r="AA624" s="228"/>
      <c r="AB624" s="228"/>
      <c r="AC624" s="228"/>
      <c r="AD624" s="228"/>
      <c r="AE624" s="228"/>
      <c r="AF624" s="228"/>
      <c r="AG624" s="228"/>
      <c r="AH624" s="228"/>
      <c r="AI624" s="228"/>
      <c r="AJ624" s="228"/>
      <c r="AK624" s="228"/>
      <c r="AL624" s="228"/>
      <c r="AM624" s="228"/>
      <c r="AN624" s="228"/>
      <c r="AO624" s="228"/>
      <c r="AP624" s="228"/>
      <c r="AQ624" s="228"/>
    </row>
    <row r="625">
      <c r="A625" s="228"/>
      <c r="B625" s="228"/>
      <c r="C625" s="228"/>
      <c r="D625" s="228"/>
      <c r="E625" s="228"/>
      <c r="F625" s="228"/>
      <c r="G625" s="228"/>
      <c r="H625" s="228"/>
      <c r="I625" s="228"/>
      <c r="J625" s="228"/>
      <c r="K625" s="228"/>
      <c r="L625" s="228"/>
      <c r="M625" s="228"/>
      <c r="N625" s="228"/>
      <c r="O625" s="228"/>
      <c r="P625" s="228"/>
      <c r="Q625" s="228"/>
      <c r="R625" s="228"/>
      <c r="S625" s="228"/>
      <c r="T625" s="228"/>
      <c r="U625" s="228"/>
      <c r="V625" s="228"/>
      <c r="W625" s="228"/>
      <c r="X625" s="228"/>
      <c r="Y625" s="228"/>
      <c r="Z625" s="228"/>
      <c r="AA625" s="228"/>
      <c r="AB625" s="228"/>
      <c r="AC625" s="228"/>
      <c r="AD625" s="228"/>
      <c r="AE625" s="228"/>
      <c r="AF625" s="228"/>
      <c r="AG625" s="228"/>
      <c r="AH625" s="228"/>
      <c r="AI625" s="228"/>
      <c r="AJ625" s="228"/>
      <c r="AK625" s="228"/>
      <c r="AL625" s="228"/>
      <c r="AM625" s="228"/>
      <c r="AN625" s="228"/>
      <c r="AO625" s="228"/>
      <c r="AP625" s="228"/>
      <c r="AQ625" s="228"/>
    </row>
    <row r="626">
      <c r="A626" s="228"/>
      <c r="B626" s="228"/>
      <c r="C626" s="228"/>
      <c r="D626" s="228"/>
      <c r="E626" s="228"/>
      <c r="F626" s="228"/>
      <c r="G626" s="228"/>
      <c r="H626" s="228"/>
      <c r="I626" s="228"/>
      <c r="J626" s="228"/>
      <c r="K626" s="228"/>
      <c r="L626" s="228"/>
      <c r="M626" s="228"/>
      <c r="N626" s="228"/>
      <c r="O626" s="228"/>
      <c r="P626" s="228"/>
      <c r="Q626" s="228"/>
      <c r="R626" s="228"/>
      <c r="S626" s="228"/>
      <c r="T626" s="228"/>
      <c r="U626" s="228"/>
      <c r="V626" s="228"/>
      <c r="W626" s="228"/>
      <c r="X626" s="228"/>
      <c r="Y626" s="228"/>
      <c r="Z626" s="228"/>
      <c r="AA626" s="228"/>
      <c r="AB626" s="228"/>
      <c r="AC626" s="228"/>
      <c r="AD626" s="228"/>
      <c r="AE626" s="228"/>
      <c r="AF626" s="228"/>
      <c r="AG626" s="228"/>
      <c r="AH626" s="228"/>
      <c r="AI626" s="228"/>
      <c r="AJ626" s="228"/>
      <c r="AK626" s="228"/>
      <c r="AL626" s="228"/>
      <c r="AM626" s="228"/>
      <c r="AN626" s="228"/>
      <c r="AO626" s="228"/>
      <c r="AP626" s="228"/>
      <c r="AQ626" s="228"/>
    </row>
    <row r="627">
      <c r="A627" s="228"/>
      <c r="B627" s="228"/>
      <c r="C627" s="228"/>
      <c r="D627" s="228"/>
      <c r="E627" s="228"/>
      <c r="F627" s="228"/>
      <c r="G627" s="228"/>
      <c r="H627" s="228"/>
      <c r="I627" s="228"/>
      <c r="J627" s="228"/>
      <c r="K627" s="228"/>
      <c r="L627" s="228"/>
      <c r="M627" s="228"/>
      <c r="N627" s="228"/>
      <c r="O627" s="228"/>
      <c r="P627" s="228"/>
      <c r="Q627" s="228"/>
      <c r="R627" s="228"/>
      <c r="S627" s="228"/>
      <c r="T627" s="228"/>
      <c r="U627" s="228"/>
      <c r="V627" s="228"/>
      <c r="W627" s="228"/>
      <c r="X627" s="228"/>
      <c r="Y627" s="228"/>
      <c r="Z627" s="228"/>
      <c r="AA627" s="228"/>
      <c r="AB627" s="228"/>
      <c r="AC627" s="228"/>
      <c r="AD627" s="228"/>
      <c r="AE627" s="228"/>
      <c r="AF627" s="228"/>
      <c r="AG627" s="228"/>
      <c r="AH627" s="228"/>
      <c r="AI627" s="228"/>
      <c r="AJ627" s="228"/>
      <c r="AK627" s="228"/>
      <c r="AL627" s="228"/>
      <c r="AM627" s="228"/>
      <c r="AN627" s="228"/>
      <c r="AO627" s="228"/>
      <c r="AP627" s="228"/>
      <c r="AQ627" s="228"/>
    </row>
    <row r="628">
      <c r="A628" s="228"/>
      <c r="B628" s="228"/>
      <c r="C628" s="228"/>
      <c r="D628" s="228"/>
      <c r="E628" s="228"/>
      <c r="F628" s="228"/>
      <c r="G628" s="228"/>
      <c r="H628" s="228"/>
      <c r="I628" s="228"/>
      <c r="J628" s="228"/>
      <c r="K628" s="228"/>
      <c r="L628" s="228"/>
      <c r="M628" s="228"/>
      <c r="N628" s="228"/>
      <c r="O628" s="228"/>
      <c r="P628" s="228"/>
      <c r="Q628" s="228"/>
      <c r="R628" s="228"/>
      <c r="S628" s="228"/>
      <c r="T628" s="228"/>
      <c r="U628" s="228"/>
      <c r="V628" s="228"/>
      <c r="W628" s="228"/>
      <c r="X628" s="228"/>
      <c r="Y628" s="228"/>
      <c r="Z628" s="228"/>
      <c r="AA628" s="228"/>
      <c r="AB628" s="228"/>
      <c r="AC628" s="228"/>
      <c r="AD628" s="228"/>
      <c r="AE628" s="228"/>
      <c r="AF628" s="228"/>
      <c r="AG628" s="228"/>
      <c r="AH628" s="228"/>
      <c r="AI628" s="228"/>
      <c r="AJ628" s="228"/>
      <c r="AK628" s="228"/>
      <c r="AL628" s="228"/>
      <c r="AM628" s="228"/>
      <c r="AN628" s="228"/>
      <c r="AO628" s="228"/>
      <c r="AP628" s="228"/>
      <c r="AQ628" s="228"/>
    </row>
    <row r="629">
      <c r="A629" s="228"/>
      <c r="B629" s="228"/>
      <c r="C629" s="228"/>
      <c r="D629" s="228"/>
      <c r="E629" s="228"/>
      <c r="F629" s="228"/>
      <c r="G629" s="228"/>
      <c r="H629" s="228"/>
      <c r="I629" s="228"/>
      <c r="J629" s="228"/>
      <c r="K629" s="228"/>
      <c r="L629" s="228"/>
      <c r="M629" s="228"/>
      <c r="N629" s="228"/>
      <c r="O629" s="228"/>
      <c r="P629" s="228"/>
      <c r="Q629" s="228"/>
      <c r="R629" s="228"/>
      <c r="S629" s="228"/>
      <c r="T629" s="228"/>
      <c r="U629" s="228"/>
      <c r="V629" s="228"/>
      <c r="W629" s="228"/>
      <c r="X629" s="228"/>
      <c r="Y629" s="228"/>
      <c r="Z629" s="228"/>
      <c r="AA629" s="228"/>
      <c r="AB629" s="228"/>
      <c r="AC629" s="228"/>
      <c r="AD629" s="228"/>
      <c r="AE629" s="228"/>
      <c r="AF629" s="228"/>
      <c r="AG629" s="228"/>
      <c r="AH629" s="228"/>
      <c r="AI629" s="228"/>
      <c r="AJ629" s="228"/>
      <c r="AK629" s="228"/>
      <c r="AL629" s="228"/>
      <c r="AM629" s="228"/>
      <c r="AN629" s="228"/>
      <c r="AO629" s="228"/>
      <c r="AP629" s="228"/>
      <c r="AQ629" s="228"/>
    </row>
    <row r="630">
      <c r="A630" s="228"/>
      <c r="B630" s="228"/>
      <c r="C630" s="228"/>
      <c r="D630" s="228"/>
      <c r="E630" s="228"/>
      <c r="F630" s="228"/>
      <c r="G630" s="228"/>
      <c r="H630" s="228"/>
      <c r="I630" s="228"/>
      <c r="J630" s="228"/>
      <c r="K630" s="228"/>
      <c r="L630" s="228"/>
      <c r="M630" s="228"/>
      <c r="N630" s="228"/>
      <c r="O630" s="228"/>
      <c r="P630" s="228"/>
      <c r="Q630" s="228"/>
      <c r="R630" s="228"/>
      <c r="S630" s="228"/>
      <c r="T630" s="228"/>
      <c r="U630" s="228"/>
      <c r="V630" s="228"/>
      <c r="W630" s="228"/>
      <c r="X630" s="228"/>
      <c r="Y630" s="228"/>
      <c r="Z630" s="228"/>
      <c r="AA630" s="228"/>
      <c r="AB630" s="228"/>
      <c r="AC630" s="228"/>
      <c r="AD630" s="228"/>
      <c r="AE630" s="228"/>
      <c r="AF630" s="228"/>
      <c r="AG630" s="228"/>
      <c r="AH630" s="228"/>
      <c r="AI630" s="228"/>
      <c r="AJ630" s="228"/>
      <c r="AK630" s="228"/>
      <c r="AL630" s="228"/>
      <c r="AM630" s="228"/>
      <c r="AN630" s="228"/>
      <c r="AO630" s="228"/>
      <c r="AP630" s="228"/>
      <c r="AQ630" s="228"/>
    </row>
    <row r="631">
      <c r="A631" s="228"/>
      <c r="B631" s="228"/>
      <c r="C631" s="228"/>
      <c r="D631" s="228"/>
      <c r="E631" s="228"/>
      <c r="F631" s="228"/>
      <c r="G631" s="228"/>
      <c r="H631" s="228"/>
      <c r="I631" s="228"/>
      <c r="J631" s="228"/>
      <c r="K631" s="228"/>
      <c r="L631" s="228"/>
      <c r="M631" s="228"/>
      <c r="N631" s="228"/>
      <c r="O631" s="228"/>
      <c r="P631" s="228"/>
      <c r="Q631" s="228"/>
      <c r="R631" s="228"/>
      <c r="S631" s="228"/>
      <c r="T631" s="228"/>
      <c r="U631" s="228"/>
      <c r="V631" s="228"/>
      <c r="W631" s="228"/>
      <c r="X631" s="228"/>
      <c r="Y631" s="228"/>
      <c r="Z631" s="228"/>
      <c r="AA631" s="228"/>
      <c r="AB631" s="228"/>
      <c r="AC631" s="228"/>
      <c r="AD631" s="228"/>
      <c r="AE631" s="228"/>
      <c r="AF631" s="228"/>
      <c r="AG631" s="228"/>
      <c r="AH631" s="228"/>
      <c r="AI631" s="228"/>
      <c r="AJ631" s="228"/>
      <c r="AK631" s="228"/>
      <c r="AL631" s="228"/>
      <c r="AM631" s="228"/>
      <c r="AN631" s="228"/>
      <c r="AO631" s="228"/>
      <c r="AP631" s="228"/>
      <c r="AQ631" s="228"/>
    </row>
    <row r="632">
      <c r="A632" s="228"/>
      <c r="B632" s="228"/>
      <c r="C632" s="228"/>
      <c r="D632" s="228"/>
      <c r="E632" s="228"/>
      <c r="F632" s="228"/>
      <c r="G632" s="228"/>
      <c r="H632" s="228"/>
      <c r="I632" s="228"/>
      <c r="J632" s="228"/>
      <c r="K632" s="228"/>
      <c r="L632" s="228"/>
      <c r="M632" s="228"/>
      <c r="N632" s="228"/>
      <c r="O632" s="228"/>
      <c r="P632" s="228"/>
      <c r="Q632" s="228"/>
      <c r="R632" s="228"/>
      <c r="S632" s="228"/>
      <c r="T632" s="228"/>
      <c r="U632" s="228"/>
      <c r="V632" s="228"/>
      <c r="W632" s="228"/>
      <c r="X632" s="228"/>
      <c r="Y632" s="228"/>
      <c r="Z632" s="228"/>
      <c r="AA632" s="228"/>
      <c r="AB632" s="228"/>
      <c r="AC632" s="228"/>
      <c r="AD632" s="228"/>
      <c r="AE632" s="228"/>
      <c r="AF632" s="228"/>
      <c r="AG632" s="228"/>
      <c r="AH632" s="228"/>
      <c r="AI632" s="228"/>
      <c r="AJ632" s="228"/>
      <c r="AK632" s="228"/>
      <c r="AL632" s="228"/>
      <c r="AM632" s="228"/>
      <c r="AN632" s="228"/>
      <c r="AO632" s="228"/>
      <c r="AP632" s="228"/>
      <c r="AQ632" s="228"/>
    </row>
    <row r="633">
      <c r="A633" s="228"/>
      <c r="B633" s="228"/>
      <c r="C633" s="228"/>
      <c r="D633" s="228"/>
      <c r="E633" s="228"/>
      <c r="F633" s="228"/>
      <c r="G633" s="228"/>
      <c r="H633" s="228"/>
      <c r="I633" s="228"/>
      <c r="J633" s="228"/>
      <c r="K633" s="228"/>
      <c r="L633" s="228"/>
      <c r="M633" s="228"/>
      <c r="N633" s="228"/>
      <c r="O633" s="228"/>
      <c r="P633" s="228"/>
      <c r="Q633" s="228"/>
      <c r="R633" s="228"/>
      <c r="S633" s="228"/>
      <c r="T633" s="228"/>
      <c r="U633" s="228"/>
      <c r="V633" s="228"/>
      <c r="W633" s="228"/>
      <c r="X633" s="228"/>
      <c r="Y633" s="228"/>
      <c r="Z633" s="228"/>
      <c r="AA633" s="228"/>
      <c r="AB633" s="228"/>
      <c r="AC633" s="228"/>
      <c r="AD633" s="228"/>
      <c r="AE633" s="228"/>
      <c r="AF633" s="228"/>
      <c r="AG633" s="228"/>
      <c r="AH633" s="228"/>
      <c r="AI633" s="228"/>
      <c r="AJ633" s="228"/>
      <c r="AK633" s="228"/>
      <c r="AL633" s="228"/>
      <c r="AM633" s="228"/>
      <c r="AN633" s="228"/>
      <c r="AO633" s="228"/>
      <c r="AP633" s="228"/>
      <c r="AQ633" s="228"/>
    </row>
    <row r="634">
      <c r="A634" s="228"/>
      <c r="B634" s="228"/>
      <c r="C634" s="228"/>
      <c r="D634" s="228"/>
      <c r="E634" s="228"/>
      <c r="F634" s="228"/>
      <c r="G634" s="228"/>
      <c r="H634" s="228"/>
      <c r="I634" s="228"/>
      <c r="J634" s="228"/>
      <c r="K634" s="228"/>
      <c r="L634" s="228"/>
      <c r="M634" s="228"/>
      <c r="N634" s="228"/>
      <c r="O634" s="228"/>
      <c r="P634" s="228"/>
      <c r="Q634" s="228"/>
      <c r="R634" s="228"/>
      <c r="S634" s="228"/>
      <c r="T634" s="228"/>
      <c r="U634" s="228"/>
      <c r="V634" s="228"/>
      <c r="W634" s="228"/>
      <c r="X634" s="228"/>
      <c r="Y634" s="228"/>
      <c r="Z634" s="228"/>
      <c r="AA634" s="228"/>
      <c r="AB634" s="228"/>
      <c r="AC634" s="228"/>
      <c r="AD634" s="228"/>
      <c r="AE634" s="228"/>
      <c r="AF634" s="228"/>
      <c r="AG634" s="228"/>
      <c r="AH634" s="228"/>
      <c r="AI634" s="228"/>
      <c r="AJ634" s="228"/>
      <c r="AK634" s="228"/>
      <c r="AL634" s="228"/>
      <c r="AM634" s="228"/>
      <c r="AN634" s="228"/>
      <c r="AO634" s="228"/>
      <c r="AP634" s="228"/>
      <c r="AQ634" s="228"/>
    </row>
    <row r="635">
      <c r="A635" s="228"/>
      <c r="B635" s="228"/>
      <c r="C635" s="228"/>
      <c r="D635" s="228"/>
      <c r="E635" s="228"/>
      <c r="F635" s="228"/>
      <c r="G635" s="228"/>
      <c r="H635" s="228"/>
      <c r="I635" s="228"/>
      <c r="J635" s="228"/>
      <c r="K635" s="228"/>
      <c r="L635" s="228"/>
      <c r="M635" s="228"/>
      <c r="N635" s="228"/>
      <c r="O635" s="228"/>
      <c r="P635" s="228"/>
      <c r="Q635" s="228"/>
      <c r="R635" s="228"/>
      <c r="S635" s="228"/>
      <c r="T635" s="228"/>
      <c r="U635" s="228"/>
      <c r="V635" s="228"/>
      <c r="W635" s="228"/>
      <c r="X635" s="228"/>
      <c r="Y635" s="228"/>
      <c r="Z635" s="228"/>
      <c r="AA635" s="228"/>
      <c r="AB635" s="228"/>
      <c r="AC635" s="228"/>
      <c r="AD635" s="228"/>
      <c r="AE635" s="228"/>
      <c r="AF635" s="228"/>
      <c r="AG635" s="228"/>
      <c r="AH635" s="228"/>
      <c r="AI635" s="228"/>
      <c r="AJ635" s="228"/>
      <c r="AK635" s="228"/>
      <c r="AL635" s="228"/>
      <c r="AM635" s="228"/>
      <c r="AN635" s="228"/>
      <c r="AO635" s="228"/>
      <c r="AP635" s="228"/>
      <c r="AQ635" s="228"/>
    </row>
    <row r="636">
      <c r="A636" s="228"/>
      <c r="B636" s="228"/>
      <c r="C636" s="228"/>
      <c r="D636" s="228"/>
      <c r="E636" s="228"/>
      <c r="F636" s="228"/>
      <c r="G636" s="228"/>
      <c r="H636" s="228"/>
      <c r="I636" s="228"/>
      <c r="J636" s="228"/>
      <c r="K636" s="228"/>
      <c r="L636" s="228"/>
      <c r="M636" s="228"/>
      <c r="N636" s="228"/>
      <c r="O636" s="228"/>
      <c r="P636" s="228"/>
      <c r="Q636" s="228"/>
      <c r="R636" s="228"/>
      <c r="S636" s="228"/>
      <c r="T636" s="228"/>
      <c r="U636" s="228"/>
      <c r="V636" s="228"/>
      <c r="W636" s="228"/>
      <c r="X636" s="228"/>
      <c r="Y636" s="228"/>
      <c r="Z636" s="228"/>
      <c r="AA636" s="228"/>
      <c r="AB636" s="228"/>
      <c r="AC636" s="228"/>
      <c r="AD636" s="228"/>
      <c r="AE636" s="228"/>
      <c r="AF636" s="228"/>
      <c r="AG636" s="228"/>
      <c r="AH636" s="228"/>
      <c r="AI636" s="228"/>
      <c r="AJ636" s="228"/>
      <c r="AK636" s="228"/>
      <c r="AL636" s="228"/>
      <c r="AM636" s="228"/>
      <c r="AN636" s="228"/>
      <c r="AO636" s="228"/>
      <c r="AP636" s="228"/>
      <c r="AQ636" s="228"/>
    </row>
    <row r="637">
      <c r="A637" s="228"/>
      <c r="B637" s="228"/>
      <c r="C637" s="228"/>
      <c r="D637" s="228"/>
      <c r="E637" s="228"/>
      <c r="F637" s="228"/>
      <c r="G637" s="228"/>
      <c r="H637" s="228"/>
      <c r="I637" s="228"/>
      <c r="J637" s="228"/>
      <c r="K637" s="228"/>
      <c r="L637" s="228"/>
      <c r="M637" s="228"/>
      <c r="N637" s="228"/>
      <c r="O637" s="228"/>
      <c r="P637" s="228"/>
      <c r="Q637" s="228"/>
      <c r="R637" s="228"/>
      <c r="S637" s="228"/>
      <c r="T637" s="228"/>
      <c r="U637" s="228"/>
      <c r="V637" s="228"/>
      <c r="W637" s="228"/>
      <c r="X637" s="228"/>
      <c r="Y637" s="228"/>
      <c r="Z637" s="228"/>
      <c r="AA637" s="228"/>
      <c r="AB637" s="228"/>
      <c r="AC637" s="228"/>
      <c r="AD637" s="228"/>
      <c r="AE637" s="228"/>
      <c r="AF637" s="228"/>
      <c r="AG637" s="228"/>
      <c r="AH637" s="228"/>
      <c r="AI637" s="228"/>
      <c r="AJ637" s="228"/>
      <c r="AK637" s="228"/>
      <c r="AL637" s="228"/>
      <c r="AM637" s="228"/>
      <c r="AN637" s="228"/>
      <c r="AO637" s="228"/>
      <c r="AP637" s="228"/>
      <c r="AQ637" s="228"/>
    </row>
    <row r="638">
      <c r="A638" s="228"/>
      <c r="B638" s="228"/>
      <c r="C638" s="228"/>
      <c r="D638" s="228"/>
      <c r="E638" s="228"/>
      <c r="F638" s="228"/>
      <c r="G638" s="228"/>
      <c r="H638" s="228"/>
      <c r="I638" s="228"/>
      <c r="J638" s="228"/>
      <c r="K638" s="228"/>
      <c r="L638" s="228"/>
      <c r="M638" s="228"/>
      <c r="N638" s="228"/>
      <c r="O638" s="228"/>
      <c r="P638" s="228"/>
      <c r="Q638" s="228"/>
      <c r="R638" s="228"/>
      <c r="S638" s="228"/>
      <c r="T638" s="228"/>
      <c r="U638" s="228"/>
      <c r="V638" s="228"/>
      <c r="W638" s="228"/>
      <c r="X638" s="228"/>
      <c r="Y638" s="228"/>
      <c r="Z638" s="228"/>
      <c r="AA638" s="228"/>
      <c r="AB638" s="228"/>
      <c r="AC638" s="228"/>
      <c r="AD638" s="228"/>
      <c r="AE638" s="228"/>
      <c r="AF638" s="228"/>
      <c r="AG638" s="228"/>
      <c r="AH638" s="228"/>
      <c r="AI638" s="228"/>
      <c r="AJ638" s="228"/>
      <c r="AK638" s="228"/>
      <c r="AL638" s="228"/>
      <c r="AM638" s="228"/>
      <c r="AN638" s="228"/>
      <c r="AO638" s="228"/>
      <c r="AP638" s="228"/>
      <c r="AQ638" s="228"/>
    </row>
    <row r="639">
      <c r="A639" s="228"/>
      <c r="B639" s="228"/>
      <c r="C639" s="228"/>
      <c r="D639" s="228"/>
      <c r="E639" s="228"/>
      <c r="F639" s="228"/>
      <c r="G639" s="228"/>
      <c r="H639" s="228"/>
      <c r="I639" s="228"/>
      <c r="J639" s="228"/>
      <c r="K639" s="228"/>
      <c r="L639" s="228"/>
      <c r="M639" s="228"/>
      <c r="N639" s="228"/>
      <c r="O639" s="228"/>
      <c r="P639" s="228"/>
      <c r="Q639" s="228"/>
      <c r="R639" s="228"/>
      <c r="S639" s="228"/>
      <c r="T639" s="228"/>
      <c r="U639" s="228"/>
      <c r="V639" s="228"/>
      <c r="W639" s="228"/>
      <c r="X639" s="228"/>
      <c r="Y639" s="228"/>
      <c r="Z639" s="228"/>
      <c r="AA639" s="228"/>
      <c r="AB639" s="228"/>
      <c r="AC639" s="228"/>
      <c r="AD639" s="228"/>
      <c r="AE639" s="228"/>
      <c r="AF639" s="228"/>
      <c r="AG639" s="228"/>
      <c r="AH639" s="228"/>
      <c r="AI639" s="228"/>
      <c r="AJ639" s="228"/>
      <c r="AK639" s="228"/>
      <c r="AL639" s="228"/>
      <c r="AM639" s="228"/>
      <c r="AN639" s="228"/>
      <c r="AO639" s="228"/>
      <c r="AP639" s="228"/>
      <c r="AQ639" s="228"/>
    </row>
    <row r="640">
      <c r="A640" s="228"/>
      <c r="B640" s="228"/>
      <c r="C640" s="228"/>
      <c r="D640" s="228"/>
      <c r="E640" s="228"/>
      <c r="F640" s="228"/>
      <c r="G640" s="228"/>
      <c r="H640" s="228"/>
      <c r="I640" s="228"/>
      <c r="J640" s="228"/>
      <c r="K640" s="228"/>
      <c r="L640" s="228"/>
      <c r="M640" s="228"/>
      <c r="N640" s="228"/>
      <c r="O640" s="228"/>
      <c r="P640" s="228"/>
      <c r="Q640" s="228"/>
      <c r="R640" s="228"/>
      <c r="S640" s="228"/>
      <c r="T640" s="228"/>
      <c r="U640" s="228"/>
      <c r="V640" s="228"/>
      <c r="W640" s="228"/>
      <c r="X640" s="228"/>
      <c r="Y640" s="228"/>
      <c r="Z640" s="228"/>
      <c r="AA640" s="228"/>
      <c r="AB640" s="228"/>
      <c r="AC640" s="228"/>
      <c r="AD640" s="228"/>
      <c r="AE640" s="228"/>
      <c r="AF640" s="228"/>
      <c r="AG640" s="228"/>
      <c r="AH640" s="228"/>
      <c r="AI640" s="228"/>
      <c r="AJ640" s="228"/>
      <c r="AK640" s="228"/>
      <c r="AL640" s="228"/>
      <c r="AM640" s="228"/>
      <c r="AN640" s="228"/>
      <c r="AO640" s="228"/>
      <c r="AP640" s="228"/>
      <c r="AQ640" s="228"/>
    </row>
    <row r="641">
      <c r="A641" s="228"/>
      <c r="B641" s="228"/>
      <c r="C641" s="228"/>
      <c r="D641" s="228"/>
      <c r="E641" s="228"/>
      <c r="F641" s="228"/>
      <c r="G641" s="228"/>
      <c r="H641" s="228"/>
      <c r="I641" s="228"/>
      <c r="J641" s="228"/>
      <c r="K641" s="228"/>
      <c r="L641" s="228"/>
      <c r="M641" s="228"/>
      <c r="N641" s="228"/>
      <c r="O641" s="228"/>
      <c r="P641" s="228"/>
      <c r="Q641" s="228"/>
      <c r="R641" s="228"/>
      <c r="S641" s="228"/>
      <c r="T641" s="228"/>
      <c r="U641" s="228"/>
      <c r="V641" s="228"/>
      <c r="W641" s="228"/>
      <c r="X641" s="228"/>
      <c r="Y641" s="228"/>
      <c r="Z641" s="228"/>
      <c r="AA641" s="228"/>
      <c r="AB641" s="228"/>
      <c r="AC641" s="228"/>
      <c r="AD641" s="228"/>
      <c r="AE641" s="228"/>
      <c r="AF641" s="228"/>
      <c r="AG641" s="228"/>
      <c r="AH641" s="228"/>
      <c r="AI641" s="228"/>
      <c r="AJ641" s="228"/>
      <c r="AK641" s="228"/>
      <c r="AL641" s="228"/>
      <c r="AM641" s="228"/>
      <c r="AN641" s="228"/>
      <c r="AO641" s="228"/>
      <c r="AP641" s="228"/>
      <c r="AQ641" s="228"/>
    </row>
    <row r="642">
      <c r="A642" s="228"/>
      <c r="B642" s="228"/>
      <c r="C642" s="228"/>
      <c r="D642" s="228"/>
      <c r="E642" s="228"/>
      <c r="F642" s="228"/>
      <c r="G642" s="228"/>
      <c r="H642" s="228"/>
      <c r="I642" s="228"/>
      <c r="J642" s="228"/>
      <c r="K642" s="228"/>
      <c r="L642" s="228"/>
      <c r="M642" s="228"/>
      <c r="N642" s="228"/>
      <c r="O642" s="228"/>
      <c r="P642" s="228"/>
      <c r="Q642" s="228"/>
      <c r="R642" s="228"/>
      <c r="S642" s="228"/>
      <c r="T642" s="228"/>
      <c r="U642" s="228"/>
      <c r="V642" s="228"/>
      <c r="W642" s="228"/>
      <c r="X642" s="228"/>
      <c r="Y642" s="228"/>
      <c r="Z642" s="228"/>
      <c r="AA642" s="228"/>
      <c r="AB642" s="228"/>
      <c r="AC642" s="228"/>
      <c r="AD642" s="228"/>
      <c r="AE642" s="228"/>
      <c r="AF642" s="228"/>
      <c r="AG642" s="228"/>
      <c r="AH642" s="228"/>
      <c r="AI642" s="228"/>
      <c r="AJ642" s="228"/>
      <c r="AK642" s="228"/>
      <c r="AL642" s="228"/>
      <c r="AM642" s="228"/>
      <c r="AN642" s="228"/>
      <c r="AO642" s="228"/>
      <c r="AP642" s="228"/>
      <c r="AQ642" s="228"/>
    </row>
    <row r="643">
      <c r="A643" s="228"/>
      <c r="B643" s="228"/>
      <c r="C643" s="228"/>
      <c r="D643" s="228"/>
      <c r="E643" s="228"/>
      <c r="F643" s="228"/>
      <c r="G643" s="228"/>
      <c r="H643" s="228"/>
      <c r="I643" s="228"/>
      <c r="J643" s="228"/>
      <c r="K643" s="228"/>
      <c r="L643" s="228"/>
      <c r="M643" s="228"/>
      <c r="N643" s="228"/>
      <c r="O643" s="228"/>
      <c r="P643" s="228"/>
      <c r="Q643" s="228"/>
      <c r="R643" s="228"/>
      <c r="S643" s="228"/>
      <c r="T643" s="228"/>
      <c r="U643" s="228"/>
      <c r="V643" s="228"/>
      <c r="W643" s="228"/>
      <c r="X643" s="228"/>
      <c r="Y643" s="228"/>
      <c r="Z643" s="228"/>
      <c r="AA643" s="228"/>
      <c r="AB643" s="228"/>
      <c r="AC643" s="228"/>
      <c r="AD643" s="228"/>
      <c r="AE643" s="228"/>
      <c r="AF643" s="228"/>
      <c r="AG643" s="228"/>
      <c r="AH643" s="228"/>
      <c r="AI643" s="228"/>
      <c r="AJ643" s="228"/>
      <c r="AK643" s="228"/>
      <c r="AL643" s="228"/>
      <c r="AM643" s="228"/>
      <c r="AN643" s="228"/>
      <c r="AO643" s="228"/>
      <c r="AP643" s="228"/>
      <c r="AQ643" s="228"/>
    </row>
    <row r="644">
      <c r="A644" s="228"/>
      <c r="B644" s="228"/>
      <c r="C644" s="228"/>
      <c r="D644" s="228"/>
      <c r="E644" s="228"/>
      <c r="F644" s="228"/>
      <c r="G644" s="228"/>
      <c r="H644" s="228"/>
      <c r="I644" s="228"/>
      <c r="J644" s="228"/>
      <c r="K644" s="228"/>
      <c r="L644" s="228"/>
      <c r="M644" s="228"/>
      <c r="N644" s="228"/>
      <c r="O644" s="228"/>
      <c r="P644" s="228"/>
      <c r="Q644" s="228"/>
      <c r="R644" s="228"/>
      <c r="S644" s="228"/>
      <c r="T644" s="228"/>
      <c r="U644" s="228"/>
      <c r="V644" s="228"/>
      <c r="W644" s="228"/>
      <c r="X644" s="228"/>
      <c r="Y644" s="228"/>
      <c r="Z644" s="228"/>
      <c r="AA644" s="228"/>
      <c r="AB644" s="228"/>
      <c r="AC644" s="228"/>
      <c r="AD644" s="228"/>
      <c r="AE644" s="228"/>
      <c r="AF644" s="228"/>
      <c r="AG644" s="228"/>
      <c r="AH644" s="228"/>
      <c r="AI644" s="228"/>
      <c r="AJ644" s="228"/>
      <c r="AK644" s="228"/>
      <c r="AL644" s="228"/>
      <c r="AM644" s="228"/>
      <c r="AN644" s="228"/>
      <c r="AO644" s="228"/>
      <c r="AP644" s="228"/>
      <c r="AQ644" s="228"/>
    </row>
    <row r="645">
      <c r="A645" s="228"/>
      <c r="B645" s="228"/>
      <c r="C645" s="228"/>
      <c r="D645" s="228"/>
      <c r="E645" s="228"/>
      <c r="F645" s="228"/>
      <c r="G645" s="228"/>
      <c r="H645" s="228"/>
      <c r="I645" s="228"/>
      <c r="J645" s="228"/>
      <c r="K645" s="228"/>
      <c r="L645" s="228"/>
      <c r="M645" s="228"/>
      <c r="N645" s="228"/>
      <c r="O645" s="228"/>
      <c r="P645" s="228"/>
      <c r="Q645" s="228"/>
      <c r="R645" s="228"/>
      <c r="S645" s="228"/>
      <c r="T645" s="228"/>
      <c r="U645" s="228"/>
      <c r="V645" s="228"/>
      <c r="W645" s="228"/>
      <c r="X645" s="228"/>
      <c r="Y645" s="228"/>
      <c r="Z645" s="228"/>
      <c r="AA645" s="228"/>
      <c r="AB645" s="228"/>
      <c r="AC645" s="228"/>
      <c r="AD645" s="228"/>
      <c r="AE645" s="228"/>
      <c r="AF645" s="228"/>
      <c r="AG645" s="228"/>
      <c r="AH645" s="228"/>
      <c r="AI645" s="228"/>
      <c r="AJ645" s="228"/>
      <c r="AK645" s="228"/>
      <c r="AL645" s="228"/>
      <c r="AM645" s="228"/>
      <c r="AN645" s="228"/>
      <c r="AO645" s="228"/>
      <c r="AP645" s="228"/>
      <c r="AQ645" s="228"/>
    </row>
    <row r="646">
      <c r="A646" s="228"/>
      <c r="B646" s="228"/>
      <c r="C646" s="228"/>
      <c r="D646" s="228"/>
      <c r="E646" s="228"/>
      <c r="F646" s="228"/>
      <c r="G646" s="228"/>
      <c r="H646" s="228"/>
      <c r="I646" s="228"/>
      <c r="J646" s="228"/>
      <c r="K646" s="228"/>
      <c r="L646" s="228"/>
      <c r="M646" s="228"/>
      <c r="N646" s="228"/>
      <c r="O646" s="228"/>
      <c r="P646" s="228"/>
      <c r="Q646" s="228"/>
      <c r="R646" s="228"/>
      <c r="S646" s="228"/>
      <c r="T646" s="228"/>
      <c r="U646" s="228"/>
      <c r="V646" s="228"/>
      <c r="W646" s="228"/>
      <c r="X646" s="228"/>
      <c r="Y646" s="228"/>
      <c r="Z646" s="228"/>
      <c r="AA646" s="228"/>
      <c r="AB646" s="228"/>
      <c r="AC646" s="228"/>
      <c r="AD646" s="228"/>
      <c r="AE646" s="228"/>
      <c r="AF646" s="228"/>
      <c r="AG646" s="228"/>
      <c r="AH646" s="228"/>
      <c r="AI646" s="228"/>
      <c r="AJ646" s="228"/>
      <c r="AK646" s="228"/>
      <c r="AL646" s="228"/>
      <c r="AM646" s="228"/>
      <c r="AN646" s="228"/>
      <c r="AO646" s="228"/>
      <c r="AP646" s="228"/>
      <c r="AQ646" s="228"/>
    </row>
    <row r="647">
      <c r="A647" s="228"/>
      <c r="B647" s="228"/>
      <c r="C647" s="228"/>
      <c r="D647" s="228"/>
      <c r="E647" s="228"/>
      <c r="F647" s="228"/>
      <c r="G647" s="228"/>
      <c r="H647" s="228"/>
      <c r="I647" s="228"/>
      <c r="J647" s="228"/>
      <c r="K647" s="228"/>
      <c r="L647" s="228"/>
      <c r="M647" s="228"/>
      <c r="N647" s="228"/>
      <c r="O647" s="228"/>
      <c r="P647" s="228"/>
      <c r="Q647" s="228"/>
      <c r="R647" s="228"/>
      <c r="S647" s="228"/>
      <c r="T647" s="228"/>
      <c r="U647" s="228"/>
      <c r="V647" s="228"/>
      <c r="W647" s="228"/>
      <c r="X647" s="228"/>
      <c r="Y647" s="228"/>
      <c r="Z647" s="228"/>
      <c r="AA647" s="228"/>
      <c r="AB647" s="228"/>
      <c r="AC647" s="228"/>
      <c r="AD647" s="228"/>
      <c r="AE647" s="228"/>
      <c r="AF647" s="228"/>
      <c r="AG647" s="228"/>
      <c r="AH647" s="228"/>
      <c r="AI647" s="228"/>
      <c r="AJ647" s="228"/>
      <c r="AK647" s="228"/>
      <c r="AL647" s="228"/>
      <c r="AM647" s="228"/>
      <c r="AN647" s="228"/>
      <c r="AO647" s="228"/>
      <c r="AP647" s="228"/>
      <c r="AQ647" s="228"/>
    </row>
    <row r="648">
      <c r="A648" s="228"/>
      <c r="B648" s="228"/>
      <c r="C648" s="228"/>
      <c r="D648" s="228"/>
      <c r="E648" s="228"/>
      <c r="F648" s="228"/>
      <c r="G648" s="228"/>
      <c r="H648" s="228"/>
      <c r="I648" s="228"/>
      <c r="J648" s="228"/>
      <c r="K648" s="228"/>
      <c r="L648" s="228"/>
      <c r="M648" s="228"/>
      <c r="N648" s="228"/>
      <c r="O648" s="228"/>
      <c r="P648" s="228"/>
      <c r="Q648" s="228"/>
      <c r="R648" s="228"/>
      <c r="S648" s="228"/>
      <c r="T648" s="228"/>
      <c r="U648" s="228"/>
      <c r="V648" s="228"/>
      <c r="W648" s="228"/>
      <c r="X648" s="228"/>
      <c r="Y648" s="228"/>
      <c r="Z648" s="228"/>
      <c r="AA648" s="228"/>
      <c r="AB648" s="228"/>
      <c r="AC648" s="228"/>
      <c r="AD648" s="228"/>
      <c r="AE648" s="228"/>
      <c r="AF648" s="228"/>
      <c r="AG648" s="228"/>
      <c r="AH648" s="228"/>
      <c r="AI648" s="228"/>
      <c r="AJ648" s="228"/>
      <c r="AK648" s="228"/>
      <c r="AL648" s="228"/>
      <c r="AM648" s="228"/>
      <c r="AN648" s="228"/>
      <c r="AO648" s="228"/>
      <c r="AP648" s="228"/>
      <c r="AQ648" s="228"/>
    </row>
    <row r="649">
      <c r="A649" s="228"/>
      <c r="B649" s="228"/>
      <c r="C649" s="228"/>
      <c r="D649" s="228"/>
      <c r="E649" s="228"/>
      <c r="F649" s="228"/>
      <c r="G649" s="228"/>
      <c r="H649" s="228"/>
      <c r="I649" s="228"/>
      <c r="J649" s="228"/>
      <c r="K649" s="228"/>
      <c r="L649" s="228"/>
      <c r="M649" s="228"/>
      <c r="N649" s="228"/>
      <c r="O649" s="228"/>
      <c r="P649" s="228"/>
      <c r="Q649" s="228"/>
      <c r="R649" s="228"/>
      <c r="S649" s="228"/>
      <c r="T649" s="228"/>
      <c r="U649" s="228"/>
      <c r="V649" s="228"/>
      <c r="W649" s="228"/>
      <c r="X649" s="228"/>
      <c r="Y649" s="228"/>
      <c r="Z649" s="228"/>
      <c r="AA649" s="228"/>
      <c r="AB649" s="228"/>
      <c r="AC649" s="228"/>
      <c r="AD649" s="228"/>
      <c r="AE649" s="228"/>
      <c r="AF649" s="228"/>
      <c r="AG649" s="228"/>
      <c r="AH649" s="228"/>
      <c r="AI649" s="228"/>
      <c r="AJ649" s="228"/>
      <c r="AK649" s="228"/>
      <c r="AL649" s="228"/>
      <c r="AM649" s="228"/>
      <c r="AN649" s="228"/>
      <c r="AO649" s="228"/>
      <c r="AP649" s="228"/>
      <c r="AQ649" s="228"/>
    </row>
    <row r="650">
      <c r="A650" s="228"/>
      <c r="B650" s="228"/>
      <c r="C650" s="228"/>
      <c r="D650" s="228"/>
      <c r="E650" s="228"/>
      <c r="F650" s="228"/>
      <c r="G650" s="228"/>
      <c r="H650" s="228"/>
      <c r="I650" s="228"/>
      <c r="J650" s="228"/>
      <c r="K650" s="228"/>
      <c r="L650" s="228"/>
      <c r="M650" s="228"/>
      <c r="N650" s="228"/>
      <c r="O650" s="228"/>
      <c r="P650" s="228"/>
      <c r="Q650" s="228"/>
      <c r="R650" s="228"/>
      <c r="S650" s="228"/>
      <c r="T650" s="228"/>
      <c r="U650" s="228"/>
      <c r="V650" s="228"/>
      <c r="W650" s="228"/>
      <c r="X650" s="228"/>
      <c r="Y650" s="228"/>
      <c r="Z650" s="228"/>
      <c r="AA650" s="228"/>
      <c r="AB650" s="228"/>
      <c r="AC650" s="228"/>
      <c r="AD650" s="228"/>
      <c r="AE650" s="228"/>
      <c r="AF650" s="228"/>
      <c r="AG650" s="228"/>
      <c r="AH650" s="228"/>
      <c r="AI650" s="228"/>
      <c r="AJ650" s="228"/>
      <c r="AK650" s="228"/>
      <c r="AL650" s="228"/>
      <c r="AM650" s="228"/>
      <c r="AN650" s="228"/>
      <c r="AO650" s="228"/>
      <c r="AP650" s="228"/>
      <c r="AQ650" s="228"/>
    </row>
    <row r="651">
      <c r="A651" s="228"/>
      <c r="B651" s="228"/>
      <c r="C651" s="228"/>
      <c r="D651" s="228"/>
      <c r="E651" s="228"/>
      <c r="F651" s="228"/>
      <c r="G651" s="228"/>
      <c r="H651" s="228"/>
      <c r="I651" s="228"/>
      <c r="J651" s="228"/>
      <c r="K651" s="228"/>
      <c r="L651" s="228"/>
      <c r="M651" s="228"/>
      <c r="N651" s="228"/>
      <c r="O651" s="228"/>
      <c r="P651" s="228"/>
      <c r="Q651" s="228"/>
      <c r="R651" s="228"/>
      <c r="S651" s="228"/>
      <c r="T651" s="228"/>
      <c r="U651" s="228"/>
      <c r="V651" s="228"/>
      <c r="W651" s="228"/>
      <c r="X651" s="228"/>
      <c r="Y651" s="228"/>
      <c r="Z651" s="228"/>
      <c r="AA651" s="228"/>
      <c r="AB651" s="228"/>
      <c r="AC651" s="228"/>
      <c r="AD651" s="228"/>
      <c r="AE651" s="228"/>
      <c r="AF651" s="228"/>
      <c r="AG651" s="228"/>
      <c r="AH651" s="228"/>
      <c r="AI651" s="228"/>
      <c r="AJ651" s="228"/>
      <c r="AK651" s="228"/>
      <c r="AL651" s="228"/>
      <c r="AM651" s="228"/>
      <c r="AN651" s="228"/>
      <c r="AO651" s="228"/>
      <c r="AP651" s="228"/>
      <c r="AQ651" s="228"/>
    </row>
    <row r="652">
      <c r="A652" s="228"/>
      <c r="B652" s="228"/>
      <c r="C652" s="228"/>
      <c r="D652" s="228"/>
      <c r="E652" s="228"/>
      <c r="F652" s="228"/>
      <c r="G652" s="228"/>
      <c r="H652" s="228"/>
      <c r="I652" s="228"/>
      <c r="J652" s="228"/>
      <c r="K652" s="228"/>
      <c r="L652" s="228"/>
      <c r="M652" s="228"/>
      <c r="N652" s="228"/>
      <c r="O652" s="228"/>
      <c r="P652" s="228"/>
      <c r="Q652" s="228"/>
      <c r="R652" s="228"/>
      <c r="S652" s="228"/>
      <c r="T652" s="228"/>
      <c r="U652" s="228"/>
      <c r="V652" s="228"/>
      <c r="W652" s="228"/>
      <c r="X652" s="228"/>
      <c r="Y652" s="228"/>
      <c r="Z652" s="228"/>
      <c r="AA652" s="228"/>
      <c r="AB652" s="228"/>
      <c r="AC652" s="228"/>
      <c r="AD652" s="228"/>
      <c r="AE652" s="228"/>
      <c r="AF652" s="228"/>
      <c r="AG652" s="228"/>
      <c r="AH652" s="228"/>
      <c r="AI652" s="228"/>
      <c r="AJ652" s="228"/>
      <c r="AK652" s="228"/>
      <c r="AL652" s="228"/>
      <c r="AM652" s="228"/>
      <c r="AN652" s="228"/>
      <c r="AO652" s="228"/>
      <c r="AP652" s="228"/>
      <c r="AQ652" s="228"/>
    </row>
    <row r="653">
      <c r="A653" s="228"/>
      <c r="B653" s="228"/>
      <c r="C653" s="228"/>
      <c r="D653" s="228"/>
      <c r="E653" s="228"/>
      <c r="F653" s="228"/>
      <c r="G653" s="228"/>
      <c r="H653" s="228"/>
      <c r="I653" s="228"/>
      <c r="J653" s="228"/>
      <c r="K653" s="228"/>
      <c r="L653" s="228"/>
      <c r="M653" s="228"/>
      <c r="N653" s="228"/>
      <c r="O653" s="228"/>
      <c r="P653" s="228"/>
      <c r="Q653" s="228"/>
      <c r="R653" s="228"/>
      <c r="S653" s="228"/>
      <c r="T653" s="228"/>
      <c r="U653" s="228"/>
      <c r="V653" s="228"/>
      <c r="W653" s="228"/>
      <c r="X653" s="228"/>
      <c r="Y653" s="228"/>
      <c r="Z653" s="228"/>
      <c r="AA653" s="228"/>
      <c r="AB653" s="228"/>
      <c r="AC653" s="228"/>
      <c r="AD653" s="228"/>
      <c r="AE653" s="228"/>
      <c r="AF653" s="228"/>
      <c r="AG653" s="228"/>
      <c r="AH653" s="228"/>
      <c r="AI653" s="228"/>
      <c r="AJ653" s="228"/>
      <c r="AK653" s="228"/>
      <c r="AL653" s="228"/>
      <c r="AM653" s="228"/>
      <c r="AN653" s="228"/>
      <c r="AO653" s="228"/>
      <c r="AP653" s="228"/>
      <c r="AQ653" s="228"/>
    </row>
    <row r="654">
      <c r="A654" s="228"/>
      <c r="B654" s="228"/>
      <c r="C654" s="228"/>
      <c r="D654" s="228"/>
      <c r="E654" s="228"/>
      <c r="F654" s="228"/>
      <c r="G654" s="228"/>
      <c r="H654" s="228"/>
      <c r="I654" s="228"/>
      <c r="J654" s="228"/>
      <c r="K654" s="228"/>
      <c r="L654" s="228"/>
      <c r="M654" s="228"/>
      <c r="N654" s="228"/>
      <c r="O654" s="228"/>
      <c r="P654" s="228"/>
      <c r="Q654" s="228"/>
      <c r="R654" s="228"/>
      <c r="S654" s="228"/>
      <c r="T654" s="228"/>
      <c r="U654" s="228"/>
      <c r="V654" s="228"/>
      <c r="W654" s="228"/>
      <c r="X654" s="228"/>
      <c r="Y654" s="228"/>
      <c r="Z654" s="228"/>
      <c r="AA654" s="228"/>
      <c r="AB654" s="228"/>
      <c r="AC654" s="228"/>
      <c r="AD654" s="228"/>
      <c r="AE654" s="228"/>
      <c r="AF654" s="228"/>
      <c r="AG654" s="228"/>
      <c r="AH654" s="228"/>
      <c r="AI654" s="228"/>
      <c r="AJ654" s="228"/>
      <c r="AK654" s="228"/>
      <c r="AL654" s="228"/>
      <c r="AM654" s="228"/>
      <c r="AN654" s="228"/>
      <c r="AO654" s="228"/>
      <c r="AP654" s="228"/>
      <c r="AQ654" s="228"/>
    </row>
    <row r="655">
      <c r="A655" s="228"/>
      <c r="B655" s="228"/>
      <c r="C655" s="228"/>
      <c r="D655" s="228"/>
      <c r="E655" s="228"/>
      <c r="F655" s="228"/>
      <c r="G655" s="228"/>
      <c r="H655" s="228"/>
      <c r="I655" s="228"/>
      <c r="J655" s="228"/>
      <c r="K655" s="228"/>
      <c r="L655" s="228"/>
      <c r="M655" s="228"/>
      <c r="N655" s="228"/>
      <c r="O655" s="228"/>
      <c r="P655" s="228"/>
      <c r="Q655" s="228"/>
      <c r="R655" s="228"/>
      <c r="S655" s="228"/>
      <c r="T655" s="228"/>
      <c r="U655" s="228"/>
      <c r="V655" s="228"/>
      <c r="W655" s="228"/>
      <c r="X655" s="228"/>
      <c r="Y655" s="228"/>
      <c r="Z655" s="228"/>
      <c r="AA655" s="228"/>
      <c r="AB655" s="228"/>
      <c r="AC655" s="228"/>
      <c r="AD655" s="228"/>
      <c r="AE655" s="228"/>
      <c r="AF655" s="228"/>
      <c r="AG655" s="228"/>
      <c r="AH655" s="228"/>
      <c r="AI655" s="228"/>
      <c r="AJ655" s="228"/>
      <c r="AK655" s="228"/>
      <c r="AL655" s="228"/>
      <c r="AM655" s="228"/>
      <c r="AN655" s="228"/>
      <c r="AO655" s="228"/>
      <c r="AP655" s="228"/>
      <c r="AQ655" s="228"/>
    </row>
    <row r="656">
      <c r="A656" s="228"/>
      <c r="B656" s="228"/>
      <c r="C656" s="228"/>
      <c r="D656" s="228"/>
      <c r="E656" s="228"/>
      <c r="F656" s="228"/>
      <c r="G656" s="228"/>
      <c r="H656" s="228"/>
      <c r="I656" s="228"/>
      <c r="J656" s="228"/>
      <c r="K656" s="228"/>
      <c r="L656" s="228"/>
      <c r="M656" s="228"/>
      <c r="N656" s="228"/>
      <c r="O656" s="228"/>
      <c r="P656" s="228"/>
      <c r="Q656" s="228"/>
      <c r="R656" s="228"/>
      <c r="S656" s="228"/>
      <c r="T656" s="228"/>
      <c r="U656" s="228"/>
      <c r="V656" s="228"/>
      <c r="W656" s="228"/>
      <c r="X656" s="228"/>
      <c r="Y656" s="228"/>
      <c r="Z656" s="228"/>
      <c r="AA656" s="228"/>
      <c r="AB656" s="228"/>
      <c r="AC656" s="228"/>
      <c r="AD656" s="228"/>
      <c r="AE656" s="228"/>
      <c r="AF656" s="228"/>
      <c r="AG656" s="228"/>
      <c r="AH656" s="228"/>
      <c r="AI656" s="228"/>
      <c r="AJ656" s="228"/>
      <c r="AK656" s="228"/>
      <c r="AL656" s="228"/>
      <c r="AM656" s="228"/>
      <c r="AN656" s="228"/>
      <c r="AO656" s="228"/>
      <c r="AP656" s="228"/>
      <c r="AQ656" s="228"/>
    </row>
    <row r="657">
      <c r="A657" s="228"/>
      <c r="B657" s="228"/>
      <c r="C657" s="228"/>
      <c r="D657" s="228"/>
      <c r="E657" s="228"/>
      <c r="F657" s="228"/>
      <c r="G657" s="228"/>
      <c r="H657" s="228"/>
      <c r="I657" s="228"/>
      <c r="J657" s="228"/>
      <c r="K657" s="228"/>
      <c r="L657" s="228"/>
      <c r="M657" s="228"/>
      <c r="N657" s="228"/>
      <c r="O657" s="228"/>
      <c r="P657" s="228"/>
      <c r="Q657" s="228"/>
      <c r="R657" s="228"/>
      <c r="S657" s="228"/>
      <c r="T657" s="228"/>
      <c r="U657" s="228"/>
      <c r="V657" s="228"/>
      <c r="W657" s="228"/>
      <c r="X657" s="228"/>
      <c r="Y657" s="228"/>
      <c r="Z657" s="228"/>
      <c r="AA657" s="228"/>
      <c r="AB657" s="228"/>
      <c r="AC657" s="228"/>
      <c r="AD657" s="228"/>
      <c r="AE657" s="228"/>
      <c r="AF657" s="228"/>
      <c r="AG657" s="228"/>
      <c r="AH657" s="228"/>
      <c r="AI657" s="228"/>
      <c r="AJ657" s="228"/>
      <c r="AK657" s="228"/>
      <c r="AL657" s="228"/>
      <c r="AM657" s="228"/>
      <c r="AN657" s="228"/>
      <c r="AO657" s="228"/>
      <c r="AP657" s="228"/>
      <c r="AQ657" s="228"/>
    </row>
    <row r="658">
      <c r="A658" s="228"/>
      <c r="B658" s="228"/>
      <c r="C658" s="228"/>
      <c r="D658" s="228"/>
      <c r="E658" s="228"/>
      <c r="F658" s="228"/>
      <c r="G658" s="228"/>
      <c r="H658" s="228"/>
      <c r="I658" s="228"/>
      <c r="J658" s="228"/>
      <c r="K658" s="228"/>
      <c r="L658" s="228"/>
      <c r="M658" s="228"/>
      <c r="N658" s="228"/>
      <c r="O658" s="228"/>
      <c r="P658" s="228"/>
      <c r="Q658" s="228"/>
      <c r="R658" s="228"/>
      <c r="S658" s="228"/>
      <c r="T658" s="228"/>
      <c r="U658" s="228"/>
      <c r="V658" s="228"/>
      <c r="W658" s="228"/>
      <c r="X658" s="228"/>
      <c r="Y658" s="228"/>
      <c r="Z658" s="228"/>
      <c r="AA658" s="228"/>
      <c r="AB658" s="228"/>
      <c r="AC658" s="228"/>
      <c r="AD658" s="228"/>
      <c r="AE658" s="228"/>
      <c r="AF658" s="228"/>
      <c r="AG658" s="228"/>
      <c r="AH658" s="228"/>
      <c r="AI658" s="228"/>
      <c r="AJ658" s="228"/>
      <c r="AK658" s="228"/>
      <c r="AL658" s="228"/>
      <c r="AM658" s="228"/>
      <c r="AN658" s="228"/>
      <c r="AO658" s="228"/>
      <c r="AP658" s="228"/>
      <c r="AQ658" s="228"/>
    </row>
    <row r="659">
      <c r="A659" s="228"/>
      <c r="B659" s="228"/>
      <c r="C659" s="228"/>
      <c r="D659" s="228"/>
      <c r="E659" s="228"/>
      <c r="F659" s="228"/>
      <c r="G659" s="228"/>
      <c r="H659" s="228"/>
      <c r="I659" s="228"/>
      <c r="J659" s="228"/>
      <c r="K659" s="228"/>
      <c r="L659" s="228"/>
      <c r="M659" s="228"/>
      <c r="N659" s="228"/>
      <c r="O659" s="228"/>
      <c r="P659" s="228"/>
      <c r="Q659" s="228"/>
      <c r="R659" s="228"/>
      <c r="S659" s="228"/>
      <c r="T659" s="228"/>
      <c r="U659" s="228"/>
      <c r="V659" s="228"/>
      <c r="W659" s="228"/>
      <c r="X659" s="228"/>
      <c r="Y659" s="228"/>
      <c r="Z659" s="228"/>
      <c r="AA659" s="228"/>
      <c r="AB659" s="228"/>
      <c r="AC659" s="228"/>
      <c r="AD659" s="228"/>
      <c r="AE659" s="228"/>
      <c r="AF659" s="228"/>
      <c r="AG659" s="228"/>
      <c r="AH659" s="228"/>
      <c r="AI659" s="228"/>
      <c r="AJ659" s="228"/>
      <c r="AK659" s="228"/>
      <c r="AL659" s="228"/>
      <c r="AM659" s="228"/>
      <c r="AN659" s="228"/>
      <c r="AO659" s="228"/>
      <c r="AP659" s="228"/>
      <c r="AQ659" s="228"/>
    </row>
    <row r="660">
      <c r="A660" s="228"/>
      <c r="B660" s="228"/>
      <c r="C660" s="228"/>
      <c r="D660" s="228"/>
      <c r="E660" s="228"/>
      <c r="F660" s="228"/>
      <c r="G660" s="228"/>
      <c r="H660" s="228"/>
      <c r="I660" s="228"/>
      <c r="J660" s="228"/>
      <c r="K660" s="228"/>
      <c r="L660" s="228"/>
      <c r="M660" s="228"/>
      <c r="N660" s="228"/>
      <c r="O660" s="228"/>
      <c r="P660" s="228"/>
      <c r="Q660" s="228"/>
      <c r="R660" s="228"/>
      <c r="S660" s="228"/>
      <c r="T660" s="228"/>
      <c r="U660" s="228"/>
      <c r="V660" s="228"/>
      <c r="W660" s="228"/>
      <c r="X660" s="228"/>
      <c r="Y660" s="228"/>
      <c r="Z660" s="228"/>
      <c r="AA660" s="228"/>
      <c r="AB660" s="228"/>
      <c r="AC660" s="228"/>
      <c r="AD660" s="228"/>
      <c r="AE660" s="228"/>
      <c r="AF660" s="228"/>
      <c r="AG660" s="228"/>
      <c r="AH660" s="228"/>
      <c r="AI660" s="228"/>
      <c r="AJ660" s="228"/>
      <c r="AK660" s="228"/>
      <c r="AL660" s="228"/>
      <c r="AM660" s="228"/>
      <c r="AN660" s="228"/>
      <c r="AO660" s="228"/>
      <c r="AP660" s="228"/>
      <c r="AQ660" s="228"/>
    </row>
    <row r="661">
      <c r="A661" s="228"/>
      <c r="B661" s="228"/>
      <c r="C661" s="228"/>
      <c r="D661" s="228"/>
      <c r="E661" s="228"/>
      <c r="F661" s="228"/>
      <c r="G661" s="228"/>
      <c r="H661" s="228"/>
      <c r="I661" s="228"/>
      <c r="J661" s="228"/>
      <c r="K661" s="228"/>
      <c r="L661" s="228"/>
      <c r="M661" s="228"/>
      <c r="N661" s="228"/>
      <c r="O661" s="228"/>
      <c r="P661" s="228"/>
      <c r="Q661" s="228"/>
      <c r="R661" s="228"/>
      <c r="S661" s="228"/>
      <c r="T661" s="228"/>
      <c r="U661" s="228"/>
      <c r="V661" s="228"/>
      <c r="W661" s="228"/>
      <c r="X661" s="228"/>
      <c r="Y661" s="228"/>
      <c r="Z661" s="228"/>
      <c r="AA661" s="228"/>
      <c r="AB661" s="228"/>
      <c r="AC661" s="228"/>
      <c r="AD661" s="228"/>
      <c r="AE661" s="228"/>
      <c r="AF661" s="228"/>
      <c r="AG661" s="228"/>
      <c r="AH661" s="228"/>
      <c r="AI661" s="228"/>
      <c r="AJ661" s="228"/>
      <c r="AK661" s="228"/>
      <c r="AL661" s="228"/>
      <c r="AM661" s="228"/>
      <c r="AN661" s="228"/>
      <c r="AO661" s="228"/>
      <c r="AP661" s="228"/>
      <c r="AQ661" s="228"/>
    </row>
    <row r="662">
      <c r="A662" s="228"/>
      <c r="B662" s="228"/>
      <c r="C662" s="228"/>
      <c r="D662" s="228"/>
      <c r="E662" s="228"/>
      <c r="F662" s="228"/>
      <c r="G662" s="228"/>
      <c r="H662" s="228"/>
      <c r="I662" s="228"/>
      <c r="J662" s="228"/>
      <c r="K662" s="228"/>
      <c r="L662" s="228"/>
      <c r="M662" s="228"/>
      <c r="N662" s="228"/>
      <c r="O662" s="228"/>
      <c r="P662" s="228"/>
      <c r="Q662" s="228"/>
      <c r="R662" s="228"/>
      <c r="S662" s="228"/>
      <c r="T662" s="228"/>
      <c r="U662" s="228"/>
      <c r="V662" s="228"/>
      <c r="W662" s="228"/>
      <c r="X662" s="228"/>
      <c r="Y662" s="228"/>
      <c r="Z662" s="228"/>
      <c r="AA662" s="228"/>
      <c r="AB662" s="228"/>
      <c r="AC662" s="228"/>
      <c r="AD662" s="228"/>
      <c r="AE662" s="228"/>
      <c r="AF662" s="228"/>
      <c r="AG662" s="228"/>
      <c r="AH662" s="228"/>
      <c r="AI662" s="228"/>
      <c r="AJ662" s="228"/>
      <c r="AK662" s="228"/>
      <c r="AL662" s="228"/>
      <c r="AM662" s="228"/>
      <c r="AN662" s="228"/>
      <c r="AO662" s="228"/>
      <c r="AP662" s="228"/>
      <c r="AQ662" s="228"/>
    </row>
    <row r="663">
      <c r="A663" s="228"/>
      <c r="B663" s="228"/>
      <c r="C663" s="228"/>
      <c r="D663" s="228"/>
      <c r="E663" s="228"/>
      <c r="F663" s="228"/>
      <c r="G663" s="228"/>
      <c r="H663" s="228"/>
      <c r="I663" s="228"/>
      <c r="J663" s="228"/>
      <c r="K663" s="228"/>
      <c r="L663" s="228"/>
      <c r="M663" s="228"/>
      <c r="N663" s="228"/>
      <c r="O663" s="228"/>
      <c r="P663" s="228"/>
      <c r="Q663" s="228"/>
      <c r="R663" s="228"/>
      <c r="S663" s="228"/>
      <c r="T663" s="228"/>
      <c r="U663" s="228"/>
      <c r="V663" s="228"/>
      <c r="W663" s="228"/>
      <c r="X663" s="228"/>
      <c r="Y663" s="228"/>
      <c r="Z663" s="228"/>
      <c r="AA663" s="228"/>
      <c r="AB663" s="228"/>
      <c r="AC663" s="228"/>
      <c r="AD663" s="228"/>
      <c r="AE663" s="228"/>
      <c r="AF663" s="228"/>
      <c r="AG663" s="228"/>
      <c r="AH663" s="228"/>
      <c r="AI663" s="228"/>
      <c r="AJ663" s="228"/>
      <c r="AK663" s="228"/>
      <c r="AL663" s="228"/>
      <c r="AM663" s="228"/>
      <c r="AN663" s="228"/>
      <c r="AO663" s="228"/>
      <c r="AP663" s="228"/>
      <c r="AQ663" s="228"/>
    </row>
    <row r="664">
      <c r="A664" s="228"/>
      <c r="B664" s="228"/>
      <c r="C664" s="228"/>
      <c r="D664" s="228"/>
      <c r="E664" s="228"/>
      <c r="F664" s="228"/>
      <c r="G664" s="228"/>
      <c r="H664" s="228"/>
      <c r="I664" s="228"/>
      <c r="J664" s="228"/>
      <c r="K664" s="228"/>
      <c r="L664" s="228"/>
      <c r="M664" s="228"/>
      <c r="N664" s="228"/>
      <c r="O664" s="228"/>
      <c r="P664" s="228"/>
      <c r="Q664" s="228"/>
      <c r="R664" s="228"/>
      <c r="S664" s="228"/>
      <c r="T664" s="228"/>
      <c r="U664" s="228"/>
      <c r="V664" s="228"/>
      <c r="W664" s="228"/>
      <c r="X664" s="228"/>
      <c r="Y664" s="228"/>
      <c r="Z664" s="228"/>
      <c r="AA664" s="228"/>
      <c r="AB664" s="228"/>
      <c r="AC664" s="228"/>
      <c r="AD664" s="228"/>
      <c r="AE664" s="228"/>
      <c r="AF664" s="228"/>
      <c r="AG664" s="228"/>
      <c r="AH664" s="228"/>
      <c r="AI664" s="228"/>
      <c r="AJ664" s="228"/>
      <c r="AK664" s="228"/>
      <c r="AL664" s="228"/>
      <c r="AM664" s="228"/>
      <c r="AN664" s="228"/>
      <c r="AO664" s="228"/>
      <c r="AP664" s="228"/>
      <c r="AQ664" s="228"/>
    </row>
    <row r="665">
      <c r="A665" s="228"/>
      <c r="B665" s="228"/>
      <c r="C665" s="228"/>
      <c r="D665" s="228"/>
      <c r="E665" s="228"/>
      <c r="F665" s="228"/>
      <c r="G665" s="228"/>
      <c r="H665" s="228"/>
      <c r="I665" s="228"/>
      <c r="J665" s="228"/>
      <c r="K665" s="228"/>
      <c r="L665" s="228"/>
      <c r="M665" s="228"/>
      <c r="N665" s="228"/>
      <c r="O665" s="228"/>
      <c r="P665" s="228"/>
      <c r="Q665" s="228"/>
      <c r="R665" s="228"/>
      <c r="S665" s="228"/>
      <c r="T665" s="228"/>
      <c r="U665" s="228"/>
      <c r="V665" s="228"/>
      <c r="W665" s="228"/>
      <c r="X665" s="228"/>
      <c r="Y665" s="228"/>
      <c r="Z665" s="228"/>
      <c r="AA665" s="228"/>
      <c r="AB665" s="228"/>
      <c r="AC665" s="228"/>
      <c r="AD665" s="228"/>
      <c r="AE665" s="228"/>
      <c r="AF665" s="228"/>
      <c r="AG665" s="228"/>
      <c r="AH665" s="228"/>
      <c r="AI665" s="228"/>
      <c r="AJ665" s="228"/>
      <c r="AK665" s="228"/>
      <c r="AL665" s="228"/>
      <c r="AM665" s="228"/>
      <c r="AN665" s="228"/>
      <c r="AO665" s="228"/>
      <c r="AP665" s="228"/>
      <c r="AQ665" s="228"/>
    </row>
    <row r="666">
      <c r="A666" s="228"/>
      <c r="B666" s="228"/>
      <c r="C666" s="228"/>
      <c r="D666" s="228"/>
      <c r="E666" s="228"/>
      <c r="F666" s="228"/>
      <c r="G666" s="228"/>
      <c r="H666" s="228"/>
      <c r="I666" s="228"/>
      <c r="J666" s="228"/>
      <c r="K666" s="228"/>
      <c r="L666" s="228"/>
      <c r="M666" s="228"/>
      <c r="N666" s="228"/>
      <c r="O666" s="228"/>
      <c r="P666" s="228"/>
      <c r="Q666" s="228"/>
      <c r="R666" s="228"/>
      <c r="S666" s="228"/>
      <c r="T666" s="228"/>
      <c r="U666" s="228"/>
      <c r="V666" s="228"/>
      <c r="W666" s="228"/>
      <c r="X666" s="228"/>
      <c r="Y666" s="228"/>
      <c r="Z666" s="228"/>
      <c r="AA666" s="228"/>
      <c r="AB666" s="228"/>
      <c r="AC666" s="228"/>
      <c r="AD666" s="228"/>
      <c r="AE666" s="228"/>
      <c r="AF666" s="228"/>
      <c r="AG666" s="228"/>
      <c r="AH666" s="228"/>
      <c r="AI666" s="228"/>
      <c r="AJ666" s="228"/>
      <c r="AK666" s="228"/>
      <c r="AL666" s="228"/>
      <c r="AM666" s="228"/>
      <c r="AN666" s="228"/>
      <c r="AO666" s="228"/>
      <c r="AP666" s="228"/>
      <c r="AQ666" s="228"/>
    </row>
    <row r="667">
      <c r="A667" s="228"/>
      <c r="B667" s="228"/>
      <c r="C667" s="228"/>
      <c r="D667" s="228"/>
      <c r="E667" s="228"/>
      <c r="F667" s="228"/>
      <c r="G667" s="228"/>
      <c r="H667" s="228"/>
      <c r="I667" s="228"/>
      <c r="J667" s="228"/>
      <c r="K667" s="228"/>
      <c r="L667" s="228"/>
      <c r="M667" s="228"/>
      <c r="N667" s="228"/>
      <c r="O667" s="228"/>
      <c r="P667" s="228"/>
      <c r="Q667" s="228"/>
      <c r="R667" s="228"/>
      <c r="S667" s="228"/>
      <c r="T667" s="228"/>
      <c r="U667" s="228"/>
      <c r="V667" s="228"/>
      <c r="W667" s="228"/>
      <c r="X667" s="228"/>
      <c r="Y667" s="228"/>
      <c r="Z667" s="228"/>
      <c r="AA667" s="228"/>
      <c r="AB667" s="228"/>
      <c r="AC667" s="228"/>
      <c r="AD667" s="228"/>
      <c r="AE667" s="228"/>
      <c r="AF667" s="228"/>
      <c r="AG667" s="228"/>
      <c r="AH667" s="228"/>
      <c r="AI667" s="228"/>
      <c r="AJ667" s="228"/>
      <c r="AK667" s="228"/>
      <c r="AL667" s="228"/>
      <c r="AM667" s="228"/>
      <c r="AN667" s="228"/>
      <c r="AO667" s="228"/>
      <c r="AP667" s="228"/>
      <c r="AQ667" s="228"/>
    </row>
    <row r="668">
      <c r="A668" s="228"/>
      <c r="B668" s="228"/>
      <c r="C668" s="228"/>
      <c r="D668" s="228"/>
      <c r="E668" s="228"/>
      <c r="F668" s="228"/>
      <c r="G668" s="228"/>
      <c r="H668" s="228"/>
      <c r="I668" s="228"/>
      <c r="J668" s="228"/>
      <c r="K668" s="228"/>
      <c r="L668" s="228"/>
      <c r="M668" s="228"/>
      <c r="N668" s="228"/>
      <c r="O668" s="228"/>
      <c r="P668" s="228"/>
      <c r="Q668" s="228"/>
      <c r="R668" s="228"/>
      <c r="S668" s="228"/>
      <c r="T668" s="228"/>
      <c r="U668" s="228"/>
      <c r="V668" s="228"/>
      <c r="W668" s="228"/>
      <c r="X668" s="228"/>
      <c r="Y668" s="228"/>
      <c r="Z668" s="228"/>
      <c r="AA668" s="228"/>
      <c r="AB668" s="228"/>
      <c r="AC668" s="228"/>
      <c r="AD668" s="228"/>
      <c r="AE668" s="228"/>
      <c r="AF668" s="228"/>
      <c r="AG668" s="228"/>
      <c r="AH668" s="228"/>
      <c r="AI668" s="228"/>
      <c r="AJ668" s="228"/>
      <c r="AK668" s="228"/>
      <c r="AL668" s="228"/>
      <c r="AM668" s="228"/>
      <c r="AN668" s="228"/>
      <c r="AO668" s="228"/>
      <c r="AP668" s="228"/>
      <c r="AQ668" s="228"/>
    </row>
    <row r="669">
      <c r="A669" s="228"/>
      <c r="B669" s="228"/>
      <c r="C669" s="228"/>
      <c r="D669" s="228"/>
      <c r="E669" s="228"/>
      <c r="F669" s="228"/>
      <c r="G669" s="228"/>
      <c r="H669" s="228"/>
      <c r="I669" s="228"/>
      <c r="J669" s="228"/>
      <c r="K669" s="228"/>
      <c r="L669" s="228"/>
      <c r="M669" s="228"/>
      <c r="N669" s="228"/>
      <c r="O669" s="228"/>
      <c r="P669" s="228"/>
      <c r="Q669" s="228"/>
      <c r="R669" s="228"/>
      <c r="S669" s="228"/>
      <c r="T669" s="228"/>
      <c r="U669" s="228"/>
      <c r="V669" s="228"/>
      <c r="W669" s="228"/>
      <c r="X669" s="228"/>
      <c r="Y669" s="228"/>
      <c r="Z669" s="228"/>
      <c r="AA669" s="228"/>
      <c r="AB669" s="228"/>
      <c r="AC669" s="228"/>
      <c r="AD669" s="228"/>
      <c r="AE669" s="228"/>
      <c r="AF669" s="228"/>
      <c r="AG669" s="228"/>
      <c r="AH669" s="228"/>
      <c r="AI669" s="228"/>
      <c r="AJ669" s="228"/>
      <c r="AK669" s="228"/>
      <c r="AL669" s="228"/>
      <c r="AM669" s="228"/>
      <c r="AN669" s="228"/>
      <c r="AO669" s="228"/>
      <c r="AP669" s="228"/>
      <c r="AQ669" s="228"/>
    </row>
    <row r="670">
      <c r="A670" s="228"/>
      <c r="B670" s="228"/>
      <c r="C670" s="228"/>
      <c r="D670" s="228"/>
      <c r="E670" s="228"/>
      <c r="F670" s="228"/>
      <c r="G670" s="228"/>
      <c r="H670" s="228"/>
      <c r="I670" s="228"/>
      <c r="J670" s="228"/>
      <c r="K670" s="228"/>
      <c r="L670" s="228"/>
      <c r="M670" s="228"/>
      <c r="N670" s="228"/>
      <c r="O670" s="228"/>
      <c r="P670" s="228"/>
      <c r="Q670" s="228"/>
      <c r="R670" s="228"/>
      <c r="S670" s="228"/>
      <c r="T670" s="228"/>
      <c r="U670" s="228"/>
      <c r="V670" s="228"/>
      <c r="W670" s="228"/>
      <c r="X670" s="228"/>
      <c r="Y670" s="228"/>
      <c r="Z670" s="228"/>
      <c r="AA670" s="228"/>
      <c r="AB670" s="228"/>
      <c r="AC670" s="228"/>
      <c r="AD670" s="228"/>
      <c r="AE670" s="228"/>
      <c r="AF670" s="228"/>
      <c r="AG670" s="228"/>
      <c r="AH670" s="228"/>
      <c r="AI670" s="228"/>
      <c r="AJ670" s="228"/>
      <c r="AK670" s="228"/>
      <c r="AL670" s="228"/>
      <c r="AM670" s="228"/>
      <c r="AN670" s="228"/>
      <c r="AO670" s="228"/>
      <c r="AP670" s="228"/>
      <c r="AQ670" s="228"/>
    </row>
    <row r="671">
      <c r="A671" s="228"/>
      <c r="B671" s="228"/>
      <c r="C671" s="228"/>
      <c r="D671" s="228"/>
      <c r="E671" s="228"/>
      <c r="F671" s="228"/>
      <c r="G671" s="228"/>
      <c r="H671" s="228"/>
      <c r="I671" s="228"/>
      <c r="J671" s="228"/>
      <c r="K671" s="228"/>
      <c r="L671" s="228"/>
      <c r="M671" s="228"/>
      <c r="N671" s="228"/>
      <c r="O671" s="228"/>
      <c r="P671" s="228"/>
      <c r="Q671" s="228"/>
      <c r="R671" s="228"/>
      <c r="S671" s="228"/>
      <c r="T671" s="228"/>
      <c r="U671" s="228"/>
      <c r="V671" s="228"/>
      <c r="W671" s="228"/>
      <c r="X671" s="228"/>
      <c r="Y671" s="228"/>
      <c r="Z671" s="228"/>
      <c r="AA671" s="228"/>
      <c r="AB671" s="228"/>
      <c r="AC671" s="228"/>
      <c r="AD671" s="228"/>
      <c r="AE671" s="228"/>
      <c r="AF671" s="228"/>
      <c r="AG671" s="228"/>
      <c r="AH671" s="228"/>
      <c r="AI671" s="228"/>
      <c r="AJ671" s="228"/>
      <c r="AK671" s="228"/>
      <c r="AL671" s="228"/>
      <c r="AM671" s="228"/>
      <c r="AN671" s="228"/>
      <c r="AO671" s="228"/>
      <c r="AP671" s="228"/>
      <c r="AQ671" s="228"/>
    </row>
    <row r="672">
      <c r="A672" s="228"/>
      <c r="B672" s="228"/>
      <c r="C672" s="228"/>
      <c r="D672" s="228"/>
      <c r="E672" s="228"/>
      <c r="F672" s="228"/>
      <c r="G672" s="228"/>
      <c r="H672" s="228"/>
      <c r="I672" s="228"/>
      <c r="J672" s="228"/>
      <c r="K672" s="228"/>
      <c r="L672" s="228"/>
      <c r="M672" s="228"/>
      <c r="N672" s="228"/>
      <c r="O672" s="228"/>
      <c r="P672" s="228"/>
      <c r="Q672" s="228"/>
      <c r="R672" s="228"/>
      <c r="S672" s="228"/>
      <c r="T672" s="228"/>
      <c r="U672" s="228"/>
      <c r="V672" s="228"/>
      <c r="W672" s="228"/>
      <c r="X672" s="228"/>
      <c r="Y672" s="228"/>
      <c r="Z672" s="228"/>
      <c r="AA672" s="228"/>
      <c r="AB672" s="228"/>
      <c r="AC672" s="228"/>
      <c r="AD672" s="228"/>
      <c r="AE672" s="228"/>
      <c r="AF672" s="228"/>
      <c r="AG672" s="228"/>
      <c r="AH672" s="228"/>
      <c r="AI672" s="228"/>
      <c r="AJ672" s="228"/>
      <c r="AK672" s="228"/>
      <c r="AL672" s="228"/>
      <c r="AM672" s="228"/>
      <c r="AN672" s="228"/>
      <c r="AO672" s="228"/>
      <c r="AP672" s="228"/>
      <c r="AQ672" s="228"/>
    </row>
    <row r="673">
      <c r="A673" s="228"/>
      <c r="B673" s="228"/>
      <c r="C673" s="228"/>
      <c r="D673" s="228"/>
      <c r="E673" s="228"/>
      <c r="F673" s="228"/>
      <c r="G673" s="228"/>
      <c r="H673" s="228"/>
      <c r="I673" s="228"/>
      <c r="J673" s="228"/>
      <c r="K673" s="228"/>
      <c r="L673" s="228"/>
      <c r="M673" s="228"/>
      <c r="N673" s="228"/>
      <c r="O673" s="228"/>
      <c r="P673" s="228"/>
      <c r="Q673" s="228"/>
      <c r="R673" s="228"/>
      <c r="S673" s="228"/>
      <c r="T673" s="228"/>
      <c r="U673" s="228"/>
      <c r="V673" s="228"/>
      <c r="W673" s="228"/>
      <c r="X673" s="228"/>
      <c r="Y673" s="228"/>
      <c r="Z673" s="228"/>
      <c r="AA673" s="228"/>
      <c r="AB673" s="228"/>
      <c r="AC673" s="228"/>
      <c r="AD673" s="228"/>
      <c r="AE673" s="228"/>
      <c r="AF673" s="228"/>
      <c r="AG673" s="228"/>
      <c r="AH673" s="228"/>
      <c r="AI673" s="228"/>
      <c r="AJ673" s="228"/>
      <c r="AK673" s="228"/>
      <c r="AL673" s="228"/>
      <c r="AM673" s="228"/>
      <c r="AN673" s="228"/>
      <c r="AO673" s="228"/>
      <c r="AP673" s="228"/>
      <c r="AQ673" s="228"/>
    </row>
    <row r="674">
      <c r="A674" s="228"/>
      <c r="B674" s="228"/>
      <c r="C674" s="228"/>
      <c r="D674" s="228"/>
      <c r="E674" s="228"/>
      <c r="F674" s="228"/>
      <c r="G674" s="228"/>
      <c r="H674" s="228"/>
      <c r="I674" s="228"/>
      <c r="J674" s="228"/>
      <c r="K674" s="228"/>
      <c r="L674" s="228"/>
      <c r="M674" s="228"/>
      <c r="N674" s="228"/>
      <c r="O674" s="228"/>
      <c r="P674" s="228"/>
      <c r="Q674" s="228"/>
      <c r="R674" s="228"/>
      <c r="S674" s="228"/>
      <c r="T674" s="228"/>
      <c r="U674" s="228"/>
      <c r="V674" s="228"/>
      <c r="W674" s="228"/>
      <c r="X674" s="228"/>
      <c r="Y674" s="228"/>
      <c r="Z674" s="228"/>
      <c r="AA674" s="228"/>
      <c r="AB674" s="228"/>
      <c r="AC674" s="228"/>
      <c r="AD674" s="228"/>
      <c r="AE674" s="228"/>
      <c r="AF674" s="228"/>
      <c r="AG674" s="228"/>
      <c r="AH674" s="228"/>
      <c r="AI674" s="228"/>
      <c r="AJ674" s="228"/>
      <c r="AK674" s="228"/>
      <c r="AL674" s="228"/>
      <c r="AM674" s="228"/>
      <c r="AN674" s="228"/>
      <c r="AO674" s="228"/>
      <c r="AP674" s="228"/>
      <c r="AQ674" s="228"/>
    </row>
    <row r="675">
      <c r="A675" s="228"/>
      <c r="B675" s="228"/>
      <c r="C675" s="228"/>
      <c r="D675" s="228"/>
      <c r="E675" s="228"/>
      <c r="F675" s="228"/>
      <c r="G675" s="228"/>
      <c r="H675" s="228"/>
      <c r="I675" s="228"/>
      <c r="J675" s="228"/>
      <c r="K675" s="228"/>
      <c r="L675" s="228"/>
      <c r="M675" s="228"/>
      <c r="N675" s="228"/>
      <c r="O675" s="228"/>
      <c r="P675" s="228"/>
      <c r="Q675" s="228"/>
      <c r="R675" s="228"/>
      <c r="S675" s="228"/>
      <c r="T675" s="228"/>
      <c r="U675" s="228"/>
      <c r="V675" s="228"/>
      <c r="W675" s="228"/>
      <c r="X675" s="228"/>
      <c r="Y675" s="228"/>
      <c r="Z675" s="228"/>
      <c r="AA675" s="228"/>
      <c r="AB675" s="228"/>
      <c r="AC675" s="228"/>
      <c r="AD675" s="228"/>
      <c r="AE675" s="228"/>
      <c r="AF675" s="228"/>
      <c r="AG675" s="228"/>
      <c r="AH675" s="228"/>
      <c r="AI675" s="228"/>
      <c r="AJ675" s="228"/>
      <c r="AK675" s="228"/>
      <c r="AL675" s="228"/>
      <c r="AM675" s="228"/>
      <c r="AN675" s="228"/>
      <c r="AO675" s="228"/>
      <c r="AP675" s="228"/>
      <c r="AQ675" s="228"/>
    </row>
    <row r="676">
      <c r="A676" s="228"/>
      <c r="B676" s="228"/>
      <c r="C676" s="228"/>
      <c r="D676" s="228"/>
      <c r="E676" s="228"/>
      <c r="F676" s="228"/>
      <c r="G676" s="228"/>
      <c r="H676" s="228"/>
      <c r="I676" s="228"/>
      <c r="J676" s="228"/>
      <c r="K676" s="228"/>
      <c r="L676" s="228"/>
      <c r="M676" s="228"/>
      <c r="N676" s="228"/>
      <c r="O676" s="228"/>
      <c r="P676" s="228"/>
      <c r="Q676" s="228"/>
      <c r="R676" s="228"/>
      <c r="S676" s="228"/>
      <c r="T676" s="228"/>
      <c r="U676" s="228"/>
      <c r="V676" s="228"/>
      <c r="W676" s="228"/>
      <c r="X676" s="228"/>
      <c r="Y676" s="228"/>
      <c r="Z676" s="228"/>
      <c r="AA676" s="228"/>
      <c r="AB676" s="228"/>
      <c r="AC676" s="228"/>
      <c r="AD676" s="228"/>
      <c r="AE676" s="228"/>
      <c r="AF676" s="228"/>
      <c r="AG676" s="228"/>
      <c r="AH676" s="228"/>
      <c r="AI676" s="228"/>
      <c r="AJ676" s="228"/>
      <c r="AK676" s="228"/>
      <c r="AL676" s="228"/>
      <c r="AM676" s="228"/>
      <c r="AN676" s="228"/>
      <c r="AO676" s="228"/>
      <c r="AP676" s="228"/>
      <c r="AQ676" s="228"/>
    </row>
    <row r="677">
      <c r="A677" s="228"/>
      <c r="B677" s="228"/>
      <c r="C677" s="228"/>
      <c r="D677" s="228"/>
      <c r="E677" s="228"/>
      <c r="F677" s="228"/>
      <c r="G677" s="228"/>
      <c r="H677" s="228"/>
      <c r="I677" s="228"/>
      <c r="J677" s="228"/>
      <c r="K677" s="228"/>
      <c r="L677" s="228"/>
      <c r="M677" s="228"/>
      <c r="N677" s="228"/>
      <c r="O677" s="228"/>
      <c r="P677" s="228"/>
      <c r="Q677" s="228"/>
      <c r="R677" s="228"/>
      <c r="S677" s="228"/>
      <c r="T677" s="228"/>
      <c r="U677" s="228"/>
      <c r="V677" s="228"/>
      <c r="W677" s="228"/>
      <c r="X677" s="228"/>
      <c r="Y677" s="228"/>
      <c r="Z677" s="228"/>
      <c r="AA677" s="228"/>
      <c r="AB677" s="228"/>
      <c r="AC677" s="228"/>
      <c r="AD677" s="228"/>
      <c r="AE677" s="228"/>
      <c r="AF677" s="228"/>
      <c r="AG677" s="228"/>
      <c r="AH677" s="228"/>
      <c r="AI677" s="228"/>
      <c r="AJ677" s="228"/>
      <c r="AK677" s="228"/>
      <c r="AL677" s="228"/>
      <c r="AM677" s="228"/>
      <c r="AN677" s="228"/>
      <c r="AO677" s="228"/>
      <c r="AP677" s="228"/>
      <c r="AQ677" s="228"/>
    </row>
    <row r="678">
      <c r="A678" s="228"/>
      <c r="B678" s="228"/>
      <c r="C678" s="228"/>
      <c r="D678" s="228"/>
      <c r="E678" s="228"/>
      <c r="F678" s="228"/>
      <c r="G678" s="228"/>
      <c r="H678" s="228"/>
      <c r="I678" s="228"/>
      <c r="J678" s="228"/>
      <c r="K678" s="228"/>
      <c r="L678" s="228"/>
      <c r="M678" s="228"/>
      <c r="N678" s="228"/>
      <c r="O678" s="228"/>
      <c r="P678" s="228"/>
      <c r="Q678" s="228"/>
      <c r="R678" s="228"/>
      <c r="S678" s="228"/>
      <c r="T678" s="228"/>
      <c r="U678" s="228"/>
      <c r="V678" s="228"/>
      <c r="W678" s="228"/>
      <c r="X678" s="228"/>
      <c r="Y678" s="228"/>
      <c r="Z678" s="228"/>
      <c r="AA678" s="228"/>
      <c r="AB678" s="228"/>
      <c r="AC678" s="228"/>
      <c r="AD678" s="228"/>
      <c r="AE678" s="228"/>
      <c r="AF678" s="228"/>
      <c r="AG678" s="228"/>
      <c r="AH678" s="228"/>
      <c r="AI678" s="228"/>
      <c r="AJ678" s="228"/>
      <c r="AK678" s="228"/>
      <c r="AL678" s="228"/>
      <c r="AM678" s="228"/>
      <c r="AN678" s="228"/>
      <c r="AO678" s="228"/>
      <c r="AP678" s="228"/>
      <c r="AQ678" s="228"/>
    </row>
    <row r="679">
      <c r="A679" s="228"/>
      <c r="B679" s="228"/>
      <c r="C679" s="228"/>
      <c r="D679" s="228"/>
      <c r="E679" s="228"/>
      <c r="F679" s="228"/>
      <c r="G679" s="228"/>
      <c r="H679" s="228"/>
      <c r="I679" s="228"/>
      <c r="J679" s="228"/>
      <c r="K679" s="228"/>
      <c r="L679" s="228"/>
      <c r="M679" s="228"/>
      <c r="N679" s="228"/>
      <c r="O679" s="228"/>
      <c r="P679" s="228"/>
      <c r="Q679" s="228"/>
      <c r="R679" s="228"/>
      <c r="S679" s="228"/>
      <c r="T679" s="228"/>
      <c r="U679" s="228"/>
      <c r="V679" s="228"/>
      <c r="W679" s="228"/>
      <c r="X679" s="228"/>
      <c r="Y679" s="228"/>
      <c r="Z679" s="228"/>
      <c r="AA679" s="228"/>
      <c r="AB679" s="228"/>
      <c r="AC679" s="228"/>
      <c r="AD679" s="228"/>
      <c r="AE679" s="228"/>
      <c r="AF679" s="228"/>
      <c r="AG679" s="228"/>
      <c r="AH679" s="228"/>
      <c r="AI679" s="228"/>
      <c r="AJ679" s="228"/>
      <c r="AK679" s="228"/>
      <c r="AL679" s="228"/>
      <c r="AM679" s="228"/>
      <c r="AN679" s="228"/>
      <c r="AO679" s="228"/>
      <c r="AP679" s="228"/>
      <c r="AQ679" s="228"/>
    </row>
    <row r="680">
      <c r="A680" s="228"/>
      <c r="B680" s="228"/>
      <c r="C680" s="228"/>
      <c r="D680" s="228"/>
      <c r="E680" s="228"/>
      <c r="F680" s="228"/>
      <c r="G680" s="228"/>
      <c r="H680" s="228"/>
      <c r="I680" s="228"/>
      <c r="J680" s="228"/>
      <c r="K680" s="228"/>
      <c r="L680" s="228"/>
      <c r="M680" s="228"/>
      <c r="N680" s="228"/>
      <c r="O680" s="228"/>
      <c r="P680" s="228"/>
      <c r="Q680" s="228"/>
      <c r="R680" s="228"/>
      <c r="S680" s="228"/>
      <c r="T680" s="228"/>
      <c r="U680" s="228"/>
      <c r="V680" s="228"/>
      <c r="W680" s="228"/>
      <c r="X680" s="228"/>
      <c r="Y680" s="228"/>
      <c r="Z680" s="228"/>
      <c r="AA680" s="228"/>
      <c r="AB680" s="228"/>
      <c r="AC680" s="228"/>
      <c r="AD680" s="228"/>
      <c r="AE680" s="228"/>
      <c r="AF680" s="228"/>
      <c r="AG680" s="228"/>
      <c r="AH680" s="228"/>
      <c r="AI680" s="228"/>
      <c r="AJ680" s="228"/>
      <c r="AK680" s="228"/>
      <c r="AL680" s="228"/>
      <c r="AM680" s="228"/>
      <c r="AN680" s="228"/>
      <c r="AO680" s="228"/>
      <c r="AP680" s="228"/>
      <c r="AQ680" s="228"/>
    </row>
    <row r="681">
      <c r="A681" s="228"/>
      <c r="B681" s="228"/>
      <c r="C681" s="228"/>
      <c r="D681" s="228"/>
      <c r="E681" s="228"/>
      <c r="F681" s="228"/>
      <c r="G681" s="228"/>
      <c r="H681" s="228"/>
      <c r="I681" s="228"/>
      <c r="J681" s="228"/>
      <c r="K681" s="228"/>
      <c r="L681" s="228"/>
      <c r="M681" s="228"/>
      <c r="N681" s="228"/>
      <c r="O681" s="228"/>
      <c r="P681" s="228"/>
      <c r="Q681" s="228"/>
      <c r="R681" s="228"/>
      <c r="S681" s="228"/>
      <c r="T681" s="228"/>
      <c r="U681" s="228"/>
      <c r="V681" s="228"/>
      <c r="W681" s="228"/>
      <c r="X681" s="228"/>
      <c r="Y681" s="228"/>
      <c r="Z681" s="228"/>
      <c r="AA681" s="228"/>
      <c r="AB681" s="228"/>
      <c r="AC681" s="228"/>
      <c r="AD681" s="228"/>
      <c r="AE681" s="228"/>
      <c r="AF681" s="228"/>
      <c r="AG681" s="228"/>
      <c r="AH681" s="228"/>
      <c r="AI681" s="228"/>
      <c r="AJ681" s="228"/>
      <c r="AK681" s="228"/>
      <c r="AL681" s="228"/>
      <c r="AM681" s="228"/>
      <c r="AN681" s="228"/>
      <c r="AO681" s="228"/>
      <c r="AP681" s="228"/>
      <c r="AQ681" s="228"/>
    </row>
    <row r="682">
      <c r="A682" s="228"/>
      <c r="B682" s="228"/>
      <c r="C682" s="228"/>
      <c r="D682" s="228"/>
      <c r="E682" s="228"/>
      <c r="F682" s="228"/>
      <c r="G682" s="228"/>
      <c r="H682" s="228"/>
      <c r="I682" s="228"/>
      <c r="J682" s="228"/>
      <c r="K682" s="228"/>
      <c r="L682" s="228"/>
      <c r="M682" s="228"/>
      <c r="N682" s="228"/>
      <c r="O682" s="228"/>
      <c r="P682" s="228"/>
      <c r="Q682" s="228"/>
      <c r="R682" s="228"/>
      <c r="S682" s="228"/>
      <c r="T682" s="228"/>
      <c r="U682" s="228"/>
      <c r="V682" s="228"/>
      <c r="W682" s="228"/>
      <c r="X682" s="228"/>
      <c r="Y682" s="228"/>
      <c r="Z682" s="228"/>
      <c r="AA682" s="228"/>
      <c r="AB682" s="228"/>
      <c r="AC682" s="228"/>
      <c r="AD682" s="228"/>
      <c r="AE682" s="228"/>
      <c r="AF682" s="228"/>
      <c r="AG682" s="228"/>
      <c r="AH682" s="228"/>
      <c r="AI682" s="228"/>
      <c r="AJ682" s="228"/>
      <c r="AK682" s="228"/>
      <c r="AL682" s="228"/>
      <c r="AM682" s="228"/>
      <c r="AN682" s="228"/>
      <c r="AO682" s="228"/>
      <c r="AP682" s="228"/>
      <c r="AQ682" s="228"/>
    </row>
    <row r="683">
      <c r="A683" s="228"/>
      <c r="B683" s="228"/>
      <c r="C683" s="228"/>
      <c r="D683" s="228"/>
      <c r="E683" s="228"/>
      <c r="F683" s="228"/>
      <c r="G683" s="228"/>
      <c r="H683" s="228"/>
      <c r="I683" s="228"/>
      <c r="J683" s="228"/>
      <c r="K683" s="228"/>
      <c r="L683" s="228"/>
      <c r="M683" s="228"/>
      <c r="N683" s="228"/>
      <c r="O683" s="228"/>
      <c r="P683" s="228"/>
      <c r="Q683" s="228"/>
      <c r="R683" s="228"/>
      <c r="S683" s="228"/>
      <c r="T683" s="228"/>
      <c r="U683" s="228"/>
      <c r="V683" s="228"/>
      <c r="W683" s="228"/>
      <c r="X683" s="228"/>
      <c r="Y683" s="228"/>
      <c r="Z683" s="228"/>
      <c r="AA683" s="228"/>
      <c r="AB683" s="228"/>
      <c r="AC683" s="228"/>
      <c r="AD683" s="228"/>
      <c r="AE683" s="228"/>
      <c r="AF683" s="228"/>
      <c r="AG683" s="228"/>
      <c r="AH683" s="228"/>
      <c r="AI683" s="228"/>
      <c r="AJ683" s="228"/>
      <c r="AK683" s="228"/>
      <c r="AL683" s="228"/>
      <c r="AM683" s="228"/>
      <c r="AN683" s="228"/>
      <c r="AO683" s="228"/>
      <c r="AP683" s="228"/>
      <c r="AQ683" s="228"/>
    </row>
    <row r="684">
      <c r="A684" s="228"/>
      <c r="B684" s="228"/>
      <c r="C684" s="228"/>
      <c r="D684" s="228"/>
      <c r="E684" s="228"/>
      <c r="F684" s="228"/>
      <c r="G684" s="228"/>
      <c r="H684" s="228"/>
      <c r="I684" s="228"/>
      <c r="J684" s="228"/>
      <c r="K684" s="228"/>
      <c r="L684" s="228"/>
      <c r="M684" s="228"/>
      <c r="N684" s="228"/>
      <c r="O684" s="228"/>
      <c r="P684" s="228"/>
      <c r="Q684" s="228"/>
      <c r="R684" s="228"/>
      <c r="S684" s="228"/>
      <c r="T684" s="228"/>
      <c r="U684" s="228"/>
      <c r="V684" s="228"/>
      <c r="W684" s="228"/>
      <c r="X684" s="228"/>
      <c r="Y684" s="228"/>
      <c r="Z684" s="228"/>
      <c r="AA684" s="228"/>
      <c r="AB684" s="228"/>
      <c r="AC684" s="228"/>
      <c r="AD684" s="228"/>
      <c r="AE684" s="228"/>
      <c r="AF684" s="228"/>
      <c r="AG684" s="228"/>
      <c r="AH684" s="228"/>
      <c r="AI684" s="228"/>
      <c r="AJ684" s="228"/>
      <c r="AK684" s="228"/>
      <c r="AL684" s="228"/>
      <c r="AM684" s="228"/>
      <c r="AN684" s="228"/>
      <c r="AO684" s="228"/>
      <c r="AP684" s="228"/>
      <c r="AQ684" s="228"/>
    </row>
    <row r="685">
      <c r="A685" s="228"/>
      <c r="B685" s="228"/>
      <c r="C685" s="228"/>
      <c r="D685" s="228"/>
      <c r="E685" s="228"/>
      <c r="F685" s="228"/>
      <c r="G685" s="228"/>
      <c r="H685" s="228"/>
      <c r="I685" s="228"/>
      <c r="J685" s="228"/>
      <c r="K685" s="228"/>
      <c r="L685" s="228"/>
      <c r="M685" s="228"/>
      <c r="N685" s="228"/>
      <c r="O685" s="228"/>
      <c r="P685" s="228"/>
      <c r="Q685" s="228"/>
      <c r="R685" s="228"/>
      <c r="S685" s="228"/>
      <c r="T685" s="228"/>
      <c r="U685" s="228"/>
      <c r="V685" s="228"/>
      <c r="W685" s="228"/>
      <c r="X685" s="228"/>
      <c r="Y685" s="228"/>
      <c r="Z685" s="228"/>
      <c r="AA685" s="228"/>
      <c r="AB685" s="228"/>
      <c r="AC685" s="228"/>
      <c r="AD685" s="228"/>
      <c r="AE685" s="228"/>
      <c r="AF685" s="228"/>
      <c r="AG685" s="228"/>
      <c r="AH685" s="228"/>
      <c r="AI685" s="228"/>
      <c r="AJ685" s="228"/>
      <c r="AK685" s="228"/>
      <c r="AL685" s="228"/>
      <c r="AM685" s="228"/>
      <c r="AN685" s="228"/>
      <c r="AO685" s="228"/>
      <c r="AP685" s="228"/>
      <c r="AQ685" s="228"/>
    </row>
    <row r="686">
      <c r="A686" s="228"/>
      <c r="B686" s="228"/>
      <c r="C686" s="228"/>
      <c r="D686" s="228"/>
      <c r="E686" s="228"/>
      <c r="F686" s="228"/>
      <c r="G686" s="228"/>
      <c r="H686" s="228"/>
      <c r="I686" s="228"/>
      <c r="J686" s="228"/>
      <c r="K686" s="228"/>
      <c r="L686" s="228"/>
      <c r="M686" s="228"/>
      <c r="N686" s="228"/>
      <c r="O686" s="228"/>
      <c r="P686" s="228"/>
      <c r="Q686" s="228"/>
      <c r="R686" s="228"/>
      <c r="S686" s="228"/>
      <c r="T686" s="228"/>
      <c r="U686" s="228"/>
      <c r="V686" s="228"/>
      <c r="W686" s="228"/>
      <c r="X686" s="228"/>
      <c r="Y686" s="228"/>
      <c r="Z686" s="228"/>
      <c r="AA686" s="228"/>
      <c r="AB686" s="228"/>
      <c r="AC686" s="228"/>
      <c r="AD686" s="228"/>
      <c r="AE686" s="228"/>
      <c r="AF686" s="228"/>
      <c r="AG686" s="228"/>
      <c r="AH686" s="228"/>
      <c r="AI686" s="228"/>
      <c r="AJ686" s="228"/>
      <c r="AK686" s="228"/>
      <c r="AL686" s="228"/>
      <c r="AM686" s="228"/>
      <c r="AN686" s="228"/>
      <c r="AO686" s="228"/>
      <c r="AP686" s="228"/>
      <c r="AQ686" s="228"/>
    </row>
    <row r="687">
      <c r="A687" s="228"/>
      <c r="B687" s="228"/>
      <c r="C687" s="228"/>
      <c r="D687" s="228"/>
      <c r="E687" s="228"/>
      <c r="F687" s="228"/>
      <c r="G687" s="228"/>
      <c r="H687" s="228"/>
      <c r="I687" s="228"/>
      <c r="J687" s="228"/>
      <c r="K687" s="228"/>
      <c r="L687" s="228"/>
      <c r="M687" s="228"/>
      <c r="N687" s="228"/>
      <c r="O687" s="228"/>
      <c r="P687" s="228"/>
      <c r="Q687" s="228"/>
      <c r="R687" s="228"/>
      <c r="S687" s="228"/>
      <c r="T687" s="228"/>
      <c r="U687" s="228"/>
      <c r="V687" s="228"/>
      <c r="W687" s="228"/>
      <c r="X687" s="228"/>
      <c r="Y687" s="228"/>
      <c r="Z687" s="228"/>
      <c r="AA687" s="228"/>
      <c r="AB687" s="228"/>
      <c r="AC687" s="228"/>
      <c r="AD687" s="228"/>
      <c r="AE687" s="228"/>
      <c r="AF687" s="228"/>
      <c r="AG687" s="228"/>
      <c r="AH687" s="228"/>
      <c r="AI687" s="228"/>
      <c r="AJ687" s="228"/>
      <c r="AK687" s="228"/>
      <c r="AL687" s="228"/>
      <c r="AM687" s="228"/>
      <c r="AN687" s="228"/>
      <c r="AO687" s="228"/>
      <c r="AP687" s="228"/>
      <c r="AQ687" s="228"/>
    </row>
    <row r="688">
      <c r="A688" s="228"/>
      <c r="B688" s="228"/>
      <c r="C688" s="228"/>
      <c r="D688" s="228"/>
      <c r="E688" s="228"/>
      <c r="F688" s="228"/>
      <c r="G688" s="228"/>
      <c r="H688" s="228"/>
      <c r="I688" s="228"/>
      <c r="J688" s="228"/>
      <c r="K688" s="228"/>
      <c r="L688" s="228"/>
      <c r="M688" s="228"/>
      <c r="N688" s="228"/>
      <c r="O688" s="228"/>
      <c r="P688" s="228"/>
      <c r="Q688" s="228"/>
      <c r="R688" s="228"/>
      <c r="S688" s="228"/>
      <c r="T688" s="228"/>
      <c r="U688" s="228"/>
      <c r="V688" s="228"/>
      <c r="W688" s="228"/>
      <c r="X688" s="228"/>
      <c r="Y688" s="228"/>
      <c r="Z688" s="228"/>
      <c r="AA688" s="228"/>
      <c r="AB688" s="228"/>
      <c r="AC688" s="228"/>
      <c r="AD688" s="228"/>
      <c r="AE688" s="228"/>
      <c r="AF688" s="228"/>
      <c r="AG688" s="228"/>
      <c r="AH688" s="228"/>
      <c r="AI688" s="228"/>
      <c r="AJ688" s="228"/>
      <c r="AK688" s="228"/>
      <c r="AL688" s="228"/>
      <c r="AM688" s="228"/>
      <c r="AN688" s="228"/>
      <c r="AO688" s="228"/>
      <c r="AP688" s="228"/>
      <c r="AQ688" s="228"/>
    </row>
    <row r="689">
      <c r="A689" s="228"/>
      <c r="B689" s="228"/>
      <c r="C689" s="228"/>
      <c r="D689" s="228"/>
      <c r="E689" s="228"/>
      <c r="F689" s="228"/>
      <c r="G689" s="228"/>
      <c r="H689" s="228"/>
      <c r="I689" s="228"/>
      <c r="J689" s="228"/>
      <c r="K689" s="228"/>
      <c r="L689" s="228"/>
      <c r="M689" s="228"/>
      <c r="N689" s="228"/>
      <c r="O689" s="228"/>
      <c r="P689" s="228"/>
      <c r="Q689" s="228"/>
      <c r="R689" s="228"/>
      <c r="S689" s="228"/>
      <c r="T689" s="228"/>
      <c r="U689" s="228"/>
      <c r="V689" s="228"/>
      <c r="W689" s="228"/>
      <c r="X689" s="228"/>
      <c r="Y689" s="228"/>
      <c r="Z689" s="228"/>
      <c r="AA689" s="228"/>
      <c r="AB689" s="228"/>
      <c r="AC689" s="228"/>
      <c r="AD689" s="228"/>
      <c r="AE689" s="228"/>
      <c r="AF689" s="228"/>
      <c r="AG689" s="228"/>
      <c r="AH689" s="228"/>
      <c r="AI689" s="228"/>
      <c r="AJ689" s="228"/>
      <c r="AK689" s="228"/>
      <c r="AL689" s="228"/>
      <c r="AM689" s="228"/>
      <c r="AN689" s="228"/>
      <c r="AO689" s="228"/>
      <c r="AP689" s="228"/>
      <c r="AQ689" s="228"/>
    </row>
    <row r="690">
      <c r="A690" s="228"/>
      <c r="B690" s="228"/>
      <c r="C690" s="228"/>
      <c r="D690" s="228"/>
      <c r="E690" s="228"/>
      <c r="F690" s="228"/>
      <c r="G690" s="228"/>
      <c r="H690" s="228"/>
      <c r="I690" s="228"/>
      <c r="J690" s="228"/>
      <c r="K690" s="228"/>
      <c r="L690" s="228"/>
      <c r="M690" s="228"/>
      <c r="N690" s="228"/>
      <c r="O690" s="228"/>
      <c r="P690" s="228"/>
      <c r="Q690" s="228"/>
      <c r="R690" s="228"/>
      <c r="S690" s="228"/>
      <c r="T690" s="228"/>
      <c r="U690" s="228"/>
      <c r="V690" s="228"/>
      <c r="W690" s="228"/>
      <c r="X690" s="228"/>
      <c r="Y690" s="228"/>
      <c r="Z690" s="228"/>
      <c r="AA690" s="228"/>
      <c r="AB690" s="228"/>
      <c r="AC690" s="228"/>
      <c r="AD690" s="228"/>
      <c r="AE690" s="228"/>
      <c r="AF690" s="228"/>
      <c r="AG690" s="228"/>
      <c r="AH690" s="228"/>
      <c r="AI690" s="228"/>
      <c r="AJ690" s="228"/>
      <c r="AK690" s="228"/>
      <c r="AL690" s="228"/>
      <c r="AM690" s="228"/>
      <c r="AN690" s="228"/>
      <c r="AO690" s="228"/>
      <c r="AP690" s="228"/>
      <c r="AQ690" s="228"/>
    </row>
    <row r="691">
      <c r="A691" s="228"/>
      <c r="B691" s="228"/>
      <c r="C691" s="228"/>
      <c r="D691" s="228"/>
      <c r="E691" s="228"/>
      <c r="F691" s="228"/>
      <c r="G691" s="228"/>
      <c r="H691" s="228"/>
      <c r="I691" s="228"/>
      <c r="J691" s="228"/>
      <c r="K691" s="228"/>
      <c r="L691" s="228"/>
      <c r="M691" s="228"/>
      <c r="N691" s="228"/>
      <c r="O691" s="228"/>
      <c r="P691" s="228"/>
      <c r="Q691" s="228"/>
      <c r="R691" s="228"/>
      <c r="S691" s="228"/>
      <c r="T691" s="228"/>
      <c r="U691" s="228"/>
      <c r="V691" s="228"/>
      <c r="W691" s="228"/>
      <c r="X691" s="228"/>
      <c r="Y691" s="228"/>
      <c r="Z691" s="228"/>
      <c r="AA691" s="228"/>
      <c r="AB691" s="228"/>
      <c r="AC691" s="228"/>
      <c r="AD691" s="228"/>
      <c r="AE691" s="228"/>
      <c r="AF691" s="228"/>
      <c r="AG691" s="228"/>
      <c r="AH691" s="228"/>
      <c r="AI691" s="228"/>
      <c r="AJ691" s="228"/>
      <c r="AK691" s="228"/>
      <c r="AL691" s="228"/>
      <c r="AM691" s="228"/>
      <c r="AN691" s="228"/>
      <c r="AO691" s="228"/>
      <c r="AP691" s="228"/>
      <c r="AQ691" s="228"/>
    </row>
    <row r="692">
      <c r="A692" s="228"/>
      <c r="B692" s="228"/>
      <c r="C692" s="228"/>
      <c r="D692" s="228"/>
      <c r="E692" s="228"/>
      <c r="F692" s="228"/>
      <c r="G692" s="228"/>
      <c r="H692" s="228"/>
      <c r="I692" s="228"/>
      <c r="J692" s="228"/>
      <c r="K692" s="228"/>
      <c r="L692" s="228"/>
      <c r="M692" s="228"/>
      <c r="N692" s="228"/>
      <c r="O692" s="228"/>
      <c r="P692" s="228"/>
      <c r="Q692" s="228"/>
      <c r="R692" s="228"/>
      <c r="S692" s="228"/>
      <c r="T692" s="228"/>
      <c r="U692" s="228"/>
      <c r="V692" s="228"/>
      <c r="W692" s="228"/>
      <c r="X692" s="228"/>
      <c r="Y692" s="228"/>
      <c r="Z692" s="228"/>
      <c r="AA692" s="228"/>
      <c r="AB692" s="228"/>
      <c r="AC692" s="228"/>
      <c r="AD692" s="228"/>
      <c r="AE692" s="228"/>
      <c r="AF692" s="228"/>
      <c r="AG692" s="228"/>
      <c r="AH692" s="228"/>
      <c r="AI692" s="228"/>
      <c r="AJ692" s="228"/>
      <c r="AK692" s="228"/>
      <c r="AL692" s="228"/>
      <c r="AM692" s="228"/>
      <c r="AN692" s="228"/>
      <c r="AO692" s="228"/>
      <c r="AP692" s="228"/>
      <c r="AQ692" s="228"/>
    </row>
    <row r="693">
      <c r="A693" s="228"/>
      <c r="B693" s="228"/>
      <c r="C693" s="228"/>
      <c r="D693" s="228"/>
      <c r="E693" s="228"/>
      <c r="F693" s="228"/>
      <c r="G693" s="228"/>
      <c r="H693" s="228"/>
      <c r="I693" s="228"/>
      <c r="J693" s="228"/>
      <c r="K693" s="228"/>
      <c r="L693" s="228"/>
      <c r="M693" s="228"/>
      <c r="N693" s="228"/>
      <c r="O693" s="228"/>
      <c r="P693" s="228"/>
      <c r="Q693" s="228"/>
      <c r="R693" s="228"/>
      <c r="S693" s="228"/>
      <c r="T693" s="228"/>
      <c r="U693" s="228"/>
      <c r="V693" s="228"/>
      <c r="W693" s="228"/>
      <c r="X693" s="228"/>
      <c r="Y693" s="228"/>
      <c r="Z693" s="228"/>
      <c r="AA693" s="228"/>
      <c r="AB693" s="228"/>
      <c r="AC693" s="228"/>
      <c r="AD693" s="228"/>
      <c r="AE693" s="228"/>
      <c r="AF693" s="228"/>
      <c r="AG693" s="228"/>
      <c r="AH693" s="228"/>
      <c r="AI693" s="228"/>
      <c r="AJ693" s="228"/>
      <c r="AK693" s="228"/>
      <c r="AL693" s="228"/>
      <c r="AM693" s="228"/>
      <c r="AN693" s="228"/>
      <c r="AO693" s="228"/>
      <c r="AP693" s="228"/>
      <c r="AQ693" s="228"/>
    </row>
    <row r="694">
      <c r="A694" s="228"/>
      <c r="B694" s="228"/>
      <c r="C694" s="228"/>
      <c r="D694" s="228"/>
      <c r="E694" s="228"/>
      <c r="F694" s="228"/>
      <c r="G694" s="228"/>
      <c r="H694" s="228"/>
      <c r="I694" s="228"/>
      <c r="J694" s="228"/>
      <c r="K694" s="228"/>
      <c r="L694" s="228"/>
      <c r="M694" s="228"/>
      <c r="N694" s="228"/>
      <c r="O694" s="228"/>
      <c r="P694" s="228"/>
      <c r="Q694" s="228"/>
      <c r="R694" s="228"/>
      <c r="S694" s="228"/>
      <c r="T694" s="228"/>
      <c r="U694" s="228"/>
      <c r="V694" s="228"/>
      <c r="W694" s="228"/>
      <c r="X694" s="228"/>
      <c r="Y694" s="228"/>
      <c r="Z694" s="228"/>
      <c r="AA694" s="228"/>
      <c r="AB694" s="228"/>
      <c r="AC694" s="228"/>
      <c r="AD694" s="228"/>
      <c r="AE694" s="228"/>
      <c r="AF694" s="228"/>
      <c r="AG694" s="228"/>
      <c r="AH694" s="228"/>
      <c r="AI694" s="228"/>
      <c r="AJ694" s="228"/>
      <c r="AK694" s="228"/>
      <c r="AL694" s="228"/>
      <c r="AM694" s="228"/>
      <c r="AN694" s="228"/>
      <c r="AO694" s="228"/>
      <c r="AP694" s="228"/>
      <c r="AQ694" s="228"/>
    </row>
    <row r="695">
      <c r="A695" s="228"/>
      <c r="B695" s="228"/>
      <c r="C695" s="228"/>
      <c r="D695" s="228"/>
      <c r="E695" s="228"/>
      <c r="F695" s="228"/>
      <c r="G695" s="228"/>
      <c r="H695" s="228"/>
      <c r="I695" s="228"/>
      <c r="J695" s="228"/>
      <c r="K695" s="228"/>
      <c r="L695" s="228"/>
      <c r="M695" s="228"/>
      <c r="N695" s="228"/>
      <c r="O695" s="228"/>
      <c r="P695" s="228"/>
      <c r="Q695" s="228"/>
      <c r="R695" s="228"/>
      <c r="S695" s="228"/>
      <c r="T695" s="228"/>
      <c r="U695" s="228"/>
      <c r="V695" s="228"/>
      <c r="W695" s="228"/>
      <c r="X695" s="228"/>
      <c r="Y695" s="228"/>
      <c r="Z695" s="228"/>
      <c r="AA695" s="228"/>
      <c r="AB695" s="228"/>
      <c r="AC695" s="228"/>
      <c r="AD695" s="228"/>
      <c r="AE695" s="228"/>
      <c r="AF695" s="228"/>
      <c r="AG695" s="228"/>
      <c r="AH695" s="228"/>
      <c r="AI695" s="228"/>
      <c r="AJ695" s="228"/>
      <c r="AK695" s="228"/>
      <c r="AL695" s="228"/>
      <c r="AM695" s="228"/>
      <c r="AN695" s="228"/>
      <c r="AO695" s="228"/>
      <c r="AP695" s="228"/>
      <c r="AQ695" s="228"/>
    </row>
    <row r="696">
      <c r="A696" s="228"/>
      <c r="B696" s="228"/>
      <c r="C696" s="228"/>
      <c r="D696" s="228"/>
      <c r="E696" s="228"/>
      <c r="F696" s="228"/>
      <c r="G696" s="228"/>
      <c r="H696" s="228"/>
      <c r="I696" s="228"/>
      <c r="J696" s="228"/>
      <c r="K696" s="228"/>
      <c r="L696" s="228"/>
      <c r="M696" s="228"/>
      <c r="N696" s="228"/>
      <c r="O696" s="228"/>
      <c r="P696" s="228"/>
      <c r="Q696" s="228"/>
      <c r="R696" s="228"/>
      <c r="S696" s="228"/>
      <c r="T696" s="228"/>
      <c r="U696" s="228"/>
      <c r="V696" s="228"/>
      <c r="W696" s="228"/>
      <c r="X696" s="228"/>
      <c r="Y696" s="228"/>
      <c r="Z696" s="228"/>
      <c r="AA696" s="228"/>
      <c r="AB696" s="228"/>
      <c r="AC696" s="228"/>
      <c r="AD696" s="228"/>
      <c r="AE696" s="228"/>
      <c r="AF696" s="228"/>
      <c r="AG696" s="228"/>
      <c r="AH696" s="228"/>
      <c r="AI696" s="228"/>
      <c r="AJ696" s="228"/>
      <c r="AK696" s="228"/>
      <c r="AL696" s="228"/>
      <c r="AM696" s="228"/>
      <c r="AN696" s="228"/>
      <c r="AO696" s="228"/>
      <c r="AP696" s="228"/>
      <c r="AQ696" s="228"/>
    </row>
    <row r="697">
      <c r="A697" s="228"/>
      <c r="B697" s="228"/>
      <c r="C697" s="228"/>
      <c r="D697" s="228"/>
      <c r="E697" s="228"/>
      <c r="F697" s="228"/>
      <c r="G697" s="228"/>
      <c r="H697" s="228"/>
      <c r="I697" s="228"/>
      <c r="J697" s="228"/>
      <c r="K697" s="228"/>
      <c r="L697" s="228"/>
      <c r="M697" s="228"/>
      <c r="N697" s="228"/>
      <c r="O697" s="228"/>
      <c r="P697" s="228"/>
      <c r="Q697" s="228"/>
      <c r="R697" s="228"/>
      <c r="S697" s="228"/>
      <c r="T697" s="228"/>
      <c r="U697" s="228"/>
      <c r="V697" s="228"/>
      <c r="W697" s="228"/>
      <c r="X697" s="228"/>
      <c r="Y697" s="228"/>
      <c r="Z697" s="228"/>
      <c r="AA697" s="228"/>
      <c r="AB697" s="228"/>
      <c r="AC697" s="228"/>
      <c r="AD697" s="228"/>
      <c r="AE697" s="228"/>
      <c r="AF697" s="228"/>
      <c r="AG697" s="228"/>
      <c r="AH697" s="228"/>
      <c r="AI697" s="228"/>
      <c r="AJ697" s="228"/>
      <c r="AK697" s="228"/>
      <c r="AL697" s="228"/>
      <c r="AM697" s="228"/>
      <c r="AN697" s="228"/>
      <c r="AO697" s="228"/>
      <c r="AP697" s="228"/>
      <c r="AQ697" s="228"/>
    </row>
    <row r="698">
      <c r="A698" s="228"/>
      <c r="B698" s="228"/>
      <c r="C698" s="228"/>
      <c r="D698" s="228"/>
      <c r="E698" s="228"/>
      <c r="F698" s="228"/>
      <c r="G698" s="228"/>
      <c r="H698" s="228"/>
      <c r="I698" s="228"/>
      <c r="J698" s="228"/>
      <c r="K698" s="228"/>
      <c r="L698" s="228"/>
      <c r="M698" s="228"/>
      <c r="N698" s="228"/>
      <c r="O698" s="228"/>
      <c r="P698" s="228"/>
      <c r="Q698" s="228"/>
      <c r="R698" s="228"/>
      <c r="S698" s="228"/>
      <c r="T698" s="228"/>
      <c r="U698" s="228"/>
      <c r="V698" s="228"/>
      <c r="W698" s="228"/>
      <c r="X698" s="228"/>
      <c r="Y698" s="228"/>
      <c r="Z698" s="228"/>
      <c r="AA698" s="228"/>
      <c r="AB698" s="228"/>
      <c r="AC698" s="228"/>
      <c r="AD698" s="228"/>
      <c r="AE698" s="228"/>
      <c r="AF698" s="228"/>
      <c r="AG698" s="228"/>
      <c r="AH698" s="228"/>
      <c r="AI698" s="228"/>
      <c r="AJ698" s="228"/>
      <c r="AK698" s="228"/>
      <c r="AL698" s="228"/>
      <c r="AM698" s="228"/>
      <c r="AN698" s="228"/>
      <c r="AO698" s="228"/>
      <c r="AP698" s="228"/>
      <c r="AQ698" s="228"/>
    </row>
    <row r="699">
      <c r="A699" s="228"/>
      <c r="B699" s="228"/>
      <c r="C699" s="228"/>
      <c r="D699" s="228"/>
      <c r="E699" s="228"/>
      <c r="F699" s="228"/>
      <c r="G699" s="228"/>
      <c r="H699" s="228"/>
      <c r="I699" s="228"/>
      <c r="J699" s="228"/>
      <c r="K699" s="228"/>
      <c r="L699" s="228"/>
      <c r="M699" s="228"/>
      <c r="N699" s="228"/>
      <c r="O699" s="228"/>
      <c r="P699" s="228"/>
      <c r="Q699" s="228"/>
      <c r="R699" s="228"/>
      <c r="S699" s="228"/>
      <c r="T699" s="228"/>
      <c r="U699" s="228"/>
      <c r="V699" s="228"/>
      <c r="W699" s="228"/>
      <c r="X699" s="228"/>
      <c r="Y699" s="228"/>
      <c r="Z699" s="228"/>
      <c r="AA699" s="228"/>
      <c r="AB699" s="228"/>
      <c r="AC699" s="228"/>
      <c r="AD699" s="228"/>
      <c r="AE699" s="228"/>
      <c r="AF699" s="228"/>
      <c r="AG699" s="228"/>
      <c r="AH699" s="228"/>
      <c r="AI699" s="228"/>
      <c r="AJ699" s="228"/>
      <c r="AK699" s="228"/>
      <c r="AL699" s="228"/>
      <c r="AM699" s="228"/>
      <c r="AN699" s="228"/>
      <c r="AO699" s="228"/>
      <c r="AP699" s="228"/>
      <c r="AQ699" s="228"/>
    </row>
    <row r="700">
      <c r="A700" s="228"/>
      <c r="B700" s="228"/>
      <c r="C700" s="228"/>
      <c r="D700" s="228"/>
      <c r="E700" s="228"/>
      <c r="F700" s="228"/>
      <c r="G700" s="228"/>
      <c r="H700" s="228"/>
      <c r="I700" s="228"/>
      <c r="J700" s="228"/>
      <c r="K700" s="228"/>
      <c r="L700" s="228"/>
      <c r="M700" s="228"/>
      <c r="N700" s="228"/>
      <c r="O700" s="228"/>
      <c r="P700" s="228"/>
      <c r="Q700" s="228"/>
      <c r="R700" s="228"/>
      <c r="S700" s="228"/>
      <c r="T700" s="228"/>
      <c r="U700" s="228"/>
      <c r="V700" s="228"/>
      <c r="W700" s="228"/>
      <c r="X700" s="228"/>
      <c r="Y700" s="228"/>
      <c r="Z700" s="228"/>
      <c r="AA700" s="228"/>
      <c r="AB700" s="228"/>
      <c r="AC700" s="228"/>
      <c r="AD700" s="228"/>
      <c r="AE700" s="228"/>
      <c r="AF700" s="228"/>
      <c r="AG700" s="228"/>
      <c r="AH700" s="228"/>
      <c r="AI700" s="228"/>
      <c r="AJ700" s="228"/>
      <c r="AK700" s="228"/>
      <c r="AL700" s="228"/>
      <c r="AM700" s="228"/>
      <c r="AN700" s="228"/>
      <c r="AO700" s="228"/>
      <c r="AP700" s="228"/>
      <c r="AQ700" s="228"/>
    </row>
    <row r="701">
      <c r="A701" s="228"/>
      <c r="B701" s="228"/>
      <c r="C701" s="228"/>
      <c r="D701" s="228"/>
      <c r="E701" s="228"/>
      <c r="F701" s="228"/>
      <c r="G701" s="228"/>
      <c r="H701" s="228"/>
      <c r="I701" s="228"/>
      <c r="J701" s="228"/>
      <c r="K701" s="228"/>
      <c r="L701" s="228"/>
      <c r="M701" s="228"/>
      <c r="N701" s="228"/>
      <c r="O701" s="228"/>
      <c r="P701" s="228"/>
      <c r="Q701" s="228"/>
      <c r="R701" s="228"/>
      <c r="S701" s="228"/>
      <c r="T701" s="228"/>
      <c r="U701" s="228"/>
      <c r="V701" s="228"/>
      <c r="W701" s="228"/>
      <c r="X701" s="228"/>
      <c r="Y701" s="228"/>
      <c r="Z701" s="228"/>
      <c r="AA701" s="228"/>
      <c r="AB701" s="228"/>
      <c r="AC701" s="228"/>
      <c r="AD701" s="228"/>
      <c r="AE701" s="228"/>
      <c r="AF701" s="228"/>
      <c r="AG701" s="228"/>
      <c r="AH701" s="228"/>
      <c r="AI701" s="228"/>
      <c r="AJ701" s="228"/>
      <c r="AK701" s="228"/>
      <c r="AL701" s="228"/>
      <c r="AM701" s="228"/>
      <c r="AN701" s="228"/>
      <c r="AO701" s="228"/>
      <c r="AP701" s="228"/>
      <c r="AQ701" s="228"/>
    </row>
    <row r="702">
      <c r="A702" s="228"/>
      <c r="B702" s="228"/>
      <c r="C702" s="228"/>
      <c r="D702" s="228"/>
      <c r="E702" s="228"/>
      <c r="F702" s="228"/>
      <c r="G702" s="228"/>
      <c r="H702" s="228"/>
      <c r="I702" s="228"/>
      <c r="J702" s="228"/>
      <c r="K702" s="228"/>
      <c r="L702" s="228"/>
      <c r="M702" s="228"/>
      <c r="N702" s="228"/>
      <c r="O702" s="228"/>
      <c r="P702" s="228"/>
      <c r="Q702" s="228"/>
      <c r="R702" s="228"/>
      <c r="S702" s="228"/>
      <c r="T702" s="228"/>
      <c r="U702" s="228"/>
      <c r="V702" s="228"/>
      <c r="W702" s="228"/>
      <c r="X702" s="228"/>
      <c r="Y702" s="228"/>
      <c r="Z702" s="228"/>
      <c r="AA702" s="228"/>
      <c r="AB702" s="228"/>
      <c r="AC702" s="228"/>
      <c r="AD702" s="228"/>
      <c r="AE702" s="228"/>
      <c r="AF702" s="228"/>
      <c r="AG702" s="228"/>
      <c r="AH702" s="228"/>
      <c r="AI702" s="228"/>
      <c r="AJ702" s="228"/>
      <c r="AK702" s="228"/>
      <c r="AL702" s="228"/>
      <c r="AM702" s="228"/>
      <c r="AN702" s="228"/>
      <c r="AO702" s="228"/>
      <c r="AP702" s="228"/>
      <c r="AQ702" s="228"/>
    </row>
    <row r="703">
      <c r="A703" s="228"/>
      <c r="B703" s="228"/>
      <c r="C703" s="228"/>
      <c r="D703" s="228"/>
      <c r="E703" s="228"/>
      <c r="F703" s="228"/>
      <c r="G703" s="228"/>
      <c r="H703" s="228"/>
      <c r="I703" s="228"/>
      <c r="J703" s="228"/>
      <c r="K703" s="228"/>
      <c r="L703" s="228"/>
      <c r="M703" s="228"/>
      <c r="N703" s="228"/>
      <c r="O703" s="228"/>
      <c r="P703" s="228"/>
      <c r="Q703" s="228"/>
      <c r="R703" s="228"/>
      <c r="S703" s="228"/>
      <c r="T703" s="228"/>
      <c r="U703" s="228"/>
      <c r="V703" s="228"/>
      <c r="W703" s="228"/>
      <c r="X703" s="228"/>
      <c r="Y703" s="228"/>
      <c r="Z703" s="228"/>
      <c r="AA703" s="228"/>
      <c r="AB703" s="228"/>
      <c r="AC703" s="228"/>
      <c r="AD703" s="228"/>
      <c r="AE703" s="228"/>
      <c r="AF703" s="228"/>
      <c r="AG703" s="228"/>
      <c r="AH703" s="228"/>
      <c r="AI703" s="228"/>
      <c r="AJ703" s="228"/>
      <c r="AK703" s="228"/>
      <c r="AL703" s="228"/>
      <c r="AM703" s="228"/>
      <c r="AN703" s="228"/>
      <c r="AO703" s="228"/>
      <c r="AP703" s="228"/>
      <c r="AQ703" s="228"/>
    </row>
    <row r="704">
      <c r="A704" s="228"/>
      <c r="B704" s="228"/>
      <c r="C704" s="228"/>
      <c r="D704" s="228"/>
      <c r="E704" s="228"/>
      <c r="F704" s="228"/>
      <c r="G704" s="228"/>
      <c r="H704" s="228"/>
      <c r="I704" s="228"/>
      <c r="J704" s="228"/>
      <c r="K704" s="228"/>
      <c r="L704" s="228"/>
      <c r="M704" s="228"/>
      <c r="N704" s="228"/>
      <c r="O704" s="228"/>
      <c r="P704" s="228"/>
      <c r="Q704" s="228"/>
      <c r="R704" s="228"/>
      <c r="S704" s="228"/>
      <c r="T704" s="228"/>
      <c r="U704" s="228"/>
      <c r="V704" s="228"/>
      <c r="W704" s="228"/>
      <c r="X704" s="228"/>
      <c r="Y704" s="228"/>
      <c r="Z704" s="228"/>
      <c r="AA704" s="228"/>
      <c r="AB704" s="228"/>
      <c r="AC704" s="228"/>
      <c r="AD704" s="228"/>
      <c r="AE704" s="228"/>
      <c r="AF704" s="228"/>
      <c r="AG704" s="228"/>
      <c r="AH704" s="228"/>
      <c r="AI704" s="228"/>
      <c r="AJ704" s="228"/>
      <c r="AK704" s="228"/>
      <c r="AL704" s="228"/>
      <c r="AM704" s="228"/>
      <c r="AN704" s="228"/>
      <c r="AO704" s="228"/>
      <c r="AP704" s="228"/>
      <c r="AQ704" s="228"/>
    </row>
    <row r="705">
      <c r="A705" s="228"/>
      <c r="B705" s="228"/>
      <c r="C705" s="228"/>
      <c r="D705" s="228"/>
      <c r="E705" s="228"/>
      <c r="F705" s="228"/>
      <c r="G705" s="228"/>
      <c r="H705" s="228"/>
      <c r="I705" s="228"/>
      <c r="J705" s="228"/>
      <c r="K705" s="228"/>
      <c r="L705" s="228"/>
      <c r="M705" s="228"/>
      <c r="N705" s="228"/>
      <c r="O705" s="228"/>
      <c r="P705" s="228"/>
      <c r="Q705" s="228"/>
      <c r="R705" s="228"/>
      <c r="S705" s="228"/>
      <c r="T705" s="228"/>
      <c r="U705" s="228"/>
      <c r="V705" s="228"/>
      <c r="W705" s="228"/>
      <c r="X705" s="228"/>
      <c r="Y705" s="228"/>
      <c r="Z705" s="228"/>
      <c r="AA705" s="228"/>
      <c r="AB705" s="228"/>
      <c r="AC705" s="228"/>
      <c r="AD705" s="228"/>
      <c r="AE705" s="228"/>
      <c r="AF705" s="228"/>
      <c r="AG705" s="228"/>
      <c r="AH705" s="228"/>
      <c r="AI705" s="228"/>
      <c r="AJ705" s="228"/>
      <c r="AK705" s="228"/>
      <c r="AL705" s="228"/>
      <c r="AM705" s="228"/>
      <c r="AN705" s="228"/>
      <c r="AO705" s="228"/>
      <c r="AP705" s="228"/>
      <c r="AQ705" s="228"/>
    </row>
    <row r="706">
      <c r="A706" s="228"/>
      <c r="B706" s="228"/>
      <c r="C706" s="228"/>
      <c r="D706" s="228"/>
      <c r="E706" s="228"/>
      <c r="F706" s="228"/>
      <c r="G706" s="228"/>
      <c r="H706" s="228"/>
      <c r="I706" s="228"/>
      <c r="J706" s="228"/>
      <c r="K706" s="228"/>
      <c r="L706" s="228"/>
      <c r="M706" s="228"/>
      <c r="N706" s="228"/>
      <c r="O706" s="228"/>
      <c r="P706" s="228"/>
      <c r="Q706" s="228"/>
      <c r="R706" s="228"/>
      <c r="S706" s="228"/>
      <c r="T706" s="228"/>
      <c r="U706" s="228"/>
      <c r="V706" s="228"/>
      <c r="W706" s="228"/>
      <c r="X706" s="228"/>
      <c r="Y706" s="228"/>
      <c r="Z706" s="228"/>
      <c r="AA706" s="228"/>
      <c r="AB706" s="228"/>
      <c r="AC706" s="228"/>
      <c r="AD706" s="228"/>
      <c r="AE706" s="228"/>
      <c r="AF706" s="228"/>
      <c r="AG706" s="228"/>
      <c r="AH706" s="228"/>
      <c r="AI706" s="228"/>
      <c r="AJ706" s="228"/>
      <c r="AK706" s="228"/>
      <c r="AL706" s="228"/>
      <c r="AM706" s="228"/>
      <c r="AN706" s="228"/>
      <c r="AO706" s="228"/>
      <c r="AP706" s="228"/>
      <c r="AQ706" s="228"/>
    </row>
    <row r="707">
      <c r="A707" s="228"/>
      <c r="B707" s="228"/>
      <c r="C707" s="228"/>
      <c r="D707" s="228"/>
      <c r="E707" s="228"/>
      <c r="F707" s="228"/>
      <c r="G707" s="228"/>
      <c r="H707" s="228"/>
      <c r="I707" s="228"/>
      <c r="J707" s="228"/>
      <c r="K707" s="228"/>
      <c r="L707" s="228"/>
      <c r="M707" s="228"/>
      <c r="N707" s="228"/>
      <c r="O707" s="228"/>
      <c r="P707" s="228"/>
      <c r="Q707" s="228"/>
      <c r="R707" s="228"/>
      <c r="S707" s="228"/>
      <c r="T707" s="228"/>
      <c r="U707" s="228"/>
      <c r="V707" s="228"/>
      <c r="W707" s="228"/>
      <c r="X707" s="228"/>
      <c r="Y707" s="228"/>
      <c r="Z707" s="228"/>
      <c r="AA707" s="228"/>
      <c r="AB707" s="228"/>
      <c r="AC707" s="228"/>
      <c r="AD707" s="228"/>
      <c r="AE707" s="228"/>
      <c r="AF707" s="228"/>
      <c r="AG707" s="228"/>
      <c r="AH707" s="228"/>
      <c r="AI707" s="228"/>
      <c r="AJ707" s="228"/>
      <c r="AK707" s="228"/>
      <c r="AL707" s="228"/>
      <c r="AM707" s="228"/>
      <c r="AN707" s="228"/>
      <c r="AO707" s="228"/>
      <c r="AP707" s="228"/>
      <c r="AQ707" s="228"/>
    </row>
    <row r="708">
      <c r="A708" s="228"/>
      <c r="B708" s="228"/>
      <c r="C708" s="228"/>
      <c r="D708" s="228"/>
      <c r="E708" s="228"/>
      <c r="F708" s="228"/>
      <c r="G708" s="228"/>
      <c r="H708" s="228"/>
      <c r="I708" s="228"/>
      <c r="J708" s="228"/>
      <c r="K708" s="228"/>
      <c r="L708" s="228"/>
      <c r="M708" s="228"/>
      <c r="N708" s="228"/>
      <c r="O708" s="228"/>
      <c r="P708" s="228"/>
      <c r="Q708" s="228"/>
      <c r="R708" s="228"/>
      <c r="S708" s="228"/>
      <c r="T708" s="228"/>
      <c r="U708" s="228"/>
      <c r="V708" s="228"/>
      <c r="W708" s="228"/>
      <c r="X708" s="228"/>
      <c r="Y708" s="228"/>
      <c r="Z708" s="228"/>
      <c r="AA708" s="228"/>
      <c r="AB708" s="228"/>
      <c r="AC708" s="228"/>
      <c r="AD708" s="228"/>
      <c r="AE708" s="228"/>
      <c r="AF708" s="228"/>
      <c r="AG708" s="228"/>
      <c r="AH708" s="228"/>
      <c r="AI708" s="228"/>
      <c r="AJ708" s="228"/>
      <c r="AK708" s="228"/>
      <c r="AL708" s="228"/>
      <c r="AM708" s="228"/>
      <c r="AN708" s="228"/>
      <c r="AO708" s="228"/>
      <c r="AP708" s="228"/>
      <c r="AQ708" s="228"/>
    </row>
    <row r="709">
      <c r="A709" s="228"/>
      <c r="B709" s="228"/>
      <c r="C709" s="228"/>
      <c r="D709" s="228"/>
      <c r="E709" s="228"/>
      <c r="F709" s="228"/>
      <c r="G709" s="228"/>
      <c r="H709" s="228"/>
      <c r="I709" s="228"/>
      <c r="J709" s="228"/>
      <c r="K709" s="228"/>
      <c r="L709" s="228"/>
      <c r="M709" s="228"/>
      <c r="N709" s="228"/>
      <c r="O709" s="228"/>
      <c r="P709" s="228"/>
      <c r="Q709" s="228"/>
      <c r="R709" s="228"/>
      <c r="S709" s="228"/>
      <c r="T709" s="228"/>
      <c r="U709" s="228"/>
      <c r="V709" s="228"/>
      <c r="W709" s="228"/>
      <c r="X709" s="228"/>
      <c r="Y709" s="228"/>
      <c r="Z709" s="228"/>
      <c r="AA709" s="228"/>
      <c r="AB709" s="228"/>
      <c r="AC709" s="228"/>
      <c r="AD709" s="228"/>
      <c r="AE709" s="228"/>
      <c r="AF709" s="228"/>
      <c r="AG709" s="228"/>
      <c r="AH709" s="228"/>
      <c r="AI709" s="228"/>
      <c r="AJ709" s="228"/>
      <c r="AK709" s="228"/>
      <c r="AL709" s="228"/>
      <c r="AM709" s="228"/>
      <c r="AN709" s="228"/>
      <c r="AO709" s="228"/>
      <c r="AP709" s="228"/>
      <c r="AQ709" s="228"/>
    </row>
    <row r="710">
      <c r="A710" s="228"/>
      <c r="B710" s="228"/>
      <c r="C710" s="228"/>
      <c r="D710" s="228"/>
      <c r="E710" s="228"/>
      <c r="F710" s="228"/>
      <c r="G710" s="228"/>
      <c r="H710" s="228"/>
      <c r="I710" s="228"/>
      <c r="J710" s="228"/>
      <c r="K710" s="228"/>
      <c r="L710" s="228"/>
      <c r="M710" s="228"/>
      <c r="N710" s="228"/>
      <c r="O710" s="228"/>
      <c r="P710" s="228"/>
      <c r="Q710" s="228"/>
      <c r="R710" s="228"/>
      <c r="S710" s="228"/>
      <c r="T710" s="228"/>
      <c r="U710" s="228"/>
      <c r="V710" s="228"/>
      <c r="W710" s="228"/>
      <c r="X710" s="228"/>
      <c r="Y710" s="228"/>
      <c r="Z710" s="228"/>
      <c r="AA710" s="228"/>
      <c r="AB710" s="228"/>
      <c r="AC710" s="228"/>
      <c r="AD710" s="228"/>
      <c r="AE710" s="228"/>
      <c r="AF710" s="228"/>
      <c r="AG710" s="228"/>
      <c r="AH710" s="228"/>
      <c r="AI710" s="228"/>
      <c r="AJ710" s="228"/>
      <c r="AK710" s="228"/>
      <c r="AL710" s="228"/>
      <c r="AM710" s="228"/>
      <c r="AN710" s="228"/>
      <c r="AO710" s="228"/>
      <c r="AP710" s="228"/>
      <c r="AQ710" s="228"/>
    </row>
    <row r="711">
      <c r="A711" s="228"/>
      <c r="B711" s="228"/>
      <c r="C711" s="228"/>
      <c r="D711" s="228"/>
      <c r="E711" s="228"/>
      <c r="F711" s="228"/>
      <c r="G711" s="228"/>
      <c r="H711" s="228"/>
      <c r="I711" s="228"/>
      <c r="J711" s="228"/>
      <c r="K711" s="228"/>
      <c r="L711" s="228"/>
      <c r="M711" s="228"/>
      <c r="N711" s="228"/>
      <c r="O711" s="228"/>
      <c r="P711" s="228"/>
      <c r="Q711" s="228"/>
      <c r="R711" s="228"/>
      <c r="S711" s="228"/>
      <c r="T711" s="228"/>
      <c r="U711" s="228"/>
      <c r="V711" s="228"/>
      <c r="W711" s="228"/>
      <c r="X711" s="228"/>
      <c r="Y711" s="228"/>
      <c r="Z711" s="228"/>
      <c r="AA711" s="228"/>
      <c r="AB711" s="228"/>
      <c r="AC711" s="228"/>
      <c r="AD711" s="228"/>
      <c r="AE711" s="228"/>
      <c r="AF711" s="228"/>
      <c r="AG711" s="228"/>
      <c r="AH711" s="228"/>
      <c r="AI711" s="228"/>
      <c r="AJ711" s="228"/>
      <c r="AK711" s="228"/>
      <c r="AL711" s="228"/>
      <c r="AM711" s="228"/>
      <c r="AN711" s="228"/>
      <c r="AO711" s="228"/>
      <c r="AP711" s="228"/>
      <c r="AQ711" s="228"/>
    </row>
    <row r="712">
      <c r="A712" s="228"/>
      <c r="B712" s="228"/>
      <c r="C712" s="228"/>
      <c r="D712" s="228"/>
      <c r="E712" s="228"/>
      <c r="F712" s="228"/>
      <c r="G712" s="228"/>
      <c r="H712" s="228"/>
      <c r="I712" s="228"/>
      <c r="J712" s="228"/>
      <c r="K712" s="228"/>
      <c r="L712" s="228"/>
      <c r="M712" s="228"/>
      <c r="N712" s="228"/>
      <c r="O712" s="228"/>
      <c r="P712" s="228"/>
      <c r="Q712" s="228"/>
      <c r="R712" s="228"/>
      <c r="S712" s="228"/>
      <c r="T712" s="228"/>
      <c r="U712" s="228"/>
      <c r="V712" s="228"/>
      <c r="W712" s="228"/>
      <c r="X712" s="228"/>
      <c r="Y712" s="228"/>
      <c r="Z712" s="228"/>
      <c r="AA712" s="228"/>
      <c r="AB712" s="228"/>
      <c r="AC712" s="228"/>
      <c r="AD712" s="228"/>
      <c r="AE712" s="228"/>
      <c r="AF712" s="228"/>
      <c r="AG712" s="228"/>
      <c r="AH712" s="228"/>
      <c r="AI712" s="228"/>
      <c r="AJ712" s="228"/>
      <c r="AK712" s="228"/>
      <c r="AL712" s="228"/>
      <c r="AM712" s="228"/>
      <c r="AN712" s="228"/>
      <c r="AO712" s="228"/>
      <c r="AP712" s="228"/>
      <c r="AQ712" s="228"/>
    </row>
    <row r="713">
      <c r="A713" s="228"/>
      <c r="B713" s="228"/>
      <c r="C713" s="228"/>
      <c r="D713" s="228"/>
      <c r="E713" s="228"/>
      <c r="F713" s="228"/>
      <c r="G713" s="228"/>
      <c r="H713" s="228"/>
      <c r="I713" s="228"/>
      <c r="J713" s="228"/>
      <c r="K713" s="228"/>
      <c r="L713" s="228"/>
      <c r="M713" s="228"/>
      <c r="N713" s="228"/>
      <c r="O713" s="228"/>
      <c r="P713" s="228"/>
      <c r="Q713" s="228"/>
      <c r="R713" s="228"/>
      <c r="S713" s="228"/>
      <c r="T713" s="228"/>
      <c r="U713" s="228"/>
      <c r="V713" s="228"/>
      <c r="W713" s="228"/>
      <c r="X713" s="228"/>
      <c r="Y713" s="228"/>
      <c r="Z713" s="228"/>
      <c r="AA713" s="228"/>
      <c r="AB713" s="228"/>
      <c r="AC713" s="228"/>
      <c r="AD713" s="228"/>
      <c r="AE713" s="228"/>
      <c r="AF713" s="228"/>
      <c r="AG713" s="228"/>
      <c r="AH713" s="228"/>
      <c r="AI713" s="228"/>
      <c r="AJ713" s="228"/>
      <c r="AK713" s="228"/>
      <c r="AL713" s="228"/>
      <c r="AM713" s="228"/>
      <c r="AN713" s="228"/>
      <c r="AO713" s="228"/>
      <c r="AP713" s="228"/>
      <c r="AQ713" s="228"/>
    </row>
    <row r="714">
      <c r="A714" s="228"/>
      <c r="B714" s="228"/>
      <c r="C714" s="228"/>
      <c r="D714" s="228"/>
      <c r="E714" s="228"/>
      <c r="F714" s="228"/>
      <c r="G714" s="228"/>
      <c r="H714" s="228"/>
      <c r="I714" s="228"/>
      <c r="J714" s="228"/>
      <c r="K714" s="228"/>
      <c r="L714" s="228"/>
      <c r="M714" s="228"/>
      <c r="N714" s="228"/>
      <c r="O714" s="228"/>
      <c r="P714" s="228"/>
      <c r="Q714" s="228"/>
      <c r="R714" s="228"/>
      <c r="S714" s="228"/>
      <c r="T714" s="228"/>
      <c r="U714" s="228"/>
      <c r="V714" s="228"/>
      <c r="W714" s="228"/>
      <c r="X714" s="228"/>
      <c r="Y714" s="228"/>
      <c r="Z714" s="228"/>
      <c r="AA714" s="228"/>
      <c r="AB714" s="228"/>
      <c r="AC714" s="228"/>
      <c r="AD714" s="228"/>
      <c r="AE714" s="228"/>
      <c r="AF714" s="228"/>
      <c r="AG714" s="228"/>
      <c r="AH714" s="228"/>
      <c r="AI714" s="228"/>
      <c r="AJ714" s="228"/>
      <c r="AK714" s="228"/>
      <c r="AL714" s="228"/>
      <c r="AM714" s="228"/>
      <c r="AN714" s="228"/>
      <c r="AO714" s="228"/>
      <c r="AP714" s="228"/>
      <c r="AQ714" s="228"/>
    </row>
    <row r="715">
      <c r="A715" s="228"/>
      <c r="B715" s="228"/>
      <c r="C715" s="228"/>
      <c r="D715" s="228"/>
      <c r="E715" s="228"/>
      <c r="F715" s="228"/>
      <c r="G715" s="228"/>
      <c r="H715" s="228"/>
      <c r="I715" s="228"/>
      <c r="J715" s="228"/>
      <c r="K715" s="228"/>
      <c r="L715" s="228"/>
      <c r="M715" s="228"/>
      <c r="N715" s="228"/>
      <c r="O715" s="228"/>
      <c r="P715" s="228"/>
      <c r="Q715" s="228"/>
      <c r="R715" s="228"/>
      <c r="S715" s="228"/>
      <c r="T715" s="228"/>
      <c r="U715" s="228"/>
      <c r="V715" s="228"/>
      <c r="W715" s="228"/>
      <c r="X715" s="228"/>
      <c r="Y715" s="228"/>
      <c r="Z715" s="228"/>
      <c r="AA715" s="228"/>
      <c r="AB715" s="228"/>
      <c r="AC715" s="228"/>
      <c r="AD715" s="228"/>
      <c r="AE715" s="228"/>
      <c r="AF715" s="228"/>
      <c r="AG715" s="228"/>
      <c r="AH715" s="228"/>
      <c r="AI715" s="228"/>
      <c r="AJ715" s="228"/>
      <c r="AK715" s="228"/>
      <c r="AL715" s="228"/>
      <c r="AM715" s="228"/>
      <c r="AN715" s="228"/>
      <c r="AO715" s="228"/>
      <c r="AP715" s="228"/>
      <c r="AQ715" s="228"/>
    </row>
    <row r="716">
      <c r="A716" s="228"/>
      <c r="B716" s="228"/>
      <c r="C716" s="228"/>
      <c r="D716" s="228"/>
      <c r="E716" s="228"/>
      <c r="F716" s="228"/>
      <c r="G716" s="228"/>
      <c r="H716" s="228"/>
      <c r="I716" s="228"/>
      <c r="J716" s="228"/>
      <c r="K716" s="228"/>
      <c r="L716" s="228"/>
      <c r="M716" s="228"/>
      <c r="N716" s="228"/>
      <c r="O716" s="228"/>
      <c r="P716" s="228"/>
      <c r="Q716" s="228"/>
      <c r="R716" s="228"/>
      <c r="S716" s="228"/>
      <c r="T716" s="228"/>
      <c r="U716" s="228"/>
      <c r="V716" s="228"/>
      <c r="W716" s="228"/>
      <c r="X716" s="228"/>
      <c r="Y716" s="228"/>
      <c r="Z716" s="228"/>
      <c r="AA716" s="228"/>
      <c r="AB716" s="228"/>
      <c r="AC716" s="228"/>
      <c r="AD716" s="228"/>
      <c r="AE716" s="228"/>
      <c r="AF716" s="228"/>
      <c r="AG716" s="228"/>
      <c r="AH716" s="228"/>
      <c r="AI716" s="228"/>
      <c r="AJ716" s="228"/>
      <c r="AK716" s="228"/>
      <c r="AL716" s="228"/>
      <c r="AM716" s="228"/>
      <c r="AN716" s="228"/>
      <c r="AO716" s="228"/>
      <c r="AP716" s="228"/>
      <c r="AQ716" s="228"/>
    </row>
    <row r="717">
      <c r="A717" s="228"/>
      <c r="B717" s="228"/>
      <c r="C717" s="228"/>
      <c r="D717" s="228"/>
      <c r="E717" s="228"/>
      <c r="F717" s="228"/>
      <c r="G717" s="228"/>
      <c r="H717" s="228"/>
      <c r="I717" s="228"/>
      <c r="J717" s="228"/>
      <c r="K717" s="228"/>
      <c r="L717" s="228"/>
      <c r="M717" s="228"/>
      <c r="N717" s="228"/>
      <c r="O717" s="228"/>
      <c r="P717" s="228"/>
      <c r="Q717" s="228"/>
      <c r="R717" s="228"/>
      <c r="S717" s="228"/>
      <c r="T717" s="228"/>
      <c r="U717" s="228"/>
      <c r="V717" s="228"/>
      <c r="W717" s="228"/>
      <c r="X717" s="228"/>
      <c r="Y717" s="228"/>
      <c r="Z717" s="228"/>
      <c r="AA717" s="228"/>
      <c r="AB717" s="228"/>
      <c r="AC717" s="228"/>
      <c r="AD717" s="228"/>
      <c r="AE717" s="228"/>
      <c r="AF717" s="228"/>
      <c r="AG717" s="228"/>
      <c r="AH717" s="228"/>
      <c r="AI717" s="228"/>
      <c r="AJ717" s="228"/>
      <c r="AK717" s="228"/>
      <c r="AL717" s="228"/>
      <c r="AM717" s="228"/>
      <c r="AN717" s="228"/>
      <c r="AO717" s="228"/>
      <c r="AP717" s="228"/>
      <c r="AQ717" s="228"/>
    </row>
    <row r="718">
      <c r="A718" s="228"/>
      <c r="B718" s="228"/>
      <c r="C718" s="228"/>
      <c r="D718" s="228"/>
      <c r="E718" s="228"/>
      <c r="F718" s="228"/>
      <c r="G718" s="228"/>
      <c r="H718" s="228"/>
      <c r="I718" s="228"/>
      <c r="J718" s="228"/>
      <c r="K718" s="228"/>
      <c r="L718" s="228"/>
      <c r="M718" s="228"/>
      <c r="N718" s="228"/>
      <c r="O718" s="228"/>
      <c r="P718" s="228"/>
      <c r="Q718" s="228"/>
      <c r="R718" s="228"/>
      <c r="S718" s="228"/>
      <c r="T718" s="228"/>
      <c r="U718" s="228"/>
      <c r="V718" s="228"/>
      <c r="W718" s="228"/>
      <c r="X718" s="228"/>
      <c r="Y718" s="228"/>
      <c r="Z718" s="228"/>
      <c r="AA718" s="228"/>
      <c r="AB718" s="228"/>
      <c r="AC718" s="228"/>
      <c r="AD718" s="228"/>
      <c r="AE718" s="228"/>
      <c r="AF718" s="228"/>
      <c r="AG718" s="228"/>
      <c r="AH718" s="228"/>
      <c r="AI718" s="228"/>
      <c r="AJ718" s="228"/>
      <c r="AK718" s="228"/>
      <c r="AL718" s="228"/>
      <c r="AM718" s="228"/>
      <c r="AN718" s="228"/>
      <c r="AO718" s="228"/>
      <c r="AP718" s="228"/>
      <c r="AQ718" s="228"/>
    </row>
    <row r="719">
      <c r="A719" s="228"/>
      <c r="B719" s="228"/>
      <c r="C719" s="228"/>
      <c r="D719" s="228"/>
      <c r="E719" s="228"/>
      <c r="F719" s="228"/>
      <c r="G719" s="228"/>
      <c r="H719" s="228"/>
      <c r="I719" s="228"/>
      <c r="J719" s="228"/>
      <c r="K719" s="228"/>
      <c r="L719" s="228"/>
      <c r="M719" s="228"/>
      <c r="N719" s="228"/>
      <c r="O719" s="228"/>
      <c r="P719" s="228"/>
      <c r="Q719" s="228"/>
      <c r="R719" s="228"/>
      <c r="S719" s="228"/>
      <c r="T719" s="228"/>
      <c r="U719" s="228"/>
      <c r="V719" s="228"/>
      <c r="W719" s="228"/>
      <c r="X719" s="228"/>
      <c r="Y719" s="228"/>
      <c r="Z719" s="228"/>
      <c r="AA719" s="228"/>
      <c r="AB719" s="228"/>
      <c r="AC719" s="228"/>
      <c r="AD719" s="228"/>
      <c r="AE719" s="228"/>
      <c r="AF719" s="228"/>
      <c r="AG719" s="228"/>
      <c r="AH719" s="228"/>
      <c r="AI719" s="228"/>
      <c r="AJ719" s="228"/>
      <c r="AK719" s="228"/>
      <c r="AL719" s="228"/>
      <c r="AM719" s="228"/>
      <c r="AN719" s="228"/>
      <c r="AO719" s="228"/>
      <c r="AP719" s="228"/>
      <c r="AQ719" s="228"/>
    </row>
    <row r="720">
      <c r="A720" s="228"/>
      <c r="B720" s="228"/>
      <c r="C720" s="228"/>
      <c r="D720" s="228"/>
      <c r="E720" s="228"/>
      <c r="F720" s="228"/>
      <c r="G720" s="228"/>
      <c r="H720" s="228"/>
      <c r="I720" s="228"/>
      <c r="J720" s="228"/>
      <c r="K720" s="228"/>
      <c r="L720" s="228"/>
      <c r="M720" s="228"/>
      <c r="N720" s="228"/>
      <c r="O720" s="228"/>
      <c r="P720" s="228"/>
      <c r="Q720" s="228"/>
      <c r="R720" s="228"/>
      <c r="S720" s="228"/>
      <c r="T720" s="228"/>
      <c r="U720" s="228"/>
      <c r="V720" s="228"/>
      <c r="W720" s="228"/>
      <c r="X720" s="228"/>
      <c r="Y720" s="228"/>
      <c r="Z720" s="228"/>
      <c r="AA720" s="228"/>
      <c r="AB720" s="228"/>
      <c r="AC720" s="228"/>
      <c r="AD720" s="228"/>
      <c r="AE720" s="228"/>
      <c r="AF720" s="228"/>
      <c r="AG720" s="228"/>
      <c r="AH720" s="228"/>
      <c r="AI720" s="228"/>
      <c r="AJ720" s="228"/>
      <c r="AK720" s="228"/>
      <c r="AL720" s="228"/>
      <c r="AM720" s="228"/>
      <c r="AN720" s="228"/>
      <c r="AO720" s="228"/>
      <c r="AP720" s="228"/>
      <c r="AQ720" s="228"/>
    </row>
    <row r="721">
      <c r="A721" s="228"/>
      <c r="B721" s="228"/>
      <c r="C721" s="228"/>
      <c r="D721" s="228"/>
      <c r="E721" s="228"/>
      <c r="F721" s="228"/>
      <c r="G721" s="228"/>
      <c r="H721" s="228"/>
      <c r="I721" s="228"/>
      <c r="J721" s="228"/>
      <c r="K721" s="228"/>
      <c r="L721" s="228"/>
      <c r="M721" s="228"/>
      <c r="N721" s="228"/>
      <c r="O721" s="228"/>
      <c r="P721" s="228"/>
      <c r="Q721" s="228"/>
      <c r="R721" s="228"/>
      <c r="S721" s="228"/>
      <c r="T721" s="228"/>
      <c r="U721" s="228"/>
      <c r="V721" s="228"/>
      <c r="W721" s="228"/>
      <c r="X721" s="228"/>
      <c r="Y721" s="228"/>
      <c r="Z721" s="228"/>
      <c r="AA721" s="228"/>
      <c r="AB721" s="228"/>
      <c r="AC721" s="228"/>
      <c r="AD721" s="228"/>
      <c r="AE721" s="228"/>
      <c r="AF721" s="228"/>
      <c r="AG721" s="228"/>
      <c r="AH721" s="228"/>
      <c r="AI721" s="228"/>
      <c r="AJ721" s="228"/>
      <c r="AK721" s="228"/>
      <c r="AL721" s="228"/>
      <c r="AM721" s="228"/>
      <c r="AN721" s="228"/>
      <c r="AO721" s="228"/>
      <c r="AP721" s="228"/>
      <c r="AQ721" s="228"/>
    </row>
    <row r="722">
      <c r="A722" s="228"/>
      <c r="B722" s="228"/>
      <c r="C722" s="228"/>
      <c r="D722" s="228"/>
      <c r="E722" s="228"/>
      <c r="F722" s="228"/>
      <c r="G722" s="228"/>
      <c r="H722" s="228"/>
      <c r="I722" s="228"/>
      <c r="J722" s="228"/>
      <c r="K722" s="228"/>
      <c r="L722" s="228"/>
      <c r="M722" s="228"/>
      <c r="N722" s="228"/>
      <c r="O722" s="228"/>
      <c r="P722" s="228"/>
      <c r="Q722" s="228"/>
      <c r="R722" s="228"/>
      <c r="S722" s="228"/>
      <c r="T722" s="228"/>
      <c r="U722" s="228"/>
      <c r="V722" s="228"/>
      <c r="W722" s="228"/>
      <c r="X722" s="228"/>
      <c r="Y722" s="228"/>
      <c r="Z722" s="228"/>
      <c r="AA722" s="228"/>
      <c r="AB722" s="228"/>
      <c r="AC722" s="228"/>
      <c r="AD722" s="228"/>
      <c r="AE722" s="228"/>
      <c r="AF722" s="228"/>
      <c r="AG722" s="228"/>
      <c r="AH722" s="228"/>
      <c r="AI722" s="228"/>
      <c r="AJ722" s="228"/>
      <c r="AK722" s="228"/>
      <c r="AL722" s="228"/>
      <c r="AM722" s="228"/>
      <c r="AN722" s="228"/>
      <c r="AO722" s="228"/>
      <c r="AP722" s="228"/>
      <c r="AQ722" s="228"/>
    </row>
    <row r="723">
      <c r="A723" s="228"/>
      <c r="B723" s="228"/>
      <c r="C723" s="228"/>
      <c r="D723" s="228"/>
      <c r="E723" s="228"/>
      <c r="F723" s="228"/>
      <c r="G723" s="228"/>
      <c r="H723" s="228"/>
      <c r="I723" s="228"/>
      <c r="J723" s="228"/>
      <c r="K723" s="228"/>
      <c r="L723" s="228"/>
      <c r="M723" s="228"/>
      <c r="N723" s="228"/>
      <c r="O723" s="228"/>
      <c r="P723" s="228"/>
      <c r="Q723" s="228"/>
      <c r="R723" s="228"/>
      <c r="S723" s="228"/>
      <c r="T723" s="228"/>
      <c r="U723" s="228"/>
      <c r="V723" s="228"/>
      <c r="W723" s="228"/>
      <c r="X723" s="228"/>
      <c r="Y723" s="228"/>
      <c r="Z723" s="228"/>
      <c r="AA723" s="228"/>
      <c r="AB723" s="228"/>
      <c r="AC723" s="228"/>
      <c r="AD723" s="228"/>
      <c r="AE723" s="228"/>
      <c r="AF723" s="228"/>
      <c r="AG723" s="228"/>
      <c r="AH723" s="228"/>
      <c r="AI723" s="228"/>
      <c r="AJ723" s="228"/>
      <c r="AK723" s="228"/>
      <c r="AL723" s="228"/>
      <c r="AM723" s="228"/>
      <c r="AN723" s="228"/>
      <c r="AO723" s="228"/>
      <c r="AP723" s="228"/>
      <c r="AQ723" s="228"/>
    </row>
    <row r="724">
      <c r="A724" s="228"/>
      <c r="B724" s="228"/>
      <c r="C724" s="228"/>
      <c r="D724" s="228"/>
      <c r="E724" s="228"/>
      <c r="F724" s="228"/>
      <c r="G724" s="228"/>
      <c r="H724" s="228"/>
      <c r="I724" s="228"/>
      <c r="J724" s="228"/>
      <c r="K724" s="228"/>
      <c r="L724" s="228"/>
      <c r="M724" s="228"/>
      <c r="N724" s="228"/>
      <c r="O724" s="228"/>
      <c r="P724" s="228"/>
      <c r="Q724" s="228"/>
      <c r="R724" s="228"/>
      <c r="S724" s="228"/>
      <c r="T724" s="228"/>
      <c r="U724" s="228"/>
      <c r="V724" s="228"/>
      <c r="W724" s="228"/>
      <c r="X724" s="228"/>
      <c r="Y724" s="228"/>
      <c r="Z724" s="228"/>
      <c r="AA724" s="228"/>
      <c r="AB724" s="228"/>
      <c r="AC724" s="228"/>
      <c r="AD724" s="228"/>
      <c r="AE724" s="228"/>
      <c r="AF724" s="228"/>
      <c r="AG724" s="228"/>
      <c r="AH724" s="228"/>
      <c r="AI724" s="228"/>
      <c r="AJ724" s="228"/>
      <c r="AK724" s="228"/>
      <c r="AL724" s="228"/>
      <c r="AM724" s="228"/>
      <c r="AN724" s="228"/>
      <c r="AO724" s="228"/>
      <c r="AP724" s="228"/>
      <c r="AQ724" s="228"/>
    </row>
    <row r="725">
      <c r="A725" s="228"/>
      <c r="B725" s="228"/>
      <c r="C725" s="228"/>
      <c r="D725" s="228"/>
      <c r="E725" s="228"/>
      <c r="F725" s="228"/>
      <c r="G725" s="228"/>
      <c r="H725" s="228"/>
      <c r="I725" s="228"/>
      <c r="J725" s="228"/>
      <c r="K725" s="228"/>
      <c r="L725" s="228"/>
      <c r="M725" s="228"/>
      <c r="N725" s="228"/>
      <c r="O725" s="228"/>
      <c r="P725" s="228"/>
      <c r="Q725" s="228"/>
      <c r="R725" s="228"/>
      <c r="S725" s="228"/>
      <c r="T725" s="228"/>
      <c r="U725" s="228"/>
      <c r="V725" s="228"/>
      <c r="W725" s="228"/>
      <c r="X725" s="228"/>
      <c r="Y725" s="228"/>
      <c r="Z725" s="228"/>
      <c r="AA725" s="228"/>
      <c r="AB725" s="228"/>
      <c r="AC725" s="228"/>
      <c r="AD725" s="228"/>
      <c r="AE725" s="228"/>
      <c r="AF725" s="228"/>
      <c r="AG725" s="228"/>
      <c r="AH725" s="228"/>
      <c r="AI725" s="228"/>
      <c r="AJ725" s="228"/>
      <c r="AK725" s="228"/>
      <c r="AL725" s="228"/>
      <c r="AM725" s="228"/>
      <c r="AN725" s="228"/>
      <c r="AO725" s="228"/>
      <c r="AP725" s="228"/>
      <c r="AQ725" s="228"/>
    </row>
    <row r="726">
      <c r="A726" s="228"/>
      <c r="B726" s="228"/>
      <c r="C726" s="228"/>
      <c r="D726" s="228"/>
      <c r="E726" s="228"/>
      <c r="F726" s="228"/>
      <c r="G726" s="228"/>
      <c r="H726" s="228"/>
      <c r="I726" s="228"/>
      <c r="J726" s="228"/>
      <c r="K726" s="228"/>
      <c r="L726" s="228"/>
      <c r="M726" s="228"/>
      <c r="N726" s="228"/>
      <c r="O726" s="228"/>
      <c r="P726" s="228"/>
      <c r="Q726" s="228"/>
      <c r="R726" s="228"/>
      <c r="S726" s="228"/>
      <c r="T726" s="228"/>
      <c r="U726" s="228"/>
      <c r="V726" s="228"/>
      <c r="W726" s="228"/>
      <c r="X726" s="228"/>
      <c r="Y726" s="228"/>
      <c r="Z726" s="228"/>
      <c r="AA726" s="228"/>
      <c r="AB726" s="228"/>
      <c r="AC726" s="228"/>
      <c r="AD726" s="228"/>
      <c r="AE726" s="228"/>
      <c r="AF726" s="228"/>
      <c r="AG726" s="228"/>
      <c r="AH726" s="228"/>
      <c r="AI726" s="228"/>
      <c r="AJ726" s="228"/>
      <c r="AK726" s="228"/>
      <c r="AL726" s="228"/>
      <c r="AM726" s="228"/>
      <c r="AN726" s="228"/>
      <c r="AO726" s="228"/>
      <c r="AP726" s="228"/>
      <c r="AQ726" s="228"/>
    </row>
    <row r="727">
      <c r="A727" s="228"/>
      <c r="B727" s="228"/>
      <c r="C727" s="228"/>
      <c r="D727" s="228"/>
      <c r="E727" s="228"/>
      <c r="F727" s="228"/>
      <c r="G727" s="228"/>
      <c r="H727" s="228"/>
      <c r="I727" s="228"/>
      <c r="J727" s="228"/>
      <c r="K727" s="228"/>
      <c r="L727" s="228"/>
      <c r="M727" s="228"/>
      <c r="N727" s="228"/>
      <c r="O727" s="228"/>
      <c r="P727" s="228"/>
      <c r="Q727" s="228"/>
      <c r="R727" s="228"/>
      <c r="S727" s="228"/>
      <c r="T727" s="228"/>
      <c r="U727" s="228"/>
      <c r="V727" s="228"/>
      <c r="W727" s="228"/>
      <c r="X727" s="228"/>
      <c r="Y727" s="228"/>
      <c r="Z727" s="228"/>
      <c r="AA727" s="228"/>
      <c r="AB727" s="228"/>
      <c r="AC727" s="228"/>
      <c r="AD727" s="228"/>
      <c r="AE727" s="228"/>
      <c r="AF727" s="228"/>
      <c r="AG727" s="228"/>
      <c r="AH727" s="228"/>
      <c r="AI727" s="228"/>
      <c r="AJ727" s="228"/>
      <c r="AK727" s="228"/>
      <c r="AL727" s="228"/>
      <c r="AM727" s="228"/>
      <c r="AN727" s="228"/>
      <c r="AO727" s="228"/>
      <c r="AP727" s="228"/>
      <c r="AQ727" s="228"/>
    </row>
    <row r="728">
      <c r="A728" s="228"/>
      <c r="B728" s="228"/>
      <c r="C728" s="228"/>
      <c r="D728" s="228"/>
      <c r="E728" s="228"/>
      <c r="F728" s="228"/>
      <c r="G728" s="228"/>
      <c r="H728" s="228"/>
      <c r="I728" s="228"/>
      <c r="J728" s="228"/>
      <c r="K728" s="228"/>
      <c r="L728" s="228"/>
      <c r="M728" s="228"/>
      <c r="N728" s="228"/>
      <c r="O728" s="228"/>
      <c r="P728" s="228"/>
      <c r="Q728" s="228"/>
      <c r="R728" s="228"/>
      <c r="S728" s="228"/>
      <c r="T728" s="228"/>
      <c r="U728" s="228"/>
      <c r="V728" s="228"/>
      <c r="W728" s="228"/>
      <c r="X728" s="228"/>
      <c r="Y728" s="228"/>
      <c r="Z728" s="228"/>
      <c r="AA728" s="228"/>
      <c r="AB728" s="228"/>
      <c r="AC728" s="228"/>
      <c r="AD728" s="228"/>
      <c r="AE728" s="228"/>
      <c r="AF728" s="228"/>
      <c r="AG728" s="228"/>
      <c r="AH728" s="228"/>
      <c r="AI728" s="228"/>
      <c r="AJ728" s="228"/>
      <c r="AK728" s="228"/>
      <c r="AL728" s="228"/>
      <c r="AM728" s="228"/>
      <c r="AN728" s="228"/>
      <c r="AO728" s="228"/>
      <c r="AP728" s="228"/>
      <c r="AQ728" s="228"/>
    </row>
    <row r="729">
      <c r="A729" s="228"/>
      <c r="B729" s="228"/>
      <c r="C729" s="228"/>
      <c r="D729" s="228"/>
      <c r="E729" s="228"/>
      <c r="F729" s="228"/>
      <c r="G729" s="228"/>
      <c r="H729" s="228"/>
      <c r="I729" s="228"/>
      <c r="J729" s="228"/>
      <c r="K729" s="228"/>
      <c r="L729" s="228"/>
      <c r="M729" s="228"/>
      <c r="N729" s="228"/>
      <c r="O729" s="228"/>
      <c r="P729" s="228"/>
      <c r="Q729" s="228"/>
      <c r="R729" s="228"/>
      <c r="S729" s="228"/>
      <c r="T729" s="228"/>
      <c r="U729" s="228"/>
      <c r="V729" s="228"/>
      <c r="W729" s="228"/>
      <c r="X729" s="228"/>
      <c r="Y729" s="228"/>
      <c r="Z729" s="228"/>
      <c r="AA729" s="228"/>
      <c r="AB729" s="228"/>
      <c r="AC729" s="228"/>
      <c r="AD729" s="228"/>
      <c r="AE729" s="228"/>
      <c r="AF729" s="228"/>
      <c r="AG729" s="228"/>
      <c r="AH729" s="228"/>
      <c r="AI729" s="228"/>
      <c r="AJ729" s="228"/>
      <c r="AK729" s="228"/>
      <c r="AL729" s="228"/>
      <c r="AM729" s="228"/>
      <c r="AN729" s="228"/>
      <c r="AO729" s="228"/>
      <c r="AP729" s="228"/>
      <c r="AQ729" s="228"/>
    </row>
    <row r="730">
      <c r="A730" s="228"/>
      <c r="B730" s="228"/>
      <c r="C730" s="228"/>
      <c r="D730" s="228"/>
      <c r="E730" s="228"/>
      <c r="F730" s="228"/>
      <c r="G730" s="228"/>
      <c r="H730" s="228"/>
      <c r="I730" s="228"/>
      <c r="J730" s="228"/>
      <c r="K730" s="228"/>
      <c r="L730" s="228"/>
      <c r="M730" s="228"/>
      <c r="N730" s="228"/>
      <c r="O730" s="228"/>
      <c r="P730" s="228"/>
      <c r="Q730" s="228"/>
      <c r="R730" s="228"/>
      <c r="S730" s="228"/>
      <c r="T730" s="228"/>
      <c r="U730" s="228"/>
      <c r="V730" s="228"/>
      <c r="W730" s="228"/>
      <c r="X730" s="228"/>
      <c r="Y730" s="228"/>
      <c r="Z730" s="228"/>
      <c r="AA730" s="228"/>
      <c r="AB730" s="228"/>
      <c r="AC730" s="228"/>
      <c r="AD730" s="228"/>
      <c r="AE730" s="228"/>
      <c r="AF730" s="228"/>
      <c r="AG730" s="228"/>
      <c r="AH730" s="228"/>
      <c r="AI730" s="228"/>
      <c r="AJ730" s="228"/>
      <c r="AK730" s="228"/>
      <c r="AL730" s="228"/>
      <c r="AM730" s="228"/>
      <c r="AN730" s="228"/>
      <c r="AO730" s="228"/>
      <c r="AP730" s="228"/>
      <c r="AQ730" s="228"/>
    </row>
    <row r="731">
      <c r="A731" s="228"/>
      <c r="B731" s="228"/>
      <c r="C731" s="228"/>
      <c r="D731" s="228"/>
      <c r="E731" s="228"/>
      <c r="F731" s="228"/>
      <c r="G731" s="228"/>
      <c r="H731" s="228"/>
      <c r="I731" s="228"/>
      <c r="J731" s="228"/>
      <c r="K731" s="228"/>
      <c r="L731" s="228"/>
      <c r="M731" s="228"/>
      <c r="N731" s="228"/>
      <c r="O731" s="228"/>
      <c r="P731" s="228"/>
      <c r="Q731" s="228"/>
      <c r="R731" s="228"/>
      <c r="S731" s="228"/>
      <c r="T731" s="228"/>
      <c r="U731" s="228"/>
      <c r="V731" s="228"/>
      <c r="W731" s="228"/>
      <c r="X731" s="228"/>
      <c r="Y731" s="228"/>
      <c r="Z731" s="228"/>
      <c r="AA731" s="228"/>
      <c r="AB731" s="228"/>
      <c r="AC731" s="228"/>
      <c r="AD731" s="228"/>
      <c r="AE731" s="228"/>
      <c r="AF731" s="228"/>
      <c r="AG731" s="228"/>
      <c r="AH731" s="228"/>
      <c r="AI731" s="228"/>
      <c r="AJ731" s="228"/>
      <c r="AK731" s="228"/>
      <c r="AL731" s="228"/>
      <c r="AM731" s="228"/>
      <c r="AN731" s="228"/>
      <c r="AO731" s="228"/>
      <c r="AP731" s="228"/>
      <c r="AQ731" s="228"/>
    </row>
    <row r="732">
      <c r="A732" s="228"/>
      <c r="B732" s="228"/>
      <c r="C732" s="228"/>
      <c r="D732" s="228"/>
      <c r="E732" s="228"/>
      <c r="F732" s="228"/>
      <c r="G732" s="228"/>
      <c r="H732" s="228"/>
      <c r="I732" s="228"/>
      <c r="J732" s="228"/>
      <c r="K732" s="228"/>
      <c r="L732" s="228"/>
      <c r="M732" s="228"/>
      <c r="N732" s="228"/>
      <c r="O732" s="228"/>
      <c r="P732" s="228"/>
      <c r="Q732" s="228"/>
      <c r="R732" s="228"/>
      <c r="S732" s="228"/>
      <c r="T732" s="228"/>
      <c r="U732" s="228"/>
      <c r="V732" s="228"/>
      <c r="W732" s="228"/>
      <c r="X732" s="228"/>
      <c r="Y732" s="228"/>
      <c r="Z732" s="228"/>
      <c r="AA732" s="228"/>
      <c r="AB732" s="228"/>
      <c r="AC732" s="228"/>
      <c r="AD732" s="228"/>
      <c r="AE732" s="228"/>
      <c r="AF732" s="228"/>
      <c r="AG732" s="228"/>
      <c r="AH732" s="228"/>
      <c r="AI732" s="228"/>
      <c r="AJ732" s="228"/>
      <c r="AK732" s="228"/>
      <c r="AL732" s="228"/>
      <c r="AM732" s="228"/>
      <c r="AN732" s="228"/>
      <c r="AO732" s="228"/>
      <c r="AP732" s="228"/>
      <c r="AQ732" s="228"/>
    </row>
    <row r="733">
      <c r="A733" s="228"/>
      <c r="B733" s="228"/>
      <c r="C733" s="228"/>
      <c r="D733" s="228"/>
      <c r="E733" s="228"/>
      <c r="F733" s="228"/>
      <c r="G733" s="228"/>
      <c r="H733" s="228"/>
      <c r="I733" s="228"/>
      <c r="J733" s="228"/>
      <c r="K733" s="228"/>
      <c r="L733" s="228"/>
      <c r="M733" s="228"/>
      <c r="N733" s="228"/>
      <c r="O733" s="228"/>
      <c r="P733" s="228"/>
      <c r="Q733" s="228"/>
      <c r="R733" s="228"/>
      <c r="S733" s="228"/>
      <c r="T733" s="228"/>
      <c r="U733" s="228"/>
      <c r="V733" s="228"/>
      <c r="W733" s="228"/>
      <c r="X733" s="228"/>
      <c r="Y733" s="228"/>
      <c r="Z733" s="228"/>
      <c r="AA733" s="228"/>
      <c r="AB733" s="228"/>
      <c r="AC733" s="228"/>
      <c r="AD733" s="228"/>
      <c r="AE733" s="228"/>
      <c r="AF733" s="228"/>
      <c r="AG733" s="228"/>
      <c r="AH733" s="228"/>
      <c r="AI733" s="228"/>
      <c r="AJ733" s="228"/>
      <c r="AK733" s="228"/>
      <c r="AL733" s="228"/>
      <c r="AM733" s="228"/>
      <c r="AN733" s="228"/>
      <c r="AO733" s="228"/>
      <c r="AP733" s="228"/>
      <c r="AQ733" s="228"/>
    </row>
    <row r="734">
      <c r="A734" s="228"/>
      <c r="B734" s="228"/>
      <c r="C734" s="228"/>
      <c r="D734" s="228"/>
      <c r="E734" s="228"/>
      <c r="F734" s="228"/>
      <c r="G734" s="228"/>
      <c r="H734" s="228"/>
      <c r="I734" s="228"/>
      <c r="J734" s="228"/>
      <c r="K734" s="228"/>
      <c r="L734" s="228"/>
      <c r="M734" s="228"/>
      <c r="N734" s="228"/>
      <c r="O734" s="228"/>
      <c r="P734" s="228"/>
      <c r="Q734" s="228"/>
      <c r="R734" s="228"/>
      <c r="S734" s="228"/>
      <c r="T734" s="228"/>
      <c r="U734" s="228"/>
      <c r="V734" s="228"/>
      <c r="W734" s="228"/>
      <c r="X734" s="228"/>
      <c r="Y734" s="228"/>
      <c r="Z734" s="228"/>
      <c r="AA734" s="228"/>
      <c r="AB734" s="228"/>
      <c r="AC734" s="228"/>
      <c r="AD734" s="228"/>
      <c r="AE734" s="228"/>
      <c r="AF734" s="228"/>
      <c r="AG734" s="228"/>
      <c r="AH734" s="228"/>
      <c r="AI734" s="228"/>
      <c r="AJ734" s="228"/>
      <c r="AK734" s="228"/>
      <c r="AL734" s="228"/>
      <c r="AM734" s="228"/>
      <c r="AN734" s="228"/>
      <c r="AO734" s="228"/>
      <c r="AP734" s="228"/>
      <c r="AQ734" s="228"/>
    </row>
    <row r="735">
      <c r="A735" s="228"/>
      <c r="B735" s="228"/>
      <c r="C735" s="228"/>
      <c r="D735" s="228"/>
      <c r="E735" s="228"/>
      <c r="F735" s="228"/>
      <c r="G735" s="228"/>
      <c r="H735" s="228"/>
      <c r="I735" s="228"/>
      <c r="J735" s="228"/>
      <c r="K735" s="228"/>
      <c r="L735" s="228"/>
      <c r="M735" s="228"/>
      <c r="N735" s="228"/>
      <c r="O735" s="228"/>
      <c r="P735" s="228"/>
      <c r="Q735" s="228"/>
      <c r="R735" s="228"/>
      <c r="S735" s="228"/>
      <c r="T735" s="228"/>
      <c r="U735" s="228"/>
      <c r="V735" s="228"/>
      <c r="W735" s="228"/>
      <c r="X735" s="228"/>
      <c r="Y735" s="228"/>
      <c r="Z735" s="228"/>
      <c r="AA735" s="228"/>
      <c r="AB735" s="228"/>
      <c r="AC735" s="228"/>
      <c r="AD735" s="228"/>
      <c r="AE735" s="228"/>
      <c r="AF735" s="228"/>
      <c r="AG735" s="228"/>
      <c r="AH735" s="228"/>
      <c r="AI735" s="228"/>
      <c r="AJ735" s="228"/>
      <c r="AK735" s="228"/>
      <c r="AL735" s="228"/>
      <c r="AM735" s="228"/>
      <c r="AN735" s="228"/>
      <c r="AO735" s="228"/>
      <c r="AP735" s="228"/>
      <c r="AQ735" s="228"/>
    </row>
    <row r="736">
      <c r="A736" s="228"/>
      <c r="B736" s="228"/>
      <c r="C736" s="228"/>
      <c r="D736" s="228"/>
      <c r="E736" s="228"/>
      <c r="F736" s="228"/>
      <c r="G736" s="228"/>
      <c r="H736" s="228"/>
      <c r="I736" s="228"/>
      <c r="J736" s="228"/>
      <c r="K736" s="228"/>
      <c r="L736" s="228"/>
      <c r="M736" s="228"/>
      <c r="N736" s="228"/>
      <c r="O736" s="228"/>
      <c r="P736" s="228"/>
      <c r="Q736" s="228"/>
      <c r="R736" s="228"/>
      <c r="S736" s="228"/>
      <c r="T736" s="228"/>
      <c r="U736" s="228"/>
      <c r="V736" s="228"/>
      <c r="W736" s="228"/>
      <c r="X736" s="228"/>
      <c r="Y736" s="228"/>
      <c r="Z736" s="228"/>
      <c r="AA736" s="228"/>
      <c r="AB736" s="228"/>
      <c r="AC736" s="228"/>
      <c r="AD736" s="228"/>
      <c r="AE736" s="228"/>
      <c r="AF736" s="228"/>
      <c r="AG736" s="228"/>
      <c r="AH736" s="228"/>
      <c r="AI736" s="228"/>
      <c r="AJ736" s="228"/>
      <c r="AK736" s="228"/>
      <c r="AL736" s="228"/>
      <c r="AM736" s="228"/>
      <c r="AN736" s="228"/>
      <c r="AO736" s="228"/>
      <c r="AP736" s="228"/>
      <c r="AQ736" s="228"/>
    </row>
    <row r="737">
      <c r="A737" s="228"/>
      <c r="B737" s="228"/>
      <c r="C737" s="228"/>
      <c r="D737" s="228"/>
      <c r="E737" s="228"/>
      <c r="F737" s="228"/>
      <c r="G737" s="228"/>
      <c r="H737" s="228"/>
      <c r="I737" s="228"/>
      <c r="J737" s="228"/>
      <c r="K737" s="228"/>
      <c r="L737" s="228"/>
      <c r="M737" s="228"/>
      <c r="N737" s="228"/>
      <c r="O737" s="228"/>
      <c r="P737" s="228"/>
      <c r="Q737" s="228"/>
      <c r="R737" s="228"/>
      <c r="S737" s="228"/>
      <c r="T737" s="228"/>
      <c r="U737" s="228"/>
      <c r="V737" s="228"/>
      <c r="W737" s="228"/>
      <c r="X737" s="228"/>
      <c r="Y737" s="228"/>
      <c r="Z737" s="228"/>
      <c r="AA737" s="228"/>
      <c r="AB737" s="228"/>
      <c r="AC737" s="228"/>
      <c r="AD737" s="228"/>
      <c r="AE737" s="228"/>
      <c r="AF737" s="228"/>
      <c r="AG737" s="228"/>
      <c r="AH737" s="228"/>
      <c r="AI737" s="228"/>
      <c r="AJ737" s="228"/>
      <c r="AK737" s="228"/>
      <c r="AL737" s="228"/>
      <c r="AM737" s="228"/>
      <c r="AN737" s="228"/>
      <c r="AO737" s="228"/>
      <c r="AP737" s="228"/>
      <c r="AQ737" s="228"/>
    </row>
    <row r="738">
      <c r="A738" s="228"/>
      <c r="B738" s="228"/>
      <c r="C738" s="228"/>
      <c r="D738" s="228"/>
      <c r="E738" s="228"/>
      <c r="F738" s="228"/>
      <c r="G738" s="228"/>
      <c r="H738" s="228"/>
      <c r="I738" s="228"/>
      <c r="J738" s="228"/>
      <c r="K738" s="228"/>
      <c r="L738" s="228"/>
      <c r="M738" s="228"/>
      <c r="N738" s="228"/>
      <c r="O738" s="228"/>
      <c r="P738" s="228"/>
      <c r="Q738" s="228"/>
      <c r="R738" s="228"/>
      <c r="S738" s="228"/>
      <c r="T738" s="228"/>
      <c r="U738" s="228"/>
      <c r="V738" s="228"/>
      <c r="W738" s="228"/>
      <c r="X738" s="228"/>
      <c r="Y738" s="228"/>
      <c r="Z738" s="228"/>
      <c r="AA738" s="228"/>
      <c r="AB738" s="228"/>
      <c r="AC738" s="228"/>
      <c r="AD738" s="228"/>
      <c r="AE738" s="228"/>
      <c r="AF738" s="228"/>
      <c r="AG738" s="228"/>
      <c r="AH738" s="228"/>
      <c r="AI738" s="228"/>
      <c r="AJ738" s="228"/>
      <c r="AK738" s="228"/>
      <c r="AL738" s="228"/>
      <c r="AM738" s="228"/>
      <c r="AN738" s="228"/>
      <c r="AO738" s="228"/>
      <c r="AP738" s="228"/>
      <c r="AQ738" s="228"/>
    </row>
    <row r="739">
      <c r="A739" s="228"/>
      <c r="B739" s="228"/>
      <c r="C739" s="228"/>
      <c r="D739" s="228"/>
      <c r="E739" s="228"/>
      <c r="F739" s="228"/>
      <c r="G739" s="228"/>
      <c r="H739" s="228"/>
      <c r="I739" s="228"/>
      <c r="J739" s="228"/>
      <c r="K739" s="228"/>
      <c r="L739" s="228"/>
      <c r="M739" s="228"/>
      <c r="N739" s="228"/>
      <c r="O739" s="228"/>
      <c r="P739" s="228"/>
      <c r="Q739" s="228"/>
      <c r="R739" s="228"/>
      <c r="S739" s="228"/>
      <c r="T739" s="228"/>
      <c r="U739" s="228"/>
      <c r="V739" s="228"/>
      <c r="W739" s="228"/>
      <c r="X739" s="228"/>
      <c r="Y739" s="228"/>
      <c r="Z739" s="228"/>
      <c r="AA739" s="228"/>
      <c r="AB739" s="228"/>
      <c r="AC739" s="228"/>
      <c r="AD739" s="228"/>
      <c r="AE739" s="228"/>
      <c r="AF739" s="228"/>
      <c r="AG739" s="228"/>
      <c r="AH739" s="228"/>
      <c r="AI739" s="228"/>
      <c r="AJ739" s="228"/>
      <c r="AK739" s="228"/>
      <c r="AL739" s="228"/>
      <c r="AM739" s="228"/>
      <c r="AN739" s="228"/>
      <c r="AO739" s="228"/>
      <c r="AP739" s="228"/>
      <c r="AQ739" s="228"/>
    </row>
    <row r="740">
      <c r="A740" s="228"/>
      <c r="B740" s="228"/>
      <c r="C740" s="228"/>
      <c r="D740" s="228"/>
      <c r="E740" s="228"/>
      <c r="F740" s="228"/>
      <c r="G740" s="228"/>
      <c r="H740" s="228"/>
      <c r="I740" s="228"/>
      <c r="J740" s="228"/>
      <c r="K740" s="228"/>
      <c r="L740" s="228"/>
      <c r="M740" s="228"/>
      <c r="N740" s="228"/>
      <c r="O740" s="228"/>
      <c r="P740" s="228"/>
      <c r="Q740" s="228"/>
      <c r="R740" s="228"/>
      <c r="S740" s="228"/>
      <c r="T740" s="228"/>
      <c r="U740" s="228"/>
      <c r="V740" s="228"/>
      <c r="W740" s="228"/>
      <c r="X740" s="228"/>
      <c r="Y740" s="228"/>
      <c r="Z740" s="228"/>
      <c r="AA740" s="228"/>
      <c r="AB740" s="228"/>
      <c r="AC740" s="228"/>
      <c r="AD740" s="228"/>
      <c r="AE740" s="228"/>
      <c r="AF740" s="228"/>
      <c r="AG740" s="228"/>
      <c r="AH740" s="228"/>
      <c r="AI740" s="228"/>
      <c r="AJ740" s="228"/>
      <c r="AK740" s="228"/>
      <c r="AL740" s="228"/>
      <c r="AM740" s="228"/>
      <c r="AN740" s="228"/>
      <c r="AO740" s="228"/>
      <c r="AP740" s="228"/>
      <c r="AQ740" s="228"/>
    </row>
    <row r="741">
      <c r="A741" s="228"/>
      <c r="B741" s="228"/>
      <c r="C741" s="228"/>
      <c r="D741" s="228"/>
      <c r="E741" s="228"/>
      <c r="F741" s="228"/>
      <c r="G741" s="228"/>
      <c r="H741" s="228"/>
      <c r="I741" s="228"/>
      <c r="J741" s="228"/>
      <c r="K741" s="228"/>
      <c r="L741" s="228"/>
      <c r="M741" s="228"/>
      <c r="N741" s="228"/>
      <c r="O741" s="228"/>
      <c r="P741" s="228"/>
      <c r="Q741" s="228"/>
      <c r="R741" s="228"/>
      <c r="S741" s="228"/>
      <c r="T741" s="228"/>
      <c r="U741" s="228"/>
      <c r="V741" s="228"/>
      <c r="W741" s="228"/>
      <c r="X741" s="228"/>
      <c r="Y741" s="228"/>
      <c r="Z741" s="228"/>
      <c r="AA741" s="228"/>
      <c r="AB741" s="228"/>
      <c r="AC741" s="228"/>
      <c r="AD741" s="228"/>
      <c r="AE741" s="228"/>
      <c r="AF741" s="228"/>
      <c r="AG741" s="228"/>
      <c r="AH741" s="228"/>
      <c r="AI741" s="228"/>
      <c r="AJ741" s="228"/>
      <c r="AK741" s="228"/>
      <c r="AL741" s="228"/>
      <c r="AM741" s="228"/>
      <c r="AN741" s="228"/>
      <c r="AO741" s="228"/>
      <c r="AP741" s="228"/>
      <c r="AQ741" s="228"/>
    </row>
    <row r="742">
      <c r="A742" s="228"/>
      <c r="B742" s="228"/>
      <c r="C742" s="228"/>
      <c r="D742" s="228"/>
      <c r="E742" s="228"/>
      <c r="F742" s="228"/>
      <c r="G742" s="228"/>
      <c r="H742" s="228"/>
      <c r="I742" s="228"/>
      <c r="J742" s="228"/>
      <c r="K742" s="228"/>
      <c r="L742" s="228"/>
      <c r="M742" s="228"/>
      <c r="N742" s="228"/>
      <c r="O742" s="228"/>
      <c r="P742" s="228"/>
      <c r="Q742" s="228"/>
      <c r="R742" s="228"/>
      <c r="S742" s="228"/>
      <c r="T742" s="228"/>
      <c r="U742" s="228"/>
      <c r="V742" s="228"/>
      <c r="W742" s="228"/>
      <c r="X742" s="228"/>
      <c r="Y742" s="228"/>
      <c r="Z742" s="228"/>
      <c r="AA742" s="228"/>
      <c r="AB742" s="228"/>
      <c r="AC742" s="228"/>
      <c r="AD742" s="228"/>
      <c r="AE742" s="228"/>
      <c r="AF742" s="228"/>
      <c r="AG742" s="228"/>
      <c r="AH742" s="228"/>
      <c r="AI742" s="228"/>
      <c r="AJ742" s="228"/>
      <c r="AK742" s="228"/>
      <c r="AL742" s="228"/>
      <c r="AM742" s="228"/>
      <c r="AN742" s="228"/>
      <c r="AO742" s="228"/>
      <c r="AP742" s="228"/>
      <c r="AQ742" s="228"/>
    </row>
    <row r="743">
      <c r="A743" s="228"/>
      <c r="B743" s="228"/>
      <c r="C743" s="228"/>
      <c r="D743" s="228"/>
      <c r="E743" s="228"/>
      <c r="F743" s="228"/>
      <c r="G743" s="228"/>
      <c r="H743" s="228"/>
      <c r="I743" s="228"/>
      <c r="J743" s="228"/>
      <c r="K743" s="228"/>
      <c r="L743" s="228"/>
      <c r="M743" s="228"/>
      <c r="N743" s="228"/>
      <c r="O743" s="228"/>
      <c r="P743" s="228"/>
      <c r="Q743" s="228"/>
      <c r="R743" s="228"/>
      <c r="S743" s="228"/>
      <c r="T743" s="228"/>
      <c r="U743" s="228"/>
      <c r="V743" s="228"/>
      <c r="W743" s="228"/>
      <c r="X743" s="228"/>
      <c r="Y743" s="228"/>
      <c r="Z743" s="228"/>
      <c r="AA743" s="228"/>
      <c r="AB743" s="228"/>
      <c r="AC743" s="228"/>
      <c r="AD743" s="228"/>
      <c r="AE743" s="228"/>
      <c r="AF743" s="228"/>
      <c r="AG743" s="228"/>
      <c r="AH743" s="228"/>
      <c r="AI743" s="228"/>
      <c r="AJ743" s="228"/>
      <c r="AK743" s="228"/>
      <c r="AL743" s="228"/>
      <c r="AM743" s="228"/>
      <c r="AN743" s="228"/>
      <c r="AO743" s="228"/>
      <c r="AP743" s="228"/>
      <c r="AQ743" s="228"/>
    </row>
    <row r="744">
      <c r="A744" s="228"/>
      <c r="B744" s="228"/>
      <c r="C744" s="228"/>
      <c r="D744" s="228"/>
      <c r="E744" s="228"/>
      <c r="F744" s="228"/>
      <c r="G744" s="228"/>
      <c r="H744" s="228"/>
      <c r="I744" s="228"/>
      <c r="J744" s="228"/>
      <c r="K744" s="228"/>
      <c r="L744" s="228"/>
      <c r="M744" s="228"/>
      <c r="N744" s="228"/>
      <c r="O744" s="228"/>
      <c r="P744" s="228"/>
      <c r="Q744" s="228"/>
      <c r="R744" s="228"/>
      <c r="S744" s="228"/>
      <c r="T744" s="228"/>
      <c r="U744" s="228"/>
      <c r="V744" s="228"/>
      <c r="W744" s="228"/>
      <c r="X744" s="228"/>
      <c r="Y744" s="228"/>
      <c r="Z744" s="228"/>
      <c r="AA744" s="228"/>
      <c r="AB744" s="228"/>
      <c r="AC744" s="228"/>
      <c r="AD744" s="228"/>
      <c r="AE744" s="228"/>
      <c r="AF744" s="228"/>
      <c r="AG744" s="228"/>
      <c r="AH744" s="228"/>
      <c r="AI744" s="228"/>
      <c r="AJ744" s="228"/>
      <c r="AK744" s="228"/>
      <c r="AL744" s="228"/>
      <c r="AM744" s="228"/>
      <c r="AN744" s="228"/>
      <c r="AO744" s="228"/>
      <c r="AP744" s="228"/>
      <c r="AQ744" s="228"/>
    </row>
    <row r="745">
      <c r="A745" s="228"/>
      <c r="B745" s="228"/>
      <c r="C745" s="228"/>
      <c r="D745" s="228"/>
      <c r="E745" s="228"/>
      <c r="F745" s="228"/>
      <c r="G745" s="228"/>
      <c r="H745" s="228"/>
      <c r="I745" s="228"/>
      <c r="J745" s="228"/>
      <c r="K745" s="228"/>
      <c r="L745" s="228"/>
      <c r="M745" s="228"/>
      <c r="N745" s="228"/>
      <c r="O745" s="228"/>
      <c r="P745" s="228"/>
      <c r="Q745" s="228"/>
      <c r="R745" s="228"/>
      <c r="S745" s="228"/>
      <c r="T745" s="228"/>
      <c r="U745" s="228"/>
      <c r="V745" s="228"/>
      <c r="W745" s="228"/>
      <c r="X745" s="228"/>
      <c r="Y745" s="228"/>
      <c r="Z745" s="228"/>
      <c r="AA745" s="228"/>
      <c r="AB745" s="228"/>
      <c r="AC745" s="228"/>
      <c r="AD745" s="228"/>
      <c r="AE745" s="228"/>
      <c r="AF745" s="228"/>
      <c r="AG745" s="228"/>
      <c r="AH745" s="228"/>
      <c r="AI745" s="228"/>
      <c r="AJ745" s="228"/>
      <c r="AK745" s="228"/>
      <c r="AL745" s="228"/>
      <c r="AM745" s="228"/>
      <c r="AN745" s="228"/>
      <c r="AO745" s="228"/>
      <c r="AP745" s="228"/>
      <c r="AQ745" s="228"/>
    </row>
    <row r="746">
      <c r="A746" s="228"/>
      <c r="B746" s="228"/>
      <c r="C746" s="228"/>
      <c r="D746" s="228"/>
      <c r="E746" s="228"/>
      <c r="F746" s="228"/>
      <c r="G746" s="228"/>
      <c r="H746" s="228"/>
      <c r="I746" s="228"/>
      <c r="J746" s="228"/>
      <c r="K746" s="228"/>
      <c r="L746" s="228"/>
      <c r="M746" s="228"/>
      <c r="N746" s="228"/>
      <c r="O746" s="228"/>
      <c r="P746" s="228"/>
      <c r="Q746" s="228"/>
      <c r="R746" s="228"/>
      <c r="S746" s="228"/>
      <c r="T746" s="228"/>
      <c r="U746" s="228"/>
      <c r="V746" s="228"/>
      <c r="W746" s="228"/>
      <c r="X746" s="228"/>
      <c r="Y746" s="228"/>
      <c r="Z746" s="228"/>
      <c r="AA746" s="228"/>
      <c r="AB746" s="228"/>
      <c r="AC746" s="228"/>
      <c r="AD746" s="228"/>
      <c r="AE746" s="228"/>
      <c r="AF746" s="228"/>
      <c r="AG746" s="228"/>
      <c r="AH746" s="228"/>
      <c r="AI746" s="228"/>
      <c r="AJ746" s="228"/>
      <c r="AK746" s="228"/>
      <c r="AL746" s="228"/>
      <c r="AM746" s="228"/>
      <c r="AN746" s="228"/>
      <c r="AO746" s="228"/>
      <c r="AP746" s="228"/>
      <c r="AQ746" s="228"/>
    </row>
    <row r="747">
      <c r="A747" s="228"/>
      <c r="B747" s="228"/>
      <c r="C747" s="228"/>
      <c r="D747" s="228"/>
      <c r="E747" s="228"/>
      <c r="F747" s="228"/>
      <c r="G747" s="228"/>
      <c r="H747" s="228"/>
      <c r="I747" s="228"/>
      <c r="J747" s="228"/>
      <c r="K747" s="228"/>
      <c r="L747" s="228"/>
      <c r="M747" s="228"/>
      <c r="N747" s="228"/>
      <c r="O747" s="228"/>
      <c r="P747" s="228"/>
      <c r="Q747" s="228"/>
      <c r="R747" s="228"/>
      <c r="S747" s="228"/>
      <c r="T747" s="228"/>
      <c r="U747" s="228"/>
      <c r="V747" s="228"/>
      <c r="W747" s="228"/>
      <c r="X747" s="228"/>
      <c r="Y747" s="228"/>
      <c r="Z747" s="228"/>
      <c r="AA747" s="228"/>
      <c r="AB747" s="228"/>
      <c r="AC747" s="228"/>
      <c r="AD747" s="228"/>
      <c r="AE747" s="228"/>
      <c r="AF747" s="228"/>
      <c r="AG747" s="228"/>
      <c r="AH747" s="228"/>
      <c r="AI747" s="228"/>
      <c r="AJ747" s="228"/>
      <c r="AK747" s="228"/>
      <c r="AL747" s="228"/>
      <c r="AM747" s="228"/>
      <c r="AN747" s="228"/>
      <c r="AO747" s="228"/>
      <c r="AP747" s="228"/>
      <c r="AQ747" s="228"/>
    </row>
    <row r="748">
      <c r="A748" s="228"/>
      <c r="B748" s="228"/>
      <c r="C748" s="228"/>
      <c r="D748" s="228"/>
      <c r="E748" s="228"/>
      <c r="F748" s="228"/>
      <c r="G748" s="228"/>
      <c r="H748" s="228"/>
      <c r="I748" s="228"/>
      <c r="J748" s="228"/>
      <c r="K748" s="228"/>
      <c r="L748" s="228"/>
      <c r="M748" s="228"/>
      <c r="N748" s="228"/>
      <c r="O748" s="228"/>
      <c r="P748" s="228"/>
      <c r="Q748" s="228"/>
      <c r="R748" s="228"/>
      <c r="S748" s="228"/>
      <c r="T748" s="228"/>
      <c r="U748" s="228"/>
      <c r="V748" s="228"/>
      <c r="W748" s="228"/>
      <c r="X748" s="228"/>
      <c r="Y748" s="228"/>
      <c r="Z748" s="228"/>
      <c r="AA748" s="228"/>
      <c r="AB748" s="228"/>
      <c r="AC748" s="228"/>
      <c r="AD748" s="228"/>
      <c r="AE748" s="228"/>
      <c r="AF748" s="228"/>
      <c r="AG748" s="228"/>
      <c r="AH748" s="228"/>
      <c r="AI748" s="228"/>
      <c r="AJ748" s="228"/>
      <c r="AK748" s="228"/>
      <c r="AL748" s="228"/>
      <c r="AM748" s="228"/>
      <c r="AN748" s="228"/>
      <c r="AO748" s="228"/>
      <c r="AP748" s="228"/>
      <c r="AQ748" s="228"/>
    </row>
    <row r="749">
      <c r="A749" s="228"/>
      <c r="B749" s="228"/>
      <c r="C749" s="228"/>
      <c r="D749" s="228"/>
      <c r="E749" s="228"/>
      <c r="F749" s="228"/>
      <c r="G749" s="228"/>
      <c r="H749" s="228"/>
      <c r="I749" s="228"/>
      <c r="J749" s="228"/>
      <c r="K749" s="228"/>
      <c r="L749" s="228"/>
      <c r="M749" s="228"/>
      <c r="N749" s="228"/>
      <c r="O749" s="228"/>
      <c r="P749" s="228"/>
      <c r="Q749" s="228"/>
      <c r="R749" s="228"/>
      <c r="S749" s="228"/>
      <c r="T749" s="228"/>
      <c r="U749" s="228"/>
      <c r="V749" s="228"/>
      <c r="W749" s="228"/>
      <c r="X749" s="228"/>
      <c r="Y749" s="228"/>
      <c r="Z749" s="228"/>
      <c r="AA749" s="228"/>
      <c r="AB749" s="228"/>
      <c r="AC749" s="228"/>
      <c r="AD749" s="228"/>
      <c r="AE749" s="228"/>
      <c r="AF749" s="228"/>
      <c r="AG749" s="228"/>
      <c r="AH749" s="228"/>
      <c r="AI749" s="228"/>
      <c r="AJ749" s="228"/>
      <c r="AK749" s="228"/>
      <c r="AL749" s="228"/>
      <c r="AM749" s="228"/>
      <c r="AN749" s="228"/>
      <c r="AO749" s="228"/>
      <c r="AP749" s="228"/>
      <c r="AQ749" s="228"/>
    </row>
    <row r="750">
      <c r="A750" s="228"/>
      <c r="B750" s="228"/>
      <c r="C750" s="228"/>
      <c r="D750" s="228"/>
      <c r="E750" s="228"/>
      <c r="F750" s="228"/>
      <c r="G750" s="228"/>
      <c r="H750" s="228"/>
      <c r="I750" s="228"/>
      <c r="J750" s="228"/>
      <c r="K750" s="228"/>
      <c r="L750" s="228"/>
      <c r="M750" s="228"/>
      <c r="N750" s="228"/>
      <c r="O750" s="228"/>
      <c r="P750" s="228"/>
      <c r="Q750" s="228"/>
      <c r="R750" s="228"/>
      <c r="S750" s="228"/>
      <c r="T750" s="228"/>
      <c r="U750" s="228"/>
      <c r="V750" s="228"/>
      <c r="W750" s="228"/>
      <c r="X750" s="228"/>
      <c r="Y750" s="228"/>
      <c r="Z750" s="228"/>
      <c r="AA750" s="228"/>
      <c r="AB750" s="228"/>
      <c r="AC750" s="228"/>
      <c r="AD750" s="228"/>
      <c r="AE750" s="228"/>
      <c r="AF750" s="228"/>
      <c r="AG750" s="228"/>
      <c r="AH750" s="228"/>
      <c r="AI750" s="228"/>
      <c r="AJ750" s="228"/>
      <c r="AK750" s="228"/>
      <c r="AL750" s="228"/>
      <c r="AM750" s="228"/>
      <c r="AN750" s="228"/>
      <c r="AO750" s="228"/>
      <c r="AP750" s="228"/>
      <c r="AQ750" s="228"/>
    </row>
    <row r="751">
      <c r="A751" s="228"/>
      <c r="B751" s="228"/>
      <c r="C751" s="228"/>
      <c r="D751" s="228"/>
      <c r="E751" s="228"/>
      <c r="F751" s="228"/>
      <c r="G751" s="228"/>
      <c r="H751" s="228"/>
      <c r="I751" s="228"/>
      <c r="J751" s="228"/>
      <c r="K751" s="228"/>
      <c r="L751" s="228"/>
      <c r="M751" s="228"/>
      <c r="N751" s="228"/>
      <c r="O751" s="228"/>
      <c r="P751" s="228"/>
      <c r="Q751" s="228"/>
      <c r="R751" s="228"/>
      <c r="S751" s="228"/>
      <c r="T751" s="228"/>
      <c r="U751" s="228"/>
      <c r="V751" s="228"/>
      <c r="W751" s="228"/>
      <c r="X751" s="228"/>
      <c r="Y751" s="228"/>
      <c r="Z751" s="228"/>
      <c r="AA751" s="228"/>
      <c r="AB751" s="228"/>
      <c r="AC751" s="228"/>
      <c r="AD751" s="228"/>
      <c r="AE751" s="228"/>
      <c r="AF751" s="228"/>
      <c r="AG751" s="228"/>
      <c r="AH751" s="228"/>
      <c r="AI751" s="228"/>
      <c r="AJ751" s="228"/>
      <c r="AK751" s="228"/>
      <c r="AL751" s="228"/>
      <c r="AM751" s="228"/>
      <c r="AN751" s="228"/>
      <c r="AO751" s="228"/>
      <c r="AP751" s="228"/>
      <c r="AQ751" s="228"/>
    </row>
    <row r="752">
      <c r="A752" s="228"/>
      <c r="B752" s="228"/>
      <c r="C752" s="228"/>
      <c r="D752" s="228"/>
      <c r="E752" s="228"/>
      <c r="F752" s="228"/>
      <c r="G752" s="228"/>
      <c r="H752" s="228"/>
      <c r="I752" s="228"/>
      <c r="J752" s="228"/>
      <c r="K752" s="228"/>
      <c r="L752" s="228"/>
      <c r="M752" s="228"/>
      <c r="N752" s="228"/>
      <c r="O752" s="228"/>
      <c r="P752" s="228"/>
      <c r="Q752" s="228"/>
      <c r="R752" s="228"/>
      <c r="S752" s="228"/>
      <c r="T752" s="228"/>
      <c r="U752" s="228"/>
      <c r="V752" s="228"/>
      <c r="W752" s="228"/>
      <c r="X752" s="228"/>
      <c r="Y752" s="228"/>
      <c r="Z752" s="228"/>
      <c r="AA752" s="228"/>
      <c r="AB752" s="228"/>
      <c r="AC752" s="228"/>
      <c r="AD752" s="228"/>
      <c r="AE752" s="228"/>
      <c r="AF752" s="228"/>
      <c r="AG752" s="228"/>
      <c r="AH752" s="228"/>
      <c r="AI752" s="228"/>
      <c r="AJ752" s="228"/>
      <c r="AK752" s="228"/>
      <c r="AL752" s="228"/>
      <c r="AM752" s="228"/>
      <c r="AN752" s="228"/>
      <c r="AO752" s="228"/>
      <c r="AP752" s="228"/>
      <c r="AQ752" s="228"/>
    </row>
    <row r="753">
      <c r="A753" s="228"/>
      <c r="B753" s="228"/>
      <c r="C753" s="228"/>
      <c r="D753" s="228"/>
      <c r="E753" s="228"/>
      <c r="F753" s="228"/>
      <c r="G753" s="228"/>
      <c r="H753" s="228"/>
      <c r="I753" s="228"/>
      <c r="J753" s="228"/>
      <c r="K753" s="228"/>
      <c r="L753" s="228"/>
      <c r="M753" s="228"/>
      <c r="N753" s="228"/>
      <c r="O753" s="228"/>
      <c r="P753" s="228"/>
      <c r="Q753" s="228"/>
      <c r="R753" s="228"/>
      <c r="S753" s="228"/>
      <c r="T753" s="228"/>
      <c r="U753" s="228"/>
      <c r="V753" s="228"/>
      <c r="W753" s="228"/>
      <c r="X753" s="228"/>
      <c r="Y753" s="228"/>
      <c r="Z753" s="228"/>
      <c r="AA753" s="228"/>
      <c r="AB753" s="228"/>
      <c r="AC753" s="228"/>
      <c r="AD753" s="228"/>
      <c r="AE753" s="228"/>
      <c r="AF753" s="228"/>
      <c r="AG753" s="228"/>
      <c r="AH753" s="228"/>
      <c r="AI753" s="228"/>
      <c r="AJ753" s="228"/>
      <c r="AK753" s="228"/>
      <c r="AL753" s="228"/>
      <c r="AM753" s="228"/>
      <c r="AN753" s="228"/>
      <c r="AO753" s="228"/>
      <c r="AP753" s="228"/>
      <c r="AQ753" s="228"/>
    </row>
    <row r="754">
      <c r="A754" s="228"/>
      <c r="B754" s="228"/>
      <c r="C754" s="228"/>
      <c r="D754" s="228"/>
      <c r="E754" s="228"/>
      <c r="F754" s="228"/>
      <c r="G754" s="228"/>
      <c r="H754" s="228"/>
      <c r="I754" s="228"/>
      <c r="J754" s="228"/>
      <c r="K754" s="228"/>
      <c r="L754" s="228"/>
      <c r="M754" s="228"/>
      <c r="N754" s="228"/>
      <c r="O754" s="228"/>
      <c r="P754" s="228"/>
      <c r="Q754" s="228"/>
      <c r="R754" s="228"/>
      <c r="S754" s="228"/>
      <c r="T754" s="228"/>
      <c r="U754" s="228"/>
      <c r="V754" s="228"/>
      <c r="W754" s="228"/>
      <c r="X754" s="228"/>
      <c r="Y754" s="228"/>
      <c r="Z754" s="228"/>
      <c r="AA754" s="228"/>
      <c r="AB754" s="228"/>
      <c r="AC754" s="228"/>
      <c r="AD754" s="228"/>
      <c r="AE754" s="228"/>
      <c r="AF754" s="228"/>
      <c r="AG754" s="228"/>
      <c r="AH754" s="228"/>
      <c r="AI754" s="228"/>
      <c r="AJ754" s="228"/>
      <c r="AK754" s="228"/>
      <c r="AL754" s="228"/>
      <c r="AM754" s="228"/>
      <c r="AN754" s="228"/>
      <c r="AO754" s="228"/>
      <c r="AP754" s="228"/>
      <c r="AQ754" s="228"/>
    </row>
    <row r="755">
      <c r="A755" s="228"/>
      <c r="B755" s="228"/>
      <c r="C755" s="228"/>
      <c r="D755" s="228"/>
      <c r="E755" s="228"/>
      <c r="F755" s="228"/>
      <c r="G755" s="228"/>
      <c r="H755" s="228"/>
      <c r="I755" s="228"/>
      <c r="J755" s="228"/>
      <c r="K755" s="228"/>
      <c r="L755" s="228"/>
      <c r="M755" s="228"/>
      <c r="N755" s="228"/>
      <c r="O755" s="228"/>
      <c r="P755" s="228"/>
      <c r="Q755" s="228"/>
      <c r="R755" s="228"/>
      <c r="S755" s="228"/>
      <c r="T755" s="228"/>
      <c r="U755" s="228"/>
      <c r="V755" s="228"/>
      <c r="W755" s="228"/>
      <c r="X755" s="228"/>
      <c r="Y755" s="228"/>
      <c r="Z755" s="228"/>
      <c r="AA755" s="228"/>
      <c r="AB755" s="228"/>
      <c r="AC755" s="228"/>
      <c r="AD755" s="228"/>
      <c r="AE755" s="228"/>
      <c r="AF755" s="228"/>
      <c r="AG755" s="228"/>
      <c r="AH755" s="228"/>
      <c r="AI755" s="228"/>
      <c r="AJ755" s="228"/>
      <c r="AK755" s="228"/>
      <c r="AL755" s="228"/>
      <c r="AM755" s="228"/>
      <c r="AN755" s="228"/>
      <c r="AO755" s="228"/>
      <c r="AP755" s="228"/>
      <c r="AQ755" s="228"/>
    </row>
    <row r="756">
      <c r="A756" s="228"/>
      <c r="B756" s="228"/>
      <c r="C756" s="228"/>
      <c r="D756" s="228"/>
      <c r="E756" s="228"/>
      <c r="F756" s="228"/>
      <c r="G756" s="228"/>
      <c r="H756" s="228"/>
      <c r="I756" s="228"/>
      <c r="J756" s="228"/>
      <c r="K756" s="228"/>
      <c r="L756" s="228"/>
      <c r="M756" s="228"/>
      <c r="N756" s="228"/>
      <c r="O756" s="228"/>
      <c r="P756" s="228"/>
      <c r="Q756" s="228"/>
      <c r="R756" s="228"/>
      <c r="S756" s="228"/>
      <c r="T756" s="228"/>
      <c r="U756" s="228"/>
      <c r="V756" s="228"/>
      <c r="W756" s="228"/>
      <c r="X756" s="228"/>
      <c r="Y756" s="228"/>
      <c r="Z756" s="228"/>
      <c r="AA756" s="228"/>
      <c r="AB756" s="228"/>
      <c r="AC756" s="228"/>
      <c r="AD756" s="228"/>
      <c r="AE756" s="228"/>
      <c r="AF756" s="228"/>
      <c r="AG756" s="228"/>
      <c r="AH756" s="228"/>
      <c r="AI756" s="228"/>
      <c r="AJ756" s="228"/>
      <c r="AK756" s="228"/>
      <c r="AL756" s="228"/>
      <c r="AM756" s="228"/>
      <c r="AN756" s="228"/>
      <c r="AO756" s="228"/>
      <c r="AP756" s="228"/>
      <c r="AQ756" s="228"/>
    </row>
    <row r="757">
      <c r="A757" s="228"/>
      <c r="B757" s="228"/>
      <c r="C757" s="228"/>
      <c r="D757" s="228"/>
      <c r="E757" s="228"/>
      <c r="F757" s="228"/>
      <c r="G757" s="228"/>
      <c r="H757" s="228"/>
      <c r="I757" s="228"/>
      <c r="J757" s="228"/>
      <c r="K757" s="228"/>
      <c r="L757" s="228"/>
      <c r="M757" s="228"/>
      <c r="N757" s="228"/>
      <c r="O757" s="228"/>
      <c r="P757" s="228"/>
      <c r="Q757" s="228"/>
      <c r="R757" s="228"/>
      <c r="S757" s="228"/>
      <c r="T757" s="228"/>
      <c r="U757" s="228"/>
      <c r="V757" s="228"/>
      <c r="W757" s="228"/>
      <c r="X757" s="228"/>
      <c r="Y757" s="228"/>
      <c r="Z757" s="228"/>
      <c r="AA757" s="228"/>
      <c r="AB757" s="228"/>
      <c r="AC757" s="228"/>
      <c r="AD757" s="228"/>
      <c r="AE757" s="228"/>
      <c r="AF757" s="228"/>
      <c r="AG757" s="228"/>
      <c r="AH757" s="228"/>
      <c r="AI757" s="228"/>
      <c r="AJ757" s="228"/>
      <c r="AK757" s="228"/>
      <c r="AL757" s="228"/>
      <c r="AM757" s="228"/>
      <c r="AN757" s="228"/>
      <c r="AO757" s="228"/>
      <c r="AP757" s="228"/>
      <c r="AQ757" s="228"/>
    </row>
    <row r="758">
      <c r="A758" s="228"/>
      <c r="B758" s="228"/>
      <c r="C758" s="228"/>
      <c r="D758" s="228"/>
      <c r="E758" s="228"/>
      <c r="F758" s="228"/>
      <c r="G758" s="228"/>
      <c r="H758" s="228"/>
      <c r="I758" s="228"/>
      <c r="J758" s="228"/>
      <c r="K758" s="228"/>
      <c r="L758" s="228"/>
      <c r="M758" s="228"/>
      <c r="N758" s="228"/>
      <c r="O758" s="228"/>
      <c r="P758" s="228"/>
      <c r="Q758" s="228"/>
      <c r="R758" s="228"/>
      <c r="S758" s="228"/>
      <c r="T758" s="228"/>
      <c r="U758" s="228"/>
      <c r="V758" s="228"/>
      <c r="W758" s="228"/>
      <c r="X758" s="228"/>
      <c r="Y758" s="228"/>
      <c r="Z758" s="228"/>
      <c r="AA758" s="228"/>
      <c r="AB758" s="228"/>
      <c r="AC758" s="228"/>
      <c r="AD758" s="228"/>
      <c r="AE758" s="228"/>
      <c r="AF758" s="228"/>
      <c r="AG758" s="228"/>
      <c r="AH758" s="228"/>
      <c r="AI758" s="228"/>
      <c r="AJ758" s="228"/>
      <c r="AK758" s="228"/>
      <c r="AL758" s="228"/>
      <c r="AM758" s="228"/>
      <c r="AN758" s="228"/>
      <c r="AO758" s="228"/>
      <c r="AP758" s="228"/>
      <c r="AQ758" s="228"/>
    </row>
    <row r="759">
      <c r="A759" s="228"/>
      <c r="B759" s="228"/>
      <c r="C759" s="228"/>
      <c r="D759" s="228"/>
      <c r="E759" s="228"/>
      <c r="F759" s="228"/>
      <c r="G759" s="228"/>
      <c r="H759" s="228"/>
      <c r="I759" s="228"/>
      <c r="J759" s="228"/>
      <c r="K759" s="228"/>
      <c r="L759" s="228"/>
      <c r="M759" s="228"/>
      <c r="N759" s="228"/>
      <c r="O759" s="228"/>
      <c r="P759" s="228"/>
      <c r="Q759" s="228"/>
      <c r="R759" s="228"/>
      <c r="S759" s="228"/>
      <c r="T759" s="228"/>
      <c r="U759" s="228"/>
      <c r="V759" s="228"/>
      <c r="W759" s="228"/>
      <c r="X759" s="228"/>
      <c r="Y759" s="228"/>
      <c r="Z759" s="228"/>
      <c r="AA759" s="228"/>
      <c r="AB759" s="228"/>
      <c r="AC759" s="228"/>
      <c r="AD759" s="228"/>
      <c r="AE759" s="228"/>
      <c r="AF759" s="228"/>
      <c r="AG759" s="228"/>
      <c r="AH759" s="228"/>
      <c r="AI759" s="228"/>
      <c r="AJ759" s="228"/>
      <c r="AK759" s="228"/>
      <c r="AL759" s="228"/>
      <c r="AM759" s="228"/>
      <c r="AN759" s="228"/>
      <c r="AO759" s="228"/>
      <c r="AP759" s="228"/>
      <c r="AQ759" s="228"/>
    </row>
    <row r="760">
      <c r="A760" s="228"/>
      <c r="B760" s="228"/>
      <c r="C760" s="228"/>
      <c r="D760" s="228"/>
      <c r="E760" s="228"/>
      <c r="F760" s="228"/>
      <c r="G760" s="228"/>
      <c r="H760" s="228"/>
      <c r="I760" s="228"/>
      <c r="J760" s="228"/>
      <c r="K760" s="228"/>
      <c r="L760" s="228"/>
      <c r="M760" s="228"/>
      <c r="N760" s="228"/>
      <c r="O760" s="228"/>
      <c r="P760" s="228"/>
      <c r="Q760" s="228"/>
      <c r="R760" s="228"/>
      <c r="S760" s="228"/>
      <c r="T760" s="228"/>
      <c r="U760" s="228"/>
      <c r="V760" s="228"/>
      <c r="W760" s="228"/>
      <c r="X760" s="228"/>
      <c r="Y760" s="228"/>
      <c r="Z760" s="228"/>
      <c r="AA760" s="228"/>
      <c r="AB760" s="228"/>
      <c r="AC760" s="228"/>
      <c r="AD760" s="228"/>
      <c r="AE760" s="228"/>
      <c r="AF760" s="228"/>
      <c r="AG760" s="228"/>
      <c r="AH760" s="228"/>
      <c r="AI760" s="228"/>
      <c r="AJ760" s="228"/>
      <c r="AK760" s="228"/>
      <c r="AL760" s="228"/>
      <c r="AM760" s="228"/>
      <c r="AN760" s="228"/>
      <c r="AO760" s="228"/>
      <c r="AP760" s="228"/>
      <c r="AQ760" s="228"/>
    </row>
    <row r="761">
      <c r="A761" s="228"/>
      <c r="B761" s="228"/>
      <c r="C761" s="228"/>
      <c r="D761" s="228"/>
      <c r="E761" s="228"/>
      <c r="F761" s="228"/>
      <c r="G761" s="228"/>
      <c r="H761" s="228"/>
      <c r="I761" s="228"/>
      <c r="J761" s="228"/>
      <c r="K761" s="228"/>
      <c r="L761" s="228"/>
      <c r="M761" s="228"/>
      <c r="N761" s="228"/>
      <c r="O761" s="228"/>
      <c r="P761" s="228"/>
      <c r="Q761" s="228"/>
      <c r="R761" s="228"/>
      <c r="S761" s="228"/>
      <c r="T761" s="228"/>
      <c r="U761" s="228"/>
      <c r="V761" s="228"/>
      <c r="W761" s="228"/>
      <c r="X761" s="228"/>
      <c r="Y761" s="228"/>
      <c r="Z761" s="228"/>
      <c r="AA761" s="228"/>
      <c r="AB761" s="228"/>
      <c r="AC761" s="228"/>
      <c r="AD761" s="228"/>
      <c r="AE761" s="228"/>
      <c r="AF761" s="228"/>
      <c r="AG761" s="228"/>
      <c r="AH761" s="228"/>
      <c r="AI761" s="228"/>
      <c r="AJ761" s="228"/>
      <c r="AK761" s="228"/>
      <c r="AL761" s="228"/>
      <c r="AM761" s="228"/>
      <c r="AN761" s="228"/>
      <c r="AO761" s="228"/>
      <c r="AP761" s="228"/>
      <c r="AQ761" s="228"/>
    </row>
    <row r="762">
      <c r="A762" s="228"/>
      <c r="B762" s="228"/>
      <c r="C762" s="228"/>
      <c r="D762" s="228"/>
      <c r="E762" s="228"/>
      <c r="F762" s="228"/>
      <c r="G762" s="228"/>
      <c r="H762" s="228"/>
      <c r="I762" s="228"/>
      <c r="J762" s="228"/>
      <c r="K762" s="228"/>
      <c r="L762" s="228"/>
      <c r="M762" s="228"/>
      <c r="N762" s="228"/>
      <c r="O762" s="228"/>
      <c r="P762" s="228"/>
      <c r="Q762" s="228"/>
      <c r="R762" s="228"/>
      <c r="S762" s="228"/>
      <c r="T762" s="228"/>
      <c r="U762" s="228"/>
      <c r="V762" s="228"/>
      <c r="W762" s="228"/>
      <c r="X762" s="228"/>
      <c r="Y762" s="228"/>
      <c r="Z762" s="228"/>
      <c r="AA762" s="228"/>
      <c r="AB762" s="228"/>
      <c r="AC762" s="228"/>
      <c r="AD762" s="228"/>
      <c r="AE762" s="228"/>
      <c r="AF762" s="228"/>
      <c r="AG762" s="228"/>
      <c r="AH762" s="228"/>
      <c r="AI762" s="228"/>
      <c r="AJ762" s="228"/>
      <c r="AK762" s="228"/>
      <c r="AL762" s="228"/>
      <c r="AM762" s="228"/>
      <c r="AN762" s="228"/>
      <c r="AO762" s="228"/>
      <c r="AP762" s="228"/>
      <c r="AQ762" s="228"/>
    </row>
    <row r="763">
      <c r="A763" s="228"/>
      <c r="B763" s="228"/>
      <c r="C763" s="228"/>
      <c r="D763" s="228"/>
      <c r="E763" s="228"/>
      <c r="F763" s="228"/>
      <c r="G763" s="228"/>
      <c r="H763" s="228"/>
      <c r="I763" s="228"/>
      <c r="J763" s="228"/>
      <c r="K763" s="228"/>
      <c r="L763" s="228"/>
      <c r="M763" s="228"/>
      <c r="N763" s="228"/>
      <c r="O763" s="228"/>
      <c r="P763" s="228"/>
      <c r="Q763" s="228"/>
      <c r="R763" s="228"/>
      <c r="S763" s="228"/>
      <c r="T763" s="228"/>
      <c r="U763" s="228"/>
      <c r="V763" s="228"/>
      <c r="W763" s="228"/>
      <c r="X763" s="228"/>
      <c r="Y763" s="228"/>
      <c r="Z763" s="228"/>
      <c r="AA763" s="228"/>
      <c r="AB763" s="228"/>
      <c r="AC763" s="228"/>
      <c r="AD763" s="228"/>
      <c r="AE763" s="228"/>
      <c r="AF763" s="228"/>
      <c r="AG763" s="228"/>
      <c r="AH763" s="228"/>
      <c r="AI763" s="228"/>
      <c r="AJ763" s="228"/>
      <c r="AK763" s="228"/>
      <c r="AL763" s="228"/>
      <c r="AM763" s="228"/>
      <c r="AN763" s="228"/>
      <c r="AO763" s="228"/>
      <c r="AP763" s="228"/>
      <c r="AQ763" s="228"/>
    </row>
    <row r="764">
      <c r="A764" s="228"/>
      <c r="B764" s="228"/>
      <c r="C764" s="228"/>
      <c r="D764" s="228"/>
      <c r="E764" s="228"/>
      <c r="F764" s="228"/>
      <c r="G764" s="228"/>
      <c r="H764" s="228"/>
      <c r="I764" s="228"/>
      <c r="J764" s="228"/>
      <c r="K764" s="228"/>
      <c r="L764" s="228"/>
      <c r="M764" s="228"/>
      <c r="N764" s="228"/>
      <c r="O764" s="228"/>
      <c r="P764" s="228"/>
      <c r="Q764" s="228"/>
      <c r="R764" s="228"/>
      <c r="S764" s="228"/>
      <c r="T764" s="228"/>
      <c r="U764" s="228"/>
      <c r="V764" s="228"/>
      <c r="W764" s="228"/>
      <c r="X764" s="228"/>
      <c r="Y764" s="228"/>
      <c r="Z764" s="228"/>
      <c r="AA764" s="228"/>
      <c r="AB764" s="228"/>
      <c r="AC764" s="228"/>
      <c r="AD764" s="228"/>
      <c r="AE764" s="228"/>
      <c r="AF764" s="228"/>
      <c r="AG764" s="228"/>
      <c r="AH764" s="228"/>
      <c r="AI764" s="228"/>
      <c r="AJ764" s="228"/>
      <c r="AK764" s="228"/>
      <c r="AL764" s="228"/>
      <c r="AM764" s="228"/>
      <c r="AN764" s="228"/>
      <c r="AO764" s="228"/>
      <c r="AP764" s="228"/>
      <c r="AQ764" s="228"/>
    </row>
    <row r="765">
      <c r="A765" s="228"/>
      <c r="B765" s="228"/>
      <c r="C765" s="228"/>
      <c r="D765" s="228"/>
      <c r="E765" s="228"/>
      <c r="F765" s="228"/>
      <c r="G765" s="228"/>
      <c r="H765" s="228"/>
      <c r="I765" s="228"/>
      <c r="J765" s="228"/>
      <c r="K765" s="228"/>
      <c r="L765" s="228"/>
      <c r="M765" s="228"/>
      <c r="N765" s="228"/>
      <c r="O765" s="228"/>
      <c r="P765" s="228"/>
      <c r="Q765" s="228"/>
      <c r="R765" s="228"/>
      <c r="S765" s="228"/>
      <c r="T765" s="228"/>
      <c r="U765" s="228"/>
      <c r="V765" s="228"/>
      <c r="W765" s="228"/>
      <c r="X765" s="228"/>
      <c r="Y765" s="228"/>
      <c r="Z765" s="228"/>
      <c r="AA765" s="228"/>
      <c r="AB765" s="228"/>
      <c r="AC765" s="228"/>
      <c r="AD765" s="228"/>
      <c r="AE765" s="228"/>
      <c r="AF765" s="228"/>
      <c r="AG765" s="228"/>
      <c r="AH765" s="228"/>
      <c r="AI765" s="228"/>
      <c r="AJ765" s="228"/>
      <c r="AK765" s="228"/>
      <c r="AL765" s="228"/>
      <c r="AM765" s="228"/>
      <c r="AN765" s="228"/>
      <c r="AO765" s="228"/>
      <c r="AP765" s="228"/>
      <c r="AQ765" s="228"/>
    </row>
    <row r="766">
      <c r="A766" s="228"/>
      <c r="B766" s="228"/>
      <c r="C766" s="228"/>
      <c r="D766" s="228"/>
      <c r="E766" s="228"/>
      <c r="F766" s="228"/>
      <c r="G766" s="228"/>
      <c r="H766" s="228"/>
      <c r="I766" s="228"/>
      <c r="J766" s="228"/>
      <c r="K766" s="228"/>
      <c r="L766" s="228"/>
      <c r="M766" s="228"/>
      <c r="N766" s="228"/>
      <c r="O766" s="228"/>
      <c r="P766" s="228"/>
      <c r="Q766" s="228"/>
      <c r="R766" s="228"/>
      <c r="S766" s="228"/>
      <c r="T766" s="228"/>
      <c r="U766" s="228"/>
      <c r="V766" s="228"/>
      <c r="W766" s="228"/>
      <c r="X766" s="228"/>
      <c r="Y766" s="228"/>
      <c r="Z766" s="228"/>
      <c r="AA766" s="228"/>
      <c r="AB766" s="228"/>
      <c r="AC766" s="228"/>
      <c r="AD766" s="228"/>
      <c r="AE766" s="228"/>
      <c r="AF766" s="228"/>
      <c r="AG766" s="228"/>
      <c r="AH766" s="228"/>
      <c r="AI766" s="228"/>
      <c r="AJ766" s="228"/>
      <c r="AK766" s="228"/>
      <c r="AL766" s="228"/>
      <c r="AM766" s="228"/>
      <c r="AN766" s="228"/>
      <c r="AO766" s="228"/>
      <c r="AP766" s="228"/>
      <c r="AQ766" s="228"/>
    </row>
    <row r="767">
      <c r="A767" s="228"/>
      <c r="B767" s="228"/>
      <c r="C767" s="228"/>
      <c r="D767" s="228"/>
      <c r="E767" s="228"/>
      <c r="F767" s="228"/>
      <c r="G767" s="228"/>
      <c r="H767" s="228"/>
      <c r="I767" s="228"/>
      <c r="J767" s="228"/>
      <c r="K767" s="228"/>
      <c r="L767" s="228"/>
      <c r="M767" s="228"/>
      <c r="N767" s="228"/>
      <c r="O767" s="228"/>
      <c r="P767" s="228"/>
      <c r="Q767" s="228"/>
      <c r="R767" s="228"/>
      <c r="S767" s="228"/>
      <c r="T767" s="228"/>
      <c r="U767" s="228"/>
      <c r="V767" s="228"/>
      <c r="W767" s="228"/>
      <c r="X767" s="228"/>
      <c r="Y767" s="228"/>
      <c r="Z767" s="228"/>
      <c r="AA767" s="228"/>
      <c r="AB767" s="228"/>
      <c r="AC767" s="228"/>
      <c r="AD767" s="228"/>
      <c r="AE767" s="228"/>
      <c r="AF767" s="228"/>
      <c r="AG767" s="228"/>
      <c r="AH767" s="228"/>
      <c r="AI767" s="228"/>
      <c r="AJ767" s="228"/>
      <c r="AK767" s="228"/>
      <c r="AL767" s="228"/>
      <c r="AM767" s="228"/>
      <c r="AN767" s="228"/>
      <c r="AO767" s="228"/>
      <c r="AP767" s="228"/>
      <c r="AQ767" s="228"/>
    </row>
    <row r="768">
      <c r="A768" s="228"/>
      <c r="B768" s="228"/>
      <c r="C768" s="228"/>
      <c r="D768" s="228"/>
      <c r="E768" s="228"/>
      <c r="F768" s="228"/>
      <c r="G768" s="228"/>
      <c r="H768" s="228"/>
      <c r="I768" s="228"/>
      <c r="J768" s="228"/>
      <c r="K768" s="228"/>
      <c r="L768" s="228"/>
      <c r="M768" s="228"/>
      <c r="N768" s="228"/>
      <c r="O768" s="228"/>
      <c r="P768" s="228"/>
      <c r="Q768" s="228"/>
      <c r="R768" s="228"/>
      <c r="S768" s="228"/>
      <c r="T768" s="228"/>
      <c r="U768" s="228"/>
      <c r="V768" s="228"/>
      <c r="W768" s="228"/>
      <c r="X768" s="228"/>
      <c r="Y768" s="228"/>
      <c r="Z768" s="228"/>
      <c r="AA768" s="228"/>
      <c r="AB768" s="228"/>
      <c r="AC768" s="228"/>
      <c r="AD768" s="228"/>
      <c r="AE768" s="228"/>
      <c r="AF768" s="228"/>
      <c r="AG768" s="228"/>
      <c r="AH768" s="228"/>
      <c r="AI768" s="228"/>
      <c r="AJ768" s="228"/>
      <c r="AK768" s="228"/>
      <c r="AL768" s="228"/>
      <c r="AM768" s="228"/>
      <c r="AN768" s="228"/>
      <c r="AO768" s="228"/>
      <c r="AP768" s="228"/>
      <c r="AQ768" s="228"/>
    </row>
    <row r="769">
      <c r="A769" s="228"/>
      <c r="B769" s="228"/>
      <c r="C769" s="228"/>
      <c r="D769" s="228"/>
      <c r="E769" s="228"/>
      <c r="F769" s="228"/>
      <c r="G769" s="228"/>
      <c r="H769" s="228"/>
      <c r="I769" s="228"/>
      <c r="J769" s="228"/>
      <c r="K769" s="228"/>
      <c r="L769" s="228"/>
      <c r="M769" s="228"/>
      <c r="N769" s="228"/>
      <c r="O769" s="228"/>
      <c r="P769" s="228"/>
      <c r="Q769" s="228"/>
      <c r="R769" s="228"/>
      <c r="S769" s="228"/>
      <c r="T769" s="228"/>
      <c r="U769" s="228"/>
      <c r="V769" s="228"/>
      <c r="W769" s="228"/>
      <c r="X769" s="228"/>
      <c r="Y769" s="228"/>
      <c r="Z769" s="228"/>
      <c r="AA769" s="228"/>
      <c r="AB769" s="228"/>
      <c r="AC769" s="228"/>
      <c r="AD769" s="228"/>
      <c r="AE769" s="228"/>
      <c r="AF769" s="228"/>
      <c r="AG769" s="228"/>
      <c r="AH769" s="228"/>
      <c r="AI769" s="228"/>
      <c r="AJ769" s="228"/>
      <c r="AK769" s="228"/>
      <c r="AL769" s="228"/>
      <c r="AM769" s="228"/>
      <c r="AN769" s="228"/>
      <c r="AO769" s="228"/>
      <c r="AP769" s="228"/>
      <c r="AQ769" s="228"/>
    </row>
    <row r="770">
      <c r="A770" s="228"/>
      <c r="B770" s="228"/>
      <c r="C770" s="228"/>
      <c r="D770" s="228"/>
      <c r="E770" s="228"/>
      <c r="F770" s="228"/>
      <c r="G770" s="228"/>
      <c r="H770" s="228"/>
      <c r="I770" s="228"/>
      <c r="J770" s="228"/>
      <c r="K770" s="228"/>
      <c r="L770" s="228"/>
      <c r="M770" s="228"/>
      <c r="N770" s="228"/>
      <c r="O770" s="228"/>
      <c r="P770" s="228"/>
      <c r="Q770" s="228"/>
      <c r="R770" s="228"/>
      <c r="S770" s="228"/>
      <c r="T770" s="228"/>
      <c r="U770" s="228"/>
      <c r="V770" s="228"/>
      <c r="W770" s="228"/>
      <c r="X770" s="228"/>
      <c r="Y770" s="228"/>
      <c r="Z770" s="228"/>
      <c r="AA770" s="228"/>
      <c r="AB770" s="228"/>
      <c r="AC770" s="228"/>
      <c r="AD770" s="228"/>
      <c r="AE770" s="228"/>
      <c r="AF770" s="228"/>
      <c r="AG770" s="228"/>
      <c r="AH770" s="228"/>
      <c r="AI770" s="228"/>
      <c r="AJ770" s="228"/>
      <c r="AK770" s="228"/>
      <c r="AL770" s="228"/>
      <c r="AM770" s="228"/>
      <c r="AN770" s="228"/>
      <c r="AO770" s="228"/>
      <c r="AP770" s="228"/>
      <c r="AQ770" s="228"/>
    </row>
    <row r="771">
      <c r="A771" s="228"/>
      <c r="B771" s="228"/>
      <c r="C771" s="228"/>
      <c r="D771" s="228"/>
      <c r="E771" s="228"/>
      <c r="F771" s="228"/>
      <c r="G771" s="228"/>
      <c r="H771" s="228"/>
      <c r="I771" s="228"/>
      <c r="J771" s="228"/>
      <c r="K771" s="228"/>
      <c r="L771" s="228"/>
      <c r="M771" s="228"/>
      <c r="N771" s="228"/>
      <c r="O771" s="228"/>
      <c r="P771" s="228"/>
      <c r="Q771" s="228"/>
      <c r="R771" s="228"/>
      <c r="S771" s="228"/>
      <c r="T771" s="228"/>
      <c r="U771" s="228"/>
      <c r="V771" s="228"/>
      <c r="W771" s="228"/>
      <c r="X771" s="228"/>
      <c r="Y771" s="228"/>
      <c r="Z771" s="228"/>
      <c r="AA771" s="228"/>
      <c r="AB771" s="228"/>
      <c r="AC771" s="228"/>
      <c r="AD771" s="228"/>
      <c r="AE771" s="228"/>
      <c r="AF771" s="228"/>
      <c r="AG771" s="228"/>
      <c r="AH771" s="228"/>
      <c r="AI771" s="228"/>
      <c r="AJ771" s="228"/>
      <c r="AK771" s="228"/>
      <c r="AL771" s="228"/>
      <c r="AM771" s="228"/>
      <c r="AN771" s="228"/>
      <c r="AO771" s="228"/>
      <c r="AP771" s="228"/>
      <c r="AQ771" s="228"/>
    </row>
    <row r="772">
      <c r="A772" s="228"/>
      <c r="B772" s="228"/>
      <c r="C772" s="228"/>
      <c r="D772" s="228"/>
      <c r="E772" s="228"/>
      <c r="F772" s="228"/>
      <c r="G772" s="228"/>
      <c r="H772" s="228"/>
      <c r="I772" s="228"/>
      <c r="J772" s="228"/>
      <c r="K772" s="228"/>
      <c r="L772" s="228"/>
      <c r="M772" s="228"/>
      <c r="N772" s="228"/>
      <c r="O772" s="228"/>
      <c r="P772" s="228"/>
      <c r="Q772" s="228"/>
      <c r="R772" s="228"/>
      <c r="S772" s="228"/>
      <c r="T772" s="228"/>
      <c r="U772" s="228"/>
      <c r="V772" s="228"/>
      <c r="W772" s="228"/>
      <c r="X772" s="228"/>
      <c r="Y772" s="228"/>
      <c r="Z772" s="228"/>
      <c r="AA772" s="228"/>
      <c r="AB772" s="228"/>
      <c r="AC772" s="228"/>
      <c r="AD772" s="228"/>
      <c r="AE772" s="228"/>
      <c r="AF772" s="228"/>
      <c r="AG772" s="228"/>
      <c r="AH772" s="228"/>
      <c r="AI772" s="228"/>
      <c r="AJ772" s="228"/>
      <c r="AK772" s="228"/>
      <c r="AL772" s="228"/>
      <c r="AM772" s="228"/>
      <c r="AN772" s="228"/>
      <c r="AO772" s="228"/>
      <c r="AP772" s="228"/>
      <c r="AQ772" s="228"/>
    </row>
    <row r="773">
      <c r="A773" s="228"/>
      <c r="B773" s="228"/>
      <c r="C773" s="228"/>
      <c r="D773" s="228"/>
      <c r="E773" s="228"/>
      <c r="F773" s="228"/>
      <c r="G773" s="228"/>
      <c r="H773" s="228"/>
      <c r="I773" s="228"/>
      <c r="J773" s="228"/>
      <c r="K773" s="228"/>
      <c r="L773" s="228"/>
      <c r="M773" s="228"/>
      <c r="N773" s="228"/>
      <c r="O773" s="228"/>
      <c r="P773" s="228"/>
      <c r="Q773" s="228"/>
      <c r="R773" s="228"/>
      <c r="S773" s="228"/>
      <c r="T773" s="228"/>
      <c r="U773" s="228"/>
      <c r="V773" s="228"/>
      <c r="W773" s="228"/>
      <c r="X773" s="228"/>
      <c r="Y773" s="228"/>
      <c r="Z773" s="228"/>
      <c r="AA773" s="228"/>
      <c r="AB773" s="228"/>
      <c r="AC773" s="228"/>
      <c r="AD773" s="228"/>
      <c r="AE773" s="228"/>
      <c r="AF773" s="228"/>
      <c r="AG773" s="228"/>
      <c r="AH773" s="228"/>
      <c r="AI773" s="228"/>
      <c r="AJ773" s="228"/>
      <c r="AK773" s="228"/>
      <c r="AL773" s="228"/>
      <c r="AM773" s="228"/>
      <c r="AN773" s="228"/>
      <c r="AO773" s="228"/>
      <c r="AP773" s="228"/>
      <c r="AQ773" s="228"/>
    </row>
    <row r="774">
      <c r="A774" s="228"/>
      <c r="B774" s="228"/>
      <c r="C774" s="228"/>
      <c r="D774" s="228"/>
      <c r="E774" s="228"/>
      <c r="F774" s="228"/>
      <c r="G774" s="228"/>
      <c r="H774" s="228"/>
      <c r="I774" s="228"/>
      <c r="J774" s="228"/>
      <c r="K774" s="228"/>
      <c r="L774" s="228"/>
      <c r="M774" s="228"/>
      <c r="N774" s="228"/>
      <c r="O774" s="228"/>
      <c r="P774" s="228"/>
      <c r="Q774" s="228"/>
      <c r="R774" s="228"/>
      <c r="S774" s="228"/>
      <c r="T774" s="228"/>
      <c r="U774" s="228"/>
      <c r="V774" s="228"/>
      <c r="W774" s="228"/>
      <c r="X774" s="228"/>
      <c r="Y774" s="228"/>
      <c r="Z774" s="228"/>
      <c r="AA774" s="228"/>
      <c r="AB774" s="228"/>
      <c r="AC774" s="228"/>
      <c r="AD774" s="228"/>
      <c r="AE774" s="228"/>
      <c r="AF774" s="228"/>
      <c r="AG774" s="228"/>
      <c r="AH774" s="228"/>
      <c r="AI774" s="228"/>
      <c r="AJ774" s="228"/>
      <c r="AK774" s="228"/>
      <c r="AL774" s="228"/>
      <c r="AM774" s="228"/>
      <c r="AN774" s="228"/>
      <c r="AO774" s="228"/>
      <c r="AP774" s="228"/>
      <c r="AQ774" s="228"/>
    </row>
    <row r="775">
      <c r="A775" s="228"/>
      <c r="B775" s="228"/>
      <c r="C775" s="228"/>
      <c r="D775" s="228"/>
      <c r="E775" s="228"/>
      <c r="F775" s="228"/>
      <c r="G775" s="228"/>
      <c r="H775" s="228"/>
      <c r="I775" s="228"/>
      <c r="J775" s="228"/>
      <c r="K775" s="228"/>
      <c r="L775" s="228"/>
      <c r="M775" s="228"/>
      <c r="N775" s="228"/>
      <c r="O775" s="228"/>
      <c r="P775" s="228"/>
      <c r="Q775" s="228"/>
      <c r="R775" s="228"/>
      <c r="S775" s="228"/>
      <c r="T775" s="228"/>
      <c r="U775" s="228"/>
      <c r="V775" s="228"/>
      <c r="W775" s="228"/>
      <c r="X775" s="228"/>
      <c r="Y775" s="228"/>
      <c r="Z775" s="228"/>
      <c r="AA775" s="228"/>
      <c r="AB775" s="228"/>
      <c r="AC775" s="228"/>
      <c r="AD775" s="228"/>
      <c r="AE775" s="228"/>
      <c r="AF775" s="228"/>
      <c r="AG775" s="228"/>
      <c r="AH775" s="228"/>
      <c r="AI775" s="228"/>
      <c r="AJ775" s="228"/>
      <c r="AK775" s="228"/>
      <c r="AL775" s="228"/>
      <c r="AM775" s="228"/>
      <c r="AN775" s="228"/>
      <c r="AO775" s="228"/>
      <c r="AP775" s="228"/>
      <c r="AQ775" s="228"/>
    </row>
    <row r="776">
      <c r="A776" s="228"/>
      <c r="B776" s="228"/>
      <c r="C776" s="228"/>
      <c r="D776" s="228"/>
      <c r="E776" s="228"/>
      <c r="F776" s="228"/>
      <c r="G776" s="228"/>
      <c r="H776" s="228"/>
      <c r="I776" s="228"/>
      <c r="J776" s="228"/>
      <c r="K776" s="228"/>
      <c r="L776" s="228"/>
      <c r="M776" s="228"/>
      <c r="N776" s="228"/>
      <c r="O776" s="228"/>
      <c r="P776" s="228"/>
      <c r="Q776" s="228"/>
      <c r="R776" s="228"/>
      <c r="S776" s="228"/>
      <c r="T776" s="228"/>
      <c r="U776" s="228"/>
      <c r="V776" s="228"/>
      <c r="W776" s="228"/>
      <c r="X776" s="228"/>
      <c r="Y776" s="228"/>
      <c r="Z776" s="228"/>
      <c r="AA776" s="228"/>
      <c r="AB776" s="228"/>
      <c r="AC776" s="228"/>
      <c r="AD776" s="228"/>
      <c r="AE776" s="228"/>
      <c r="AF776" s="228"/>
      <c r="AG776" s="228"/>
      <c r="AH776" s="228"/>
      <c r="AI776" s="228"/>
      <c r="AJ776" s="228"/>
      <c r="AK776" s="228"/>
      <c r="AL776" s="228"/>
      <c r="AM776" s="228"/>
      <c r="AN776" s="228"/>
      <c r="AO776" s="228"/>
      <c r="AP776" s="228"/>
      <c r="AQ776" s="228"/>
    </row>
    <row r="777">
      <c r="A777" s="228"/>
      <c r="B777" s="228"/>
      <c r="C777" s="228"/>
      <c r="D777" s="228"/>
      <c r="E777" s="228"/>
      <c r="F777" s="228"/>
      <c r="G777" s="228"/>
      <c r="H777" s="228"/>
      <c r="I777" s="228"/>
      <c r="J777" s="228"/>
      <c r="K777" s="228"/>
      <c r="L777" s="228"/>
      <c r="M777" s="228"/>
      <c r="N777" s="228"/>
      <c r="O777" s="228"/>
      <c r="P777" s="228"/>
      <c r="Q777" s="228"/>
      <c r="R777" s="228"/>
      <c r="S777" s="228"/>
      <c r="T777" s="228"/>
      <c r="U777" s="228"/>
      <c r="V777" s="228"/>
      <c r="W777" s="228"/>
      <c r="X777" s="228"/>
      <c r="Y777" s="228"/>
      <c r="Z777" s="228"/>
      <c r="AA777" s="228"/>
      <c r="AB777" s="228"/>
      <c r="AC777" s="228"/>
      <c r="AD777" s="228"/>
      <c r="AE777" s="228"/>
      <c r="AF777" s="228"/>
      <c r="AG777" s="228"/>
      <c r="AH777" s="228"/>
      <c r="AI777" s="228"/>
      <c r="AJ777" s="228"/>
      <c r="AK777" s="228"/>
      <c r="AL777" s="228"/>
      <c r="AM777" s="228"/>
      <c r="AN777" s="228"/>
      <c r="AO777" s="228"/>
      <c r="AP777" s="228"/>
      <c r="AQ777" s="228"/>
    </row>
    <row r="778">
      <c r="A778" s="228"/>
      <c r="B778" s="228"/>
      <c r="C778" s="228"/>
      <c r="D778" s="228"/>
      <c r="E778" s="228"/>
      <c r="F778" s="228"/>
      <c r="G778" s="228"/>
      <c r="H778" s="228"/>
      <c r="I778" s="228"/>
      <c r="J778" s="228"/>
      <c r="K778" s="228"/>
      <c r="L778" s="228"/>
      <c r="M778" s="228"/>
      <c r="N778" s="228"/>
      <c r="O778" s="228"/>
      <c r="P778" s="228"/>
      <c r="Q778" s="228"/>
      <c r="R778" s="228"/>
      <c r="S778" s="228"/>
      <c r="T778" s="228"/>
      <c r="U778" s="228"/>
      <c r="V778" s="228"/>
      <c r="W778" s="228"/>
      <c r="X778" s="228"/>
      <c r="Y778" s="228"/>
      <c r="Z778" s="228"/>
      <c r="AA778" s="228"/>
      <c r="AB778" s="228"/>
      <c r="AC778" s="228"/>
      <c r="AD778" s="228"/>
      <c r="AE778" s="228"/>
      <c r="AF778" s="228"/>
      <c r="AG778" s="228"/>
      <c r="AH778" s="228"/>
      <c r="AI778" s="228"/>
      <c r="AJ778" s="228"/>
      <c r="AK778" s="228"/>
      <c r="AL778" s="228"/>
      <c r="AM778" s="228"/>
      <c r="AN778" s="228"/>
      <c r="AO778" s="228"/>
      <c r="AP778" s="228"/>
      <c r="AQ778" s="228"/>
    </row>
    <row r="779">
      <c r="A779" s="228"/>
      <c r="B779" s="228"/>
      <c r="C779" s="228"/>
      <c r="D779" s="228"/>
      <c r="E779" s="228"/>
      <c r="F779" s="228"/>
      <c r="G779" s="228"/>
      <c r="H779" s="228"/>
      <c r="I779" s="228"/>
      <c r="J779" s="228"/>
      <c r="K779" s="228"/>
      <c r="L779" s="228"/>
      <c r="M779" s="228"/>
      <c r="N779" s="228"/>
      <c r="O779" s="228"/>
      <c r="P779" s="228"/>
      <c r="Q779" s="228"/>
      <c r="R779" s="228"/>
      <c r="S779" s="228"/>
      <c r="T779" s="228"/>
      <c r="U779" s="228"/>
      <c r="V779" s="228"/>
      <c r="W779" s="228"/>
      <c r="X779" s="228"/>
      <c r="Y779" s="228"/>
      <c r="Z779" s="228"/>
      <c r="AA779" s="228"/>
      <c r="AB779" s="228"/>
      <c r="AC779" s="228"/>
      <c r="AD779" s="228"/>
      <c r="AE779" s="228"/>
      <c r="AF779" s="228"/>
      <c r="AG779" s="228"/>
      <c r="AH779" s="228"/>
      <c r="AI779" s="228"/>
      <c r="AJ779" s="228"/>
      <c r="AK779" s="228"/>
      <c r="AL779" s="228"/>
      <c r="AM779" s="228"/>
      <c r="AN779" s="228"/>
      <c r="AO779" s="228"/>
      <c r="AP779" s="228"/>
      <c r="AQ779" s="228"/>
    </row>
    <row r="780">
      <c r="A780" s="228"/>
      <c r="B780" s="228"/>
      <c r="C780" s="228"/>
      <c r="D780" s="228"/>
      <c r="E780" s="228"/>
      <c r="F780" s="228"/>
      <c r="G780" s="228"/>
      <c r="H780" s="228"/>
      <c r="I780" s="228"/>
      <c r="J780" s="228"/>
      <c r="K780" s="228"/>
      <c r="L780" s="228"/>
      <c r="M780" s="228"/>
      <c r="N780" s="228"/>
      <c r="O780" s="228"/>
      <c r="P780" s="228"/>
      <c r="Q780" s="228"/>
      <c r="R780" s="228"/>
      <c r="S780" s="228"/>
      <c r="T780" s="228"/>
      <c r="U780" s="228"/>
      <c r="V780" s="228"/>
      <c r="W780" s="228"/>
      <c r="X780" s="228"/>
      <c r="Y780" s="228"/>
      <c r="Z780" s="228"/>
      <c r="AA780" s="228"/>
      <c r="AB780" s="228"/>
      <c r="AC780" s="228"/>
      <c r="AD780" s="228"/>
      <c r="AE780" s="228"/>
      <c r="AF780" s="228"/>
      <c r="AG780" s="228"/>
      <c r="AH780" s="228"/>
      <c r="AI780" s="228"/>
      <c r="AJ780" s="228"/>
      <c r="AK780" s="228"/>
      <c r="AL780" s="228"/>
      <c r="AM780" s="228"/>
      <c r="AN780" s="228"/>
      <c r="AO780" s="228"/>
      <c r="AP780" s="228"/>
      <c r="AQ780" s="228"/>
    </row>
    <row r="781">
      <c r="A781" s="228"/>
      <c r="B781" s="228"/>
      <c r="C781" s="228"/>
      <c r="D781" s="228"/>
      <c r="E781" s="228"/>
      <c r="F781" s="228"/>
      <c r="G781" s="228"/>
      <c r="H781" s="228"/>
      <c r="I781" s="228"/>
      <c r="J781" s="228"/>
      <c r="K781" s="228"/>
      <c r="L781" s="228"/>
      <c r="M781" s="228"/>
      <c r="N781" s="228"/>
      <c r="O781" s="228"/>
      <c r="P781" s="228"/>
      <c r="Q781" s="228"/>
      <c r="R781" s="228"/>
      <c r="S781" s="228"/>
      <c r="T781" s="228"/>
      <c r="U781" s="228"/>
      <c r="V781" s="228"/>
      <c r="W781" s="228"/>
      <c r="X781" s="228"/>
      <c r="Y781" s="228"/>
      <c r="Z781" s="228"/>
      <c r="AA781" s="228"/>
      <c r="AB781" s="228"/>
      <c r="AC781" s="228"/>
      <c r="AD781" s="228"/>
      <c r="AE781" s="228"/>
      <c r="AF781" s="228"/>
      <c r="AG781" s="228"/>
      <c r="AH781" s="228"/>
      <c r="AI781" s="228"/>
      <c r="AJ781" s="228"/>
      <c r="AK781" s="228"/>
      <c r="AL781" s="228"/>
      <c r="AM781" s="228"/>
      <c r="AN781" s="228"/>
      <c r="AO781" s="228"/>
      <c r="AP781" s="228"/>
      <c r="AQ781" s="228"/>
    </row>
    <row r="782">
      <c r="A782" s="228"/>
      <c r="B782" s="228"/>
      <c r="C782" s="228"/>
      <c r="D782" s="228"/>
      <c r="E782" s="228"/>
      <c r="F782" s="228"/>
      <c r="G782" s="228"/>
      <c r="H782" s="228"/>
      <c r="I782" s="228"/>
      <c r="J782" s="228"/>
      <c r="K782" s="228"/>
      <c r="L782" s="228"/>
      <c r="M782" s="228"/>
      <c r="N782" s="228"/>
      <c r="O782" s="228"/>
      <c r="P782" s="228"/>
      <c r="Q782" s="228"/>
      <c r="R782" s="228"/>
      <c r="S782" s="228"/>
      <c r="T782" s="228"/>
      <c r="U782" s="228"/>
      <c r="V782" s="228"/>
      <c r="W782" s="228"/>
      <c r="X782" s="228"/>
      <c r="Y782" s="228"/>
      <c r="Z782" s="228"/>
      <c r="AA782" s="228"/>
      <c r="AB782" s="228"/>
      <c r="AC782" s="228"/>
      <c r="AD782" s="228"/>
      <c r="AE782" s="228"/>
      <c r="AF782" s="228"/>
      <c r="AG782" s="228"/>
      <c r="AH782" s="228"/>
      <c r="AI782" s="228"/>
      <c r="AJ782" s="228"/>
      <c r="AK782" s="228"/>
      <c r="AL782" s="228"/>
      <c r="AM782" s="228"/>
      <c r="AN782" s="228"/>
      <c r="AO782" s="228"/>
      <c r="AP782" s="228"/>
      <c r="AQ782" s="228"/>
    </row>
    <row r="783">
      <c r="A783" s="228"/>
      <c r="B783" s="228"/>
      <c r="C783" s="228"/>
      <c r="D783" s="228"/>
      <c r="E783" s="228"/>
      <c r="F783" s="228"/>
      <c r="G783" s="228"/>
      <c r="H783" s="228"/>
      <c r="I783" s="228"/>
      <c r="J783" s="228"/>
      <c r="K783" s="228"/>
      <c r="L783" s="228"/>
      <c r="M783" s="228"/>
      <c r="N783" s="228"/>
      <c r="O783" s="228"/>
      <c r="P783" s="228"/>
      <c r="Q783" s="228"/>
      <c r="R783" s="228"/>
      <c r="S783" s="228"/>
      <c r="T783" s="228"/>
      <c r="U783" s="228"/>
      <c r="V783" s="228"/>
      <c r="W783" s="228"/>
      <c r="X783" s="228"/>
      <c r="Y783" s="228"/>
      <c r="Z783" s="228"/>
      <c r="AA783" s="228"/>
      <c r="AB783" s="228"/>
      <c r="AC783" s="228"/>
      <c r="AD783" s="228"/>
      <c r="AE783" s="228"/>
      <c r="AF783" s="228"/>
      <c r="AG783" s="228"/>
      <c r="AH783" s="228"/>
      <c r="AI783" s="228"/>
      <c r="AJ783" s="228"/>
      <c r="AK783" s="228"/>
      <c r="AL783" s="228"/>
      <c r="AM783" s="228"/>
      <c r="AN783" s="228"/>
      <c r="AO783" s="228"/>
      <c r="AP783" s="228"/>
      <c r="AQ783" s="228"/>
    </row>
    <row r="784">
      <c r="A784" s="228"/>
      <c r="B784" s="228"/>
      <c r="C784" s="228"/>
      <c r="D784" s="228"/>
      <c r="E784" s="228"/>
      <c r="F784" s="228"/>
      <c r="G784" s="228"/>
      <c r="H784" s="228"/>
      <c r="I784" s="228"/>
      <c r="J784" s="228"/>
      <c r="K784" s="228"/>
      <c r="L784" s="228"/>
      <c r="M784" s="228"/>
      <c r="N784" s="228"/>
      <c r="O784" s="228"/>
      <c r="P784" s="228"/>
      <c r="Q784" s="228"/>
      <c r="R784" s="228"/>
      <c r="S784" s="228"/>
      <c r="T784" s="228"/>
      <c r="U784" s="228"/>
      <c r="V784" s="228"/>
      <c r="W784" s="228"/>
      <c r="X784" s="228"/>
      <c r="Y784" s="228"/>
      <c r="Z784" s="228"/>
      <c r="AA784" s="228"/>
      <c r="AB784" s="228"/>
      <c r="AC784" s="228"/>
      <c r="AD784" s="228"/>
      <c r="AE784" s="228"/>
      <c r="AF784" s="228"/>
      <c r="AG784" s="228"/>
      <c r="AH784" s="228"/>
      <c r="AI784" s="228"/>
      <c r="AJ784" s="228"/>
      <c r="AK784" s="228"/>
      <c r="AL784" s="228"/>
      <c r="AM784" s="228"/>
      <c r="AN784" s="228"/>
      <c r="AO784" s="228"/>
      <c r="AP784" s="228"/>
      <c r="AQ784" s="228"/>
    </row>
    <row r="785">
      <c r="A785" s="228"/>
      <c r="B785" s="228"/>
      <c r="C785" s="228"/>
      <c r="D785" s="228"/>
      <c r="E785" s="228"/>
      <c r="F785" s="228"/>
      <c r="G785" s="228"/>
      <c r="H785" s="228"/>
      <c r="I785" s="228"/>
      <c r="J785" s="228"/>
      <c r="K785" s="228"/>
      <c r="L785" s="228"/>
      <c r="M785" s="228"/>
      <c r="N785" s="228"/>
      <c r="O785" s="228"/>
      <c r="P785" s="228"/>
      <c r="Q785" s="228"/>
      <c r="R785" s="228"/>
      <c r="S785" s="228"/>
      <c r="T785" s="228"/>
      <c r="U785" s="228"/>
      <c r="V785" s="228"/>
      <c r="W785" s="228"/>
      <c r="X785" s="228"/>
      <c r="Y785" s="228"/>
      <c r="Z785" s="228"/>
      <c r="AA785" s="228"/>
      <c r="AB785" s="228"/>
      <c r="AC785" s="228"/>
      <c r="AD785" s="228"/>
      <c r="AE785" s="228"/>
      <c r="AF785" s="228"/>
      <c r="AG785" s="228"/>
      <c r="AH785" s="228"/>
      <c r="AI785" s="228"/>
      <c r="AJ785" s="228"/>
      <c r="AK785" s="228"/>
      <c r="AL785" s="228"/>
      <c r="AM785" s="228"/>
      <c r="AN785" s="228"/>
      <c r="AO785" s="228"/>
      <c r="AP785" s="228"/>
      <c r="AQ785" s="228"/>
    </row>
    <row r="786">
      <c r="A786" s="228"/>
      <c r="B786" s="228"/>
      <c r="C786" s="228"/>
      <c r="D786" s="228"/>
      <c r="E786" s="228"/>
      <c r="F786" s="228"/>
      <c r="G786" s="228"/>
      <c r="H786" s="228"/>
      <c r="I786" s="228"/>
      <c r="J786" s="228"/>
      <c r="K786" s="228"/>
      <c r="L786" s="228"/>
      <c r="M786" s="228"/>
      <c r="N786" s="228"/>
      <c r="O786" s="228"/>
      <c r="P786" s="228"/>
      <c r="Q786" s="228"/>
      <c r="R786" s="228"/>
      <c r="S786" s="228"/>
      <c r="T786" s="228"/>
      <c r="U786" s="228"/>
      <c r="V786" s="228"/>
      <c r="W786" s="228"/>
      <c r="X786" s="228"/>
      <c r="Y786" s="228"/>
      <c r="Z786" s="228"/>
      <c r="AA786" s="228"/>
      <c r="AB786" s="228"/>
      <c r="AC786" s="228"/>
      <c r="AD786" s="228"/>
      <c r="AE786" s="228"/>
      <c r="AF786" s="228"/>
      <c r="AG786" s="228"/>
      <c r="AH786" s="228"/>
      <c r="AI786" s="228"/>
      <c r="AJ786" s="228"/>
      <c r="AK786" s="228"/>
      <c r="AL786" s="228"/>
      <c r="AM786" s="228"/>
      <c r="AN786" s="228"/>
      <c r="AO786" s="228"/>
      <c r="AP786" s="228"/>
      <c r="AQ786" s="228"/>
    </row>
    <row r="787">
      <c r="A787" s="228"/>
      <c r="B787" s="228"/>
      <c r="C787" s="228"/>
      <c r="D787" s="228"/>
      <c r="E787" s="228"/>
      <c r="F787" s="228"/>
      <c r="G787" s="228"/>
      <c r="H787" s="228"/>
      <c r="I787" s="228"/>
      <c r="J787" s="228"/>
      <c r="K787" s="228"/>
      <c r="L787" s="228"/>
      <c r="M787" s="228"/>
      <c r="N787" s="228"/>
      <c r="O787" s="228"/>
      <c r="P787" s="228"/>
      <c r="Q787" s="228"/>
      <c r="R787" s="228"/>
      <c r="S787" s="228"/>
      <c r="T787" s="228"/>
      <c r="U787" s="228"/>
      <c r="V787" s="228"/>
      <c r="W787" s="228"/>
      <c r="X787" s="228"/>
      <c r="Y787" s="228"/>
      <c r="Z787" s="228"/>
      <c r="AA787" s="228"/>
      <c r="AB787" s="228"/>
      <c r="AC787" s="228"/>
      <c r="AD787" s="228"/>
      <c r="AE787" s="228"/>
      <c r="AF787" s="228"/>
      <c r="AG787" s="228"/>
      <c r="AH787" s="228"/>
      <c r="AI787" s="228"/>
      <c r="AJ787" s="228"/>
      <c r="AK787" s="228"/>
      <c r="AL787" s="228"/>
      <c r="AM787" s="228"/>
      <c r="AN787" s="228"/>
      <c r="AO787" s="228"/>
      <c r="AP787" s="228"/>
      <c r="AQ787" s="228"/>
    </row>
    <row r="788">
      <c r="A788" s="228"/>
      <c r="B788" s="228"/>
      <c r="C788" s="228"/>
      <c r="D788" s="228"/>
      <c r="E788" s="228"/>
      <c r="F788" s="228"/>
      <c r="G788" s="228"/>
      <c r="H788" s="228"/>
      <c r="I788" s="228"/>
      <c r="J788" s="228"/>
      <c r="K788" s="228"/>
      <c r="L788" s="228"/>
      <c r="M788" s="228"/>
      <c r="N788" s="228"/>
      <c r="O788" s="228"/>
      <c r="P788" s="228"/>
      <c r="Q788" s="228"/>
      <c r="R788" s="228"/>
      <c r="S788" s="228"/>
      <c r="T788" s="228"/>
      <c r="U788" s="228"/>
      <c r="V788" s="228"/>
      <c r="W788" s="228"/>
      <c r="X788" s="228"/>
      <c r="Y788" s="228"/>
      <c r="Z788" s="228"/>
      <c r="AA788" s="228"/>
      <c r="AB788" s="228"/>
      <c r="AC788" s="228"/>
      <c r="AD788" s="228"/>
      <c r="AE788" s="228"/>
      <c r="AF788" s="228"/>
      <c r="AG788" s="228"/>
      <c r="AH788" s="228"/>
      <c r="AI788" s="228"/>
      <c r="AJ788" s="228"/>
      <c r="AK788" s="228"/>
      <c r="AL788" s="228"/>
      <c r="AM788" s="228"/>
      <c r="AN788" s="228"/>
      <c r="AO788" s="228"/>
      <c r="AP788" s="228"/>
      <c r="AQ788" s="228"/>
    </row>
    <row r="789">
      <c r="A789" s="228"/>
      <c r="B789" s="228"/>
      <c r="C789" s="228"/>
      <c r="D789" s="228"/>
      <c r="E789" s="228"/>
      <c r="F789" s="228"/>
      <c r="G789" s="228"/>
      <c r="H789" s="228"/>
      <c r="I789" s="228"/>
      <c r="J789" s="228"/>
      <c r="K789" s="228"/>
      <c r="L789" s="228"/>
      <c r="M789" s="228"/>
      <c r="N789" s="228"/>
      <c r="O789" s="228"/>
      <c r="P789" s="228"/>
      <c r="Q789" s="228"/>
      <c r="R789" s="228"/>
      <c r="S789" s="228"/>
      <c r="T789" s="228"/>
      <c r="U789" s="228"/>
      <c r="V789" s="228"/>
      <c r="W789" s="228"/>
      <c r="X789" s="228"/>
      <c r="Y789" s="228"/>
      <c r="Z789" s="228"/>
      <c r="AA789" s="228"/>
      <c r="AB789" s="228"/>
      <c r="AC789" s="228"/>
      <c r="AD789" s="228"/>
      <c r="AE789" s="228"/>
      <c r="AF789" s="228"/>
      <c r="AG789" s="228"/>
      <c r="AH789" s="228"/>
      <c r="AI789" s="228"/>
      <c r="AJ789" s="228"/>
      <c r="AK789" s="228"/>
      <c r="AL789" s="228"/>
      <c r="AM789" s="228"/>
      <c r="AN789" s="228"/>
      <c r="AO789" s="228"/>
      <c r="AP789" s="228"/>
      <c r="AQ789" s="228"/>
    </row>
    <row r="790">
      <c r="A790" s="228"/>
      <c r="B790" s="228"/>
      <c r="C790" s="228"/>
      <c r="D790" s="228"/>
      <c r="E790" s="228"/>
      <c r="F790" s="228"/>
      <c r="G790" s="228"/>
      <c r="H790" s="228"/>
      <c r="I790" s="228"/>
      <c r="J790" s="228"/>
      <c r="K790" s="228"/>
      <c r="L790" s="228"/>
      <c r="M790" s="228"/>
      <c r="N790" s="228"/>
      <c r="O790" s="228"/>
      <c r="P790" s="228"/>
      <c r="Q790" s="228"/>
      <c r="R790" s="228"/>
      <c r="S790" s="228"/>
      <c r="T790" s="228"/>
      <c r="U790" s="228"/>
      <c r="V790" s="228"/>
      <c r="W790" s="228"/>
      <c r="X790" s="228"/>
      <c r="Y790" s="228"/>
      <c r="Z790" s="228"/>
      <c r="AA790" s="228"/>
      <c r="AB790" s="228"/>
      <c r="AC790" s="228"/>
      <c r="AD790" s="228"/>
      <c r="AE790" s="228"/>
      <c r="AF790" s="228"/>
      <c r="AG790" s="228"/>
      <c r="AH790" s="228"/>
      <c r="AI790" s="228"/>
      <c r="AJ790" s="228"/>
      <c r="AK790" s="228"/>
      <c r="AL790" s="228"/>
      <c r="AM790" s="228"/>
      <c r="AN790" s="228"/>
      <c r="AO790" s="228"/>
      <c r="AP790" s="228"/>
      <c r="AQ790" s="228"/>
    </row>
    <row r="791">
      <c r="A791" s="228"/>
      <c r="B791" s="228"/>
      <c r="C791" s="228"/>
      <c r="D791" s="228"/>
      <c r="E791" s="228"/>
      <c r="F791" s="228"/>
      <c r="G791" s="228"/>
      <c r="H791" s="228"/>
      <c r="I791" s="228"/>
      <c r="J791" s="228"/>
      <c r="K791" s="228"/>
      <c r="L791" s="228"/>
      <c r="M791" s="228"/>
      <c r="N791" s="228"/>
      <c r="O791" s="228"/>
      <c r="P791" s="228"/>
      <c r="Q791" s="228"/>
      <c r="R791" s="228"/>
      <c r="S791" s="228"/>
      <c r="T791" s="228"/>
      <c r="U791" s="228"/>
      <c r="V791" s="228"/>
      <c r="W791" s="228"/>
      <c r="X791" s="228"/>
      <c r="Y791" s="228"/>
      <c r="Z791" s="228"/>
      <c r="AA791" s="228"/>
      <c r="AB791" s="228"/>
      <c r="AC791" s="228"/>
      <c r="AD791" s="228"/>
      <c r="AE791" s="228"/>
      <c r="AF791" s="228"/>
      <c r="AG791" s="228"/>
      <c r="AH791" s="228"/>
      <c r="AI791" s="228"/>
      <c r="AJ791" s="228"/>
      <c r="AK791" s="228"/>
      <c r="AL791" s="228"/>
      <c r="AM791" s="228"/>
      <c r="AN791" s="228"/>
      <c r="AO791" s="228"/>
      <c r="AP791" s="228"/>
      <c r="AQ791" s="228"/>
    </row>
    <row r="792">
      <c r="A792" s="228"/>
      <c r="B792" s="228"/>
      <c r="C792" s="228"/>
      <c r="D792" s="228"/>
      <c r="E792" s="228"/>
      <c r="F792" s="228"/>
      <c r="G792" s="228"/>
      <c r="H792" s="228"/>
      <c r="I792" s="228"/>
      <c r="J792" s="228"/>
      <c r="K792" s="228"/>
      <c r="L792" s="228"/>
      <c r="M792" s="228"/>
      <c r="N792" s="228"/>
      <c r="O792" s="228"/>
      <c r="P792" s="228"/>
      <c r="Q792" s="228"/>
      <c r="R792" s="228"/>
      <c r="S792" s="228"/>
      <c r="T792" s="228"/>
      <c r="U792" s="228"/>
      <c r="V792" s="228"/>
      <c r="W792" s="228"/>
      <c r="X792" s="228"/>
      <c r="Y792" s="228"/>
      <c r="Z792" s="228"/>
      <c r="AA792" s="228"/>
      <c r="AB792" s="228"/>
      <c r="AC792" s="228"/>
      <c r="AD792" s="228"/>
      <c r="AE792" s="228"/>
      <c r="AF792" s="228"/>
      <c r="AG792" s="228"/>
      <c r="AH792" s="228"/>
      <c r="AI792" s="228"/>
      <c r="AJ792" s="228"/>
      <c r="AK792" s="228"/>
      <c r="AL792" s="228"/>
      <c r="AM792" s="228"/>
      <c r="AN792" s="228"/>
      <c r="AO792" s="228"/>
      <c r="AP792" s="228"/>
      <c r="AQ792" s="228"/>
    </row>
    <row r="793">
      <c r="A793" s="228"/>
      <c r="B793" s="228"/>
      <c r="C793" s="228"/>
      <c r="D793" s="228"/>
      <c r="E793" s="228"/>
      <c r="F793" s="228"/>
      <c r="G793" s="228"/>
      <c r="H793" s="228"/>
      <c r="I793" s="228"/>
      <c r="J793" s="228"/>
      <c r="K793" s="228"/>
      <c r="L793" s="228"/>
      <c r="M793" s="228"/>
      <c r="N793" s="228"/>
      <c r="O793" s="228"/>
      <c r="P793" s="228"/>
      <c r="Q793" s="228"/>
      <c r="R793" s="228"/>
      <c r="S793" s="228"/>
      <c r="T793" s="228"/>
      <c r="U793" s="228"/>
      <c r="V793" s="228"/>
      <c r="W793" s="228"/>
      <c r="X793" s="228"/>
      <c r="Y793" s="228"/>
      <c r="Z793" s="228"/>
      <c r="AA793" s="228"/>
      <c r="AB793" s="228"/>
      <c r="AC793" s="228"/>
      <c r="AD793" s="228"/>
      <c r="AE793" s="228"/>
      <c r="AF793" s="228"/>
      <c r="AG793" s="228"/>
      <c r="AH793" s="228"/>
      <c r="AI793" s="228"/>
      <c r="AJ793" s="228"/>
      <c r="AK793" s="228"/>
      <c r="AL793" s="228"/>
      <c r="AM793" s="228"/>
      <c r="AN793" s="228"/>
      <c r="AO793" s="228"/>
      <c r="AP793" s="228"/>
      <c r="AQ793" s="228"/>
    </row>
    <row r="794">
      <c r="A794" s="228"/>
      <c r="B794" s="228"/>
      <c r="C794" s="228"/>
      <c r="D794" s="228"/>
      <c r="E794" s="228"/>
      <c r="F794" s="228"/>
      <c r="G794" s="228"/>
      <c r="H794" s="228"/>
      <c r="I794" s="228"/>
      <c r="J794" s="228"/>
      <c r="K794" s="228"/>
      <c r="L794" s="228"/>
      <c r="M794" s="228"/>
      <c r="N794" s="228"/>
      <c r="O794" s="228"/>
      <c r="P794" s="228"/>
      <c r="Q794" s="228"/>
      <c r="R794" s="228"/>
      <c r="S794" s="228"/>
      <c r="T794" s="228"/>
      <c r="U794" s="228"/>
      <c r="V794" s="228"/>
      <c r="W794" s="228"/>
      <c r="X794" s="228"/>
      <c r="Y794" s="228"/>
      <c r="Z794" s="228"/>
      <c r="AA794" s="228"/>
      <c r="AB794" s="228"/>
      <c r="AC794" s="228"/>
      <c r="AD794" s="228"/>
      <c r="AE794" s="228"/>
      <c r="AF794" s="228"/>
      <c r="AG794" s="228"/>
      <c r="AH794" s="228"/>
      <c r="AI794" s="228"/>
      <c r="AJ794" s="228"/>
      <c r="AK794" s="228"/>
      <c r="AL794" s="228"/>
      <c r="AM794" s="228"/>
      <c r="AN794" s="228"/>
      <c r="AO794" s="228"/>
      <c r="AP794" s="228"/>
      <c r="AQ794" s="228"/>
    </row>
    <row r="795">
      <c r="A795" s="228"/>
      <c r="B795" s="228"/>
      <c r="C795" s="228"/>
      <c r="D795" s="228"/>
      <c r="E795" s="228"/>
      <c r="F795" s="228"/>
      <c r="G795" s="228"/>
      <c r="H795" s="228"/>
      <c r="I795" s="228"/>
      <c r="J795" s="228"/>
      <c r="K795" s="228"/>
      <c r="L795" s="228"/>
      <c r="M795" s="228"/>
      <c r="N795" s="228"/>
      <c r="O795" s="228"/>
      <c r="P795" s="228"/>
      <c r="Q795" s="228"/>
      <c r="R795" s="228"/>
      <c r="S795" s="228"/>
      <c r="T795" s="228"/>
      <c r="U795" s="228"/>
      <c r="V795" s="228"/>
      <c r="W795" s="228"/>
      <c r="X795" s="228"/>
      <c r="Y795" s="228"/>
      <c r="Z795" s="228"/>
      <c r="AA795" s="228"/>
      <c r="AB795" s="228"/>
      <c r="AC795" s="228"/>
      <c r="AD795" s="228"/>
      <c r="AE795" s="228"/>
      <c r="AF795" s="228"/>
      <c r="AG795" s="228"/>
      <c r="AH795" s="228"/>
      <c r="AI795" s="228"/>
      <c r="AJ795" s="228"/>
      <c r="AK795" s="228"/>
      <c r="AL795" s="228"/>
      <c r="AM795" s="228"/>
      <c r="AN795" s="228"/>
      <c r="AO795" s="228"/>
      <c r="AP795" s="228"/>
      <c r="AQ795" s="228"/>
    </row>
    <row r="796">
      <c r="A796" s="228"/>
      <c r="B796" s="228"/>
      <c r="C796" s="228"/>
      <c r="D796" s="228"/>
      <c r="E796" s="228"/>
      <c r="F796" s="228"/>
      <c r="G796" s="228"/>
      <c r="H796" s="228"/>
      <c r="I796" s="228"/>
      <c r="J796" s="228"/>
      <c r="K796" s="228"/>
      <c r="L796" s="228"/>
      <c r="M796" s="228"/>
      <c r="N796" s="228"/>
      <c r="O796" s="228"/>
      <c r="P796" s="228"/>
      <c r="Q796" s="228"/>
      <c r="R796" s="228"/>
      <c r="S796" s="228"/>
      <c r="T796" s="228"/>
      <c r="U796" s="228"/>
      <c r="V796" s="228"/>
      <c r="W796" s="228"/>
      <c r="X796" s="228"/>
      <c r="Y796" s="228"/>
      <c r="Z796" s="228"/>
      <c r="AA796" s="228"/>
      <c r="AB796" s="228"/>
      <c r="AC796" s="228"/>
      <c r="AD796" s="228"/>
      <c r="AE796" s="228"/>
      <c r="AF796" s="228"/>
      <c r="AG796" s="228"/>
      <c r="AH796" s="228"/>
      <c r="AI796" s="228"/>
      <c r="AJ796" s="228"/>
      <c r="AK796" s="228"/>
      <c r="AL796" s="228"/>
      <c r="AM796" s="228"/>
      <c r="AN796" s="228"/>
      <c r="AO796" s="228"/>
      <c r="AP796" s="228"/>
      <c r="AQ796" s="228"/>
    </row>
    <row r="797">
      <c r="A797" s="228"/>
      <c r="B797" s="228"/>
      <c r="C797" s="228"/>
      <c r="D797" s="228"/>
      <c r="E797" s="228"/>
      <c r="F797" s="228"/>
      <c r="G797" s="228"/>
      <c r="H797" s="228"/>
      <c r="I797" s="228"/>
      <c r="J797" s="228"/>
      <c r="K797" s="228"/>
      <c r="L797" s="228"/>
      <c r="M797" s="228"/>
      <c r="N797" s="228"/>
      <c r="O797" s="228"/>
      <c r="P797" s="228"/>
      <c r="Q797" s="228"/>
      <c r="R797" s="228"/>
      <c r="S797" s="228"/>
      <c r="T797" s="228"/>
      <c r="U797" s="228"/>
      <c r="V797" s="228"/>
      <c r="W797" s="228"/>
      <c r="X797" s="228"/>
      <c r="Y797" s="228"/>
      <c r="Z797" s="228"/>
      <c r="AA797" s="228"/>
      <c r="AB797" s="228"/>
      <c r="AC797" s="228"/>
      <c r="AD797" s="228"/>
      <c r="AE797" s="228"/>
      <c r="AF797" s="228"/>
      <c r="AG797" s="228"/>
      <c r="AH797" s="228"/>
      <c r="AI797" s="228"/>
      <c r="AJ797" s="228"/>
      <c r="AK797" s="228"/>
      <c r="AL797" s="228"/>
      <c r="AM797" s="228"/>
      <c r="AN797" s="228"/>
      <c r="AO797" s="228"/>
      <c r="AP797" s="228"/>
      <c r="AQ797" s="228"/>
    </row>
    <row r="798">
      <c r="A798" s="228"/>
      <c r="B798" s="228"/>
      <c r="C798" s="228"/>
      <c r="D798" s="228"/>
      <c r="E798" s="228"/>
      <c r="F798" s="228"/>
      <c r="G798" s="228"/>
      <c r="H798" s="228"/>
      <c r="I798" s="228"/>
      <c r="J798" s="228"/>
      <c r="K798" s="228"/>
      <c r="L798" s="228"/>
      <c r="M798" s="228"/>
      <c r="N798" s="228"/>
      <c r="O798" s="228"/>
      <c r="P798" s="228"/>
      <c r="Q798" s="228"/>
      <c r="R798" s="228"/>
      <c r="S798" s="228"/>
      <c r="T798" s="228"/>
      <c r="U798" s="228"/>
      <c r="V798" s="228"/>
      <c r="W798" s="228"/>
      <c r="X798" s="228"/>
      <c r="Y798" s="228"/>
      <c r="Z798" s="228"/>
      <c r="AA798" s="228"/>
      <c r="AB798" s="228"/>
      <c r="AC798" s="228"/>
      <c r="AD798" s="228"/>
      <c r="AE798" s="228"/>
      <c r="AF798" s="228"/>
      <c r="AG798" s="228"/>
      <c r="AH798" s="228"/>
      <c r="AI798" s="228"/>
      <c r="AJ798" s="228"/>
      <c r="AK798" s="228"/>
      <c r="AL798" s="228"/>
      <c r="AM798" s="228"/>
      <c r="AN798" s="228"/>
      <c r="AO798" s="228"/>
      <c r="AP798" s="228"/>
      <c r="AQ798" s="228"/>
    </row>
    <row r="799">
      <c r="A799" s="228"/>
      <c r="B799" s="228"/>
      <c r="C799" s="228"/>
      <c r="D799" s="228"/>
      <c r="E799" s="228"/>
      <c r="F799" s="228"/>
      <c r="G799" s="228"/>
      <c r="H799" s="228"/>
      <c r="I799" s="228"/>
      <c r="J799" s="228"/>
      <c r="K799" s="228"/>
      <c r="L799" s="228"/>
      <c r="M799" s="228"/>
      <c r="N799" s="228"/>
      <c r="O799" s="228"/>
      <c r="P799" s="228"/>
      <c r="Q799" s="228"/>
      <c r="R799" s="228"/>
      <c r="S799" s="228"/>
      <c r="T799" s="228"/>
      <c r="U799" s="228"/>
      <c r="V799" s="228"/>
      <c r="W799" s="228"/>
      <c r="X799" s="228"/>
      <c r="Y799" s="228"/>
      <c r="Z799" s="228"/>
      <c r="AA799" s="228"/>
      <c r="AB799" s="228"/>
      <c r="AC799" s="228"/>
      <c r="AD799" s="228"/>
      <c r="AE799" s="228"/>
      <c r="AF799" s="228"/>
      <c r="AG799" s="228"/>
      <c r="AH799" s="228"/>
      <c r="AI799" s="228"/>
      <c r="AJ799" s="228"/>
      <c r="AK799" s="228"/>
      <c r="AL799" s="228"/>
      <c r="AM799" s="228"/>
      <c r="AN799" s="228"/>
      <c r="AO799" s="228"/>
      <c r="AP799" s="228"/>
      <c r="AQ799" s="228"/>
    </row>
    <row r="800">
      <c r="A800" s="228"/>
      <c r="B800" s="228"/>
      <c r="C800" s="228"/>
      <c r="D800" s="228"/>
      <c r="E800" s="228"/>
      <c r="F800" s="228"/>
      <c r="G800" s="228"/>
      <c r="H800" s="228"/>
      <c r="I800" s="228"/>
      <c r="J800" s="228"/>
      <c r="K800" s="228"/>
      <c r="L800" s="228"/>
      <c r="M800" s="228"/>
      <c r="N800" s="228"/>
      <c r="O800" s="228"/>
      <c r="P800" s="228"/>
      <c r="Q800" s="228"/>
      <c r="R800" s="228"/>
      <c r="S800" s="228"/>
      <c r="T800" s="228"/>
      <c r="U800" s="228"/>
      <c r="V800" s="228"/>
      <c r="W800" s="228"/>
      <c r="X800" s="228"/>
      <c r="Y800" s="228"/>
      <c r="Z800" s="228"/>
      <c r="AA800" s="228"/>
      <c r="AB800" s="228"/>
      <c r="AC800" s="228"/>
      <c r="AD800" s="228"/>
      <c r="AE800" s="228"/>
      <c r="AF800" s="228"/>
      <c r="AG800" s="228"/>
      <c r="AH800" s="228"/>
      <c r="AI800" s="228"/>
      <c r="AJ800" s="228"/>
      <c r="AK800" s="228"/>
      <c r="AL800" s="228"/>
      <c r="AM800" s="228"/>
      <c r="AN800" s="228"/>
      <c r="AO800" s="228"/>
      <c r="AP800" s="228"/>
      <c r="AQ800" s="228"/>
    </row>
    <row r="801">
      <c r="A801" s="228"/>
      <c r="B801" s="228"/>
      <c r="C801" s="228"/>
      <c r="D801" s="228"/>
      <c r="E801" s="228"/>
      <c r="F801" s="228"/>
      <c r="G801" s="228"/>
      <c r="H801" s="228"/>
      <c r="I801" s="228"/>
      <c r="J801" s="228"/>
      <c r="K801" s="228"/>
      <c r="L801" s="228"/>
      <c r="M801" s="228"/>
      <c r="N801" s="228"/>
      <c r="O801" s="228"/>
      <c r="P801" s="228"/>
      <c r="Q801" s="228"/>
      <c r="R801" s="228"/>
      <c r="S801" s="228"/>
      <c r="T801" s="228"/>
      <c r="U801" s="228"/>
      <c r="V801" s="228"/>
      <c r="W801" s="228"/>
      <c r="X801" s="228"/>
      <c r="Y801" s="228"/>
      <c r="Z801" s="228"/>
      <c r="AA801" s="228"/>
      <c r="AB801" s="228"/>
      <c r="AC801" s="228"/>
      <c r="AD801" s="228"/>
      <c r="AE801" s="228"/>
      <c r="AF801" s="228"/>
      <c r="AG801" s="228"/>
      <c r="AH801" s="228"/>
      <c r="AI801" s="228"/>
      <c r="AJ801" s="228"/>
      <c r="AK801" s="228"/>
      <c r="AL801" s="228"/>
      <c r="AM801" s="228"/>
      <c r="AN801" s="228"/>
      <c r="AO801" s="228"/>
      <c r="AP801" s="228"/>
      <c r="AQ801" s="228"/>
    </row>
    <row r="802">
      <c r="A802" s="228"/>
      <c r="B802" s="228"/>
      <c r="C802" s="228"/>
      <c r="D802" s="228"/>
      <c r="E802" s="228"/>
      <c r="F802" s="228"/>
      <c r="G802" s="228"/>
      <c r="H802" s="228"/>
      <c r="I802" s="228"/>
      <c r="J802" s="228"/>
      <c r="K802" s="228"/>
      <c r="L802" s="228"/>
      <c r="M802" s="228"/>
      <c r="N802" s="228"/>
      <c r="O802" s="228"/>
      <c r="P802" s="228"/>
      <c r="Q802" s="228"/>
      <c r="R802" s="228"/>
      <c r="S802" s="228"/>
      <c r="T802" s="228"/>
      <c r="U802" s="228"/>
      <c r="V802" s="228"/>
      <c r="W802" s="228"/>
      <c r="X802" s="228"/>
      <c r="Y802" s="228"/>
      <c r="Z802" s="228"/>
      <c r="AA802" s="228"/>
      <c r="AB802" s="228"/>
      <c r="AC802" s="228"/>
      <c r="AD802" s="228"/>
      <c r="AE802" s="228"/>
      <c r="AF802" s="228"/>
      <c r="AG802" s="228"/>
      <c r="AH802" s="228"/>
      <c r="AI802" s="228"/>
      <c r="AJ802" s="228"/>
      <c r="AK802" s="228"/>
      <c r="AL802" s="228"/>
      <c r="AM802" s="228"/>
      <c r="AN802" s="228"/>
      <c r="AO802" s="228"/>
      <c r="AP802" s="228"/>
      <c r="AQ802" s="228"/>
    </row>
    <row r="803">
      <c r="A803" s="228"/>
      <c r="B803" s="228"/>
      <c r="C803" s="228"/>
      <c r="D803" s="228"/>
      <c r="E803" s="228"/>
      <c r="F803" s="228"/>
      <c r="G803" s="228"/>
      <c r="H803" s="228"/>
      <c r="I803" s="228"/>
      <c r="J803" s="228"/>
      <c r="K803" s="228"/>
      <c r="L803" s="228"/>
      <c r="M803" s="228"/>
      <c r="N803" s="228"/>
      <c r="O803" s="228"/>
      <c r="P803" s="228"/>
      <c r="Q803" s="228"/>
      <c r="R803" s="228"/>
      <c r="S803" s="228"/>
      <c r="T803" s="228"/>
      <c r="U803" s="228"/>
      <c r="V803" s="228"/>
      <c r="W803" s="228"/>
      <c r="X803" s="228"/>
      <c r="Y803" s="228"/>
      <c r="Z803" s="228"/>
      <c r="AA803" s="228"/>
      <c r="AB803" s="228"/>
      <c r="AC803" s="228"/>
      <c r="AD803" s="228"/>
      <c r="AE803" s="228"/>
      <c r="AF803" s="228"/>
      <c r="AG803" s="228"/>
      <c r="AH803" s="228"/>
      <c r="AI803" s="228"/>
      <c r="AJ803" s="228"/>
      <c r="AK803" s="228"/>
      <c r="AL803" s="228"/>
      <c r="AM803" s="228"/>
      <c r="AN803" s="228"/>
      <c r="AO803" s="228"/>
      <c r="AP803" s="228"/>
      <c r="AQ803" s="228"/>
    </row>
    <row r="804">
      <c r="A804" s="228"/>
      <c r="B804" s="228"/>
      <c r="C804" s="228"/>
      <c r="D804" s="228"/>
      <c r="E804" s="228"/>
      <c r="F804" s="228"/>
      <c r="G804" s="228"/>
      <c r="H804" s="228"/>
      <c r="I804" s="228"/>
      <c r="J804" s="228"/>
      <c r="K804" s="228"/>
      <c r="L804" s="228"/>
      <c r="M804" s="228"/>
      <c r="N804" s="228"/>
      <c r="O804" s="228"/>
      <c r="P804" s="228"/>
      <c r="Q804" s="228"/>
      <c r="R804" s="228"/>
      <c r="S804" s="228"/>
      <c r="T804" s="228"/>
      <c r="U804" s="228"/>
      <c r="V804" s="228"/>
      <c r="W804" s="228"/>
      <c r="X804" s="228"/>
      <c r="Y804" s="228"/>
      <c r="Z804" s="228"/>
      <c r="AA804" s="228"/>
      <c r="AB804" s="228"/>
      <c r="AC804" s="228"/>
      <c r="AD804" s="228"/>
      <c r="AE804" s="228"/>
      <c r="AF804" s="228"/>
      <c r="AG804" s="228"/>
      <c r="AH804" s="228"/>
      <c r="AI804" s="228"/>
      <c r="AJ804" s="228"/>
      <c r="AK804" s="228"/>
      <c r="AL804" s="228"/>
      <c r="AM804" s="228"/>
      <c r="AN804" s="228"/>
      <c r="AO804" s="228"/>
      <c r="AP804" s="228"/>
      <c r="AQ804" s="228"/>
    </row>
    <row r="805">
      <c r="A805" s="228"/>
      <c r="B805" s="228"/>
      <c r="C805" s="228"/>
      <c r="D805" s="228"/>
      <c r="E805" s="228"/>
      <c r="F805" s="228"/>
      <c r="G805" s="228"/>
      <c r="H805" s="228"/>
      <c r="I805" s="228"/>
      <c r="J805" s="228"/>
      <c r="K805" s="228"/>
      <c r="L805" s="228"/>
      <c r="M805" s="228"/>
      <c r="N805" s="228"/>
      <c r="O805" s="228"/>
      <c r="P805" s="228"/>
      <c r="Q805" s="228"/>
      <c r="R805" s="228"/>
      <c r="S805" s="228"/>
      <c r="T805" s="228"/>
      <c r="U805" s="228"/>
      <c r="V805" s="228"/>
      <c r="W805" s="228"/>
      <c r="X805" s="228"/>
      <c r="Y805" s="228"/>
      <c r="Z805" s="228"/>
      <c r="AA805" s="228"/>
      <c r="AB805" s="228"/>
      <c r="AC805" s="228"/>
      <c r="AD805" s="228"/>
      <c r="AE805" s="228"/>
      <c r="AF805" s="228"/>
      <c r="AG805" s="228"/>
      <c r="AH805" s="228"/>
      <c r="AI805" s="228"/>
      <c r="AJ805" s="228"/>
      <c r="AK805" s="228"/>
      <c r="AL805" s="228"/>
      <c r="AM805" s="228"/>
      <c r="AN805" s="228"/>
      <c r="AO805" s="228"/>
      <c r="AP805" s="228"/>
      <c r="AQ805" s="228"/>
    </row>
    <row r="806">
      <c r="A806" s="228"/>
      <c r="B806" s="228"/>
      <c r="C806" s="228"/>
      <c r="D806" s="228"/>
      <c r="E806" s="228"/>
      <c r="F806" s="228"/>
      <c r="G806" s="228"/>
      <c r="H806" s="228"/>
      <c r="I806" s="228"/>
      <c r="J806" s="228"/>
      <c r="K806" s="228"/>
      <c r="L806" s="228"/>
      <c r="M806" s="228"/>
      <c r="N806" s="228"/>
      <c r="O806" s="228"/>
      <c r="P806" s="228"/>
      <c r="Q806" s="228"/>
      <c r="R806" s="228"/>
      <c r="S806" s="228"/>
      <c r="T806" s="228"/>
      <c r="U806" s="228"/>
      <c r="V806" s="228"/>
      <c r="W806" s="228"/>
      <c r="X806" s="228"/>
      <c r="Y806" s="228"/>
      <c r="Z806" s="228"/>
      <c r="AA806" s="228"/>
      <c r="AB806" s="228"/>
      <c r="AC806" s="228"/>
      <c r="AD806" s="228"/>
      <c r="AE806" s="228"/>
      <c r="AF806" s="228"/>
      <c r="AG806" s="228"/>
      <c r="AH806" s="228"/>
      <c r="AI806" s="228"/>
      <c r="AJ806" s="228"/>
      <c r="AK806" s="228"/>
      <c r="AL806" s="228"/>
      <c r="AM806" s="228"/>
      <c r="AN806" s="228"/>
      <c r="AO806" s="228"/>
      <c r="AP806" s="228"/>
      <c r="AQ806" s="228"/>
    </row>
    <row r="807">
      <c r="A807" s="228"/>
      <c r="B807" s="228"/>
      <c r="C807" s="228"/>
      <c r="D807" s="228"/>
      <c r="E807" s="228"/>
      <c r="F807" s="228"/>
      <c r="G807" s="228"/>
      <c r="H807" s="228"/>
      <c r="I807" s="228"/>
      <c r="J807" s="228"/>
      <c r="K807" s="228"/>
      <c r="L807" s="228"/>
      <c r="M807" s="228"/>
      <c r="N807" s="228"/>
      <c r="O807" s="228"/>
      <c r="P807" s="228"/>
      <c r="Q807" s="228"/>
      <c r="R807" s="228"/>
      <c r="S807" s="228"/>
      <c r="T807" s="228"/>
      <c r="U807" s="228"/>
      <c r="V807" s="228"/>
      <c r="W807" s="228"/>
      <c r="X807" s="228"/>
      <c r="Y807" s="228"/>
      <c r="Z807" s="228"/>
      <c r="AA807" s="228"/>
      <c r="AB807" s="228"/>
      <c r="AC807" s="228"/>
      <c r="AD807" s="228"/>
      <c r="AE807" s="228"/>
      <c r="AF807" s="228"/>
      <c r="AG807" s="228"/>
      <c r="AH807" s="228"/>
      <c r="AI807" s="228"/>
      <c r="AJ807" s="228"/>
      <c r="AK807" s="228"/>
      <c r="AL807" s="228"/>
      <c r="AM807" s="228"/>
      <c r="AN807" s="228"/>
      <c r="AO807" s="228"/>
      <c r="AP807" s="228"/>
      <c r="AQ807" s="228"/>
    </row>
    <row r="808">
      <c r="A808" s="228"/>
      <c r="B808" s="228"/>
      <c r="C808" s="228"/>
      <c r="D808" s="228"/>
      <c r="E808" s="228"/>
      <c r="F808" s="228"/>
      <c r="G808" s="228"/>
      <c r="H808" s="228"/>
      <c r="I808" s="228"/>
      <c r="J808" s="228"/>
      <c r="K808" s="228"/>
      <c r="L808" s="228"/>
      <c r="M808" s="228"/>
      <c r="N808" s="228"/>
      <c r="O808" s="228"/>
      <c r="P808" s="228"/>
      <c r="Q808" s="228"/>
      <c r="R808" s="228"/>
      <c r="S808" s="228"/>
      <c r="T808" s="228"/>
      <c r="U808" s="228"/>
      <c r="V808" s="228"/>
      <c r="W808" s="228"/>
      <c r="X808" s="228"/>
      <c r="Y808" s="228"/>
      <c r="Z808" s="228"/>
      <c r="AA808" s="228"/>
      <c r="AB808" s="228"/>
      <c r="AC808" s="228"/>
      <c r="AD808" s="228"/>
      <c r="AE808" s="228"/>
      <c r="AF808" s="228"/>
      <c r="AG808" s="228"/>
      <c r="AH808" s="228"/>
      <c r="AI808" s="228"/>
      <c r="AJ808" s="228"/>
      <c r="AK808" s="228"/>
      <c r="AL808" s="228"/>
      <c r="AM808" s="228"/>
      <c r="AN808" s="228"/>
      <c r="AO808" s="228"/>
      <c r="AP808" s="228"/>
      <c r="AQ808" s="228"/>
    </row>
    <row r="809">
      <c r="A809" s="228"/>
      <c r="B809" s="228"/>
      <c r="C809" s="228"/>
      <c r="D809" s="228"/>
      <c r="E809" s="228"/>
      <c r="F809" s="228"/>
      <c r="G809" s="228"/>
      <c r="H809" s="228"/>
      <c r="I809" s="228"/>
      <c r="J809" s="228"/>
      <c r="K809" s="228"/>
      <c r="L809" s="228"/>
      <c r="M809" s="228"/>
      <c r="N809" s="228"/>
      <c r="O809" s="228"/>
      <c r="P809" s="228"/>
      <c r="Q809" s="228"/>
      <c r="R809" s="228"/>
      <c r="S809" s="228"/>
      <c r="T809" s="228"/>
      <c r="U809" s="228"/>
      <c r="V809" s="228"/>
      <c r="W809" s="228"/>
      <c r="X809" s="228"/>
      <c r="Y809" s="228"/>
      <c r="Z809" s="228"/>
      <c r="AA809" s="228"/>
      <c r="AB809" s="228"/>
      <c r="AC809" s="228"/>
      <c r="AD809" s="228"/>
      <c r="AE809" s="228"/>
      <c r="AF809" s="228"/>
      <c r="AG809" s="228"/>
      <c r="AH809" s="228"/>
      <c r="AI809" s="228"/>
      <c r="AJ809" s="228"/>
      <c r="AK809" s="228"/>
      <c r="AL809" s="228"/>
      <c r="AM809" s="228"/>
      <c r="AN809" s="228"/>
      <c r="AO809" s="228"/>
      <c r="AP809" s="228"/>
      <c r="AQ809" s="228"/>
    </row>
    <row r="810">
      <c r="A810" s="228"/>
      <c r="B810" s="228"/>
      <c r="C810" s="228"/>
      <c r="D810" s="228"/>
      <c r="E810" s="228"/>
      <c r="F810" s="228"/>
      <c r="G810" s="228"/>
      <c r="H810" s="228"/>
      <c r="I810" s="228"/>
      <c r="J810" s="228"/>
      <c r="K810" s="228"/>
      <c r="L810" s="228"/>
      <c r="M810" s="228"/>
      <c r="N810" s="228"/>
      <c r="O810" s="228"/>
      <c r="P810" s="228"/>
      <c r="Q810" s="228"/>
      <c r="R810" s="228"/>
      <c r="S810" s="228"/>
      <c r="T810" s="228"/>
      <c r="U810" s="228"/>
      <c r="V810" s="228"/>
      <c r="W810" s="228"/>
      <c r="X810" s="228"/>
      <c r="Y810" s="228"/>
      <c r="Z810" s="228"/>
      <c r="AA810" s="228"/>
      <c r="AB810" s="228"/>
      <c r="AC810" s="228"/>
      <c r="AD810" s="228"/>
      <c r="AE810" s="228"/>
      <c r="AF810" s="228"/>
      <c r="AG810" s="228"/>
      <c r="AH810" s="228"/>
      <c r="AI810" s="228"/>
      <c r="AJ810" s="228"/>
      <c r="AK810" s="228"/>
      <c r="AL810" s="228"/>
      <c r="AM810" s="228"/>
      <c r="AN810" s="228"/>
      <c r="AO810" s="228"/>
      <c r="AP810" s="228"/>
      <c r="AQ810" s="228"/>
    </row>
    <row r="811">
      <c r="A811" s="228"/>
      <c r="B811" s="228"/>
      <c r="C811" s="228"/>
      <c r="D811" s="228"/>
      <c r="E811" s="228"/>
      <c r="F811" s="228"/>
      <c r="G811" s="228"/>
      <c r="H811" s="228"/>
      <c r="I811" s="228"/>
      <c r="J811" s="228"/>
      <c r="K811" s="228"/>
      <c r="L811" s="228"/>
      <c r="M811" s="228"/>
      <c r="N811" s="228"/>
      <c r="O811" s="228"/>
      <c r="P811" s="228"/>
      <c r="Q811" s="228"/>
      <c r="R811" s="228"/>
      <c r="S811" s="228"/>
      <c r="T811" s="228"/>
      <c r="U811" s="228"/>
      <c r="V811" s="228"/>
      <c r="W811" s="228"/>
      <c r="X811" s="228"/>
      <c r="Y811" s="228"/>
      <c r="Z811" s="228"/>
      <c r="AA811" s="228"/>
      <c r="AB811" s="228"/>
      <c r="AC811" s="228"/>
      <c r="AD811" s="228"/>
      <c r="AE811" s="228"/>
      <c r="AF811" s="228"/>
      <c r="AG811" s="228"/>
      <c r="AH811" s="228"/>
      <c r="AI811" s="228"/>
      <c r="AJ811" s="228"/>
      <c r="AK811" s="228"/>
      <c r="AL811" s="228"/>
      <c r="AM811" s="228"/>
      <c r="AN811" s="228"/>
      <c r="AO811" s="228"/>
      <c r="AP811" s="228"/>
      <c r="AQ811" s="228"/>
    </row>
    <row r="812">
      <c r="A812" s="228"/>
      <c r="B812" s="228"/>
      <c r="C812" s="228"/>
      <c r="D812" s="228"/>
      <c r="E812" s="228"/>
      <c r="F812" s="228"/>
      <c r="G812" s="228"/>
      <c r="H812" s="228"/>
      <c r="I812" s="228"/>
      <c r="J812" s="228"/>
      <c r="K812" s="228"/>
      <c r="L812" s="228"/>
      <c r="M812" s="228"/>
      <c r="N812" s="228"/>
      <c r="O812" s="228"/>
      <c r="P812" s="228"/>
      <c r="Q812" s="228"/>
      <c r="R812" s="228"/>
      <c r="S812" s="228"/>
      <c r="T812" s="228"/>
      <c r="U812" s="228"/>
      <c r="V812" s="228"/>
      <c r="W812" s="228"/>
      <c r="X812" s="228"/>
      <c r="Y812" s="228"/>
      <c r="Z812" s="228"/>
      <c r="AA812" s="228"/>
      <c r="AB812" s="228"/>
      <c r="AC812" s="228"/>
      <c r="AD812" s="228"/>
      <c r="AE812" s="228"/>
      <c r="AF812" s="228"/>
      <c r="AG812" s="228"/>
      <c r="AH812" s="228"/>
      <c r="AI812" s="228"/>
      <c r="AJ812" s="228"/>
      <c r="AK812" s="228"/>
      <c r="AL812" s="228"/>
      <c r="AM812" s="228"/>
      <c r="AN812" s="228"/>
      <c r="AO812" s="228"/>
      <c r="AP812" s="228"/>
      <c r="AQ812" s="228"/>
    </row>
    <row r="813">
      <c r="A813" s="228"/>
      <c r="B813" s="228"/>
      <c r="C813" s="228"/>
      <c r="D813" s="228"/>
      <c r="E813" s="228"/>
      <c r="F813" s="228"/>
      <c r="G813" s="228"/>
      <c r="H813" s="228"/>
      <c r="I813" s="228"/>
      <c r="J813" s="228"/>
      <c r="K813" s="228"/>
      <c r="L813" s="228"/>
      <c r="M813" s="228"/>
      <c r="N813" s="228"/>
      <c r="O813" s="228"/>
      <c r="P813" s="228"/>
      <c r="Q813" s="228"/>
      <c r="R813" s="228"/>
      <c r="S813" s="228"/>
      <c r="T813" s="228"/>
      <c r="U813" s="228"/>
      <c r="V813" s="228"/>
      <c r="W813" s="228"/>
      <c r="X813" s="228"/>
      <c r="Y813" s="228"/>
      <c r="Z813" s="228"/>
      <c r="AA813" s="228"/>
      <c r="AB813" s="228"/>
      <c r="AC813" s="228"/>
      <c r="AD813" s="228"/>
      <c r="AE813" s="228"/>
      <c r="AF813" s="228"/>
      <c r="AG813" s="228"/>
      <c r="AH813" s="228"/>
      <c r="AI813" s="228"/>
      <c r="AJ813" s="228"/>
      <c r="AK813" s="228"/>
      <c r="AL813" s="228"/>
      <c r="AM813" s="228"/>
      <c r="AN813" s="228"/>
      <c r="AO813" s="228"/>
      <c r="AP813" s="228"/>
      <c r="AQ813" s="228"/>
    </row>
    <row r="814">
      <c r="A814" s="228"/>
      <c r="B814" s="228"/>
      <c r="C814" s="228"/>
      <c r="D814" s="228"/>
      <c r="E814" s="228"/>
      <c r="F814" s="228"/>
      <c r="G814" s="228"/>
      <c r="H814" s="228"/>
      <c r="I814" s="228"/>
      <c r="J814" s="228"/>
      <c r="K814" s="228"/>
      <c r="L814" s="228"/>
      <c r="M814" s="228"/>
      <c r="N814" s="228"/>
      <c r="O814" s="228"/>
      <c r="P814" s="228"/>
      <c r="Q814" s="228"/>
      <c r="R814" s="228"/>
      <c r="S814" s="228"/>
      <c r="T814" s="228"/>
      <c r="U814" s="228"/>
      <c r="V814" s="228"/>
      <c r="W814" s="228"/>
      <c r="X814" s="228"/>
      <c r="Y814" s="228"/>
      <c r="Z814" s="228"/>
      <c r="AA814" s="228"/>
      <c r="AB814" s="228"/>
      <c r="AC814" s="228"/>
      <c r="AD814" s="228"/>
      <c r="AE814" s="228"/>
      <c r="AF814" s="228"/>
      <c r="AG814" s="228"/>
      <c r="AH814" s="228"/>
      <c r="AI814" s="228"/>
      <c r="AJ814" s="228"/>
      <c r="AK814" s="228"/>
      <c r="AL814" s="228"/>
      <c r="AM814" s="228"/>
      <c r="AN814" s="228"/>
      <c r="AO814" s="228"/>
      <c r="AP814" s="228"/>
      <c r="AQ814" s="228"/>
    </row>
    <row r="815">
      <c r="A815" s="228"/>
      <c r="B815" s="228"/>
      <c r="C815" s="228"/>
      <c r="D815" s="228"/>
      <c r="E815" s="228"/>
      <c r="F815" s="228"/>
      <c r="G815" s="228"/>
      <c r="H815" s="228"/>
      <c r="I815" s="228"/>
      <c r="J815" s="228"/>
      <c r="K815" s="228"/>
      <c r="L815" s="228"/>
      <c r="M815" s="228"/>
      <c r="N815" s="228"/>
      <c r="O815" s="228"/>
      <c r="P815" s="228"/>
      <c r="Q815" s="228"/>
      <c r="R815" s="228"/>
      <c r="S815" s="228"/>
      <c r="T815" s="228"/>
      <c r="U815" s="228"/>
      <c r="V815" s="228"/>
      <c r="W815" s="228"/>
      <c r="X815" s="228"/>
      <c r="Y815" s="228"/>
      <c r="Z815" s="228"/>
      <c r="AA815" s="228"/>
      <c r="AB815" s="228"/>
      <c r="AC815" s="228"/>
      <c r="AD815" s="228"/>
      <c r="AE815" s="228"/>
      <c r="AF815" s="228"/>
      <c r="AG815" s="228"/>
      <c r="AH815" s="228"/>
      <c r="AI815" s="228"/>
      <c r="AJ815" s="228"/>
      <c r="AK815" s="228"/>
      <c r="AL815" s="228"/>
      <c r="AM815" s="228"/>
      <c r="AN815" s="228"/>
      <c r="AO815" s="228"/>
      <c r="AP815" s="228"/>
      <c r="AQ815" s="228"/>
    </row>
    <row r="816">
      <c r="A816" s="228"/>
      <c r="B816" s="228"/>
      <c r="C816" s="228"/>
      <c r="D816" s="228"/>
      <c r="E816" s="228"/>
      <c r="F816" s="228"/>
      <c r="G816" s="228"/>
      <c r="H816" s="228"/>
      <c r="I816" s="228"/>
      <c r="J816" s="228"/>
      <c r="K816" s="228"/>
      <c r="L816" s="228"/>
      <c r="M816" s="228"/>
      <c r="N816" s="228"/>
      <c r="O816" s="228"/>
      <c r="P816" s="228"/>
      <c r="Q816" s="228"/>
      <c r="R816" s="228"/>
      <c r="S816" s="228"/>
      <c r="T816" s="228"/>
      <c r="U816" s="228"/>
      <c r="V816" s="228"/>
      <c r="W816" s="228"/>
      <c r="X816" s="228"/>
      <c r="Y816" s="228"/>
      <c r="Z816" s="228"/>
      <c r="AA816" s="228"/>
      <c r="AB816" s="228"/>
      <c r="AC816" s="228"/>
      <c r="AD816" s="228"/>
      <c r="AE816" s="228"/>
      <c r="AF816" s="228"/>
      <c r="AG816" s="228"/>
      <c r="AH816" s="228"/>
      <c r="AI816" s="228"/>
      <c r="AJ816" s="228"/>
      <c r="AK816" s="228"/>
      <c r="AL816" s="228"/>
      <c r="AM816" s="228"/>
      <c r="AN816" s="228"/>
      <c r="AO816" s="228"/>
      <c r="AP816" s="228"/>
      <c r="AQ816" s="228"/>
    </row>
    <row r="817">
      <c r="A817" s="228"/>
      <c r="B817" s="228"/>
      <c r="C817" s="228"/>
      <c r="D817" s="228"/>
      <c r="E817" s="228"/>
      <c r="F817" s="228"/>
      <c r="G817" s="228"/>
      <c r="H817" s="228"/>
      <c r="I817" s="228"/>
      <c r="J817" s="228"/>
      <c r="K817" s="228"/>
      <c r="L817" s="228"/>
      <c r="M817" s="228"/>
      <c r="N817" s="228"/>
      <c r="O817" s="228"/>
      <c r="P817" s="228"/>
      <c r="Q817" s="228"/>
      <c r="R817" s="228"/>
      <c r="S817" s="228"/>
      <c r="T817" s="228"/>
      <c r="U817" s="228"/>
      <c r="V817" s="228"/>
      <c r="W817" s="228"/>
      <c r="X817" s="228"/>
      <c r="Y817" s="228"/>
      <c r="Z817" s="228"/>
      <c r="AA817" s="228"/>
      <c r="AB817" s="228"/>
      <c r="AC817" s="228"/>
      <c r="AD817" s="228"/>
      <c r="AE817" s="228"/>
      <c r="AF817" s="228"/>
      <c r="AG817" s="228"/>
      <c r="AH817" s="228"/>
      <c r="AI817" s="228"/>
      <c r="AJ817" s="228"/>
      <c r="AK817" s="228"/>
      <c r="AL817" s="228"/>
      <c r="AM817" s="228"/>
      <c r="AN817" s="228"/>
      <c r="AO817" s="228"/>
      <c r="AP817" s="228"/>
      <c r="AQ817" s="228"/>
    </row>
    <row r="818">
      <c r="A818" s="228"/>
      <c r="B818" s="228"/>
      <c r="C818" s="228"/>
      <c r="D818" s="228"/>
      <c r="E818" s="228"/>
      <c r="F818" s="228"/>
      <c r="G818" s="228"/>
      <c r="H818" s="228"/>
      <c r="I818" s="228"/>
      <c r="J818" s="228"/>
      <c r="K818" s="228"/>
      <c r="L818" s="228"/>
      <c r="M818" s="228"/>
      <c r="N818" s="228"/>
      <c r="O818" s="228"/>
      <c r="P818" s="228"/>
      <c r="Q818" s="228"/>
      <c r="R818" s="228"/>
      <c r="S818" s="228"/>
      <c r="T818" s="228"/>
      <c r="U818" s="228"/>
      <c r="V818" s="228"/>
      <c r="W818" s="228"/>
      <c r="X818" s="228"/>
      <c r="Y818" s="228"/>
      <c r="Z818" s="228"/>
      <c r="AA818" s="228"/>
      <c r="AB818" s="228"/>
      <c r="AC818" s="228"/>
      <c r="AD818" s="228"/>
      <c r="AE818" s="228"/>
      <c r="AF818" s="228"/>
      <c r="AG818" s="228"/>
      <c r="AH818" s="228"/>
      <c r="AI818" s="228"/>
      <c r="AJ818" s="228"/>
      <c r="AK818" s="228"/>
      <c r="AL818" s="228"/>
      <c r="AM818" s="228"/>
      <c r="AN818" s="228"/>
      <c r="AO818" s="228"/>
      <c r="AP818" s="228"/>
      <c r="AQ818" s="228"/>
    </row>
    <row r="819">
      <c r="A819" s="228"/>
      <c r="B819" s="228"/>
      <c r="C819" s="228"/>
      <c r="D819" s="228"/>
      <c r="E819" s="228"/>
      <c r="F819" s="228"/>
      <c r="G819" s="228"/>
      <c r="H819" s="228"/>
      <c r="I819" s="228"/>
      <c r="J819" s="228"/>
      <c r="K819" s="228"/>
      <c r="L819" s="228"/>
      <c r="M819" s="228"/>
      <c r="N819" s="228"/>
      <c r="O819" s="228"/>
      <c r="P819" s="228"/>
      <c r="Q819" s="228"/>
      <c r="R819" s="228"/>
      <c r="S819" s="228"/>
      <c r="T819" s="228"/>
      <c r="U819" s="228"/>
      <c r="V819" s="228"/>
      <c r="W819" s="228"/>
      <c r="X819" s="228"/>
      <c r="Y819" s="228"/>
      <c r="Z819" s="228"/>
      <c r="AA819" s="228"/>
      <c r="AB819" s="228"/>
      <c r="AC819" s="228"/>
      <c r="AD819" s="228"/>
      <c r="AE819" s="228"/>
      <c r="AF819" s="228"/>
      <c r="AG819" s="228"/>
      <c r="AH819" s="228"/>
      <c r="AI819" s="228"/>
      <c r="AJ819" s="228"/>
      <c r="AK819" s="228"/>
      <c r="AL819" s="228"/>
      <c r="AM819" s="228"/>
      <c r="AN819" s="228"/>
      <c r="AO819" s="228"/>
      <c r="AP819" s="228"/>
      <c r="AQ819" s="228"/>
    </row>
    <row r="820">
      <c r="A820" s="228"/>
      <c r="B820" s="228"/>
      <c r="C820" s="228"/>
      <c r="D820" s="228"/>
      <c r="E820" s="228"/>
      <c r="F820" s="228"/>
      <c r="G820" s="228"/>
      <c r="H820" s="228"/>
      <c r="I820" s="228"/>
      <c r="J820" s="228"/>
      <c r="K820" s="228"/>
      <c r="L820" s="228"/>
      <c r="M820" s="228"/>
      <c r="N820" s="228"/>
      <c r="O820" s="228"/>
      <c r="P820" s="228"/>
      <c r="Q820" s="228"/>
      <c r="R820" s="228"/>
      <c r="S820" s="228"/>
      <c r="T820" s="228"/>
      <c r="U820" s="228"/>
      <c r="V820" s="228"/>
      <c r="W820" s="228"/>
      <c r="X820" s="228"/>
      <c r="Y820" s="228"/>
      <c r="Z820" s="228"/>
      <c r="AA820" s="228"/>
      <c r="AB820" s="228"/>
      <c r="AC820" s="228"/>
      <c r="AD820" s="228"/>
      <c r="AE820" s="228"/>
      <c r="AF820" s="228"/>
      <c r="AG820" s="228"/>
      <c r="AH820" s="228"/>
      <c r="AI820" s="228"/>
      <c r="AJ820" s="228"/>
      <c r="AK820" s="228"/>
      <c r="AL820" s="228"/>
      <c r="AM820" s="228"/>
      <c r="AN820" s="228"/>
      <c r="AO820" s="228"/>
      <c r="AP820" s="228"/>
      <c r="AQ820" s="228"/>
    </row>
    <row r="821">
      <c r="A821" s="228"/>
      <c r="B821" s="228"/>
      <c r="C821" s="228"/>
      <c r="D821" s="228"/>
      <c r="E821" s="228"/>
      <c r="F821" s="228"/>
      <c r="G821" s="228"/>
      <c r="H821" s="228"/>
      <c r="I821" s="228"/>
      <c r="J821" s="228"/>
      <c r="K821" s="228"/>
      <c r="L821" s="228"/>
      <c r="M821" s="228"/>
      <c r="N821" s="228"/>
      <c r="O821" s="228"/>
      <c r="P821" s="228"/>
      <c r="Q821" s="228"/>
      <c r="R821" s="228"/>
      <c r="S821" s="228"/>
      <c r="T821" s="228"/>
      <c r="U821" s="228"/>
      <c r="V821" s="228"/>
      <c r="W821" s="228"/>
      <c r="X821" s="228"/>
      <c r="Y821" s="228"/>
      <c r="Z821" s="228"/>
      <c r="AA821" s="228"/>
      <c r="AB821" s="228"/>
      <c r="AC821" s="228"/>
      <c r="AD821" s="228"/>
      <c r="AE821" s="228"/>
      <c r="AF821" s="228"/>
      <c r="AG821" s="228"/>
      <c r="AH821" s="228"/>
      <c r="AI821" s="228"/>
      <c r="AJ821" s="228"/>
      <c r="AK821" s="228"/>
      <c r="AL821" s="228"/>
      <c r="AM821" s="228"/>
      <c r="AN821" s="228"/>
      <c r="AO821" s="228"/>
      <c r="AP821" s="228"/>
      <c r="AQ821" s="228"/>
    </row>
    <row r="822">
      <c r="A822" s="228"/>
      <c r="B822" s="228"/>
      <c r="C822" s="228"/>
      <c r="D822" s="228"/>
      <c r="E822" s="228"/>
      <c r="F822" s="228"/>
      <c r="G822" s="228"/>
      <c r="H822" s="228"/>
      <c r="I822" s="228"/>
      <c r="J822" s="228"/>
      <c r="K822" s="228"/>
      <c r="L822" s="228"/>
      <c r="M822" s="228"/>
      <c r="N822" s="228"/>
      <c r="O822" s="228"/>
      <c r="P822" s="228"/>
      <c r="Q822" s="228"/>
      <c r="R822" s="228"/>
      <c r="S822" s="228"/>
      <c r="T822" s="228"/>
      <c r="U822" s="228"/>
      <c r="V822" s="228"/>
      <c r="W822" s="228"/>
      <c r="X822" s="228"/>
      <c r="Y822" s="228"/>
      <c r="Z822" s="228"/>
      <c r="AA822" s="228"/>
      <c r="AB822" s="228"/>
      <c r="AC822" s="228"/>
      <c r="AD822" s="228"/>
      <c r="AE822" s="228"/>
      <c r="AF822" s="228"/>
      <c r="AG822" s="228"/>
      <c r="AH822" s="228"/>
      <c r="AI822" s="228"/>
      <c r="AJ822" s="228"/>
      <c r="AK822" s="228"/>
      <c r="AL822" s="228"/>
      <c r="AM822" s="228"/>
      <c r="AN822" s="228"/>
      <c r="AO822" s="228"/>
      <c r="AP822" s="228"/>
      <c r="AQ822" s="228"/>
    </row>
    <row r="823">
      <c r="A823" s="228"/>
      <c r="B823" s="228"/>
      <c r="C823" s="228"/>
      <c r="D823" s="228"/>
      <c r="E823" s="228"/>
      <c r="F823" s="228"/>
      <c r="G823" s="228"/>
      <c r="H823" s="228"/>
      <c r="I823" s="228"/>
      <c r="J823" s="228"/>
      <c r="K823" s="228"/>
      <c r="L823" s="228"/>
      <c r="M823" s="228"/>
      <c r="N823" s="228"/>
      <c r="O823" s="228"/>
      <c r="P823" s="228"/>
      <c r="Q823" s="228"/>
      <c r="R823" s="228"/>
      <c r="S823" s="228"/>
      <c r="T823" s="228"/>
      <c r="U823" s="228"/>
      <c r="V823" s="228"/>
      <c r="W823" s="228"/>
      <c r="X823" s="228"/>
      <c r="Y823" s="228"/>
      <c r="Z823" s="228"/>
      <c r="AA823" s="228"/>
      <c r="AB823" s="228"/>
      <c r="AC823" s="228"/>
      <c r="AD823" s="228"/>
      <c r="AE823" s="228"/>
      <c r="AF823" s="228"/>
      <c r="AG823" s="228"/>
      <c r="AH823" s="228"/>
      <c r="AI823" s="228"/>
      <c r="AJ823" s="228"/>
      <c r="AK823" s="228"/>
      <c r="AL823" s="228"/>
      <c r="AM823" s="228"/>
      <c r="AN823" s="228"/>
      <c r="AO823" s="228"/>
      <c r="AP823" s="228"/>
      <c r="AQ823" s="228"/>
    </row>
    <row r="824">
      <c r="A824" s="228"/>
      <c r="B824" s="228"/>
      <c r="C824" s="228"/>
      <c r="D824" s="228"/>
      <c r="E824" s="228"/>
      <c r="F824" s="228"/>
      <c r="G824" s="228"/>
      <c r="H824" s="228"/>
      <c r="I824" s="228"/>
      <c r="J824" s="228"/>
      <c r="K824" s="228"/>
      <c r="L824" s="228"/>
      <c r="M824" s="228"/>
      <c r="N824" s="228"/>
      <c r="O824" s="228"/>
      <c r="P824" s="228"/>
      <c r="Q824" s="228"/>
      <c r="R824" s="228"/>
      <c r="S824" s="228"/>
      <c r="T824" s="228"/>
      <c r="U824" s="228"/>
      <c r="V824" s="228"/>
      <c r="W824" s="228"/>
      <c r="X824" s="228"/>
      <c r="Y824" s="228"/>
      <c r="Z824" s="228"/>
      <c r="AA824" s="228"/>
      <c r="AB824" s="228"/>
      <c r="AC824" s="228"/>
      <c r="AD824" s="228"/>
      <c r="AE824" s="228"/>
      <c r="AF824" s="228"/>
      <c r="AG824" s="228"/>
      <c r="AH824" s="228"/>
      <c r="AI824" s="228"/>
      <c r="AJ824" s="228"/>
      <c r="AK824" s="228"/>
      <c r="AL824" s="228"/>
      <c r="AM824" s="228"/>
      <c r="AN824" s="228"/>
      <c r="AO824" s="228"/>
      <c r="AP824" s="228"/>
      <c r="AQ824" s="228"/>
    </row>
    <row r="825">
      <c r="A825" s="228"/>
      <c r="B825" s="228"/>
      <c r="C825" s="228"/>
      <c r="D825" s="228"/>
      <c r="E825" s="228"/>
      <c r="F825" s="228"/>
      <c r="G825" s="228"/>
      <c r="H825" s="228"/>
      <c r="I825" s="228"/>
      <c r="J825" s="228"/>
      <c r="K825" s="228"/>
      <c r="L825" s="228"/>
      <c r="M825" s="228"/>
      <c r="N825" s="228"/>
      <c r="O825" s="228"/>
      <c r="P825" s="228"/>
      <c r="Q825" s="228"/>
      <c r="R825" s="228"/>
      <c r="S825" s="228"/>
      <c r="T825" s="228"/>
      <c r="U825" s="228"/>
      <c r="V825" s="228"/>
      <c r="W825" s="228"/>
      <c r="X825" s="228"/>
      <c r="Y825" s="228"/>
      <c r="Z825" s="228"/>
      <c r="AA825" s="228"/>
      <c r="AB825" s="228"/>
      <c r="AC825" s="228"/>
      <c r="AD825" s="228"/>
      <c r="AE825" s="228"/>
      <c r="AF825" s="228"/>
      <c r="AG825" s="228"/>
      <c r="AH825" s="228"/>
      <c r="AI825" s="228"/>
      <c r="AJ825" s="228"/>
      <c r="AK825" s="228"/>
      <c r="AL825" s="228"/>
      <c r="AM825" s="228"/>
      <c r="AN825" s="228"/>
      <c r="AO825" s="228"/>
      <c r="AP825" s="228"/>
      <c r="AQ825" s="228"/>
    </row>
    <row r="826">
      <c r="A826" s="228"/>
      <c r="B826" s="228"/>
      <c r="C826" s="228"/>
      <c r="D826" s="228"/>
      <c r="E826" s="228"/>
      <c r="F826" s="228"/>
      <c r="G826" s="228"/>
      <c r="H826" s="228"/>
      <c r="I826" s="228"/>
      <c r="J826" s="228"/>
      <c r="K826" s="228"/>
      <c r="L826" s="228"/>
      <c r="M826" s="228"/>
      <c r="N826" s="228"/>
      <c r="O826" s="228"/>
      <c r="P826" s="228"/>
      <c r="Q826" s="228"/>
      <c r="R826" s="228"/>
      <c r="S826" s="228"/>
      <c r="T826" s="228"/>
      <c r="U826" s="228"/>
      <c r="V826" s="228"/>
      <c r="W826" s="228"/>
      <c r="X826" s="228"/>
      <c r="Y826" s="228"/>
      <c r="Z826" s="228"/>
      <c r="AA826" s="228"/>
      <c r="AB826" s="228"/>
      <c r="AC826" s="228"/>
      <c r="AD826" s="228"/>
      <c r="AE826" s="228"/>
      <c r="AF826" s="228"/>
      <c r="AG826" s="228"/>
      <c r="AH826" s="228"/>
      <c r="AI826" s="228"/>
      <c r="AJ826" s="228"/>
      <c r="AK826" s="228"/>
      <c r="AL826" s="228"/>
      <c r="AM826" s="228"/>
      <c r="AN826" s="228"/>
      <c r="AO826" s="228"/>
      <c r="AP826" s="228"/>
      <c r="AQ826" s="228"/>
    </row>
    <row r="827">
      <c r="A827" s="228"/>
      <c r="B827" s="228"/>
      <c r="C827" s="228"/>
      <c r="D827" s="228"/>
      <c r="E827" s="228"/>
      <c r="F827" s="228"/>
      <c r="G827" s="228"/>
      <c r="H827" s="228"/>
      <c r="I827" s="228"/>
      <c r="J827" s="228"/>
      <c r="K827" s="228"/>
      <c r="L827" s="228"/>
      <c r="M827" s="228"/>
      <c r="N827" s="228"/>
      <c r="O827" s="228"/>
      <c r="P827" s="228"/>
      <c r="Q827" s="228"/>
      <c r="R827" s="228"/>
      <c r="S827" s="228"/>
      <c r="T827" s="228"/>
      <c r="U827" s="228"/>
      <c r="V827" s="228"/>
      <c r="W827" s="228"/>
      <c r="X827" s="228"/>
      <c r="Y827" s="228"/>
      <c r="Z827" s="228"/>
      <c r="AA827" s="228"/>
      <c r="AB827" s="228"/>
      <c r="AC827" s="228"/>
      <c r="AD827" s="228"/>
      <c r="AE827" s="228"/>
      <c r="AF827" s="228"/>
      <c r="AG827" s="228"/>
      <c r="AH827" s="228"/>
      <c r="AI827" s="228"/>
      <c r="AJ827" s="228"/>
      <c r="AK827" s="228"/>
      <c r="AL827" s="228"/>
      <c r="AM827" s="228"/>
      <c r="AN827" s="228"/>
      <c r="AO827" s="228"/>
      <c r="AP827" s="228"/>
      <c r="AQ827" s="228"/>
    </row>
    <row r="828">
      <c r="A828" s="228"/>
      <c r="B828" s="228"/>
      <c r="C828" s="228"/>
      <c r="D828" s="228"/>
      <c r="E828" s="228"/>
      <c r="F828" s="228"/>
      <c r="G828" s="228"/>
      <c r="H828" s="228"/>
      <c r="I828" s="228"/>
      <c r="J828" s="228"/>
      <c r="K828" s="228"/>
      <c r="L828" s="228"/>
      <c r="M828" s="228"/>
      <c r="N828" s="228"/>
      <c r="O828" s="228"/>
      <c r="P828" s="228"/>
      <c r="Q828" s="228"/>
      <c r="R828" s="228"/>
      <c r="S828" s="228"/>
      <c r="T828" s="228"/>
      <c r="U828" s="228"/>
      <c r="V828" s="228"/>
      <c r="W828" s="228"/>
      <c r="X828" s="228"/>
      <c r="Y828" s="228"/>
      <c r="Z828" s="228"/>
      <c r="AA828" s="228"/>
      <c r="AB828" s="228"/>
      <c r="AC828" s="228"/>
      <c r="AD828" s="228"/>
      <c r="AE828" s="228"/>
      <c r="AF828" s="228"/>
      <c r="AG828" s="228"/>
      <c r="AH828" s="228"/>
      <c r="AI828" s="228"/>
      <c r="AJ828" s="228"/>
      <c r="AK828" s="228"/>
      <c r="AL828" s="228"/>
      <c r="AM828" s="228"/>
      <c r="AN828" s="228"/>
      <c r="AO828" s="228"/>
      <c r="AP828" s="228"/>
      <c r="AQ828" s="228"/>
    </row>
    <row r="829">
      <c r="A829" s="228"/>
      <c r="B829" s="228"/>
      <c r="C829" s="228"/>
      <c r="D829" s="228"/>
      <c r="E829" s="228"/>
      <c r="F829" s="228"/>
      <c r="G829" s="228"/>
      <c r="H829" s="228"/>
      <c r="I829" s="228"/>
      <c r="J829" s="228"/>
      <c r="K829" s="228"/>
      <c r="L829" s="228"/>
      <c r="M829" s="228"/>
      <c r="N829" s="228"/>
      <c r="O829" s="228"/>
      <c r="P829" s="228"/>
      <c r="Q829" s="228"/>
      <c r="R829" s="228"/>
      <c r="S829" s="228"/>
      <c r="T829" s="228"/>
      <c r="U829" s="228"/>
      <c r="V829" s="228"/>
      <c r="W829" s="228"/>
      <c r="X829" s="228"/>
      <c r="Y829" s="228"/>
      <c r="Z829" s="228"/>
      <c r="AA829" s="228"/>
      <c r="AB829" s="228"/>
      <c r="AC829" s="228"/>
      <c r="AD829" s="228"/>
      <c r="AE829" s="228"/>
      <c r="AF829" s="228"/>
      <c r="AG829" s="228"/>
      <c r="AH829" s="228"/>
      <c r="AI829" s="228"/>
      <c r="AJ829" s="228"/>
      <c r="AK829" s="228"/>
      <c r="AL829" s="228"/>
      <c r="AM829" s="228"/>
      <c r="AN829" s="228"/>
      <c r="AO829" s="228"/>
      <c r="AP829" s="228"/>
      <c r="AQ829" s="228"/>
    </row>
    <row r="830">
      <c r="A830" s="228"/>
      <c r="B830" s="228"/>
      <c r="C830" s="228"/>
      <c r="D830" s="228"/>
      <c r="E830" s="228"/>
      <c r="F830" s="228"/>
      <c r="G830" s="228"/>
      <c r="H830" s="228"/>
      <c r="I830" s="228"/>
      <c r="J830" s="228"/>
      <c r="K830" s="228"/>
      <c r="L830" s="228"/>
      <c r="M830" s="228"/>
      <c r="N830" s="228"/>
      <c r="O830" s="228"/>
      <c r="P830" s="228"/>
      <c r="Q830" s="228"/>
      <c r="R830" s="228"/>
      <c r="S830" s="228"/>
      <c r="T830" s="228"/>
      <c r="U830" s="228"/>
      <c r="V830" s="228"/>
      <c r="W830" s="228"/>
      <c r="X830" s="228"/>
      <c r="Y830" s="228"/>
      <c r="Z830" s="228"/>
      <c r="AA830" s="228"/>
      <c r="AB830" s="228"/>
      <c r="AC830" s="228"/>
      <c r="AD830" s="228"/>
      <c r="AE830" s="228"/>
      <c r="AF830" s="228"/>
      <c r="AG830" s="228"/>
      <c r="AH830" s="228"/>
      <c r="AI830" s="228"/>
      <c r="AJ830" s="228"/>
      <c r="AK830" s="228"/>
      <c r="AL830" s="228"/>
      <c r="AM830" s="228"/>
      <c r="AN830" s="228"/>
      <c r="AO830" s="228"/>
      <c r="AP830" s="228"/>
      <c r="AQ830" s="228"/>
    </row>
    <row r="831">
      <c r="A831" s="228"/>
      <c r="B831" s="228"/>
      <c r="C831" s="228"/>
      <c r="D831" s="228"/>
      <c r="E831" s="228"/>
      <c r="F831" s="228"/>
      <c r="G831" s="228"/>
      <c r="H831" s="228"/>
      <c r="I831" s="228"/>
      <c r="J831" s="228"/>
      <c r="K831" s="228"/>
      <c r="L831" s="228"/>
      <c r="M831" s="228"/>
      <c r="N831" s="228"/>
      <c r="O831" s="228"/>
      <c r="P831" s="228"/>
      <c r="Q831" s="228"/>
      <c r="R831" s="228"/>
      <c r="S831" s="228"/>
      <c r="T831" s="228"/>
      <c r="U831" s="228"/>
      <c r="V831" s="228"/>
      <c r="W831" s="228"/>
      <c r="X831" s="228"/>
      <c r="Y831" s="228"/>
      <c r="Z831" s="228"/>
      <c r="AA831" s="228"/>
      <c r="AB831" s="228"/>
      <c r="AC831" s="228"/>
      <c r="AD831" s="228"/>
      <c r="AE831" s="228"/>
      <c r="AF831" s="228"/>
      <c r="AG831" s="228"/>
      <c r="AH831" s="228"/>
      <c r="AI831" s="228"/>
      <c r="AJ831" s="228"/>
      <c r="AK831" s="228"/>
      <c r="AL831" s="228"/>
      <c r="AM831" s="228"/>
      <c r="AN831" s="228"/>
      <c r="AO831" s="228"/>
      <c r="AP831" s="228"/>
      <c r="AQ831" s="228"/>
    </row>
    <row r="832">
      <c r="A832" s="228"/>
      <c r="B832" s="228"/>
      <c r="C832" s="228"/>
      <c r="D832" s="228"/>
      <c r="E832" s="228"/>
      <c r="F832" s="228"/>
      <c r="G832" s="228"/>
      <c r="H832" s="228"/>
      <c r="I832" s="228"/>
      <c r="J832" s="228"/>
      <c r="K832" s="228"/>
      <c r="L832" s="228"/>
      <c r="M832" s="228"/>
      <c r="N832" s="228"/>
      <c r="O832" s="228"/>
      <c r="P832" s="228"/>
      <c r="Q832" s="228"/>
      <c r="R832" s="228"/>
      <c r="S832" s="228"/>
      <c r="T832" s="228"/>
      <c r="U832" s="228"/>
      <c r="V832" s="228"/>
      <c r="W832" s="228"/>
      <c r="X832" s="228"/>
      <c r="Y832" s="228"/>
      <c r="Z832" s="228"/>
      <c r="AA832" s="228"/>
      <c r="AB832" s="228"/>
      <c r="AC832" s="228"/>
      <c r="AD832" s="228"/>
      <c r="AE832" s="228"/>
      <c r="AF832" s="228"/>
      <c r="AG832" s="228"/>
      <c r="AH832" s="228"/>
      <c r="AI832" s="228"/>
      <c r="AJ832" s="228"/>
      <c r="AK832" s="228"/>
      <c r="AL832" s="228"/>
      <c r="AM832" s="228"/>
      <c r="AN832" s="228"/>
      <c r="AO832" s="228"/>
      <c r="AP832" s="228"/>
      <c r="AQ832" s="228"/>
    </row>
    <row r="833">
      <c r="A833" s="228"/>
      <c r="B833" s="228"/>
      <c r="C833" s="228"/>
      <c r="D833" s="228"/>
      <c r="E833" s="228"/>
      <c r="F833" s="228"/>
      <c r="G833" s="228"/>
      <c r="H833" s="228"/>
      <c r="I833" s="228"/>
      <c r="J833" s="228"/>
      <c r="K833" s="228"/>
      <c r="L833" s="228"/>
      <c r="M833" s="228"/>
      <c r="N833" s="228"/>
      <c r="O833" s="228"/>
      <c r="P833" s="228"/>
      <c r="Q833" s="228"/>
      <c r="R833" s="228"/>
      <c r="S833" s="228"/>
      <c r="T833" s="228"/>
      <c r="U833" s="228"/>
      <c r="V833" s="228"/>
      <c r="W833" s="228"/>
      <c r="X833" s="228"/>
      <c r="Y833" s="228"/>
      <c r="Z833" s="228"/>
      <c r="AA833" s="228"/>
      <c r="AB833" s="228"/>
      <c r="AC833" s="228"/>
      <c r="AD833" s="228"/>
      <c r="AE833" s="228"/>
      <c r="AF833" s="228"/>
      <c r="AG833" s="228"/>
      <c r="AH833" s="228"/>
      <c r="AI833" s="228"/>
      <c r="AJ833" s="228"/>
      <c r="AK833" s="228"/>
      <c r="AL833" s="228"/>
      <c r="AM833" s="228"/>
      <c r="AN833" s="228"/>
      <c r="AO833" s="228"/>
      <c r="AP833" s="228"/>
      <c r="AQ833" s="228"/>
    </row>
    <row r="834">
      <c r="A834" s="228"/>
      <c r="B834" s="228"/>
      <c r="C834" s="228"/>
      <c r="D834" s="228"/>
      <c r="E834" s="228"/>
      <c r="F834" s="228"/>
      <c r="G834" s="228"/>
      <c r="H834" s="228"/>
      <c r="I834" s="228"/>
      <c r="J834" s="228"/>
      <c r="K834" s="228"/>
      <c r="L834" s="228"/>
      <c r="M834" s="228"/>
      <c r="N834" s="228"/>
      <c r="O834" s="228"/>
      <c r="P834" s="228"/>
      <c r="Q834" s="228"/>
      <c r="R834" s="228"/>
      <c r="S834" s="228"/>
      <c r="T834" s="228"/>
      <c r="U834" s="228"/>
      <c r="V834" s="228"/>
      <c r="W834" s="228"/>
      <c r="X834" s="228"/>
      <c r="Y834" s="228"/>
      <c r="Z834" s="228"/>
      <c r="AA834" s="228"/>
      <c r="AB834" s="228"/>
      <c r="AC834" s="228"/>
      <c r="AD834" s="228"/>
      <c r="AE834" s="228"/>
      <c r="AF834" s="228"/>
      <c r="AG834" s="228"/>
      <c r="AH834" s="228"/>
      <c r="AI834" s="228"/>
      <c r="AJ834" s="228"/>
      <c r="AK834" s="228"/>
      <c r="AL834" s="228"/>
      <c r="AM834" s="228"/>
      <c r="AN834" s="228"/>
      <c r="AO834" s="228"/>
      <c r="AP834" s="228"/>
      <c r="AQ834" s="228"/>
    </row>
    <row r="835">
      <c r="A835" s="228"/>
      <c r="B835" s="228"/>
      <c r="C835" s="228"/>
      <c r="D835" s="228"/>
      <c r="E835" s="228"/>
      <c r="F835" s="228"/>
      <c r="G835" s="228"/>
      <c r="H835" s="228"/>
      <c r="I835" s="228"/>
      <c r="J835" s="228"/>
      <c r="K835" s="228"/>
      <c r="L835" s="228"/>
      <c r="M835" s="228"/>
      <c r="N835" s="228"/>
      <c r="O835" s="228"/>
      <c r="P835" s="228"/>
      <c r="Q835" s="228"/>
      <c r="R835" s="228"/>
      <c r="S835" s="228"/>
      <c r="T835" s="228"/>
      <c r="U835" s="228"/>
      <c r="V835" s="228"/>
      <c r="W835" s="228"/>
      <c r="X835" s="228"/>
      <c r="Y835" s="228"/>
      <c r="Z835" s="228"/>
      <c r="AA835" s="228"/>
      <c r="AB835" s="228"/>
      <c r="AC835" s="228"/>
      <c r="AD835" s="228"/>
      <c r="AE835" s="228"/>
      <c r="AF835" s="228"/>
      <c r="AG835" s="228"/>
      <c r="AH835" s="228"/>
      <c r="AI835" s="228"/>
      <c r="AJ835" s="228"/>
      <c r="AK835" s="228"/>
      <c r="AL835" s="228"/>
      <c r="AM835" s="228"/>
      <c r="AN835" s="228"/>
      <c r="AO835" s="228"/>
      <c r="AP835" s="228"/>
      <c r="AQ835" s="228"/>
    </row>
    <row r="836">
      <c r="A836" s="228"/>
      <c r="B836" s="228"/>
      <c r="C836" s="228"/>
      <c r="D836" s="228"/>
      <c r="E836" s="228"/>
      <c r="F836" s="228"/>
      <c r="G836" s="228"/>
      <c r="H836" s="228"/>
      <c r="I836" s="228"/>
      <c r="J836" s="228"/>
      <c r="K836" s="228"/>
      <c r="L836" s="228"/>
      <c r="M836" s="228"/>
      <c r="N836" s="228"/>
      <c r="O836" s="228"/>
      <c r="P836" s="228"/>
      <c r="Q836" s="228"/>
      <c r="R836" s="228"/>
      <c r="S836" s="228"/>
      <c r="T836" s="228"/>
      <c r="U836" s="228"/>
      <c r="V836" s="228"/>
      <c r="W836" s="228"/>
      <c r="X836" s="228"/>
      <c r="Y836" s="228"/>
      <c r="Z836" s="228"/>
      <c r="AA836" s="228"/>
      <c r="AB836" s="228"/>
      <c r="AC836" s="228"/>
      <c r="AD836" s="228"/>
      <c r="AE836" s="228"/>
      <c r="AF836" s="228"/>
      <c r="AG836" s="228"/>
      <c r="AH836" s="228"/>
      <c r="AI836" s="228"/>
      <c r="AJ836" s="228"/>
      <c r="AK836" s="228"/>
      <c r="AL836" s="228"/>
      <c r="AM836" s="228"/>
      <c r="AN836" s="228"/>
      <c r="AO836" s="228"/>
      <c r="AP836" s="228"/>
      <c r="AQ836" s="228"/>
    </row>
    <row r="837">
      <c r="A837" s="228"/>
      <c r="B837" s="228"/>
      <c r="C837" s="228"/>
      <c r="D837" s="228"/>
      <c r="E837" s="228"/>
      <c r="F837" s="228"/>
      <c r="G837" s="228"/>
      <c r="H837" s="228"/>
      <c r="I837" s="228"/>
      <c r="J837" s="228"/>
      <c r="K837" s="228"/>
      <c r="L837" s="228"/>
      <c r="M837" s="228"/>
      <c r="N837" s="228"/>
      <c r="O837" s="228"/>
      <c r="P837" s="228"/>
      <c r="Q837" s="228"/>
      <c r="R837" s="228"/>
      <c r="S837" s="228"/>
      <c r="T837" s="228"/>
      <c r="U837" s="228"/>
      <c r="V837" s="228"/>
      <c r="W837" s="228"/>
      <c r="X837" s="228"/>
      <c r="Y837" s="228"/>
      <c r="Z837" s="228"/>
      <c r="AA837" s="228"/>
      <c r="AB837" s="228"/>
      <c r="AC837" s="228"/>
      <c r="AD837" s="228"/>
      <c r="AE837" s="228"/>
      <c r="AF837" s="228"/>
      <c r="AG837" s="228"/>
      <c r="AH837" s="228"/>
      <c r="AI837" s="228"/>
      <c r="AJ837" s="228"/>
      <c r="AK837" s="228"/>
      <c r="AL837" s="228"/>
      <c r="AM837" s="228"/>
      <c r="AN837" s="228"/>
      <c r="AO837" s="228"/>
      <c r="AP837" s="228"/>
      <c r="AQ837" s="228"/>
    </row>
    <row r="838">
      <c r="A838" s="228"/>
      <c r="B838" s="228"/>
      <c r="C838" s="228"/>
      <c r="D838" s="228"/>
      <c r="E838" s="228"/>
      <c r="F838" s="228"/>
      <c r="G838" s="228"/>
      <c r="H838" s="228"/>
      <c r="I838" s="228"/>
      <c r="J838" s="228"/>
      <c r="K838" s="228"/>
      <c r="L838" s="228"/>
      <c r="M838" s="228"/>
      <c r="N838" s="228"/>
      <c r="O838" s="228"/>
      <c r="P838" s="228"/>
      <c r="Q838" s="228"/>
      <c r="R838" s="228"/>
      <c r="S838" s="228"/>
      <c r="T838" s="228"/>
      <c r="U838" s="228"/>
      <c r="V838" s="228"/>
      <c r="W838" s="228"/>
      <c r="X838" s="228"/>
      <c r="Y838" s="228"/>
      <c r="Z838" s="228"/>
      <c r="AA838" s="228"/>
      <c r="AB838" s="228"/>
      <c r="AC838" s="228"/>
      <c r="AD838" s="228"/>
      <c r="AE838" s="228"/>
      <c r="AF838" s="228"/>
      <c r="AG838" s="228"/>
      <c r="AH838" s="228"/>
      <c r="AI838" s="228"/>
      <c r="AJ838" s="228"/>
      <c r="AK838" s="228"/>
      <c r="AL838" s="228"/>
      <c r="AM838" s="228"/>
      <c r="AN838" s="228"/>
      <c r="AO838" s="228"/>
      <c r="AP838" s="228"/>
      <c r="AQ838" s="228"/>
    </row>
    <row r="839">
      <c r="A839" s="228"/>
      <c r="B839" s="228"/>
      <c r="C839" s="228"/>
      <c r="D839" s="228"/>
      <c r="E839" s="228"/>
      <c r="F839" s="228"/>
      <c r="G839" s="228"/>
      <c r="H839" s="228"/>
      <c r="I839" s="228"/>
      <c r="J839" s="228"/>
      <c r="K839" s="228"/>
      <c r="L839" s="228"/>
      <c r="M839" s="228"/>
      <c r="N839" s="228"/>
      <c r="O839" s="228"/>
      <c r="P839" s="228"/>
      <c r="Q839" s="228"/>
      <c r="R839" s="228"/>
      <c r="S839" s="228"/>
      <c r="T839" s="228"/>
      <c r="U839" s="228"/>
      <c r="V839" s="228"/>
      <c r="W839" s="228"/>
      <c r="X839" s="228"/>
      <c r="Y839" s="228"/>
      <c r="Z839" s="228"/>
      <c r="AA839" s="228"/>
      <c r="AB839" s="228"/>
      <c r="AC839" s="228"/>
      <c r="AD839" s="228"/>
      <c r="AE839" s="228"/>
      <c r="AF839" s="228"/>
      <c r="AG839" s="228"/>
      <c r="AH839" s="228"/>
      <c r="AI839" s="228"/>
      <c r="AJ839" s="228"/>
      <c r="AK839" s="228"/>
      <c r="AL839" s="228"/>
      <c r="AM839" s="228"/>
      <c r="AN839" s="228"/>
      <c r="AO839" s="228"/>
      <c r="AP839" s="228"/>
      <c r="AQ839" s="228"/>
    </row>
    <row r="840">
      <c r="A840" s="228"/>
      <c r="B840" s="228"/>
      <c r="C840" s="228"/>
      <c r="D840" s="228"/>
      <c r="E840" s="228"/>
      <c r="F840" s="228"/>
      <c r="G840" s="228"/>
      <c r="H840" s="228"/>
      <c r="I840" s="228"/>
      <c r="J840" s="228"/>
      <c r="K840" s="228"/>
      <c r="L840" s="228"/>
      <c r="M840" s="228"/>
      <c r="N840" s="228"/>
      <c r="O840" s="228"/>
      <c r="P840" s="228"/>
      <c r="Q840" s="228"/>
      <c r="R840" s="228"/>
      <c r="S840" s="228"/>
      <c r="T840" s="228"/>
      <c r="U840" s="228"/>
      <c r="V840" s="228"/>
      <c r="W840" s="228"/>
      <c r="X840" s="228"/>
      <c r="Y840" s="228"/>
      <c r="Z840" s="228"/>
      <c r="AA840" s="228"/>
      <c r="AB840" s="228"/>
      <c r="AC840" s="228"/>
      <c r="AD840" s="228"/>
      <c r="AE840" s="228"/>
      <c r="AF840" s="228"/>
      <c r="AG840" s="228"/>
      <c r="AH840" s="228"/>
      <c r="AI840" s="228"/>
      <c r="AJ840" s="228"/>
      <c r="AK840" s="228"/>
      <c r="AL840" s="228"/>
      <c r="AM840" s="228"/>
      <c r="AN840" s="228"/>
      <c r="AO840" s="228"/>
      <c r="AP840" s="228"/>
      <c r="AQ840" s="228"/>
    </row>
    <row r="841">
      <c r="A841" s="228"/>
      <c r="B841" s="228"/>
      <c r="C841" s="228"/>
      <c r="D841" s="228"/>
      <c r="E841" s="228"/>
      <c r="F841" s="228"/>
      <c r="G841" s="228"/>
      <c r="H841" s="228"/>
      <c r="I841" s="228"/>
      <c r="J841" s="228"/>
      <c r="K841" s="228"/>
      <c r="L841" s="228"/>
      <c r="M841" s="228"/>
      <c r="N841" s="228"/>
      <c r="O841" s="228"/>
      <c r="P841" s="228"/>
      <c r="Q841" s="228"/>
      <c r="R841" s="228"/>
      <c r="S841" s="228"/>
      <c r="T841" s="228"/>
      <c r="U841" s="228"/>
      <c r="V841" s="228"/>
      <c r="W841" s="228"/>
      <c r="X841" s="228"/>
      <c r="Y841" s="228"/>
      <c r="Z841" s="228"/>
      <c r="AA841" s="228"/>
      <c r="AB841" s="228"/>
      <c r="AC841" s="228"/>
      <c r="AD841" s="228"/>
      <c r="AE841" s="228"/>
      <c r="AF841" s="228"/>
      <c r="AG841" s="228"/>
      <c r="AH841" s="228"/>
      <c r="AI841" s="228"/>
      <c r="AJ841" s="228"/>
      <c r="AK841" s="228"/>
      <c r="AL841" s="228"/>
      <c r="AM841" s="228"/>
      <c r="AN841" s="228"/>
      <c r="AO841" s="228"/>
      <c r="AP841" s="228"/>
      <c r="AQ841" s="228"/>
    </row>
    <row r="842">
      <c r="A842" s="228"/>
      <c r="B842" s="228"/>
      <c r="C842" s="228"/>
      <c r="D842" s="228"/>
      <c r="E842" s="228"/>
      <c r="F842" s="228"/>
      <c r="G842" s="228"/>
      <c r="H842" s="228"/>
      <c r="I842" s="228"/>
      <c r="J842" s="228"/>
      <c r="K842" s="228"/>
      <c r="L842" s="228"/>
      <c r="M842" s="228"/>
      <c r="N842" s="228"/>
      <c r="O842" s="228"/>
      <c r="P842" s="228"/>
      <c r="Q842" s="228"/>
      <c r="R842" s="228"/>
      <c r="S842" s="228"/>
      <c r="T842" s="228"/>
      <c r="U842" s="228"/>
      <c r="V842" s="228"/>
      <c r="W842" s="228"/>
      <c r="X842" s="228"/>
      <c r="Y842" s="228"/>
      <c r="Z842" s="228"/>
      <c r="AA842" s="228"/>
      <c r="AB842" s="228"/>
      <c r="AC842" s="228"/>
      <c r="AD842" s="228"/>
      <c r="AE842" s="228"/>
      <c r="AF842" s="228"/>
      <c r="AG842" s="228"/>
      <c r="AH842" s="228"/>
      <c r="AI842" s="228"/>
      <c r="AJ842" s="228"/>
      <c r="AK842" s="228"/>
      <c r="AL842" s="228"/>
      <c r="AM842" s="228"/>
      <c r="AN842" s="228"/>
      <c r="AO842" s="228"/>
      <c r="AP842" s="228"/>
      <c r="AQ842" s="228"/>
    </row>
    <row r="843">
      <c r="A843" s="228"/>
      <c r="B843" s="228"/>
      <c r="C843" s="228"/>
      <c r="D843" s="228"/>
      <c r="E843" s="228"/>
      <c r="F843" s="228"/>
      <c r="G843" s="228"/>
      <c r="H843" s="228"/>
      <c r="I843" s="228"/>
      <c r="J843" s="228"/>
      <c r="K843" s="228"/>
      <c r="L843" s="228"/>
      <c r="M843" s="228"/>
      <c r="N843" s="228"/>
      <c r="O843" s="228"/>
      <c r="P843" s="228"/>
      <c r="Q843" s="228"/>
      <c r="R843" s="228"/>
      <c r="S843" s="228"/>
      <c r="T843" s="228"/>
      <c r="U843" s="228"/>
      <c r="V843" s="228"/>
      <c r="W843" s="228"/>
      <c r="X843" s="228"/>
      <c r="Y843" s="228"/>
      <c r="Z843" s="228"/>
      <c r="AA843" s="228"/>
      <c r="AB843" s="228"/>
      <c r="AC843" s="228"/>
      <c r="AD843" s="228"/>
      <c r="AE843" s="228"/>
      <c r="AF843" s="228"/>
      <c r="AG843" s="228"/>
      <c r="AH843" s="228"/>
      <c r="AI843" s="228"/>
      <c r="AJ843" s="228"/>
      <c r="AK843" s="228"/>
      <c r="AL843" s="228"/>
      <c r="AM843" s="228"/>
      <c r="AN843" s="228"/>
      <c r="AO843" s="228"/>
      <c r="AP843" s="228"/>
      <c r="AQ843" s="228"/>
    </row>
    <row r="844">
      <c r="A844" s="228"/>
      <c r="B844" s="228"/>
      <c r="C844" s="228"/>
      <c r="D844" s="228"/>
      <c r="E844" s="228"/>
      <c r="F844" s="228"/>
      <c r="G844" s="228"/>
      <c r="H844" s="228"/>
      <c r="I844" s="228"/>
      <c r="J844" s="228"/>
      <c r="K844" s="228"/>
      <c r="L844" s="228"/>
      <c r="M844" s="228"/>
      <c r="N844" s="228"/>
      <c r="O844" s="228"/>
      <c r="P844" s="228"/>
      <c r="Q844" s="228"/>
      <c r="R844" s="228"/>
      <c r="S844" s="228"/>
      <c r="T844" s="228"/>
      <c r="U844" s="228"/>
      <c r="V844" s="228"/>
      <c r="W844" s="228"/>
      <c r="X844" s="228"/>
      <c r="Y844" s="228"/>
      <c r="Z844" s="228"/>
      <c r="AA844" s="228"/>
      <c r="AB844" s="228"/>
      <c r="AC844" s="228"/>
      <c r="AD844" s="228"/>
      <c r="AE844" s="228"/>
      <c r="AF844" s="228"/>
      <c r="AG844" s="228"/>
      <c r="AH844" s="228"/>
      <c r="AI844" s="228"/>
      <c r="AJ844" s="228"/>
      <c r="AK844" s="228"/>
      <c r="AL844" s="228"/>
      <c r="AM844" s="228"/>
      <c r="AN844" s="228"/>
      <c r="AO844" s="228"/>
      <c r="AP844" s="228"/>
      <c r="AQ844" s="228"/>
    </row>
    <row r="845">
      <c r="A845" s="228"/>
      <c r="B845" s="228"/>
      <c r="C845" s="228"/>
      <c r="D845" s="228"/>
      <c r="E845" s="228"/>
      <c r="F845" s="228"/>
      <c r="G845" s="228"/>
      <c r="H845" s="228"/>
      <c r="I845" s="228"/>
      <c r="J845" s="228"/>
      <c r="K845" s="228"/>
      <c r="L845" s="228"/>
      <c r="M845" s="228"/>
      <c r="N845" s="228"/>
      <c r="O845" s="228"/>
      <c r="P845" s="228"/>
      <c r="Q845" s="228"/>
      <c r="R845" s="228"/>
      <c r="S845" s="228"/>
      <c r="T845" s="228"/>
      <c r="U845" s="228"/>
      <c r="V845" s="228"/>
      <c r="W845" s="228"/>
      <c r="X845" s="228"/>
      <c r="Y845" s="228"/>
      <c r="Z845" s="228"/>
      <c r="AA845" s="228"/>
      <c r="AB845" s="228"/>
      <c r="AC845" s="228"/>
      <c r="AD845" s="228"/>
      <c r="AE845" s="228"/>
      <c r="AF845" s="228"/>
      <c r="AG845" s="228"/>
      <c r="AH845" s="228"/>
      <c r="AI845" s="228"/>
      <c r="AJ845" s="228"/>
      <c r="AK845" s="228"/>
      <c r="AL845" s="228"/>
      <c r="AM845" s="228"/>
      <c r="AN845" s="228"/>
      <c r="AO845" s="228"/>
      <c r="AP845" s="228"/>
      <c r="AQ845" s="228"/>
    </row>
    <row r="846">
      <c r="A846" s="228"/>
      <c r="B846" s="228"/>
      <c r="C846" s="228"/>
      <c r="D846" s="228"/>
      <c r="E846" s="228"/>
      <c r="F846" s="228"/>
      <c r="G846" s="228"/>
      <c r="H846" s="228"/>
      <c r="I846" s="228"/>
      <c r="J846" s="228"/>
      <c r="K846" s="228"/>
      <c r="L846" s="228"/>
      <c r="M846" s="228"/>
      <c r="N846" s="228"/>
      <c r="O846" s="228"/>
      <c r="P846" s="228"/>
      <c r="Q846" s="228"/>
      <c r="R846" s="228"/>
      <c r="S846" s="228"/>
      <c r="T846" s="228"/>
      <c r="U846" s="228"/>
      <c r="V846" s="228"/>
      <c r="W846" s="228"/>
      <c r="X846" s="228"/>
      <c r="Y846" s="228"/>
      <c r="Z846" s="228"/>
      <c r="AA846" s="228"/>
      <c r="AB846" s="228"/>
      <c r="AC846" s="228"/>
      <c r="AD846" s="228"/>
      <c r="AE846" s="228"/>
      <c r="AF846" s="228"/>
      <c r="AG846" s="228"/>
      <c r="AH846" s="228"/>
      <c r="AI846" s="228"/>
      <c r="AJ846" s="228"/>
      <c r="AK846" s="228"/>
      <c r="AL846" s="228"/>
      <c r="AM846" s="228"/>
      <c r="AN846" s="228"/>
      <c r="AO846" s="228"/>
      <c r="AP846" s="228"/>
      <c r="AQ846" s="228"/>
    </row>
    <row r="847">
      <c r="A847" s="228"/>
      <c r="B847" s="228"/>
      <c r="C847" s="228"/>
      <c r="D847" s="228"/>
      <c r="E847" s="228"/>
      <c r="F847" s="228"/>
      <c r="G847" s="228"/>
      <c r="H847" s="228"/>
      <c r="I847" s="228"/>
      <c r="J847" s="228"/>
      <c r="K847" s="228"/>
      <c r="L847" s="228"/>
      <c r="M847" s="228"/>
      <c r="N847" s="228"/>
      <c r="O847" s="228"/>
      <c r="P847" s="228"/>
      <c r="Q847" s="228"/>
      <c r="R847" s="228"/>
      <c r="S847" s="228"/>
      <c r="T847" s="228"/>
      <c r="U847" s="228"/>
      <c r="V847" s="228"/>
      <c r="W847" s="228"/>
      <c r="X847" s="228"/>
      <c r="Y847" s="228"/>
      <c r="Z847" s="228"/>
      <c r="AA847" s="228"/>
      <c r="AB847" s="228"/>
      <c r="AC847" s="228"/>
      <c r="AD847" s="228"/>
      <c r="AE847" s="228"/>
      <c r="AF847" s="228"/>
      <c r="AG847" s="228"/>
      <c r="AH847" s="228"/>
      <c r="AI847" s="228"/>
      <c r="AJ847" s="228"/>
      <c r="AK847" s="228"/>
      <c r="AL847" s="228"/>
      <c r="AM847" s="228"/>
      <c r="AN847" s="228"/>
      <c r="AO847" s="228"/>
      <c r="AP847" s="228"/>
      <c r="AQ847" s="228"/>
    </row>
    <row r="848">
      <c r="A848" s="228"/>
      <c r="B848" s="228"/>
      <c r="C848" s="228"/>
      <c r="D848" s="228"/>
      <c r="E848" s="228"/>
      <c r="F848" s="228"/>
      <c r="G848" s="228"/>
      <c r="H848" s="228"/>
      <c r="I848" s="228"/>
      <c r="J848" s="228"/>
      <c r="K848" s="228"/>
      <c r="L848" s="228"/>
      <c r="M848" s="228"/>
      <c r="N848" s="228"/>
      <c r="O848" s="228"/>
      <c r="P848" s="228"/>
      <c r="Q848" s="228"/>
      <c r="R848" s="228"/>
      <c r="S848" s="228"/>
      <c r="T848" s="228"/>
      <c r="U848" s="228"/>
      <c r="V848" s="228"/>
      <c r="W848" s="228"/>
      <c r="X848" s="228"/>
      <c r="Y848" s="228"/>
      <c r="Z848" s="228"/>
      <c r="AA848" s="228"/>
      <c r="AB848" s="228"/>
      <c r="AC848" s="228"/>
      <c r="AD848" s="228"/>
      <c r="AE848" s="228"/>
      <c r="AF848" s="228"/>
      <c r="AG848" s="228"/>
      <c r="AH848" s="228"/>
      <c r="AI848" s="228"/>
      <c r="AJ848" s="228"/>
      <c r="AK848" s="228"/>
      <c r="AL848" s="228"/>
      <c r="AM848" s="228"/>
      <c r="AN848" s="228"/>
      <c r="AO848" s="228"/>
      <c r="AP848" s="228"/>
      <c r="AQ848" s="228"/>
    </row>
    <row r="849">
      <c r="A849" s="228"/>
      <c r="B849" s="228"/>
      <c r="C849" s="228"/>
      <c r="D849" s="228"/>
      <c r="E849" s="228"/>
      <c r="F849" s="228"/>
      <c r="G849" s="228"/>
      <c r="H849" s="228"/>
      <c r="I849" s="228"/>
      <c r="J849" s="228"/>
      <c r="K849" s="228"/>
      <c r="L849" s="228"/>
      <c r="M849" s="228"/>
      <c r="N849" s="228"/>
      <c r="O849" s="228"/>
      <c r="P849" s="228"/>
      <c r="Q849" s="228"/>
      <c r="R849" s="228"/>
      <c r="S849" s="228"/>
      <c r="T849" s="228"/>
      <c r="U849" s="228"/>
      <c r="V849" s="228"/>
      <c r="W849" s="228"/>
      <c r="X849" s="228"/>
      <c r="Y849" s="228"/>
      <c r="Z849" s="228"/>
      <c r="AA849" s="228"/>
      <c r="AB849" s="228"/>
      <c r="AC849" s="228"/>
      <c r="AD849" s="228"/>
      <c r="AE849" s="228"/>
      <c r="AF849" s="228"/>
      <c r="AG849" s="228"/>
      <c r="AH849" s="228"/>
      <c r="AI849" s="228"/>
      <c r="AJ849" s="228"/>
      <c r="AK849" s="228"/>
      <c r="AL849" s="228"/>
      <c r="AM849" s="228"/>
      <c r="AN849" s="228"/>
      <c r="AO849" s="228"/>
      <c r="AP849" s="228"/>
      <c r="AQ849" s="228"/>
    </row>
    <row r="850">
      <c r="A850" s="228"/>
      <c r="B850" s="228"/>
      <c r="C850" s="228"/>
      <c r="D850" s="228"/>
      <c r="E850" s="228"/>
      <c r="F850" s="228"/>
      <c r="G850" s="228"/>
      <c r="H850" s="228"/>
      <c r="I850" s="228"/>
      <c r="J850" s="228"/>
      <c r="K850" s="228"/>
      <c r="L850" s="228"/>
      <c r="M850" s="228"/>
      <c r="N850" s="228"/>
      <c r="O850" s="228"/>
      <c r="P850" s="228"/>
      <c r="Q850" s="228"/>
      <c r="R850" s="228"/>
      <c r="S850" s="228"/>
      <c r="T850" s="228"/>
      <c r="U850" s="228"/>
      <c r="V850" s="228"/>
      <c r="W850" s="228"/>
      <c r="X850" s="228"/>
      <c r="Y850" s="228"/>
      <c r="Z850" s="228"/>
      <c r="AA850" s="228"/>
      <c r="AB850" s="228"/>
      <c r="AC850" s="228"/>
      <c r="AD850" s="228"/>
      <c r="AE850" s="228"/>
      <c r="AF850" s="228"/>
      <c r="AG850" s="228"/>
      <c r="AH850" s="228"/>
      <c r="AI850" s="228"/>
      <c r="AJ850" s="228"/>
      <c r="AK850" s="228"/>
      <c r="AL850" s="228"/>
      <c r="AM850" s="228"/>
      <c r="AN850" s="228"/>
      <c r="AO850" s="228"/>
      <c r="AP850" s="228"/>
      <c r="AQ850" s="228"/>
    </row>
    <row r="851">
      <c r="A851" s="228"/>
      <c r="B851" s="228"/>
      <c r="C851" s="228"/>
      <c r="D851" s="228"/>
      <c r="E851" s="228"/>
      <c r="F851" s="228"/>
      <c r="G851" s="228"/>
      <c r="H851" s="228"/>
      <c r="I851" s="228"/>
      <c r="J851" s="228"/>
      <c r="K851" s="228"/>
      <c r="L851" s="228"/>
      <c r="M851" s="228"/>
      <c r="N851" s="228"/>
      <c r="O851" s="228"/>
      <c r="P851" s="228"/>
      <c r="Q851" s="228"/>
      <c r="R851" s="228"/>
      <c r="S851" s="228"/>
      <c r="T851" s="228"/>
      <c r="U851" s="228"/>
      <c r="V851" s="228"/>
      <c r="W851" s="228"/>
      <c r="X851" s="228"/>
      <c r="Y851" s="228"/>
      <c r="Z851" s="228"/>
      <c r="AA851" s="228"/>
      <c r="AB851" s="228"/>
      <c r="AC851" s="228"/>
      <c r="AD851" s="228"/>
      <c r="AE851" s="228"/>
      <c r="AF851" s="228"/>
      <c r="AG851" s="228"/>
      <c r="AH851" s="228"/>
      <c r="AI851" s="228"/>
      <c r="AJ851" s="228"/>
      <c r="AK851" s="228"/>
      <c r="AL851" s="228"/>
      <c r="AM851" s="228"/>
      <c r="AN851" s="228"/>
      <c r="AO851" s="228"/>
      <c r="AP851" s="228"/>
      <c r="AQ851" s="228"/>
    </row>
    <row r="852">
      <c r="A852" s="228"/>
      <c r="B852" s="228"/>
      <c r="C852" s="228"/>
      <c r="D852" s="228"/>
      <c r="E852" s="228"/>
      <c r="F852" s="228"/>
      <c r="G852" s="228"/>
      <c r="H852" s="228"/>
      <c r="I852" s="228"/>
      <c r="J852" s="228"/>
      <c r="K852" s="228"/>
      <c r="L852" s="228"/>
      <c r="M852" s="228"/>
      <c r="N852" s="228"/>
      <c r="O852" s="228"/>
      <c r="P852" s="228"/>
      <c r="Q852" s="228"/>
      <c r="R852" s="228"/>
      <c r="S852" s="228"/>
      <c r="T852" s="228"/>
      <c r="U852" s="228"/>
      <c r="V852" s="228"/>
      <c r="W852" s="228"/>
      <c r="X852" s="228"/>
      <c r="Y852" s="228"/>
      <c r="Z852" s="228"/>
      <c r="AA852" s="228"/>
      <c r="AB852" s="228"/>
      <c r="AC852" s="228"/>
      <c r="AD852" s="228"/>
      <c r="AE852" s="228"/>
      <c r="AF852" s="228"/>
      <c r="AG852" s="228"/>
      <c r="AH852" s="228"/>
      <c r="AI852" s="228"/>
      <c r="AJ852" s="228"/>
      <c r="AK852" s="228"/>
      <c r="AL852" s="228"/>
      <c r="AM852" s="228"/>
      <c r="AN852" s="228"/>
      <c r="AO852" s="228"/>
      <c r="AP852" s="228"/>
      <c r="AQ852" s="228"/>
    </row>
    <row r="853">
      <c r="A853" s="228"/>
      <c r="B853" s="228"/>
      <c r="C853" s="228"/>
      <c r="D853" s="228"/>
      <c r="E853" s="228"/>
      <c r="F853" s="228"/>
      <c r="G853" s="228"/>
      <c r="H853" s="228"/>
      <c r="I853" s="228"/>
      <c r="J853" s="228"/>
      <c r="K853" s="228"/>
      <c r="L853" s="228"/>
      <c r="M853" s="228"/>
      <c r="N853" s="228"/>
      <c r="O853" s="228"/>
      <c r="P853" s="228"/>
      <c r="Q853" s="228"/>
      <c r="R853" s="228"/>
      <c r="S853" s="228"/>
      <c r="T853" s="228"/>
      <c r="U853" s="228"/>
      <c r="V853" s="228"/>
      <c r="W853" s="228"/>
      <c r="X853" s="228"/>
      <c r="Y853" s="228"/>
      <c r="Z853" s="228"/>
      <c r="AA853" s="228"/>
      <c r="AB853" s="228"/>
      <c r="AC853" s="228"/>
      <c r="AD853" s="228"/>
      <c r="AE853" s="228"/>
      <c r="AF853" s="228"/>
      <c r="AG853" s="228"/>
      <c r="AH853" s="228"/>
      <c r="AI853" s="228"/>
      <c r="AJ853" s="228"/>
      <c r="AK853" s="228"/>
      <c r="AL853" s="228"/>
      <c r="AM853" s="228"/>
      <c r="AN853" s="228"/>
      <c r="AO853" s="228"/>
      <c r="AP853" s="228"/>
      <c r="AQ853" s="228"/>
    </row>
    <row r="854">
      <c r="A854" s="228"/>
      <c r="B854" s="228"/>
      <c r="C854" s="228"/>
      <c r="D854" s="228"/>
      <c r="E854" s="228"/>
      <c r="F854" s="228"/>
      <c r="G854" s="228"/>
      <c r="H854" s="228"/>
      <c r="I854" s="228"/>
      <c r="J854" s="228"/>
      <c r="K854" s="228"/>
      <c r="L854" s="228"/>
      <c r="M854" s="228"/>
      <c r="N854" s="228"/>
      <c r="O854" s="228"/>
      <c r="P854" s="228"/>
      <c r="Q854" s="228"/>
      <c r="R854" s="228"/>
      <c r="S854" s="228"/>
      <c r="T854" s="228"/>
      <c r="U854" s="228"/>
      <c r="V854" s="228"/>
      <c r="W854" s="228"/>
      <c r="X854" s="228"/>
      <c r="Y854" s="228"/>
      <c r="Z854" s="228"/>
      <c r="AA854" s="228"/>
      <c r="AB854" s="228"/>
      <c r="AC854" s="228"/>
      <c r="AD854" s="228"/>
      <c r="AE854" s="228"/>
      <c r="AF854" s="228"/>
      <c r="AG854" s="228"/>
      <c r="AH854" s="228"/>
      <c r="AI854" s="228"/>
      <c r="AJ854" s="228"/>
      <c r="AK854" s="228"/>
      <c r="AL854" s="228"/>
      <c r="AM854" s="228"/>
      <c r="AN854" s="228"/>
      <c r="AO854" s="228"/>
      <c r="AP854" s="228"/>
      <c r="AQ854" s="228"/>
    </row>
    <row r="855">
      <c r="A855" s="228"/>
      <c r="B855" s="228"/>
      <c r="C855" s="228"/>
      <c r="D855" s="228"/>
      <c r="E855" s="228"/>
      <c r="F855" s="228"/>
      <c r="G855" s="228"/>
      <c r="H855" s="228"/>
      <c r="I855" s="228"/>
      <c r="J855" s="228"/>
      <c r="K855" s="228"/>
      <c r="L855" s="228"/>
      <c r="M855" s="228"/>
      <c r="N855" s="228"/>
      <c r="O855" s="228"/>
      <c r="P855" s="228"/>
      <c r="Q855" s="228"/>
      <c r="R855" s="228"/>
      <c r="S855" s="228"/>
      <c r="T855" s="228"/>
      <c r="U855" s="228"/>
      <c r="V855" s="228"/>
      <c r="W855" s="228"/>
      <c r="X855" s="228"/>
      <c r="Y855" s="228"/>
      <c r="Z855" s="228"/>
      <c r="AA855" s="228"/>
      <c r="AB855" s="228"/>
      <c r="AC855" s="228"/>
      <c r="AD855" s="228"/>
      <c r="AE855" s="228"/>
      <c r="AF855" s="228"/>
      <c r="AG855" s="228"/>
      <c r="AH855" s="228"/>
      <c r="AI855" s="228"/>
      <c r="AJ855" s="228"/>
      <c r="AK855" s="228"/>
      <c r="AL855" s="228"/>
      <c r="AM855" s="228"/>
      <c r="AN855" s="228"/>
      <c r="AO855" s="228"/>
      <c r="AP855" s="228"/>
      <c r="AQ855" s="228"/>
    </row>
    <row r="856">
      <c r="A856" s="228"/>
      <c r="B856" s="228"/>
      <c r="C856" s="228"/>
      <c r="D856" s="228"/>
      <c r="E856" s="228"/>
      <c r="F856" s="228"/>
      <c r="G856" s="228"/>
      <c r="H856" s="228"/>
      <c r="I856" s="228"/>
      <c r="J856" s="228"/>
      <c r="K856" s="228"/>
      <c r="L856" s="228"/>
      <c r="M856" s="228"/>
      <c r="N856" s="228"/>
      <c r="O856" s="228"/>
      <c r="P856" s="228"/>
      <c r="Q856" s="228"/>
      <c r="R856" s="228"/>
      <c r="S856" s="228"/>
      <c r="T856" s="228"/>
      <c r="U856" s="228"/>
      <c r="V856" s="228"/>
      <c r="W856" s="228"/>
      <c r="X856" s="228"/>
      <c r="Y856" s="228"/>
      <c r="Z856" s="228"/>
      <c r="AA856" s="228"/>
      <c r="AB856" s="228"/>
      <c r="AC856" s="228"/>
      <c r="AD856" s="228"/>
      <c r="AE856" s="228"/>
      <c r="AF856" s="228"/>
      <c r="AG856" s="228"/>
      <c r="AH856" s="228"/>
      <c r="AI856" s="228"/>
      <c r="AJ856" s="228"/>
      <c r="AK856" s="228"/>
      <c r="AL856" s="228"/>
      <c r="AM856" s="228"/>
      <c r="AN856" s="228"/>
      <c r="AO856" s="228"/>
      <c r="AP856" s="228"/>
      <c r="AQ856" s="228"/>
    </row>
    <row r="857">
      <c r="A857" s="228"/>
      <c r="B857" s="228"/>
      <c r="C857" s="228"/>
      <c r="D857" s="228"/>
      <c r="E857" s="228"/>
      <c r="F857" s="228"/>
      <c r="G857" s="228"/>
      <c r="H857" s="228"/>
      <c r="I857" s="228"/>
      <c r="J857" s="228"/>
      <c r="K857" s="228"/>
      <c r="L857" s="228"/>
      <c r="M857" s="228"/>
      <c r="N857" s="228"/>
      <c r="O857" s="228"/>
      <c r="P857" s="228"/>
      <c r="Q857" s="228"/>
      <c r="R857" s="228"/>
      <c r="S857" s="228"/>
      <c r="T857" s="228"/>
      <c r="U857" s="228"/>
      <c r="V857" s="228"/>
      <c r="W857" s="228"/>
      <c r="X857" s="228"/>
      <c r="Y857" s="228"/>
      <c r="Z857" s="228"/>
      <c r="AA857" s="228"/>
      <c r="AB857" s="228"/>
      <c r="AC857" s="228"/>
      <c r="AD857" s="228"/>
      <c r="AE857" s="228"/>
      <c r="AF857" s="228"/>
      <c r="AG857" s="228"/>
      <c r="AH857" s="228"/>
      <c r="AI857" s="228"/>
      <c r="AJ857" s="228"/>
      <c r="AK857" s="228"/>
      <c r="AL857" s="228"/>
      <c r="AM857" s="228"/>
      <c r="AN857" s="228"/>
      <c r="AO857" s="228"/>
      <c r="AP857" s="228"/>
      <c r="AQ857" s="228"/>
    </row>
    <row r="858">
      <c r="A858" s="228"/>
      <c r="B858" s="228"/>
      <c r="C858" s="228"/>
      <c r="D858" s="228"/>
      <c r="E858" s="228"/>
      <c r="F858" s="228"/>
      <c r="G858" s="228"/>
      <c r="H858" s="228"/>
      <c r="I858" s="228"/>
      <c r="J858" s="228"/>
      <c r="K858" s="228"/>
      <c r="L858" s="228"/>
      <c r="M858" s="228"/>
      <c r="N858" s="228"/>
      <c r="O858" s="228"/>
      <c r="P858" s="228"/>
      <c r="Q858" s="228"/>
      <c r="R858" s="228"/>
      <c r="S858" s="228"/>
      <c r="T858" s="228"/>
      <c r="U858" s="228"/>
      <c r="V858" s="228"/>
      <c r="W858" s="228"/>
      <c r="X858" s="228"/>
      <c r="Y858" s="228"/>
      <c r="Z858" s="228"/>
      <c r="AA858" s="228"/>
      <c r="AB858" s="228"/>
      <c r="AC858" s="228"/>
      <c r="AD858" s="228"/>
      <c r="AE858" s="228"/>
      <c r="AF858" s="228"/>
      <c r="AG858" s="228"/>
      <c r="AH858" s="228"/>
      <c r="AI858" s="228"/>
      <c r="AJ858" s="228"/>
      <c r="AK858" s="228"/>
      <c r="AL858" s="228"/>
      <c r="AM858" s="228"/>
      <c r="AN858" s="228"/>
      <c r="AO858" s="228"/>
      <c r="AP858" s="228"/>
      <c r="AQ858" s="228"/>
    </row>
    <row r="859">
      <c r="A859" s="228"/>
      <c r="B859" s="228"/>
      <c r="C859" s="228"/>
      <c r="D859" s="228"/>
      <c r="E859" s="228"/>
      <c r="F859" s="228"/>
      <c r="G859" s="228"/>
      <c r="H859" s="228"/>
      <c r="I859" s="228"/>
      <c r="J859" s="228"/>
      <c r="K859" s="228"/>
      <c r="L859" s="228"/>
      <c r="M859" s="228"/>
      <c r="N859" s="228"/>
      <c r="O859" s="228"/>
      <c r="P859" s="228"/>
      <c r="Q859" s="228"/>
      <c r="R859" s="228"/>
      <c r="S859" s="228"/>
      <c r="T859" s="228"/>
      <c r="U859" s="228"/>
      <c r="V859" s="228"/>
      <c r="W859" s="228"/>
      <c r="X859" s="228"/>
      <c r="Y859" s="228"/>
      <c r="Z859" s="228"/>
      <c r="AA859" s="228"/>
      <c r="AB859" s="228"/>
      <c r="AC859" s="228"/>
      <c r="AD859" s="228"/>
      <c r="AE859" s="228"/>
      <c r="AF859" s="228"/>
      <c r="AG859" s="228"/>
      <c r="AH859" s="228"/>
      <c r="AI859" s="228"/>
      <c r="AJ859" s="228"/>
      <c r="AK859" s="228"/>
      <c r="AL859" s="228"/>
      <c r="AM859" s="228"/>
      <c r="AN859" s="228"/>
      <c r="AO859" s="228"/>
      <c r="AP859" s="228"/>
      <c r="AQ859" s="228"/>
    </row>
    <row r="860">
      <c r="A860" s="228"/>
      <c r="B860" s="228"/>
      <c r="C860" s="228"/>
      <c r="D860" s="228"/>
      <c r="E860" s="228"/>
      <c r="F860" s="228"/>
      <c r="G860" s="228"/>
      <c r="H860" s="228"/>
      <c r="I860" s="228"/>
      <c r="J860" s="228"/>
      <c r="K860" s="228"/>
      <c r="L860" s="228"/>
      <c r="M860" s="228"/>
      <c r="N860" s="228"/>
      <c r="O860" s="228"/>
      <c r="P860" s="228"/>
      <c r="Q860" s="228"/>
      <c r="R860" s="228"/>
      <c r="S860" s="228"/>
      <c r="T860" s="228"/>
      <c r="U860" s="228"/>
      <c r="V860" s="228"/>
      <c r="W860" s="228"/>
      <c r="X860" s="228"/>
      <c r="Y860" s="228"/>
      <c r="Z860" s="228"/>
      <c r="AA860" s="228"/>
      <c r="AB860" s="228"/>
      <c r="AC860" s="228"/>
      <c r="AD860" s="228"/>
      <c r="AE860" s="228"/>
      <c r="AF860" s="228"/>
      <c r="AG860" s="228"/>
      <c r="AH860" s="228"/>
      <c r="AI860" s="228"/>
      <c r="AJ860" s="228"/>
      <c r="AK860" s="228"/>
      <c r="AL860" s="228"/>
      <c r="AM860" s="228"/>
      <c r="AN860" s="228"/>
      <c r="AO860" s="228"/>
      <c r="AP860" s="228"/>
      <c r="AQ860" s="228"/>
    </row>
    <row r="861">
      <c r="A861" s="228"/>
      <c r="B861" s="228"/>
      <c r="C861" s="228"/>
      <c r="D861" s="228"/>
      <c r="E861" s="228"/>
      <c r="F861" s="228"/>
      <c r="G861" s="228"/>
      <c r="H861" s="228"/>
      <c r="I861" s="228"/>
      <c r="J861" s="228"/>
      <c r="K861" s="228"/>
      <c r="L861" s="228"/>
      <c r="M861" s="228"/>
      <c r="N861" s="228"/>
      <c r="O861" s="228"/>
      <c r="P861" s="228"/>
      <c r="Q861" s="228"/>
      <c r="R861" s="228"/>
      <c r="S861" s="228"/>
      <c r="T861" s="228"/>
      <c r="U861" s="228"/>
      <c r="V861" s="228"/>
      <c r="W861" s="228"/>
      <c r="X861" s="228"/>
      <c r="Y861" s="228"/>
      <c r="Z861" s="228"/>
      <c r="AA861" s="228"/>
      <c r="AB861" s="228"/>
      <c r="AC861" s="228"/>
      <c r="AD861" s="228"/>
      <c r="AE861" s="228"/>
      <c r="AF861" s="228"/>
      <c r="AG861" s="228"/>
      <c r="AH861" s="228"/>
      <c r="AI861" s="228"/>
      <c r="AJ861" s="228"/>
      <c r="AK861" s="228"/>
      <c r="AL861" s="228"/>
      <c r="AM861" s="228"/>
      <c r="AN861" s="228"/>
      <c r="AO861" s="228"/>
      <c r="AP861" s="228"/>
      <c r="AQ861" s="228"/>
    </row>
    <row r="862">
      <c r="A862" s="228"/>
      <c r="B862" s="228"/>
      <c r="C862" s="228"/>
      <c r="D862" s="228"/>
      <c r="E862" s="228"/>
      <c r="F862" s="228"/>
      <c r="G862" s="228"/>
      <c r="H862" s="228"/>
      <c r="I862" s="228"/>
      <c r="J862" s="228"/>
      <c r="K862" s="228"/>
      <c r="L862" s="228"/>
      <c r="M862" s="228"/>
      <c r="N862" s="228"/>
      <c r="O862" s="228"/>
      <c r="P862" s="228"/>
      <c r="Q862" s="228"/>
      <c r="R862" s="228"/>
      <c r="S862" s="228"/>
      <c r="T862" s="228"/>
      <c r="U862" s="228"/>
      <c r="V862" s="228"/>
      <c r="W862" s="228"/>
      <c r="X862" s="228"/>
      <c r="Y862" s="228"/>
      <c r="Z862" s="228"/>
      <c r="AA862" s="228"/>
      <c r="AB862" s="228"/>
      <c r="AC862" s="228"/>
      <c r="AD862" s="228"/>
      <c r="AE862" s="228"/>
      <c r="AF862" s="228"/>
      <c r="AG862" s="228"/>
      <c r="AH862" s="228"/>
      <c r="AI862" s="228"/>
      <c r="AJ862" s="228"/>
      <c r="AK862" s="228"/>
      <c r="AL862" s="228"/>
      <c r="AM862" s="228"/>
      <c r="AN862" s="228"/>
      <c r="AO862" s="228"/>
      <c r="AP862" s="228"/>
      <c r="AQ862" s="228"/>
    </row>
    <row r="863">
      <c r="A863" s="228"/>
      <c r="B863" s="228"/>
      <c r="C863" s="228"/>
      <c r="D863" s="228"/>
      <c r="E863" s="228"/>
      <c r="F863" s="228"/>
      <c r="G863" s="228"/>
      <c r="H863" s="228"/>
      <c r="I863" s="228"/>
      <c r="J863" s="228"/>
      <c r="K863" s="228"/>
      <c r="L863" s="228"/>
      <c r="M863" s="228"/>
      <c r="N863" s="228"/>
      <c r="O863" s="228"/>
      <c r="P863" s="228"/>
      <c r="Q863" s="228"/>
      <c r="R863" s="228"/>
      <c r="S863" s="228"/>
      <c r="T863" s="228"/>
      <c r="U863" s="228"/>
      <c r="V863" s="228"/>
      <c r="W863" s="228"/>
      <c r="X863" s="228"/>
      <c r="Y863" s="228"/>
      <c r="Z863" s="228"/>
      <c r="AA863" s="228"/>
      <c r="AB863" s="228"/>
      <c r="AC863" s="228"/>
      <c r="AD863" s="228"/>
      <c r="AE863" s="228"/>
      <c r="AF863" s="228"/>
      <c r="AG863" s="228"/>
      <c r="AH863" s="228"/>
      <c r="AI863" s="228"/>
      <c r="AJ863" s="228"/>
      <c r="AK863" s="228"/>
      <c r="AL863" s="228"/>
      <c r="AM863" s="228"/>
      <c r="AN863" s="228"/>
      <c r="AO863" s="228"/>
      <c r="AP863" s="228"/>
      <c r="AQ863" s="228"/>
    </row>
    <row r="864">
      <c r="A864" s="228"/>
      <c r="B864" s="228"/>
      <c r="C864" s="228"/>
      <c r="D864" s="228"/>
      <c r="E864" s="228"/>
      <c r="F864" s="228"/>
      <c r="G864" s="228"/>
      <c r="H864" s="228"/>
      <c r="I864" s="228"/>
      <c r="J864" s="228"/>
      <c r="K864" s="228"/>
      <c r="L864" s="228"/>
      <c r="M864" s="228"/>
      <c r="N864" s="228"/>
      <c r="O864" s="228"/>
      <c r="P864" s="228"/>
      <c r="Q864" s="228"/>
      <c r="R864" s="228"/>
      <c r="S864" s="228"/>
      <c r="T864" s="228"/>
      <c r="U864" s="228"/>
      <c r="V864" s="228"/>
      <c r="W864" s="228"/>
      <c r="X864" s="228"/>
      <c r="Y864" s="228"/>
      <c r="Z864" s="228"/>
      <c r="AA864" s="228"/>
      <c r="AB864" s="228"/>
      <c r="AC864" s="228"/>
      <c r="AD864" s="228"/>
      <c r="AE864" s="228"/>
      <c r="AF864" s="228"/>
      <c r="AG864" s="228"/>
      <c r="AH864" s="228"/>
      <c r="AI864" s="228"/>
      <c r="AJ864" s="228"/>
      <c r="AK864" s="228"/>
      <c r="AL864" s="228"/>
      <c r="AM864" s="228"/>
      <c r="AN864" s="228"/>
      <c r="AO864" s="228"/>
      <c r="AP864" s="228"/>
      <c r="AQ864" s="228"/>
    </row>
    <row r="865">
      <c r="A865" s="228"/>
      <c r="B865" s="228"/>
      <c r="C865" s="228"/>
      <c r="D865" s="228"/>
      <c r="E865" s="228"/>
      <c r="F865" s="228"/>
      <c r="G865" s="228"/>
      <c r="H865" s="228"/>
      <c r="I865" s="228"/>
      <c r="J865" s="228"/>
      <c r="K865" s="228"/>
      <c r="L865" s="228"/>
      <c r="M865" s="228"/>
      <c r="N865" s="228"/>
      <c r="O865" s="228"/>
      <c r="P865" s="228"/>
      <c r="Q865" s="228"/>
      <c r="R865" s="228"/>
      <c r="S865" s="228"/>
      <c r="T865" s="228"/>
      <c r="U865" s="228"/>
      <c r="V865" s="228"/>
      <c r="W865" s="228"/>
      <c r="X865" s="228"/>
      <c r="Y865" s="228"/>
      <c r="Z865" s="228"/>
      <c r="AA865" s="228"/>
      <c r="AB865" s="228"/>
      <c r="AC865" s="228"/>
      <c r="AD865" s="228"/>
      <c r="AE865" s="228"/>
      <c r="AF865" s="228"/>
      <c r="AG865" s="228"/>
      <c r="AH865" s="228"/>
      <c r="AI865" s="228"/>
      <c r="AJ865" s="228"/>
      <c r="AK865" s="228"/>
      <c r="AL865" s="228"/>
      <c r="AM865" s="228"/>
      <c r="AN865" s="228"/>
      <c r="AO865" s="228"/>
      <c r="AP865" s="228"/>
      <c r="AQ865" s="228"/>
    </row>
    <row r="866">
      <c r="A866" s="228"/>
      <c r="B866" s="228"/>
      <c r="C866" s="228"/>
      <c r="D866" s="228"/>
      <c r="E866" s="228"/>
      <c r="F866" s="228"/>
      <c r="G866" s="228"/>
      <c r="H866" s="228"/>
      <c r="I866" s="228"/>
      <c r="J866" s="228"/>
      <c r="K866" s="228"/>
      <c r="L866" s="228"/>
      <c r="M866" s="228"/>
      <c r="N866" s="228"/>
      <c r="O866" s="228"/>
      <c r="P866" s="228"/>
      <c r="Q866" s="228"/>
      <c r="R866" s="228"/>
      <c r="S866" s="228"/>
      <c r="T866" s="228"/>
      <c r="U866" s="228"/>
      <c r="V866" s="228"/>
      <c r="W866" s="228"/>
      <c r="X866" s="228"/>
      <c r="Y866" s="228"/>
      <c r="Z866" s="228"/>
      <c r="AA866" s="228"/>
      <c r="AB866" s="228"/>
      <c r="AC866" s="228"/>
      <c r="AD866" s="228"/>
      <c r="AE866" s="228"/>
      <c r="AF866" s="228"/>
      <c r="AG866" s="228"/>
      <c r="AH866" s="228"/>
      <c r="AI866" s="228"/>
      <c r="AJ866" s="228"/>
      <c r="AK866" s="228"/>
      <c r="AL866" s="228"/>
      <c r="AM866" s="228"/>
      <c r="AN866" s="228"/>
      <c r="AO866" s="228"/>
      <c r="AP866" s="228"/>
      <c r="AQ866" s="228"/>
    </row>
    <row r="867">
      <c r="A867" s="228"/>
      <c r="B867" s="228"/>
      <c r="C867" s="228"/>
      <c r="D867" s="228"/>
      <c r="E867" s="228"/>
      <c r="F867" s="228"/>
      <c r="G867" s="228"/>
      <c r="H867" s="228"/>
      <c r="I867" s="228"/>
      <c r="J867" s="228"/>
      <c r="K867" s="228"/>
      <c r="L867" s="228"/>
      <c r="M867" s="228"/>
      <c r="N867" s="228"/>
      <c r="O867" s="228"/>
      <c r="P867" s="228"/>
      <c r="Q867" s="228"/>
      <c r="R867" s="228"/>
      <c r="S867" s="228"/>
      <c r="T867" s="228"/>
      <c r="U867" s="228"/>
      <c r="V867" s="228"/>
      <c r="W867" s="228"/>
      <c r="X867" s="228"/>
      <c r="Y867" s="228"/>
      <c r="Z867" s="228"/>
      <c r="AA867" s="228"/>
      <c r="AB867" s="228"/>
      <c r="AC867" s="228"/>
      <c r="AD867" s="228"/>
      <c r="AE867" s="228"/>
      <c r="AF867" s="228"/>
      <c r="AG867" s="228"/>
      <c r="AH867" s="228"/>
      <c r="AI867" s="228"/>
      <c r="AJ867" s="228"/>
      <c r="AK867" s="228"/>
      <c r="AL867" s="228"/>
      <c r="AM867" s="228"/>
      <c r="AN867" s="228"/>
      <c r="AO867" s="228"/>
      <c r="AP867" s="228"/>
      <c r="AQ867" s="228"/>
    </row>
    <row r="868">
      <c r="A868" s="228"/>
      <c r="B868" s="228"/>
      <c r="C868" s="228"/>
      <c r="D868" s="228"/>
      <c r="E868" s="228"/>
      <c r="F868" s="228"/>
      <c r="G868" s="228"/>
      <c r="H868" s="228"/>
      <c r="I868" s="228"/>
      <c r="J868" s="228"/>
      <c r="K868" s="228"/>
      <c r="L868" s="228"/>
      <c r="M868" s="228"/>
      <c r="N868" s="228"/>
      <c r="O868" s="228"/>
      <c r="P868" s="228"/>
      <c r="Q868" s="228"/>
      <c r="R868" s="228"/>
      <c r="S868" s="228"/>
      <c r="T868" s="228"/>
      <c r="U868" s="228"/>
      <c r="V868" s="228"/>
      <c r="W868" s="228"/>
      <c r="X868" s="228"/>
      <c r="Y868" s="228"/>
      <c r="Z868" s="228"/>
      <c r="AA868" s="228"/>
      <c r="AB868" s="228"/>
      <c r="AC868" s="228"/>
      <c r="AD868" s="228"/>
      <c r="AE868" s="228"/>
      <c r="AF868" s="228"/>
      <c r="AG868" s="228"/>
      <c r="AH868" s="228"/>
      <c r="AI868" s="228"/>
      <c r="AJ868" s="228"/>
      <c r="AK868" s="228"/>
      <c r="AL868" s="228"/>
      <c r="AM868" s="228"/>
      <c r="AN868" s="228"/>
      <c r="AO868" s="228"/>
      <c r="AP868" s="228"/>
      <c r="AQ868" s="228"/>
    </row>
    <row r="869">
      <c r="A869" s="228"/>
      <c r="B869" s="228"/>
      <c r="C869" s="228"/>
      <c r="D869" s="228"/>
      <c r="E869" s="228"/>
      <c r="F869" s="228"/>
      <c r="G869" s="228"/>
      <c r="H869" s="228"/>
      <c r="I869" s="228"/>
      <c r="J869" s="228"/>
      <c r="K869" s="228"/>
      <c r="L869" s="228"/>
      <c r="M869" s="228"/>
      <c r="N869" s="228"/>
      <c r="O869" s="228"/>
      <c r="P869" s="228"/>
      <c r="Q869" s="228"/>
      <c r="R869" s="228"/>
      <c r="S869" s="228"/>
      <c r="T869" s="228"/>
      <c r="U869" s="228"/>
      <c r="V869" s="228"/>
      <c r="W869" s="228"/>
      <c r="X869" s="228"/>
      <c r="Y869" s="228"/>
      <c r="Z869" s="228"/>
      <c r="AA869" s="228"/>
      <c r="AB869" s="228"/>
      <c r="AC869" s="228"/>
      <c r="AD869" s="228"/>
      <c r="AE869" s="228"/>
      <c r="AF869" s="228"/>
      <c r="AG869" s="228"/>
      <c r="AH869" s="228"/>
      <c r="AI869" s="228"/>
      <c r="AJ869" s="228"/>
      <c r="AK869" s="228"/>
      <c r="AL869" s="228"/>
      <c r="AM869" s="228"/>
      <c r="AN869" s="228"/>
      <c r="AO869" s="228"/>
      <c r="AP869" s="228"/>
      <c r="AQ869" s="228"/>
    </row>
    <row r="870">
      <c r="A870" s="228"/>
      <c r="B870" s="228"/>
      <c r="C870" s="228"/>
      <c r="D870" s="228"/>
      <c r="E870" s="228"/>
      <c r="F870" s="228"/>
      <c r="G870" s="228"/>
      <c r="H870" s="228"/>
      <c r="I870" s="228"/>
      <c r="J870" s="228"/>
      <c r="K870" s="228"/>
      <c r="L870" s="228"/>
      <c r="M870" s="228"/>
      <c r="N870" s="228"/>
      <c r="O870" s="228"/>
      <c r="P870" s="228"/>
      <c r="Q870" s="228"/>
      <c r="R870" s="228"/>
      <c r="S870" s="228"/>
      <c r="T870" s="228"/>
      <c r="U870" s="228"/>
      <c r="V870" s="228"/>
      <c r="W870" s="228"/>
      <c r="X870" s="228"/>
      <c r="Y870" s="228"/>
      <c r="Z870" s="228"/>
      <c r="AA870" s="228"/>
      <c r="AB870" s="228"/>
      <c r="AC870" s="228"/>
      <c r="AD870" s="228"/>
      <c r="AE870" s="228"/>
      <c r="AF870" s="228"/>
      <c r="AG870" s="228"/>
      <c r="AH870" s="228"/>
      <c r="AI870" s="228"/>
      <c r="AJ870" s="228"/>
      <c r="AK870" s="228"/>
      <c r="AL870" s="228"/>
      <c r="AM870" s="228"/>
      <c r="AN870" s="228"/>
      <c r="AO870" s="228"/>
      <c r="AP870" s="228"/>
      <c r="AQ870" s="228"/>
    </row>
    <row r="871">
      <c r="A871" s="228"/>
      <c r="B871" s="228"/>
      <c r="C871" s="228"/>
      <c r="D871" s="228"/>
      <c r="E871" s="228"/>
      <c r="F871" s="228"/>
      <c r="G871" s="228"/>
      <c r="H871" s="228"/>
      <c r="I871" s="228"/>
      <c r="J871" s="228"/>
      <c r="K871" s="228"/>
      <c r="L871" s="228"/>
      <c r="M871" s="228"/>
      <c r="N871" s="228"/>
      <c r="O871" s="228"/>
      <c r="P871" s="228"/>
      <c r="Q871" s="228"/>
      <c r="R871" s="228"/>
      <c r="S871" s="228"/>
      <c r="T871" s="228"/>
      <c r="U871" s="228"/>
      <c r="V871" s="228"/>
      <c r="W871" s="228"/>
      <c r="X871" s="228"/>
      <c r="Y871" s="228"/>
      <c r="Z871" s="228"/>
      <c r="AA871" s="228"/>
      <c r="AB871" s="228"/>
      <c r="AC871" s="228"/>
      <c r="AD871" s="228"/>
      <c r="AE871" s="228"/>
      <c r="AF871" s="228"/>
      <c r="AG871" s="228"/>
      <c r="AH871" s="228"/>
      <c r="AI871" s="228"/>
      <c r="AJ871" s="228"/>
      <c r="AK871" s="228"/>
      <c r="AL871" s="228"/>
      <c r="AM871" s="228"/>
      <c r="AN871" s="228"/>
      <c r="AO871" s="228"/>
      <c r="AP871" s="228"/>
      <c r="AQ871" s="228"/>
    </row>
    <row r="872">
      <c r="A872" s="228"/>
      <c r="B872" s="228"/>
      <c r="C872" s="228"/>
      <c r="D872" s="228"/>
      <c r="E872" s="228"/>
      <c r="F872" s="228"/>
      <c r="G872" s="228"/>
      <c r="H872" s="228"/>
      <c r="I872" s="228"/>
      <c r="J872" s="228"/>
      <c r="K872" s="228"/>
      <c r="L872" s="228"/>
      <c r="M872" s="228"/>
      <c r="N872" s="228"/>
      <c r="O872" s="228"/>
      <c r="P872" s="228"/>
      <c r="Q872" s="228"/>
      <c r="R872" s="228"/>
      <c r="S872" s="228"/>
      <c r="T872" s="228"/>
      <c r="U872" s="228"/>
      <c r="V872" s="228"/>
      <c r="W872" s="228"/>
      <c r="X872" s="228"/>
      <c r="Y872" s="228"/>
      <c r="Z872" s="228"/>
      <c r="AA872" s="228"/>
      <c r="AB872" s="228"/>
      <c r="AC872" s="228"/>
      <c r="AD872" s="228"/>
      <c r="AE872" s="228"/>
      <c r="AF872" s="228"/>
      <c r="AG872" s="228"/>
      <c r="AH872" s="228"/>
      <c r="AI872" s="228"/>
      <c r="AJ872" s="228"/>
      <c r="AK872" s="228"/>
      <c r="AL872" s="228"/>
      <c r="AM872" s="228"/>
      <c r="AN872" s="228"/>
      <c r="AO872" s="228"/>
      <c r="AP872" s="228"/>
      <c r="AQ872" s="228"/>
    </row>
    <row r="873">
      <c r="A873" s="228"/>
      <c r="B873" s="228"/>
      <c r="C873" s="228"/>
      <c r="D873" s="228"/>
      <c r="E873" s="228"/>
      <c r="F873" s="228"/>
      <c r="G873" s="228"/>
      <c r="H873" s="228"/>
      <c r="I873" s="228"/>
      <c r="J873" s="228"/>
      <c r="K873" s="228"/>
      <c r="L873" s="228"/>
      <c r="M873" s="228"/>
      <c r="N873" s="228"/>
      <c r="O873" s="228"/>
      <c r="P873" s="228"/>
      <c r="Q873" s="228"/>
      <c r="R873" s="228"/>
      <c r="S873" s="228"/>
      <c r="T873" s="228"/>
      <c r="U873" s="228"/>
      <c r="V873" s="228"/>
      <c r="W873" s="228"/>
      <c r="X873" s="228"/>
      <c r="Y873" s="228"/>
      <c r="Z873" s="228"/>
      <c r="AA873" s="228"/>
      <c r="AB873" s="228"/>
      <c r="AC873" s="228"/>
      <c r="AD873" s="228"/>
      <c r="AE873" s="228"/>
      <c r="AF873" s="228"/>
      <c r="AG873" s="228"/>
      <c r="AH873" s="228"/>
      <c r="AI873" s="228"/>
      <c r="AJ873" s="228"/>
      <c r="AK873" s="228"/>
      <c r="AL873" s="228"/>
      <c r="AM873" s="228"/>
      <c r="AN873" s="228"/>
      <c r="AO873" s="228"/>
      <c r="AP873" s="228"/>
      <c r="AQ873" s="228"/>
    </row>
    <row r="874">
      <c r="A874" s="228"/>
      <c r="B874" s="228"/>
      <c r="C874" s="228"/>
      <c r="D874" s="228"/>
      <c r="E874" s="228"/>
      <c r="F874" s="228"/>
      <c r="G874" s="228"/>
      <c r="H874" s="228"/>
      <c r="I874" s="228"/>
      <c r="J874" s="228"/>
      <c r="K874" s="228"/>
      <c r="L874" s="228"/>
      <c r="M874" s="228"/>
      <c r="N874" s="228"/>
      <c r="O874" s="228"/>
      <c r="P874" s="228"/>
      <c r="Q874" s="228"/>
      <c r="R874" s="228"/>
      <c r="S874" s="228"/>
      <c r="T874" s="228"/>
      <c r="U874" s="228"/>
      <c r="V874" s="228"/>
      <c r="W874" s="228"/>
      <c r="X874" s="228"/>
      <c r="Y874" s="228"/>
      <c r="Z874" s="228"/>
      <c r="AA874" s="228"/>
      <c r="AB874" s="228"/>
      <c r="AC874" s="228"/>
      <c r="AD874" s="228"/>
      <c r="AE874" s="228"/>
      <c r="AF874" s="228"/>
      <c r="AG874" s="228"/>
      <c r="AH874" s="228"/>
      <c r="AI874" s="228"/>
      <c r="AJ874" s="228"/>
      <c r="AK874" s="228"/>
      <c r="AL874" s="228"/>
      <c r="AM874" s="228"/>
      <c r="AN874" s="228"/>
      <c r="AO874" s="228"/>
      <c r="AP874" s="228"/>
      <c r="AQ874" s="228"/>
    </row>
    <row r="875">
      <c r="A875" s="228"/>
      <c r="B875" s="228"/>
      <c r="C875" s="228"/>
      <c r="D875" s="228"/>
      <c r="E875" s="228"/>
      <c r="F875" s="228"/>
      <c r="G875" s="228"/>
      <c r="H875" s="228"/>
      <c r="I875" s="228"/>
      <c r="J875" s="228"/>
      <c r="K875" s="228"/>
      <c r="L875" s="228"/>
      <c r="M875" s="228"/>
      <c r="N875" s="228"/>
      <c r="O875" s="228"/>
      <c r="P875" s="228"/>
      <c r="Q875" s="228"/>
      <c r="R875" s="228"/>
      <c r="S875" s="228"/>
      <c r="T875" s="228"/>
      <c r="U875" s="228"/>
      <c r="V875" s="228"/>
      <c r="W875" s="228"/>
      <c r="X875" s="228"/>
      <c r="Y875" s="228"/>
      <c r="Z875" s="228"/>
      <c r="AA875" s="228"/>
      <c r="AB875" s="228"/>
      <c r="AC875" s="228"/>
      <c r="AD875" s="228"/>
      <c r="AE875" s="228"/>
      <c r="AF875" s="228"/>
      <c r="AG875" s="228"/>
      <c r="AH875" s="228"/>
      <c r="AI875" s="228"/>
      <c r="AJ875" s="228"/>
      <c r="AK875" s="228"/>
      <c r="AL875" s="228"/>
      <c r="AM875" s="228"/>
      <c r="AN875" s="228"/>
      <c r="AO875" s="228"/>
      <c r="AP875" s="228"/>
      <c r="AQ875" s="228"/>
    </row>
    <row r="876">
      <c r="A876" s="228"/>
      <c r="B876" s="228"/>
      <c r="C876" s="228"/>
      <c r="D876" s="228"/>
      <c r="E876" s="228"/>
      <c r="F876" s="228"/>
      <c r="G876" s="228"/>
      <c r="H876" s="228"/>
      <c r="I876" s="228"/>
      <c r="J876" s="228"/>
      <c r="K876" s="228"/>
      <c r="L876" s="228"/>
      <c r="M876" s="228"/>
      <c r="N876" s="228"/>
      <c r="O876" s="228"/>
      <c r="P876" s="228"/>
      <c r="Q876" s="228"/>
      <c r="R876" s="228"/>
      <c r="S876" s="228"/>
      <c r="T876" s="228"/>
      <c r="U876" s="228"/>
      <c r="V876" s="228"/>
      <c r="W876" s="228"/>
      <c r="X876" s="228"/>
      <c r="Y876" s="228"/>
      <c r="Z876" s="228"/>
      <c r="AA876" s="228"/>
      <c r="AB876" s="228"/>
      <c r="AC876" s="228"/>
      <c r="AD876" s="228"/>
      <c r="AE876" s="228"/>
      <c r="AF876" s="228"/>
      <c r="AG876" s="228"/>
      <c r="AH876" s="228"/>
      <c r="AI876" s="228"/>
      <c r="AJ876" s="228"/>
      <c r="AK876" s="228"/>
      <c r="AL876" s="228"/>
      <c r="AM876" s="228"/>
      <c r="AN876" s="228"/>
      <c r="AO876" s="228"/>
      <c r="AP876" s="228"/>
      <c r="AQ876" s="228"/>
    </row>
    <row r="877">
      <c r="A877" s="228"/>
      <c r="B877" s="228"/>
      <c r="C877" s="228"/>
      <c r="D877" s="228"/>
      <c r="E877" s="228"/>
      <c r="F877" s="228"/>
      <c r="G877" s="228"/>
      <c r="H877" s="228"/>
      <c r="I877" s="228"/>
      <c r="J877" s="228"/>
      <c r="K877" s="228"/>
      <c r="L877" s="228"/>
      <c r="M877" s="228"/>
      <c r="N877" s="228"/>
      <c r="O877" s="228"/>
      <c r="P877" s="228"/>
      <c r="Q877" s="228"/>
      <c r="R877" s="228"/>
      <c r="S877" s="228"/>
      <c r="T877" s="228"/>
      <c r="U877" s="228"/>
      <c r="V877" s="228"/>
      <c r="W877" s="228"/>
      <c r="X877" s="228"/>
      <c r="Y877" s="228"/>
      <c r="Z877" s="228"/>
      <c r="AA877" s="228"/>
      <c r="AB877" s="228"/>
      <c r="AC877" s="228"/>
      <c r="AD877" s="228"/>
      <c r="AE877" s="228"/>
      <c r="AF877" s="228"/>
      <c r="AG877" s="228"/>
      <c r="AH877" s="228"/>
      <c r="AI877" s="228"/>
      <c r="AJ877" s="228"/>
      <c r="AK877" s="228"/>
      <c r="AL877" s="228"/>
      <c r="AM877" s="228"/>
      <c r="AN877" s="228"/>
      <c r="AO877" s="228"/>
      <c r="AP877" s="228"/>
      <c r="AQ877" s="228"/>
    </row>
    <row r="878">
      <c r="A878" s="228"/>
      <c r="B878" s="228"/>
      <c r="C878" s="228"/>
      <c r="D878" s="228"/>
      <c r="E878" s="228"/>
      <c r="F878" s="228"/>
      <c r="G878" s="228"/>
      <c r="H878" s="228"/>
      <c r="I878" s="228"/>
      <c r="J878" s="228"/>
      <c r="K878" s="228"/>
      <c r="L878" s="228"/>
      <c r="M878" s="228"/>
      <c r="N878" s="228"/>
      <c r="O878" s="228"/>
      <c r="P878" s="228"/>
      <c r="Q878" s="228"/>
      <c r="R878" s="228"/>
      <c r="S878" s="228"/>
      <c r="T878" s="228"/>
      <c r="U878" s="228"/>
      <c r="V878" s="228"/>
      <c r="W878" s="228"/>
      <c r="X878" s="228"/>
      <c r="Y878" s="228"/>
      <c r="Z878" s="228"/>
      <c r="AA878" s="228"/>
      <c r="AB878" s="228"/>
      <c r="AC878" s="228"/>
      <c r="AD878" s="228"/>
      <c r="AE878" s="228"/>
      <c r="AF878" s="228"/>
      <c r="AG878" s="228"/>
      <c r="AH878" s="228"/>
      <c r="AI878" s="228"/>
      <c r="AJ878" s="228"/>
      <c r="AK878" s="228"/>
      <c r="AL878" s="228"/>
      <c r="AM878" s="228"/>
      <c r="AN878" s="228"/>
      <c r="AO878" s="228"/>
      <c r="AP878" s="228"/>
      <c r="AQ878" s="228"/>
    </row>
    <row r="879">
      <c r="A879" s="228"/>
      <c r="B879" s="228"/>
      <c r="C879" s="228"/>
      <c r="D879" s="228"/>
      <c r="E879" s="228"/>
      <c r="F879" s="228"/>
      <c r="G879" s="228"/>
      <c r="H879" s="228"/>
      <c r="I879" s="228"/>
      <c r="J879" s="228"/>
      <c r="K879" s="228"/>
      <c r="L879" s="228"/>
      <c r="M879" s="228"/>
      <c r="N879" s="228"/>
      <c r="O879" s="228"/>
      <c r="P879" s="228"/>
      <c r="Q879" s="228"/>
      <c r="R879" s="228"/>
      <c r="S879" s="228"/>
      <c r="T879" s="228"/>
      <c r="U879" s="228"/>
      <c r="V879" s="228"/>
      <c r="W879" s="228"/>
      <c r="X879" s="228"/>
      <c r="Y879" s="228"/>
      <c r="Z879" s="228"/>
      <c r="AA879" s="228"/>
      <c r="AB879" s="228"/>
      <c r="AC879" s="228"/>
      <c r="AD879" s="228"/>
      <c r="AE879" s="228"/>
      <c r="AF879" s="228"/>
      <c r="AG879" s="228"/>
      <c r="AH879" s="228"/>
      <c r="AI879" s="228"/>
      <c r="AJ879" s="228"/>
      <c r="AK879" s="228"/>
      <c r="AL879" s="228"/>
      <c r="AM879" s="228"/>
      <c r="AN879" s="228"/>
      <c r="AO879" s="228"/>
      <c r="AP879" s="228"/>
      <c r="AQ879" s="228"/>
    </row>
    <row r="880">
      <c r="A880" s="228"/>
      <c r="B880" s="228"/>
      <c r="C880" s="228"/>
      <c r="D880" s="228"/>
      <c r="E880" s="228"/>
      <c r="F880" s="228"/>
      <c r="G880" s="228"/>
      <c r="H880" s="228"/>
      <c r="I880" s="228"/>
      <c r="J880" s="228"/>
      <c r="K880" s="228"/>
      <c r="L880" s="228"/>
      <c r="M880" s="228"/>
      <c r="N880" s="228"/>
      <c r="O880" s="228"/>
      <c r="P880" s="228"/>
      <c r="Q880" s="228"/>
      <c r="R880" s="228"/>
      <c r="S880" s="228"/>
      <c r="T880" s="228"/>
      <c r="U880" s="228"/>
      <c r="V880" s="228"/>
      <c r="W880" s="228"/>
      <c r="X880" s="228"/>
      <c r="Y880" s="228"/>
      <c r="Z880" s="228"/>
      <c r="AA880" s="228"/>
      <c r="AB880" s="228"/>
      <c r="AC880" s="228"/>
      <c r="AD880" s="228"/>
      <c r="AE880" s="228"/>
      <c r="AF880" s="228"/>
      <c r="AG880" s="228"/>
      <c r="AH880" s="228"/>
      <c r="AI880" s="228"/>
      <c r="AJ880" s="228"/>
      <c r="AK880" s="228"/>
      <c r="AL880" s="228"/>
      <c r="AM880" s="228"/>
      <c r="AN880" s="228"/>
      <c r="AO880" s="228"/>
      <c r="AP880" s="228"/>
      <c r="AQ880" s="228"/>
    </row>
    <row r="881">
      <c r="A881" s="228"/>
      <c r="B881" s="228"/>
      <c r="C881" s="228"/>
      <c r="D881" s="228"/>
      <c r="E881" s="228"/>
      <c r="F881" s="228"/>
      <c r="G881" s="228"/>
      <c r="H881" s="228"/>
      <c r="I881" s="228"/>
      <c r="J881" s="228"/>
      <c r="K881" s="228"/>
      <c r="L881" s="228"/>
      <c r="M881" s="228"/>
      <c r="N881" s="228"/>
      <c r="O881" s="228"/>
      <c r="P881" s="228"/>
      <c r="Q881" s="228"/>
      <c r="R881" s="228"/>
      <c r="S881" s="228"/>
      <c r="T881" s="228"/>
      <c r="U881" s="228"/>
      <c r="V881" s="228"/>
      <c r="W881" s="228"/>
      <c r="X881" s="228"/>
      <c r="Y881" s="228"/>
      <c r="Z881" s="228"/>
      <c r="AA881" s="228"/>
      <c r="AB881" s="228"/>
      <c r="AC881" s="228"/>
      <c r="AD881" s="228"/>
      <c r="AE881" s="228"/>
      <c r="AF881" s="228"/>
      <c r="AG881" s="228"/>
      <c r="AH881" s="228"/>
      <c r="AI881" s="228"/>
      <c r="AJ881" s="228"/>
      <c r="AK881" s="228"/>
      <c r="AL881" s="228"/>
      <c r="AM881" s="228"/>
      <c r="AN881" s="228"/>
      <c r="AO881" s="228"/>
      <c r="AP881" s="228"/>
      <c r="AQ881" s="228"/>
    </row>
    <row r="882">
      <c r="A882" s="228"/>
      <c r="B882" s="228"/>
      <c r="C882" s="228"/>
      <c r="D882" s="228"/>
      <c r="E882" s="228"/>
      <c r="F882" s="228"/>
      <c r="G882" s="228"/>
      <c r="H882" s="228"/>
      <c r="I882" s="228"/>
      <c r="J882" s="228"/>
      <c r="K882" s="228"/>
      <c r="L882" s="228"/>
      <c r="M882" s="228"/>
      <c r="N882" s="228"/>
      <c r="O882" s="228"/>
      <c r="P882" s="228"/>
      <c r="Q882" s="228"/>
      <c r="R882" s="228"/>
      <c r="S882" s="228"/>
      <c r="T882" s="228"/>
      <c r="U882" s="228"/>
      <c r="V882" s="228"/>
      <c r="W882" s="228"/>
      <c r="X882" s="228"/>
      <c r="Y882" s="228"/>
      <c r="Z882" s="228"/>
      <c r="AA882" s="228"/>
      <c r="AB882" s="228"/>
      <c r="AC882" s="228"/>
      <c r="AD882" s="228"/>
      <c r="AE882" s="228"/>
      <c r="AF882" s="228"/>
      <c r="AG882" s="228"/>
      <c r="AH882" s="228"/>
      <c r="AI882" s="228"/>
      <c r="AJ882" s="228"/>
      <c r="AK882" s="228"/>
      <c r="AL882" s="228"/>
      <c r="AM882" s="228"/>
      <c r="AN882" s="228"/>
      <c r="AO882" s="228"/>
      <c r="AP882" s="228"/>
      <c r="AQ882" s="228"/>
    </row>
    <row r="883">
      <c r="A883" s="228"/>
      <c r="B883" s="228"/>
      <c r="C883" s="228"/>
      <c r="D883" s="228"/>
      <c r="E883" s="228"/>
      <c r="F883" s="228"/>
      <c r="G883" s="228"/>
      <c r="H883" s="228"/>
      <c r="I883" s="228"/>
      <c r="J883" s="228"/>
      <c r="K883" s="228"/>
      <c r="L883" s="228"/>
      <c r="M883" s="228"/>
      <c r="N883" s="228"/>
      <c r="O883" s="228"/>
      <c r="P883" s="228"/>
      <c r="Q883" s="228"/>
      <c r="R883" s="228"/>
      <c r="S883" s="228"/>
      <c r="T883" s="228"/>
      <c r="U883" s="228"/>
      <c r="V883" s="228"/>
      <c r="W883" s="228"/>
      <c r="X883" s="228"/>
      <c r="Y883" s="228"/>
      <c r="Z883" s="228"/>
      <c r="AA883" s="228"/>
      <c r="AB883" s="228"/>
      <c r="AC883" s="228"/>
      <c r="AD883" s="228"/>
      <c r="AE883" s="228"/>
      <c r="AF883" s="228"/>
      <c r="AG883" s="228"/>
      <c r="AH883" s="228"/>
      <c r="AI883" s="228"/>
      <c r="AJ883" s="228"/>
      <c r="AK883" s="228"/>
      <c r="AL883" s="228"/>
      <c r="AM883" s="228"/>
      <c r="AN883" s="228"/>
      <c r="AO883" s="228"/>
      <c r="AP883" s="228"/>
      <c r="AQ883" s="228"/>
    </row>
    <row r="884">
      <c r="A884" s="228"/>
      <c r="B884" s="228"/>
      <c r="C884" s="228"/>
      <c r="D884" s="228"/>
      <c r="E884" s="228"/>
      <c r="F884" s="228"/>
      <c r="G884" s="228"/>
      <c r="H884" s="228"/>
      <c r="I884" s="228"/>
      <c r="J884" s="228"/>
      <c r="K884" s="228"/>
      <c r="L884" s="228"/>
      <c r="M884" s="228"/>
      <c r="N884" s="228"/>
      <c r="O884" s="228"/>
      <c r="P884" s="228"/>
      <c r="Q884" s="228"/>
      <c r="R884" s="228"/>
      <c r="S884" s="228"/>
      <c r="T884" s="228"/>
      <c r="U884" s="228"/>
      <c r="V884" s="228"/>
      <c r="W884" s="228"/>
      <c r="X884" s="228"/>
      <c r="Y884" s="228"/>
      <c r="Z884" s="228"/>
      <c r="AA884" s="228"/>
      <c r="AB884" s="228"/>
      <c r="AC884" s="228"/>
      <c r="AD884" s="228"/>
      <c r="AE884" s="228"/>
      <c r="AF884" s="228"/>
      <c r="AG884" s="228"/>
      <c r="AH884" s="228"/>
      <c r="AI884" s="228"/>
      <c r="AJ884" s="228"/>
      <c r="AK884" s="228"/>
      <c r="AL884" s="228"/>
      <c r="AM884" s="228"/>
      <c r="AN884" s="228"/>
      <c r="AO884" s="228"/>
      <c r="AP884" s="228"/>
      <c r="AQ884" s="228"/>
    </row>
    <row r="885">
      <c r="A885" s="228"/>
      <c r="B885" s="228"/>
      <c r="C885" s="228"/>
      <c r="D885" s="228"/>
      <c r="E885" s="228"/>
      <c r="F885" s="228"/>
      <c r="G885" s="228"/>
      <c r="H885" s="228"/>
      <c r="I885" s="228"/>
      <c r="J885" s="228"/>
      <c r="K885" s="228"/>
      <c r="L885" s="228"/>
      <c r="M885" s="228"/>
      <c r="N885" s="228"/>
      <c r="O885" s="228"/>
      <c r="P885" s="228"/>
      <c r="Q885" s="228"/>
      <c r="R885" s="228"/>
      <c r="S885" s="228"/>
      <c r="T885" s="228"/>
      <c r="U885" s="228"/>
      <c r="V885" s="228"/>
      <c r="W885" s="228"/>
      <c r="X885" s="228"/>
      <c r="Y885" s="228"/>
      <c r="Z885" s="228"/>
      <c r="AA885" s="228"/>
      <c r="AB885" s="228"/>
      <c r="AC885" s="228"/>
      <c r="AD885" s="228"/>
      <c r="AE885" s="228"/>
      <c r="AF885" s="228"/>
      <c r="AG885" s="228"/>
      <c r="AH885" s="228"/>
      <c r="AI885" s="228"/>
      <c r="AJ885" s="228"/>
      <c r="AK885" s="228"/>
      <c r="AL885" s="228"/>
      <c r="AM885" s="228"/>
      <c r="AN885" s="228"/>
      <c r="AO885" s="228"/>
      <c r="AP885" s="228"/>
      <c r="AQ885" s="228"/>
    </row>
    <row r="886">
      <c r="A886" s="228"/>
      <c r="B886" s="228"/>
      <c r="C886" s="228"/>
      <c r="D886" s="228"/>
      <c r="E886" s="228"/>
      <c r="F886" s="228"/>
      <c r="G886" s="228"/>
      <c r="H886" s="228"/>
      <c r="I886" s="228"/>
      <c r="J886" s="228"/>
      <c r="K886" s="228"/>
      <c r="L886" s="228"/>
      <c r="M886" s="228"/>
      <c r="N886" s="228"/>
      <c r="O886" s="228"/>
      <c r="P886" s="228"/>
      <c r="Q886" s="228"/>
      <c r="R886" s="228"/>
      <c r="S886" s="228"/>
      <c r="T886" s="228"/>
      <c r="U886" s="228"/>
      <c r="V886" s="228"/>
      <c r="W886" s="228"/>
      <c r="X886" s="228"/>
      <c r="Y886" s="228"/>
      <c r="Z886" s="228"/>
      <c r="AA886" s="228"/>
      <c r="AB886" s="228"/>
      <c r="AC886" s="228"/>
      <c r="AD886" s="228"/>
      <c r="AE886" s="228"/>
      <c r="AF886" s="228"/>
      <c r="AG886" s="228"/>
      <c r="AH886" s="228"/>
      <c r="AI886" s="228"/>
      <c r="AJ886" s="228"/>
      <c r="AK886" s="228"/>
      <c r="AL886" s="228"/>
      <c r="AM886" s="228"/>
      <c r="AN886" s="228"/>
      <c r="AO886" s="228"/>
      <c r="AP886" s="228"/>
      <c r="AQ886" s="228"/>
    </row>
    <row r="887">
      <c r="A887" s="228"/>
      <c r="B887" s="228"/>
      <c r="C887" s="228"/>
      <c r="D887" s="228"/>
      <c r="E887" s="228"/>
      <c r="F887" s="228"/>
      <c r="G887" s="228"/>
      <c r="H887" s="228"/>
      <c r="I887" s="228"/>
      <c r="J887" s="228"/>
      <c r="K887" s="228"/>
      <c r="L887" s="228"/>
      <c r="M887" s="228"/>
      <c r="N887" s="228"/>
      <c r="O887" s="228"/>
      <c r="P887" s="228"/>
      <c r="Q887" s="228"/>
      <c r="R887" s="228"/>
      <c r="S887" s="228"/>
      <c r="T887" s="228"/>
      <c r="U887" s="228"/>
      <c r="V887" s="228"/>
      <c r="W887" s="228"/>
      <c r="X887" s="228"/>
      <c r="Y887" s="228"/>
      <c r="Z887" s="228"/>
      <c r="AA887" s="228"/>
      <c r="AB887" s="228"/>
      <c r="AC887" s="228"/>
      <c r="AD887" s="228"/>
      <c r="AE887" s="228"/>
      <c r="AF887" s="228"/>
      <c r="AG887" s="228"/>
      <c r="AH887" s="228"/>
      <c r="AI887" s="228"/>
      <c r="AJ887" s="228"/>
      <c r="AK887" s="228"/>
      <c r="AL887" s="228"/>
      <c r="AM887" s="228"/>
      <c r="AN887" s="228"/>
      <c r="AO887" s="228"/>
      <c r="AP887" s="228"/>
      <c r="AQ887" s="228"/>
    </row>
    <row r="888">
      <c r="A888" s="228"/>
      <c r="B888" s="228"/>
      <c r="C888" s="228"/>
      <c r="D888" s="228"/>
      <c r="E888" s="228"/>
      <c r="F888" s="228"/>
      <c r="G888" s="228"/>
      <c r="H888" s="228"/>
      <c r="I888" s="228"/>
      <c r="J888" s="228"/>
      <c r="K888" s="228"/>
      <c r="L888" s="228"/>
      <c r="M888" s="228"/>
      <c r="N888" s="228"/>
      <c r="O888" s="228"/>
      <c r="P888" s="228"/>
      <c r="Q888" s="228"/>
      <c r="R888" s="228"/>
      <c r="S888" s="228"/>
      <c r="T888" s="228"/>
      <c r="U888" s="228"/>
      <c r="V888" s="228"/>
      <c r="W888" s="228"/>
      <c r="X888" s="228"/>
      <c r="Y888" s="228"/>
      <c r="Z888" s="228"/>
      <c r="AA888" s="228"/>
      <c r="AB888" s="228"/>
      <c r="AC888" s="228"/>
      <c r="AD888" s="228"/>
      <c r="AE888" s="228"/>
      <c r="AF888" s="228"/>
      <c r="AG888" s="228"/>
      <c r="AH888" s="228"/>
      <c r="AI888" s="228"/>
      <c r="AJ888" s="228"/>
      <c r="AK888" s="228"/>
      <c r="AL888" s="228"/>
      <c r="AM888" s="228"/>
      <c r="AN888" s="228"/>
      <c r="AO888" s="228"/>
      <c r="AP888" s="228"/>
      <c r="AQ888" s="228"/>
    </row>
    <row r="889">
      <c r="A889" s="228"/>
      <c r="B889" s="228"/>
      <c r="C889" s="228"/>
      <c r="D889" s="228"/>
      <c r="E889" s="228"/>
      <c r="F889" s="228"/>
      <c r="G889" s="228"/>
      <c r="H889" s="228"/>
      <c r="I889" s="228"/>
      <c r="J889" s="228"/>
      <c r="K889" s="228"/>
      <c r="L889" s="228"/>
      <c r="M889" s="228"/>
      <c r="N889" s="228"/>
      <c r="O889" s="228"/>
      <c r="P889" s="228"/>
      <c r="Q889" s="228"/>
      <c r="R889" s="228"/>
      <c r="S889" s="228"/>
      <c r="T889" s="228"/>
      <c r="U889" s="228"/>
      <c r="V889" s="228"/>
      <c r="W889" s="228"/>
      <c r="X889" s="228"/>
      <c r="Y889" s="228"/>
      <c r="Z889" s="228"/>
      <c r="AA889" s="228"/>
      <c r="AB889" s="228"/>
      <c r="AC889" s="228"/>
      <c r="AD889" s="228"/>
      <c r="AE889" s="228"/>
      <c r="AF889" s="228"/>
      <c r="AG889" s="228"/>
      <c r="AH889" s="228"/>
      <c r="AI889" s="228"/>
      <c r="AJ889" s="228"/>
      <c r="AK889" s="228"/>
      <c r="AL889" s="228"/>
      <c r="AM889" s="228"/>
      <c r="AN889" s="228"/>
      <c r="AO889" s="228"/>
      <c r="AP889" s="228"/>
      <c r="AQ889" s="228"/>
    </row>
    <row r="890">
      <c r="A890" s="228"/>
      <c r="B890" s="228"/>
      <c r="C890" s="228"/>
      <c r="D890" s="228"/>
      <c r="E890" s="228"/>
      <c r="F890" s="228"/>
      <c r="G890" s="228"/>
      <c r="H890" s="228"/>
      <c r="I890" s="228"/>
      <c r="J890" s="228"/>
      <c r="K890" s="228"/>
      <c r="L890" s="228"/>
      <c r="M890" s="228"/>
      <c r="N890" s="228"/>
      <c r="O890" s="228"/>
      <c r="P890" s="228"/>
      <c r="Q890" s="228"/>
      <c r="R890" s="228"/>
      <c r="S890" s="228"/>
      <c r="T890" s="228"/>
      <c r="U890" s="228"/>
      <c r="V890" s="228"/>
      <c r="W890" s="228"/>
      <c r="X890" s="228"/>
      <c r="Y890" s="228"/>
      <c r="Z890" s="228"/>
      <c r="AA890" s="228"/>
      <c r="AB890" s="228"/>
      <c r="AC890" s="228"/>
      <c r="AD890" s="228"/>
      <c r="AE890" s="228"/>
      <c r="AF890" s="228"/>
      <c r="AG890" s="228"/>
      <c r="AH890" s="228"/>
      <c r="AI890" s="228"/>
      <c r="AJ890" s="228"/>
      <c r="AK890" s="228"/>
      <c r="AL890" s="228"/>
      <c r="AM890" s="228"/>
      <c r="AN890" s="228"/>
      <c r="AO890" s="228"/>
      <c r="AP890" s="228"/>
      <c r="AQ890" s="228"/>
    </row>
    <row r="891">
      <c r="A891" s="228"/>
      <c r="B891" s="228"/>
      <c r="C891" s="228"/>
      <c r="D891" s="228"/>
      <c r="E891" s="228"/>
      <c r="F891" s="228"/>
      <c r="G891" s="228"/>
      <c r="H891" s="228"/>
      <c r="I891" s="228"/>
      <c r="J891" s="228"/>
      <c r="K891" s="228"/>
      <c r="L891" s="228"/>
      <c r="M891" s="228"/>
      <c r="N891" s="228"/>
      <c r="O891" s="228"/>
      <c r="P891" s="228"/>
      <c r="Q891" s="228"/>
      <c r="R891" s="228"/>
      <c r="S891" s="228"/>
      <c r="T891" s="228"/>
      <c r="U891" s="228"/>
      <c r="V891" s="228"/>
      <c r="W891" s="228"/>
      <c r="X891" s="228"/>
      <c r="Y891" s="228"/>
      <c r="Z891" s="228"/>
      <c r="AA891" s="228"/>
      <c r="AB891" s="228"/>
      <c r="AC891" s="228"/>
      <c r="AD891" s="228"/>
      <c r="AE891" s="228"/>
      <c r="AF891" s="228"/>
      <c r="AG891" s="228"/>
      <c r="AH891" s="228"/>
      <c r="AI891" s="228"/>
      <c r="AJ891" s="228"/>
      <c r="AK891" s="228"/>
      <c r="AL891" s="228"/>
      <c r="AM891" s="228"/>
      <c r="AN891" s="228"/>
      <c r="AO891" s="228"/>
      <c r="AP891" s="228"/>
      <c r="AQ891" s="228"/>
    </row>
    <row r="892">
      <c r="A892" s="228"/>
      <c r="B892" s="228"/>
      <c r="C892" s="228"/>
      <c r="D892" s="228"/>
      <c r="E892" s="228"/>
      <c r="F892" s="228"/>
      <c r="G892" s="228"/>
      <c r="H892" s="228"/>
      <c r="I892" s="228"/>
      <c r="J892" s="228"/>
      <c r="K892" s="228"/>
      <c r="L892" s="228"/>
      <c r="M892" s="228"/>
      <c r="N892" s="228"/>
      <c r="O892" s="228"/>
      <c r="P892" s="228"/>
      <c r="Q892" s="228"/>
      <c r="R892" s="228"/>
      <c r="S892" s="228"/>
      <c r="T892" s="228"/>
      <c r="U892" s="228"/>
      <c r="V892" s="228"/>
      <c r="W892" s="228"/>
      <c r="X892" s="228"/>
      <c r="Y892" s="228"/>
      <c r="Z892" s="228"/>
      <c r="AA892" s="228"/>
      <c r="AB892" s="228"/>
      <c r="AC892" s="228"/>
      <c r="AD892" s="228"/>
      <c r="AE892" s="228"/>
      <c r="AF892" s="228"/>
      <c r="AG892" s="228"/>
      <c r="AH892" s="228"/>
      <c r="AI892" s="228"/>
      <c r="AJ892" s="228"/>
      <c r="AK892" s="228"/>
      <c r="AL892" s="228"/>
      <c r="AM892" s="228"/>
      <c r="AN892" s="228"/>
      <c r="AO892" s="228"/>
      <c r="AP892" s="228"/>
      <c r="AQ892" s="228"/>
    </row>
    <row r="893">
      <c r="A893" s="228"/>
      <c r="B893" s="228"/>
      <c r="C893" s="228"/>
      <c r="D893" s="228"/>
      <c r="E893" s="228"/>
      <c r="F893" s="228"/>
      <c r="G893" s="228"/>
      <c r="H893" s="228"/>
      <c r="I893" s="228"/>
      <c r="J893" s="228"/>
      <c r="K893" s="228"/>
      <c r="L893" s="228"/>
      <c r="M893" s="228"/>
      <c r="N893" s="228"/>
      <c r="O893" s="228"/>
      <c r="P893" s="228"/>
      <c r="Q893" s="228"/>
      <c r="R893" s="228"/>
      <c r="S893" s="228"/>
      <c r="T893" s="228"/>
      <c r="U893" s="228"/>
      <c r="V893" s="228"/>
      <c r="W893" s="228"/>
      <c r="X893" s="228"/>
      <c r="Y893" s="228"/>
      <c r="Z893" s="228"/>
      <c r="AA893" s="228"/>
      <c r="AB893" s="228"/>
      <c r="AC893" s="228"/>
      <c r="AD893" s="228"/>
      <c r="AE893" s="228"/>
      <c r="AF893" s="228"/>
      <c r="AG893" s="228"/>
      <c r="AH893" s="228"/>
      <c r="AI893" s="228"/>
      <c r="AJ893" s="228"/>
      <c r="AK893" s="228"/>
      <c r="AL893" s="228"/>
      <c r="AM893" s="228"/>
      <c r="AN893" s="228"/>
      <c r="AO893" s="228"/>
      <c r="AP893" s="228"/>
      <c r="AQ893" s="228"/>
    </row>
    <row r="894">
      <c r="A894" s="228"/>
      <c r="B894" s="228"/>
      <c r="C894" s="228"/>
      <c r="D894" s="228"/>
      <c r="E894" s="228"/>
      <c r="F894" s="228"/>
      <c r="G894" s="228"/>
      <c r="H894" s="228"/>
      <c r="I894" s="228"/>
      <c r="J894" s="228"/>
      <c r="K894" s="228"/>
      <c r="L894" s="228"/>
      <c r="M894" s="228"/>
      <c r="N894" s="228"/>
      <c r="O894" s="228"/>
      <c r="P894" s="228"/>
      <c r="Q894" s="228"/>
      <c r="R894" s="228"/>
      <c r="S894" s="228"/>
      <c r="T894" s="228"/>
      <c r="U894" s="228"/>
      <c r="V894" s="228"/>
      <c r="W894" s="228"/>
      <c r="X894" s="228"/>
      <c r="Y894" s="228"/>
      <c r="Z894" s="228"/>
      <c r="AA894" s="228"/>
      <c r="AB894" s="228"/>
      <c r="AC894" s="228"/>
      <c r="AD894" s="228"/>
      <c r="AE894" s="228"/>
      <c r="AF894" s="228"/>
      <c r="AG894" s="228"/>
      <c r="AH894" s="228"/>
      <c r="AI894" s="228"/>
      <c r="AJ894" s="228"/>
      <c r="AK894" s="228"/>
      <c r="AL894" s="228"/>
      <c r="AM894" s="228"/>
      <c r="AN894" s="228"/>
      <c r="AO894" s="228"/>
      <c r="AP894" s="228"/>
      <c r="AQ894" s="228"/>
    </row>
    <row r="895">
      <c r="A895" s="228"/>
      <c r="B895" s="228"/>
      <c r="C895" s="228"/>
      <c r="D895" s="228"/>
      <c r="E895" s="228"/>
      <c r="F895" s="228"/>
      <c r="G895" s="228"/>
      <c r="H895" s="228"/>
      <c r="I895" s="228"/>
      <c r="J895" s="228"/>
      <c r="K895" s="228"/>
      <c r="L895" s="228"/>
      <c r="M895" s="228"/>
      <c r="N895" s="228"/>
      <c r="O895" s="228"/>
      <c r="P895" s="228"/>
      <c r="Q895" s="228"/>
      <c r="R895" s="228"/>
      <c r="S895" s="228"/>
      <c r="T895" s="228"/>
      <c r="U895" s="228"/>
      <c r="V895" s="228"/>
      <c r="W895" s="228"/>
      <c r="X895" s="228"/>
      <c r="Y895" s="228"/>
      <c r="Z895" s="228"/>
      <c r="AA895" s="228"/>
      <c r="AB895" s="228"/>
      <c r="AC895" s="228"/>
      <c r="AD895" s="228"/>
      <c r="AE895" s="228"/>
      <c r="AF895" s="228"/>
      <c r="AG895" s="228"/>
      <c r="AH895" s="228"/>
      <c r="AI895" s="228"/>
      <c r="AJ895" s="228"/>
      <c r="AK895" s="228"/>
      <c r="AL895" s="228"/>
      <c r="AM895" s="228"/>
      <c r="AN895" s="228"/>
      <c r="AO895" s="228"/>
      <c r="AP895" s="228"/>
      <c r="AQ895" s="228"/>
    </row>
    <row r="896">
      <c r="A896" s="228"/>
      <c r="B896" s="228"/>
      <c r="C896" s="228"/>
      <c r="D896" s="228"/>
      <c r="E896" s="228"/>
      <c r="F896" s="228"/>
      <c r="G896" s="228"/>
      <c r="H896" s="228"/>
      <c r="I896" s="228"/>
      <c r="J896" s="228"/>
      <c r="K896" s="228"/>
      <c r="L896" s="228"/>
      <c r="M896" s="228"/>
      <c r="N896" s="228"/>
      <c r="O896" s="228"/>
      <c r="P896" s="228"/>
      <c r="Q896" s="228"/>
      <c r="R896" s="228"/>
      <c r="S896" s="228"/>
      <c r="T896" s="228"/>
      <c r="U896" s="228"/>
      <c r="V896" s="228"/>
      <c r="W896" s="228"/>
      <c r="X896" s="228"/>
      <c r="Y896" s="228"/>
      <c r="Z896" s="228"/>
      <c r="AA896" s="228"/>
      <c r="AB896" s="228"/>
      <c r="AC896" s="228"/>
      <c r="AD896" s="228"/>
      <c r="AE896" s="228"/>
      <c r="AF896" s="228"/>
      <c r="AG896" s="228"/>
      <c r="AH896" s="228"/>
      <c r="AI896" s="228"/>
      <c r="AJ896" s="228"/>
      <c r="AK896" s="228"/>
      <c r="AL896" s="228"/>
      <c r="AM896" s="228"/>
      <c r="AN896" s="228"/>
      <c r="AO896" s="228"/>
      <c r="AP896" s="228"/>
      <c r="AQ896" s="228"/>
    </row>
    <row r="897">
      <c r="A897" s="228"/>
      <c r="B897" s="228"/>
      <c r="C897" s="228"/>
      <c r="D897" s="228"/>
      <c r="E897" s="228"/>
      <c r="F897" s="228"/>
      <c r="G897" s="228"/>
      <c r="H897" s="228"/>
      <c r="I897" s="228"/>
      <c r="J897" s="228"/>
      <c r="K897" s="228"/>
      <c r="L897" s="228"/>
      <c r="M897" s="228"/>
      <c r="N897" s="228"/>
      <c r="O897" s="228"/>
      <c r="P897" s="228"/>
      <c r="Q897" s="228"/>
      <c r="R897" s="228"/>
      <c r="S897" s="228"/>
      <c r="T897" s="228"/>
      <c r="U897" s="228"/>
      <c r="V897" s="228"/>
      <c r="W897" s="228"/>
      <c r="X897" s="228"/>
      <c r="Y897" s="228"/>
      <c r="Z897" s="228"/>
      <c r="AA897" s="228"/>
      <c r="AB897" s="228"/>
      <c r="AC897" s="228"/>
      <c r="AD897" s="228"/>
      <c r="AE897" s="228"/>
      <c r="AF897" s="228"/>
      <c r="AG897" s="228"/>
      <c r="AH897" s="228"/>
      <c r="AI897" s="228"/>
      <c r="AJ897" s="228"/>
      <c r="AK897" s="228"/>
      <c r="AL897" s="228"/>
      <c r="AM897" s="228"/>
      <c r="AN897" s="228"/>
      <c r="AO897" s="228"/>
      <c r="AP897" s="228"/>
      <c r="AQ897" s="228"/>
    </row>
    <row r="898">
      <c r="A898" s="228"/>
      <c r="B898" s="228"/>
      <c r="C898" s="228"/>
      <c r="D898" s="228"/>
      <c r="E898" s="228"/>
      <c r="F898" s="228"/>
      <c r="G898" s="228"/>
      <c r="H898" s="228"/>
      <c r="I898" s="228"/>
      <c r="J898" s="228"/>
      <c r="K898" s="228"/>
      <c r="L898" s="228"/>
      <c r="M898" s="228"/>
      <c r="N898" s="228"/>
      <c r="O898" s="228"/>
      <c r="P898" s="228"/>
      <c r="Q898" s="228"/>
      <c r="R898" s="228"/>
      <c r="S898" s="228"/>
      <c r="T898" s="228"/>
      <c r="U898" s="228"/>
      <c r="V898" s="228"/>
      <c r="W898" s="228"/>
      <c r="X898" s="228"/>
      <c r="Y898" s="228"/>
      <c r="Z898" s="228"/>
      <c r="AA898" s="228"/>
      <c r="AB898" s="228"/>
      <c r="AC898" s="228"/>
      <c r="AD898" s="228"/>
      <c r="AE898" s="228"/>
      <c r="AF898" s="228"/>
      <c r="AG898" s="228"/>
      <c r="AH898" s="228"/>
      <c r="AI898" s="228"/>
      <c r="AJ898" s="228"/>
      <c r="AK898" s="228"/>
      <c r="AL898" s="228"/>
      <c r="AM898" s="228"/>
      <c r="AN898" s="228"/>
      <c r="AO898" s="228"/>
      <c r="AP898" s="228"/>
      <c r="AQ898" s="228"/>
    </row>
    <row r="899">
      <c r="A899" s="228"/>
      <c r="B899" s="228"/>
      <c r="C899" s="228"/>
      <c r="D899" s="228"/>
      <c r="E899" s="228"/>
      <c r="F899" s="228"/>
      <c r="G899" s="228"/>
      <c r="H899" s="228"/>
      <c r="I899" s="228"/>
      <c r="J899" s="228"/>
      <c r="K899" s="228"/>
      <c r="L899" s="228"/>
      <c r="M899" s="228"/>
      <c r="N899" s="228"/>
      <c r="O899" s="228"/>
      <c r="P899" s="228"/>
      <c r="Q899" s="228"/>
      <c r="R899" s="228"/>
      <c r="S899" s="228"/>
      <c r="T899" s="228"/>
      <c r="U899" s="228"/>
      <c r="V899" s="228"/>
      <c r="W899" s="228"/>
      <c r="X899" s="228"/>
      <c r="Y899" s="228"/>
      <c r="Z899" s="228"/>
      <c r="AA899" s="228"/>
      <c r="AB899" s="228"/>
      <c r="AC899" s="228"/>
      <c r="AD899" s="228"/>
      <c r="AE899" s="228"/>
      <c r="AF899" s="228"/>
      <c r="AG899" s="228"/>
      <c r="AH899" s="228"/>
      <c r="AI899" s="228"/>
      <c r="AJ899" s="228"/>
      <c r="AK899" s="228"/>
      <c r="AL899" s="228"/>
      <c r="AM899" s="228"/>
      <c r="AN899" s="228"/>
      <c r="AO899" s="228"/>
      <c r="AP899" s="228"/>
      <c r="AQ899" s="228"/>
    </row>
    <row r="900">
      <c r="A900" s="228"/>
      <c r="B900" s="228"/>
      <c r="C900" s="228"/>
      <c r="D900" s="228"/>
      <c r="E900" s="228"/>
      <c r="F900" s="228"/>
      <c r="G900" s="228"/>
      <c r="H900" s="228"/>
      <c r="I900" s="228"/>
      <c r="J900" s="228"/>
      <c r="K900" s="228"/>
      <c r="L900" s="228"/>
      <c r="M900" s="228"/>
      <c r="N900" s="228"/>
      <c r="O900" s="228"/>
      <c r="P900" s="228"/>
      <c r="Q900" s="228"/>
      <c r="R900" s="228"/>
      <c r="S900" s="228"/>
      <c r="T900" s="228"/>
      <c r="U900" s="228"/>
      <c r="V900" s="228"/>
      <c r="W900" s="228"/>
      <c r="X900" s="228"/>
      <c r="Y900" s="228"/>
      <c r="Z900" s="228"/>
      <c r="AA900" s="228"/>
      <c r="AB900" s="228"/>
      <c r="AC900" s="228"/>
      <c r="AD900" s="228"/>
      <c r="AE900" s="228"/>
      <c r="AF900" s="228"/>
      <c r="AG900" s="228"/>
      <c r="AH900" s="228"/>
      <c r="AI900" s="228"/>
      <c r="AJ900" s="228"/>
      <c r="AK900" s="228"/>
      <c r="AL900" s="228"/>
      <c r="AM900" s="228"/>
      <c r="AN900" s="228"/>
      <c r="AO900" s="228"/>
      <c r="AP900" s="228"/>
      <c r="AQ900" s="228"/>
    </row>
    <row r="901">
      <c r="A901" s="228"/>
      <c r="B901" s="228"/>
      <c r="C901" s="228"/>
      <c r="D901" s="228"/>
      <c r="E901" s="228"/>
      <c r="F901" s="228"/>
      <c r="G901" s="228"/>
      <c r="H901" s="228"/>
      <c r="I901" s="228"/>
      <c r="J901" s="228"/>
      <c r="K901" s="228"/>
      <c r="L901" s="228"/>
      <c r="M901" s="228"/>
      <c r="N901" s="228"/>
      <c r="O901" s="228"/>
      <c r="P901" s="228"/>
      <c r="Q901" s="228"/>
      <c r="R901" s="228"/>
      <c r="S901" s="228"/>
      <c r="T901" s="228"/>
      <c r="U901" s="228"/>
      <c r="V901" s="228"/>
      <c r="W901" s="228"/>
      <c r="X901" s="228"/>
      <c r="Y901" s="228"/>
      <c r="Z901" s="228"/>
      <c r="AA901" s="228"/>
      <c r="AB901" s="228"/>
      <c r="AC901" s="228"/>
      <c r="AD901" s="228"/>
      <c r="AE901" s="228"/>
      <c r="AF901" s="228"/>
      <c r="AG901" s="228"/>
      <c r="AH901" s="228"/>
      <c r="AI901" s="228"/>
      <c r="AJ901" s="228"/>
      <c r="AK901" s="228"/>
      <c r="AL901" s="228"/>
      <c r="AM901" s="228"/>
      <c r="AN901" s="228"/>
      <c r="AO901" s="228"/>
      <c r="AP901" s="228"/>
      <c r="AQ901" s="228"/>
    </row>
    <row r="902">
      <c r="A902" s="228"/>
      <c r="B902" s="228"/>
      <c r="C902" s="228"/>
      <c r="D902" s="228"/>
      <c r="E902" s="228"/>
      <c r="F902" s="228"/>
      <c r="G902" s="228"/>
      <c r="H902" s="228"/>
      <c r="I902" s="228"/>
      <c r="J902" s="228"/>
      <c r="K902" s="228"/>
      <c r="L902" s="228"/>
      <c r="M902" s="228"/>
      <c r="N902" s="228"/>
      <c r="O902" s="228"/>
      <c r="P902" s="228"/>
      <c r="Q902" s="228"/>
      <c r="R902" s="228"/>
      <c r="S902" s="228"/>
      <c r="T902" s="228"/>
      <c r="U902" s="228"/>
      <c r="V902" s="228"/>
      <c r="W902" s="228"/>
      <c r="X902" s="228"/>
      <c r="Y902" s="228"/>
      <c r="Z902" s="228"/>
      <c r="AA902" s="228"/>
      <c r="AB902" s="228"/>
      <c r="AC902" s="228"/>
      <c r="AD902" s="228"/>
      <c r="AE902" s="228"/>
      <c r="AF902" s="228"/>
      <c r="AG902" s="228"/>
      <c r="AH902" s="228"/>
      <c r="AI902" s="228"/>
      <c r="AJ902" s="228"/>
      <c r="AK902" s="228"/>
      <c r="AL902" s="228"/>
      <c r="AM902" s="228"/>
      <c r="AN902" s="228"/>
      <c r="AO902" s="228"/>
      <c r="AP902" s="228"/>
      <c r="AQ902" s="228"/>
    </row>
    <row r="903">
      <c r="A903" s="228"/>
      <c r="B903" s="228"/>
      <c r="C903" s="228"/>
      <c r="D903" s="228"/>
      <c r="E903" s="228"/>
      <c r="F903" s="228"/>
      <c r="G903" s="228"/>
      <c r="H903" s="228"/>
      <c r="I903" s="228"/>
      <c r="J903" s="228"/>
      <c r="K903" s="228"/>
      <c r="L903" s="228"/>
      <c r="M903" s="228"/>
      <c r="N903" s="228"/>
      <c r="O903" s="228"/>
      <c r="P903" s="228"/>
      <c r="Q903" s="228"/>
      <c r="R903" s="228"/>
      <c r="S903" s="228"/>
      <c r="T903" s="228"/>
      <c r="U903" s="228"/>
      <c r="V903" s="228"/>
      <c r="W903" s="228"/>
      <c r="X903" s="228"/>
      <c r="Y903" s="228"/>
      <c r="Z903" s="228"/>
      <c r="AA903" s="228"/>
      <c r="AB903" s="228"/>
      <c r="AC903" s="228"/>
      <c r="AD903" s="228"/>
      <c r="AE903" s="228"/>
      <c r="AF903" s="228"/>
      <c r="AG903" s="228"/>
      <c r="AH903" s="228"/>
      <c r="AI903" s="228"/>
      <c r="AJ903" s="228"/>
      <c r="AK903" s="228"/>
      <c r="AL903" s="228"/>
      <c r="AM903" s="228"/>
      <c r="AN903" s="228"/>
      <c r="AO903" s="228"/>
      <c r="AP903" s="228"/>
      <c r="AQ903" s="228"/>
    </row>
    <row r="904">
      <c r="A904" s="228"/>
      <c r="B904" s="228"/>
      <c r="C904" s="228"/>
      <c r="D904" s="228"/>
      <c r="E904" s="228"/>
      <c r="F904" s="228"/>
      <c r="G904" s="228"/>
      <c r="H904" s="228"/>
      <c r="I904" s="228"/>
      <c r="J904" s="228"/>
      <c r="K904" s="228"/>
      <c r="L904" s="228"/>
      <c r="M904" s="228"/>
      <c r="N904" s="228"/>
      <c r="O904" s="228"/>
      <c r="P904" s="228"/>
      <c r="Q904" s="228"/>
      <c r="R904" s="228"/>
      <c r="S904" s="228"/>
      <c r="T904" s="228"/>
      <c r="U904" s="228"/>
      <c r="V904" s="228"/>
      <c r="W904" s="228"/>
      <c r="X904" s="228"/>
      <c r="Y904" s="228"/>
      <c r="Z904" s="228"/>
      <c r="AA904" s="228"/>
      <c r="AB904" s="228"/>
      <c r="AC904" s="228"/>
      <c r="AD904" s="228"/>
      <c r="AE904" s="228"/>
      <c r="AF904" s="228"/>
      <c r="AG904" s="228"/>
      <c r="AH904" s="228"/>
      <c r="AI904" s="228"/>
      <c r="AJ904" s="228"/>
      <c r="AK904" s="228"/>
      <c r="AL904" s="228"/>
      <c r="AM904" s="228"/>
      <c r="AN904" s="228"/>
      <c r="AO904" s="228"/>
      <c r="AP904" s="228"/>
      <c r="AQ904" s="228"/>
    </row>
    <row r="905">
      <c r="A905" s="228"/>
      <c r="B905" s="228"/>
      <c r="C905" s="228"/>
      <c r="D905" s="228"/>
      <c r="E905" s="228"/>
      <c r="F905" s="228"/>
      <c r="G905" s="228"/>
      <c r="H905" s="228"/>
      <c r="I905" s="228"/>
      <c r="J905" s="228"/>
      <c r="K905" s="228"/>
      <c r="L905" s="228"/>
      <c r="M905" s="228"/>
      <c r="N905" s="228"/>
      <c r="O905" s="228"/>
      <c r="P905" s="228"/>
      <c r="Q905" s="228"/>
      <c r="R905" s="228"/>
      <c r="S905" s="228"/>
      <c r="T905" s="228"/>
      <c r="U905" s="228"/>
      <c r="V905" s="228"/>
      <c r="W905" s="228"/>
      <c r="X905" s="228"/>
      <c r="Y905" s="228"/>
      <c r="Z905" s="228"/>
      <c r="AA905" s="228"/>
      <c r="AB905" s="228"/>
      <c r="AC905" s="228"/>
      <c r="AD905" s="228"/>
      <c r="AE905" s="228"/>
      <c r="AF905" s="228"/>
      <c r="AG905" s="228"/>
      <c r="AH905" s="228"/>
      <c r="AI905" s="228"/>
      <c r="AJ905" s="228"/>
      <c r="AK905" s="228"/>
      <c r="AL905" s="228"/>
      <c r="AM905" s="228"/>
      <c r="AN905" s="228"/>
      <c r="AO905" s="228"/>
      <c r="AP905" s="228"/>
      <c r="AQ905" s="228"/>
    </row>
    <row r="906">
      <c r="A906" s="228"/>
      <c r="B906" s="228"/>
      <c r="C906" s="228"/>
      <c r="D906" s="228"/>
      <c r="E906" s="228"/>
      <c r="F906" s="228"/>
      <c r="G906" s="228"/>
      <c r="H906" s="228"/>
      <c r="I906" s="228"/>
      <c r="J906" s="228"/>
      <c r="K906" s="228"/>
      <c r="L906" s="228"/>
      <c r="M906" s="228"/>
      <c r="N906" s="228"/>
      <c r="O906" s="228"/>
      <c r="P906" s="228"/>
      <c r="Q906" s="228"/>
      <c r="R906" s="228"/>
      <c r="S906" s="228"/>
      <c r="T906" s="228"/>
      <c r="U906" s="228"/>
      <c r="V906" s="228"/>
      <c r="W906" s="228"/>
      <c r="X906" s="228"/>
      <c r="Y906" s="228"/>
      <c r="Z906" s="228"/>
      <c r="AA906" s="228"/>
      <c r="AB906" s="228"/>
      <c r="AC906" s="228"/>
      <c r="AD906" s="228"/>
      <c r="AE906" s="228"/>
      <c r="AF906" s="228"/>
      <c r="AG906" s="228"/>
      <c r="AH906" s="228"/>
      <c r="AI906" s="228"/>
      <c r="AJ906" s="228"/>
      <c r="AK906" s="228"/>
      <c r="AL906" s="228"/>
      <c r="AM906" s="228"/>
      <c r="AN906" s="228"/>
      <c r="AO906" s="228"/>
      <c r="AP906" s="228"/>
      <c r="AQ906" s="228"/>
    </row>
    <row r="907">
      <c r="A907" s="228"/>
      <c r="B907" s="228"/>
      <c r="C907" s="228"/>
      <c r="D907" s="228"/>
      <c r="E907" s="228"/>
      <c r="F907" s="228"/>
      <c r="G907" s="228"/>
      <c r="H907" s="228"/>
      <c r="I907" s="228"/>
      <c r="J907" s="228"/>
      <c r="K907" s="228"/>
      <c r="L907" s="228"/>
      <c r="M907" s="228"/>
      <c r="N907" s="228"/>
      <c r="O907" s="228"/>
      <c r="P907" s="228"/>
      <c r="Q907" s="228"/>
      <c r="R907" s="228"/>
      <c r="S907" s="228"/>
      <c r="T907" s="228"/>
      <c r="U907" s="228"/>
      <c r="V907" s="228"/>
      <c r="W907" s="228"/>
      <c r="X907" s="228"/>
      <c r="Y907" s="228"/>
      <c r="Z907" s="228"/>
      <c r="AA907" s="228"/>
      <c r="AB907" s="228"/>
      <c r="AC907" s="228"/>
      <c r="AD907" s="228"/>
      <c r="AE907" s="228"/>
      <c r="AF907" s="228"/>
      <c r="AG907" s="228"/>
      <c r="AH907" s="228"/>
      <c r="AI907" s="228"/>
      <c r="AJ907" s="228"/>
      <c r="AK907" s="228"/>
      <c r="AL907" s="228"/>
      <c r="AM907" s="228"/>
      <c r="AN907" s="228"/>
      <c r="AO907" s="228"/>
      <c r="AP907" s="228"/>
      <c r="AQ907" s="228"/>
    </row>
    <row r="908">
      <c r="A908" s="228"/>
      <c r="B908" s="228"/>
      <c r="C908" s="228"/>
      <c r="D908" s="228"/>
      <c r="E908" s="228"/>
      <c r="F908" s="228"/>
      <c r="G908" s="228"/>
      <c r="H908" s="228"/>
      <c r="I908" s="228"/>
      <c r="J908" s="228"/>
      <c r="K908" s="228"/>
      <c r="L908" s="228"/>
      <c r="M908" s="228"/>
      <c r="N908" s="228"/>
      <c r="O908" s="228"/>
      <c r="P908" s="228"/>
      <c r="Q908" s="228"/>
      <c r="R908" s="228"/>
      <c r="S908" s="228"/>
      <c r="T908" s="228"/>
      <c r="U908" s="228"/>
      <c r="V908" s="228"/>
      <c r="W908" s="228"/>
      <c r="X908" s="228"/>
      <c r="Y908" s="228"/>
      <c r="Z908" s="228"/>
      <c r="AA908" s="228"/>
      <c r="AB908" s="228"/>
      <c r="AC908" s="228"/>
      <c r="AD908" s="228"/>
      <c r="AE908" s="228"/>
      <c r="AF908" s="228"/>
      <c r="AG908" s="228"/>
      <c r="AH908" s="228"/>
      <c r="AI908" s="228"/>
      <c r="AJ908" s="228"/>
      <c r="AK908" s="228"/>
      <c r="AL908" s="228"/>
      <c r="AM908" s="228"/>
      <c r="AN908" s="228"/>
      <c r="AO908" s="228"/>
      <c r="AP908" s="228"/>
      <c r="AQ908" s="228"/>
    </row>
    <row r="909">
      <c r="A909" s="228"/>
      <c r="B909" s="228"/>
      <c r="C909" s="228"/>
      <c r="D909" s="228"/>
      <c r="E909" s="228"/>
      <c r="F909" s="228"/>
      <c r="G909" s="228"/>
      <c r="H909" s="228"/>
      <c r="I909" s="228"/>
      <c r="J909" s="228"/>
      <c r="K909" s="228"/>
      <c r="L909" s="228"/>
      <c r="M909" s="228"/>
      <c r="N909" s="228"/>
      <c r="O909" s="228"/>
      <c r="P909" s="228"/>
      <c r="Q909" s="228"/>
      <c r="R909" s="228"/>
      <c r="S909" s="228"/>
      <c r="T909" s="228"/>
      <c r="U909" s="228"/>
      <c r="V909" s="228"/>
      <c r="W909" s="228"/>
      <c r="X909" s="228"/>
      <c r="Y909" s="228"/>
      <c r="Z909" s="228"/>
      <c r="AA909" s="228"/>
      <c r="AB909" s="228"/>
      <c r="AC909" s="228"/>
      <c r="AD909" s="228"/>
      <c r="AE909" s="228"/>
      <c r="AF909" s="228"/>
      <c r="AG909" s="228"/>
      <c r="AH909" s="228"/>
      <c r="AI909" s="228"/>
      <c r="AJ909" s="228"/>
      <c r="AK909" s="228"/>
      <c r="AL909" s="228"/>
      <c r="AM909" s="228"/>
      <c r="AN909" s="228"/>
      <c r="AO909" s="228"/>
      <c r="AP909" s="228"/>
      <c r="AQ909" s="228"/>
    </row>
    <row r="910">
      <c r="A910" s="228"/>
      <c r="B910" s="228"/>
      <c r="C910" s="228"/>
      <c r="D910" s="228"/>
      <c r="E910" s="228"/>
      <c r="F910" s="228"/>
      <c r="G910" s="228"/>
      <c r="H910" s="228"/>
      <c r="I910" s="228"/>
      <c r="J910" s="228"/>
      <c r="K910" s="228"/>
      <c r="L910" s="228"/>
      <c r="M910" s="228"/>
      <c r="N910" s="228"/>
      <c r="O910" s="228"/>
      <c r="P910" s="228"/>
      <c r="Q910" s="228"/>
      <c r="R910" s="228"/>
      <c r="S910" s="228"/>
      <c r="T910" s="228"/>
      <c r="U910" s="228"/>
      <c r="V910" s="228"/>
      <c r="W910" s="228"/>
      <c r="X910" s="228"/>
      <c r="Y910" s="228"/>
      <c r="Z910" s="228"/>
      <c r="AA910" s="228"/>
      <c r="AB910" s="228"/>
      <c r="AC910" s="228"/>
      <c r="AD910" s="228"/>
      <c r="AE910" s="228"/>
      <c r="AF910" s="228"/>
      <c r="AG910" s="228"/>
      <c r="AH910" s="228"/>
      <c r="AI910" s="228"/>
      <c r="AJ910" s="228"/>
      <c r="AK910" s="228"/>
      <c r="AL910" s="228"/>
      <c r="AM910" s="228"/>
      <c r="AN910" s="228"/>
      <c r="AO910" s="228"/>
      <c r="AP910" s="228"/>
      <c r="AQ910" s="228"/>
    </row>
    <row r="911">
      <c r="A911" s="228"/>
      <c r="B911" s="228"/>
      <c r="C911" s="228"/>
      <c r="D911" s="228"/>
      <c r="E911" s="228"/>
      <c r="F911" s="228"/>
      <c r="G911" s="228"/>
      <c r="H911" s="228"/>
      <c r="I911" s="228"/>
      <c r="J911" s="228"/>
      <c r="K911" s="228"/>
      <c r="L911" s="228"/>
      <c r="M911" s="228"/>
      <c r="N911" s="228"/>
      <c r="O911" s="228"/>
      <c r="P911" s="228"/>
      <c r="Q911" s="228"/>
      <c r="R911" s="228"/>
      <c r="S911" s="228"/>
      <c r="T911" s="228"/>
      <c r="U911" s="228"/>
      <c r="V911" s="228"/>
      <c r="W911" s="228"/>
      <c r="X911" s="228"/>
      <c r="Y911" s="228"/>
      <c r="Z911" s="228"/>
      <c r="AA911" s="228"/>
      <c r="AB911" s="228"/>
      <c r="AC911" s="228"/>
      <c r="AD911" s="228"/>
      <c r="AE911" s="228"/>
      <c r="AF911" s="228"/>
      <c r="AG911" s="228"/>
      <c r="AH911" s="228"/>
      <c r="AI911" s="228"/>
      <c r="AJ911" s="228"/>
      <c r="AK911" s="228"/>
      <c r="AL911" s="228"/>
      <c r="AM911" s="228"/>
      <c r="AN911" s="228"/>
      <c r="AO911" s="228"/>
      <c r="AP911" s="228"/>
      <c r="AQ911" s="228"/>
    </row>
    <row r="912">
      <c r="A912" s="228"/>
      <c r="B912" s="228"/>
      <c r="C912" s="228"/>
      <c r="D912" s="228"/>
      <c r="E912" s="228"/>
      <c r="F912" s="228"/>
      <c r="G912" s="228"/>
      <c r="H912" s="228"/>
      <c r="I912" s="228"/>
      <c r="J912" s="228"/>
      <c r="K912" s="228"/>
      <c r="L912" s="228"/>
      <c r="M912" s="228"/>
      <c r="N912" s="228"/>
      <c r="O912" s="228"/>
      <c r="P912" s="228"/>
      <c r="Q912" s="228"/>
      <c r="R912" s="228"/>
      <c r="S912" s="228"/>
      <c r="T912" s="228"/>
      <c r="U912" s="228"/>
      <c r="V912" s="228"/>
      <c r="W912" s="228"/>
      <c r="X912" s="228"/>
      <c r="Y912" s="228"/>
      <c r="Z912" s="228"/>
      <c r="AA912" s="228"/>
      <c r="AB912" s="228"/>
      <c r="AC912" s="228"/>
      <c r="AD912" s="228"/>
      <c r="AE912" s="228"/>
      <c r="AF912" s="228"/>
      <c r="AG912" s="228"/>
      <c r="AH912" s="228"/>
      <c r="AI912" s="228"/>
      <c r="AJ912" s="228"/>
      <c r="AK912" s="228"/>
      <c r="AL912" s="228"/>
      <c r="AM912" s="228"/>
      <c r="AN912" s="228"/>
      <c r="AO912" s="228"/>
      <c r="AP912" s="228"/>
      <c r="AQ912" s="228"/>
    </row>
    <row r="913">
      <c r="A913" s="228"/>
      <c r="B913" s="228"/>
      <c r="C913" s="228"/>
      <c r="D913" s="228"/>
      <c r="E913" s="228"/>
      <c r="F913" s="228"/>
      <c r="G913" s="228"/>
      <c r="H913" s="228"/>
      <c r="I913" s="228"/>
      <c r="J913" s="228"/>
      <c r="K913" s="228"/>
      <c r="L913" s="228"/>
      <c r="M913" s="228"/>
      <c r="N913" s="228"/>
      <c r="O913" s="228"/>
      <c r="P913" s="228"/>
      <c r="Q913" s="228"/>
      <c r="R913" s="228"/>
      <c r="S913" s="228"/>
      <c r="T913" s="228"/>
      <c r="U913" s="228"/>
      <c r="V913" s="228"/>
      <c r="W913" s="228"/>
      <c r="X913" s="228"/>
      <c r="Y913" s="228"/>
      <c r="Z913" s="228"/>
      <c r="AA913" s="228"/>
      <c r="AB913" s="228"/>
      <c r="AC913" s="228"/>
      <c r="AD913" s="228"/>
      <c r="AE913" s="228"/>
      <c r="AF913" s="228"/>
      <c r="AG913" s="228"/>
      <c r="AH913" s="228"/>
      <c r="AI913" s="228"/>
      <c r="AJ913" s="228"/>
      <c r="AK913" s="228"/>
      <c r="AL913" s="228"/>
      <c r="AM913" s="228"/>
      <c r="AN913" s="228"/>
      <c r="AO913" s="228"/>
      <c r="AP913" s="228"/>
      <c r="AQ913" s="228"/>
    </row>
    <row r="914">
      <c r="A914" s="228"/>
      <c r="B914" s="228"/>
      <c r="C914" s="228"/>
      <c r="D914" s="228"/>
      <c r="E914" s="228"/>
      <c r="F914" s="228"/>
      <c r="G914" s="228"/>
      <c r="H914" s="228"/>
      <c r="I914" s="228"/>
      <c r="J914" s="228"/>
      <c r="K914" s="228"/>
      <c r="L914" s="228"/>
      <c r="M914" s="228"/>
      <c r="N914" s="228"/>
      <c r="O914" s="228"/>
      <c r="P914" s="228"/>
      <c r="Q914" s="228"/>
      <c r="R914" s="228"/>
      <c r="S914" s="228"/>
      <c r="T914" s="228"/>
      <c r="U914" s="228"/>
      <c r="V914" s="228"/>
      <c r="W914" s="228"/>
      <c r="X914" s="228"/>
      <c r="Y914" s="228"/>
      <c r="Z914" s="228"/>
      <c r="AA914" s="228"/>
      <c r="AB914" s="228"/>
      <c r="AC914" s="228"/>
      <c r="AD914" s="228"/>
      <c r="AE914" s="228"/>
      <c r="AF914" s="228"/>
      <c r="AG914" s="228"/>
      <c r="AH914" s="228"/>
      <c r="AI914" s="228"/>
      <c r="AJ914" s="228"/>
      <c r="AK914" s="228"/>
      <c r="AL914" s="228"/>
      <c r="AM914" s="228"/>
      <c r="AN914" s="228"/>
      <c r="AO914" s="228"/>
      <c r="AP914" s="228"/>
      <c r="AQ914" s="228"/>
    </row>
    <row r="915">
      <c r="A915" s="228"/>
      <c r="B915" s="228"/>
      <c r="C915" s="228"/>
      <c r="D915" s="228"/>
      <c r="E915" s="228"/>
      <c r="F915" s="228"/>
      <c r="G915" s="228"/>
      <c r="H915" s="228"/>
      <c r="I915" s="228"/>
      <c r="J915" s="228"/>
      <c r="K915" s="228"/>
      <c r="L915" s="228"/>
      <c r="M915" s="228"/>
      <c r="N915" s="228"/>
      <c r="O915" s="228"/>
      <c r="P915" s="228"/>
      <c r="Q915" s="228"/>
      <c r="R915" s="228"/>
      <c r="S915" s="228"/>
      <c r="T915" s="228"/>
      <c r="U915" s="228"/>
      <c r="V915" s="228"/>
      <c r="W915" s="228"/>
      <c r="X915" s="228"/>
      <c r="Y915" s="228"/>
      <c r="Z915" s="228"/>
      <c r="AA915" s="228"/>
      <c r="AB915" s="228"/>
      <c r="AC915" s="228"/>
      <c r="AD915" s="228"/>
      <c r="AE915" s="228"/>
      <c r="AF915" s="228"/>
      <c r="AG915" s="228"/>
      <c r="AH915" s="228"/>
      <c r="AI915" s="228"/>
      <c r="AJ915" s="228"/>
      <c r="AK915" s="228"/>
      <c r="AL915" s="228"/>
      <c r="AM915" s="228"/>
      <c r="AN915" s="228"/>
      <c r="AO915" s="228"/>
      <c r="AP915" s="228"/>
      <c r="AQ915" s="228"/>
    </row>
    <row r="916">
      <c r="A916" s="228"/>
      <c r="B916" s="228"/>
      <c r="C916" s="228"/>
      <c r="D916" s="228"/>
      <c r="E916" s="228"/>
      <c r="F916" s="228"/>
      <c r="G916" s="228"/>
      <c r="H916" s="228"/>
      <c r="I916" s="228"/>
      <c r="J916" s="228"/>
      <c r="K916" s="228"/>
      <c r="L916" s="228"/>
      <c r="M916" s="228"/>
      <c r="N916" s="228"/>
      <c r="O916" s="228"/>
      <c r="P916" s="228"/>
      <c r="Q916" s="228"/>
      <c r="R916" s="228"/>
      <c r="S916" s="228"/>
      <c r="T916" s="228"/>
      <c r="U916" s="228"/>
      <c r="V916" s="228"/>
      <c r="W916" s="228"/>
      <c r="X916" s="228"/>
      <c r="Y916" s="228"/>
      <c r="Z916" s="228"/>
      <c r="AA916" s="228"/>
      <c r="AB916" s="228"/>
      <c r="AC916" s="228"/>
      <c r="AD916" s="228"/>
      <c r="AE916" s="228"/>
      <c r="AF916" s="228"/>
      <c r="AG916" s="228"/>
      <c r="AH916" s="228"/>
      <c r="AI916" s="228"/>
      <c r="AJ916" s="228"/>
      <c r="AK916" s="228"/>
      <c r="AL916" s="228"/>
      <c r="AM916" s="228"/>
      <c r="AN916" s="228"/>
      <c r="AO916" s="228"/>
      <c r="AP916" s="228"/>
      <c r="AQ916" s="228"/>
    </row>
    <row r="917">
      <c r="A917" s="228"/>
      <c r="B917" s="228"/>
      <c r="C917" s="228"/>
      <c r="D917" s="228"/>
      <c r="E917" s="228"/>
      <c r="F917" s="228"/>
      <c r="G917" s="228"/>
      <c r="H917" s="228"/>
      <c r="I917" s="228"/>
      <c r="J917" s="228"/>
      <c r="K917" s="228"/>
      <c r="L917" s="228"/>
      <c r="M917" s="228"/>
      <c r="N917" s="228"/>
      <c r="O917" s="228"/>
      <c r="P917" s="228"/>
      <c r="Q917" s="228"/>
      <c r="R917" s="228"/>
      <c r="S917" s="228"/>
      <c r="T917" s="228"/>
      <c r="U917" s="228"/>
      <c r="V917" s="228"/>
      <c r="W917" s="228"/>
      <c r="X917" s="228"/>
      <c r="Y917" s="228"/>
      <c r="Z917" s="228"/>
      <c r="AA917" s="228"/>
      <c r="AB917" s="228"/>
      <c r="AC917" s="228"/>
      <c r="AD917" s="228"/>
      <c r="AE917" s="228"/>
      <c r="AF917" s="228"/>
      <c r="AG917" s="228"/>
      <c r="AH917" s="228"/>
      <c r="AI917" s="228"/>
      <c r="AJ917" s="228"/>
      <c r="AK917" s="228"/>
      <c r="AL917" s="228"/>
      <c r="AM917" s="228"/>
      <c r="AN917" s="228"/>
      <c r="AO917" s="228"/>
      <c r="AP917" s="228"/>
      <c r="AQ917" s="228"/>
    </row>
    <row r="918">
      <c r="A918" s="228"/>
      <c r="B918" s="228"/>
      <c r="C918" s="228"/>
      <c r="D918" s="228"/>
      <c r="E918" s="228"/>
      <c r="F918" s="228"/>
      <c r="G918" s="228"/>
      <c r="H918" s="228"/>
      <c r="I918" s="228"/>
      <c r="J918" s="228"/>
      <c r="K918" s="228"/>
      <c r="L918" s="228"/>
      <c r="M918" s="228"/>
      <c r="N918" s="228"/>
      <c r="O918" s="228"/>
      <c r="P918" s="228"/>
      <c r="Q918" s="228"/>
      <c r="R918" s="228"/>
      <c r="S918" s="228"/>
      <c r="T918" s="228"/>
      <c r="U918" s="228"/>
      <c r="V918" s="228"/>
      <c r="W918" s="228"/>
      <c r="X918" s="228"/>
      <c r="Y918" s="228"/>
      <c r="Z918" s="228"/>
      <c r="AA918" s="228"/>
      <c r="AB918" s="228"/>
      <c r="AC918" s="228"/>
      <c r="AD918" s="228"/>
      <c r="AE918" s="228"/>
      <c r="AF918" s="228"/>
      <c r="AG918" s="228"/>
      <c r="AH918" s="228"/>
      <c r="AI918" s="228"/>
      <c r="AJ918" s="228"/>
      <c r="AK918" s="228"/>
      <c r="AL918" s="228"/>
      <c r="AM918" s="228"/>
      <c r="AN918" s="228"/>
      <c r="AO918" s="228"/>
      <c r="AP918" s="228"/>
      <c r="AQ918" s="228"/>
    </row>
    <row r="919">
      <c r="A919" s="228"/>
      <c r="B919" s="228"/>
      <c r="C919" s="228"/>
      <c r="D919" s="228"/>
      <c r="E919" s="228"/>
      <c r="F919" s="228"/>
      <c r="G919" s="228"/>
      <c r="H919" s="228"/>
      <c r="I919" s="228"/>
      <c r="J919" s="228"/>
      <c r="K919" s="228"/>
      <c r="L919" s="228"/>
      <c r="M919" s="228"/>
      <c r="N919" s="228"/>
      <c r="O919" s="228"/>
      <c r="P919" s="228"/>
      <c r="Q919" s="228"/>
      <c r="R919" s="228"/>
      <c r="S919" s="228"/>
      <c r="T919" s="228"/>
      <c r="U919" s="228"/>
      <c r="V919" s="228"/>
      <c r="W919" s="228"/>
      <c r="X919" s="228"/>
      <c r="Y919" s="228"/>
      <c r="Z919" s="228"/>
      <c r="AA919" s="228"/>
      <c r="AB919" s="228"/>
      <c r="AC919" s="228"/>
      <c r="AD919" s="228"/>
      <c r="AE919" s="228"/>
      <c r="AF919" s="228"/>
      <c r="AG919" s="228"/>
      <c r="AH919" s="228"/>
      <c r="AI919" s="228"/>
      <c r="AJ919" s="228"/>
      <c r="AK919" s="228"/>
      <c r="AL919" s="228"/>
      <c r="AM919" s="228"/>
      <c r="AN919" s="228"/>
      <c r="AO919" s="228"/>
      <c r="AP919" s="228"/>
      <c r="AQ919" s="228"/>
    </row>
    <row r="920">
      <c r="A920" s="228"/>
      <c r="B920" s="228"/>
      <c r="C920" s="228"/>
      <c r="D920" s="228"/>
      <c r="E920" s="228"/>
      <c r="F920" s="228"/>
      <c r="G920" s="228"/>
      <c r="H920" s="228"/>
      <c r="I920" s="228"/>
      <c r="J920" s="228"/>
      <c r="K920" s="228"/>
      <c r="L920" s="228"/>
      <c r="M920" s="228"/>
      <c r="N920" s="228"/>
      <c r="O920" s="228"/>
      <c r="P920" s="228"/>
      <c r="Q920" s="228"/>
      <c r="R920" s="228"/>
      <c r="S920" s="228"/>
      <c r="T920" s="228"/>
      <c r="U920" s="228"/>
      <c r="V920" s="228"/>
      <c r="W920" s="228"/>
      <c r="X920" s="228"/>
      <c r="Y920" s="228"/>
      <c r="Z920" s="228"/>
      <c r="AA920" s="228"/>
      <c r="AB920" s="228"/>
      <c r="AC920" s="228"/>
      <c r="AD920" s="228"/>
      <c r="AE920" s="228"/>
      <c r="AF920" s="228"/>
      <c r="AG920" s="228"/>
      <c r="AH920" s="228"/>
      <c r="AI920" s="228"/>
      <c r="AJ920" s="228"/>
      <c r="AK920" s="228"/>
      <c r="AL920" s="228"/>
      <c r="AM920" s="228"/>
      <c r="AN920" s="228"/>
      <c r="AO920" s="228"/>
      <c r="AP920" s="228"/>
      <c r="AQ920" s="228"/>
    </row>
    <row r="921">
      <c r="A921" s="228"/>
      <c r="B921" s="228"/>
      <c r="C921" s="228"/>
      <c r="D921" s="228"/>
      <c r="E921" s="228"/>
      <c r="F921" s="228"/>
      <c r="G921" s="228"/>
      <c r="H921" s="228"/>
      <c r="I921" s="228"/>
      <c r="J921" s="228"/>
      <c r="K921" s="228"/>
      <c r="L921" s="228"/>
      <c r="M921" s="228"/>
      <c r="N921" s="228"/>
      <c r="O921" s="228"/>
      <c r="P921" s="228"/>
      <c r="Q921" s="228"/>
      <c r="R921" s="228"/>
      <c r="S921" s="228"/>
      <c r="T921" s="228"/>
      <c r="U921" s="228"/>
      <c r="V921" s="228"/>
      <c r="W921" s="228"/>
      <c r="X921" s="228"/>
      <c r="Y921" s="228"/>
      <c r="Z921" s="228"/>
      <c r="AA921" s="228"/>
      <c r="AB921" s="228"/>
      <c r="AC921" s="228"/>
      <c r="AD921" s="228"/>
      <c r="AE921" s="228"/>
      <c r="AF921" s="228"/>
      <c r="AG921" s="228"/>
      <c r="AH921" s="228"/>
      <c r="AI921" s="228"/>
      <c r="AJ921" s="228"/>
      <c r="AK921" s="228"/>
      <c r="AL921" s="228"/>
      <c r="AM921" s="228"/>
      <c r="AN921" s="228"/>
      <c r="AO921" s="228"/>
      <c r="AP921" s="228"/>
      <c r="AQ921" s="228"/>
    </row>
    <row r="922">
      <c r="A922" s="228"/>
      <c r="B922" s="228"/>
      <c r="C922" s="228"/>
      <c r="D922" s="228"/>
      <c r="E922" s="228"/>
      <c r="F922" s="228"/>
      <c r="G922" s="228"/>
      <c r="H922" s="228"/>
      <c r="I922" s="228"/>
      <c r="J922" s="228"/>
      <c r="K922" s="228"/>
      <c r="L922" s="228"/>
      <c r="M922" s="228"/>
      <c r="N922" s="228"/>
      <c r="O922" s="228"/>
      <c r="P922" s="228"/>
      <c r="Q922" s="228"/>
      <c r="R922" s="228"/>
      <c r="S922" s="228"/>
      <c r="T922" s="228"/>
      <c r="U922" s="228"/>
      <c r="V922" s="228"/>
      <c r="W922" s="228"/>
      <c r="X922" s="228"/>
      <c r="Y922" s="228"/>
      <c r="Z922" s="228"/>
      <c r="AA922" s="228"/>
      <c r="AB922" s="228"/>
      <c r="AC922" s="228"/>
      <c r="AD922" s="228"/>
      <c r="AE922" s="228"/>
      <c r="AF922" s="228"/>
      <c r="AG922" s="228"/>
      <c r="AH922" s="228"/>
      <c r="AI922" s="228"/>
      <c r="AJ922" s="228"/>
      <c r="AK922" s="228"/>
      <c r="AL922" s="228"/>
      <c r="AM922" s="228"/>
      <c r="AN922" s="228"/>
      <c r="AO922" s="228"/>
      <c r="AP922" s="228"/>
      <c r="AQ922" s="228"/>
    </row>
    <row r="923">
      <c r="A923" s="228"/>
      <c r="B923" s="228"/>
      <c r="C923" s="228"/>
      <c r="D923" s="228"/>
      <c r="E923" s="228"/>
      <c r="F923" s="228"/>
      <c r="G923" s="228"/>
      <c r="H923" s="228"/>
      <c r="I923" s="228"/>
      <c r="J923" s="228"/>
      <c r="K923" s="228"/>
      <c r="L923" s="228"/>
      <c r="M923" s="228"/>
      <c r="N923" s="228"/>
      <c r="O923" s="228"/>
      <c r="P923" s="228"/>
      <c r="Q923" s="228"/>
      <c r="R923" s="228"/>
      <c r="S923" s="228"/>
      <c r="T923" s="228"/>
      <c r="U923" s="228"/>
      <c r="V923" s="228"/>
      <c r="W923" s="228"/>
      <c r="X923" s="228"/>
      <c r="Y923" s="228"/>
      <c r="Z923" s="228"/>
      <c r="AA923" s="228"/>
      <c r="AB923" s="228"/>
      <c r="AC923" s="228"/>
      <c r="AD923" s="228"/>
      <c r="AE923" s="228"/>
      <c r="AF923" s="228"/>
      <c r="AG923" s="228"/>
      <c r="AH923" s="228"/>
      <c r="AI923" s="228"/>
      <c r="AJ923" s="228"/>
      <c r="AK923" s="228"/>
      <c r="AL923" s="228"/>
      <c r="AM923" s="228"/>
      <c r="AN923" s="228"/>
      <c r="AO923" s="228"/>
      <c r="AP923" s="228"/>
      <c r="AQ923" s="228"/>
    </row>
    <row r="924">
      <c r="A924" s="228"/>
      <c r="B924" s="228"/>
      <c r="C924" s="228"/>
      <c r="D924" s="228"/>
      <c r="E924" s="228"/>
      <c r="F924" s="228"/>
      <c r="G924" s="228"/>
      <c r="H924" s="228"/>
      <c r="I924" s="228"/>
      <c r="J924" s="228"/>
      <c r="K924" s="228"/>
      <c r="L924" s="228"/>
      <c r="M924" s="228"/>
      <c r="N924" s="228"/>
      <c r="O924" s="228"/>
      <c r="P924" s="228"/>
      <c r="Q924" s="228"/>
      <c r="R924" s="228"/>
      <c r="S924" s="228"/>
      <c r="T924" s="228"/>
      <c r="U924" s="228"/>
      <c r="V924" s="228"/>
      <c r="W924" s="228"/>
      <c r="X924" s="228"/>
      <c r="Y924" s="228"/>
      <c r="Z924" s="228"/>
      <c r="AA924" s="228"/>
      <c r="AB924" s="228"/>
      <c r="AC924" s="228"/>
      <c r="AD924" s="228"/>
      <c r="AE924" s="228"/>
      <c r="AF924" s="228"/>
      <c r="AG924" s="228"/>
      <c r="AH924" s="228"/>
      <c r="AI924" s="228"/>
      <c r="AJ924" s="228"/>
      <c r="AK924" s="228"/>
      <c r="AL924" s="228"/>
      <c r="AM924" s="228"/>
      <c r="AN924" s="228"/>
      <c r="AO924" s="228"/>
      <c r="AP924" s="228"/>
      <c r="AQ924" s="228"/>
    </row>
    <row r="925">
      <c r="A925" s="228"/>
      <c r="B925" s="228"/>
      <c r="C925" s="228"/>
      <c r="D925" s="228"/>
      <c r="E925" s="228"/>
      <c r="F925" s="228"/>
      <c r="G925" s="228"/>
      <c r="H925" s="228"/>
      <c r="I925" s="228"/>
      <c r="J925" s="228"/>
      <c r="K925" s="228"/>
      <c r="L925" s="228"/>
      <c r="M925" s="228"/>
      <c r="N925" s="228"/>
      <c r="O925" s="228"/>
      <c r="P925" s="228"/>
      <c r="Q925" s="228"/>
      <c r="R925" s="228"/>
      <c r="S925" s="228"/>
      <c r="T925" s="228"/>
      <c r="U925" s="228"/>
      <c r="V925" s="228"/>
      <c r="W925" s="228"/>
      <c r="X925" s="228"/>
      <c r="Y925" s="228"/>
      <c r="Z925" s="228"/>
      <c r="AA925" s="228"/>
      <c r="AB925" s="228"/>
      <c r="AC925" s="228"/>
      <c r="AD925" s="228"/>
      <c r="AE925" s="228"/>
      <c r="AF925" s="228"/>
      <c r="AG925" s="228"/>
      <c r="AH925" s="228"/>
      <c r="AI925" s="228"/>
      <c r="AJ925" s="228"/>
      <c r="AK925" s="228"/>
      <c r="AL925" s="228"/>
      <c r="AM925" s="228"/>
      <c r="AN925" s="228"/>
      <c r="AO925" s="228"/>
      <c r="AP925" s="228"/>
      <c r="AQ925" s="228"/>
    </row>
    <row r="926">
      <c r="A926" s="228"/>
      <c r="B926" s="228"/>
      <c r="C926" s="228"/>
      <c r="D926" s="228"/>
      <c r="E926" s="228"/>
      <c r="F926" s="228"/>
      <c r="G926" s="228"/>
      <c r="H926" s="228"/>
      <c r="I926" s="228"/>
      <c r="J926" s="228"/>
      <c r="K926" s="228"/>
      <c r="L926" s="228"/>
      <c r="M926" s="228"/>
      <c r="N926" s="228"/>
      <c r="O926" s="228"/>
      <c r="P926" s="228"/>
      <c r="Q926" s="228"/>
      <c r="R926" s="228"/>
      <c r="S926" s="228"/>
      <c r="T926" s="228"/>
      <c r="U926" s="228"/>
      <c r="V926" s="228"/>
      <c r="W926" s="228"/>
      <c r="X926" s="228"/>
      <c r="Y926" s="228"/>
      <c r="Z926" s="228"/>
      <c r="AA926" s="228"/>
      <c r="AB926" s="228"/>
      <c r="AC926" s="228"/>
      <c r="AD926" s="228"/>
      <c r="AE926" s="228"/>
      <c r="AF926" s="228"/>
      <c r="AG926" s="228"/>
      <c r="AH926" s="228"/>
      <c r="AI926" s="228"/>
      <c r="AJ926" s="228"/>
      <c r="AK926" s="228"/>
      <c r="AL926" s="228"/>
      <c r="AM926" s="228"/>
      <c r="AN926" s="228"/>
      <c r="AO926" s="228"/>
      <c r="AP926" s="228"/>
      <c r="AQ926" s="228"/>
    </row>
    <row r="927">
      <c r="A927" s="228"/>
      <c r="B927" s="228"/>
      <c r="C927" s="228"/>
      <c r="D927" s="228"/>
      <c r="E927" s="228"/>
      <c r="F927" s="228"/>
      <c r="G927" s="228"/>
      <c r="H927" s="228"/>
      <c r="I927" s="228"/>
      <c r="J927" s="228"/>
      <c r="K927" s="228"/>
      <c r="L927" s="228"/>
      <c r="M927" s="228"/>
      <c r="N927" s="228"/>
      <c r="O927" s="228"/>
      <c r="P927" s="228"/>
      <c r="Q927" s="228"/>
      <c r="R927" s="228"/>
      <c r="S927" s="228"/>
      <c r="T927" s="228"/>
      <c r="U927" s="228"/>
      <c r="V927" s="228"/>
      <c r="W927" s="228"/>
      <c r="X927" s="228"/>
      <c r="Y927" s="228"/>
      <c r="Z927" s="228"/>
      <c r="AA927" s="228"/>
      <c r="AB927" s="228"/>
      <c r="AC927" s="228"/>
      <c r="AD927" s="228"/>
      <c r="AE927" s="228"/>
      <c r="AF927" s="228"/>
      <c r="AG927" s="228"/>
      <c r="AH927" s="228"/>
      <c r="AI927" s="228"/>
      <c r="AJ927" s="228"/>
      <c r="AK927" s="228"/>
      <c r="AL927" s="228"/>
      <c r="AM927" s="228"/>
      <c r="AN927" s="228"/>
      <c r="AO927" s="228"/>
      <c r="AP927" s="228"/>
      <c r="AQ927" s="228"/>
    </row>
    <row r="928">
      <c r="A928" s="228"/>
      <c r="B928" s="228"/>
      <c r="C928" s="228"/>
      <c r="D928" s="228"/>
      <c r="E928" s="228"/>
      <c r="F928" s="228"/>
      <c r="G928" s="228"/>
      <c r="H928" s="228"/>
      <c r="I928" s="228"/>
      <c r="J928" s="228"/>
      <c r="K928" s="228"/>
      <c r="L928" s="228"/>
      <c r="M928" s="228"/>
      <c r="N928" s="228"/>
      <c r="O928" s="228"/>
      <c r="P928" s="228"/>
      <c r="Q928" s="228"/>
      <c r="R928" s="228"/>
      <c r="S928" s="228"/>
      <c r="T928" s="228"/>
      <c r="U928" s="228"/>
      <c r="V928" s="228"/>
      <c r="W928" s="228"/>
      <c r="X928" s="228"/>
      <c r="Y928" s="228"/>
      <c r="Z928" s="228"/>
      <c r="AA928" s="228"/>
      <c r="AB928" s="228"/>
      <c r="AC928" s="228"/>
      <c r="AD928" s="228"/>
      <c r="AE928" s="228"/>
      <c r="AF928" s="228"/>
      <c r="AG928" s="228"/>
      <c r="AH928" s="228"/>
      <c r="AI928" s="228"/>
      <c r="AJ928" s="228"/>
      <c r="AK928" s="228"/>
      <c r="AL928" s="228"/>
      <c r="AM928" s="228"/>
      <c r="AN928" s="228"/>
      <c r="AO928" s="228"/>
      <c r="AP928" s="228"/>
      <c r="AQ928" s="228"/>
    </row>
    <row r="929">
      <c r="A929" s="228"/>
      <c r="B929" s="228"/>
      <c r="C929" s="228"/>
      <c r="D929" s="228"/>
      <c r="E929" s="228"/>
      <c r="F929" s="228"/>
      <c r="G929" s="228"/>
      <c r="H929" s="228"/>
      <c r="I929" s="228"/>
      <c r="J929" s="228"/>
      <c r="K929" s="228"/>
      <c r="L929" s="228"/>
      <c r="M929" s="228"/>
      <c r="N929" s="228"/>
      <c r="O929" s="228"/>
      <c r="P929" s="228"/>
      <c r="Q929" s="228"/>
      <c r="R929" s="228"/>
      <c r="S929" s="228"/>
      <c r="T929" s="228"/>
      <c r="U929" s="228"/>
      <c r="V929" s="228"/>
      <c r="W929" s="228"/>
      <c r="X929" s="228"/>
      <c r="Y929" s="228"/>
      <c r="Z929" s="228"/>
      <c r="AA929" s="228"/>
      <c r="AB929" s="228"/>
      <c r="AC929" s="228"/>
      <c r="AD929" s="228"/>
      <c r="AE929" s="228"/>
      <c r="AF929" s="228"/>
      <c r="AG929" s="228"/>
      <c r="AH929" s="228"/>
      <c r="AI929" s="228"/>
      <c r="AJ929" s="228"/>
      <c r="AK929" s="228"/>
      <c r="AL929" s="228"/>
      <c r="AM929" s="228"/>
      <c r="AN929" s="228"/>
      <c r="AO929" s="228"/>
      <c r="AP929" s="228"/>
      <c r="AQ929" s="228"/>
    </row>
    <row r="930">
      <c r="A930" s="228"/>
      <c r="B930" s="228"/>
      <c r="C930" s="228"/>
      <c r="D930" s="228"/>
      <c r="E930" s="228"/>
      <c r="F930" s="228"/>
      <c r="G930" s="228"/>
      <c r="H930" s="228"/>
      <c r="I930" s="228"/>
      <c r="J930" s="228"/>
      <c r="K930" s="228"/>
      <c r="L930" s="228"/>
      <c r="M930" s="228"/>
      <c r="N930" s="228"/>
      <c r="O930" s="228"/>
      <c r="P930" s="228"/>
      <c r="Q930" s="228"/>
      <c r="R930" s="228"/>
      <c r="S930" s="228"/>
      <c r="T930" s="228"/>
      <c r="U930" s="228"/>
      <c r="V930" s="228"/>
      <c r="W930" s="228"/>
      <c r="X930" s="228"/>
      <c r="Y930" s="228"/>
      <c r="Z930" s="228"/>
      <c r="AA930" s="228"/>
      <c r="AB930" s="228"/>
      <c r="AC930" s="228"/>
      <c r="AD930" s="228"/>
      <c r="AE930" s="228"/>
      <c r="AF930" s="228"/>
      <c r="AG930" s="228"/>
      <c r="AH930" s="228"/>
      <c r="AI930" s="228"/>
      <c r="AJ930" s="228"/>
      <c r="AK930" s="228"/>
      <c r="AL930" s="228"/>
      <c r="AM930" s="228"/>
      <c r="AN930" s="228"/>
      <c r="AO930" s="228"/>
      <c r="AP930" s="228"/>
      <c r="AQ930" s="228"/>
    </row>
    <row r="931">
      <c r="A931" s="228"/>
      <c r="B931" s="228"/>
      <c r="C931" s="228"/>
      <c r="D931" s="228"/>
      <c r="E931" s="228"/>
      <c r="F931" s="228"/>
      <c r="G931" s="228"/>
      <c r="H931" s="228"/>
      <c r="I931" s="228"/>
      <c r="J931" s="228"/>
      <c r="K931" s="228"/>
      <c r="L931" s="228"/>
      <c r="M931" s="228"/>
      <c r="N931" s="228"/>
      <c r="O931" s="228"/>
      <c r="P931" s="228"/>
      <c r="Q931" s="228"/>
      <c r="R931" s="228"/>
      <c r="S931" s="228"/>
      <c r="T931" s="228"/>
      <c r="U931" s="228"/>
      <c r="V931" s="228"/>
      <c r="W931" s="228"/>
      <c r="X931" s="228"/>
      <c r="Y931" s="228"/>
      <c r="Z931" s="228"/>
      <c r="AA931" s="228"/>
      <c r="AB931" s="228"/>
      <c r="AC931" s="228"/>
      <c r="AD931" s="228"/>
      <c r="AE931" s="228"/>
      <c r="AF931" s="228"/>
      <c r="AG931" s="228"/>
      <c r="AH931" s="228"/>
      <c r="AI931" s="228"/>
      <c r="AJ931" s="228"/>
      <c r="AK931" s="228"/>
      <c r="AL931" s="228"/>
      <c r="AM931" s="228"/>
      <c r="AN931" s="228"/>
      <c r="AO931" s="228"/>
      <c r="AP931" s="228"/>
      <c r="AQ931" s="228"/>
    </row>
    <row r="932">
      <c r="A932" s="228"/>
      <c r="B932" s="228"/>
      <c r="C932" s="228"/>
      <c r="D932" s="228"/>
      <c r="E932" s="228"/>
      <c r="F932" s="228"/>
      <c r="G932" s="228"/>
      <c r="H932" s="228"/>
      <c r="I932" s="228"/>
      <c r="J932" s="228"/>
      <c r="K932" s="228"/>
      <c r="L932" s="228"/>
      <c r="M932" s="228"/>
      <c r="N932" s="228"/>
      <c r="O932" s="228"/>
      <c r="P932" s="228"/>
      <c r="Q932" s="228"/>
      <c r="R932" s="228"/>
      <c r="S932" s="228"/>
      <c r="T932" s="228"/>
      <c r="U932" s="228"/>
      <c r="V932" s="228"/>
      <c r="W932" s="228"/>
      <c r="X932" s="228"/>
      <c r="Y932" s="228"/>
      <c r="Z932" s="228"/>
      <c r="AA932" s="228"/>
      <c r="AB932" s="228"/>
      <c r="AC932" s="228"/>
      <c r="AD932" s="228"/>
      <c r="AE932" s="228"/>
      <c r="AF932" s="228"/>
      <c r="AG932" s="228"/>
      <c r="AH932" s="228"/>
      <c r="AI932" s="228"/>
      <c r="AJ932" s="228"/>
      <c r="AK932" s="228"/>
      <c r="AL932" s="228"/>
      <c r="AM932" s="228"/>
      <c r="AN932" s="228"/>
      <c r="AO932" s="228"/>
      <c r="AP932" s="228"/>
      <c r="AQ932" s="228"/>
    </row>
    <row r="933">
      <c r="A933" s="228"/>
      <c r="B933" s="228"/>
      <c r="C933" s="228"/>
      <c r="D933" s="228"/>
      <c r="E933" s="228"/>
      <c r="F933" s="228"/>
      <c r="G933" s="228"/>
      <c r="H933" s="228"/>
      <c r="I933" s="228"/>
      <c r="J933" s="228"/>
      <c r="K933" s="228"/>
      <c r="L933" s="228"/>
      <c r="M933" s="228"/>
      <c r="N933" s="228"/>
      <c r="O933" s="228"/>
      <c r="P933" s="228"/>
      <c r="Q933" s="228"/>
      <c r="R933" s="228"/>
      <c r="S933" s="228"/>
      <c r="T933" s="228"/>
      <c r="U933" s="228"/>
      <c r="V933" s="228"/>
      <c r="W933" s="228"/>
      <c r="X933" s="228"/>
      <c r="Y933" s="228"/>
      <c r="Z933" s="228"/>
      <c r="AA933" s="228"/>
      <c r="AB933" s="228"/>
      <c r="AC933" s="228"/>
      <c r="AD933" s="228"/>
      <c r="AE933" s="228"/>
      <c r="AF933" s="228"/>
      <c r="AG933" s="228"/>
      <c r="AH933" s="228"/>
      <c r="AI933" s="228"/>
      <c r="AJ933" s="228"/>
      <c r="AK933" s="228"/>
      <c r="AL933" s="228"/>
      <c r="AM933" s="228"/>
      <c r="AN933" s="228"/>
      <c r="AO933" s="228"/>
      <c r="AP933" s="228"/>
      <c r="AQ933" s="228"/>
    </row>
    <row r="934">
      <c r="A934" s="228"/>
      <c r="B934" s="228"/>
      <c r="C934" s="228"/>
      <c r="D934" s="228"/>
      <c r="E934" s="228"/>
      <c r="F934" s="228"/>
      <c r="G934" s="228"/>
      <c r="H934" s="228"/>
      <c r="I934" s="228"/>
      <c r="J934" s="228"/>
      <c r="K934" s="228"/>
      <c r="L934" s="228"/>
      <c r="M934" s="228"/>
      <c r="N934" s="228"/>
      <c r="O934" s="228"/>
      <c r="P934" s="228"/>
      <c r="Q934" s="228"/>
      <c r="R934" s="228"/>
      <c r="S934" s="228"/>
      <c r="T934" s="228"/>
      <c r="U934" s="228"/>
      <c r="V934" s="228"/>
      <c r="W934" s="228"/>
      <c r="X934" s="228"/>
      <c r="Y934" s="228"/>
      <c r="Z934" s="228"/>
      <c r="AA934" s="228"/>
      <c r="AB934" s="228"/>
      <c r="AC934" s="228"/>
      <c r="AD934" s="228"/>
      <c r="AE934" s="228"/>
      <c r="AF934" s="228"/>
      <c r="AG934" s="228"/>
      <c r="AH934" s="228"/>
      <c r="AI934" s="228"/>
      <c r="AJ934" s="228"/>
      <c r="AK934" s="228"/>
      <c r="AL934" s="228"/>
      <c r="AM934" s="228"/>
      <c r="AN934" s="228"/>
      <c r="AO934" s="228"/>
      <c r="AP934" s="228"/>
      <c r="AQ934" s="228"/>
    </row>
    <row r="935">
      <c r="A935" s="228"/>
      <c r="B935" s="228"/>
      <c r="C935" s="228"/>
      <c r="D935" s="228"/>
      <c r="E935" s="228"/>
      <c r="F935" s="228"/>
      <c r="G935" s="228"/>
      <c r="H935" s="228"/>
      <c r="I935" s="228"/>
      <c r="J935" s="228"/>
      <c r="K935" s="228"/>
      <c r="L935" s="228"/>
      <c r="M935" s="228"/>
      <c r="N935" s="228"/>
      <c r="O935" s="228"/>
      <c r="P935" s="228"/>
      <c r="Q935" s="228"/>
      <c r="R935" s="228"/>
      <c r="S935" s="228"/>
      <c r="T935" s="228"/>
      <c r="U935" s="228"/>
      <c r="V935" s="228"/>
      <c r="W935" s="228"/>
      <c r="X935" s="228"/>
      <c r="Y935" s="228"/>
      <c r="Z935" s="228"/>
      <c r="AA935" s="228"/>
      <c r="AB935" s="228"/>
      <c r="AC935" s="228"/>
      <c r="AD935" s="228"/>
      <c r="AE935" s="228"/>
      <c r="AF935" s="228"/>
      <c r="AG935" s="228"/>
      <c r="AH935" s="228"/>
      <c r="AI935" s="228"/>
      <c r="AJ935" s="228"/>
      <c r="AK935" s="228"/>
      <c r="AL935" s="228"/>
      <c r="AM935" s="228"/>
      <c r="AN935" s="228"/>
      <c r="AO935" s="228"/>
      <c r="AP935" s="228"/>
      <c r="AQ935" s="228"/>
    </row>
    <row r="936">
      <c r="A936" s="228"/>
      <c r="B936" s="228"/>
      <c r="C936" s="228"/>
      <c r="D936" s="228"/>
      <c r="E936" s="228"/>
      <c r="F936" s="228"/>
      <c r="G936" s="228"/>
      <c r="H936" s="228"/>
      <c r="I936" s="228"/>
      <c r="J936" s="228"/>
      <c r="K936" s="228"/>
      <c r="L936" s="228"/>
      <c r="M936" s="228"/>
      <c r="N936" s="228"/>
      <c r="O936" s="228"/>
      <c r="P936" s="228"/>
      <c r="Q936" s="228"/>
      <c r="R936" s="228"/>
      <c r="S936" s="228"/>
      <c r="T936" s="228"/>
      <c r="U936" s="228"/>
      <c r="V936" s="228"/>
      <c r="W936" s="228"/>
      <c r="X936" s="228"/>
      <c r="Y936" s="228"/>
      <c r="Z936" s="228"/>
      <c r="AA936" s="228"/>
      <c r="AB936" s="228"/>
      <c r="AC936" s="228"/>
      <c r="AD936" s="228"/>
      <c r="AE936" s="228"/>
      <c r="AF936" s="228"/>
      <c r="AG936" s="228"/>
      <c r="AH936" s="228"/>
      <c r="AI936" s="228"/>
      <c r="AJ936" s="228"/>
      <c r="AK936" s="228"/>
      <c r="AL936" s="228"/>
      <c r="AM936" s="228"/>
      <c r="AN936" s="228"/>
      <c r="AO936" s="228"/>
      <c r="AP936" s="228"/>
      <c r="AQ936" s="228"/>
    </row>
    <row r="937">
      <c r="A937" s="228"/>
      <c r="B937" s="228"/>
      <c r="C937" s="228"/>
      <c r="D937" s="228"/>
      <c r="E937" s="228"/>
      <c r="F937" s="228"/>
      <c r="G937" s="228"/>
      <c r="H937" s="228"/>
      <c r="I937" s="228"/>
      <c r="J937" s="228"/>
      <c r="K937" s="228"/>
      <c r="L937" s="228"/>
      <c r="M937" s="228"/>
      <c r="N937" s="228"/>
      <c r="O937" s="228"/>
      <c r="P937" s="228"/>
      <c r="Q937" s="228"/>
      <c r="R937" s="228"/>
      <c r="S937" s="228"/>
      <c r="T937" s="228"/>
      <c r="U937" s="228"/>
      <c r="V937" s="228"/>
      <c r="W937" s="228"/>
      <c r="X937" s="228"/>
      <c r="Y937" s="228"/>
      <c r="Z937" s="228"/>
      <c r="AA937" s="228"/>
      <c r="AB937" s="228"/>
      <c r="AC937" s="228"/>
      <c r="AD937" s="228"/>
      <c r="AE937" s="228"/>
      <c r="AF937" s="228"/>
      <c r="AG937" s="228"/>
      <c r="AH937" s="228"/>
      <c r="AI937" s="228"/>
      <c r="AJ937" s="228"/>
      <c r="AK937" s="228"/>
      <c r="AL937" s="228"/>
      <c r="AM937" s="228"/>
      <c r="AN937" s="228"/>
      <c r="AO937" s="228"/>
      <c r="AP937" s="228"/>
      <c r="AQ937" s="228"/>
    </row>
    <row r="938">
      <c r="A938" s="228"/>
      <c r="B938" s="228"/>
      <c r="C938" s="228"/>
      <c r="D938" s="228"/>
      <c r="E938" s="228"/>
      <c r="F938" s="228"/>
      <c r="G938" s="228"/>
      <c r="H938" s="228"/>
      <c r="I938" s="228"/>
      <c r="J938" s="228"/>
      <c r="K938" s="228"/>
      <c r="L938" s="228"/>
      <c r="M938" s="228"/>
      <c r="N938" s="228"/>
      <c r="O938" s="228"/>
      <c r="P938" s="228"/>
      <c r="Q938" s="228"/>
      <c r="R938" s="228"/>
      <c r="S938" s="228"/>
      <c r="T938" s="228"/>
      <c r="U938" s="228"/>
      <c r="V938" s="228"/>
      <c r="W938" s="228"/>
      <c r="X938" s="228"/>
      <c r="Y938" s="228"/>
      <c r="Z938" s="228"/>
      <c r="AA938" s="228"/>
      <c r="AB938" s="228"/>
      <c r="AC938" s="228"/>
      <c r="AD938" s="228"/>
      <c r="AE938" s="228"/>
      <c r="AF938" s="228"/>
      <c r="AG938" s="228"/>
      <c r="AH938" s="228"/>
      <c r="AI938" s="228"/>
      <c r="AJ938" s="228"/>
      <c r="AK938" s="228"/>
      <c r="AL938" s="228"/>
      <c r="AM938" s="228"/>
      <c r="AN938" s="228"/>
      <c r="AO938" s="228"/>
      <c r="AP938" s="228"/>
      <c r="AQ938" s="228"/>
    </row>
    <row r="939">
      <c r="A939" s="228"/>
      <c r="B939" s="228"/>
      <c r="C939" s="228"/>
      <c r="D939" s="228"/>
      <c r="E939" s="228"/>
      <c r="F939" s="228"/>
      <c r="G939" s="228"/>
      <c r="H939" s="228"/>
      <c r="I939" s="228"/>
      <c r="J939" s="228"/>
      <c r="K939" s="228"/>
      <c r="L939" s="228"/>
      <c r="M939" s="228"/>
      <c r="N939" s="228"/>
      <c r="O939" s="228"/>
      <c r="P939" s="228"/>
      <c r="Q939" s="228"/>
      <c r="R939" s="228"/>
      <c r="S939" s="228"/>
      <c r="T939" s="228"/>
      <c r="U939" s="228"/>
      <c r="V939" s="228"/>
      <c r="W939" s="228"/>
      <c r="X939" s="228"/>
      <c r="Y939" s="228"/>
      <c r="Z939" s="228"/>
      <c r="AA939" s="228"/>
      <c r="AB939" s="228"/>
      <c r="AC939" s="228"/>
      <c r="AD939" s="228"/>
      <c r="AE939" s="228"/>
      <c r="AF939" s="228"/>
      <c r="AG939" s="228"/>
      <c r="AH939" s="228"/>
      <c r="AI939" s="228"/>
      <c r="AJ939" s="228"/>
      <c r="AK939" s="228"/>
      <c r="AL939" s="228"/>
      <c r="AM939" s="228"/>
      <c r="AN939" s="228"/>
      <c r="AO939" s="228"/>
      <c r="AP939" s="228"/>
      <c r="AQ939" s="228"/>
    </row>
    <row r="940">
      <c r="A940" s="228"/>
      <c r="B940" s="228"/>
      <c r="C940" s="228"/>
      <c r="D940" s="228"/>
      <c r="E940" s="228"/>
      <c r="F940" s="228"/>
      <c r="G940" s="228"/>
      <c r="H940" s="228"/>
      <c r="I940" s="228"/>
      <c r="J940" s="228"/>
      <c r="K940" s="228"/>
      <c r="L940" s="228"/>
      <c r="M940" s="228"/>
      <c r="N940" s="228"/>
      <c r="O940" s="228"/>
      <c r="P940" s="228"/>
      <c r="Q940" s="228"/>
      <c r="R940" s="228"/>
      <c r="S940" s="228"/>
      <c r="T940" s="228"/>
      <c r="U940" s="228"/>
      <c r="V940" s="228"/>
      <c r="W940" s="228"/>
      <c r="X940" s="228"/>
      <c r="Y940" s="228"/>
      <c r="Z940" s="228"/>
      <c r="AA940" s="228"/>
      <c r="AB940" s="228"/>
      <c r="AC940" s="228"/>
      <c r="AD940" s="228"/>
      <c r="AE940" s="228"/>
      <c r="AF940" s="228"/>
      <c r="AG940" s="228"/>
      <c r="AH940" s="228"/>
      <c r="AI940" s="228"/>
      <c r="AJ940" s="228"/>
      <c r="AK940" s="228"/>
      <c r="AL940" s="228"/>
      <c r="AM940" s="228"/>
      <c r="AN940" s="228"/>
      <c r="AO940" s="228"/>
      <c r="AP940" s="228"/>
      <c r="AQ940" s="228"/>
    </row>
    <row r="941">
      <c r="A941" s="228"/>
      <c r="B941" s="228"/>
      <c r="C941" s="228"/>
      <c r="D941" s="228"/>
      <c r="E941" s="228"/>
      <c r="F941" s="228"/>
      <c r="G941" s="228"/>
      <c r="H941" s="228"/>
      <c r="I941" s="228"/>
      <c r="J941" s="228"/>
      <c r="K941" s="228"/>
      <c r="L941" s="228"/>
      <c r="M941" s="228"/>
      <c r="N941" s="228"/>
      <c r="O941" s="228"/>
      <c r="P941" s="228"/>
      <c r="Q941" s="228"/>
      <c r="R941" s="228"/>
      <c r="S941" s="228"/>
      <c r="T941" s="228"/>
      <c r="U941" s="228"/>
      <c r="V941" s="228"/>
      <c r="W941" s="228"/>
      <c r="X941" s="228"/>
      <c r="Y941" s="228"/>
      <c r="Z941" s="228"/>
      <c r="AA941" s="228"/>
      <c r="AB941" s="228"/>
      <c r="AC941" s="228"/>
      <c r="AD941" s="228"/>
      <c r="AE941" s="228"/>
      <c r="AF941" s="228"/>
      <c r="AG941" s="228"/>
      <c r="AH941" s="228"/>
      <c r="AI941" s="228"/>
      <c r="AJ941" s="228"/>
      <c r="AK941" s="228"/>
      <c r="AL941" s="228"/>
      <c r="AM941" s="228"/>
      <c r="AN941" s="228"/>
      <c r="AO941" s="228"/>
      <c r="AP941" s="228"/>
      <c r="AQ941" s="228"/>
    </row>
    <row r="942">
      <c r="A942" s="228"/>
      <c r="B942" s="228"/>
      <c r="C942" s="228"/>
      <c r="D942" s="228"/>
      <c r="E942" s="228"/>
      <c r="F942" s="228"/>
      <c r="G942" s="228"/>
      <c r="H942" s="228"/>
      <c r="I942" s="228"/>
      <c r="J942" s="228"/>
      <c r="K942" s="228"/>
      <c r="L942" s="228"/>
      <c r="M942" s="228"/>
      <c r="N942" s="228"/>
      <c r="O942" s="228"/>
      <c r="P942" s="228"/>
      <c r="Q942" s="228"/>
      <c r="R942" s="228"/>
      <c r="S942" s="228"/>
      <c r="T942" s="228"/>
      <c r="U942" s="228"/>
      <c r="V942" s="228"/>
      <c r="W942" s="228"/>
      <c r="X942" s="228"/>
      <c r="Y942" s="228"/>
      <c r="Z942" s="228"/>
      <c r="AA942" s="228"/>
      <c r="AB942" s="228"/>
      <c r="AC942" s="228"/>
      <c r="AD942" s="228"/>
      <c r="AE942" s="228"/>
      <c r="AF942" s="228"/>
      <c r="AG942" s="228"/>
      <c r="AH942" s="228"/>
      <c r="AI942" s="228"/>
      <c r="AJ942" s="228"/>
      <c r="AK942" s="228"/>
      <c r="AL942" s="228"/>
      <c r="AM942" s="228"/>
      <c r="AN942" s="228"/>
      <c r="AO942" s="228"/>
      <c r="AP942" s="228"/>
      <c r="AQ942" s="228"/>
    </row>
    <row r="943">
      <c r="A943" s="228"/>
      <c r="B943" s="228"/>
      <c r="C943" s="228"/>
      <c r="D943" s="228"/>
      <c r="E943" s="228"/>
      <c r="F943" s="228"/>
      <c r="G943" s="228"/>
      <c r="H943" s="228"/>
      <c r="I943" s="228"/>
      <c r="J943" s="228"/>
      <c r="K943" s="228"/>
      <c r="L943" s="228"/>
      <c r="M943" s="228"/>
      <c r="N943" s="228"/>
      <c r="O943" s="228"/>
      <c r="P943" s="228"/>
      <c r="Q943" s="228"/>
      <c r="R943" s="228"/>
      <c r="S943" s="228"/>
      <c r="T943" s="228"/>
      <c r="U943" s="228"/>
      <c r="V943" s="228"/>
      <c r="W943" s="228"/>
      <c r="X943" s="228"/>
      <c r="Y943" s="228"/>
      <c r="Z943" s="228"/>
      <c r="AA943" s="228"/>
      <c r="AB943" s="228"/>
      <c r="AC943" s="228"/>
      <c r="AD943" s="228"/>
      <c r="AE943" s="228"/>
      <c r="AF943" s="228"/>
      <c r="AG943" s="228"/>
      <c r="AH943" s="228"/>
      <c r="AI943" s="228"/>
      <c r="AJ943" s="228"/>
      <c r="AK943" s="228"/>
      <c r="AL943" s="228"/>
      <c r="AM943" s="228"/>
      <c r="AN943" s="228"/>
      <c r="AO943" s="228"/>
      <c r="AP943" s="228"/>
      <c r="AQ943" s="228"/>
    </row>
    <row r="944">
      <c r="A944" s="228"/>
      <c r="B944" s="228"/>
      <c r="C944" s="228"/>
      <c r="D944" s="228"/>
      <c r="E944" s="228"/>
      <c r="F944" s="228"/>
      <c r="G944" s="228"/>
      <c r="H944" s="228"/>
      <c r="I944" s="228"/>
      <c r="J944" s="228"/>
      <c r="K944" s="228"/>
      <c r="L944" s="228"/>
      <c r="M944" s="228"/>
      <c r="N944" s="228"/>
      <c r="O944" s="228"/>
      <c r="P944" s="228"/>
      <c r="Q944" s="228"/>
      <c r="R944" s="228"/>
      <c r="S944" s="228"/>
      <c r="T944" s="228"/>
      <c r="U944" s="228"/>
      <c r="V944" s="228"/>
      <c r="W944" s="228"/>
      <c r="X944" s="228"/>
      <c r="Y944" s="228"/>
      <c r="Z944" s="228"/>
      <c r="AA944" s="228"/>
      <c r="AB944" s="228"/>
      <c r="AC944" s="228"/>
      <c r="AD944" s="228"/>
      <c r="AE944" s="228"/>
      <c r="AF944" s="228"/>
      <c r="AG944" s="228"/>
      <c r="AH944" s="228"/>
      <c r="AI944" s="228"/>
      <c r="AJ944" s="228"/>
      <c r="AK944" s="228"/>
      <c r="AL944" s="228"/>
      <c r="AM944" s="228"/>
      <c r="AN944" s="228"/>
      <c r="AO944" s="228"/>
      <c r="AP944" s="228"/>
      <c r="AQ944" s="228"/>
    </row>
    <row r="945">
      <c r="A945" s="228"/>
      <c r="B945" s="228"/>
      <c r="C945" s="228"/>
      <c r="D945" s="228"/>
      <c r="E945" s="228"/>
      <c r="F945" s="228"/>
      <c r="G945" s="228"/>
      <c r="H945" s="228"/>
      <c r="I945" s="228"/>
      <c r="J945" s="228"/>
      <c r="K945" s="228"/>
      <c r="L945" s="228"/>
      <c r="M945" s="228"/>
      <c r="N945" s="228"/>
      <c r="O945" s="228"/>
      <c r="P945" s="228"/>
      <c r="Q945" s="228"/>
      <c r="R945" s="228"/>
      <c r="S945" s="228"/>
      <c r="T945" s="228"/>
      <c r="U945" s="228"/>
      <c r="V945" s="228"/>
      <c r="W945" s="228"/>
      <c r="X945" s="228"/>
      <c r="Y945" s="228"/>
      <c r="Z945" s="228"/>
      <c r="AA945" s="228"/>
      <c r="AB945" s="228"/>
      <c r="AC945" s="228"/>
      <c r="AD945" s="228"/>
      <c r="AE945" s="228"/>
      <c r="AF945" s="228"/>
      <c r="AG945" s="228"/>
      <c r="AH945" s="228"/>
      <c r="AI945" s="228"/>
      <c r="AJ945" s="228"/>
      <c r="AK945" s="228"/>
      <c r="AL945" s="228"/>
      <c r="AM945" s="228"/>
      <c r="AN945" s="228"/>
      <c r="AO945" s="228"/>
      <c r="AP945" s="228"/>
      <c r="AQ945" s="228"/>
    </row>
    <row r="946">
      <c r="A946" s="228"/>
      <c r="B946" s="228"/>
      <c r="C946" s="228"/>
      <c r="D946" s="228"/>
      <c r="E946" s="228"/>
      <c r="F946" s="228"/>
      <c r="G946" s="228"/>
      <c r="H946" s="228"/>
      <c r="I946" s="228"/>
      <c r="J946" s="228"/>
      <c r="K946" s="228"/>
      <c r="L946" s="228"/>
      <c r="M946" s="228"/>
      <c r="N946" s="228"/>
      <c r="O946" s="228"/>
      <c r="P946" s="228"/>
      <c r="Q946" s="228"/>
      <c r="R946" s="228"/>
      <c r="S946" s="228"/>
      <c r="T946" s="228"/>
      <c r="U946" s="228"/>
      <c r="V946" s="228"/>
      <c r="W946" s="228"/>
      <c r="X946" s="228"/>
      <c r="Y946" s="228"/>
      <c r="Z946" s="228"/>
      <c r="AA946" s="228"/>
      <c r="AB946" s="228"/>
      <c r="AC946" s="228"/>
      <c r="AD946" s="228"/>
      <c r="AE946" s="228"/>
      <c r="AF946" s="228"/>
      <c r="AG946" s="228"/>
      <c r="AH946" s="228"/>
      <c r="AI946" s="228"/>
      <c r="AJ946" s="228"/>
      <c r="AK946" s="228"/>
      <c r="AL946" s="228"/>
      <c r="AM946" s="228"/>
      <c r="AN946" s="228"/>
      <c r="AO946" s="228"/>
      <c r="AP946" s="228"/>
      <c r="AQ946" s="228"/>
    </row>
    <row r="947">
      <c r="A947" s="228"/>
      <c r="B947" s="228"/>
      <c r="C947" s="228"/>
      <c r="D947" s="228"/>
      <c r="E947" s="228"/>
      <c r="F947" s="228"/>
      <c r="G947" s="228"/>
      <c r="H947" s="228"/>
      <c r="I947" s="228"/>
      <c r="J947" s="228"/>
      <c r="K947" s="228"/>
      <c r="L947" s="228"/>
      <c r="M947" s="228"/>
      <c r="N947" s="228"/>
      <c r="O947" s="228"/>
      <c r="P947" s="228"/>
      <c r="Q947" s="228"/>
      <c r="R947" s="228"/>
      <c r="S947" s="228"/>
      <c r="T947" s="228"/>
      <c r="U947" s="228"/>
      <c r="V947" s="228"/>
      <c r="W947" s="228"/>
      <c r="X947" s="228"/>
      <c r="Y947" s="228"/>
      <c r="Z947" s="228"/>
      <c r="AA947" s="228"/>
      <c r="AB947" s="228"/>
      <c r="AC947" s="228"/>
      <c r="AD947" s="228"/>
      <c r="AE947" s="228"/>
      <c r="AF947" s="228"/>
      <c r="AG947" s="228"/>
      <c r="AH947" s="228"/>
      <c r="AI947" s="228"/>
      <c r="AJ947" s="228"/>
      <c r="AK947" s="228"/>
      <c r="AL947" s="228"/>
      <c r="AM947" s="228"/>
      <c r="AN947" s="228"/>
      <c r="AO947" s="228"/>
      <c r="AP947" s="228"/>
      <c r="AQ947" s="228"/>
    </row>
    <row r="948">
      <c r="A948" s="228"/>
      <c r="B948" s="228"/>
      <c r="C948" s="228"/>
      <c r="D948" s="228"/>
      <c r="E948" s="228"/>
      <c r="F948" s="228"/>
      <c r="G948" s="228"/>
      <c r="H948" s="228"/>
      <c r="I948" s="228"/>
      <c r="J948" s="228"/>
      <c r="K948" s="228"/>
      <c r="L948" s="228"/>
      <c r="M948" s="228"/>
      <c r="N948" s="228"/>
      <c r="O948" s="228"/>
      <c r="P948" s="228"/>
      <c r="Q948" s="228"/>
      <c r="R948" s="228"/>
      <c r="S948" s="228"/>
      <c r="T948" s="228"/>
      <c r="U948" s="228"/>
      <c r="V948" s="228"/>
      <c r="W948" s="228"/>
      <c r="X948" s="228"/>
      <c r="Y948" s="228"/>
      <c r="Z948" s="228"/>
      <c r="AA948" s="228"/>
      <c r="AB948" s="228"/>
      <c r="AC948" s="228"/>
      <c r="AD948" s="228"/>
      <c r="AE948" s="228"/>
      <c r="AF948" s="228"/>
      <c r="AG948" s="228"/>
      <c r="AH948" s="228"/>
      <c r="AI948" s="228"/>
      <c r="AJ948" s="228"/>
      <c r="AK948" s="228"/>
      <c r="AL948" s="228"/>
      <c r="AM948" s="228"/>
      <c r="AN948" s="228"/>
      <c r="AO948" s="228"/>
      <c r="AP948" s="228"/>
      <c r="AQ948" s="228"/>
    </row>
    <row r="949">
      <c r="A949" s="228"/>
      <c r="B949" s="228"/>
      <c r="C949" s="228"/>
      <c r="D949" s="228"/>
      <c r="E949" s="228"/>
      <c r="F949" s="228"/>
      <c r="G949" s="228"/>
      <c r="H949" s="228"/>
      <c r="I949" s="228"/>
      <c r="J949" s="228"/>
      <c r="K949" s="228"/>
      <c r="L949" s="228"/>
      <c r="M949" s="228"/>
      <c r="N949" s="228"/>
      <c r="O949" s="228"/>
      <c r="P949" s="228"/>
      <c r="Q949" s="228"/>
      <c r="R949" s="228"/>
      <c r="S949" s="228"/>
      <c r="T949" s="228"/>
      <c r="U949" s="228"/>
      <c r="V949" s="228"/>
      <c r="W949" s="228"/>
      <c r="X949" s="228"/>
      <c r="Y949" s="228"/>
      <c r="Z949" s="228"/>
      <c r="AA949" s="228"/>
      <c r="AB949" s="228"/>
      <c r="AC949" s="228"/>
      <c r="AD949" s="228"/>
      <c r="AE949" s="228"/>
      <c r="AF949" s="228"/>
      <c r="AG949" s="228"/>
      <c r="AH949" s="228"/>
      <c r="AI949" s="228"/>
      <c r="AJ949" s="228"/>
      <c r="AK949" s="228"/>
      <c r="AL949" s="228"/>
      <c r="AM949" s="228"/>
      <c r="AN949" s="228"/>
      <c r="AO949" s="228"/>
      <c r="AP949" s="228"/>
      <c r="AQ949" s="228"/>
    </row>
    <row r="950">
      <c r="A950" s="228"/>
      <c r="B950" s="228"/>
      <c r="C950" s="228"/>
      <c r="D950" s="228"/>
      <c r="E950" s="228"/>
      <c r="F950" s="228"/>
      <c r="G950" s="228"/>
      <c r="H950" s="228"/>
      <c r="I950" s="228"/>
      <c r="J950" s="228"/>
      <c r="K950" s="228"/>
      <c r="L950" s="228"/>
      <c r="M950" s="228"/>
      <c r="N950" s="228"/>
      <c r="O950" s="228"/>
      <c r="P950" s="228"/>
      <c r="Q950" s="228"/>
      <c r="R950" s="228"/>
      <c r="S950" s="228"/>
      <c r="T950" s="228"/>
      <c r="U950" s="228"/>
      <c r="V950" s="228"/>
      <c r="W950" s="228"/>
      <c r="X950" s="228"/>
      <c r="Y950" s="228"/>
      <c r="Z950" s="228"/>
      <c r="AA950" s="228"/>
      <c r="AB950" s="228"/>
      <c r="AC950" s="228"/>
      <c r="AD950" s="228"/>
      <c r="AE950" s="228"/>
      <c r="AF950" s="228"/>
      <c r="AG950" s="228"/>
      <c r="AH950" s="228"/>
      <c r="AI950" s="228"/>
      <c r="AJ950" s="228"/>
      <c r="AK950" s="228"/>
      <c r="AL950" s="228"/>
      <c r="AM950" s="228"/>
      <c r="AN950" s="228"/>
      <c r="AO950" s="228"/>
      <c r="AP950" s="228"/>
      <c r="AQ950" s="228"/>
    </row>
    <row r="951">
      <c r="A951" s="228"/>
      <c r="B951" s="228"/>
      <c r="C951" s="228"/>
      <c r="D951" s="228"/>
      <c r="E951" s="228"/>
      <c r="F951" s="228"/>
      <c r="G951" s="228"/>
      <c r="H951" s="228"/>
      <c r="I951" s="228"/>
      <c r="J951" s="228"/>
      <c r="K951" s="228"/>
      <c r="L951" s="228"/>
      <c r="M951" s="228"/>
      <c r="N951" s="228"/>
      <c r="O951" s="228"/>
      <c r="P951" s="228"/>
      <c r="Q951" s="228"/>
      <c r="R951" s="228"/>
      <c r="S951" s="228"/>
      <c r="T951" s="228"/>
      <c r="U951" s="228"/>
      <c r="V951" s="228"/>
      <c r="W951" s="228"/>
      <c r="X951" s="228"/>
      <c r="Y951" s="228"/>
      <c r="Z951" s="228"/>
      <c r="AA951" s="228"/>
      <c r="AB951" s="228"/>
      <c r="AC951" s="228"/>
      <c r="AD951" s="228"/>
      <c r="AE951" s="228"/>
      <c r="AF951" s="228"/>
      <c r="AG951" s="228"/>
      <c r="AH951" s="228"/>
      <c r="AI951" s="228"/>
      <c r="AJ951" s="228"/>
      <c r="AK951" s="228"/>
      <c r="AL951" s="228"/>
      <c r="AM951" s="228"/>
      <c r="AN951" s="228"/>
      <c r="AO951" s="228"/>
      <c r="AP951" s="228"/>
      <c r="AQ951" s="228"/>
    </row>
    <row r="952">
      <c r="A952" s="228"/>
      <c r="B952" s="228"/>
      <c r="C952" s="228"/>
      <c r="D952" s="228"/>
      <c r="E952" s="228"/>
      <c r="F952" s="228"/>
      <c r="G952" s="228"/>
      <c r="H952" s="228"/>
      <c r="I952" s="228"/>
      <c r="J952" s="228"/>
      <c r="K952" s="228"/>
      <c r="L952" s="228"/>
      <c r="M952" s="228"/>
      <c r="N952" s="228"/>
      <c r="O952" s="228"/>
      <c r="P952" s="228"/>
      <c r="Q952" s="228"/>
      <c r="R952" s="228"/>
      <c r="S952" s="228"/>
      <c r="T952" s="228"/>
      <c r="U952" s="228"/>
      <c r="V952" s="228"/>
      <c r="W952" s="228"/>
      <c r="X952" s="228"/>
      <c r="Y952" s="228"/>
      <c r="Z952" s="228"/>
      <c r="AA952" s="228"/>
      <c r="AB952" s="228"/>
      <c r="AC952" s="228"/>
      <c r="AD952" s="228"/>
      <c r="AE952" s="228"/>
      <c r="AF952" s="228"/>
      <c r="AG952" s="228"/>
      <c r="AH952" s="228"/>
      <c r="AI952" s="228"/>
      <c r="AJ952" s="228"/>
      <c r="AK952" s="228"/>
      <c r="AL952" s="228"/>
      <c r="AM952" s="228"/>
      <c r="AN952" s="228"/>
      <c r="AO952" s="228"/>
      <c r="AP952" s="228"/>
      <c r="AQ952" s="228"/>
    </row>
    <row r="953">
      <c r="A953" s="228"/>
      <c r="B953" s="228"/>
      <c r="C953" s="228"/>
      <c r="D953" s="228"/>
      <c r="E953" s="228"/>
      <c r="F953" s="228"/>
      <c r="G953" s="228"/>
      <c r="H953" s="228"/>
      <c r="I953" s="228"/>
      <c r="J953" s="228"/>
      <c r="K953" s="228"/>
      <c r="L953" s="228"/>
      <c r="M953" s="228"/>
      <c r="N953" s="228"/>
      <c r="O953" s="228"/>
      <c r="P953" s="228"/>
      <c r="Q953" s="228"/>
      <c r="R953" s="228"/>
      <c r="S953" s="228"/>
      <c r="T953" s="228"/>
      <c r="U953" s="228"/>
      <c r="V953" s="228"/>
      <c r="W953" s="228"/>
      <c r="X953" s="228"/>
      <c r="Y953" s="228"/>
      <c r="Z953" s="228"/>
      <c r="AA953" s="228"/>
      <c r="AB953" s="228"/>
      <c r="AC953" s="228"/>
      <c r="AD953" s="228"/>
      <c r="AE953" s="228"/>
      <c r="AF953" s="228"/>
      <c r="AG953" s="228"/>
      <c r="AH953" s="228"/>
      <c r="AI953" s="228"/>
      <c r="AJ953" s="228"/>
      <c r="AK953" s="228"/>
      <c r="AL953" s="228"/>
      <c r="AM953" s="228"/>
      <c r="AN953" s="228"/>
      <c r="AO953" s="228"/>
      <c r="AP953" s="228"/>
      <c r="AQ953" s="228"/>
    </row>
    <row r="954">
      <c r="A954" s="228"/>
      <c r="B954" s="228"/>
      <c r="C954" s="228"/>
      <c r="D954" s="228"/>
      <c r="E954" s="228"/>
      <c r="F954" s="228"/>
      <c r="G954" s="228"/>
      <c r="H954" s="228"/>
      <c r="I954" s="228"/>
      <c r="J954" s="228"/>
      <c r="K954" s="228"/>
      <c r="L954" s="228"/>
      <c r="M954" s="228"/>
      <c r="N954" s="228"/>
      <c r="O954" s="228"/>
      <c r="P954" s="228"/>
      <c r="Q954" s="228"/>
      <c r="R954" s="228"/>
      <c r="S954" s="228"/>
      <c r="T954" s="228"/>
      <c r="U954" s="228"/>
      <c r="V954" s="228"/>
      <c r="W954" s="228"/>
      <c r="X954" s="228"/>
      <c r="Y954" s="228"/>
      <c r="Z954" s="228"/>
      <c r="AA954" s="228"/>
      <c r="AB954" s="228"/>
      <c r="AC954" s="228"/>
      <c r="AD954" s="228"/>
      <c r="AE954" s="228"/>
      <c r="AF954" s="228"/>
      <c r="AG954" s="228"/>
      <c r="AH954" s="228"/>
      <c r="AI954" s="228"/>
      <c r="AJ954" s="228"/>
      <c r="AK954" s="228"/>
      <c r="AL954" s="228"/>
      <c r="AM954" s="228"/>
      <c r="AN954" s="228"/>
      <c r="AO954" s="228"/>
      <c r="AP954" s="228"/>
      <c r="AQ954" s="228"/>
    </row>
    <row r="955">
      <c r="A955" s="228"/>
      <c r="B955" s="228"/>
      <c r="C955" s="228"/>
      <c r="D955" s="228"/>
      <c r="E955" s="228"/>
      <c r="F955" s="228"/>
      <c r="G955" s="228"/>
      <c r="H955" s="228"/>
      <c r="I955" s="228"/>
      <c r="J955" s="228"/>
      <c r="K955" s="228"/>
      <c r="L955" s="228"/>
      <c r="M955" s="228"/>
      <c r="N955" s="228"/>
      <c r="O955" s="228"/>
      <c r="P955" s="228"/>
      <c r="Q955" s="228"/>
      <c r="R955" s="228"/>
      <c r="S955" s="228"/>
      <c r="T955" s="228"/>
      <c r="U955" s="228"/>
      <c r="V955" s="228"/>
      <c r="W955" s="228"/>
      <c r="X955" s="228"/>
      <c r="Y955" s="228"/>
      <c r="Z955" s="228"/>
      <c r="AA955" s="228"/>
      <c r="AB955" s="228"/>
      <c r="AC955" s="228"/>
      <c r="AD955" s="228"/>
      <c r="AE955" s="228"/>
      <c r="AF955" s="228"/>
      <c r="AG955" s="228"/>
      <c r="AH955" s="228"/>
      <c r="AI955" s="228"/>
      <c r="AJ955" s="228"/>
      <c r="AK955" s="228"/>
      <c r="AL955" s="228"/>
      <c r="AM955" s="228"/>
      <c r="AN955" s="228"/>
      <c r="AO955" s="228"/>
      <c r="AP955" s="228"/>
      <c r="AQ955" s="228"/>
    </row>
    <row r="956">
      <c r="A956" s="228"/>
      <c r="B956" s="228"/>
      <c r="C956" s="228"/>
      <c r="D956" s="228"/>
      <c r="E956" s="228"/>
      <c r="F956" s="228"/>
      <c r="G956" s="228"/>
      <c r="H956" s="228"/>
      <c r="I956" s="228"/>
      <c r="J956" s="228"/>
      <c r="K956" s="228"/>
      <c r="L956" s="228"/>
      <c r="M956" s="228"/>
      <c r="N956" s="228"/>
      <c r="O956" s="228"/>
      <c r="P956" s="228"/>
      <c r="Q956" s="228"/>
      <c r="R956" s="228"/>
      <c r="S956" s="228"/>
      <c r="T956" s="228"/>
      <c r="U956" s="228"/>
      <c r="V956" s="228"/>
      <c r="W956" s="228"/>
      <c r="X956" s="228"/>
      <c r="Y956" s="228"/>
      <c r="Z956" s="228"/>
      <c r="AA956" s="228"/>
      <c r="AB956" s="228"/>
      <c r="AC956" s="228"/>
      <c r="AD956" s="228"/>
      <c r="AE956" s="228"/>
      <c r="AF956" s="228"/>
      <c r="AG956" s="228"/>
      <c r="AH956" s="228"/>
      <c r="AI956" s="228"/>
      <c r="AJ956" s="228"/>
      <c r="AK956" s="228"/>
      <c r="AL956" s="228"/>
      <c r="AM956" s="228"/>
      <c r="AN956" s="228"/>
      <c r="AO956" s="228"/>
      <c r="AP956" s="228"/>
      <c r="AQ956" s="228"/>
    </row>
    <row r="957">
      <c r="A957" s="228"/>
      <c r="B957" s="228"/>
      <c r="C957" s="228"/>
      <c r="D957" s="228"/>
      <c r="E957" s="228"/>
      <c r="F957" s="228"/>
      <c r="G957" s="228"/>
      <c r="H957" s="228"/>
      <c r="I957" s="228"/>
      <c r="J957" s="228"/>
      <c r="K957" s="228"/>
      <c r="L957" s="228"/>
      <c r="M957" s="228"/>
      <c r="N957" s="228"/>
      <c r="O957" s="228"/>
      <c r="P957" s="228"/>
      <c r="Q957" s="228"/>
      <c r="R957" s="228"/>
      <c r="S957" s="228"/>
      <c r="T957" s="228"/>
      <c r="U957" s="228"/>
      <c r="V957" s="228"/>
      <c r="W957" s="228"/>
      <c r="X957" s="228"/>
      <c r="Y957" s="228"/>
      <c r="Z957" s="228"/>
      <c r="AA957" s="228"/>
      <c r="AB957" s="228"/>
      <c r="AC957" s="228"/>
      <c r="AD957" s="228"/>
      <c r="AE957" s="228"/>
      <c r="AF957" s="228"/>
      <c r="AG957" s="228"/>
      <c r="AH957" s="228"/>
      <c r="AI957" s="228"/>
      <c r="AJ957" s="228"/>
      <c r="AK957" s="228"/>
      <c r="AL957" s="228"/>
      <c r="AM957" s="228"/>
      <c r="AN957" s="228"/>
      <c r="AO957" s="228"/>
      <c r="AP957" s="228"/>
      <c r="AQ957" s="228"/>
    </row>
    <row r="958">
      <c r="A958" s="228"/>
      <c r="B958" s="228"/>
      <c r="C958" s="228"/>
      <c r="D958" s="228"/>
      <c r="E958" s="228"/>
      <c r="F958" s="228"/>
      <c r="G958" s="228"/>
      <c r="H958" s="228"/>
      <c r="I958" s="228"/>
      <c r="J958" s="228"/>
      <c r="K958" s="228"/>
      <c r="L958" s="228"/>
      <c r="M958" s="228"/>
      <c r="N958" s="228"/>
      <c r="O958" s="228"/>
      <c r="P958" s="228"/>
      <c r="Q958" s="228"/>
      <c r="R958" s="228"/>
      <c r="S958" s="228"/>
      <c r="T958" s="228"/>
      <c r="U958" s="228"/>
      <c r="V958" s="228"/>
      <c r="W958" s="228"/>
      <c r="X958" s="228"/>
      <c r="Y958" s="228"/>
      <c r="Z958" s="228"/>
      <c r="AA958" s="228"/>
      <c r="AB958" s="228"/>
      <c r="AC958" s="228"/>
      <c r="AD958" s="228"/>
      <c r="AE958" s="228"/>
      <c r="AF958" s="228"/>
      <c r="AG958" s="228"/>
      <c r="AH958" s="228"/>
      <c r="AI958" s="228"/>
      <c r="AJ958" s="228"/>
      <c r="AK958" s="228"/>
      <c r="AL958" s="228"/>
      <c r="AM958" s="228"/>
      <c r="AN958" s="228"/>
      <c r="AO958" s="228"/>
      <c r="AP958" s="228"/>
      <c r="AQ958" s="228"/>
    </row>
    <row r="959">
      <c r="A959" s="228"/>
      <c r="B959" s="228"/>
      <c r="C959" s="228"/>
      <c r="D959" s="228"/>
      <c r="E959" s="228"/>
      <c r="F959" s="228"/>
      <c r="G959" s="228"/>
      <c r="H959" s="228"/>
      <c r="I959" s="228"/>
      <c r="J959" s="228"/>
      <c r="K959" s="228"/>
      <c r="L959" s="228"/>
      <c r="M959" s="228"/>
      <c r="N959" s="228"/>
      <c r="O959" s="228"/>
      <c r="P959" s="228"/>
      <c r="Q959" s="228"/>
      <c r="R959" s="228"/>
      <c r="S959" s="228"/>
      <c r="T959" s="228"/>
      <c r="U959" s="228"/>
      <c r="V959" s="228"/>
      <c r="W959" s="228"/>
      <c r="X959" s="228"/>
      <c r="Y959" s="228"/>
      <c r="Z959" s="228"/>
      <c r="AA959" s="228"/>
      <c r="AB959" s="228"/>
      <c r="AC959" s="228"/>
      <c r="AD959" s="228"/>
      <c r="AE959" s="228"/>
      <c r="AF959" s="228"/>
      <c r="AG959" s="228"/>
      <c r="AH959" s="228"/>
      <c r="AI959" s="228"/>
      <c r="AJ959" s="228"/>
      <c r="AK959" s="228"/>
      <c r="AL959" s="228"/>
      <c r="AM959" s="228"/>
      <c r="AN959" s="228"/>
      <c r="AO959" s="228"/>
      <c r="AP959" s="228"/>
      <c r="AQ959" s="228"/>
    </row>
    <row r="960">
      <c r="A960" s="228"/>
      <c r="B960" s="228"/>
      <c r="C960" s="228"/>
      <c r="D960" s="228"/>
      <c r="E960" s="228"/>
      <c r="F960" s="228"/>
      <c r="G960" s="228"/>
      <c r="H960" s="228"/>
      <c r="I960" s="228"/>
      <c r="J960" s="228"/>
      <c r="K960" s="228"/>
      <c r="L960" s="228"/>
      <c r="M960" s="228"/>
      <c r="N960" s="228"/>
      <c r="O960" s="228"/>
      <c r="P960" s="228"/>
      <c r="Q960" s="228"/>
      <c r="R960" s="228"/>
      <c r="S960" s="228"/>
      <c r="T960" s="228"/>
      <c r="U960" s="228"/>
      <c r="V960" s="228"/>
      <c r="W960" s="228"/>
      <c r="X960" s="228"/>
      <c r="Y960" s="228"/>
      <c r="Z960" s="228"/>
      <c r="AA960" s="228"/>
      <c r="AB960" s="228"/>
      <c r="AC960" s="228"/>
      <c r="AD960" s="228"/>
      <c r="AE960" s="228"/>
      <c r="AF960" s="228"/>
      <c r="AG960" s="228"/>
      <c r="AH960" s="228"/>
      <c r="AI960" s="228"/>
      <c r="AJ960" s="228"/>
      <c r="AK960" s="228"/>
      <c r="AL960" s="228"/>
      <c r="AM960" s="228"/>
      <c r="AN960" s="228"/>
      <c r="AO960" s="228"/>
      <c r="AP960" s="228"/>
      <c r="AQ960" s="228"/>
    </row>
    <row r="961">
      <c r="A961" s="228"/>
      <c r="B961" s="228"/>
      <c r="C961" s="228"/>
      <c r="D961" s="228"/>
      <c r="E961" s="228"/>
      <c r="F961" s="228"/>
      <c r="G961" s="228"/>
      <c r="H961" s="228"/>
      <c r="I961" s="228"/>
      <c r="J961" s="228"/>
      <c r="K961" s="228"/>
      <c r="L961" s="228"/>
      <c r="M961" s="228"/>
      <c r="N961" s="228"/>
      <c r="O961" s="228"/>
      <c r="P961" s="228"/>
      <c r="Q961" s="228"/>
      <c r="R961" s="228"/>
      <c r="S961" s="228"/>
      <c r="T961" s="228"/>
      <c r="U961" s="228"/>
      <c r="V961" s="228"/>
      <c r="W961" s="228"/>
      <c r="X961" s="228"/>
      <c r="Y961" s="228"/>
      <c r="Z961" s="228"/>
      <c r="AA961" s="228"/>
      <c r="AB961" s="228"/>
      <c r="AC961" s="228"/>
      <c r="AD961" s="228"/>
      <c r="AE961" s="228"/>
      <c r="AF961" s="228"/>
      <c r="AG961" s="228"/>
      <c r="AH961" s="228"/>
      <c r="AI961" s="228"/>
      <c r="AJ961" s="228"/>
      <c r="AK961" s="228"/>
      <c r="AL961" s="228"/>
      <c r="AM961" s="228"/>
      <c r="AN961" s="228"/>
      <c r="AO961" s="228"/>
      <c r="AP961" s="228"/>
      <c r="AQ961" s="228"/>
    </row>
    <row r="962">
      <c r="A962" s="228"/>
      <c r="B962" s="228"/>
      <c r="C962" s="228"/>
      <c r="D962" s="228"/>
      <c r="E962" s="228"/>
      <c r="F962" s="228"/>
      <c r="G962" s="228"/>
      <c r="H962" s="228"/>
      <c r="I962" s="228"/>
      <c r="J962" s="228"/>
      <c r="K962" s="228"/>
      <c r="L962" s="228"/>
      <c r="M962" s="228"/>
      <c r="N962" s="228"/>
      <c r="O962" s="228"/>
      <c r="P962" s="228"/>
      <c r="Q962" s="228"/>
      <c r="R962" s="228"/>
      <c r="S962" s="228"/>
      <c r="T962" s="228"/>
      <c r="U962" s="228"/>
      <c r="V962" s="228"/>
      <c r="W962" s="228"/>
      <c r="X962" s="228"/>
      <c r="Y962" s="228"/>
      <c r="Z962" s="228"/>
      <c r="AA962" s="228"/>
      <c r="AB962" s="228"/>
      <c r="AC962" s="228"/>
      <c r="AD962" s="228"/>
      <c r="AE962" s="228"/>
      <c r="AF962" s="228"/>
      <c r="AG962" s="228"/>
      <c r="AH962" s="228"/>
      <c r="AI962" s="228"/>
      <c r="AJ962" s="228"/>
      <c r="AK962" s="228"/>
      <c r="AL962" s="228"/>
      <c r="AM962" s="228"/>
      <c r="AN962" s="228"/>
      <c r="AO962" s="228"/>
      <c r="AP962" s="228"/>
      <c r="AQ962" s="228"/>
    </row>
    <row r="963">
      <c r="A963" s="228"/>
      <c r="B963" s="228"/>
      <c r="C963" s="228"/>
      <c r="D963" s="228"/>
      <c r="E963" s="228"/>
      <c r="F963" s="228"/>
      <c r="G963" s="228"/>
      <c r="H963" s="228"/>
      <c r="I963" s="228"/>
      <c r="J963" s="228"/>
      <c r="K963" s="228"/>
      <c r="L963" s="228"/>
      <c r="M963" s="228"/>
      <c r="N963" s="228"/>
      <c r="O963" s="228"/>
      <c r="P963" s="228"/>
      <c r="Q963" s="228"/>
      <c r="R963" s="228"/>
      <c r="S963" s="228"/>
      <c r="T963" s="228"/>
      <c r="U963" s="228"/>
      <c r="V963" s="228"/>
      <c r="W963" s="228"/>
      <c r="X963" s="228"/>
      <c r="Y963" s="228"/>
      <c r="Z963" s="228"/>
      <c r="AA963" s="228"/>
      <c r="AB963" s="228"/>
      <c r="AC963" s="228"/>
      <c r="AD963" s="228"/>
      <c r="AE963" s="228"/>
      <c r="AF963" s="228"/>
      <c r="AG963" s="228"/>
      <c r="AH963" s="228"/>
      <c r="AI963" s="228"/>
      <c r="AJ963" s="228"/>
      <c r="AK963" s="228"/>
      <c r="AL963" s="228"/>
      <c r="AM963" s="228"/>
      <c r="AN963" s="228"/>
      <c r="AO963" s="228"/>
      <c r="AP963" s="228"/>
      <c r="AQ963" s="228"/>
    </row>
    <row r="964">
      <c r="A964" s="228"/>
      <c r="B964" s="228"/>
      <c r="C964" s="228"/>
      <c r="D964" s="228"/>
      <c r="E964" s="228"/>
      <c r="F964" s="228"/>
      <c r="G964" s="228"/>
      <c r="H964" s="228"/>
      <c r="I964" s="228"/>
      <c r="J964" s="228"/>
      <c r="K964" s="228"/>
      <c r="L964" s="228"/>
      <c r="M964" s="228"/>
      <c r="N964" s="228"/>
      <c r="O964" s="228"/>
      <c r="P964" s="228"/>
      <c r="Q964" s="228"/>
      <c r="R964" s="228"/>
      <c r="S964" s="228"/>
      <c r="T964" s="228"/>
      <c r="U964" s="228"/>
      <c r="V964" s="228"/>
      <c r="W964" s="228"/>
      <c r="X964" s="228"/>
      <c r="Y964" s="228"/>
      <c r="Z964" s="228"/>
      <c r="AA964" s="228"/>
      <c r="AB964" s="228"/>
      <c r="AC964" s="228"/>
      <c r="AD964" s="228"/>
      <c r="AE964" s="228"/>
      <c r="AF964" s="228"/>
      <c r="AG964" s="228"/>
      <c r="AH964" s="228"/>
      <c r="AI964" s="228"/>
      <c r="AJ964" s="228"/>
      <c r="AK964" s="228"/>
      <c r="AL964" s="228"/>
      <c r="AM964" s="228"/>
      <c r="AN964" s="228"/>
      <c r="AO964" s="228"/>
      <c r="AP964" s="228"/>
      <c r="AQ964" s="228"/>
    </row>
    <row r="965">
      <c r="A965" s="228"/>
      <c r="B965" s="228"/>
      <c r="C965" s="228"/>
      <c r="D965" s="228"/>
      <c r="E965" s="228"/>
      <c r="F965" s="228"/>
      <c r="G965" s="228"/>
      <c r="H965" s="228"/>
      <c r="I965" s="228"/>
      <c r="J965" s="228"/>
      <c r="K965" s="228"/>
      <c r="L965" s="228"/>
      <c r="M965" s="228"/>
      <c r="N965" s="228"/>
      <c r="O965" s="228"/>
      <c r="P965" s="228"/>
      <c r="Q965" s="228"/>
      <c r="R965" s="228"/>
      <c r="S965" s="228"/>
      <c r="T965" s="228"/>
      <c r="U965" s="228"/>
      <c r="V965" s="228"/>
      <c r="W965" s="228"/>
      <c r="X965" s="228"/>
      <c r="Y965" s="228"/>
      <c r="Z965" s="228"/>
      <c r="AA965" s="228"/>
      <c r="AB965" s="228"/>
      <c r="AC965" s="228"/>
      <c r="AD965" s="228"/>
      <c r="AE965" s="228"/>
      <c r="AF965" s="228"/>
      <c r="AG965" s="228"/>
      <c r="AH965" s="228"/>
      <c r="AI965" s="228"/>
      <c r="AJ965" s="228"/>
      <c r="AK965" s="228"/>
      <c r="AL965" s="228"/>
      <c r="AM965" s="228"/>
      <c r="AN965" s="228"/>
      <c r="AO965" s="228"/>
      <c r="AP965" s="228"/>
      <c r="AQ965" s="228"/>
    </row>
    <row r="966">
      <c r="A966" s="228"/>
      <c r="B966" s="228"/>
      <c r="C966" s="228"/>
      <c r="D966" s="228"/>
      <c r="E966" s="228"/>
      <c r="F966" s="228"/>
      <c r="G966" s="228"/>
      <c r="H966" s="228"/>
      <c r="I966" s="228"/>
      <c r="J966" s="228"/>
      <c r="K966" s="228"/>
      <c r="L966" s="228"/>
      <c r="M966" s="228"/>
      <c r="N966" s="228"/>
      <c r="O966" s="228"/>
      <c r="P966" s="228"/>
      <c r="Q966" s="228"/>
      <c r="R966" s="228"/>
      <c r="S966" s="228"/>
      <c r="T966" s="228"/>
      <c r="U966" s="228"/>
      <c r="V966" s="228"/>
      <c r="W966" s="228"/>
      <c r="X966" s="228"/>
      <c r="Y966" s="228"/>
      <c r="Z966" s="228"/>
      <c r="AA966" s="228"/>
      <c r="AB966" s="228"/>
      <c r="AC966" s="228"/>
      <c r="AD966" s="228"/>
      <c r="AE966" s="228"/>
      <c r="AF966" s="228"/>
      <c r="AG966" s="228"/>
      <c r="AH966" s="228"/>
      <c r="AI966" s="228"/>
      <c r="AJ966" s="228"/>
      <c r="AK966" s="228"/>
      <c r="AL966" s="228"/>
      <c r="AM966" s="228"/>
      <c r="AN966" s="228"/>
      <c r="AO966" s="228"/>
      <c r="AP966" s="228"/>
      <c r="AQ966" s="228"/>
    </row>
    <row r="967">
      <c r="A967" s="228"/>
      <c r="B967" s="228"/>
      <c r="C967" s="228"/>
      <c r="D967" s="228"/>
      <c r="E967" s="228"/>
      <c r="F967" s="228"/>
      <c r="G967" s="228"/>
      <c r="H967" s="228"/>
      <c r="I967" s="228"/>
      <c r="J967" s="228"/>
      <c r="K967" s="228"/>
      <c r="L967" s="228"/>
      <c r="M967" s="228"/>
      <c r="N967" s="228"/>
      <c r="O967" s="228"/>
      <c r="P967" s="228"/>
      <c r="Q967" s="228"/>
      <c r="R967" s="228"/>
      <c r="S967" s="228"/>
      <c r="T967" s="228"/>
      <c r="U967" s="228"/>
      <c r="V967" s="228"/>
      <c r="W967" s="228"/>
      <c r="X967" s="228"/>
      <c r="Y967" s="228"/>
      <c r="Z967" s="228"/>
      <c r="AA967" s="228"/>
      <c r="AB967" s="228"/>
      <c r="AC967" s="228"/>
      <c r="AD967" s="228"/>
      <c r="AE967" s="228"/>
      <c r="AF967" s="228"/>
      <c r="AG967" s="228"/>
      <c r="AH967" s="228"/>
      <c r="AI967" s="228"/>
      <c r="AJ967" s="228"/>
      <c r="AK967" s="228"/>
      <c r="AL967" s="228"/>
      <c r="AM967" s="228"/>
      <c r="AN967" s="228"/>
      <c r="AO967" s="228"/>
      <c r="AP967" s="228"/>
      <c r="AQ967" s="228"/>
    </row>
    <row r="968">
      <c r="A968" s="228"/>
      <c r="B968" s="228"/>
      <c r="C968" s="228"/>
      <c r="D968" s="228"/>
      <c r="E968" s="228"/>
      <c r="F968" s="228"/>
      <c r="G968" s="228"/>
      <c r="H968" s="228"/>
      <c r="I968" s="228"/>
      <c r="J968" s="228"/>
      <c r="K968" s="228"/>
      <c r="L968" s="228"/>
      <c r="M968" s="228"/>
      <c r="N968" s="228"/>
      <c r="O968" s="228"/>
      <c r="P968" s="228"/>
      <c r="Q968" s="228"/>
      <c r="R968" s="228"/>
      <c r="S968" s="228"/>
      <c r="T968" s="228"/>
      <c r="U968" s="228"/>
      <c r="V968" s="228"/>
      <c r="W968" s="228"/>
      <c r="X968" s="228"/>
      <c r="Y968" s="228"/>
      <c r="Z968" s="228"/>
      <c r="AA968" s="228"/>
      <c r="AB968" s="228"/>
      <c r="AC968" s="228"/>
      <c r="AD968" s="228"/>
      <c r="AE968" s="228"/>
      <c r="AF968" s="228"/>
      <c r="AG968" s="228"/>
      <c r="AH968" s="228"/>
      <c r="AI968" s="228"/>
      <c r="AJ968" s="228"/>
      <c r="AK968" s="228"/>
      <c r="AL968" s="228"/>
      <c r="AM968" s="228"/>
      <c r="AN968" s="228"/>
      <c r="AO968" s="228"/>
      <c r="AP968" s="228"/>
      <c r="AQ968" s="228"/>
    </row>
    <row r="969">
      <c r="A969" s="228"/>
      <c r="B969" s="228"/>
      <c r="C969" s="228"/>
      <c r="D969" s="228"/>
      <c r="E969" s="228"/>
      <c r="F969" s="228"/>
      <c r="G969" s="228"/>
      <c r="H969" s="228"/>
      <c r="I969" s="228"/>
      <c r="J969" s="228"/>
      <c r="K969" s="228"/>
      <c r="L969" s="228"/>
      <c r="M969" s="228"/>
      <c r="N969" s="228"/>
      <c r="O969" s="228"/>
      <c r="P969" s="228"/>
      <c r="Q969" s="228"/>
      <c r="R969" s="228"/>
      <c r="S969" s="228"/>
      <c r="T969" s="228"/>
      <c r="U969" s="228"/>
      <c r="V969" s="228"/>
      <c r="W969" s="228"/>
      <c r="X969" s="228"/>
      <c r="Y969" s="228"/>
      <c r="Z969" s="228"/>
      <c r="AA969" s="228"/>
      <c r="AB969" s="228"/>
      <c r="AC969" s="228"/>
      <c r="AD969" s="228"/>
      <c r="AE969" s="228"/>
      <c r="AF969" s="228"/>
      <c r="AG969" s="228"/>
      <c r="AH969" s="228"/>
      <c r="AI969" s="228"/>
      <c r="AJ969" s="228"/>
      <c r="AK969" s="228"/>
      <c r="AL969" s="228"/>
      <c r="AM969" s="228"/>
      <c r="AN969" s="228"/>
      <c r="AO969" s="228"/>
      <c r="AP969" s="228"/>
      <c r="AQ969" s="228"/>
    </row>
    <row r="970">
      <c r="A970" s="228"/>
      <c r="B970" s="228"/>
      <c r="C970" s="228"/>
      <c r="D970" s="228"/>
      <c r="E970" s="228"/>
      <c r="F970" s="228"/>
      <c r="G970" s="228"/>
      <c r="H970" s="228"/>
      <c r="I970" s="228"/>
      <c r="J970" s="228"/>
      <c r="K970" s="228"/>
      <c r="L970" s="228"/>
      <c r="M970" s="228"/>
      <c r="N970" s="228"/>
      <c r="O970" s="228"/>
      <c r="P970" s="228"/>
      <c r="Q970" s="228"/>
      <c r="R970" s="228"/>
      <c r="S970" s="228"/>
      <c r="T970" s="228"/>
      <c r="U970" s="228"/>
      <c r="V970" s="228"/>
      <c r="W970" s="228"/>
      <c r="X970" s="228"/>
      <c r="Y970" s="228"/>
      <c r="Z970" s="228"/>
      <c r="AA970" s="228"/>
      <c r="AB970" s="228"/>
      <c r="AC970" s="228"/>
      <c r="AD970" s="228"/>
      <c r="AE970" s="228"/>
      <c r="AF970" s="228"/>
      <c r="AG970" s="228"/>
      <c r="AH970" s="228"/>
      <c r="AI970" s="228"/>
      <c r="AJ970" s="228"/>
      <c r="AK970" s="228"/>
      <c r="AL970" s="228"/>
      <c r="AM970" s="228"/>
      <c r="AN970" s="228"/>
      <c r="AO970" s="228"/>
      <c r="AP970" s="228"/>
      <c r="AQ970" s="228"/>
    </row>
    <row r="971">
      <c r="A971" s="228"/>
      <c r="B971" s="228"/>
      <c r="C971" s="228"/>
      <c r="D971" s="228"/>
      <c r="E971" s="228"/>
      <c r="F971" s="228"/>
      <c r="G971" s="228"/>
      <c r="H971" s="228"/>
      <c r="I971" s="228"/>
      <c r="J971" s="228"/>
      <c r="K971" s="228"/>
      <c r="L971" s="228"/>
      <c r="M971" s="228"/>
      <c r="N971" s="228"/>
      <c r="O971" s="228"/>
      <c r="P971" s="228"/>
      <c r="Q971" s="228"/>
      <c r="R971" s="228"/>
      <c r="S971" s="228"/>
      <c r="T971" s="228"/>
      <c r="U971" s="228"/>
      <c r="V971" s="228"/>
      <c r="W971" s="228"/>
      <c r="X971" s="228"/>
      <c r="Y971" s="228"/>
      <c r="Z971" s="228"/>
      <c r="AA971" s="228"/>
      <c r="AB971" s="228"/>
      <c r="AC971" s="228"/>
      <c r="AD971" s="228"/>
      <c r="AE971" s="228"/>
      <c r="AF971" s="228"/>
      <c r="AG971" s="228"/>
      <c r="AH971" s="228"/>
      <c r="AI971" s="228"/>
      <c r="AJ971" s="228"/>
      <c r="AK971" s="228"/>
      <c r="AL971" s="228"/>
      <c r="AM971" s="228"/>
      <c r="AN971" s="228"/>
      <c r="AO971" s="228"/>
      <c r="AP971" s="228"/>
      <c r="AQ971" s="228"/>
    </row>
    <row r="972">
      <c r="A972" s="228"/>
      <c r="B972" s="228"/>
      <c r="C972" s="228"/>
      <c r="D972" s="228"/>
      <c r="E972" s="228"/>
      <c r="F972" s="228"/>
      <c r="G972" s="228"/>
      <c r="H972" s="228"/>
      <c r="I972" s="228"/>
      <c r="J972" s="228"/>
      <c r="K972" s="228"/>
      <c r="L972" s="228"/>
      <c r="M972" s="228"/>
      <c r="N972" s="228"/>
      <c r="O972" s="228"/>
      <c r="P972" s="228"/>
      <c r="Q972" s="228"/>
      <c r="R972" s="228"/>
      <c r="S972" s="228"/>
      <c r="T972" s="228"/>
      <c r="U972" s="228"/>
      <c r="V972" s="228"/>
      <c r="W972" s="228"/>
      <c r="X972" s="228"/>
      <c r="Y972" s="228"/>
      <c r="Z972" s="228"/>
      <c r="AA972" s="228"/>
      <c r="AB972" s="228"/>
      <c r="AC972" s="228"/>
      <c r="AD972" s="228"/>
      <c r="AE972" s="228"/>
      <c r="AF972" s="228"/>
      <c r="AG972" s="228"/>
      <c r="AH972" s="228"/>
      <c r="AI972" s="228"/>
      <c r="AJ972" s="228"/>
      <c r="AK972" s="228"/>
      <c r="AL972" s="228"/>
      <c r="AM972" s="228"/>
      <c r="AN972" s="228"/>
      <c r="AO972" s="228"/>
      <c r="AP972" s="228"/>
      <c r="AQ972" s="228"/>
    </row>
    <row r="973">
      <c r="A973" s="228"/>
      <c r="B973" s="228"/>
      <c r="C973" s="228"/>
      <c r="D973" s="228"/>
      <c r="E973" s="228"/>
      <c r="F973" s="228"/>
      <c r="G973" s="228"/>
      <c r="H973" s="228"/>
      <c r="I973" s="228"/>
      <c r="J973" s="228"/>
      <c r="K973" s="228"/>
      <c r="L973" s="228"/>
      <c r="M973" s="228"/>
      <c r="N973" s="228"/>
      <c r="O973" s="228"/>
      <c r="P973" s="228"/>
      <c r="Q973" s="228"/>
      <c r="R973" s="228"/>
      <c r="S973" s="228"/>
      <c r="T973" s="228"/>
      <c r="U973" s="228"/>
      <c r="V973" s="228"/>
      <c r="W973" s="228"/>
      <c r="X973" s="228"/>
      <c r="Y973" s="228"/>
      <c r="Z973" s="228"/>
      <c r="AA973" s="228"/>
      <c r="AB973" s="228"/>
      <c r="AC973" s="228"/>
      <c r="AD973" s="228"/>
      <c r="AE973" s="228"/>
      <c r="AF973" s="228"/>
      <c r="AG973" s="228"/>
      <c r="AH973" s="228"/>
      <c r="AI973" s="228"/>
      <c r="AJ973" s="228"/>
      <c r="AK973" s="228"/>
      <c r="AL973" s="228"/>
      <c r="AM973" s="228"/>
      <c r="AN973" s="228"/>
      <c r="AO973" s="228"/>
      <c r="AP973" s="228"/>
      <c r="AQ973" s="228"/>
    </row>
    <row r="974">
      <c r="A974" s="228"/>
      <c r="B974" s="228"/>
      <c r="C974" s="228"/>
      <c r="D974" s="228"/>
      <c r="E974" s="228"/>
      <c r="F974" s="228"/>
      <c r="G974" s="228"/>
      <c r="H974" s="228"/>
      <c r="I974" s="228"/>
      <c r="J974" s="228"/>
      <c r="K974" s="228"/>
      <c r="L974" s="228"/>
      <c r="M974" s="228"/>
      <c r="N974" s="228"/>
      <c r="O974" s="228"/>
      <c r="P974" s="228"/>
      <c r="Q974" s="228"/>
      <c r="R974" s="228"/>
      <c r="S974" s="228"/>
      <c r="T974" s="228"/>
      <c r="U974" s="228"/>
      <c r="V974" s="228"/>
      <c r="W974" s="228"/>
      <c r="X974" s="228"/>
      <c r="Y974" s="228"/>
      <c r="Z974" s="228"/>
      <c r="AA974" s="228"/>
      <c r="AB974" s="228"/>
      <c r="AC974" s="228"/>
      <c r="AD974" s="228"/>
      <c r="AE974" s="228"/>
      <c r="AF974" s="228"/>
      <c r="AG974" s="228"/>
      <c r="AH974" s="228"/>
      <c r="AI974" s="228"/>
      <c r="AJ974" s="228"/>
      <c r="AK974" s="228"/>
      <c r="AL974" s="228"/>
      <c r="AM974" s="228"/>
      <c r="AN974" s="228"/>
      <c r="AO974" s="228"/>
      <c r="AP974" s="228"/>
      <c r="AQ974" s="228"/>
    </row>
    <row r="975">
      <c r="A975" s="228"/>
      <c r="B975" s="228"/>
      <c r="C975" s="228"/>
      <c r="D975" s="228"/>
      <c r="E975" s="228"/>
      <c r="F975" s="228"/>
      <c r="G975" s="228"/>
      <c r="H975" s="228"/>
      <c r="I975" s="228"/>
      <c r="J975" s="228"/>
      <c r="K975" s="228"/>
      <c r="L975" s="228"/>
      <c r="M975" s="228"/>
      <c r="N975" s="228"/>
      <c r="O975" s="228"/>
      <c r="P975" s="228"/>
      <c r="Q975" s="228"/>
      <c r="R975" s="228"/>
      <c r="S975" s="228"/>
      <c r="T975" s="228"/>
      <c r="U975" s="228"/>
      <c r="V975" s="228"/>
      <c r="W975" s="228"/>
      <c r="X975" s="228"/>
      <c r="Y975" s="228"/>
      <c r="Z975" s="228"/>
      <c r="AA975" s="228"/>
      <c r="AB975" s="228"/>
      <c r="AC975" s="228"/>
      <c r="AD975" s="228"/>
      <c r="AE975" s="228"/>
      <c r="AF975" s="228"/>
      <c r="AG975" s="228"/>
      <c r="AH975" s="228"/>
      <c r="AI975" s="228"/>
      <c r="AJ975" s="228"/>
      <c r="AK975" s="228"/>
      <c r="AL975" s="228"/>
      <c r="AM975" s="228"/>
      <c r="AN975" s="228"/>
      <c r="AO975" s="228"/>
      <c r="AP975" s="228"/>
      <c r="AQ975" s="228"/>
    </row>
    <row r="976">
      <c r="A976" s="228"/>
      <c r="B976" s="228"/>
      <c r="C976" s="228"/>
      <c r="D976" s="228"/>
      <c r="E976" s="228"/>
      <c r="F976" s="228"/>
      <c r="G976" s="228"/>
      <c r="H976" s="228"/>
      <c r="I976" s="228"/>
      <c r="J976" s="228"/>
      <c r="K976" s="228"/>
      <c r="L976" s="228"/>
      <c r="M976" s="228"/>
      <c r="N976" s="228"/>
      <c r="O976" s="228"/>
      <c r="P976" s="228"/>
      <c r="Q976" s="228"/>
      <c r="R976" s="228"/>
      <c r="S976" s="228"/>
      <c r="T976" s="228"/>
      <c r="U976" s="228"/>
      <c r="V976" s="228"/>
      <c r="W976" s="228"/>
      <c r="X976" s="228"/>
      <c r="Y976" s="228"/>
      <c r="Z976" s="228"/>
      <c r="AA976" s="228"/>
      <c r="AB976" s="228"/>
      <c r="AC976" s="228"/>
      <c r="AD976" s="228"/>
      <c r="AE976" s="228"/>
      <c r="AF976" s="228"/>
      <c r="AG976" s="228"/>
      <c r="AH976" s="228"/>
      <c r="AI976" s="228"/>
      <c r="AJ976" s="228"/>
      <c r="AK976" s="228"/>
      <c r="AL976" s="228"/>
      <c r="AM976" s="228"/>
      <c r="AN976" s="228"/>
      <c r="AO976" s="228"/>
      <c r="AP976" s="228"/>
      <c r="AQ976" s="228"/>
    </row>
    <row r="977">
      <c r="A977" s="228"/>
      <c r="B977" s="228"/>
      <c r="C977" s="228"/>
      <c r="D977" s="228"/>
      <c r="E977" s="228"/>
      <c r="F977" s="228"/>
      <c r="G977" s="228"/>
      <c r="H977" s="228"/>
      <c r="I977" s="228"/>
      <c r="J977" s="228"/>
      <c r="K977" s="228"/>
      <c r="L977" s="228"/>
      <c r="M977" s="228"/>
      <c r="N977" s="228"/>
      <c r="O977" s="228"/>
      <c r="P977" s="228"/>
      <c r="Q977" s="228"/>
      <c r="R977" s="228"/>
      <c r="S977" s="228"/>
      <c r="T977" s="228"/>
      <c r="U977" s="228"/>
      <c r="V977" s="228"/>
      <c r="W977" s="228"/>
      <c r="X977" s="228"/>
      <c r="Y977" s="228"/>
      <c r="Z977" s="228"/>
      <c r="AA977" s="228"/>
      <c r="AB977" s="228"/>
      <c r="AC977" s="228"/>
      <c r="AD977" s="228"/>
      <c r="AE977" s="228"/>
      <c r="AF977" s="228"/>
      <c r="AG977" s="228"/>
      <c r="AH977" s="228"/>
      <c r="AI977" s="228"/>
      <c r="AJ977" s="228"/>
      <c r="AK977" s="228"/>
      <c r="AL977" s="228"/>
      <c r="AM977" s="228"/>
      <c r="AN977" s="228"/>
      <c r="AO977" s="228"/>
      <c r="AP977" s="228"/>
      <c r="AQ977" s="228"/>
    </row>
    <row r="978">
      <c r="A978" s="228"/>
      <c r="B978" s="228"/>
      <c r="C978" s="228"/>
      <c r="D978" s="228"/>
      <c r="E978" s="228"/>
      <c r="F978" s="228"/>
      <c r="G978" s="228"/>
      <c r="H978" s="228"/>
      <c r="I978" s="228"/>
      <c r="J978" s="228"/>
      <c r="K978" s="228"/>
      <c r="L978" s="228"/>
      <c r="M978" s="228"/>
      <c r="N978" s="228"/>
      <c r="O978" s="228"/>
      <c r="P978" s="228"/>
      <c r="Q978" s="228"/>
      <c r="R978" s="228"/>
      <c r="S978" s="228"/>
      <c r="T978" s="228"/>
      <c r="U978" s="228"/>
      <c r="V978" s="228"/>
      <c r="W978" s="228"/>
      <c r="X978" s="228"/>
      <c r="Y978" s="228"/>
      <c r="Z978" s="228"/>
      <c r="AA978" s="228"/>
      <c r="AB978" s="228"/>
      <c r="AC978" s="228"/>
      <c r="AD978" s="228"/>
      <c r="AE978" s="228"/>
      <c r="AF978" s="228"/>
      <c r="AG978" s="228"/>
      <c r="AH978" s="228"/>
      <c r="AI978" s="228"/>
      <c r="AJ978" s="228"/>
      <c r="AK978" s="228"/>
      <c r="AL978" s="228"/>
      <c r="AM978" s="228"/>
      <c r="AN978" s="228"/>
      <c r="AO978" s="228"/>
      <c r="AP978" s="228"/>
      <c r="AQ978" s="228"/>
    </row>
    <row r="979">
      <c r="A979" s="228"/>
      <c r="B979" s="228"/>
      <c r="C979" s="228"/>
      <c r="D979" s="228"/>
      <c r="E979" s="228"/>
      <c r="F979" s="228"/>
      <c r="G979" s="228"/>
      <c r="H979" s="228"/>
      <c r="I979" s="228"/>
      <c r="J979" s="228"/>
      <c r="K979" s="228"/>
      <c r="L979" s="228"/>
      <c r="M979" s="228"/>
      <c r="N979" s="228"/>
      <c r="O979" s="228"/>
      <c r="P979" s="228"/>
      <c r="Q979" s="228"/>
      <c r="R979" s="228"/>
      <c r="S979" s="228"/>
      <c r="T979" s="228"/>
      <c r="U979" s="228"/>
      <c r="V979" s="228"/>
      <c r="W979" s="228"/>
      <c r="X979" s="228"/>
      <c r="Y979" s="228"/>
      <c r="Z979" s="228"/>
      <c r="AA979" s="228"/>
      <c r="AB979" s="228"/>
      <c r="AC979" s="228"/>
      <c r="AD979" s="228"/>
      <c r="AE979" s="228"/>
      <c r="AF979" s="228"/>
      <c r="AG979" s="228"/>
      <c r="AH979" s="228"/>
      <c r="AI979" s="228"/>
      <c r="AJ979" s="228"/>
      <c r="AK979" s="228"/>
      <c r="AL979" s="228"/>
      <c r="AM979" s="228"/>
      <c r="AN979" s="228"/>
      <c r="AO979" s="228"/>
      <c r="AP979" s="228"/>
      <c r="AQ979" s="228"/>
    </row>
    <row r="980">
      <c r="A980" s="228"/>
      <c r="B980" s="228"/>
      <c r="C980" s="228"/>
      <c r="D980" s="228"/>
      <c r="E980" s="228"/>
      <c r="F980" s="228"/>
      <c r="G980" s="228"/>
      <c r="H980" s="228"/>
      <c r="I980" s="228"/>
      <c r="J980" s="228"/>
      <c r="K980" s="228"/>
      <c r="L980" s="228"/>
      <c r="M980" s="228"/>
      <c r="N980" s="228"/>
      <c r="O980" s="228"/>
      <c r="P980" s="228"/>
      <c r="Q980" s="228"/>
      <c r="R980" s="228"/>
      <c r="S980" s="228"/>
      <c r="T980" s="228"/>
      <c r="U980" s="228"/>
      <c r="V980" s="228"/>
      <c r="W980" s="228"/>
      <c r="X980" s="228"/>
      <c r="Y980" s="228"/>
      <c r="Z980" s="228"/>
      <c r="AA980" s="228"/>
      <c r="AB980" s="228"/>
      <c r="AC980" s="228"/>
      <c r="AD980" s="228"/>
      <c r="AE980" s="228"/>
      <c r="AF980" s="228"/>
      <c r="AG980" s="228"/>
      <c r="AH980" s="228"/>
      <c r="AI980" s="228"/>
      <c r="AJ980" s="228"/>
      <c r="AK980" s="228"/>
      <c r="AL980" s="228"/>
      <c r="AM980" s="228"/>
      <c r="AN980" s="228"/>
      <c r="AO980" s="228"/>
      <c r="AP980" s="228"/>
      <c r="AQ980" s="228"/>
    </row>
    <row r="981">
      <c r="A981" s="228"/>
      <c r="B981" s="228"/>
      <c r="C981" s="228"/>
      <c r="D981" s="228"/>
      <c r="E981" s="228"/>
      <c r="F981" s="228"/>
      <c r="G981" s="228"/>
      <c r="H981" s="228"/>
      <c r="I981" s="228"/>
      <c r="J981" s="228"/>
      <c r="K981" s="228"/>
      <c r="L981" s="228"/>
      <c r="M981" s="228"/>
      <c r="N981" s="228"/>
      <c r="O981" s="228"/>
      <c r="P981" s="228"/>
      <c r="Q981" s="228"/>
      <c r="R981" s="228"/>
      <c r="S981" s="228"/>
      <c r="T981" s="228"/>
      <c r="U981" s="228"/>
      <c r="V981" s="228"/>
      <c r="W981" s="228"/>
      <c r="X981" s="228"/>
      <c r="Y981" s="228"/>
      <c r="Z981" s="228"/>
      <c r="AA981" s="228"/>
      <c r="AB981" s="228"/>
      <c r="AC981" s="228"/>
      <c r="AD981" s="228"/>
      <c r="AE981" s="228"/>
      <c r="AF981" s="228"/>
      <c r="AG981" s="228"/>
      <c r="AH981" s="228"/>
      <c r="AI981" s="228"/>
      <c r="AJ981" s="228"/>
      <c r="AK981" s="228"/>
      <c r="AL981" s="228"/>
      <c r="AM981" s="228"/>
      <c r="AN981" s="228"/>
      <c r="AO981" s="228"/>
      <c r="AP981" s="228"/>
      <c r="AQ981" s="228"/>
    </row>
    <row r="982">
      <c r="A982" s="228"/>
      <c r="B982" s="228"/>
      <c r="C982" s="228"/>
      <c r="D982" s="228"/>
      <c r="E982" s="228"/>
      <c r="F982" s="228"/>
      <c r="G982" s="228"/>
      <c r="H982" s="228"/>
      <c r="I982" s="228"/>
      <c r="J982" s="228"/>
      <c r="K982" s="228"/>
      <c r="L982" s="228"/>
      <c r="M982" s="228"/>
      <c r="N982" s="228"/>
      <c r="O982" s="228"/>
      <c r="P982" s="228"/>
      <c r="Q982" s="228"/>
      <c r="R982" s="228"/>
      <c r="S982" s="228"/>
      <c r="T982" s="228"/>
      <c r="U982" s="228"/>
      <c r="V982" s="228"/>
      <c r="W982" s="228"/>
      <c r="X982" s="228"/>
      <c r="Y982" s="228"/>
      <c r="Z982" s="228"/>
      <c r="AA982" s="228"/>
      <c r="AB982" s="228"/>
      <c r="AC982" s="228"/>
      <c r="AD982" s="228"/>
      <c r="AE982" s="228"/>
      <c r="AF982" s="228"/>
      <c r="AG982" s="228"/>
      <c r="AH982" s="228"/>
      <c r="AI982" s="228"/>
      <c r="AJ982" s="228"/>
      <c r="AK982" s="228"/>
      <c r="AL982" s="228"/>
      <c r="AM982" s="228"/>
      <c r="AN982" s="228"/>
      <c r="AO982" s="228"/>
      <c r="AP982" s="228"/>
      <c r="AQ982" s="228"/>
    </row>
    <row r="983">
      <c r="A983" s="228"/>
      <c r="B983" s="228"/>
      <c r="C983" s="228"/>
      <c r="D983" s="228"/>
      <c r="E983" s="228"/>
      <c r="F983" s="228"/>
      <c r="G983" s="228"/>
      <c r="H983" s="228"/>
      <c r="I983" s="228"/>
      <c r="J983" s="228"/>
      <c r="K983" s="228"/>
      <c r="L983" s="228"/>
      <c r="M983" s="228"/>
      <c r="N983" s="228"/>
      <c r="O983" s="228"/>
      <c r="P983" s="228"/>
      <c r="Q983" s="228"/>
      <c r="R983" s="228"/>
      <c r="S983" s="228"/>
      <c r="T983" s="228"/>
      <c r="U983" s="228"/>
      <c r="V983" s="228"/>
      <c r="W983" s="228"/>
      <c r="X983" s="228"/>
      <c r="Y983" s="228"/>
      <c r="Z983" s="228"/>
      <c r="AA983" s="228"/>
      <c r="AB983" s="228"/>
      <c r="AC983" s="228"/>
      <c r="AD983" s="228"/>
      <c r="AE983" s="228"/>
      <c r="AF983" s="228"/>
      <c r="AG983" s="228"/>
      <c r="AH983" s="228"/>
      <c r="AI983" s="228"/>
      <c r="AJ983" s="228"/>
      <c r="AK983" s="228"/>
      <c r="AL983" s="228"/>
      <c r="AM983" s="228"/>
      <c r="AN983" s="228"/>
      <c r="AO983" s="228"/>
      <c r="AP983" s="228"/>
      <c r="AQ983" s="228"/>
    </row>
    <row r="984">
      <c r="A984" s="228"/>
      <c r="B984" s="228"/>
      <c r="C984" s="228"/>
      <c r="D984" s="228"/>
      <c r="E984" s="228"/>
      <c r="F984" s="228"/>
      <c r="G984" s="228"/>
      <c r="H984" s="228"/>
      <c r="I984" s="228"/>
      <c r="J984" s="228"/>
      <c r="K984" s="228"/>
      <c r="L984" s="228"/>
      <c r="M984" s="228"/>
      <c r="N984" s="228"/>
      <c r="O984" s="228"/>
      <c r="P984" s="228"/>
      <c r="Q984" s="228"/>
      <c r="R984" s="228"/>
      <c r="S984" s="228"/>
      <c r="T984" s="228"/>
      <c r="U984" s="228"/>
      <c r="V984" s="228"/>
      <c r="W984" s="228"/>
      <c r="X984" s="228"/>
      <c r="Y984" s="228"/>
      <c r="Z984" s="228"/>
      <c r="AA984" s="228"/>
      <c r="AB984" s="228"/>
      <c r="AC984" s="228"/>
      <c r="AD984" s="228"/>
      <c r="AE984" s="228"/>
      <c r="AF984" s="228"/>
      <c r="AG984" s="228"/>
      <c r="AH984" s="228"/>
      <c r="AI984" s="228"/>
      <c r="AJ984" s="228"/>
      <c r="AK984" s="228"/>
      <c r="AL984" s="228"/>
      <c r="AM984" s="228"/>
      <c r="AN984" s="228"/>
      <c r="AO984" s="228"/>
      <c r="AP984" s="228"/>
      <c r="AQ984" s="228"/>
    </row>
    <row r="985">
      <c r="A985" s="228"/>
      <c r="B985" s="228"/>
      <c r="C985" s="228"/>
      <c r="D985" s="228"/>
      <c r="E985" s="228"/>
      <c r="F985" s="228"/>
      <c r="G985" s="228"/>
      <c r="H985" s="228"/>
      <c r="I985" s="228"/>
      <c r="J985" s="228"/>
      <c r="K985" s="228"/>
      <c r="L985" s="228"/>
      <c r="M985" s="228"/>
      <c r="N985" s="228"/>
      <c r="O985" s="228"/>
      <c r="P985" s="228"/>
      <c r="Q985" s="228"/>
      <c r="R985" s="228"/>
      <c r="S985" s="228"/>
      <c r="T985" s="228"/>
      <c r="U985" s="228"/>
      <c r="V985" s="228"/>
      <c r="W985" s="228"/>
      <c r="X985" s="228"/>
      <c r="Y985" s="228"/>
      <c r="Z985" s="228"/>
      <c r="AA985" s="228"/>
      <c r="AB985" s="228"/>
      <c r="AC985" s="228"/>
      <c r="AD985" s="228"/>
      <c r="AE985" s="228"/>
      <c r="AF985" s="228"/>
      <c r="AG985" s="228"/>
      <c r="AH985" s="228"/>
      <c r="AI985" s="228"/>
      <c r="AJ985" s="228"/>
      <c r="AK985" s="228"/>
      <c r="AL985" s="228"/>
      <c r="AM985" s="228"/>
      <c r="AN985" s="228"/>
      <c r="AO985" s="228"/>
      <c r="AP985" s="228"/>
      <c r="AQ985" s="228"/>
    </row>
    <row r="986">
      <c r="A986" s="228"/>
      <c r="B986" s="228"/>
      <c r="C986" s="228"/>
      <c r="D986" s="228"/>
      <c r="E986" s="228"/>
      <c r="F986" s="228"/>
      <c r="G986" s="228"/>
      <c r="H986" s="228"/>
      <c r="I986" s="228"/>
      <c r="J986" s="228"/>
      <c r="K986" s="228"/>
      <c r="L986" s="228"/>
      <c r="M986" s="228"/>
      <c r="N986" s="228"/>
      <c r="O986" s="228"/>
      <c r="P986" s="228"/>
      <c r="Q986" s="228"/>
      <c r="R986" s="228"/>
      <c r="S986" s="228"/>
      <c r="T986" s="228"/>
      <c r="U986" s="228"/>
      <c r="V986" s="228"/>
      <c r="W986" s="228"/>
      <c r="X986" s="228"/>
      <c r="Y986" s="228"/>
      <c r="Z986" s="228"/>
      <c r="AA986" s="228"/>
      <c r="AB986" s="228"/>
      <c r="AC986" s="228"/>
      <c r="AD986" s="228"/>
      <c r="AE986" s="228"/>
      <c r="AF986" s="228"/>
      <c r="AG986" s="228"/>
      <c r="AH986" s="228"/>
      <c r="AI986" s="228"/>
      <c r="AJ986" s="228"/>
      <c r="AK986" s="228"/>
      <c r="AL986" s="228"/>
      <c r="AM986" s="228"/>
      <c r="AN986" s="228"/>
      <c r="AO986" s="228"/>
      <c r="AP986" s="228"/>
      <c r="AQ986" s="228"/>
    </row>
    <row r="987">
      <c r="A987" s="228"/>
      <c r="B987" s="228"/>
      <c r="C987" s="228"/>
      <c r="D987" s="228"/>
      <c r="E987" s="228"/>
      <c r="F987" s="228"/>
      <c r="G987" s="228"/>
      <c r="H987" s="228"/>
      <c r="I987" s="228"/>
      <c r="J987" s="228"/>
      <c r="K987" s="228"/>
      <c r="L987" s="228"/>
      <c r="M987" s="228"/>
      <c r="N987" s="228"/>
      <c r="O987" s="228"/>
      <c r="P987" s="228"/>
      <c r="Q987" s="228"/>
      <c r="R987" s="228"/>
      <c r="S987" s="228"/>
      <c r="T987" s="228"/>
      <c r="U987" s="228"/>
      <c r="V987" s="228"/>
      <c r="W987" s="228"/>
      <c r="X987" s="228"/>
      <c r="Y987" s="228"/>
      <c r="Z987" s="228"/>
      <c r="AA987" s="228"/>
      <c r="AB987" s="228"/>
      <c r="AC987" s="228"/>
      <c r="AD987" s="228"/>
      <c r="AE987" s="228"/>
      <c r="AF987" s="228"/>
      <c r="AG987" s="228"/>
      <c r="AH987" s="228"/>
      <c r="AI987" s="228"/>
      <c r="AJ987" s="228"/>
      <c r="AK987" s="228"/>
      <c r="AL987" s="228"/>
      <c r="AM987" s="228"/>
      <c r="AN987" s="228"/>
      <c r="AO987" s="228"/>
      <c r="AP987" s="228"/>
      <c r="AQ987" s="228"/>
    </row>
    <row r="988">
      <c r="A988" s="228"/>
      <c r="B988" s="228"/>
      <c r="C988" s="228"/>
      <c r="D988" s="228"/>
      <c r="E988" s="228"/>
      <c r="F988" s="228"/>
      <c r="G988" s="228"/>
      <c r="H988" s="228"/>
      <c r="I988" s="228"/>
      <c r="J988" s="228"/>
      <c r="K988" s="228"/>
      <c r="L988" s="228"/>
      <c r="M988" s="228"/>
      <c r="N988" s="228"/>
      <c r="O988" s="228"/>
      <c r="P988" s="228"/>
      <c r="Q988" s="228"/>
      <c r="R988" s="228"/>
      <c r="S988" s="228"/>
      <c r="T988" s="228"/>
      <c r="U988" s="228"/>
      <c r="V988" s="228"/>
      <c r="W988" s="228"/>
      <c r="X988" s="228"/>
      <c r="Y988" s="228"/>
      <c r="Z988" s="228"/>
      <c r="AA988" s="228"/>
      <c r="AB988" s="228"/>
      <c r="AC988" s="228"/>
      <c r="AD988" s="228"/>
      <c r="AE988" s="228"/>
      <c r="AF988" s="228"/>
      <c r="AG988" s="228"/>
      <c r="AH988" s="228"/>
      <c r="AI988" s="228"/>
      <c r="AJ988" s="228"/>
      <c r="AK988" s="228"/>
      <c r="AL988" s="228"/>
      <c r="AM988" s="228"/>
      <c r="AN988" s="228"/>
      <c r="AO988" s="228"/>
      <c r="AP988" s="228"/>
      <c r="AQ988" s="228"/>
    </row>
    <row r="989">
      <c r="A989" s="228"/>
      <c r="B989" s="228"/>
      <c r="C989" s="228"/>
      <c r="D989" s="228"/>
      <c r="E989" s="228"/>
      <c r="F989" s="228"/>
      <c r="G989" s="228"/>
      <c r="H989" s="228"/>
      <c r="I989" s="228"/>
      <c r="J989" s="228"/>
      <c r="K989" s="228"/>
      <c r="L989" s="228"/>
      <c r="M989" s="228"/>
      <c r="N989" s="228"/>
      <c r="O989" s="228"/>
      <c r="P989" s="228"/>
      <c r="Q989" s="228"/>
      <c r="R989" s="228"/>
      <c r="S989" s="228"/>
      <c r="T989" s="228"/>
      <c r="U989" s="228"/>
      <c r="V989" s="228"/>
      <c r="W989" s="228"/>
      <c r="X989" s="228"/>
      <c r="Y989" s="228"/>
      <c r="Z989" s="228"/>
      <c r="AA989" s="228"/>
      <c r="AB989" s="228"/>
      <c r="AC989" s="228"/>
      <c r="AD989" s="228"/>
      <c r="AE989" s="228"/>
      <c r="AF989" s="228"/>
      <c r="AG989" s="228"/>
      <c r="AH989" s="228"/>
      <c r="AI989" s="228"/>
      <c r="AJ989" s="228"/>
      <c r="AK989" s="228"/>
      <c r="AL989" s="228"/>
      <c r="AM989" s="228"/>
      <c r="AN989" s="228"/>
      <c r="AO989" s="228"/>
      <c r="AP989" s="228"/>
      <c r="AQ989" s="228"/>
    </row>
    <row r="990">
      <c r="A990" s="228"/>
      <c r="B990" s="228"/>
      <c r="C990" s="228"/>
      <c r="D990" s="228"/>
      <c r="E990" s="228"/>
      <c r="F990" s="228"/>
      <c r="G990" s="228"/>
      <c r="H990" s="228"/>
      <c r="I990" s="228"/>
      <c r="J990" s="228"/>
      <c r="K990" s="228"/>
      <c r="L990" s="228"/>
      <c r="M990" s="228"/>
      <c r="N990" s="228"/>
      <c r="O990" s="228"/>
      <c r="P990" s="228"/>
      <c r="Q990" s="228"/>
      <c r="R990" s="228"/>
      <c r="S990" s="228"/>
      <c r="T990" s="228"/>
      <c r="U990" s="228"/>
      <c r="V990" s="228"/>
      <c r="W990" s="228"/>
      <c r="X990" s="228"/>
      <c r="Y990" s="228"/>
      <c r="Z990" s="228"/>
      <c r="AA990" s="228"/>
      <c r="AB990" s="228"/>
      <c r="AC990" s="228"/>
      <c r="AD990" s="228"/>
      <c r="AE990" s="228"/>
      <c r="AF990" s="228"/>
      <c r="AG990" s="228"/>
      <c r="AH990" s="228"/>
      <c r="AI990" s="228"/>
      <c r="AJ990" s="228"/>
      <c r="AK990" s="228"/>
      <c r="AL990" s="228"/>
      <c r="AM990" s="228"/>
      <c r="AN990" s="228"/>
      <c r="AO990" s="228"/>
      <c r="AP990" s="228"/>
      <c r="AQ990" s="228"/>
    </row>
    <row r="991">
      <c r="A991" s="228"/>
      <c r="B991" s="228"/>
      <c r="C991" s="228"/>
      <c r="D991" s="228"/>
      <c r="E991" s="228"/>
      <c r="F991" s="228"/>
      <c r="G991" s="228"/>
      <c r="H991" s="228"/>
      <c r="I991" s="228"/>
      <c r="J991" s="228"/>
      <c r="K991" s="228"/>
      <c r="L991" s="228"/>
      <c r="M991" s="228"/>
      <c r="N991" s="228"/>
      <c r="O991" s="228"/>
      <c r="P991" s="228"/>
      <c r="Q991" s="228"/>
      <c r="R991" s="228"/>
      <c r="S991" s="228"/>
      <c r="T991" s="228"/>
      <c r="U991" s="228"/>
      <c r="V991" s="228"/>
      <c r="W991" s="228"/>
      <c r="X991" s="228"/>
      <c r="Y991" s="228"/>
      <c r="Z991" s="228"/>
      <c r="AA991" s="228"/>
      <c r="AB991" s="228"/>
      <c r="AC991" s="228"/>
      <c r="AD991" s="228"/>
      <c r="AE991" s="228"/>
      <c r="AF991" s="228"/>
      <c r="AG991" s="228"/>
      <c r="AH991" s="228"/>
      <c r="AI991" s="228"/>
      <c r="AJ991" s="228"/>
      <c r="AK991" s="228"/>
      <c r="AL991" s="228"/>
      <c r="AM991" s="228"/>
      <c r="AN991" s="228"/>
      <c r="AO991" s="228"/>
      <c r="AP991" s="228"/>
      <c r="AQ991" s="228"/>
    </row>
    <row r="992">
      <c r="A992" s="228"/>
      <c r="B992" s="228"/>
      <c r="C992" s="228"/>
      <c r="D992" s="228"/>
      <c r="E992" s="228"/>
      <c r="F992" s="228"/>
      <c r="G992" s="228"/>
      <c r="H992" s="228"/>
      <c r="I992" s="228"/>
      <c r="J992" s="228"/>
      <c r="K992" s="228"/>
      <c r="L992" s="228"/>
      <c r="M992" s="228"/>
      <c r="N992" s="228"/>
      <c r="O992" s="228"/>
      <c r="P992" s="228"/>
      <c r="Q992" s="228"/>
      <c r="R992" s="228"/>
      <c r="S992" s="228"/>
      <c r="T992" s="228"/>
      <c r="U992" s="228"/>
      <c r="V992" s="228"/>
      <c r="W992" s="228"/>
      <c r="X992" s="228"/>
      <c r="Y992" s="228"/>
      <c r="Z992" s="228"/>
      <c r="AA992" s="228"/>
      <c r="AB992" s="228"/>
      <c r="AC992" s="228"/>
      <c r="AD992" s="228"/>
      <c r="AE992" s="228"/>
      <c r="AF992" s="228"/>
      <c r="AG992" s="228"/>
      <c r="AH992" s="228"/>
      <c r="AI992" s="228"/>
      <c r="AJ992" s="228"/>
      <c r="AK992" s="228"/>
      <c r="AL992" s="228"/>
      <c r="AM992" s="228"/>
      <c r="AN992" s="228"/>
      <c r="AO992" s="228"/>
      <c r="AP992" s="228"/>
      <c r="AQ992" s="228"/>
    </row>
    <row r="993">
      <c r="A993" s="228"/>
      <c r="B993" s="228"/>
      <c r="C993" s="228"/>
      <c r="D993" s="228"/>
      <c r="E993" s="228"/>
      <c r="F993" s="228"/>
      <c r="G993" s="228"/>
      <c r="H993" s="228"/>
      <c r="I993" s="228"/>
      <c r="J993" s="228"/>
      <c r="K993" s="228"/>
      <c r="L993" s="228"/>
      <c r="M993" s="228"/>
      <c r="N993" s="228"/>
      <c r="O993" s="228"/>
      <c r="P993" s="228"/>
      <c r="Q993" s="228"/>
      <c r="R993" s="228"/>
      <c r="S993" s="228"/>
      <c r="T993" s="228"/>
      <c r="U993" s="228"/>
      <c r="V993" s="228"/>
      <c r="W993" s="228"/>
      <c r="X993" s="228"/>
      <c r="Y993" s="228"/>
      <c r="Z993" s="228"/>
      <c r="AA993" s="228"/>
      <c r="AB993" s="228"/>
      <c r="AC993" s="228"/>
      <c r="AD993" s="228"/>
      <c r="AE993" s="228"/>
      <c r="AF993" s="228"/>
      <c r="AG993" s="228"/>
      <c r="AH993" s="228"/>
      <c r="AI993" s="228"/>
      <c r="AJ993" s="228"/>
      <c r="AK993" s="228"/>
      <c r="AL993" s="228"/>
      <c r="AM993" s="228"/>
      <c r="AN993" s="228"/>
      <c r="AO993" s="228"/>
      <c r="AP993" s="228"/>
      <c r="AQ993" s="228"/>
    </row>
    <row r="994">
      <c r="A994" s="228"/>
      <c r="B994" s="228"/>
      <c r="C994" s="228"/>
      <c r="D994" s="228"/>
      <c r="E994" s="228"/>
      <c r="F994" s="228"/>
      <c r="G994" s="228"/>
      <c r="H994" s="228"/>
      <c r="I994" s="228"/>
      <c r="J994" s="228"/>
      <c r="K994" s="228"/>
      <c r="L994" s="228"/>
      <c r="M994" s="228"/>
      <c r="N994" s="228"/>
      <c r="O994" s="228"/>
      <c r="P994" s="228"/>
      <c r="Q994" s="228"/>
      <c r="R994" s="228"/>
      <c r="S994" s="228"/>
      <c r="T994" s="228"/>
      <c r="U994" s="228"/>
      <c r="V994" s="228"/>
      <c r="W994" s="228"/>
      <c r="X994" s="228"/>
      <c r="Y994" s="228"/>
      <c r="Z994" s="228"/>
      <c r="AA994" s="228"/>
      <c r="AB994" s="228"/>
      <c r="AC994" s="228"/>
      <c r="AD994" s="228"/>
      <c r="AE994" s="228"/>
      <c r="AF994" s="228"/>
      <c r="AG994" s="228"/>
      <c r="AH994" s="228"/>
      <c r="AI994" s="228"/>
      <c r="AJ994" s="228"/>
      <c r="AK994" s="228"/>
      <c r="AL994" s="228"/>
      <c r="AM994" s="228"/>
      <c r="AN994" s="228"/>
      <c r="AO994" s="228"/>
      <c r="AP994" s="228"/>
      <c r="AQ994" s="228"/>
    </row>
    <row r="995">
      <c r="A995" s="228"/>
      <c r="B995" s="228"/>
      <c r="C995" s="228"/>
      <c r="D995" s="228"/>
      <c r="E995" s="228"/>
      <c r="F995" s="228"/>
      <c r="G995" s="228"/>
      <c r="H995" s="228"/>
      <c r="I995" s="228"/>
      <c r="J995" s="228"/>
      <c r="K995" s="228"/>
      <c r="L995" s="228"/>
      <c r="M995" s="228"/>
      <c r="N995" s="228"/>
      <c r="O995" s="228"/>
      <c r="P995" s="228"/>
      <c r="Q995" s="228"/>
      <c r="R995" s="228"/>
      <c r="S995" s="228"/>
      <c r="T995" s="228"/>
      <c r="U995" s="228"/>
      <c r="V995" s="228"/>
      <c r="W995" s="228"/>
      <c r="X995" s="228"/>
      <c r="Y995" s="228"/>
      <c r="Z995" s="228"/>
      <c r="AA995" s="228"/>
      <c r="AB995" s="228"/>
      <c r="AC995" s="228"/>
      <c r="AD995" s="228"/>
      <c r="AE995" s="228"/>
      <c r="AF995" s="228"/>
      <c r="AG995" s="228"/>
      <c r="AH995" s="228"/>
      <c r="AI995" s="228"/>
      <c r="AJ995" s="228"/>
      <c r="AK995" s="228"/>
      <c r="AL995" s="228"/>
      <c r="AM995" s="228"/>
      <c r="AN995" s="228"/>
      <c r="AO995" s="228"/>
      <c r="AP995" s="228"/>
      <c r="AQ995" s="228"/>
    </row>
    <row r="996">
      <c r="A996" s="228"/>
      <c r="B996" s="228"/>
      <c r="C996" s="228"/>
      <c r="D996" s="228"/>
      <c r="E996" s="228"/>
      <c r="F996" s="228"/>
      <c r="G996" s="228"/>
      <c r="H996" s="228"/>
      <c r="I996" s="228"/>
      <c r="J996" s="228"/>
      <c r="K996" s="228"/>
      <c r="L996" s="228"/>
      <c r="M996" s="228"/>
      <c r="N996" s="228"/>
      <c r="O996" s="228"/>
      <c r="P996" s="228"/>
      <c r="Q996" s="228"/>
      <c r="R996" s="228"/>
      <c r="S996" s="228"/>
      <c r="T996" s="228"/>
      <c r="U996" s="228"/>
      <c r="V996" s="228"/>
      <c r="W996" s="228"/>
      <c r="X996" s="228"/>
      <c r="Y996" s="228"/>
      <c r="Z996" s="228"/>
      <c r="AA996" s="228"/>
      <c r="AB996" s="228"/>
      <c r="AC996" s="228"/>
      <c r="AD996" s="228"/>
      <c r="AE996" s="228"/>
      <c r="AF996" s="228"/>
      <c r="AG996" s="228"/>
      <c r="AH996" s="228"/>
      <c r="AI996" s="228"/>
      <c r="AJ996" s="228"/>
      <c r="AK996" s="228"/>
      <c r="AL996" s="228"/>
      <c r="AM996" s="228"/>
      <c r="AN996" s="228"/>
      <c r="AO996" s="228"/>
      <c r="AP996" s="228"/>
      <c r="AQ996" s="228"/>
    </row>
    <row r="997">
      <c r="A997" s="228"/>
      <c r="B997" s="228"/>
      <c r="C997" s="228"/>
      <c r="D997" s="228"/>
      <c r="E997" s="228"/>
      <c r="F997" s="228"/>
      <c r="G997" s="228"/>
      <c r="H997" s="228"/>
      <c r="I997" s="228"/>
      <c r="J997" s="228"/>
      <c r="K997" s="228"/>
      <c r="L997" s="228"/>
      <c r="M997" s="228"/>
      <c r="N997" s="228"/>
      <c r="O997" s="228"/>
      <c r="P997" s="228"/>
      <c r="Q997" s="228"/>
      <c r="R997" s="228"/>
      <c r="S997" s="228"/>
      <c r="T997" s="228"/>
      <c r="U997" s="228"/>
      <c r="V997" s="228"/>
      <c r="W997" s="228"/>
      <c r="X997" s="228"/>
      <c r="Y997" s="228"/>
      <c r="Z997" s="228"/>
      <c r="AA997" s="228"/>
      <c r="AB997" s="228"/>
      <c r="AC997" s="228"/>
      <c r="AD997" s="228"/>
      <c r="AE997" s="228"/>
      <c r="AF997" s="228"/>
      <c r="AG997" s="228"/>
      <c r="AH997" s="228"/>
      <c r="AI997" s="228"/>
      <c r="AJ997" s="228"/>
      <c r="AK997" s="228"/>
      <c r="AL997" s="228"/>
      <c r="AM997" s="228"/>
      <c r="AN997" s="228"/>
      <c r="AO997" s="228"/>
      <c r="AP997" s="228"/>
      <c r="AQ997" s="228"/>
    </row>
    <row r="998">
      <c r="A998" s="228"/>
      <c r="B998" s="228"/>
      <c r="C998" s="228"/>
      <c r="D998" s="228"/>
      <c r="E998" s="228"/>
      <c r="F998" s="228"/>
      <c r="G998" s="228"/>
      <c r="H998" s="228"/>
      <c r="I998" s="228"/>
      <c r="J998" s="228"/>
      <c r="K998" s="228"/>
      <c r="L998" s="228"/>
      <c r="M998" s="228"/>
      <c r="N998" s="228"/>
      <c r="O998" s="228"/>
      <c r="P998" s="228"/>
      <c r="Q998" s="228"/>
      <c r="R998" s="228"/>
      <c r="S998" s="228"/>
      <c r="T998" s="228"/>
      <c r="U998" s="228"/>
      <c r="V998" s="228"/>
      <c r="W998" s="228"/>
      <c r="X998" s="228"/>
      <c r="Y998" s="228"/>
      <c r="Z998" s="228"/>
      <c r="AA998" s="228"/>
      <c r="AB998" s="228"/>
      <c r="AC998" s="228"/>
      <c r="AD998" s="228"/>
      <c r="AE998" s="228"/>
      <c r="AF998" s="228"/>
      <c r="AG998" s="228"/>
      <c r="AH998" s="228"/>
      <c r="AI998" s="228"/>
      <c r="AJ998" s="228"/>
      <c r="AK998" s="228"/>
      <c r="AL998" s="228"/>
      <c r="AM998" s="228"/>
      <c r="AN998" s="228"/>
      <c r="AO998" s="228"/>
      <c r="AP998" s="228"/>
      <c r="AQ998" s="228"/>
    </row>
    <row r="999">
      <c r="A999" s="228"/>
      <c r="B999" s="228"/>
      <c r="C999" s="228"/>
      <c r="D999" s="228"/>
      <c r="E999" s="228"/>
      <c r="F999" s="228"/>
      <c r="G999" s="228"/>
      <c r="H999" s="228"/>
      <c r="I999" s="228"/>
      <c r="J999" s="228"/>
      <c r="K999" s="228"/>
      <c r="L999" s="228"/>
      <c r="M999" s="228"/>
      <c r="N999" s="228"/>
      <c r="O999" s="228"/>
      <c r="P999" s="228"/>
      <c r="Q999" s="228"/>
      <c r="R999" s="228"/>
      <c r="S999" s="228"/>
      <c r="T999" s="228"/>
      <c r="U999" s="228"/>
      <c r="V999" s="228"/>
      <c r="W999" s="228"/>
      <c r="X999" s="228"/>
      <c r="Y999" s="228"/>
      <c r="Z999" s="228"/>
      <c r="AA999" s="228"/>
      <c r="AB999" s="228"/>
      <c r="AC999" s="228"/>
      <c r="AD999" s="228"/>
      <c r="AE999" s="228"/>
      <c r="AF999" s="228"/>
      <c r="AG999" s="228"/>
      <c r="AH999" s="228"/>
      <c r="AI999" s="228"/>
      <c r="AJ999" s="228"/>
      <c r="AK999" s="228"/>
      <c r="AL999" s="228"/>
      <c r="AM999" s="228"/>
      <c r="AN999" s="228"/>
      <c r="AO999" s="228"/>
      <c r="AP999" s="228"/>
      <c r="AQ999" s="228"/>
    </row>
    <row r="1000">
      <c r="A1000" s="228"/>
      <c r="B1000" s="228"/>
      <c r="C1000" s="228"/>
      <c r="D1000" s="228"/>
      <c r="E1000" s="228"/>
      <c r="F1000" s="228"/>
      <c r="G1000" s="228"/>
      <c r="H1000" s="228"/>
      <c r="I1000" s="228"/>
      <c r="J1000" s="228"/>
      <c r="K1000" s="228"/>
      <c r="L1000" s="228"/>
      <c r="M1000" s="228"/>
      <c r="N1000" s="228"/>
      <c r="O1000" s="228"/>
      <c r="P1000" s="228"/>
      <c r="Q1000" s="228"/>
      <c r="R1000" s="228"/>
      <c r="S1000" s="228"/>
      <c r="T1000" s="228"/>
      <c r="U1000" s="228"/>
      <c r="V1000" s="228"/>
      <c r="W1000" s="228"/>
      <c r="X1000" s="228"/>
      <c r="Y1000" s="228"/>
      <c r="Z1000" s="228"/>
      <c r="AA1000" s="228"/>
      <c r="AB1000" s="228"/>
      <c r="AC1000" s="228"/>
      <c r="AD1000" s="228"/>
      <c r="AE1000" s="228"/>
      <c r="AF1000" s="228"/>
      <c r="AG1000" s="228"/>
      <c r="AH1000" s="228"/>
      <c r="AI1000" s="228"/>
      <c r="AJ1000" s="228"/>
      <c r="AK1000" s="228"/>
      <c r="AL1000" s="228"/>
      <c r="AM1000" s="228"/>
      <c r="AN1000" s="228"/>
      <c r="AO1000" s="228"/>
      <c r="AP1000" s="228"/>
      <c r="AQ1000" s="228"/>
    </row>
  </sheetData>
  <hyperlinks>
    <hyperlink r:id="rId1" ref="AK7"/>
    <hyperlink r:id="rId2" ref="AK11"/>
    <hyperlink r:id="rId3" ref="AK12"/>
    <hyperlink r:id="rId4" ref="AK13"/>
    <hyperlink r:id="rId5" ref="AK15"/>
    <hyperlink r:id="rId6" ref="AK19"/>
    <hyperlink r:id="rId7" ref="AK22"/>
    <hyperlink r:id="rId8" ref="AK23"/>
    <hyperlink r:id="rId9" ref="AK25"/>
    <hyperlink r:id="rId10" ref="AK27"/>
    <hyperlink r:id="rId11" ref="AK28"/>
    <hyperlink r:id="rId12" ref="AK29"/>
    <hyperlink r:id="rId13" ref="AK30"/>
    <hyperlink r:id="rId14" ref="AK31"/>
    <hyperlink r:id="rId15" ref="AK32"/>
    <hyperlink r:id="rId16" ref="AK35"/>
    <hyperlink r:id="rId17" ref="AK36"/>
    <hyperlink r:id="rId18" ref="AK37"/>
    <hyperlink r:id="rId19" ref="AK38"/>
    <hyperlink r:id="rId20" ref="AK39"/>
    <hyperlink r:id="rId21" ref="AK40"/>
    <hyperlink r:id="rId22" ref="AK41"/>
    <hyperlink r:id="rId23" ref="AK42"/>
    <hyperlink r:id="rId24" ref="AK43"/>
    <hyperlink r:id="rId25" ref="AK44"/>
    <hyperlink r:id="rId26" ref="AK45"/>
    <hyperlink r:id="rId27" ref="AK46"/>
    <hyperlink r:id="rId28" ref="AK47"/>
    <hyperlink r:id="rId29" ref="AK49"/>
    <hyperlink r:id="rId30" ref="AK50"/>
    <hyperlink r:id="rId31" ref="AK51"/>
    <hyperlink r:id="rId32" ref="AK52"/>
    <hyperlink r:id="rId33" ref="AK53"/>
    <hyperlink r:id="rId34" ref="AK54"/>
    <hyperlink r:id="rId35" ref="AK55"/>
    <hyperlink r:id="rId36" ref="AK56"/>
    <hyperlink r:id="rId37" ref="AK57"/>
    <hyperlink r:id="rId38" ref="AK58"/>
    <hyperlink r:id="rId39" ref="AK59"/>
    <hyperlink r:id="rId40" ref="AK61"/>
    <hyperlink r:id="rId41" ref="AK62"/>
    <hyperlink r:id="rId42" ref="AK63"/>
    <hyperlink r:id="rId43" ref="AK64"/>
    <hyperlink r:id="rId44" ref="AK65"/>
    <hyperlink r:id="rId45" ref="AK67"/>
    <hyperlink r:id="rId46" ref="AK68"/>
    <hyperlink r:id="rId47" ref="AK70"/>
    <hyperlink r:id="rId48" ref="AK71"/>
    <hyperlink r:id="rId49" ref="AK72"/>
    <hyperlink r:id="rId50" ref="AK74"/>
    <hyperlink r:id="rId51" ref="AK75"/>
    <hyperlink r:id="rId52" ref="AK76"/>
    <hyperlink r:id="rId53" ref="AK78"/>
    <hyperlink r:id="rId54" ref="AK79"/>
    <hyperlink r:id="rId55" ref="AK80"/>
    <hyperlink r:id="rId56" ref="AK81"/>
    <hyperlink r:id="rId57" ref="AK82"/>
    <hyperlink r:id="rId58" ref="AK83"/>
    <hyperlink r:id="rId59" ref="AK84"/>
    <hyperlink r:id="rId60" ref="AK85"/>
    <hyperlink r:id="rId61" ref="AK86"/>
    <hyperlink r:id="rId62" ref="AK87"/>
    <hyperlink r:id="rId63" ref="AK88"/>
    <hyperlink r:id="rId64" ref="AK89"/>
    <hyperlink r:id="rId65" ref="AK90"/>
    <hyperlink r:id="rId66" ref="AK92"/>
    <hyperlink r:id="rId67" ref="AK93"/>
    <hyperlink r:id="rId68" ref="AK94"/>
    <hyperlink r:id="rId69" ref="AK95"/>
    <hyperlink r:id="rId70" ref="AK96"/>
    <hyperlink r:id="rId71" ref="AK97"/>
    <hyperlink r:id="rId72" ref="AK98"/>
    <hyperlink r:id="rId73" ref="AK102"/>
    <hyperlink r:id="rId74" ref="AK103"/>
    <hyperlink r:id="rId75" ref="AK104"/>
    <hyperlink r:id="rId76" ref="AK105"/>
    <hyperlink r:id="rId77" ref="AK106"/>
    <hyperlink r:id="rId78" ref="AK107"/>
    <hyperlink r:id="rId79" ref="AK108"/>
    <hyperlink r:id="rId80" ref="AK109"/>
    <hyperlink r:id="rId81" ref="AK111"/>
    <hyperlink r:id="rId82" ref="AK112"/>
    <hyperlink r:id="rId83" ref="AK113"/>
    <hyperlink r:id="rId84" ref="AK114"/>
    <hyperlink r:id="rId85" ref="AK115"/>
    <hyperlink r:id="rId86" ref="AK116"/>
    <hyperlink r:id="rId87" ref="AK118"/>
    <hyperlink r:id="rId88" ref="AK119"/>
    <hyperlink r:id="rId89" ref="AK120"/>
    <hyperlink r:id="rId90" ref="AK121"/>
    <hyperlink r:id="rId91" ref="AK122"/>
    <hyperlink r:id="rId92" ref="AK123"/>
    <hyperlink r:id="rId93" ref="AK124"/>
    <hyperlink r:id="rId94" ref="AK125"/>
    <hyperlink r:id="rId95" ref="AK126"/>
    <hyperlink r:id="rId96" ref="AK128"/>
    <hyperlink r:id="rId97" ref="AK129"/>
    <hyperlink r:id="rId98" ref="AK130"/>
    <hyperlink r:id="rId99" ref="AK131"/>
    <hyperlink r:id="rId100" ref="AK132"/>
    <hyperlink r:id="rId101" ref="AK134"/>
    <hyperlink r:id="rId102" ref="AK135"/>
    <hyperlink r:id="rId103" ref="AK137"/>
    <hyperlink r:id="rId104" ref="AK138"/>
    <hyperlink r:id="rId105" ref="AK139"/>
    <hyperlink r:id="rId106" ref="AK140"/>
    <hyperlink r:id="rId107" ref="AK141"/>
    <hyperlink r:id="rId108" ref="AK142"/>
    <hyperlink r:id="rId109" ref="AK143"/>
    <hyperlink r:id="rId110" ref="AK144"/>
    <hyperlink r:id="rId111" ref="AK145"/>
    <hyperlink r:id="rId112" ref="AK146"/>
    <hyperlink r:id="rId113" ref="AK147"/>
    <hyperlink r:id="rId114" ref="AK149"/>
    <hyperlink r:id="rId115" ref="AK150"/>
    <hyperlink r:id="rId116" ref="AK151"/>
    <hyperlink r:id="rId117" ref="AK152"/>
    <hyperlink r:id="rId118" ref="AK153"/>
    <hyperlink r:id="rId119" ref="AK154"/>
    <hyperlink r:id="rId120" ref="AK156"/>
    <hyperlink r:id="rId121" ref="AK157"/>
    <hyperlink r:id="rId122" ref="AK158"/>
    <hyperlink r:id="rId123" ref="AK160"/>
    <hyperlink r:id="rId124" ref="AK161"/>
    <hyperlink r:id="rId125" ref="AK163"/>
    <hyperlink r:id="rId126" ref="AK164"/>
    <hyperlink r:id="rId127" ref="AK165"/>
    <hyperlink r:id="rId128" ref="AK166"/>
    <hyperlink r:id="rId129" ref="AK167"/>
    <hyperlink r:id="rId130" ref="AK169"/>
    <hyperlink r:id="rId131" ref="AK171"/>
    <hyperlink r:id="rId132" ref="AK173"/>
    <hyperlink r:id="rId133" ref="AK174"/>
    <hyperlink r:id="rId134" ref="AK175"/>
    <hyperlink r:id="rId135" ref="AK177"/>
    <hyperlink r:id="rId136" ref="AK178"/>
    <hyperlink r:id="rId137" ref="AK179"/>
    <hyperlink r:id="rId138" ref="AK180"/>
    <hyperlink r:id="rId139" ref="AK181"/>
    <hyperlink r:id="rId140" ref="AK182"/>
    <hyperlink r:id="rId141" ref="AK184"/>
    <hyperlink r:id="rId142" ref="AK185"/>
    <hyperlink r:id="rId143" ref="AK186"/>
    <hyperlink r:id="rId144" ref="AK187"/>
    <hyperlink r:id="rId145" ref="AK188"/>
    <hyperlink r:id="rId146" ref="AK189"/>
    <hyperlink r:id="rId147" ref="AK190"/>
    <hyperlink r:id="rId148" ref="AK191"/>
    <hyperlink r:id="rId149" ref="AK192"/>
    <hyperlink r:id="rId150" ref="AK194"/>
    <hyperlink r:id="rId151" ref="AK195"/>
    <hyperlink r:id="rId152" ref="AK197"/>
    <hyperlink r:id="rId153" ref="AK198"/>
    <hyperlink r:id="rId154" ref="AK199"/>
    <hyperlink r:id="rId155" ref="AK200"/>
    <hyperlink r:id="rId156" ref="AK201"/>
    <hyperlink r:id="rId157" ref="AK202"/>
    <hyperlink r:id="rId158" ref="AK203"/>
    <hyperlink r:id="rId159" ref="AK204"/>
    <hyperlink r:id="rId160" ref="AK206"/>
    <hyperlink r:id="rId161" ref="AK207"/>
    <hyperlink r:id="rId162" ref="AK208"/>
    <hyperlink r:id="rId163" ref="AK209"/>
    <hyperlink r:id="rId164" ref="AK210"/>
    <hyperlink r:id="rId165" ref="AK212"/>
    <hyperlink r:id="rId166" ref="AK213"/>
    <hyperlink r:id="rId167" ref="AK217"/>
    <hyperlink r:id="rId168" ref="AK220"/>
    <hyperlink r:id="rId169" ref="AK222"/>
    <hyperlink r:id="rId170" ref="AK223"/>
    <hyperlink r:id="rId171" ref="AK231"/>
    <hyperlink r:id="rId172" ref="AK232"/>
    <hyperlink r:id="rId173" ref="AK233"/>
    <hyperlink r:id="rId174" ref="AK234"/>
    <hyperlink r:id="rId175" ref="AK236"/>
    <hyperlink r:id="rId176" ref="AK238"/>
    <hyperlink r:id="rId177" ref="AK240"/>
    <hyperlink r:id="rId178" ref="AK241"/>
    <hyperlink r:id="rId179" ref="AK242"/>
    <hyperlink r:id="rId180" ref="AK244"/>
    <hyperlink r:id="rId181" ref="AK245"/>
    <hyperlink r:id="rId182" ref="AK246"/>
    <hyperlink r:id="rId183" ref="AK249"/>
    <hyperlink r:id="rId184" ref="AK251"/>
    <hyperlink r:id="rId185" ref="AK252"/>
    <hyperlink r:id="rId186" ref="AK253"/>
    <hyperlink r:id="rId187" ref="AK254"/>
    <hyperlink r:id="rId188" ref="AK255"/>
    <hyperlink r:id="rId189" ref="AK256"/>
    <hyperlink r:id="rId190" ref="AK257"/>
    <hyperlink r:id="rId191" ref="AK259"/>
    <hyperlink r:id="rId192" ref="AK262"/>
    <hyperlink r:id="rId193" ref="AK263"/>
    <hyperlink r:id="rId194" ref="AK264"/>
    <hyperlink r:id="rId195" ref="AK265"/>
    <hyperlink r:id="rId196" ref="AK266"/>
    <hyperlink r:id="rId197" ref="AK267"/>
    <hyperlink r:id="rId198" ref="AK269"/>
    <hyperlink r:id="rId199" ref="AK271"/>
    <hyperlink r:id="rId200" ref="AK272"/>
    <hyperlink r:id="rId201" ref="AK273"/>
    <hyperlink r:id="rId202" ref="AK275"/>
    <hyperlink r:id="rId203" ref="AK276"/>
    <hyperlink r:id="rId204" ref="AK277"/>
    <hyperlink r:id="rId205" ref="AK278"/>
    <hyperlink r:id="rId206" ref="AK279"/>
    <hyperlink r:id="rId207" ref="AK281"/>
    <hyperlink r:id="rId208" ref="AK284"/>
    <hyperlink r:id="rId209" ref="AK285"/>
    <hyperlink r:id="rId210" ref="AK288"/>
    <hyperlink r:id="rId211" ref="AK289"/>
    <hyperlink r:id="rId212" ref="AK291"/>
    <hyperlink r:id="rId213" ref="AK292"/>
    <hyperlink r:id="rId214" ref="AK294"/>
    <hyperlink r:id="rId215" ref="AK295"/>
    <hyperlink r:id="rId216" ref="AK296"/>
    <hyperlink r:id="rId217" ref="AK297"/>
    <hyperlink r:id="rId218" ref="AK298"/>
    <hyperlink r:id="rId219" ref="AK300"/>
    <hyperlink r:id="rId220" ref="AK302"/>
    <hyperlink r:id="rId221" ref="AK303"/>
    <hyperlink r:id="rId222" ref="AK304"/>
    <hyperlink r:id="rId223" ref="AK305"/>
    <hyperlink r:id="rId224" ref="AK306"/>
    <hyperlink r:id="rId225" ref="AK307"/>
    <hyperlink r:id="rId226" ref="AK308"/>
    <hyperlink r:id="rId227" ref="AK310"/>
    <hyperlink r:id="rId228" ref="AK311"/>
    <hyperlink r:id="rId229" ref="AK312"/>
    <hyperlink r:id="rId230" ref="AK313"/>
    <hyperlink r:id="rId231" ref="AK314"/>
    <hyperlink r:id="rId232" ref="AK315"/>
    <hyperlink r:id="rId233" ref="AK316"/>
    <hyperlink r:id="rId234" ref="AK317"/>
    <hyperlink r:id="rId235" ref="AK318"/>
    <hyperlink r:id="rId236" ref="AK322"/>
    <hyperlink r:id="rId237" ref="AK325"/>
    <hyperlink r:id="rId238" ref="AK326"/>
    <hyperlink r:id="rId239" ref="AK328"/>
    <hyperlink r:id="rId240" ref="AK329"/>
    <hyperlink r:id="rId241" ref="AK330"/>
    <hyperlink r:id="rId242" ref="AK331"/>
    <hyperlink r:id="rId243" ref="AK332"/>
    <hyperlink r:id="rId244" ref="AK333"/>
    <hyperlink r:id="rId245" ref="AK334"/>
    <hyperlink r:id="rId246" ref="AK335"/>
    <hyperlink r:id="rId247" ref="AK336"/>
    <hyperlink r:id="rId248" ref="AK337"/>
    <hyperlink r:id="rId249" ref="AK338"/>
    <hyperlink r:id="rId250" ref="AK339"/>
    <hyperlink r:id="rId251" ref="AK341"/>
    <hyperlink r:id="rId252" ref="AK342"/>
    <hyperlink r:id="rId253" ref="AK343"/>
    <hyperlink r:id="rId254" ref="AK345"/>
    <hyperlink r:id="rId255" ref="AK346"/>
    <hyperlink r:id="rId256" ref="AK348"/>
    <hyperlink r:id="rId257" ref="AK349"/>
    <hyperlink r:id="rId258" ref="AK350"/>
    <hyperlink r:id="rId259" ref="AK352"/>
    <hyperlink r:id="rId260" ref="AK354"/>
    <hyperlink r:id="rId261" ref="AK355"/>
    <hyperlink r:id="rId262" ref="AK357"/>
    <hyperlink r:id="rId263" ref="AK361"/>
    <hyperlink r:id="rId264" ref="AK364"/>
    <hyperlink r:id="rId265" ref="AK365"/>
    <hyperlink r:id="rId266" ref="AK366"/>
    <hyperlink r:id="rId267" ref="AK367"/>
    <hyperlink r:id="rId268" ref="AK375"/>
    <hyperlink r:id="rId269" ref="AK377"/>
    <hyperlink r:id="rId270" ref="AK378"/>
    <hyperlink r:id="rId271" ref="AK379"/>
    <hyperlink r:id="rId272" ref="AK384"/>
    <hyperlink r:id="rId273" ref="AK385"/>
    <hyperlink r:id="rId274" ref="AK386"/>
    <hyperlink r:id="rId275" ref="AK387"/>
    <hyperlink r:id="rId276" ref="AK390"/>
    <hyperlink r:id="rId277" ref="AK393"/>
    <hyperlink r:id="rId278" ref="AK394"/>
    <hyperlink r:id="rId279" ref="AK396"/>
    <hyperlink r:id="rId280" ref="AK401"/>
    <hyperlink r:id="rId281" ref="AK402"/>
    <hyperlink r:id="rId282" ref="AK403"/>
    <hyperlink r:id="rId283" ref="AK405"/>
    <hyperlink r:id="rId284" ref="AK406"/>
    <hyperlink r:id="rId285" ref="AK407"/>
    <hyperlink r:id="rId286" ref="AK409"/>
    <hyperlink r:id="rId287" ref="AK410"/>
    <hyperlink r:id="rId288" ref="AK411"/>
    <hyperlink r:id="rId289" ref="AK412"/>
    <hyperlink r:id="rId290" ref="AK413"/>
    <hyperlink r:id="rId291" ref="AK415"/>
    <hyperlink r:id="rId292" ref="AK416"/>
    <hyperlink r:id="rId293" ref="AK417"/>
    <hyperlink r:id="rId294" ref="AK418"/>
    <hyperlink r:id="rId295" ref="AK419"/>
    <hyperlink r:id="rId296" ref="AK420"/>
    <hyperlink r:id="rId297" ref="AK422"/>
    <hyperlink r:id="rId298" ref="AK423"/>
    <hyperlink r:id="rId299" ref="AK424"/>
    <hyperlink r:id="rId300" ref="AK425"/>
    <hyperlink r:id="rId301" ref="AK426"/>
    <hyperlink r:id="rId302" ref="AK428"/>
    <hyperlink r:id="rId303" ref="AK429"/>
    <hyperlink r:id="rId304" ref="AK430"/>
    <hyperlink r:id="rId305" ref="AK431"/>
    <hyperlink r:id="rId306" ref="AK432"/>
    <hyperlink r:id="rId307" ref="AK434"/>
    <hyperlink r:id="rId308" ref="AK435"/>
    <hyperlink r:id="rId309" ref="AK436"/>
    <hyperlink r:id="rId310" ref="AK437"/>
    <hyperlink r:id="rId311" ref="AK438"/>
    <hyperlink r:id="rId312" ref="AK439"/>
    <hyperlink r:id="rId313" ref="AK440"/>
    <hyperlink r:id="rId314" ref="AK441"/>
    <hyperlink r:id="rId315" ref="AK442"/>
    <hyperlink r:id="rId316" ref="AK443"/>
    <hyperlink r:id="rId317" ref="AK444"/>
    <hyperlink r:id="rId318" ref="AK445"/>
    <hyperlink r:id="rId319" ref="AK446"/>
    <hyperlink r:id="rId320" ref="AK447"/>
    <hyperlink r:id="rId321" ref="AK448"/>
    <hyperlink r:id="rId322" ref="AK449"/>
    <hyperlink r:id="rId323" ref="AK450"/>
    <hyperlink r:id="rId324" ref="AK451"/>
    <hyperlink r:id="rId325" ref="AK452"/>
    <hyperlink r:id="rId326" ref="AK453"/>
    <hyperlink r:id="rId327" ref="AK454"/>
    <hyperlink r:id="rId328" ref="AK455"/>
    <hyperlink r:id="rId329" ref="AK456"/>
    <hyperlink r:id="rId330" ref="AK457"/>
    <hyperlink r:id="rId331" ref="AK458"/>
    <hyperlink r:id="rId332" ref="AK459"/>
    <hyperlink r:id="rId333" ref="AK460"/>
    <hyperlink r:id="rId334" ref="AK462"/>
    <hyperlink r:id="rId335" ref="AK463"/>
    <hyperlink r:id="rId336" ref="AK465"/>
    <hyperlink r:id="rId337" ref="AK466"/>
    <hyperlink r:id="rId338" ref="AK467"/>
    <hyperlink r:id="rId339" ref="AK468"/>
    <hyperlink r:id="rId340" ref="AK469"/>
    <hyperlink r:id="rId341" ref="AK470"/>
    <hyperlink r:id="rId342" ref="AK471"/>
    <hyperlink r:id="rId343" ref="AK472"/>
    <hyperlink r:id="rId344" ref="AK473"/>
    <hyperlink r:id="rId345" ref="AK474"/>
    <hyperlink r:id="rId346" ref="AK475"/>
    <hyperlink r:id="rId347" ref="AK476"/>
    <hyperlink r:id="rId348" ref="AK478"/>
    <hyperlink r:id="rId349" ref="AK479"/>
    <hyperlink r:id="rId350" ref="AK480"/>
    <hyperlink r:id="rId351" ref="AK482"/>
    <hyperlink r:id="rId352" ref="AK483"/>
    <hyperlink r:id="rId353" ref="AK484"/>
    <hyperlink r:id="rId354" ref="AK485"/>
  </hyperlinks>
  <drawing r:id="rId355"/>
</worksheet>
</file>